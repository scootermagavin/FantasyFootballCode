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2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3.xml" ContentType="application/vnd.openxmlformats-officedocument.spreadsheetml.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4.xml" ContentType="application/vnd.openxmlformats-officedocument.spreadsheetml.table+xml"/>
  <Override PartName="/xl/queryTables/queryTable7.xml" ContentType="application/vnd.openxmlformats-officedocument.spreadsheetml.queryTable+xml"/>
  <Override PartName="/xl/tables/table5.xml" ContentType="application/vnd.openxmlformats-officedocument.spreadsheetml.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tables/table6.xml" ContentType="application/vnd.openxmlformats-officedocument.spreadsheetml.table+xml"/>
  <Override PartName="/xl/queryTables/queryTable10.xml" ContentType="application/vnd.openxmlformats-officedocument.spreadsheetml.queryTable+xml"/>
  <Override PartName="/xl/tables/table7.xml" ContentType="application/vnd.openxmlformats-officedocument.spreadsheetml.table+xml"/>
  <Override PartName="/xl/queryTables/queryTable11.xml" ContentType="application/vnd.openxmlformats-officedocument.spreadsheetml.queryTable+xml"/>
  <Override PartName="/xl/tables/table8.xml" ContentType="application/vnd.openxmlformats-officedocument.spreadsheetml.table+xml"/>
  <Override PartName="/xl/queryTables/queryTable12.xml" ContentType="application/vnd.openxmlformats-officedocument.spreadsheetml.queryTable+xml"/>
  <Override PartName="/xl/tables/table9.xml" ContentType="application/vnd.openxmlformats-officedocument.spreadsheetml.table+xml"/>
  <Override PartName="/xl/queryTables/queryTable13.xml" ContentType="application/vnd.openxmlformats-officedocument.spreadsheetml.queryTable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7639b7df705db1/Documents/Daily Fantasy - Active/"/>
    </mc:Choice>
  </mc:AlternateContent>
  <xr:revisionPtr revIDLastSave="1748" documentId="8_{A0C2AA62-D85F-3D4D-9BAE-184D42EFFEE7}" xr6:coauthVersionLast="47" xr6:coauthVersionMax="47" xr10:uidLastSave="{D6BF28F8-AA92-D742-9397-3A48AF82528D}"/>
  <bookViews>
    <workbookView xWindow="160" yWindow="500" windowWidth="28640" windowHeight="16380" xr2:uid="{8B6FAAE3-68FD-E34A-903A-C6C22FDB3E42}"/>
  </bookViews>
  <sheets>
    <sheet name="Fanduel Export" sheetId="6" r:id="rId1"/>
    <sheet name="Vegas Odds" sheetId="8" r:id="rId2"/>
    <sheet name="Money Tab" sheetId="20" r:id="rId3"/>
    <sheet name="Solver" sheetId="7" r:id="rId4"/>
    <sheet name="After Action" sheetId="21" state="hidden" r:id="rId5"/>
    <sheet name="Targets per $1K" sheetId="19" state="hidden" r:id="rId6"/>
    <sheet name="Vegas Copy-Paste" sheetId="14" r:id="rId7"/>
    <sheet name="Vegas Odds Spread" sheetId="35" r:id="rId8"/>
    <sheet name="Vegas Odds Totals" sheetId="37" r:id="rId9"/>
    <sheet name="Name Bridge" sheetId="11" r:id="rId10"/>
    <sheet name="CY Passing" sheetId="29" state="hidden" r:id="rId11"/>
    <sheet name="CYPassing Query" sheetId="38" r:id="rId12"/>
    <sheet name="PY Passing" sheetId="34" state="hidden" r:id="rId13"/>
    <sheet name="PY Passing Query" sheetId="39" state="hidden" r:id="rId14"/>
    <sheet name="CY Rushing" sheetId="30" state="hidden" r:id="rId15"/>
    <sheet name="CY Rushing Query" sheetId="40" r:id="rId16"/>
    <sheet name="PY Rushing" sheetId="23" state="hidden" r:id="rId17"/>
    <sheet name="PY Rushing Query" sheetId="41" state="hidden" r:id="rId18"/>
    <sheet name="CY Receiving" sheetId="31" state="hidden" r:id="rId19"/>
    <sheet name="CY Receving Query" sheetId="42" r:id="rId20"/>
    <sheet name="PY Receiving" sheetId="24" state="hidden" r:id="rId21"/>
    <sheet name="CY Offensive Stats" sheetId="32" state="hidden" r:id="rId22"/>
    <sheet name="CY Offensive Stats Summary" sheetId="43" r:id="rId23"/>
    <sheet name="PY Offensive Stats" sheetId="25" state="hidden" r:id="rId24"/>
    <sheet name="CY Defensive Stats" sheetId="33" state="hidden" r:id="rId25"/>
    <sheet name="CY Defensive Stats Query" sheetId="44" r:id="rId26"/>
    <sheet name="PY Defensive Stats" sheetId="26" state="hidden" r:id="rId27"/>
  </sheets>
  <definedNames>
    <definedName name="_xlnm._FilterDatabase" localSheetId="0" hidden="1">'Fanduel Export'!$A$4:$BH$206</definedName>
    <definedName name="_xlnm._FilterDatabase" localSheetId="3" hidden="1">Solver!$A$1:$N$201</definedName>
    <definedName name="_xlnm._FilterDatabase" localSheetId="1" hidden="1">'Vegas Odds'!$B$3:$U$36</definedName>
    <definedName name="CY_Receiving_Query" localSheetId="19">'CY Receving Query'!$A$1:$S$554</definedName>
    <definedName name="CY_Rushing_Query" localSheetId="15">'CY Rushing Query'!$A$1:$O$386</definedName>
    <definedName name="CYPassing_1" localSheetId="11">'CYPassing Query'!$A$1:$AE$120</definedName>
    <definedName name="ExternalData_1" localSheetId="24" hidden="1">'CY Defensive Stats'!$A$1:$AB$33</definedName>
    <definedName name="ExternalData_1" localSheetId="21" hidden="1">'CY Offensive Stats'!$A$1:$AB$33</definedName>
    <definedName name="ExternalData_1" localSheetId="26" hidden="1">'PY Defensive Stats'!$A$1:$AB$33</definedName>
    <definedName name="ExternalData_1" localSheetId="23" hidden="1">'PY Offensive Stats'!$A$1:$AB$33</definedName>
    <definedName name="ExternalData_2" localSheetId="18" hidden="1">'CY Receiving'!$A$1:$T$237</definedName>
    <definedName name="ExternalData_2" localSheetId="12" hidden="1">'PY Passing'!$A$1:$AE$113</definedName>
    <definedName name="ExternalData_2" localSheetId="20" hidden="1">'PY Receiving'!$A$1:$T$500</definedName>
    <definedName name="ExternalData_3" localSheetId="10" hidden="1">'CY Passing'!$A$1:$AF$40</definedName>
    <definedName name="ExternalData_3" localSheetId="14" hidden="1">'CY Rushing'!$A$1:$P$136</definedName>
    <definedName name="ExternalData_3" localSheetId="16" hidden="1">'PY Rushing'!$A$1:$P$385</definedName>
    <definedName name="PY_Passing_Query" localSheetId="13">'PY Passing Query'!$A$1:$AE$117</definedName>
    <definedName name="solver_adj" localSheetId="3" hidden="1">Solver!$C$2:$C$201</definedName>
    <definedName name="solver_cvg" localSheetId="3" hidden="1">0.0001</definedName>
    <definedName name="solver_drv" localSheetId="3" hidden="1">2</definedName>
    <definedName name="solver_eng" localSheetId="0" hidden="1">1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3" hidden="1">Solver!$C$207</definedName>
    <definedName name="solver_lhs2" localSheetId="3" hidden="1">Solver!$C$2:$C$201</definedName>
    <definedName name="solver_lhs3" localSheetId="3" hidden="1">Solver!$F$204</definedName>
    <definedName name="solver_lhs4" localSheetId="3" hidden="1">Solver!$K$209</definedName>
    <definedName name="solver_lhs5" localSheetId="3" hidden="1">Solver!$K$210</definedName>
    <definedName name="solver_lhs6" localSheetId="3" hidden="1">Solver!$K$211</definedName>
    <definedName name="solver_lhs7" localSheetId="3" hidden="1">Solver!$K$212</definedName>
    <definedName name="solver_lin" localSheetId="3" hidden="1">1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0" hidden="1">1</definedName>
    <definedName name="solver_neg" localSheetId="3" hidden="1">1</definedName>
    <definedName name="solver_nod" localSheetId="3" hidden="1">2147483647</definedName>
    <definedName name="solver_num" localSheetId="0" hidden="1">0</definedName>
    <definedName name="solver_num" localSheetId="3" hidden="1">7</definedName>
    <definedName name="solver_nwt" localSheetId="3" hidden="1">1</definedName>
    <definedName name="solver_opt" localSheetId="0" hidden="1">'Fanduel Export'!$AC$5</definedName>
    <definedName name="solver_opt" localSheetId="3" hidden="1">Solver!$F$207</definedName>
    <definedName name="solver_pre" localSheetId="3" hidden="1">0.000001</definedName>
    <definedName name="solver_rbv" localSheetId="3" hidden="1">2</definedName>
    <definedName name="solver_rel1" localSheetId="3" hidden="1">2</definedName>
    <definedName name="solver_rel2" localSheetId="3" hidden="1">5</definedName>
    <definedName name="solver_rel3" localSheetId="3" hidden="1">1</definedName>
    <definedName name="solver_rel4" localSheetId="3" hidden="1">2</definedName>
    <definedName name="solver_rel5" localSheetId="3" hidden="1">2</definedName>
    <definedName name="solver_rel6" localSheetId="3" hidden="1">2</definedName>
    <definedName name="solver_rel7" localSheetId="3" hidden="1">2</definedName>
    <definedName name="solver_rhs1" localSheetId="3" hidden="1">Solver!$C$205</definedName>
    <definedName name="solver_rhs2" localSheetId="3" hidden="1">"binary"</definedName>
    <definedName name="solver_rhs3" localSheetId="3" hidden="1">Solver!$F$205</definedName>
    <definedName name="solver_rhs4" localSheetId="3" hidden="1">Solver!$L$209</definedName>
    <definedName name="solver_rhs5" localSheetId="3" hidden="1">Solver!$L$210</definedName>
    <definedName name="solver_rhs6" localSheetId="3" hidden="1">Solver!$L$211</definedName>
    <definedName name="solver_rhs7" localSheetId="3" hidden="1">Solver!$L$212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0" hidden="1">1</definedName>
    <definedName name="solver_typ" localSheetId="3" hidden="1">1</definedName>
    <definedName name="solver_val" localSheetId="0" hidden="1">0</definedName>
    <definedName name="solver_val" localSheetId="3" hidden="1">0</definedName>
    <definedName name="solver_ver" localSheetId="0" hidden="1">3</definedName>
    <definedName name="solver_ver" localSheetId="3" hidden="1">2</definedName>
    <definedName name="Team_Offense_Query" localSheetId="22">'CY Offensive Stats Summary'!#REF!</definedName>
  </definedNames>
  <calcPr calcId="191028"/>
  <pivotCaches>
    <pivotCache cacheId="1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2" i="11" l="1"/>
  <c r="B71" i="11"/>
  <c r="B70" i="11"/>
  <c r="B69" i="11"/>
  <c r="B68" i="11"/>
  <c r="B67" i="11"/>
  <c r="J16" i="20"/>
  <c r="J15" i="20"/>
  <c r="J14" i="20"/>
  <c r="J13" i="20"/>
  <c r="B13" i="20" s="1"/>
  <c r="J12" i="20"/>
  <c r="J11" i="20"/>
  <c r="J10" i="20"/>
  <c r="B10" i="20" s="1"/>
  <c r="J9" i="20"/>
  <c r="J8" i="20"/>
  <c r="J7" i="20"/>
  <c r="J6" i="20"/>
  <c r="J5" i="20"/>
  <c r="B5" i="20" s="1"/>
  <c r="J4" i="20"/>
  <c r="B4" i="20" s="1"/>
  <c r="J3" i="20"/>
  <c r="B11" i="20"/>
  <c r="B3" i="20"/>
  <c r="B12" i="20"/>
  <c r="B15" i="20"/>
  <c r="B14" i="20"/>
  <c r="B9" i="20"/>
  <c r="B8" i="20"/>
  <c r="B7" i="20"/>
  <c r="B6" i="20"/>
  <c r="P26" i="20"/>
  <c r="P25" i="20"/>
  <c r="P24" i="20"/>
  <c r="P21" i="20"/>
  <c r="BD5" i="6"/>
  <c r="AJ5" i="6" s="1"/>
  <c r="O26" i="20"/>
  <c r="O25" i="20"/>
  <c r="O24" i="20"/>
  <c r="O21" i="20"/>
  <c r="C234" i="7"/>
  <c r="H205" i="7" s="1"/>
  <c r="E234" i="7"/>
  <c r="M227" i="37"/>
  <c r="N227" i="37"/>
  <c r="Q227" i="37"/>
  <c r="R227" i="37" s="1"/>
  <c r="L227" i="37"/>
  <c r="M228" i="37"/>
  <c r="N228" i="37"/>
  <c r="Q228" i="37"/>
  <c r="R228" i="37" s="1"/>
  <c r="L228" i="37"/>
  <c r="M229" i="37"/>
  <c r="N229" i="37"/>
  <c r="Q229" i="37"/>
  <c r="R229" i="37" s="1"/>
  <c r="L229" i="37"/>
  <c r="M230" i="37"/>
  <c r="N230" i="37"/>
  <c r="Q230" i="37"/>
  <c r="R230" i="37" s="1"/>
  <c r="L230" i="37"/>
  <c r="M231" i="37"/>
  <c r="N231" i="37"/>
  <c r="Q231" i="37"/>
  <c r="R231" i="37" s="1"/>
  <c r="L231" i="37"/>
  <c r="M232" i="37"/>
  <c r="N232" i="37"/>
  <c r="Q232" i="37"/>
  <c r="R232" i="37" s="1"/>
  <c r="L232" i="37"/>
  <c r="M233" i="37"/>
  <c r="N233" i="37"/>
  <c r="Q233" i="37"/>
  <c r="R233" i="37" s="1"/>
  <c r="L233" i="37"/>
  <c r="M234" i="37"/>
  <c r="N234" i="37"/>
  <c r="Q234" i="37"/>
  <c r="R234" i="37" s="1"/>
  <c r="L234" i="37"/>
  <c r="M235" i="37"/>
  <c r="N235" i="37"/>
  <c r="Q235" i="37"/>
  <c r="R235" i="37" s="1"/>
  <c r="L235" i="37"/>
  <c r="F204" i="7"/>
  <c r="G205" i="7"/>
  <c r="F207" i="7"/>
  <c r="BD206" i="6"/>
  <c r="AJ206" i="6" s="1"/>
  <c r="BD205" i="6"/>
  <c r="AJ205" i="6" s="1"/>
  <c r="BD204" i="6"/>
  <c r="AJ204" i="6" s="1"/>
  <c r="BD203" i="6"/>
  <c r="AJ203" i="6" s="1"/>
  <c r="BD202" i="6"/>
  <c r="AJ202" i="6" s="1"/>
  <c r="BD201" i="6"/>
  <c r="AJ201" i="6" s="1"/>
  <c r="BD200" i="6"/>
  <c r="AJ200" i="6" s="1"/>
  <c r="BD199" i="6"/>
  <c r="AJ199" i="6" s="1"/>
  <c r="BD198" i="6"/>
  <c r="AJ198" i="6" s="1"/>
  <c r="BD197" i="6"/>
  <c r="AJ197" i="6" s="1"/>
  <c r="BD196" i="6"/>
  <c r="AJ196" i="6" s="1"/>
  <c r="BD195" i="6"/>
  <c r="AJ195" i="6" s="1"/>
  <c r="BD194" i="6"/>
  <c r="AJ194" i="6" s="1"/>
  <c r="BD193" i="6"/>
  <c r="AJ193" i="6" s="1"/>
  <c r="BD192" i="6"/>
  <c r="AJ192" i="6" s="1"/>
  <c r="BD191" i="6"/>
  <c r="AJ191" i="6" s="1"/>
  <c r="BD190" i="6"/>
  <c r="AJ190" i="6" s="1"/>
  <c r="BD189" i="6"/>
  <c r="AJ189" i="6" s="1"/>
  <c r="BD188" i="6"/>
  <c r="AJ188" i="6" s="1"/>
  <c r="BD187" i="6"/>
  <c r="AJ187" i="6" s="1"/>
  <c r="BD186" i="6"/>
  <c r="AJ186" i="6" s="1"/>
  <c r="BD185" i="6"/>
  <c r="AJ185" i="6" s="1"/>
  <c r="BD184" i="6"/>
  <c r="AJ184" i="6" s="1"/>
  <c r="BD183" i="6"/>
  <c r="AJ183" i="6" s="1"/>
  <c r="BD182" i="6"/>
  <c r="AJ182" i="6" s="1"/>
  <c r="BD181" i="6"/>
  <c r="AJ181" i="6" s="1"/>
  <c r="BD180" i="6"/>
  <c r="AJ180" i="6" s="1"/>
  <c r="BD179" i="6"/>
  <c r="AJ179" i="6" s="1"/>
  <c r="BD178" i="6"/>
  <c r="AJ178" i="6" s="1"/>
  <c r="BD177" i="6"/>
  <c r="AJ177" i="6" s="1"/>
  <c r="BD176" i="6"/>
  <c r="AJ176" i="6" s="1"/>
  <c r="BD175" i="6"/>
  <c r="AJ175" i="6" s="1"/>
  <c r="BD174" i="6"/>
  <c r="AJ174" i="6" s="1"/>
  <c r="BD173" i="6"/>
  <c r="AJ173" i="6" s="1"/>
  <c r="BD172" i="6"/>
  <c r="AJ172" i="6" s="1"/>
  <c r="BD171" i="6"/>
  <c r="AJ171" i="6" s="1"/>
  <c r="BD170" i="6"/>
  <c r="AJ170" i="6" s="1"/>
  <c r="BD169" i="6"/>
  <c r="AJ169" i="6" s="1"/>
  <c r="BD168" i="6"/>
  <c r="AJ168" i="6" s="1"/>
  <c r="BD167" i="6"/>
  <c r="AJ167" i="6" s="1"/>
  <c r="BD166" i="6"/>
  <c r="AJ166" i="6" s="1"/>
  <c r="BD165" i="6"/>
  <c r="AJ165" i="6" s="1"/>
  <c r="BD164" i="6"/>
  <c r="AJ164" i="6" s="1"/>
  <c r="BD163" i="6"/>
  <c r="AJ163" i="6" s="1"/>
  <c r="BD162" i="6"/>
  <c r="AJ162" i="6" s="1"/>
  <c r="BD161" i="6"/>
  <c r="AJ161" i="6" s="1"/>
  <c r="BD160" i="6"/>
  <c r="AJ160" i="6" s="1"/>
  <c r="BD159" i="6"/>
  <c r="AJ159" i="6" s="1"/>
  <c r="BD158" i="6"/>
  <c r="AJ158" i="6" s="1"/>
  <c r="BD157" i="6"/>
  <c r="AJ157" i="6" s="1"/>
  <c r="BD156" i="6"/>
  <c r="AJ156" i="6" s="1"/>
  <c r="BD155" i="6"/>
  <c r="AJ155" i="6" s="1"/>
  <c r="BD154" i="6"/>
  <c r="AJ154" i="6" s="1"/>
  <c r="BD153" i="6"/>
  <c r="AJ153" i="6" s="1"/>
  <c r="BD152" i="6"/>
  <c r="AJ152" i="6" s="1"/>
  <c r="BD151" i="6"/>
  <c r="AJ151" i="6" s="1"/>
  <c r="BD150" i="6"/>
  <c r="AJ150" i="6" s="1"/>
  <c r="BD149" i="6"/>
  <c r="AJ149" i="6" s="1"/>
  <c r="BD148" i="6"/>
  <c r="BD147" i="6"/>
  <c r="AJ147" i="6" s="1"/>
  <c r="BD146" i="6"/>
  <c r="AJ146" i="6" s="1"/>
  <c r="BD145" i="6"/>
  <c r="AJ145" i="6" s="1"/>
  <c r="BD144" i="6"/>
  <c r="AJ144" i="6" s="1"/>
  <c r="BD143" i="6"/>
  <c r="AJ143" i="6" s="1"/>
  <c r="BD142" i="6"/>
  <c r="AJ142" i="6" s="1"/>
  <c r="BD141" i="6"/>
  <c r="AJ141" i="6" s="1"/>
  <c r="BD140" i="6"/>
  <c r="AJ140" i="6" s="1"/>
  <c r="BD139" i="6"/>
  <c r="AJ139" i="6" s="1"/>
  <c r="BD138" i="6"/>
  <c r="AJ138" i="6" s="1"/>
  <c r="BD137" i="6"/>
  <c r="AJ137" i="6" s="1"/>
  <c r="BD136" i="6"/>
  <c r="AJ136" i="6" s="1"/>
  <c r="BD135" i="6"/>
  <c r="AJ135" i="6" s="1"/>
  <c r="BD134" i="6"/>
  <c r="AJ134" i="6" s="1"/>
  <c r="BD133" i="6"/>
  <c r="AJ133" i="6" s="1"/>
  <c r="BD132" i="6"/>
  <c r="AJ132" i="6" s="1"/>
  <c r="BD131" i="6"/>
  <c r="AJ131" i="6" s="1"/>
  <c r="BD130" i="6"/>
  <c r="AJ130" i="6" s="1"/>
  <c r="BD129" i="6"/>
  <c r="AJ129" i="6" s="1"/>
  <c r="BD128" i="6"/>
  <c r="AJ128" i="6" s="1"/>
  <c r="BD127" i="6"/>
  <c r="AJ127" i="6" s="1"/>
  <c r="BD126" i="6"/>
  <c r="AJ126" i="6" s="1"/>
  <c r="BD125" i="6"/>
  <c r="AJ125" i="6" s="1"/>
  <c r="BD124" i="6"/>
  <c r="AJ124" i="6" s="1"/>
  <c r="BD123" i="6"/>
  <c r="AJ123" i="6" s="1"/>
  <c r="BD122" i="6"/>
  <c r="AJ122" i="6" s="1"/>
  <c r="BD121" i="6"/>
  <c r="AJ121" i="6" s="1"/>
  <c r="BD120" i="6"/>
  <c r="AJ120" i="6" s="1"/>
  <c r="BD119" i="6"/>
  <c r="AJ119" i="6" s="1"/>
  <c r="BD118" i="6"/>
  <c r="AJ118" i="6" s="1"/>
  <c r="BD117" i="6"/>
  <c r="AJ117" i="6" s="1"/>
  <c r="BD116" i="6"/>
  <c r="AJ116" i="6" s="1"/>
  <c r="BD115" i="6"/>
  <c r="AJ115" i="6" s="1"/>
  <c r="BD114" i="6"/>
  <c r="AJ114" i="6" s="1"/>
  <c r="BD113" i="6"/>
  <c r="AJ113" i="6" s="1"/>
  <c r="BD112" i="6"/>
  <c r="AJ112" i="6" s="1"/>
  <c r="BD111" i="6"/>
  <c r="AJ111" i="6" s="1"/>
  <c r="BD110" i="6"/>
  <c r="AJ110" i="6" s="1"/>
  <c r="BD109" i="6"/>
  <c r="AJ109" i="6" s="1"/>
  <c r="BD108" i="6"/>
  <c r="AJ108" i="6" s="1"/>
  <c r="BD107" i="6"/>
  <c r="AJ107" i="6" s="1"/>
  <c r="BD106" i="6"/>
  <c r="AJ106" i="6" s="1"/>
  <c r="BD105" i="6"/>
  <c r="AJ105" i="6" s="1"/>
  <c r="BD104" i="6"/>
  <c r="AJ104" i="6" s="1"/>
  <c r="BD103" i="6"/>
  <c r="AJ103" i="6" s="1"/>
  <c r="BD102" i="6"/>
  <c r="AJ102" i="6" s="1"/>
  <c r="BD101" i="6"/>
  <c r="AJ101" i="6" s="1"/>
  <c r="BD100" i="6"/>
  <c r="AJ100" i="6" s="1"/>
  <c r="BD99" i="6"/>
  <c r="AJ99" i="6" s="1"/>
  <c r="BD98" i="6"/>
  <c r="AJ98" i="6" s="1"/>
  <c r="BD97" i="6"/>
  <c r="AJ97" i="6" s="1"/>
  <c r="BD96" i="6"/>
  <c r="AJ96" i="6" s="1"/>
  <c r="BD95" i="6"/>
  <c r="AJ95" i="6" s="1"/>
  <c r="BD94" i="6"/>
  <c r="AJ94" i="6" s="1"/>
  <c r="BD93" i="6"/>
  <c r="AJ93" i="6" s="1"/>
  <c r="BD92" i="6"/>
  <c r="AJ92" i="6" s="1"/>
  <c r="BD91" i="6"/>
  <c r="AJ91" i="6" s="1"/>
  <c r="BD90" i="6"/>
  <c r="AJ90" i="6" s="1"/>
  <c r="BD89" i="6"/>
  <c r="AJ89" i="6" s="1"/>
  <c r="BD88" i="6"/>
  <c r="AJ88" i="6" s="1"/>
  <c r="BD87" i="6"/>
  <c r="AJ87" i="6" s="1"/>
  <c r="BD86" i="6"/>
  <c r="AJ86" i="6" s="1"/>
  <c r="BD85" i="6"/>
  <c r="AJ85" i="6" s="1"/>
  <c r="BD84" i="6"/>
  <c r="AJ84" i="6" s="1"/>
  <c r="BD83" i="6"/>
  <c r="AJ83" i="6" s="1"/>
  <c r="BD82" i="6"/>
  <c r="AJ82" i="6" s="1"/>
  <c r="BD81" i="6"/>
  <c r="AJ81" i="6" s="1"/>
  <c r="BD80" i="6"/>
  <c r="AJ80" i="6" s="1"/>
  <c r="BD79" i="6"/>
  <c r="AJ79" i="6" s="1"/>
  <c r="BD78" i="6"/>
  <c r="AJ78" i="6" s="1"/>
  <c r="BD77" i="6"/>
  <c r="AJ77" i="6" s="1"/>
  <c r="BD76" i="6"/>
  <c r="AJ76" i="6" s="1"/>
  <c r="BD75" i="6"/>
  <c r="AJ75" i="6" s="1"/>
  <c r="BD74" i="6"/>
  <c r="AJ74" i="6" s="1"/>
  <c r="BD73" i="6"/>
  <c r="AJ73" i="6" s="1"/>
  <c r="BD72" i="6"/>
  <c r="AJ72" i="6" s="1"/>
  <c r="BD71" i="6"/>
  <c r="AJ71" i="6" s="1"/>
  <c r="BD70" i="6"/>
  <c r="AJ70" i="6" s="1"/>
  <c r="BD69" i="6"/>
  <c r="AJ69" i="6" s="1"/>
  <c r="BD68" i="6"/>
  <c r="AJ68" i="6" s="1"/>
  <c r="BD67" i="6"/>
  <c r="AJ67" i="6" s="1"/>
  <c r="BD66" i="6"/>
  <c r="AJ66" i="6" s="1"/>
  <c r="BD65" i="6"/>
  <c r="AJ65" i="6" s="1"/>
  <c r="BD64" i="6"/>
  <c r="AJ64" i="6" s="1"/>
  <c r="BD63" i="6"/>
  <c r="AJ63" i="6" s="1"/>
  <c r="BD62" i="6"/>
  <c r="AJ62" i="6" s="1"/>
  <c r="BD61" i="6"/>
  <c r="AJ61" i="6" s="1"/>
  <c r="BD60" i="6"/>
  <c r="AJ60" i="6" s="1"/>
  <c r="BD59" i="6"/>
  <c r="AJ59" i="6" s="1"/>
  <c r="BD58" i="6"/>
  <c r="AJ58" i="6" s="1"/>
  <c r="BD57" i="6"/>
  <c r="AJ57" i="6" s="1"/>
  <c r="BD56" i="6"/>
  <c r="AJ56" i="6" s="1"/>
  <c r="BD55" i="6"/>
  <c r="AJ55" i="6" s="1"/>
  <c r="BD54" i="6"/>
  <c r="AJ54" i="6" s="1"/>
  <c r="BD53" i="6"/>
  <c r="AJ53" i="6" s="1"/>
  <c r="BD52" i="6"/>
  <c r="AJ52" i="6" s="1"/>
  <c r="BD51" i="6"/>
  <c r="AJ51" i="6" s="1"/>
  <c r="BD50" i="6"/>
  <c r="AJ50" i="6" s="1"/>
  <c r="BD49" i="6"/>
  <c r="AJ49" i="6" s="1"/>
  <c r="BD48" i="6"/>
  <c r="AJ48" i="6" s="1"/>
  <c r="BD47" i="6"/>
  <c r="AJ47" i="6" s="1"/>
  <c r="BD46" i="6"/>
  <c r="AJ46" i="6" s="1"/>
  <c r="BD45" i="6"/>
  <c r="AJ45" i="6" s="1"/>
  <c r="BD44" i="6"/>
  <c r="AJ44" i="6" s="1"/>
  <c r="BD43" i="6"/>
  <c r="AJ43" i="6" s="1"/>
  <c r="BD42" i="6"/>
  <c r="AJ42" i="6" s="1"/>
  <c r="BD41" i="6"/>
  <c r="AJ41" i="6" s="1"/>
  <c r="BD40" i="6"/>
  <c r="AJ40" i="6" s="1"/>
  <c r="BD39" i="6"/>
  <c r="AJ39" i="6" s="1"/>
  <c r="BD38" i="6"/>
  <c r="AJ38" i="6" s="1"/>
  <c r="BD37" i="6"/>
  <c r="AJ37" i="6" s="1"/>
  <c r="BD36" i="6"/>
  <c r="AJ36" i="6" s="1"/>
  <c r="BD35" i="6"/>
  <c r="AJ35" i="6" s="1"/>
  <c r="BD34" i="6"/>
  <c r="AJ34" i="6" s="1"/>
  <c r="BD33" i="6"/>
  <c r="AJ33" i="6" s="1"/>
  <c r="BD32" i="6"/>
  <c r="AJ32" i="6" s="1"/>
  <c r="BD31" i="6"/>
  <c r="AJ31" i="6" s="1"/>
  <c r="BD30" i="6"/>
  <c r="AJ30" i="6" s="1"/>
  <c r="BD29" i="6"/>
  <c r="AJ29" i="6" s="1"/>
  <c r="BD28" i="6"/>
  <c r="AJ28" i="6" s="1"/>
  <c r="BD27" i="6"/>
  <c r="AJ27" i="6" s="1"/>
  <c r="BD26" i="6"/>
  <c r="AJ26" i="6" s="1"/>
  <c r="BD25" i="6"/>
  <c r="AJ25" i="6" s="1"/>
  <c r="BD24" i="6"/>
  <c r="AJ24" i="6" s="1"/>
  <c r="BD23" i="6"/>
  <c r="AJ23" i="6" s="1"/>
  <c r="BD22" i="6"/>
  <c r="AJ22" i="6" s="1"/>
  <c r="BD21" i="6"/>
  <c r="AJ21" i="6" s="1"/>
  <c r="BD20" i="6"/>
  <c r="AJ20" i="6" s="1"/>
  <c r="BD19" i="6"/>
  <c r="AJ19" i="6" s="1"/>
  <c r="BD18" i="6"/>
  <c r="AJ18" i="6" s="1"/>
  <c r="BD17" i="6"/>
  <c r="AJ17" i="6" s="1"/>
  <c r="BD16" i="6"/>
  <c r="AJ16" i="6" s="1"/>
  <c r="BD15" i="6"/>
  <c r="AJ15" i="6" s="1"/>
  <c r="BD14" i="6"/>
  <c r="AJ14" i="6" s="1"/>
  <c r="BD13" i="6"/>
  <c r="AJ13" i="6" s="1"/>
  <c r="BD12" i="6"/>
  <c r="AJ12" i="6" s="1"/>
  <c r="BD11" i="6"/>
  <c r="AJ11" i="6" s="1"/>
  <c r="BD10" i="6"/>
  <c r="AJ10" i="6" s="1"/>
  <c r="BD9" i="6"/>
  <c r="AJ9" i="6" s="1"/>
  <c r="BD8" i="6"/>
  <c r="AJ8" i="6" s="1"/>
  <c r="BD7" i="6"/>
  <c r="AJ7" i="6" s="1"/>
  <c r="BD6" i="6"/>
  <c r="AJ6" i="6" s="1"/>
  <c r="P8" i="20"/>
  <c r="I25" i="20"/>
  <c r="I24" i="20"/>
  <c r="I21" i="20"/>
  <c r="O5" i="6"/>
  <c r="P5" i="6" s="1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F26" i="20"/>
  <c r="F25" i="20"/>
  <c r="F24" i="20"/>
  <c r="F22" i="20"/>
  <c r="F21" i="20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" i="7"/>
  <c r="L2" i="37"/>
  <c r="M197" i="37"/>
  <c r="O197" i="37" s="1"/>
  <c r="N197" i="37"/>
  <c r="P197" i="37" s="1"/>
  <c r="Q197" i="37"/>
  <c r="R197" i="37" s="1"/>
  <c r="L197" i="37"/>
  <c r="M198" i="37"/>
  <c r="O198" i="37" s="1"/>
  <c r="N198" i="37"/>
  <c r="P198" i="37" s="1"/>
  <c r="Q198" i="37"/>
  <c r="R198" i="37" s="1"/>
  <c r="L198" i="37"/>
  <c r="M199" i="37"/>
  <c r="O199" i="37" s="1"/>
  <c r="N199" i="37"/>
  <c r="P199" i="37" s="1"/>
  <c r="Q199" i="37"/>
  <c r="R199" i="37" s="1"/>
  <c r="L199" i="37"/>
  <c r="M200" i="37"/>
  <c r="O200" i="37" s="1"/>
  <c r="N200" i="37"/>
  <c r="P200" i="37" s="1"/>
  <c r="Q200" i="37"/>
  <c r="R200" i="37" s="1"/>
  <c r="L200" i="37"/>
  <c r="M201" i="37"/>
  <c r="O201" i="37" s="1"/>
  <c r="N201" i="37"/>
  <c r="P201" i="37" s="1"/>
  <c r="Q201" i="37"/>
  <c r="R201" i="37" s="1"/>
  <c r="L201" i="37"/>
  <c r="M202" i="37"/>
  <c r="O202" i="37" s="1"/>
  <c r="N202" i="37"/>
  <c r="P202" i="37" s="1"/>
  <c r="Q202" i="37"/>
  <c r="R202" i="37" s="1"/>
  <c r="L202" i="37"/>
  <c r="M203" i="37"/>
  <c r="O203" i="37" s="1"/>
  <c r="N203" i="37"/>
  <c r="P203" i="37" s="1"/>
  <c r="Q203" i="37"/>
  <c r="R203" i="37" s="1"/>
  <c r="L203" i="37"/>
  <c r="M204" i="37"/>
  <c r="O204" i="37" s="1"/>
  <c r="N204" i="37"/>
  <c r="P204" i="37" s="1"/>
  <c r="Q204" i="37"/>
  <c r="R204" i="37" s="1"/>
  <c r="L204" i="37"/>
  <c r="M205" i="37"/>
  <c r="O205" i="37" s="1"/>
  <c r="N205" i="37"/>
  <c r="P205" i="37" s="1"/>
  <c r="Q205" i="37"/>
  <c r="R205" i="37" s="1"/>
  <c r="L205" i="37"/>
  <c r="M206" i="37"/>
  <c r="O206" i="37" s="1"/>
  <c r="N206" i="37"/>
  <c r="P206" i="37" s="1"/>
  <c r="Q206" i="37"/>
  <c r="R206" i="37" s="1"/>
  <c r="L206" i="37"/>
  <c r="M207" i="37"/>
  <c r="O207" i="37" s="1"/>
  <c r="N207" i="37"/>
  <c r="P207" i="37" s="1"/>
  <c r="Q207" i="37"/>
  <c r="R207" i="37" s="1"/>
  <c r="L207" i="37"/>
  <c r="M208" i="37"/>
  <c r="O208" i="37" s="1"/>
  <c r="N208" i="37"/>
  <c r="P208" i="37" s="1"/>
  <c r="Q208" i="37"/>
  <c r="R208" i="37" s="1"/>
  <c r="L208" i="37"/>
  <c r="M209" i="37"/>
  <c r="O209" i="37" s="1"/>
  <c r="N209" i="37"/>
  <c r="P209" i="37" s="1"/>
  <c r="Q209" i="37"/>
  <c r="R209" i="37" s="1"/>
  <c r="L209" i="37"/>
  <c r="M210" i="37"/>
  <c r="O210" i="37" s="1"/>
  <c r="N210" i="37"/>
  <c r="P210" i="37" s="1"/>
  <c r="Q210" i="37"/>
  <c r="R210" i="37" s="1"/>
  <c r="L210" i="37"/>
  <c r="M211" i="37"/>
  <c r="O211" i="37" s="1"/>
  <c r="N211" i="37"/>
  <c r="P211" i="37" s="1"/>
  <c r="Q211" i="37"/>
  <c r="R211" i="37" s="1"/>
  <c r="L211" i="37"/>
  <c r="M212" i="37"/>
  <c r="O212" i="37" s="1"/>
  <c r="N212" i="37"/>
  <c r="P212" i="37" s="1"/>
  <c r="Q212" i="37"/>
  <c r="R212" i="37" s="1"/>
  <c r="L212" i="37"/>
  <c r="M213" i="37"/>
  <c r="O213" i="37" s="1"/>
  <c r="N213" i="37"/>
  <c r="P213" i="37" s="1"/>
  <c r="Q213" i="37"/>
  <c r="R213" i="37" s="1"/>
  <c r="L213" i="37"/>
  <c r="M214" i="37"/>
  <c r="O214" i="37" s="1"/>
  <c r="N214" i="37"/>
  <c r="P214" i="37" s="1"/>
  <c r="Q214" i="37"/>
  <c r="R214" i="37" s="1"/>
  <c r="L214" i="37"/>
  <c r="M215" i="37"/>
  <c r="O215" i="37" s="1"/>
  <c r="N215" i="37"/>
  <c r="P215" i="37" s="1"/>
  <c r="Q215" i="37"/>
  <c r="R215" i="37" s="1"/>
  <c r="L215" i="37"/>
  <c r="M216" i="37"/>
  <c r="O216" i="37" s="1"/>
  <c r="N216" i="37"/>
  <c r="P216" i="37" s="1"/>
  <c r="Q216" i="37"/>
  <c r="R216" i="37" s="1"/>
  <c r="L216" i="37"/>
  <c r="M217" i="37"/>
  <c r="O217" i="37" s="1"/>
  <c r="N217" i="37"/>
  <c r="P217" i="37" s="1"/>
  <c r="Q217" i="37"/>
  <c r="R217" i="37" s="1"/>
  <c r="L217" i="37"/>
  <c r="M218" i="37"/>
  <c r="O218" i="37" s="1"/>
  <c r="N218" i="37"/>
  <c r="P218" i="37" s="1"/>
  <c r="Q218" i="37"/>
  <c r="R218" i="37" s="1"/>
  <c r="L218" i="37"/>
  <c r="M219" i="37"/>
  <c r="O219" i="37" s="1"/>
  <c r="N219" i="37"/>
  <c r="P219" i="37" s="1"/>
  <c r="Q219" i="37"/>
  <c r="R219" i="37" s="1"/>
  <c r="L219" i="37"/>
  <c r="M220" i="37"/>
  <c r="O220" i="37" s="1"/>
  <c r="N220" i="37"/>
  <c r="P220" i="37" s="1"/>
  <c r="Q220" i="37"/>
  <c r="R220" i="37" s="1"/>
  <c r="L220" i="37"/>
  <c r="M221" i="37"/>
  <c r="O221" i="37" s="1"/>
  <c r="N221" i="37"/>
  <c r="P221" i="37" s="1"/>
  <c r="Q221" i="37"/>
  <c r="R221" i="37" s="1"/>
  <c r="L221" i="37"/>
  <c r="M222" i="37"/>
  <c r="O222" i="37" s="1"/>
  <c r="N222" i="37"/>
  <c r="P222" i="37" s="1"/>
  <c r="Q222" i="37"/>
  <c r="R222" i="37" s="1"/>
  <c r="L222" i="37"/>
  <c r="M223" i="37"/>
  <c r="O223" i="37" s="1"/>
  <c r="N223" i="37"/>
  <c r="P223" i="37" s="1"/>
  <c r="Q223" i="37"/>
  <c r="R223" i="37" s="1"/>
  <c r="L223" i="37"/>
  <c r="M224" i="37"/>
  <c r="O224" i="37" s="1"/>
  <c r="N224" i="37"/>
  <c r="P224" i="37" s="1"/>
  <c r="Q224" i="37"/>
  <c r="R224" i="37" s="1"/>
  <c r="L224" i="37"/>
  <c r="M225" i="37"/>
  <c r="O225" i="37" s="1"/>
  <c r="N225" i="37"/>
  <c r="P225" i="37" s="1"/>
  <c r="Q225" i="37"/>
  <c r="R225" i="37" s="1"/>
  <c r="L225" i="37"/>
  <c r="M226" i="37"/>
  <c r="O226" i="37" s="1"/>
  <c r="N226" i="37"/>
  <c r="P226" i="37" s="1"/>
  <c r="Q226" i="37"/>
  <c r="R226" i="37" s="1"/>
  <c r="L226" i="37"/>
  <c r="E26" i="20"/>
  <c r="E25" i="20"/>
  <c r="E24" i="20"/>
  <c r="E22" i="20"/>
  <c r="E21" i="20"/>
  <c r="D26" i="20"/>
  <c r="D25" i="20"/>
  <c r="D24" i="20"/>
  <c r="D22" i="20"/>
  <c r="D21" i="20"/>
  <c r="O2" i="35"/>
  <c r="P2" i="35" s="1"/>
  <c r="AI30" i="43"/>
  <c r="AJ30" i="43" s="1"/>
  <c r="AI28" i="43"/>
  <c r="AJ28" i="43" s="1"/>
  <c r="AI25" i="43"/>
  <c r="AJ25" i="43" s="1"/>
  <c r="AI22" i="43"/>
  <c r="AJ22" i="43" s="1"/>
  <c r="AI20" i="43"/>
  <c r="AJ20" i="43" s="1"/>
  <c r="AI17" i="43"/>
  <c r="AJ17" i="43" s="1"/>
  <c r="AI14" i="43"/>
  <c r="AJ14" i="43" s="1"/>
  <c r="AI12" i="43"/>
  <c r="AJ12" i="43" s="1"/>
  <c r="AI9" i="43"/>
  <c r="AJ9" i="43" s="1"/>
  <c r="AI4" i="43"/>
  <c r="AJ4" i="43" s="1"/>
  <c r="AI2" i="32"/>
  <c r="AH33" i="43"/>
  <c r="AH32" i="43"/>
  <c r="AH31" i="43"/>
  <c r="AH30" i="43"/>
  <c r="AH29" i="43"/>
  <c r="AH28" i="43"/>
  <c r="AH27" i="43"/>
  <c r="AH26" i="43"/>
  <c r="AH25" i="43"/>
  <c r="AH24" i="43"/>
  <c r="AH23" i="43"/>
  <c r="AH22" i="43"/>
  <c r="AH21" i="43"/>
  <c r="AH20" i="43"/>
  <c r="AH19" i="43"/>
  <c r="AH18" i="43"/>
  <c r="AH17" i="43"/>
  <c r="AH16" i="43"/>
  <c r="AH15" i="43"/>
  <c r="AH14" i="43"/>
  <c r="AH13" i="43"/>
  <c r="AH12" i="43"/>
  <c r="AH11" i="43"/>
  <c r="AH10" i="43"/>
  <c r="AH9" i="43"/>
  <c r="AH8" i="43"/>
  <c r="AH7" i="43"/>
  <c r="AH6" i="43"/>
  <c r="AH5" i="43"/>
  <c r="AH4" i="43"/>
  <c r="AH3" i="43"/>
  <c r="AH2" i="43"/>
  <c r="AH34" i="43" s="1"/>
  <c r="AG33" i="43"/>
  <c r="AI33" i="43" s="1"/>
  <c r="AJ33" i="43" s="1"/>
  <c r="AG32" i="43"/>
  <c r="AI32" i="43" s="1"/>
  <c r="AJ32" i="43" s="1"/>
  <c r="AG31" i="43"/>
  <c r="AI31" i="43" s="1"/>
  <c r="AJ31" i="43" s="1"/>
  <c r="AG30" i="43"/>
  <c r="AG29" i="43"/>
  <c r="AI29" i="43" s="1"/>
  <c r="AJ29" i="43" s="1"/>
  <c r="AG28" i="43"/>
  <c r="AG27" i="43"/>
  <c r="AI27" i="43" s="1"/>
  <c r="AJ27" i="43" s="1"/>
  <c r="AG26" i="43"/>
  <c r="AI26" i="43" s="1"/>
  <c r="AJ26" i="43" s="1"/>
  <c r="AG25" i="43"/>
  <c r="AG24" i="43"/>
  <c r="AI24" i="43" s="1"/>
  <c r="AJ24" i="43" s="1"/>
  <c r="AG23" i="43"/>
  <c r="AI23" i="43" s="1"/>
  <c r="AJ23" i="43" s="1"/>
  <c r="AG22" i="43"/>
  <c r="AG21" i="43"/>
  <c r="AI21" i="43" s="1"/>
  <c r="AJ21" i="43" s="1"/>
  <c r="AG20" i="43"/>
  <c r="AG19" i="43"/>
  <c r="AI19" i="43" s="1"/>
  <c r="AJ19" i="43" s="1"/>
  <c r="AG18" i="43"/>
  <c r="AI18" i="43" s="1"/>
  <c r="AJ18" i="43" s="1"/>
  <c r="AG17" i="43"/>
  <c r="AG16" i="43"/>
  <c r="AI16" i="43" s="1"/>
  <c r="AJ16" i="43" s="1"/>
  <c r="AG15" i="43"/>
  <c r="AI15" i="43" s="1"/>
  <c r="AJ15" i="43" s="1"/>
  <c r="AG14" i="43"/>
  <c r="AG13" i="43"/>
  <c r="AI13" i="43" s="1"/>
  <c r="AJ13" i="43" s="1"/>
  <c r="AG12" i="43"/>
  <c r="AG11" i="43"/>
  <c r="AI11" i="43" s="1"/>
  <c r="AJ11" i="43" s="1"/>
  <c r="AG10" i="43"/>
  <c r="AI10" i="43" s="1"/>
  <c r="AJ10" i="43" s="1"/>
  <c r="AG9" i="43"/>
  <c r="AG8" i="43"/>
  <c r="AI8" i="43" s="1"/>
  <c r="AJ8" i="43" s="1"/>
  <c r="AG7" i="43"/>
  <c r="AI7" i="43" s="1"/>
  <c r="AJ7" i="43" s="1"/>
  <c r="AG6" i="43"/>
  <c r="AI6" i="43" s="1"/>
  <c r="AJ6" i="43" s="1"/>
  <c r="AG5" i="43"/>
  <c r="AI5" i="43" s="1"/>
  <c r="AJ5" i="43" s="1"/>
  <c r="AG4" i="43"/>
  <c r="AG3" i="43"/>
  <c r="AI3" i="43" s="1"/>
  <c r="AJ3" i="43" s="1"/>
  <c r="AG2" i="43"/>
  <c r="AI2" i="43" s="1"/>
  <c r="AF33" i="43"/>
  <c r="AF32" i="43"/>
  <c r="AF31" i="43"/>
  <c r="AF30" i="43"/>
  <c r="AF29" i="43"/>
  <c r="AF28" i="43"/>
  <c r="AF27" i="43"/>
  <c r="AF26" i="43"/>
  <c r="AF25" i="43"/>
  <c r="AF24" i="43"/>
  <c r="AF23" i="43"/>
  <c r="AF22" i="43"/>
  <c r="AF21" i="43"/>
  <c r="AF20" i="43"/>
  <c r="AF19" i="43"/>
  <c r="AF18" i="43"/>
  <c r="AF17" i="43"/>
  <c r="AF16" i="43"/>
  <c r="AF15" i="43"/>
  <c r="AF14" i="43"/>
  <c r="AF13" i="43"/>
  <c r="AF12" i="43"/>
  <c r="AF11" i="43"/>
  <c r="AF10" i="43"/>
  <c r="AF9" i="43"/>
  <c r="AF8" i="43"/>
  <c r="AF7" i="43"/>
  <c r="AF6" i="43"/>
  <c r="AF5" i="43"/>
  <c r="AF4" i="43"/>
  <c r="AF3" i="43"/>
  <c r="AF2" i="43"/>
  <c r="AF34" i="43" s="1"/>
  <c r="AE33" i="43"/>
  <c r="AE32" i="43"/>
  <c r="AE31" i="43"/>
  <c r="AE30" i="43"/>
  <c r="AE29" i="43"/>
  <c r="AE28" i="43"/>
  <c r="AE27" i="43"/>
  <c r="AE26" i="43"/>
  <c r="AE25" i="43"/>
  <c r="AE24" i="43"/>
  <c r="AE23" i="43"/>
  <c r="AE22" i="43"/>
  <c r="AE21" i="43"/>
  <c r="AE20" i="43"/>
  <c r="AE19" i="43"/>
  <c r="AE18" i="43"/>
  <c r="AE17" i="43"/>
  <c r="AE16" i="43"/>
  <c r="AE15" i="43"/>
  <c r="AE14" i="43"/>
  <c r="AE13" i="43"/>
  <c r="AE12" i="43"/>
  <c r="AE11" i="43"/>
  <c r="AE10" i="43"/>
  <c r="AE9" i="43"/>
  <c r="AE8" i="43"/>
  <c r="AE7" i="43"/>
  <c r="AE6" i="43"/>
  <c r="AE5" i="43"/>
  <c r="AE4" i="43"/>
  <c r="AE3" i="43"/>
  <c r="AE34" i="43" s="1"/>
  <c r="AE2" i="43"/>
  <c r="AD33" i="43"/>
  <c r="AD32" i="43"/>
  <c r="AD31" i="43"/>
  <c r="AD30" i="43"/>
  <c r="AD29" i="43"/>
  <c r="AD28" i="43"/>
  <c r="AD27" i="43"/>
  <c r="AD26" i="43"/>
  <c r="AD25" i="43"/>
  <c r="AD24" i="43"/>
  <c r="AD23" i="43"/>
  <c r="AD22" i="43"/>
  <c r="AD21" i="43"/>
  <c r="AD20" i="43"/>
  <c r="AD19" i="43"/>
  <c r="AD18" i="43"/>
  <c r="AD17" i="43"/>
  <c r="AD16" i="43"/>
  <c r="AD15" i="43"/>
  <c r="AD14" i="43"/>
  <c r="AD13" i="43"/>
  <c r="AD12" i="43"/>
  <c r="AD11" i="43"/>
  <c r="AD10" i="43"/>
  <c r="AD9" i="43"/>
  <c r="AD8" i="43"/>
  <c r="AD7" i="43"/>
  <c r="AD6" i="43"/>
  <c r="AD5" i="43"/>
  <c r="AD4" i="43"/>
  <c r="AD3" i="43"/>
  <c r="AD2" i="43"/>
  <c r="AD34" i="43" s="1"/>
  <c r="AC33" i="43"/>
  <c r="AC32" i="43"/>
  <c r="AC31" i="43"/>
  <c r="AC30" i="43"/>
  <c r="AC29" i="43"/>
  <c r="AC28" i="43"/>
  <c r="AC27" i="43"/>
  <c r="AC26" i="43"/>
  <c r="AC25" i="43"/>
  <c r="AC24" i="43"/>
  <c r="AC23" i="43"/>
  <c r="AC22" i="43"/>
  <c r="AC21" i="43"/>
  <c r="AC20" i="43"/>
  <c r="AC19" i="43"/>
  <c r="AC18" i="43"/>
  <c r="AC17" i="43"/>
  <c r="AC16" i="43"/>
  <c r="AC15" i="43"/>
  <c r="AC14" i="43"/>
  <c r="AC13" i="43"/>
  <c r="AC12" i="43"/>
  <c r="AC11" i="43"/>
  <c r="AC10" i="43"/>
  <c r="AC9" i="43"/>
  <c r="AC8" i="43"/>
  <c r="AC7" i="43"/>
  <c r="AC6" i="43"/>
  <c r="AC5" i="43"/>
  <c r="AC4" i="43"/>
  <c r="AC3" i="43"/>
  <c r="AC2" i="43"/>
  <c r="AH33" i="44"/>
  <c r="AH32" i="44"/>
  <c r="AH31" i="44"/>
  <c r="AH30" i="44"/>
  <c r="AH29" i="44"/>
  <c r="AH28" i="44"/>
  <c r="AH27" i="44"/>
  <c r="AH26" i="44"/>
  <c r="AH25" i="44"/>
  <c r="AH24" i="44"/>
  <c r="AH23" i="44"/>
  <c r="AH22" i="44"/>
  <c r="AH21" i="44"/>
  <c r="AH20" i="44"/>
  <c r="AH19" i="44"/>
  <c r="AH18" i="44"/>
  <c r="AH17" i="44"/>
  <c r="AH16" i="44"/>
  <c r="AH15" i="44"/>
  <c r="AH14" i="44"/>
  <c r="AH13" i="44"/>
  <c r="AH12" i="44"/>
  <c r="AH11" i="44"/>
  <c r="AH10" i="44"/>
  <c r="AH9" i="44"/>
  <c r="AH8" i="44"/>
  <c r="AH7" i="44"/>
  <c r="AH6" i="44"/>
  <c r="AH5" i="44"/>
  <c r="AH4" i="44"/>
  <c r="AH3" i="44"/>
  <c r="AH2" i="44"/>
  <c r="AH34" i="44" s="1"/>
  <c r="AG33" i="44"/>
  <c r="AG32" i="44"/>
  <c r="AG31" i="44"/>
  <c r="AG30" i="44"/>
  <c r="AG29" i="44"/>
  <c r="AG28" i="44"/>
  <c r="AG27" i="44"/>
  <c r="AG26" i="44"/>
  <c r="AG25" i="44"/>
  <c r="AG24" i="44"/>
  <c r="AG23" i="44"/>
  <c r="AG22" i="44"/>
  <c r="AG21" i="44"/>
  <c r="AG20" i="44"/>
  <c r="AG19" i="44"/>
  <c r="AG18" i="44"/>
  <c r="AG17" i="44"/>
  <c r="AG16" i="44"/>
  <c r="AG15" i="44"/>
  <c r="AG14" i="44"/>
  <c r="AG13" i="44"/>
  <c r="AG12" i="44"/>
  <c r="AG11" i="44"/>
  <c r="AG10" i="44"/>
  <c r="AG9" i="44"/>
  <c r="AG8" i="44"/>
  <c r="AG7" i="44"/>
  <c r="AG6" i="44"/>
  <c r="AG5" i="44"/>
  <c r="AG4" i="44"/>
  <c r="AG3" i="44"/>
  <c r="AG2" i="44"/>
  <c r="AF33" i="44"/>
  <c r="AF32" i="44"/>
  <c r="AF31" i="44"/>
  <c r="AF30" i="44"/>
  <c r="AF29" i="44"/>
  <c r="AF28" i="44"/>
  <c r="AF27" i="44"/>
  <c r="AF26" i="44"/>
  <c r="AF25" i="44"/>
  <c r="AF24" i="44"/>
  <c r="AF23" i="44"/>
  <c r="AF22" i="44"/>
  <c r="AF21" i="44"/>
  <c r="AF20" i="44"/>
  <c r="AF19" i="44"/>
  <c r="AF18" i="44"/>
  <c r="AF17" i="44"/>
  <c r="AF16" i="44"/>
  <c r="AF15" i="44"/>
  <c r="AF14" i="44"/>
  <c r="AF13" i="44"/>
  <c r="AF12" i="44"/>
  <c r="AF11" i="44"/>
  <c r="AF10" i="44"/>
  <c r="AF9" i="44"/>
  <c r="AF8" i="44"/>
  <c r="AF7" i="44"/>
  <c r="AF6" i="44"/>
  <c r="AF5" i="44"/>
  <c r="AF4" i="44"/>
  <c r="AF3" i="44"/>
  <c r="AF2" i="44"/>
  <c r="AE33" i="44"/>
  <c r="AE32" i="44"/>
  <c r="AE31" i="44"/>
  <c r="AE30" i="44"/>
  <c r="AE29" i="44"/>
  <c r="AE28" i="44"/>
  <c r="AE27" i="44"/>
  <c r="AE26" i="44"/>
  <c r="AE25" i="44"/>
  <c r="AE24" i="44"/>
  <c r="AE23" i="44"/>
  <c r="AE22" i="44"/>
  <c r="AE21" i="44"/>
  <c r="AE20" i="44"/>
  <c r="AE19" i="44"/>
  <c r="AE18" i="44"/>
  <c r="AE17" i="44"/>
  <c r="AE16" i="44"/>
  <c r="AE15" i="44"/>
  <c r="AE14" i="44"/>
  <c r="AE13" i="44"/>
  <c r="AE12" i="44"/>
  <c r="AE11" i="44"/>
  <c r="AE10" i="44"/>
  <c r="AE9" i="44"/>
  <c r="AE8" i="44"/>
  <c r="AE7" i="44"/>
  <c r="AE6" i="44"/>
  <c r="AE5" i="44"/>
  <c r="AE4" i="44"/>
  <c r="AE3" i="44"/>
  <c r="AE2" i="44"/>
  <c r="AD33" i="44"/>
  <c r="AD32" i="44"/>
  <c r="AD31" i="44"/>
  <c r="AD30" i="44"/>
  <c r="AD29" i="44"/>
  <c r="AD28" i="44"/>
  <c r="AD27" i="44"/>
  <c r="AD26" i="44"/>
  <c r="AD25" i="44"/>
  <c r="AD24" i="44"/>
  <c r="AD23" i="44"/>
  <c r="AD22" i="44"/>
  <c r="AD21" i="44"/>
  <c r="AD20" i="44"/>
  <c r="AD19" i="44"/>
  <c r="AD18" i="44"/>
  <c r="AD17" i="44"/>
  <c r="AD16" i="44"/>
  <c r="AD15" i="44"/>
  <c r="AD14" i="44"/>
  <c r="AD13" i="44"/>
  <c r="AD12" i="44"/>
  <c r="AD11" i="44"/>
  <c r="AD10" i="44"/>
  <c r="AD9" i="44"/>
  <c r="AD8" i="44"/>
  <c r="AD7" i="44"/>
  <c r="AD6" i="44"/>
  <c r="AD5" i="44"/>
  <c r="AD4" i="44"/>
  <c r="AD3" i="44"/>
  <c r="AD2" i="44"/>
  <c r="AD34" i="44" s="1"/>
  <c r="AC33" i="44"/>
  <c r="AC32" i="44"/>
  <c r="AC31" i="44"/>
  <c r="AC30" i="44"/>
  <c r="AC29" i="44"/>
  <c r="AC28" i="44"/>
  <c r="AC27" i="44"/>
  <c r="AC26" i="44"/>
  <c r="AC25" i="44"/>
  <c r="AC24" i="44"/>
  <c r="AC23" i="44"/>
  <c r="AC22" i="44"/>
  <c r="AC21" i="44"/>
  <c r="AC20" i="44"/>
  <c r="AC19" i="44"/>
  <c r="AC18" i="44"/>
  <c r="AC17" i="44"/>
  <c r="AC16" i="44"/>
  <c r="AC15" i="44"/>
  <c r="AC14" i="44"/>
  <c r="AC13" i="44"/>
  <c r="AC12" i="44"/>
  <c r="AC11" i="44"/>
  <c r="AC10" i="44"/>
  <c r="AC9" i="44"/>
  <c r="AC8" i="44"/>
  <c r="AC7" i="44"/>
  <c r="AC6" i="44"/>
  <c r="AC5" i="44"/>
  <c r="AC4" i="44"/>
  <c r="AC3" i="44"/>
  <c r="AC2" i="44"/>
  <c r="F205" i="7" l="1"/>
  <c r="R51" i="6"/>
  <c r="AF34" i="44"/>
  <c r="AG34" i="43"/>
  <c r="Q161" i="6"/>
  <c r="Q177" i="6"/>
  <c r="Q95" i="6"/>
  <c r="R52" i="6"/>
  <c r="R157" i="6"/>
  <c r="R179" i="6"/>
  <c r="Q113" i="6"/>
  <c r="Q8" i="6"/>
  <c r="Q136" i="6"/>
  <c r="Q17" i="6"/>
  <c r="Q159" i="6"/>
  <c r="Q49" i="6"/>
  <c r="Q72" i="6"/>
  <c r="Q200" i="6"/>
  <c r="R35" i="6"/>
  <c r="Q31" i="6"/>
  <c r="Q79" i="6"/>
  <c r="Q201" i="6"/>
  <c r="Q73" i="6"/>
  <c r="Q56" i="6"/>
  <c r="Q143" i="6"/>
  <c r="Q7" i="6"/>
  <c r="Q25" i="6"/>
  <c r="Q48" i="6"/>
  <c r="Q71" i="6"/>
  <c r="Q89" i="6"/>
  <c r="Q112" i="6"/>
  <c r="Q135" i="6"/>
  <c r="Q153" i="6"/>
  <c r="Q176" i="6"/>
  <c r="Q199" i="6"/>
  <c r="Q137" i="6"/>
  <c r="Q144" i="6"/>
  <c r="R180" i="6"/>
  <c r="R100" i="6"/>
  <c r="R68" i="6"/>
  <c r="Q178" i="6"/>
  <c r="Q138" i="6"/>
  <c r="Q106" i="6"/>
  <c r="Q66" i="6"/>
  <c r="Q34" i="6"/>
  <c r="R131" i="6"/>
  <c r="R164" i="6"/>
  <c r="R84" i="6"/>
  <c r="R20" i="6"/>
  <c r="Q162" i="6"/>
  <c r="Q122" i="6"/>
  <c r="Q82" i="6"/>
  <c r="Q26" i="6"/>
  <c r="R83" i="6"/>
  <c r="R116" i="6"/>
  <c r="R36" i="6"/>
  <c r="Q194" i="6"/>
  <c r="Q170" i="6"/>
  <c r="Q130" i="6"/>
  <c r="Q98" i="6"/>
  <c r="Q74" i="6"/>
  <c r="Q42" i="6"/>
  <c r="Q10" i="6"/>
  <c r="R115" i="6"/>
  <c r="R148" i="6"/>
  <c r="Q154" i="6"/>
  <c r="Q50" i="6"/>
  <c r="R67" i="6"/>
  <c r="R195" i="6"/>
  <c r="R163" i="6"/>
  <c r="R147" i="6"/>
  <c r="R194" i="6"/>
  <c r="R178" i="6"/>
  <c r="R162" i="6"/>
  <c r="R146" i="6"/>
  <c r="R130" i="6"/>
  <c r="R114" i="6"/>
  <c r="R98" i="6"/>
  <c r="R82" i="6"/>
  <c r="R66" i="6"/>
  <c r="R50" i="6"/>
  <c r="R34" i="6"/>
  <c r="R18" i="6"/>
  <c r="R205" i="6"/>
  <c r="R189" i="6"/>
  <c r="R173" i="6"/>
  <c r="R141" i="6"/>
  <c r="R125" i="6"/>
  <c r="R109" i="6"/>
  <c r="R93" i="6"/>
  <c r="R77" i="6"/>
  <c r="R61" i="6"/>
  <c r="R45" i="6"/>
  <c r="R29" i="6"/>
  <c r="R13" i="6"/>
  <c r="R196" i="6"/>
  <c r="R132" i="6"/>
  <c r="Q202" i="6"/>
  <c r="Q186" i="6"/>
  <c r="Q146" i="6"/>
  <c r="Q114" i="6"/>
  <c r="Q90" i="6"/>
  <c r="Q58" i="6"/>
  <c r="Q18" i="6"/>
  <c r="R99" i="6"/>
  <c r="R19" i="6"/>
  <c r="Q55" i="6"/>
  <c r="Q160" i="6"/>
  <c r="Q15" i="6"/>
  <c r="Q97" i="6"/>
  <c r="Q184" i="6"/>
  <c r="Q57" i="6"/>
  <c r="Q121" i="6"/>
  <c r="Q40" i="6"/>
  <c r="Q63" i="6"/>
  <c r="Q81" i="6"/>
  <c r="Q104" i="6"/>
  <c r="Q127" i="6"/>
  <c r="Q145" i="6"/>
  <c r="Q168" i="6"/>
  <c r="Q191" i="6"/>
  <c r="Q9" i="6"/>
  <c r="Q96" i="6"/>
  <c r="Q183" i="6"/>
  <c r="Q39" i="6"/>
  <c r="Q103" i="6"/>
  <c r="Q185" i="6"/>
  <c r="Q23" i="6"/>
  <c r="Q41" i="6"/>
  <c r="Q64" i="6"/>
  <c r="Q87" i="6"/>
  <c r="Q105" i="6"/>
  <c r="Q128" i="6"/>
  <c r="Q151" i="6"/>
  <c r="Q169" i="6"/>
  <c r="Q192" i="6"/>
  <c r="Q32" i="6"/>
  <c r="Q119" i="6"/>
  <c r="Q33" i="6"/>
  <c r="Q120" i="6"/>
  <c r="Q16" i="6"/>
  <c r="Q80" i="6"/>
  <c r="Q167" i="6"/>
  <c r="Q24" i="6"/>
  <c r="Q47" i="6"/>
  <c r="Q65" i="6"/>
  <c r="Q88" i="6"/>
  <c r="Q111" i="6"/>
  <c r="Q129" i="6"/>
  <c r="Q152" i="6"/>
  <c r="Q175" i="6"/>
  <c r="Q193" i="6"/>
  <c r="Q6" i="6"/>
  <c r="Q14" i="6"/>
  <c r="Q22" i="6"/>
  <c r="Q30" i="6"/>
  <c r="Q38" i="6"/>
  <c r="Q46" i="6"/>
  <c r="Q54" i="6"/>
  <c r="Q62" i="6"/>
  <c r="Q70" i="6"/>
  <c r="Q78" i="6"/>
  <c r="Q86" i="6"/>
  <c r="Q94" i="6"/>
  <c r="Q102" i="6"/>
  <c r="Q110" i="6"/>
  <c r="Q118" i="6"/>
  <c r="Q126" i="6"/>
  <c r="Q134" i="6"/>
  <c r="Q142" i="6"/>
  <c r="Q150" i="6"/>
  <c r="Q158" i="6"/>
  <c r="Q166" i="6"/>
  <c r="Q174" i="6"/>
  <c r="Q182" i="6"/>
  <c r="Q190" i="6"/>
  <c r="Q198" i="6"/>
  <c r="Q206" i="6"/>
  <c r="R12" i="6"/>
  <c r="R28" i="6"/>
  <c r="R44" i="6"/>
  <c r="R60" i="6"/>
  <c r="R76" i="6"/>
  <c r="R92" i="6"/>
  <c r="R108" i="6"/>
  <c r="R124" i="6"/>
  <c r="R140" i="6"/>
  <c r="R156" i="6"/>
  <c r="R172" i="6"/>
  <c r="R188" i="6"/>
  <c r="R204" i="6"/>
  <c r="Q11" i="6"/>
  <c r="Q19" i="6"/>
  <c r="Q27" i="6"/>
  <c r="Q35" i="6"/>
  <c r="Q43" i="6"/>
  <c r="Q51" i="6"/>
  <c r="Q59" i="6"/>
  <c r="Q67" i="6"/>
  <c r="Q75" i="6"/>
  <c r="Q83" i="6"/>
  <c r="Q91" i="6"/>
  <c r="Q99" i="6"/>
  <c r="Q107" i="6"/>
  <c r="Q115" i="6"/>
  <c r="Q123" i="6"/>
  <c r="Q131" i="6"/>
  <c r="Q139" i="6"/>
  <c r="Q147" i="6"/>
  <c r="Q155" i="6"/>
  <c r="Q163" i="6"/>
  <c r="Q171" i="6"/>
  <c r="Q179" i="6"/>
  <c r="Q187" i="6"/>
  <c r="Q195" i="6"/>
  <c r="Q203" i="6"/>
  <c r="R5" i="6"/>
  <c r="R21" i="6"/>
  <c r="R37" i="6"/>
  <c r="R53" i="6"/>
  <c r="R69" i="6"/>
  <c r="R85" i="6"/>
  <c r="R101" i="6"/>
  <c r="R117" i="6"/>
  <c r="R133" i="6"/>
  <c r="R149" i="6"/>
  <c r="R165" i="6"/>
  <c r="R181" i="6"/>
  <c r="R197" i="6"/>
  <c r="Q20" i="6"/>
  <c r="Q36" i="6"/>
  <c r="Q44" i="6"/>
  <c r="Q52" i="6"/>
  <c r="Q60" i="6"/>
  <c r="Q68" i="6"/>
  <c r="Q76" i="6"/>
  <c r="Q84" i="6"/>
  <c r="Q92" i="6"/>
  <c r="Q100" i="6"/>
  <c r="Q108" i="6"/>
  <c r="Q116" i="6"/>
  <c r="Q124" i="6"/>
  <c r="Q132" i="6"/>
  <c r="Q140" i="6"/>
  <c r="Q148" i="6"/>
  <c r="Q156" i="6"/>
  <c r="Q164" i="6"/>
  <c r="Q172" i="6"/>
  <c r="Q180" i="6"/>
  <c r="Q188" i="6"/>
  <c r="Q196" i="6"/>
  <c r="Q204" i="6"/>
  <c r="R10" i="6"/>
  <c r="R26" i="6"/>
  <c r="R42" i="6"/>
  <c r="R58" i="6"/>
  <c r="R74" i="6"/>
  <c r="R90" i="6"/>
  <c r="R106" i="6"/>
  <c r="R122" i="6"/>
  <c r="R138" i="6"/>
  <c r="R154" i="6"/>
  <c r="R170" i="6"/>
  <c r="R186" i="6"/>
  <c r="R202" i="6"/>
  <c r="S199" i="6"/>
  <c r="S203" i="6"/>
  <c r="S200" i="6"/>
  <c r="S191" i="6"/>
  <c r="S183" i="6"/>
  <c r="S175" i="6"/>
  <c r="S167" i="6"/>
  <c r="S159" i="6"/>
  <c r="S151" i="6"/>
  <c r="S143" i="6"/>
  <c r="S135" i="6"/>
  <c r="S127" i="6"/>
  <c r="S119" i="6"/>
  <c r="S111" i="6"/>
  <c r="S103" i="6"/>
  <c r="S95" i="6"/>
  <c r="S87" i="6"/>
  <c r="S79" i="6"/>
  <c r="S71" i="6"/>
  <c r="S63" i="6"/>
  <c r="S55" i="6"/>
  <c r="S47" i="6"/>
  <c r="S39" i="6"/>
  <c r="S31" i="6"/>
  <c r="S23" i="6"/>
  <c r="S15" i="6"/>
  <c r="S7" i="6"/>
  <c r="S198" i="6"/>
  <c r="S190" i="6"/>
  <c r="S182" i="6"/>
  <c r="S174" i="6"/>
  <c r="S166" i="6"/>
  <c r="S158" i="6"/>
  <c r="S150" i="6"/>
  <c r="S142" i="6"/>
  <c r="S134" i="6"/>
  <c r="S126" i="6"/>
  <c r="S118" i="6"/>
  <c r="S110" i="6"/>
  <c r="S102" i="6"/>
  <c r="S94" i="6"/>
  <c r="S86" i="6"/>
  <c r="S78" i="6"/>
  <c r="S70" i="6"/>
  <c r="S62" i="6"/>
  <c r="S54" i="6"/>
  <c r="S46" i="6"/>
  <c r="S38" i="6"/>
  <c r="S30" i="6"/>
  <c r="S22" i="6"/>
  <c r="S14" i="6"/>
  <c r="S6" i="6"/>
  <c r="S197" i="6"/>
  <c r="S189" i="6"/>
  <c r="S181" i="6"/>
  <c r="S173" i="6"/>
  <c r="S165" i="6"/>
  <c r="S157" i="6"/>
  <c r="S149" i="6"/>
  <c r="S141" i="6"/>
  <c r="S133" i="6"/>
  <c r="S125" i="6"/>
  <c r="S117" i="6"/>
  <c r="S109" i="6"/>
  <c r="S101" i="6"/>
  <c r="S93" i="6"/>
  <c r="S85" i="6"/>
  <c r="S77" i="6"/>
  <c r="S69" i="6"/>
  <c r="S61" i="6"/>
  <c r="S53" i="6"/>
  <c r="S45" i="6"/>
  <c r="S37" i="6"/>
  <c r="S29" i="6"/>
  <c r="S21" i="6"/>
  <c r="S13" i="6"/>
  <c r="S5" i="6"/>
  <c r="S205" i="6"/>
  <c r="S195" i="6"/>
  <c r="S187" i="6"/>
  <c r="S179" i="6"/>
  <c r="S171" i="6"/>
  <c r="S163" i="6"/>
  <c r="S155" i="6"/>
  <c r="S147" i="6"/>
  <c r="S139" i="6"/>
  <c r="S131" i="6"/>
  <c r="S123" i="6"/>
  <c r="S115" i="6"/>
  <c r="S107" i="6"/>
  <c r="S99" i="6"/>
  <c r="S91" i="6"/>
  <c r="S83" i="6"/>
  <c r="S75" i="6"/>
  <c r="S67" i="6"/>
  <c r="S59" i="6"/>
  <c r="S51" i="6"/>
  <c r="S43" i="6"/>
  <c r="S35" i="6"/>
  <c r="S27" i="6"/>
  <c r="S19" i="6"/>
  <c r="S11" i="6"/>
  <c r="S193" i="6"/>
  <c r="S177" i="6"/>
  <c r="S161" i="6"/>
  <c r="S145" i="6"/>
  <c r="S129" i="6"/>
  <c r="S113" i="6"/>
  <c r="S97" i="6"/>
  <c r="S81" i="6"/>
  <c r="S65" i="6"/>
  <c r="S49" i="6"/>
  <c r="S33" i="6"/>
  <c r="S17" i="6"/>
  <c r="S192" i="6"/>
  <c r="S176" i="6"/>
  <c r="S160" i="6"/>
  <c r="S144" i="6"/>
  <c r="S128" i="6"/>
  <c r="S112" i="6"/>
  <c r="S96" i="6"/>
  <c r="S80" i="6"/>
  <c r="S64" i="6"/>
  <c r="S48" i="6"/>
  <c r="S32" i="6"/>
  <c r="S16" i="6"/>
  <c r="S204" i="6"/>
  <c r="S186" i="6"/>
  <c r="S170" i="6"/>
  <c r="S154" i="6"/>
  <c r="S138" i="6"/>
  <c r="S122" i="6"/>
  <c r="S106" i="6"/>
  <c r="S90" i="6"/>
  <c r="S74" i="6"/>
  <c r="S58" i="6"/>
  <c r="S42" i="6"/>
  <c r="S26" i="6"/>
  <c r="S10" i="6"/>
  <c r="S194" i="6"/>
  <c r="S178" i="6"/>
  <c r="S162" i="6"/>
  <c r="S146" i="6"/>
  <c r="S130" i="6"/>
  <c r="S114" i="6"/>
  <c r="S98" i="6"/>
  <c r="S82" i="6"/>
  <c r="S66" i="6"/>
  <c r="S50" i="6"/>
  <c r="S34" i="6"/>
  <c r="S18" i="6"/>
  <c r="S185" i="6"/>
  <c r="S153" i="6"/>
  <c r="S121" i="6"/>
  <c r="S89" i="6"/>
  <c r="S57" i="6"/>
  <c r="S25" i="6"/>
  <c r="R200" i="6"/>
  <c r="R192" i="6"/>
  <c r="R184" i="6"/>
  <c r="R176" i="6"/>
  <c r="R168" i="6"/>
  <c r="R160" i="6"/>
  <c r="R152" i="6"/>
  <c r="R144" i="6"/>
  <c r="R136" i="6"/>
  <c r="R128" i="6"/>
  <c r="R120" i="6"/>
  <c r="R112" i="6"/>
  <c r="R104" i="6"/>
  <c r="R96" i="6"/>
  <c r="R88" i="6"/>
  <c r="R80" i="6"/>
  <c r="R72" i="6"/>
  <c r="R64" i="6"/>
  <c r="R56" i="6"/>
  <c r="R48" i="6"/>
  <c r="R40" i="6"/>
  <c r="R32" i="6"/>
  <c r="R24" i="6"/>
  <c r="R16" i="6"/>
  <c r="R8" i="6"/>
  <c r="S184" i="6"/>
  <c r="S152" i="6"/>
  <c r="S120" i="6"/>
  <c r="S88" i="6"/>
  <c r="S56" i="6"/>
  <c r="S24" i="6"/>
  <c r="R199" i="6"/>
  <c r="R191" i="6"/>
  <c r="R183" i="6"/>
  <c r="R175" i="6"/>
  <c r="R167" i="6"/>
  <c r="R159" i="6"/>
  <c r="R151" i="6"/>
  <c r="R143" i="6"/>
  <c r="R135" i="6"/>
  <c r="R127" i="6"/>
  <c r="R119" i="6"/>
  <c r="R111" i="6"/>
  <c r="R103" i="6"/>
  <c r="R95" i="6"/>
  <c r="R87" i="6"/>
  <c r="R79" i="6"/>
  <c r="R71" i="6"/>
  <c r="R63" i="6"/>
  <c r="R55" i="6"/>
  <c r="R47" i="6"/>
  <c r="R39" i="6"/>
  <c r="R31" i="6"/>
  <c r="R23" i="6"/>
  <c r="R15" i="6"/>
  <c r="R7" i="6"/>
  <c r="S180" i="6"/>
  <c r="S148" i="6"/>
  <c r="S116" i="6"/>
  <c r="S84" i="6"/>
  <c r="S52" i="6"/>
  <c r="S20" i="6"/>
  <c r="R206" i="6"/>
  <c r="R198" i="6"/>
  <c r="R190" i="6"/>
  <c r="R182" i="6"/>
  <c r="R174" i="6"/>
  <c r="R166" i="6"/>
  <c r="R158" i="6"/>
  <c r="R150" i="6"/>
  <c r="R142" i="6"/>
  <c r="R134" i="6"/>
  <c r="R126" i="6"/>
  <c r="R118" i="6"/>
  <c r="R110" i="6"/>
  <c r="R102" i="6"/>
  <c r="R94" i="6"/>
  <c r="R86" i="6"/>
  <c r="R78" i="6"/>
  <c r="R70" i="6"/>
  <c r="R62" i="6"/>
  <c r="R54" i="6"/>
  <c r="R46" i="6"/>
  <c r="R38" i="6"/>
  <c r="R30" i="6"/>
  <c r="R22" i="6"/>
  <c r="R14" i="6"/>
  <c r="R6" i="6"/>
  <c r="S206" i="6"/>
  <c r="S172" i="6"/>
  <c r="S140" i="6"/>
  <c r="S108" i="6"/>
  <c r="S76" i="6"/>
  <c r="S44" i="6"/>
  <c r="S12" i="6"/>
  <c r="S202" i="6"/>
  <c r="S169" i="6"/>
  <c r="S137" i="6"/>
  <c r="S105" i="6"/>
  <c r="S73" i="6"/>
  <c r="S41" i="6"/>
  <c r="S9" i="6"/>
  <c r="S201" i="6"/>
  <c r="S168" i="6"/>
  <c r="S136" i="6"/>
  <c r="S104" i="6"/>
  <c r="S72" i="6"/>
  <c r="S40" i="6"/>
  <c r="S8" i="6"/>
  <c r="S196" i="6"/>
  <c r="S164" i="6"/>
  <c r="S132" i="6"/>
  <c r="S100" i="6"/>
  <c r="S68" i="6"/>
  <c r="S36" i="6"/>
  <c r="S188" i="6"/>
  <c r="S156" i="6"/>
  <c r="S124" i="6"/>
  <c r="S92" i="6"/>
  <c r="S60" i="6"/>
  <c r="S28" i="6"/>
  <c r="R201" i="6"/>
  <c r="R193" i="6"/>
  <c r="R185" i="6"/>
  <c r="R177" i="6"/>
  <c r="R169" i="6"/>
  <c r="R161" i="6"/>
  <c r="R153" i="6"/>
  <c r="R145" i="6"/>
  <c r="R137" i="6"/>
  <c r="R129" i="6"/>
  <c r="R121" i="6"/>
  <c r="R113" i="6"/>
  <c r="R105" i="6"/>
  <c r="R97" i="6"/>
  <c r="R89" i="6"/>
  <c r="R81" i="6"/>
  <c r="R73" i="6"/>
  <c r="R65" i="6"/>
  <c r="R57" i="6"/>
  <c r="R49" i="6"/>
  <c r="R41" i="6"/>
  <c r="R33" i="6"/>
  <c r="R25" i="6"/>
  <c r="R17" i="6"/>
  <c r="R9" i="6"/>
  <c r="Q12" i="6"/>
  <c r="Q28" i="6"/>
  <c r="Q5" i="6"/>
  <c r="Q13" i="6"/>
  <c r="Q21" i="6"/>
  <c r="Q29" i="6"/>
  <c r="Q37" i="6"/>
  <c r="Q45" i="6"/>
  <c r="Q53" i="6"/>
  <c r="Q61" i="6"/>
  <c r="Q69" i="6"/>
  <c r="Q77" i="6"/>
  <c r="Q85" i="6"/>
  <c r="Q93" i="6"/>
  <c r="Q101" i="6"/>
  <c r="Q109" i="6"/>
  <c r="Q117" i="6"/>
  <c r="Q125" i="6"/>
  <c r="Q133" i="6"/>
  <c r="Q141" i="6"/>
  <c r="Q149" i="6"/>
  <c r="Q157" i="6"/>
  <c r="Q165" i="6"/>
  <c r="Q173" i="6"/>
  <c r="Q181" i="6"/>
  <c r="Q189" i="6"/>
  <c r="Q197" i="6"/>
  <c r="Q205" i="6"/>
  <c r="R11" i="6"/>
  <c r="R27" i="6"/>
  <c r="R43" i="6"/>
  <c r="R59" i="6"/>
  <c r="R75" i="6"/>
  <c r="R91" i="6"/>
  <c r="R107" i="6"/>
  <c r="R123" i="6"/>
  <c r="R139" i="6"/>
  <c r="R155" i="6"/>
  <c r="R171" i="6"/>
  <c r="R187" i="6"/>
  <c r="R203" i="6"/>
  <c r="AC2" i="25"/>
  <c r="AC3" i="25"/>
  <c r="AC4" i="25"/>
  <c r="AC5" i="25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D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E15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F2" i="25"/>
  <c r="AF3" i="25"/>
  <c r="AF4" i="25"/>
  <c r="AF5" i="25"/>
  <c r="AF6" i="25"/>
  <c r="AF7" i="25"/>
  <c r="AF8" i="25"/>
  <c r="AF9" i="25"/>
  <c r="AF10" i="25"/>
  <c r="AF11" i="25"/>
  <c r="AF12" i="25"/>
  <c r="AF13" i="25"/>
  <c r="AF14" i="25"/>
  <c r="AF15" i="25"/>
  <c r="AF16" i="25"/>
  <c r="AF17" i="25"/>
  <c r="AF18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G2" i="25"/>
  <c r="AG3" i="25"/>
  <c r="AG4" i="25"/>
  <c r="AG5" i="25"/>
  <c r="AG6" i="25"/>
  <c r="AG7" i="25"/>
  <c r="AG8" i="25"/>
  <c r="AG9" i="25"/>
  <c r="AG10" i="25"/>
  <c r="AG11" i="25"/>
  <c r="AG12" i="25"/>
  <c r="AG13" i="25"/>
  <c r="AG14" i="25"/>
  <c r="AG15" i="25"/>
  <c r="AG16" i="25"/>
  <c r="AG17" i="25"/>
  <c r="AG18" i="25"/>
  <c r="AG19" i="25"/>
  <c r="AG20" i="25"/>
  <c r="AG21" i="25"/>
  <c r="AG22" i="25"/>
  <c r="AG23" i="25"/>
  <c r="AG24" i="25"/>
  <c r="AG25" i="25"/>
  <c r="AG26" i="25"/>
  <c r="AG27" i="25"/>
  <c r="AG28" i="25"/>
  <c r="AG29" i="25"/>
  <c r="AG30" i="25"/>
  <c r="AG31" i="25"/>
  <c r="AG32" i="25"/>
  <c r="AG33" i="25"/>
  <c r="AI33" i="25" s="1"/>
  <c r="AJ33" i="25" s="1"/>
  <c r="AH2" i="25"/>
  <c r="AH3" i="25"/>
  <c r="AH4" i="25"/>
  <c r="AH5" i="25"/>
  <c r="AH6" i="25"/>
  <c r="AH7" i="25"/>
  <c r="AH8" i="25"/>
  <c r="AH9" i="25"/>
  <c r="AH10" i="25"/>
  <c r="AH11" i="25"/>
  <c r="AH12" i="25"/>
  <c r="AH13" i="25"/>
  <c r="AH14" i="25"/>
  <c r="AH15" i="25"/>
  <c r="AH16" i="25"/>
  <c r="AH17" i="25"/>
  <c r="AH18" i="25"/>
  <c r="AH19" i="25"/>
  <c r="AH20" i="25"/>
  <c r="AH21" i="25"/>
  <c r="AH22" i="25"/>
  <c r="AH23" i="25"/>
  <c r="AH24" i="25"/>
  <c r="AH25" i="25"/>
  <c r="AH26" i="25"/>
  <c r="AH27" i="25"/>
  <c r="AH28" i="25"/>
  <c r="AH29" i="25"/>
  <c r="AH30" i="25"/>
  <c r="AH31" i="25"/>
  <c r="AH32" i="25"/>
  <c r="AI32" i="25" s="1"/>
  <c r="AJ32" i="25" s="1"/>
  <c r="AH33" i="25"/>
  <c r="AI2" i="25"/>
  <c r="AI3" i="25"/>
  <c r="AI4" i="25"/>
  <c r="AJ4" i="25" s="1"/>
  <c r="AI5" i="25"/>
  <c r="AI6" i="25"/>
  <c r="AJ6" i="25" s="1"/>
  <c r="AI7" i="25"/>
  <c r="AI8" i="25"/>
  <c r="AJ8" i="25" s="1"/>
  <c r="AI9" i="25"/>
  <c r="AJ9" i="25" s="1"/>
  <c r="AI10" i="25"/>
  <c r="AJ10" i="25" s="1"/>
  <c r="AI11" i="25"/>
  <c r="AI12" i="25"/>
  <c r="AI13" i="25"/>
  <c r="AI14" i="25"/>
  <c r="AI15" i="25"/>
  <c r="AJ15" i="25" s="1"/>
  <c r="AI16" i="25"/>
  <c r="AJ16" i="25" s="1"/>
  <c r="AI17" i="25"/>
  <c r="AJ17" i="25" s="1"/>
  <c r="AI18" i="25"/>
  <c r="AI19" i="25"/>
  <c r="AI20" i="25"/>
  <c r="AJ20" i="25" s="1"/>
  <c r="AI21" i="25"/>
  <c r="AI22" i="25"/>
  <c r="AI23" i="25"/>
  <c r="AJ23" i="25" s="1"/>
  <c r="AI24" i="25"/>
  <c r="AJ24" i="25" s="1"/>
  <c r="AI25" i="25"/>
  <c r="AJ25" i="25" s="1"/>
  <c r="AI26" i="25"/>
  <c r="AI27" i="25"/>
  <c r="AI28" i="25"/>
  <c r="AI29" i="25"/>
  <c r="AI30" i="25"/>
  <c r="AJ30" i="25" s="1"/>
  <c r="AI31" i="25"/>
  <c r="AJ2" i="25"/>
  <c r="AJ3" i="25"/>
  <c r="AJ5" i="25"/>
  <c r="AJ7" i="25"/>
  <c r="AJ11" i="25"/>
  <c r="AJ12" i="25"/>
  <c r="AJ13" i="25"/>
  <c r="AJ14" i="25"/>
  <c r="AJ18" i="25"/>
  <c r="AJ19" i="25"/>
  <c r="AJ21" i="25"/>
  <c r="AJ22" i="25"/>
  <c r="AJ26" i="25"/>
  <c r="AJ27" i="25"/>
  <c r="AJ28" i="25"/>
  <c r="AJ29" i="25"/>
  <c r="AJ31" i="25"/>
  <c r="U34" i="33"/>
  <c r="AC2" i="33"/>
  <c r="AC3" i="33"/>
  <c r="AC4" i="33"/>
  <c r="AC5" i="33"/>
  <c r="AC6" i="33"/>
  <c r="AC7" i="33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AC23" i="33"/>
  <c r="AC24" i="33"/>
  <c r="AC25" i="33"/>
  <c r="AC26" i="33"/>
  <c r="AC27" i="33"/>
  <c r="AC28" i="33"/>
  <c r="AC29" i="33"/>
  <c r="AC30" i="33"/>
  <c r="AC31" i="33"/>
  <c r="AC32" i="33"/>
  <c r="AC33" i="33"/>
  <c r="AD2" i="33"/>
  <c r="AD3" i="33"/>
  <c r="AD4" i="33"/>
  <c r="AD5" i="33"/>
  <c r="AD6" i="33"/>
  <c r="AD7" i="33"/>
  <c r="AD8" i="33"/>
  <c r="AD9" i="33"/>
  <c r="AD10" i="33"/>
  <c r="AD11" i="33"/>
  <c r="AD12" i="33"/>
  <c r="AD13" i="33"/>
  <c r="AD14" i="33"/>
  <c r="AD15" i="33"/>
  <c r="AD16" i="33"/>
  <c r="AD17" i="33"/>
  <c r="AD18" i="33"/>
  <c r="AD19" i="33"/>
  <c r="AD20" i="33"/>
  <c r="AD21" i="33"/>
  <c r="AD22" i="33"/>
  <c r="AD23" i="33"/>
  <c r="AD24" i="33"/>
  <c r="AD25" i="33"/>
  <c r="AD26" i="33"/>
  <c r="AD27" i="33"/>
  <c r="AD28" i="33"/>
  <c r="AD29" i="33"/>
  <c r="AD30" i="33"/>
  <c r="AD31" i="33"/>
  <c r="AD32" i="33"/>
  <c r="AD33" i="33"/>
  <c r="AE2" i="33"/>
  <c r="AE3" i="33"/>
  <c r="AE4" i="33"/>
  <c r="AE5" i="33"/>
  <c r="AE6" i="33"/>
  <c r="AE7" i="33"/>
  <c r="AE8" i="33"/>
  <c r="AE9" i="33"/>
  <c r="AE10" i="33"/>
  <c r="AE11" i="33"/>
  <c r="AE12" i="33"/>
  <c r="AE13" i="33"/>
  <c r="AE14" i="33"/>
  <c r="AE15" i="33"/>
  <c r="AE16" i="33"/>
  <c r="AE17" i="33"/>
  <c r="AE18" i="33"/>
  <c r="AE19" i="33"/>
  <c r="AE20" i="33"/>
  <c r="AE21" i="33"/>
  <c r="AE22" i="33"/>
  <c r="AE23" i="33"/>
  <c r="AE24" i="33"/>
  <c r="AE25" i="33"/>
  <c r="AE26" i="33"/>
  <c r="AE27" i="33"/>
  <c r="AE28" i="33"/>
  <c r="AE29" i="33"/>
  <c r="AE30" i="33"/>
  <c r="AE31" i="33"/>
  <c r="AE32" i="33"/>
  <c r="AE33" i="33"/>
  <c r="AF2" i="33"/>
  <c r="AF3" i="33"/>
  <c r="AF4" i="33"/>
  <c r="AF5" i="33"/>
  <c r="AF6" i="33"/>
  <c r="AF7" i="33"/>
  <c r="AF8" i="33"/>
  <c r="AF9" i="33"/>
  <c r="AF10" i="33"/>
  <c r="AF11" i="33"/>
  <c r="AF12" i="33"/>
  <c r="AF13" i="33"/>
  <c r="AF14" i="33"/>
  <c r="AF15" i="33"/>
  <c r="AF16" i="33"/>
  <c r="AF17" i="33"/>
  <c r="AF18" i="33"/>
  <c r="AF19" i="33"/>
  <c r="AF20" i="33"/>
  <c r="AF21" i="33"/>
  <c r="AF22" i="33"/>
  <c r="AF23" i="33"/>
  <c r="AF24" i="33"/>
  <c r="AF25" i="33"/>
  <c r="AF26" i="33"/>
  <c r="AF27" i="33"/>
  <c r="AF28" i="33"/>
  <c r="AF29" i="33"/>
  <c r="AF30" i="33"/>
  <c r="AF31" i="33"/>
  <c r="AF32" i="33"/>
  <c r="AF33" i="33"/>
  <c r="AG2" i="33"/>
  <c r="AG3" i="33"/>
  <c r="AG4" i="33"/>
  <c r="AG5" i="33"/>
  <c r="AG6" i="33"/>
  <c r="AG7" i="33"/>
  <c r="AG8" i="33"/>
  <c r="AG9" i="33"/>
  <c r="AG10" i="33"/>
  <c r="AG11" i="33"/>
  <c r="AG12" i="33"/>
  <c r="AG13" i="33"/>
  <c r="AG14" i="33"/>
  <c r="AG15" i="33"/>
  <c r="AG16" i="33"/>
  <c r="AG17" i="33"/>
  <c r="AG18" i="33"/>
  <c r="AG19" i="33"/>
  <c r="AG20" i="33"/>
  <c r="AG21" i="33"/>
  <c r="AG22" i="33"/>
  <c r="AG23" i="33"/>
  <c r="AG24" i="33"/>
  <c r="AG25" i="33"/>
  <c r="AG26" i="33"/>
  <c r="AG27" i="33"/>
  <c r="AG28" i="33"/>
  <c r="AG29" i="33"/>
  <c r="AG30" i="33"/>
  <c r="AG31" i="33"/>
  <c r="AG32" i="33"/>
  <c r="AG33" i="33"/>
  <c r="AH2" i="33"/>
  <c r="AH3" i="33"/>
  <c r="AH4" i="33"/>
  <c r="AH5" i="33"/>
  <c r="AH6" i="33"/>
  <c r="AH7" i="33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U34" i="26"/>
  <c r="AC2" i="26"/>
  <c r="AC3" i="26"/>
  <c r="AC4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D2" i="26"/>
  <c r="AD3" i="26"/>
  <c r="AD4" i="26"/>
  <c r="AD5" i="26"/>
  <c r="AD6" i="26"/>
  <c r="AD7" i="26"/>
  <c r="AD8" i="26"/>
  <c r="AD9" i="26"/>
  <c r="AD10" i="26"/>
  <c r="AD11" i="26"/>
  <c r="AD12" i="26"/>
  <c r="AD13" i="26"/>
  <c r="AD14" i="26"/>
  <c r="AD15" i="26"/>
  <c r="AD16" i="26"/>
  <c r="AD17" i="26"/>
  <c r="AD18" i="26"/>
  <c r="AD19" i="26"/>
  <c r="AD20" i="26"/>
  <c r="AD21" i="26"/>
  <c r="AD22" i="26"/>
  <c r="AD23" i="26"/>
  <c r="AD24" i="26"/>
  <c r="AD25" i="26"/>
  <c r="AD26" i="26"/>
  <c r="AD27" i="26"/>
  <c r="AD28" i="26"/>
  <c r="AD29" i="26"/>
  <c r="AD30" i="26"/>
  <c r="AD31" i="26"/>
  <c r="AD32" i="26"/>
  <c r="AD33" i="26"/>
  <c r="AE2" i="26"/>
  <c r="AE3" i="26"/>
  <c r="AE4" i="26"/>
  <c r="AE5" i="26"/>
  <c r="AE6" i="26"/>
  <c r="AE7" i="26"/>
  <c r="AE8" i="26"/>
  <c r="AE9" i="26"/>
  <c r="AE10" i="26"/>
  <c r="AE11" i="26"/>
  <c r="AE12" i="26"/>
  <c r="AE13" i="26"/>
  <c r="AE14" i="26"/>
  <c r="AE15" i="26"/>
  <c r="AE16" i="26"/>
  <c r="AE17" i="26"/>
  <c r="AE18" i="26"/>
  <c r="AE19" i="26"/>
  <c r="AE20" i="26"/>
  <c r="AE21" i="26"/>
  <c r="AE22" i="26"/>
  <c r="AE23" i="26"/>
  <c r="AE24" i="26"/>
  <c r="AE25" i="26"/>
  <c r="AE26" i="26"/>
  <c r="AE27" i="26"/>
  <c r="AE28" i="26"/>
  <c r="AE29" i="26"/>
  <c r="AE30" i="26"/>
  <c r="AE31" i="26"/>
  <c r="AE32" i="26"/>
  <c r="AE33" i="26"/>
  <c r="AF2" i="26"/>
  <c r="AF3" i="26"/>
  <c r="AF4" i="26"/>
  <c r="AF5" i="26"/>
  <c r="AF6" i="26"/>
  <c r="AF7" i="26"/>
  <c r="AF8" i="26"/>
  <c r="AF9" i="26"/>
  <c r="AF10" i="26"/>
  <c r="AF11" i="26"/>
  <c r="AF12" i="26"/>
  <c r="AF13" i="26"/>
  <c r="AF14" i="26"/>
  <c r="AF15" i="26"/>
  <c r="AF16" i="26"/>
  <c r="AF17" i="26"/>
  <c r="AF18" i="26"/>
  <c r="AF19" i="26"/>
  <c r="AF20" i="26"/>
  <c r="AF21" i="26"/>
  <c r="AF22" i="26"/>
  <c r="AF23" i="26"/>
  <c r="AF24" i="26"/>
  <c r="AF25" i="26"/>
  <c r="AF26" i="26"/>
  <c r="AF27" i="26"/>
  <c r="AF28" i="26"/>
  <c r="AF29" i="26"/>
  <c r="AF30" i="26"/>
  <c r="AF31" i="26"/>
  <c r="AF32" i="26"/>
  <c r="AF33" i="26"/>
  <c r="AG2" i="26"/>
  <c r="AG3" i="26"/>
  <c r="AG4" i="26"/>
  <c r="AG5" i="26"/>
  <c r="AG6" i="26"/>
  <c r="AG7" i="26"/>
  <c r="AG8" i="26"/>
  <c r="AG9" i="26"/>
  <c r="AG10" i="26"/>
  <c r="AG11" i="26"/>
  <c r="AG12" i="26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2" i="26"/>
  <c r="AG33" i="26"/>
  <c r="AH2" i="26"/>
  <c r="AH3" i="26"/>
  <c r="AH4" i="26"/>
  <c r="AH5" i="26"/>
  <c r="AH6" i="26"/>
  <c r="AH7" i="26"/>
  <c r="AH8" i="26"/>
  <c r="AH9" i="26"/>
  <c r="AH10" i="26"/>
  <c r="AH11" i="26"/>
  <c r="AH12" i="26"/>
  <c r="AH13" i="26"/>
  <c r="AH14" i="26"/>
  <c r="AH15" i="26"/>
  <c r="AH16" i="26"/>
  <c r="AH17" i="26"/>
  <c r="AH18" i="26"/>
  <c r="AH19" i="26"/>
  <c r="AH20" i="26"/>
  <c r="AH21" i="26"/>
  <c r="AH22" i="26"/>
  <c r="AH23" i="26"/>
  <c r="AH24" i="26"/>
  <c r="AH25" i="26"/>
  <c r="AH26" i="26"/>
  <c r="AH27" i="26"/>
  <c r="AH28" i="26"/>
  <c r="AH29" i="26"/>
  <c r="AH30" i="26"/>
  <c r="AH31" i="26"/>
  <c r="AH32" i="26"/>
  <c r="AH33" i="26"/>
  <c r="AC2" i="32"/>
  <c r="AC3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7" i="32"/>
  <c r="AC18" i="32"/>
  <c r="AC19" i="32"/>
  <c r="AC20" i="32"/>
  <c r="AC21" i="32"/>
  <c r="AC22" i="32"/>
  <c r="AC23" i="32"/>
  <c r="AC24" i="32"/>
  <c r="AC25" i="32"/>
  <c r="AC26" i="32"/>
  <c r="AC27" i="32"/>
  <c r="AC28" i="32"/>
  <c r="AC29" i="32"/>
  <c r="AC30" i="32"/>
  <c r="AC31" i="32"/>
  <c r="AC32" i="32"/>
  <c r="AC33" i="32"/>
  <c r="AD2" i="32"/>
  <c r="AD3" i="32"/>
  <c r="AD4" i="32"/>
  <c r="AD5" i="32"/>
  <c r="AD6" i="32"/>
  <c r="AD7" i="32"/>
  <c r="AD8" i="32"/>
  <c r="AD9" i="32"/>
  <c r="AD10" i="32"/>
  <c r="AD11" i="32"/>
  <c r="AD12" i="32"/>
  <c r="AD13" i="32"/>
  <c r="AD14" i="32"/>
  <c r="AD15" i="32"/>
  <c r="AD16" i="32"/>
  <c r="AD17" i="32"/>
  <c r="AD18" i="32"/>
  <c r="AD19" i="32"/>
  <c r="AD20" i="32"/>
  <c r="AD21" i="32"/>
  <c r="AD22" i="32"/>
  <c r="AD23" i="32"/>
  <c r="AD24" i="32"/>
  <c r="AD25" i="32"/>
  <c r="AD26" i="32"/>
  <c r="AD27" i="32"/>
  <c r="AD28" i="32"/>
  <c r="AD29" i="32"/>
  <c r="AD30" i="32"/>
  <c r="AD31" i="32"/>
  <c r="AD32" i="32"/>
  <c r="AD33" i="32"/>
  <c r="AE2" i="32"/>
  <c r="AE3" i="32"/>
  <c r="AE4" i="32"/>
  <c r="AE5" i="32"/>
  <c r="AE6" i="32"/>
  <c r="AE7" i="32"/>
  <c r="AE8" i="32"/>
  <c r="AE9" i="32"/>
  <c r="AE10" i="32"/>
  <c r="AE11" i="32"/>
  <c r="AE12" i="32"/>
  <c r="AE13" i="32"/>
  <c r="AE14" i="32"/>
  <c r="AE15" i="32"/>
  <c r="AE16" i="32"/>
  <c r="AE17" i="32"/>
  <c r="AE18" i="32"/>
  <c r="AE19" i="32"/>
  <c r="AE20" i="32"/>
  <c r="AE21" i="32"/>
  <c r="AE22" i="32"/>
  <c r="AE23" i="32"/>
  <c r="AE24" i="32"/>
  <c r="AE25" i="32"/>
  <c r="AE26" i="32"/>
  <c r="AE27" i="32"/>
  <c r="AE28" i="32"/>
  <c r="AE29" i="32"/>
  <c r="AE30" i="32"/>
  <c r="AE31" i="32"/>
  <c r="AE32" i="32"/>
  <c r="AE33" i="32"/>
  <c r="AF2" i="32"/>
  <c r="AF3" i="32"/>
  <c r="AF4" i="32"/>
  <c r="AF5" i="32"/>
  <c r="AF6" i="32"/>
  <c r="AF7" i="32"/>
  <c r="AF8" i="32"/>
  <c r="AF9" i="32"/>
  <c r="AF10" i="32"/>
  <c r="AF11" i="32"/>
  <c r="AF12" i="32"/>
  <c r="AF13" i="32"/>
  <c r="AF14" i="32"/>
  <c r="AF15" i="32"/>
  <c r="AF16" i="32"/>
  <c r="AF17" i="32"/>
  <c r="AF18" i="32"/>
  <c r="AF19" i="32"/>
  <c r="AF20" i="32"/>
  <c r="AF21" i="32"/>
  <c r="AF22" i="32"/>
  <c r="AF23" i="32"/>
  <c r="AF24" i="32"/>
  <c r="AF25" i="32"/>
  <c r="AF26" i="32"/>
  <c r="AF27" i="32"/>
  <c r="AF28" i="32"/>
  <c r="AF29" i="32"/>
  <c r="AF30" i="32"/>
  <c r="AF31" i="32"/>
  <c r="AF32" i="32"/>
  <c r="AF33" i="32"/>
  <c r="AG2" i="32"/>
  <c r="AG3" i="32"/>
  <c r="AG4" i="32"/>
  <c r="AG5" i="32"/>
  <c r="AG6" i="32"/>
  <c r="AG7" i="32"/>
  <c r="AG8" i="32"/>
  <c r="AG9" i="32"/>
  <c r="AG10" i="32"/>
  <c r="AG11" i="32"/>
  <c r="AG12" i="32"/>
  <c r="AG13" i="32"/>
  <c r="AG14" i="32"/>
  <c r="AG15" i="32"/>
  <c r="AG16" i="32"/>
  <c r="AG17" i="32"/>
  <c r="AG18" i="32"/>
  <c r="AG19" i="32"/>
  <c r="AG20" i="32"/>
  <c r="AG21" i="32"/>
  <c r="AG22" i="32"/>
  <c r="AG23" i="32"/>
  <c r="AG24" i="32"/>
  <c r="AG25" i="32"/>
  <c r="AG26" i="32"/>
  <c r="AG27" i="32"/>
  <c r="AG28" i="32"/>
  <c r="AG29" i="32"/>
  <c r="AG30" i="32"/>
  <c r="AG31" i="32"/>
  <c r="AG32" i="32"/>
  <c r="AG33" i="32"/>
  <c r="AH2" i="32"/>
  <c r="AH3" i="32"/>
  <c r="AH4" i="32"/>
  <c r="AI4" i="32" s="1"/>
  <c r="AJ4" i="32" s="1"/>
  <c r="AH5" i="32"/>
  <c r="AH6" i="32"/>
  <c r="AH7" i="32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I3" i="32"/>
  <c r="AI5" i="32"/>
  <c r="AI6" i="32"/>
  <c r="AI7" i="32"/>
  <c r="AI8" i="32"/>
  <c r="AI9" i="32"/>
  <c r="AJ9" i="32" s="1"/>
  <c r="AI10" i="32"/>
  <c r="AI11" i="32"/>
  <c r="AJ11" i="32" s="1"/>
  <c r="AI12" i="32"/>
  <c r="AJ12" i="32" s="1"/>
  <c r="AI13" i="32"/>
  <c r="AI14" i="32"/>
  <c r="AJ14" i="32" s="1"/>
  <c r="AI15" i="32"/>
  <c r="AJ15" i="32" s="1"/>
  <c r="AI16" i="32"/>
  <c r="AI17" i="32"/>
  <c r="AJ17" i="32" s="1"/>
  <c r="AI18" i="32"/>
  <c r="AI19" i="32"/>
  <c r="AJ19" i="32" s="1"/>
  <c r="AI20" i="32"/>
  <c r="AJ20" i="32" s="1"/>
  <c r="AI21" i="32"/>
  <c r="AI22" i="32"/>
  <c r="AJ22" i="32" s="1"/>
  <c r="AI23" i="32"/>
  <c r="AI24" i="32"/>
  <c r="AI25" i="32"/>
  <c r="AJ25" i="32" s="1"/>
  <c r="AI26" i="32"/>
  <c r="AI27" i="32"/>
  <c r="AJ27" i="32" s="1"/>
  <c r="AI28" i="32"/>
  <c r="AJ28" i="32" s="1"/>
  <c r="AI29" i="32"/>
  <c r="AJ29" i="32" s="1"/>
  <c r="AI30" i="32"/>
  <c r="AJ30" i="32" s="1"/>
  <c r="AI31" i="32"/>
  <c r="AI32" i="32"/>
  <c r="AI33" i="32"/>
  <c r="AJ33" i="32" s="1"/>
  <c r="AJ2" i="32"/>
  <c r="AJ3" i="32"/>
  <c r="AJ5" i="32"/>
  <c r="AJ6" i="32"/>
  <c r="AJ7" i="32"/>
  <c r="AJ8" i="32"/>
  <c r="AJ10" i="32"/>
  <c r="AJ13" i="32"/>
  <c r="AJ16" i="32"/>
  <c r="AJ18" i="32"/>
  <c r="AJ21" i="32"/>
  <c r="AJ23" i="32"/>
  <c r="AJ24" i="32"/>
  <c r="AJ26" i="32"/>
  <c r="AJ31" i="32"/>
  <c r="AJ32" i="32"/>
  <c r="P59" i="6" l="1"/>
  <c r="BE59" i="6"/>
  <c r="BF59" i="6"/>
  <c r="BG59" i="6"/>
  <c r="P60" i="6"/>
  <c r="BE60" i="6"/>
  <c r="BF60" i="6"/>
  <c r="BG60" i="6"/>
  <c r="P61" i="6"/>
  <c r="BE61" i="6"/>
  <c r="BF61" i="6"/>
  <c r="BG61" i="6"/>
  <c r="P62" i="6"/>
  <c r="BE62" i="6"/>
  <c r="BF62" i="6"/>
  <c r="BG62" i="6"/>
  <c r="P63" i="6"/>
  <c r="BE63" i="6"/>
  <c r="BF63" i="6"/>
  <c r="BG63" i="6"/>
  <c r="P64" i="6"/>
  <c r="BE64" i="6"/>
  <c r="BF64" i="6"/>
  <c r="BG64" i="6"/>
  <c r="P65" i="6"/>
  <c r="BE65" i="6"/>
  <c r="BF65" i="6"/>
  <c r="BG65" i="6"/>
  <c r="P66" i="6"/>
  <c r="BE66" i="6"/>
  <c r="BF66" i="6"/>
  <c r="BG66" i="6"/>
  <c r="P67" i="6"/>
  <c r="BE67" i="6"/>
  <c r="BF67" i="6"/>
  <c r="BG67" i="6"/>
  <c r="P68" i="6"/>
  <c r="BE68" i="6"/>
  <c r="BF68" i="6"/>
  <c r="BG68" i="6"/>
  <c r="P69" i="6"/>
  <c r="BE69" i="6"/>
  <c r="BF69" i="6"/>
  <c r="BG69" i="6"/>
  <c r="P70" i="6"/>
  <c r="BE70" i="6"/>
  <c r="BF70" i="6"/>
  <c r="BG70" i="6"/>
  <c r="P71" i="6"/>
  <c r="BE71" i="6"/>
  <c r="BF71" i="6"/>
  <c r="BG71" i="6"/>
  <c r="P72" i="6"/>
  <c r="BE72" i="6"/>
  <c r="BF72" i="6"/>
  <c r="BG72" i="6"/>
  <c r="P73" i="6"/>
  <c r="BE73" i="6"/>
  <c r="BF73" i="6"/>
  <c r="BG73" i="6"/>
  <c r="P74" i="6"/>
  <c r="BE74" i="6"/>
  <c r="BF74" i="6"/>
  <c r="BG74" i="6"/>
  <c r="P75" i="6"/>
  <c r="BE75" i="6"/>
  <c r="BF75" i="6"/>
  <c r="BG75" i="6"/>
  <c r="P76" i="6"/>
  <c r="BE76" i="6"/>
  <c r="BF76" i="6"/>
  <c r="BG76" i="6"/>
  <c r="P77" i="6"/>
  <c r="BE77" i="6"/>
  <c r="BF77" i="6"/>
  <c r="BG77" i="6"/>
  <c r="P78" i="6"/>
  <c r="BE78" i="6"/>
  <c r="BF78" i="6"/>
  <c r="BG78" i="6"/>
  <c r="P79" i="6"/>
  <c r="BE79" i="6"/>
  <c r="BF79" i="6"/>
  <c r="BG79" i="6"/>
  <c r="P80" i="6"/>
  <c r="BE80" i="6"/>
  <c r="BF80" i="6"/>
  <c r="BG80" i="6"/>
  <c r="P81" i="6"/>
  <c r="BE81" i="6"/>
  <c r="BF81" i="6"/>
  <c r="BG81" i="6"/>
  <c r="P82" i="6"/>
  <c r="BE82" i="6"/>
  <c r="BF82" i="6"/>
  <c r="BG82" i="6"/>
  <c r="P83" i="6"/>
  <c r="BE83" i="6"/>
  <c r="BF83" i="6"/>
  <c r="BG83" i="6"/>
  <c r="P84" i="6"/>
  <c r="BE84" i="6"/>
  <c r="BF84" i="6"/>
  <c r="BG84" i="6"/>
  <c r="P85" i="6"/>
  <c r="BE85" i="6"/>
  <c r="BF85" i="6"/>
  <c r="BG85" i="6"/>
  <c r="P86" i="6"/>
  <c r="BE86" i="6"/>
  <c r="BF86" i="6"/>
  <c r="BG86" i="6"/>
  <c r="P87" i="6"/>
  <c r="BE87" i="6"/>
  <c r="BF87" i="6"/>
  <c r="BG87" i="6"/>
  <c r="P88" i="6"/>
  <c r="BE88" i="6"/>
  <c r="BF88" i="6"/>
  <c r="BG88" i="6"/>
  <c r="P89" i="6"/>
  <c r="BE89" i="6"/>
  <c r="BF89" i="6"/>
  <c r="BG89" i="6"/>
  <c r="P90" i="6"/>
  <c r="BE90" i="6"/>
  <c r="BF90" i="6"/>
  <c r="BG90" i="6"/>
  <c r="P91" i="6"/>
  <c r="BE91" i="6"/>
  <c r="BF91" i="6"/>
  <c r="BG91" i="6"/>
  <c r="P92" i="6"/>
  <c r="BE92" i="6"/>
  <c r="BF92" i="6"/>
  <c r="BG92" i="6"/>
  <c r="P93" i="6"/>
  <c r="BE93" i="6"/>
  <c r="BF93" i="6"/>
  <c r="BG93" i="6"/>
  <c r="P94" i="6"/>
  <c r="BE94" i="6"/>
  <c r="BF94" i="6"/>
  <c r="BG94" i="6"/>
  <c r="P95" i="6"/>
  <c r="BE95" i="6"/>
  <c r="BF95" i="6"/>
  <c r="BG95" i="6"/>
  <c r="P96" i="6"/>
  <c r="BE96" i="6"/>
  <c r="BF96" i="6"/>
  <c r="BG96" i="6"/>
  <c r="P97" i="6"/>
  <c r="BE97" i="6"/>
  <c r="BF97" i="6"/>
  <c r="BG97" i="6"/>
  <c r="P98" i="6"/>
  <c r="BE98" i="6"/>
  <c r="BF98" i="6"/>
  <c r="BG98" i="6"/>
  <c r="P99" i="6"/>
  <c r="BE99" i="6"/>
  <c r="BF99" i="6"/>
  <c r="BG99" i="6"/>
  <c r="P100" i="6"/>
  <c r="BE100" i="6"/>
  <c r="BF100" i="6"/>
  <c r="BG100" i="6"/>
  <c r="P101" i="6"/>
  <c r="BE101" i="6"/>
  <c r="BF101" i="6"/>
  <c r="BG101" i="6"/>
  <c r="P102" i="6"/>
  <c r="BE102" i="6"/>
  <c r="BF102" i="6"/>
  <c r="BG102" i="6"/>
  <c r="P103" i="6"/>
  <c r="BE103" i="6"/>
  <c r="BF103" i="6"/>
  <c r="BG103" i="6"/>
  <c r="P104" i="6"/>
  <c r="BE104" i="6"/>
  <c r="BF104" i="6"/>
  <c r="BG104" i="6"/>
  <c r="P105" i="6"/>
  <c r="BE105" i="6"/>
  <c r="BF105" i="6"/>
  <c r="BG105" i="6"/>
  <c r="P106" i="6"/>
  <c r="BE106" i="6"/>
  <c r="BF106" i="6"/>
  <c r="BG106" i="6"/>
  <c r="P107" i="6"/>
  <c r="BE107" i="6"/>
  <c r="BF107" i="6"/>
  <c r="BG107" i="6"/>
  <c r="P108" i="6"/>
  <c r="BE108" i="6"/>
  <c r="BF108" i="6"/>
  <c r="BG108" i="6"/>
  <c r="P109" i="6"/>
  <c r="BE109" i="6"/>
  <c r="BF109" i="6"/>
  <c r="BG109" i="6"/>
  <c r="P110" i="6"/>
  <c r="BE110" i="6"/>
  <c r="BF110" i="6"/>
  <c r="BG110" i="6"/>
  <c r="P111" i="6"/>
  <c r="BE111" i="6"/>
  <c r="BF111" i="6"/>
  <c r="BG111" i="6"/>
  <c r="P112" i="6"/>
  <c r="BE112" i="6"/>
  <c r="BF112" i="6"/>
  <c r="BG112" i="6"/>
  <c r="P113" i="6"/>
  <c r="BE113" i="6"/>
  <c r="BF113" i="6"/>
  <c r="BG113" i="6"/>
  <c r="P114" i="6"/>
  <c r="BE114" i="6"/>
  <c r="BF114" i="6"/>
  <c r="BG114" i="6"/>
  <c r="P115" i="6"/>
  <c r="BE115" i="6"/>
  <c r="BF115" i="6"/>
  <c r="BG115" i="6"/>
  <c r="P116" i="6"/>
  <c r="BE116" i="6"/>
  <c r="BF116" i="6"/>
  <c r="BG116" i="6"/>
  <c r="P117" i="6"/>
  <c r="BE117" i="6"/>
  <c r="BF117" i="6"/>
  <c r="BG117" i="6"/>
  <c r="P118" i="6"/>
  <c r="BE118" i="6"/>
  <c r="BF118" i="6"/>
  <c r="BG118" i="6"/>
  <c r="P119" i="6"/>
  <c r="BE119" i="6"/>
  <c r="BF119" i="6"/>
  <c r="BG119" i="6"/>
  <c r="P120" i="6"/>
  <c r="BE120" i="6"/>
  <c r="BF120" i="6"/>
  <c r="BG120" i="6"/>
  <c r="P121" i="6"/>
  <c r="BE121" i="6"/>
  <c r="BF121" i="6"/>
  <c r="BG121" i="6"/>
  <c r="P122" i="6"/>
  <c r="BE122" i="6"/>
  <c r="BF122" i="6"/>
  <c r="BG122" i="6"/>
  <c r="P123" i="6"/>
  <c r="BE123" i="6"/>
  <c r="BF123" i="6"/>
  <c r="BG123" i="6"/>
  <c r="P124" i="6"/>
  <c r="BE124" i="6"/>
  <c r="BF124" i="6"/>
  <c r="BG124" i="6"/>
  <c r="P125" i="6"/>
  <c r="BE125" i="6"/>
  <c r="BF125" i="6"/>
  <c r="BG125" i="6"/>
  <c r="P126" i="6"/>
  <c r="BE126" i="6"/>
  <c r="BF126" i="6"/>
  <c r="BG126" i="6"/>
  <c r="P127" i="6"/>
  <c r="BE127" i="6"/>
  <c r="BF127" i="6"/>
  <c r="BG127" i="6"/>
  <c r="P128" i="6"/>
  <c r="BE128" i="6"/>
  <c r="BF128" i="6"/>
  <c r="BG128" i="6"/>
  <c r="P129" i="6"/>
  <c r="BE129" i="6"/>
  <c r="BF129" i="6"/>
  <c r="BG129" i="6"/>
  <c r="P130" i="6"/>
  <c r="BE130" i="6"/>
  <c r="BF130" i="6"/>
  <c r="BG130" i="6"/>
  <c r="P131" i="6"/>
  <c r="BE131" i="6"/>
  <c r="BF131" i="6"/>
  <c r="BG131" i="6"/>
  <c r="P132" i="6"/>
  <c r="BE132" i="6"/>
  <c r="BF132" i="6"/>
  <c r="BG132" i="6"/>
  <c r="P133" i="6"/>
  <c r="BE133" i="6"/>
  <c r="BF133" i="6"/>
  <c r="BG133" i="6"/>
  <c r="P134" i="6"/>
  <c r="BE134" i="6"/>
  <c r="BF134" i="6"/>
  <c r="BG134" i="6"/>
  <c r="P135" i="6"/>
  <c r="BE135" i="6"/>
  <c r="BF135" i="6"/>
  <c r="BG135" i="6"/>
  <c r="P136" i="6"/>
  <c r="BE136" i="6"/>
  <c r="BF136" i="6"/>
  <c r="BG136" i="6"/>
  <c r="P137" i="6"/>
  <c r="BE137" i="6"/>
  <c r="BF137" i="6"/>
  <c r="BG137" i="6"/>
  <c r="P138" i="6"/>
  <c r="BE138" i="6"/>
  <c r="BF138" i="6"/>
  <c r="BG138" i="6"/>
  <c r="P139" i="6"/>
  <c r="BE139" i="6"/>
  <c r="BF139" i="6"/>
  <c r="BG139" i="6"/>
  <c r="P140" i="6"/>
  <c r="BE140" i="6"/>
  <c r="BF140" i="6"/>
  <c r="BG140" i="6"/>
  <c r="P141" i="6"/>
  <c r="BE141" i="6"/>
  <c r="BF141" i="6"/>
  <c r="BG141" i="6"/>
  <c r="P142" i="6"/>
  <c r="BE142" i="6"/>
  <c r="BF142" i="6"/>
  <c r="BG142" i="6"/>
  <c r="P143" i="6"/>
  <c r="BE143" i="6"/>
  <c r="BF143" i="6"/>
  <c r="BG143" i="6"/>
  <c r="P144" i="6"/>
  <c r="BE144" i="6"/>
  <c r="BF144" i="6"/>
  <c r="BG144" i="6"/>
  <c r="P145" i="6"/>
  <c r="BE145" i="6"/>
  <c r="BF145" i="6"/>
  <c r="BG145" i="6"/>
  <c r="P146" i="6"/>
  <c r="BE146" i="6"/>
  <c r="BF146" i="6"/>
  <c r="BG146" i="6"/>
  <c r="P147" i="6"/>
  <c r="BE147" i="6"/>
  <c r="BF147" i="6"/>
  <c r="BG147" i="6"/>
  <c r="P148" i="6"/>
  <c r="BE148" i="6"/>
  <c r="BF148" i="6"/>
  <c r="BG148" i="6"/>
  <c r="P149" i="6"/>
  <c r="BE149" i="6"/>
  <c r="BF149" i="6"/>
  <c r="BG149" i="6"/>
  <c r="P150" i="6"/>
  <c r="BE150" i="6"/>
  <c r="BF150" i="6"/>
  <c r="BG150" i="6"/>
  <c r="P151" i="6"/>
  <c r="BE151" i="6"/>
  <c r="BF151" i="6"/>
  <c r="BG151" i="6"/>
  <c r="P152" i="6"/>
  <c r="BE152" i="6"/>
  <c r="BF152" i="6"/>
  <c r="BG152" i="6"/>
  <c r="P153" i="6"/>
  <c r="BE153" i="6"/>
  <c r="BF153" i="6"/>
  <c r="BG153" i="6"/>
  <c r="P154" i="6"/>
  <c r="BE154" i="6"/>
  <c r="BF154" i="6"/>
  <c r="BG154" i="6"/>
  <c r="P155" i="6"/>
  <c r="BE155" i="6"/>
  <c r="BF155" i="6"/>
  <c r="BG155" i="6"/>
  <c r="P156" i="6"/>
  <c r="BE156" i="6"/>
  <c r="BF156" i="6"/>
  <c r="BG156" i="6"/>
  <c r="P157" i="6"/>
  <c r="BE157" i="6"/>
  <c r="BF157" i="6"/>
  <c r="BG157" i="6"/>
  <c r="P158" i="6"/>
  <c r="BE158" i="6"/>
  <c r="BF158" i="6"/>
  <c r="BG158" i="6"/>
  <c r="P159" i="6"/>
  <c r="BE159" i="6"/>
  <c r="BF159" i="6"/>
  <c r="BG159" i="6"/>
  <c r="P160" i="6"/>
  <c r="BE160" i="6"/>
  <c r="BF160" i="6"/>
  <c r="BG160" i="6"/>
  <c r="P161" i="6"/>
  <c r="BE161" i="6"/>
  <c r="BF161" i="6"/>
  <c r="BG161" i="6"/>
  <c r="P162" i="6"/>
  <c r="BE162" i="6"/>
  <c r="BF162" i="6"/>
  <c r="BG162" i="6"/>
  <c r="P163" i="6"/>
  <c r="BE163" i="6"/>
  <c r="BF163" i="6"/>
  <c r="BG163" i="6"/>
  <c r="P164" i="6"/>
  <c r="BE164" i="6"/>
  <c r="BF164" i="6"/>
  <c r="BG164" i="6"/>
  <c r="P165" i="6"/>
  <c r="AL165" i="6"/>
  <c r="BE165" i="6"/>
  <c r="BF165" i="6"/>
  <c r="BG165" i="6"/>
  <c r="P166" i="6"/>
  <c r="AL166" i="6"/>
  <c r="BE166" i="6"/>
  <c r="BF166" i="6"/>
  <c r="BG166" i="6"/>
  <c r="P167" i="6"/>
  <c r="AL167" i="6"/>
  <c r="BE167" i="6"/>
  <c r="BF167" i="6"/>
  <c r="BG167" i="6"/>
  <c r="P168" i="6"/>
  <c r="AL168" i="6"/>
  <c r="BE168" i="6"/>
  <c r="BF168" i="6"/>
  <c r="BG168" i="6"/>
  <c r="P169" i="6"/>
  <c r="BE169" i="6"/>
  <c r="BF169" i="6"/>
  <c r="BG169" i="6"/>
  <c r="P170" i="6"/>
  <c r="AL170" i="6"/>
  <c r="BE170" i="6"/>
  <c r="BF170" i="6"/>
  <c r="BG170" i="6"/>
  <c r="P171" i="6"/>
  <c r="BE171" i="6"/>
  <c r="BF171" i="6"/>
  <c r="BG171" i="6"/>
  <c r="P172" i="6"/>
  <c r="AL172" i="6"/>
  <c r="BE172" i="6"/>
  <c r="BF172" i="6"/>
  <c r="BG172" i="6"/>
  <c r="P173" i="6"/>
  <c r="AL173" i="6"/>
  <c r="BE173" i="6"/>
  <c r="BF173" i="6"/>
  <c r="BG173" i="6"/>
  <c r="P174" i="6"/>
  <c r="BE174" i="6"/>
  <c r="BF174" i="6"/>
  <c r="BG174" i="6"/>
  <c r="P175" i="6"/>
  <c r="BE175" i="6"/>
  <c r="BF175" i="6"/>
  <c r="BG175" i="6"/>
  <c r="P176" i="6"/>
  <c r="AL176" i="6"/>
  <c r="BE176" i="6"/>
  <c r="BF176" i="6"/>
  <c r="BG176" i="6"/>
  <c r="P177" i="6"/>
  <c r="BE177" i="6"/>
  <c r="BF177" i="6"/>
  <c r="BG177" i="6"/>
  <c r="P178" i="6"/>
  <c r="AL178" i="6"/>
  <c r="BE178" i="6"/>
  <c r="BF178" i="6"/>
  <c r="BG178" i="6"/>
  <c r="P179" i="6"/>
  <c r="AL179" i="6"/>
  <c r="BE179" i="6"/>
  <c r="BF179" i="6"/>
  <c r="BG179" i="6"/>
  <c r="P180" i="6"/>
  <c r="AL180" i="6"/>
  <c r="BE180" i="6"/>
  <c r="BF180" i="6"/>
  <c r="BG180" i="6"/>
  <c r="P181" i="6"/>
  <c r="AL181" i="6"/>
  <c r="BE181" i="6"/>
  <c r="BF181" i="6"/>
  <c r="BG181" i="6"/>
  <c r="P182" i="6"/>
  <c r="AL182" i="6"/>
  <c r="BE182" i="6"/>
  <c r="BF182" i="6"/>
  <c r="BG182" i="6"/>
  <c r="P183" i="6"/>
  <c r="AL183" i="6"/>
  <c r="BE183" i="6"/>
  <c r="BF183" i="6"/>
  <c r="BG183" i="6"/>
  <c r="P184" i="6"/>
  <c r="AL184" i="6"/>
  <c r="BE184" i="6"/>
  <c r="BF184" i="6"/>
  <c r="BG184" i="6"/>
  <c r="P185" i="6"/>
  <c r="AL185" i="6"/>
  <c r="BE185" i="6"/>
  <c r="BF185" i="6"/>
  <c r="BG185" i="6"/>
  <c r="P186" i="6"/>
  <c r="AL186" i="6"/>
  <c r="BE186" i="6"/>
  <c r="BF186" i="6"/>
  <c r="BG186" i="6"/>
  <c r="P187" i="6"/>
  <c r="AL187" i="6"/>
  <c r="BE187" i="6"/>
  <c r="BF187" i="6"/>
  <c r="BG187" i="6"/>
  <c r="P188" i="6"/>
  <c r="AL188" i="6"/>
  <c r="BE188" i="6"/>
  <c r="BF188" i="6"/>
  <c r="BG188" i="6"/>
  <c r="P189" i="6"/>
  <c r="AL189" i="6"/>
  <c r="BE189" i="6"/>
  <c r="BF189" i="6"/>
  <c r="BG189" i="6"/>
  <c r="P190" i="6"/>
  <c r="AL190" i="6"/>
  <c r="BE190" i="6"/>
  <c r="BF190" i="6"/>
  <c r="BG190" i="6"/>
  <c r="P191" i="6"/>
  <c r="AL191" i="6"/>
  <c r="BE191" i="6"/>
  <c r="BF191" i="6"/>
  <c r="BG191" i="6"/>
  <c r="P192" i="6"/>
  <c r="AL192" i="6"/>
  <c r="BE192" i="6"/>
  <c r="BF192" i="6"/>
  <c r="BG192" i="6"/>
  <c r="P193" i="6"/>
  <c r="AL193" i="6"/>
  <c r="BE193" i="6"/>
  <c r="BF193" i="6"/>
  <c r="BG193" i="6"/>
  <c r="P194" i="6"/>
  <c r="AL194" i="6"/>
  <c r="BE194" i="6"/>
  <c r="BF194" i="6"/>
  <c r="BG194" i="6"/>
  <c r="P195" i="6"/>
  <c r="AL195" i="6"/>
  <c r="BE195" i="6"/>
  <c r="BF195" i="6"/>
  <c r="BG195" i="6"/>
  <c r="P196" i="6"/>
  <c r="AL196" i="6"/>
  <c r="BE196" i="6"/>
  <c r="BF196" i="6"/>
  <c r="BG196" i="6"/>
  <c r="P197" i="6"/>
  <c r="AL197" i="6"/>
  <c r="BE197" i="6"/>
  <c r="BF197" i="6"/>
  <c r="BG197" i="6"/>
  <c r="P198" i="6"/>
  <c r="BE198" i="6"/>
  <c r="BF198" i="6"/>
  <c r="BG198" i="6"/>
  <c r="P199" i="6"/>
  <c r="AL199" i="6"/>
  <c r="BE199" i="6"/>
  <c r="BF199" i="6"/>
  <c r="BG199" i="6"/>
  <c r="P200" i="6"/>
  <c r="BE200" i="6"/>
  <c r="BF200" i="6"/>
  <c r="BG200" i="6"/>
  <c r="P201" i="6"/>
  <c r="AL201" i="6"/>
  <c r="BE201" i="6"/>
  <c r="BF201" i="6"/>
  <c r="BG201" i="6"/>
  <c r="P202" i="6"/>
  <c r="AL202" i="6"/>
  <c r="BE202" i="6"/>
  <c r="BF202" i="6"/>
  <c r="BG202" i="6"/>
  <c r="P203" i="6"/>
  <c r="AL203" i="6"/>
  <c r="BE203" i="6"/>
  <c r="BF203" i="6"/>
  <c r="BG203" i="6"/>
  <c r="P204" i="6"/>
  <c r="AL204" i="6"/>
  <c r="BE204" i="6"/>
  <c r="BF204" i="6"/>
  <c r="BG204" i="6"/>
  <c r="P205" i="6"/>
  <c r="AL205" i="6"/>
  <c r="BE205" i="6"/>
  <c r="BF205" i="6"/>
  <c r="BG205" i="6"/>
  <c r="P206" i="6"/>
  <c r="BE206" i="6"/>
  <c r="BF206" i="6"/>
  <c r="BG206" i="6"/>
  <c r="C24" i="20"/>
  <c r="B35" i="20"/>
  <c r="C26" i="20"/>
  <c r="C25" i="20"/>
  <c r="C21" i="20"/>
  <c r="AA34" i="20"/>
  <c r="AA33" i="20"/>
  <c r="AA32" i="20"/>
  <c r="AA31" i="20"/>
  <c r="AA30" i="20"/>
  <c r="AA29" i="20"/>
  <c r="AA28" i="20"/>
  <c r="AA27" i="20"/>
  <c r="AA23" i="20"/>
  <c r="C250" i="7"/>
  <c r="AF5" i="34"/>
  <c r="T4" i="8"/>
  <c r="S3" i="14"/>
  <c r="M3" i="37"/>
  <c r="O3" i="37" s="1"/>
  <c r="N3" i="37"/>
  <c r="P3" i="37" s="1"/>
  <c r="Q3" i="37"/>
  <c r="R3" i="37" s="1"/>
  <c r="M4" i="37"/>
  <c r="O4" i="37" s="1"/>
  <c r="N4" i="37"/>
  <c r="P4" i="37" s="1"/>
  <c r="Q4" i="37"/>
  <c r="R4" i="37" s="1"/>
  <c r="M5" i="37"/>
  <c r="O5" i="37" s="1"/>
  <c r="N5" i="37"/>
  <c r="P5" i="37" s="1"/>
  <c r="Q5" i="37"/>
  <c r="R5" i="37" s="1"/>
  <c r="M6" i="37"/>
  <c r="O6" i="37" s="1"/>
  <c r="N6" i="37"/>
  <c r="P6" i="37" s="1"/>
  <c r="Q6" i="37"/>
  <c r="R6" i="37" s="1"/>
  <c r="M7" i="37"/>
  <c r="O7" i="37" s="1"/>
  <c r="N7" i="37"/>
  <c r="P7" i="37" s="1"/>
  <c r="Q7" i="37"/>
  <c r="R7" i="37" s="1"/>
  <c r="M8" i="37"/>
  <c r="O8" i="37" s="1"/>
  <c r="N8" i="37"/>
  <c r="P8" i="37" s="1"/>
  <c r="Q8" i="37"/>
  <c r="R8" i="37" s="1"/>
  <c r="M9" i="37"/>
  <c r="O9" i="37" s="1"/>
  <c r="N9" i="37"/>
  <c r="P9" i="37" s="1"/>
  <c r="Q9" i="37"/>
  <c r="R9" i="37" s="1"/>
  <c r="M10" i="37"/>
  <c r="O10" i="37" s="1"/>
  <c r="N10" i="37"/>
  <c r="P10" i="37" s="1"/>
  <c r="Q10" i="37"/>
  <c r="R10" i="37" s="1"/>
  <c r="M11" i="37"/>
  <c r="O11" i="37" s="1"/>
  <c r="N11" i="37"/>
  <c r="P11" i="37" s="1"/>
  <c r="Q11" i="37"/>
  <c r="R11" i="37" s="1"/>
  <c r="M12" i="37"/>
  <c r="O12" i="37" s="1"/>
  <c r="N12" i="37"/>
  <c r="P12" i="37" s="1"/>
  <c r="Q12" i="37"/>
  <c r="R12" i="37" s="1"/>
  <c r="M13" i="37"/>
  <c r="O13" i="37" s="1"/>
  <c r="N13" i="37"/>
  <c r="P13" i="37" s="1"/>
  <c r="Q13" i="37"/>
  <c r="R13" i="37" s="1"/>
  <c r="M14" i="37"/>
  <c r="O14" i="37" s="1"/>
  <c r="N14" i="37"/>
  <c r="P14" i="37" s="1"/>
  <c r="Q14" i="37"/>
  <c r="R14" i="37" s="1"/>
  <c r="M15" i="37"/>
  <c r="O15" i="37" s="1"/>
  <c r="N15" i="37"/>
  <c r="P15" i="37" s="1"/>
  <c r="Q15" i="37"/>
  <c r="R15" i="37" s="1"/>
  <c r="M16" i="37"/>
  <c r="O16" i="37" s="1"/>
  <c r="N16" i="37"/>
  <c r="P16" i="37" s="1"/>
  <c r="Q16" i="37"/>
  <c r="R16" i="37" s="1"/>
  <c r="M17" i="37"/>
  <c r="O17" i="37" s="1"/>
  <c r="N17" i="37"/>
  <c r="P17" i="37" s="1"/>
  <c r="Q17" i="37"/>
  <c r="R17" i="37" s="1"/>
  <c r="M18" i="37"/>
  <c r="O18" i="37" s="1"/>
  <c r="N18" i="37"/>
  <c r="P18" i="37" s="1"/>
  <c r="Q18" i="37"/>
  <c r="R18" i="37" s="1"/>
  <c r="M19" i="37"/>
  <c r="O19" i="37" s="1"/>
  <c r="N19" i="37"/>
  <c r="P19" i="37" s="1"/>
  <c r="Q19" i="37"/>
  <c r="R19" i="37" s="1"/>
  <c r="M20" i="37"/>
  <c r="O20" i="37" s="1"/>
  <c r="N20" i="37"/>
  <c r="P20" i="37" s="1"/>
  <c r="Q20" i="37"/>
  <c r="R20" i="37" s="1"/>
  <c r="M21" i="37"/>
  <c r="O21" i="37" s="1"/>
  <c r="N21" i="37"/>
  <c r="P21" i="37" s="1"/>
  <c r="Q21" i="37"/>
  <c r="R21" i="37" s="1"/>
  <c r="M22" i="37"/>
  <c r="O22" i="37" s="1"/>
  <c r="N22" i="37"/>
  <c r="P22" i="37" s="1"/>
  <c r="Q22" i="37"/>
  <c r="R22" i="37" s="1"/>
  <c r="M23" i="37"/>
  <c r="O23" i="37" s="1"/>
  <c r="N23" i="37"/>
  <c r="P23" i="37" s="1"/>
  <c r="Q23" i="37"/>
  <c r="R23" i="37" s="1"/>
  <c r="M24" i="37"/>
  <c r="O24" i="37" s="1"/>
  <c r="N24" i="37"/>
  <c r="P24" i="37" s="1"/>
  <c r="Q24" i="37"/>
  <c r="R24" i="37" s="1"/>
  <c r="M25" i="37"/>
  <c r="O25" i="37" s="1"/>
  <c r="N25" i="37"/>
  <c r="P25" i="37" s="1"/>
  <c r="Q25" i="37"/>
  <c r="R25" i="37" s="1"/>
  <c r="M26" i="37"/>
  <c r="O26" i="37" s="1"/>
  <c r="N26" i="37"/>
  <c r="P26" i="37" s="1"/>
  <c r="Q26" i="37"/>
  <c r="R26" i="37" s="1"/>
  <c r="M27" i="37"/>
  <c r="O27" i="37" s="1"/>
  <c r="N27" i="37"/>
  <c r="P27" i="37" s="1"/>
  <c r="Q27" i="37"/>
  <c r="R27" i="37" s="1"/>
  <c r="M28" i="37"/>
  <c r="O28" i="37" s="1"/>
  <c r="N28" i="37"/>
  <c r="P28" i="37" s="1"/>
  <c r="Q28" i="37"/>
  <c r="R28" i="37" s="1"/>
  <c r="M29" i="37"/>
  <c r="O29" i="37" s="1"/>
  <c r="N29" i="37"/>
  <c r="P29" i="37" s="1"/>
  <c r="Q29" i="37"/>
  <c r="R29" i="37" s="1"/>
  <c r="M30" i="37"/>
  <c r="O30" i="37" s="1"/>
  <c r="N30" i="37"/>
  <c r="P30" i="37" s="1"/>
  <c r="Q30" i="37"/>
  <c r="R30" i="37" s="1"/>
  <c r="M31" i="37"/>
  <c r="O31" i="37" s="1"/>
  <c r="N31" i="37"/>
  <c r="P31" i="37" s="1"/>
  <c r="Q31" i="37"/>
  <c r="R31" i="37" s="1"/>
  <c r="M32" i="37"/>
  <c r="O32" i="37" s="1"/>
  <c r="N32" i="37"/>
  <c r="P32" i="37" s="1"/>
  <c r="Q32" i="37"/>
  <c r="R32" i="37" s="1"/>
  <c r="M33" i="37"/>
  <c r="O33" i="37" s="1"/>
  <c r="N33" i="37"/>
  <c r="P33" i="37" s="1"/>
  <c r="Q33" i="37"/>
  <c r="R33" i="37" s="1"/>
  <c r="M34" i="37"/>
  <c r="O34" i="37" s="1"/>
  <c r="N34" i="37"/>
  <c r="P34" i="37" s="1"/>
  <c r="Q34" i="37"/>
  <c r="R34" i="37" s="1"/>
  <c r="M35" i="37"/>
  <c r="O35" i="37" s="1"/>
  <c r="N35" i="37"/>
  <c r="P35" i="37" s="1"/>
  <c r="Q35" i="37"/>
  <c r="R35" i="37" s="1"/>
  <c r="M36" i="37"/>
  <c r="O36" i="37" s="1"/>
  <c r="N36" i="37"/>
  <c r="P36" i="37" s="1"/>
  <c r="Q36" i="37"/>
  <c r="R36" i="37" s="1"/>
  <c r="M37" i="37"/>
  <c r="O37" i="37" s="1"/>
  <c r="N37" i="37"/>
  <c r="P37" i="37" s="1"/>
  <c r="Q37" i="37"/>
  <c r="R37" i="37" s="1"/>
  <c r="M38" i="37"/>
  <c r="O38" i="37" s="1"/>
  <c r="N38" i="37"/>
  <c r="P38" i="37" s="1"/>
  <c r="Q38" i="37"/>
  <c r="R38" i="37" s="1"/>
  <c r="M39" i="37"/>
  <c r="O39" i="37" s="1"/>
  <c r="N39" i="37"/>
  <c r="P39" i="37" s="1"/>
  <c r="Q39" i="37"/>
  <c r="R39" i="37" s="1"/>
  <c r="M40" i="37"/>
  <c r="O40" i="37" s="1"/>
  <c r="N40" i="37"/>
  <c r="P40" i="37" s="1"/>
  <c r="Q40" i="37"/>
  <c r="R40" i="37" s="1"/>
  <c r="M41" i="37"/>
  <c r="O41" i="37" s="1"/>
  <c r="N41" i="37"/>
  <c r="P41" i="37" s="1"/>
  <c r="Q41" i="37"/>
  <c r="R41" i="37" s="1"/>
  <c r="M42" i="37"/>
  <c r="O42" i="37" s="1"/>
  <c r="N42" i="37"/>
  <c r="P42" i="37" s="1"/>
  <c r="Q42" i="37"/>
  <c r="R42" i="37" s="1"/>
  <c r="M43" i="37"/>
  <c r="O43" i="37" s="1"/>
  <c r="N43" i="37"/>
  <c r="P43" i="37" s="1"/>
  <c r="Q43" i="37"/>
  <c r="R43" i="37" s="1"/>
  <c r="M44" i="37"/>
  <c r="O44" i="37" s="1"/>
  <c r="N44" i="37"/>
  <c r="P44" i="37" s="1"/>
  <c r="Q44" i="37"/>
  <c r="R44" i="37" s="1"/>
  <c r="M45" i="37"/>
  <c r="O45" i="37" s="1"/>
  <c r="N45" i="37"/>
  <c r="P45" i="37" s="1"/>
  <c r="Q45" i="37"/>
  <c r="R45" i="37" s="1"/>
  <c r="M46" i="37"/>
  <c r="O46" i="37" s="1"/>
  <c r="N46" i="37"/>
  <c r="P46" i="37" s="1"/>
  <c r="Q46" i="37"/>
  <c r="R46" i="37" s="1"/>
  <c r="M47" i="37"/>
  <c r="O47" i="37" s="1"/>
  <c r="N47" i="37"/>
  <c r="P47" i="37" s="1"/>
  <c r="Q47" i="37"/>
  <c r="R47" i="37" s="1"/>
  <c r="M48" i="37"/>
  <c r="O48" i="37" s="1"/>
  <c r="N48" i="37"/>
  <c r="P48" i="37" s="1"/>
  <c r="Q48" i="37"/>
  <c r="R48" i="37" s="1"/>
  <c r="M49" i="37"/>
  <c r="O49" i="37" s="1"/>
  <c r="N49" i="37"/>
  <c r="P49" i="37" s="1"/>
  <c r="Q49" i="37"/>
  <c r="R49" i="37" s="1"/>
  <c r="M50" i="37"/>
  <c r="O50" i="37" s="1"/>
  <c r="N50" i="37"/>
  <c r="P50" i="37" s="1"/>
  <c r="Q50" i="37"/>
  <c r="R50" i="37" s="1"/>
  <c r="M51" i="37"/>
  <c r="O51" i="37" s="1"/>
  <c r="N51" i="37"/>
  <c r="P51" i="37" s="1"/>
  <c r="Q51" i="37"/>
  <c r="R51" i="37" s="1"/>
  <c r="M52" i="37"/>
  <c r="O52" i="37" s="1"/>
  <c r="N52" i="37"/>
  <c r="P52" i="37" s="1"/>
  <c r="Q52" i="37"/>
  <c r="R52" i="37" s="1"/>
  <c r="M53" i="37"/>
  <c r="O53" i="37" s="1"/>
  <c r="N53" i="37"/>
  <c r="P53" i="37" s="1"/>
  <c r="Q53" i="37"/>
  <c r="R53" i="37" s="1"/>
  <c r="M54" i="37"/>
  <c r="O54" i="37" s="1"/>
  <c r="N54" i="37"/>
  <c r="P54" i="37" s="1"/>
  <c r="Q54" i="37"/>
  <c r="R54" i="37" s="1"/>
  <c r="M55" i="37"/>
  <c r="O55" i="37" s="1"/>
  <c r="N55" i="37"/>
  <c r="P55" i="37" s="1"/>
  <c r="Q55" i="37"/>
  <c r="R55" i="37" s="1"/>
  <c r="M56" i="37"/>
  <c r="O56" i="37" s="1"/>
  <c r="N56" i="37"/>
  <c r="P56" i="37" s="1"/>
  <c r="Q56" i="37"/>
  <c r="R56" i="37" s="1"/>
  <c r="M57" i="37"/>
  <c r="O57" i="37" s="1"/>
  <c r="N57" i="37"/>
  <c r="P57" i="37" s="1"/>
  <c r="Q57" i="37"/>
  <c r="R57" i="37" s="1"/>
  <c r="M58" i="37"/>
  <c r="O58" i="37" s="1"/>
  <c r="N58" i="37"/>
  <c r="P58" i="37" s="1"/>
  <c r="Q58" i="37"/>
  <c r="R58" i="37" s="1"/>
  <c r="M59" i="37"/>
  <c r="O59" i="37" s="1"/>
  <c r="N59" i="37"/>
  <c r="P59" i="37" s="1"/>
  <c r="Q59" i="37"/>
  <c r="R59" i="37" s="1"/>
  <c r="M60" i="37"/>
  <c r="O60" i="37" s="1"/>
  <c r="N60" i="37"/>
  <c r="P60" i="37" s="1"/>
  <c r="Q60" i="37"/>
  <c r="R60" i="37" s="1"/>
  <c r="M61" i="37"/>
  <c r="O61" i="37" s="1"/>
  <c r="N61" i="37"/>
  <c r="P61" i="37" s="1"/>
  <c r="Q61" i="37"/>
  <c r="R61" i="37" s="1"/>
  <c r="M62" i="37"/>
  <c r="O62" i="37" s="1"/>
  <c r="N62" i="37"/>
  <c r="P62" i="37" s="1"/>
  <c r="Q62" i="37"/>
  <c r="R62" i="37" s="1"/>
  <c r="M63" i="37"/>
  <c r="O63" i="37" s="1"/>
  <c r="N63" i="37"/>
  <c r="P63" i="37" s="1"/>
  <c r="Q63" i="37"/>
  <c r="R63" i="37" s="1"/>
  <c r="M64" i="37"/>
  <c r="O64" i="37" s="1"/>
  <c r="N64" i="37"/>
  <c r="P64" i="37" s="1"/>
  <c r="Q64" i="37"/>
  <c r="R64" i="37" s="1"/>
  <c r="M65" i="37"/>
  <c r="O65" i="37" s="1"/>
  <c r="N65" i="37"/>
  <c r="P65" i="37" s="1"/>
  <c r="Q65" i="37"/>
  <c r="R65" i="37" s="1"/>
  <c r="M66" i="37"/>
  <c r="O66" i="37" s="1"/>
  <c r="N66" i="37"/>
  <c r="P66" i="37" s="1"/>
  <c r="Q66" i="37"/>
  <c r="R66" i="37" s="1"/>
  <c r="M67" i="37"/>
  <c r="O67" i="37" s="1"/>
  <c r="N67" i="37"/>
  <c r="P67" i="37" s="1"/>
  <c r="Q67" i="37"/>
  <c r="R67" i="37" s="1"/>
  <c r="M68" i="37"/>
  <c r="O68" i="37" s="1"/>
  <c r="N68" i="37"/>
  <c r="P68" i="37" s="1"/>
  <c r="Q68" i="37"/>
  <c r="R68" i="37" s="1"/>
  <c r="M69" i="37"/>
  <c r="O69" i="37" s="1"/>
  <c r="N69" i="37"/>
  <c r="P69" i="37" s="1"/>
  <c r="Q69" i="37"/>
  <c r="R69" i="37" s="1"/>
  <c r="M70" i="37"/>
  <c r="O70" i="37" s="1"/>
  <c r="N70" i="37"/>
  <c r="P70" i="37" s="1"/>
  <c r="Q70" i="37"/>
  <c r="R70" i="37" s="1"/>
  <c r="M71" i="37"/>
  <c r="O71" i="37" s="1"/>
  <c r="N71" i="37"/>
  <c r="P71" i="37" s="1"/>
  <c r="Q71" i="37"/>
  <c r="R71" i="37" s="1"/>
  <c r="M72" i="37"/>
  <c r="O72" i="37" s="1"/>
  <c r="N72" i="37"/>
  <c r="P72" i="37" s="1"/>
  <c r="Q72" i="37"/>
  <c r="R72" i="37" s="1"/>
  <c r="M73" i="37"/>
  <c r="O73" i="37" s="1"/>
  <c r="N73" i="37"/>
  <c r="P73" i="37" s="1"/>
  <c r="Q73" i="37"/>
  <c r="R73" i="37" s="1"/>
  <c r="M74" i="37"/>
  <c r="O74" i="37" s="1"/>
  <c r="N74" i="37"/>
  <c r="P74" i="37" s="1"/>
  <c r="Q74" i="37"/>
  <c r="R74" i="37" s="1"/>
  <c r="M75" i="37"/>
  <c r="O75" i="37" s="1"/>
  <c r="N75" i="37"/>
  <c r="P75" i="37" s="1"/>
  <c r="Q75" i="37"/>
  <c r="R75" i="37" s="1"/>
  <c r="M76" i="37"/>
  <c r="O76" i="37" s="1"/>
  <c r="N76" i="37"/>
  <c r="P76" i="37" s="1"/>
  <c r="Q76" i="37"/>
  <c r="R76" i="37" s="1"/>
  <c r="M77" i="37"/>
  <c r="O77" i="37" s="1"/>
  <c r="N77" i="37"/>
  <c r="P77" i="37" s="1"/>
  <c r="Q77" i="37"/>
  <c r="R77" i="37" s="1"/>
  <c r="M78" i="37"/>
  <c r="O78" i="37" s="1"/>
  <c r="N78" i="37"/>
  <c r="P78" i="37" s="1"/>
  <c r="Q78" i="37"/>
  <c r="R78" i="37" s="1"/>
  <c r="M79" i="37"/>
  <c r="O79" i="37" s="1"/>
  <c r="N79" i="37"/>
  <c r="P79" i="37" s="1"/>
  <c r="Q79" i="37"/>
  <c r="R79" i="37" s="1"/>
  <c r="M80" i="37"/>
  <c r="O80" i="37" s="1"/>
  <c r="N80" i="37"/>
  <c r="P80" i="37" s="1"/>
  <c r="Q80" i="37"/>
  <c r="R80" i="37" s="1"/>
  <c r="M81" i="37"/>
  <c r="O81" i="37" s="1"/>
  <c r="N81" i="37"/>
  <c r="P81" i="37" s="1"/>
  <c r="Q81" i="37"/>
  <c r="R81" i="37" s="1"/>
  <c r="M82" i="37"/>
  <c r="O82" i="37" s="1"/>
  <c r="N82" i="37"/>
  <c r="P82" i="37" s="1"/>
  <c r="Q82" i="37"/>
  <c r="R82" i="37" s="1"/>
  <c r="M83" i="37"/>
  <c r="O83" i="37" s="1"/>
  <c r="N83" i="37"/>
  <c r="P83" i="37" s="1"/>
  <c r="Q83" i="37"/>
  <c r="R83" i="37" s="1"/>
  <c r="M84" i="37"/>
  <c r="O84" i="37" s="1"/>
  <c r="N84" i="37"/>
  <c r="P84" i="37" s="1"/>
  <c r="Q84" i="37"/>
  <c r="R84" i="37" s="1"/>
  <c r="M85" i="37"/>
  <c r="O85" i="37" s="1"/>
  <c r="N85" i="37"/>
  <c r="P85" i="37" s="1"/>
  <c r="Q85" i="37"/>
  <c r="R85" i="37" s="1"/>
  <c r="M86" i="37"/>
  <c r="O86" i="37" s="1"/>
  <c r="N86" i="37"/>
  <c r="P86" i="37" s="1"/>
  <c r="Q86" i="37"/>
  <c r="R86" i="37" s="1"/>
  <c r="M87" i="37"/>
  <c r="O87" i="37" s="1"/>
  <c r="N87" i="37"/>
  <c r="P87" i="37" s="1"/>
  <c r="Q87" i="37"/>
  <c r="R87" i="37" s="1"/>
  <c r="M88" i="37"/>
  <c r="O88" i="37" s="1"/>
  <c r="N88" i="37"/>
  <c r="P88" i="37" s="1"/>
  <c r="Q88" i="37"/>
  <c r="R88" i="37" s="1"/>
  <c r="M89" i="37"/>
  <c r="O89" i="37" s="1"/>
  <c r="N89" i="37"/>
  <c r="P89" i="37" s="1"/>
  <c r="Q89" i="37"/>
  <c r="R89" i="37" s="1"/>
  <c r="M90" i="37"/>
  <c r="O90" i="37" s="1"/>
  <c r="N90" i="37"/>
  <c r="P90" i="37" s="1"/>
  <c r="Q90" i="37"/>
  <c r="R90" i="37" s="1"/>
  <c r="M91" i="37"/>
  <c r="O91" i="37" s="1"/>
  <c r="N91" i="37"/>
  <c r="P91" i="37" s="1"/>
  <c r="Q91" i="37"/>
  <c r="R91" i="37" s="1"/>
  <c r="M92" i="37"/>
  <c r="O92" i="37" s="1"/>
  <c r="N92" i="37"/>
  <c r="P92" i="37" s="1"/>
  <c r="Q92" i="37"/>
  <c r="R92" i="37" s="1"/>
  <c r="M93" i="37"/>
  <c r="O93" i="37" s="1"/>
  <c r="N93" i="37"/>
  <c r="P93" i="37" s="1"/>
  <c r="Q93" i="37"/>
  <c r="R93" i="37" s="1"/>
  <c r="M94" i="37"/>
  <c r="O94" i="37" s="1"/>
  <c r="N94" i="37"/>
  <c r="P94" i="37" s="1"/>
  <c r="Q94" i="37"/>
  <c r="R94" i="37" s="1"/>
  <c r="M95" i="37"/>
  <c r="O95" i="37" s="1"/>
  <c r="N95" i="37"/>
  <c r="P95" i="37" s="1"/>
  <c r="Q95" i="37"/>
  <c r="R95" i="37" s="1"/>
  <c r="M96" i="37"/>
  <c r="O96" i="37" s="1"/>
  <c r="N96" i="37"/>
  <c r="P96" i="37" s="1"/>
  <c r="Q96" i="37"/>
  <c r="R96" i="37" s="1"/>
  <c r="M97" i="37"/>
  <c r="O97" i="37" s="1"/>
  <c r="N97" i="37"/>
  <c r="P97" i="37" s="1"/>
  <c r="Q97" i="37"/>
  <c r="R97" i="37" s="1"/>
  <c r="M98" i="37"/>
  <c r="O98" i="37" s="1"/>
  <c r="N98" i="37"/>
  <c r="P98" i="37" s="1"/>
  <c r="Q98" i="37"/>
  <c r="R98" i="37" s="1"/>
  <c r="M99" i="37"/>
  <c r="O99" i="37" s="1"/>
  <c r="N99" i="37"/>
  <c r="P99" i="37" s="1"/>
  <c r="Q99" i="37"/>
  <c r="R99" i="37" s="1"/>
  <c r="M100" i="37"/>
  <c r="O100" i="37" s="1"/>
  <c r="N100" i="37"/>
  <c r="P100" i="37" s="1"/>
  <c r="Q100" i="37"/>
  <c r="R100" i="37" s="1"/>
  <c r="M101" i="37"/>
  <c r="O101" i="37" s="1"/>
  <c r="N101" i="37"/>
  <c r="P101" i="37" s="1"/>
  <c r="Q101" i="37"/>
  <c r="R101" i="37" s="1"/>
  <c r="M102" i="37"/>
  <c r="O102" i="37" s="1"/>
  <c r="N102" i="37"/>
  <c r="P102" i="37" s="1"/>
  <c r="Q102" i="37"/>
  <c r="R102" i="37" s="1"/>
  <c r="M103" i="37"/>
  <c r="O103" i="37" s="1"/>
  <c r="N103" i="37"/>
  <c r="P103" i="37" s="1"/>
  <c r="Q103" i="37"/>
  <c r="R103" i="37" s="1"/>
  <c r="M104" i="37"/>
  <c r="O104" i="37" s="1"/>
  <c r="N104" i="37"/>
  <c r="P104" i="37" s="1"/>
  <c r="Q104" i="37"/>
  <c r="R104" i="37" s="1"/>
  <c r="M105" i="37"/>
  <c r="O105" i="37" s="1"/>
  <c r="N105" i="37"/>
  <c r="P105" i="37" s="1"/>
  <c r="Q105" i="37"/>
  <c r="R105" i="37" s="1"/>
  <c r="M106" i="37"/>
  <c r="O106" i="37" s="1"/>
  <c r="N106" i="37"/>
  <c r="P106" i="37" s="1"/>
  <c r="Q106" i="37"/>
  <c r="R106" i="37" s="1"/>
  <c r="M107" i="37"/>
  <c r="O107" i="37" s="1"/>
  <c r="N107" i="37"/>
  <c r="P107" i="37" s="1"/>
  <c r="Q107" i="37"/>
  <c r="R107" i="37" s="1"/>
  <c r="M108" i="37"/>
  <c r="O108" i="37" s="1"/>
  <c r="N108" i="37"/>
  <c r="P108" i="37" s="1"/>
  <c r="Q108" i="37"/>
  <c r="R108" i="37" s="1"/>
  <c r="M109" i="37"/>
  <c r="O109" i="37" s="1"/>
  <c r="N109" i="37"/>
  <c r="P109" i="37" s="1"/>
  <c r="Q109" i="37"/>
  <c r="R109" i="37" s="1"/>
  <c r="M110" i="37"/>
  <c r="O110" i="37" s="1"/>
  <c r="N110" i="37"/>
  <c r="P110" i="37" s="1"/>
  <c r="Q110" i="37"/>
  <c r="R110" i="37" s="1"/>
  <c r="M111" i="37"/>
  <c r="O111" i="37" s="1"/>
  <c r="N111" i="37"/>
  <c r="P111" i="37" s="1"/>
  <c r="Q111" i="37"/>
  <c r="R111" i="37" s="1"/>
  <c r="M112" i="37"/>
  <c r="O112" i="37" s="1"/>
  <c r="N112" i="37"/>
  <c r="P112" i="37" s="1"/>
  <c r="Q112" i="37"/>
  <c r="R112" i="37" s="1"/>
  <c r="M113" i="37"/>
  <c r="O113" i="37" s="1"/>
  <c r="N113" i="37"/>
  <c r="P113" i="37" s="1"/>
  <c r="Q113" i="37"/>
  <c r="R113" i="37" s="1"/>
  <c r="M114" i="37"/>
  <c r="O114" i="37" s="1"/>
  <c r="N114" i="37"/>
  <c r="P114" i="37" s="1"/>
  <c r="Q114" i="37"/>
  <c r="R114" i="37" s="1"/>
  <c r="M115" i="37"/>
  <c r="O115" i="37" s="1"/>
  <c r="N115" i="37"/>
  <c r="P115" i="37" s="1"/>
  <c r="Q115" i="37"/>
  <c r="R115" i="37" s="1"/>
  <c r="M116" i="37"/>
  <c r="O116" i="37" s="1"/>
  <c r="N116" i="37"/>
  <c r="P116" i="37" s="1"/>
  <c r="Q116" i="37"/>
  <c r="R116" i="37" s="1"/>
  <c r="M117" i="37"/>
  <c r="O117" i="37" s="1"/>
  <c r="N117" i="37"/>
  <c r="P117" i="37" s="1"/>
  <c r="Q117" i="37"/>
  <c r="R117" i="37" s="1"/>
  <c r="M118" i="37"/>
  <c r="O118" i="37" s="1"/>
  <c r="N118" i="37"/>
  <c r="P118" i="37" s="1"/>
  <c r="Q118" i="37"/>
  <c r="R118" i="37" s="1"/>
  <c r="M119" i="37"/>
  <c r="O119" i="37" s="1"/>
  <c r="N119" i="37"/>
  <c r="P119" i="37" s="1"/>
  <c r="Q119" i="37"/>
  <c r="R119" i="37" s="1"/>
  <c r="M120" i="37"/>
  <c r="O120" i="37" s="1"/>
  <c r="N120" i="37"/>
  <c r="P120" i="37" s="1"/>
  <c r="Q120" i="37"/>
  <c r="R120" i="37" s="1"/>
  <c r="M121" i="37"/>
  <c r="O121" i="37" s="1"/>
  <c r="N121" i="37"/>
  <c r="P121" i="37" s="1"/>
  <c r="Q121" i="37"/>
  <c r="R121" i="37" s="1"/>
  <c r="M122" i="37"/>
  <c r="O122" i="37" s="1"/>
  <c r="N122" i="37"/>
  <c r="P122" i="37" s="1"/>
  <c r="Q122" i="37"/>
  <c r="R122" i="37" s="1"/>
  <c r="M123" i="37"/>
  <c r="O123" i="37" s="1"/>
  <c r="N123" i="37"/>
  <c r="P123" i="37" s="1"/>
  <c r="Q123" i="37"/>
  <c r="R123" i="37" s="1"/>
  <c r="M124" i="37"/>
  <c r="O124" i="37" s="1"/>
  <c r="N124" i="37"/>
  <c r="P124" i="37" s="1"/>
  <c r="Q124" i="37"/>
  <c r="R124" i="37" s="1"/>
  <c r="M125" i="37"/>
  <c r="O125" i="37" s="1"/>
  <c r="N125" i="37"/>
  <c r="P125" i="37" s="1"/>
  <c r="Q125" i="37"/>
  <c r="R125" i="37" s="1"/>
  <c r="M126" i="37"/>
  <c r="O126" i="37" s="1"/>
  <c r="N126" i="37"/>
  <c r="P126" i="37" s="1"/>
  <c r="Q126" i="37"/>
  <c r="R126" i="37" s="1"/>
  <c r="M127" i="37"/>
  <c r="O127" i="37" s="1"/>
  <c r="N127" i="37"/>
  <c r="P127" i="37" s="1"/>
  <c r="Q127" i="37"/>
  <c r="R127" i="37" s="1"/>
  <c r="M128" i="37"/>
  <c r="O128" i="37" s="1"/>
  <c r="N128" i="37"/>
  <c r="P128" i="37" s="1"/>
  <c r="Q128" i="37"/>
  <c r="R128" i="37" s="1"/>
  <c r="M129" i="37"/>
  <c r="O129" i="37" s="1"/>
  <c r="N129" i="37"/>
  <c r="P129" i="37" s="1"/>
  <c r="Q129" i="37"/>
  <c r="R129" i="37" s="1"/>
  <c r="M130" i="37"/>
  <c r="O130" i="37" s="1"/>
  <c r="N130" i="37"/>
  <c r="P130" i="37" s="1"/>
  <c r="Q130" i="37"/>
  <c r="R130" i="37" s="1"/>
  <c r="M131" i="37"/>
  <c r="O131" i="37" s="1"/>
  <c r="N131" i="37"/>
  <c r="P131" i="37" s="1"/>
  <c r="Q131" i="37"/>
  <c r="R131" i="37" s="1"/>
  <c r="M132" i="37"/>
  <c r="O132" i="37" s="1"/>
  <c r="N132" i="37"/>
  <c r="P132" i="37" s="1"/>
  <c r="Q132" i="37"/>
  <c r="R132" i="37" s="1"/>
  <c r="M133" i="37"/>
  <c r="O133" i="37" s="1"/>
  <c r="N133" i="37"/>
  <c r="P133" i="37" s="1"/>
  <c r="Q133" i="37"/>
  <c r="R133" i="37" s="1"/>
  <c r="M134" i="37"/>
  <c r="O134" i="37" s="1"/>
  <c r="N134" i="37"/>
  <c r="P134" i="37" s="1"/>
  <c r="Q134" i="37"/>
  <c r="R134" i="37" s="1"/>
  <c r="M135" i="37"/>
  <c r="O135" i="37" s="1"/>
  <c r="N135" i="37"/>
  <c r="P135" i="37" s="1"/>
  <c r="Q135" i="37"/>
  <c r="R135" i="37" s="1"/>
  <c r="M136" i="37"/>
  <c r="O136" i="37" s="1"/>
  <c r="N136" i="37"/>
  <c r="P136" i="37" s="1"/>
  <c r="Q136" i="37"/>
  <c r="R136" i="37" s="1"/>
  <c r="M137" i="37"/>
  <c r="O137" i="37" s="1"/>
  <c r="N137" i="37"/>
  <c r="P137" i="37" s="1"/>
  <c r="Q137" i="37"/>
  <c r="R137" i="37" s="1"/>
  <c r="M138" i="37"/>
  <c r="O138" i="37" s="1"/>
  <c r="N138" i="37"/>
  <c r="P138" i="37" s="1"/>
  <c r="Q138" i="37"/>
  <c r="R138" i="37" s="1"/>
  <c r="M139" i="37"/>
  <c r="O139" i="37" s="1"/>
  <c r="N139" i="37"/>
  <c r="P139" i="37" s="1"/>
  <c r="Q139" i="37"/>
  <c r="R139" i="37" s="1"/>
  <c r="M140" i="37"/>
  <c r="O140" i="37" s="1"/>
  <c r="N140" i="37"/>
  <c r="P140" i="37" s="1"/>
  <c r="Q140" i="37"/>
  <c r="R140" i="37" s="1"/>
  <c r="M141" i="37"/>
  <c r="O141" i="37" s="1"/>
  <c r="N141" i="37"/>
  <c r="P141" i="37" s="1"/>
  <c r="Q141" i="37"/>
  <c r="R141" i="37" s="1"/>
  <c r="M142" i="37"/>
  <c r="O142" i="37" s="1"/>
  <c r="N142" i="37"/>
  <c r="P142" i="37" s="1"/>
  <c r="Q142" i="37"/>
  <c r="R142" i="37" s="1"/>
  <c r="M143" i="37"/>
  <c r="O143" i="37" s="1"/>
  <c r="N143" i="37"/>
  <c r="P143" i="37" s="1"/>
  <c r="Q143" i="37"/>
  <c r="R143" i="37" s="1"/>
  <c r="M144" i="37"/>
  <c r="O144" i="37" s="1"/>
  <c r="N144" i="37"/>
  <c r="P144" i="37" s="1"/>
  <c r="Q144" i="37"/>
  <c r="R144" i="37" s="1"/>
  <c r="M145" i="37"/>
  <c r="O145" i="37" s="1"/>
  <c r="N145" i="37"/>
  <c r="P145" i="37" s="1"/>
  <c r="Q145" i="37"/>
  <c r="R145" i="37" s="1"/>
  <c r="M146" i="37"/>
  <c r="O146" i="37" s="1"/>
  <c r="N146" i="37"/>
  <c r="P146" i="37" s="1"/>
  <c r="Q146" i="37"/>
  <c r="R146" i="37" s="1"/>
  <c r="M147" i="37"/>
  <c r="O147" i="37" s="1"/>
  <c r="N147" i="37"/>
  <c r="P147" i="37" s="1"/>
  <c r="Q147" i="37"/>
  <c r="R147" i="37" s="1"/>
  <c r="M148" i="37"/>
  <c r="O148" i="37" s="1"/>
  <c r="N148" i="37"/>
  <c r="P148" i="37" s="1"/>
  <c r="Q148" i="37"/>
  <c r="R148" i="37" s="1"/>
  <c r="M149" i="37"/>
  <c r="O149" i="37" s="1"/>
  <c r="N149" i="37"/>
  <c r="P149" i="37" s="1"/>
  <c r="Q149" i="37"/>
  <c r="R149" i="37" s="1"/>
  <c r="M150" i="37"/>
  <c r="O150" i="37" s="1"/>
  <c r="N150" i="37"/>
  <c r="P150" i="37" s="1"/>
  <c r="Q150" i="37"/>
  <c r="R150" i="37" s="1"/>
  <c r="M151" i="37"/>
  <c r="O151" i="37" s="1"/>
  <c r="N151" i="37"/>
  <c r="P151" i="37" s="1"/>
  <c r="Q151" i="37"/>
  <c r="R151" i="37" s="1"/>
  <c r="M152" i="37"/>
  <c r="O152" i="37" s="1"/>
  <c r="N152" i="37"/>
  <c r="P152" i="37" s="1"/>
  <c r="Q152" i="37"/>
  <c r="R152" i="37" s="1"/>
  <c r="M153" i="37"/>
  <c r="O153" i="37" s="1"/>
  <c r="N153" i="37"/>
  <c r="P153" i="37" s="1"/>
  <c r="Q153" i="37"/>
  <c r="R153" i="37" s="1"/>
  <c r="M154" i="37"/>
  <c r="O154" i="37" s="1"/>
  <c r="N154" i="37"/>
  <c r="P154" i="37" s="1"/>
  <c r="Q154" i="37"/>
  <c r="R154" i="37" s="1"/>
  <c r="M155" i="37"/>
  <c r="O155" i="37" s="1"/>
  <c r="N155" i="37"/>
  <c r="P155" i="37" s="1"/>
  <c r="Q155" i="37"/>
  <c r="R155" i="37" s="1"/>
  <c r="M156" i="37"/>
  <c r="O156" i="37" s="1"/>
  <c r="N156" i="37"/>
  <c r="P156" i="37" s="1"/>
  <c r="Q156" i="37"/>
  <c r="R156" i="37" s="1"/>
  <c r="M157" i="37"/>
  <c r="O157" i="37" s="1"/>
  <c r="N157" i="37"/>
  <c r="P157" i="37" s="1"/>
  <c r="Q157" i="37"/>
  <c r="R157" i="37" s="1"/>
  <c r="M158" i="37"/>
  <c r="O158" i="37" s="1"/>
  <c r="N158" i="37"/>
  <c r="P158" i="37" s="1"/>
  <c r="Q158" i="37"/>
  <c r="R158" i="37" s="1"/>
  <c r="M159" i="37"/>
  <c r="O159" i="37" s="1"/>
  <c r="N159" i="37"/>
  <c r="P159" i="37" s="1"/>
  <c r="Q159" i="37"/>
  <c r="R159" i="37" s="1"/>
  <c r="M160" i="37"/>
  <c r="O160" i="37" s="1"/>
  <c r="N160" i="37"/>
  <c r="P160" i="37" s="1"/>
  <c r="Q160" i="37"/>
  <c r="R160" i="37" s="1"/>
  <c r="M161" i="37"/>
  <c r="O161" i="37" s="1"/>
  <c r="N161" i="37"/>
  <c r="P161" i="37" s="1"/>
  <c r="Q161" i="37"/>
  <c r="R161" i="37" s="1"/>
  <c r="M162" i="37"/>
  <c r="O162" i="37" s="1"/>
  <c r="N162" i="37"/>
  <c r="P162" i="37" s="1"/>
  <c r="Q162" i="37"/>
  <c r="R162" i="37" s="1"/>
  <c r="M163" i="37"/>
  <c r="O163" i="37" s="1"/>
  <c r="N163" i="37"/>
  <c r="P163" i="37" s="1"/>
  <c r="Q163" i="37"/>
  <c r="R163" i="37" s="1"/>
  <c r="M164" i="37"/>
  <c r="O164" i="37" s="1"/>
  <c r="N164" i="37"/>
  <c r="P164" i="37" s="1"/>
  <c r="Q164" i="37"/>
  <c r="R164" i="37" s="1"/>
  <c r="M165" i="37"/>
  <c r="O165" i="37" s="1"/>
  <c r="N165" i="37"/>
  <c r="P165" i="37" s="1"/>
  <c r="Q165" i="37"/>
  <c r="R165" i="37" s="1"/>
  <c r="M166" i="37"/>
  <c r="O166" i="37" s="1"/>
  <c r="N166" i="37"/>
  <c r="P166" i="37" s="1"/>
  <c r="Q166" i="37"/>
  <c r="R166" i="37" s="1"/>
  <c r="M167" i="37"/>
  <c r="O167" i="37" s="1"/>
  <c r="N167" i="37"/>
  <c r="P167" i="37" s="1"/>
  <c r="Q167" i="37"/>
  <c r="R167" i="37" s="1"/>
  <c r="M168" i="37"/>
  <c r="O168" i="37" s="1"/>
  <c r="N168" i="37"/>
  <c r="P168" i="37" s="1"/>
  <c r="Q168" i="37"/>
  <c r="R168" i="37" s="1"/>
  <c r="M169" i="37"/>
  <c r="O169" i="37" s="1"/>
  <c r="N169" i="37"/>
  <c r="P169" i="37" s="1"/>
  <c r="Q169" i="37"/>
  <c r="R169" i="37" s="1"/>
  <c r="M170" i="37"/>
  <c r="O170" i="37" s="1"/>
  <c r="N170" i="37"/>
  <c r="P170" i="37" s="1"/>
  <c r="Q170" i="37"/>
  <c r="R170" i="37" s="1"/>
  <c r="M171" i="37"/>
  <c r="O171" i="37" s="1"/>
  <c r="N171" i="37"/>
  <c r="P171" i="37" s="1"/>
  <c r="Q171" i="37"/>
  <c r="R171" i="37" s="1"/>
  <c r="M172" i="37"/>
  <c r="O172" i="37" s="1"/>
  <c r="N172" i="37"/>
  <c r="P172" i="37" s="1"/>
  <c r="Q172" i="37"/>
  <c r="R172" i="37" s="1"/>
  <c r="M173" i="37"/>
  <c r="O173" i="37" s="1"/>
  <c r="N173" i="37"/>
  <c r="P173" i="37" s="1"/>
  <c r="Q173" i="37"/>
  <c r="R173" i="37" s="1"/>
  <c r="M174" i="37"/>
  <c r="O174" i="37" s="1"/>
  <c r="N174" i="37"/>
  <c r="P174" i="37" s="1"/>
  <c r="Q174" i="37"/>
  <c r="R174" i="37" s="1"/>
  <c r="M175" i="37"/>
  <c r="O175" i="37" s="1"/>
  <c r="N175" i="37"/>
  <c r="P175" i="37" s="1"/>
  <c r="Q175" i="37"/>
  <c r="R175" i="37" s="1"/>
  <c r="M176" i="37"/>
  <c r="O176" i="37" s="1"/>
  <c r="N176" i="37"/>
  <c r="P176" i="37" s="1"/>
  <c r="Q176" i="37"/>
  <c r="R176" i="37" s="1"/>
  <c r="M177" i="37"/>
  <c r="O177" i="37" s="1"/>
  <c r="N177" i="37"/>
  <c r="P177" i="37" s="1"/>
  <c r="Q177" i="37"/>
  <c r="R177" i="37" s="1"/>
  <c r="M178" i="37"/>
  <c r="O178" i="37" s="1"/>
  <c r="N178" i="37"/>
  <c r="P178" i="37" s="1"/>
  <c r="Q178" i="37"/>
  <c r="R178" i="37" s="1"/>
  <c r="M179" i="37"/>
  <c r="O179" i="37" s="1"/>
  <c r="N179" i="37"/>
  <c r="P179" i="37" s="1"/>
  <c r="Q179" i="37"/>
  <c r="R179" i="37" s="1"/>
  <c r="M180" i="37"/>
  <c r="O180" i="37" s="1"/>
  <c r="N180" i="37"/>
  <c r="P180" i="37" s="1"/>
  <c r="Q180" i="37"/>
  <c r="R180" i="37" s="1"/>
  <c r="M181" i="37"/>
  <c r="O181" i="37" s="1"/>
  <c r="N181" i="37"/>
  <c r="P181" i="37" s="1"/>
  <c r="Q181" i="37"/>
  <c r="R181" i="37" s="1"/>
  <c r="M182" i="37"/>
  <c r="O182" i="37" s="1"/>
  <c r="N182" i="37"/>
  <c r="P182" i="37" s="1"/>
  <c r="Q182" i="37"/>
  <c r="R182" i="37" s="1"/>
  <c r="M183" i="37"/>
  <c r="O183" i="37" s="1"/>
  <c r="N183" i="37"/>
  <c r="P183" i="37" s="1"/>
  <c r="Q183" i="37"/>
  <c r="R183" i="37" s="1"/>
  <c r="M184" i="37"/>
  <c r="O184" i="37" s="1"/>
  <c r="N184" i="37"/>
  <c r="P184" i="37" s="1"/>
  <c r="Q184" i="37"/>
  <c r="R184" i="37" s="1"/>
  <c r="M185" i="37"/>
  <c r="O185" i="37" s="1"/>
  <c r="N185" i="37"/>
  <c r="P185" i="37" s="1"/>
  <c r="Q185" i="37"/>
  <c r="R185" i="37" s="1"/>
  <c r="M186" i="37"/>
  <c r="O186" i="37" s="1"/>
  <c r="N186" i="37"/>
  <c r="P186" i="37" s="1"/>
  <c r="Q186" i="37"/>
  <c r="R186" i="37" s="1"/>
  <c r="M187" i="37"/>
  <c r="O187" i="37" s="1"/>
  <c r="N187" i="37"/>
  <c r="P187" i="37" s="1"/>
  <c r="Q187" i="37"/>
  <c r="R187" i="37" s="1"/>
  <c r="M188" i="37"/>
  <c r="O188" i="37" s="1"/>
  <c r="N188" i="37"/>
  <c r="P188" i="37" s="1"/>
  <c r="Q188" i="37"/>
  <c r="R188" i="37" s="1"/>
  <c r="M189" i="37"/>
  <c r="O189" i="37" s="1"/>
  <c r="N189" i="37"/>
  <c r="P189" i="37" s="1"/>
  <c r="Q189" i="37"/>
  <c r="R189" i="37" s="1"/>
  <c r="M190" i="37"/>
  <c r="O190" i="37" s="1"/>
  <c r="N190" i="37"/>
  <c r="P190" i="37" s="1"/>
  <c r="Q190" i="37"/>
  <c r="R190" i="37" s="1"/>
  <c r="M191" i="37"/>
  <c r="O191" i="37" s="1"/>
  <c r="N191" i="37"/>
  <c r="P191" i="37" s="1"/>
  <c r="Q191" i="37"/>
  <c r="R191" i="37" s="1"/>
  <c r="M192" i="37"/>
  <c r="O192" i="37" s="1"/>
  <c r="N192" i="37"/>
  <c r="P192" i="37" s="1"/>
  <c r="Q192" i="37"/>
  <c r="R192" i="37" s="1"/>
  <c r="M193" i="37"/>
  <c r="O193" i="37" s="1"/>
  <c r="N193" i="37"/>
  <c r="P193" i="37" s="1"/>
  <c r="Q193" i="37"/>
  <c r="R193" i="37" s="1"/>
  <c r="M194" i="37"/>
  <c r="O194" i="37" s="1"/>
  <c r="N194" i="37"/>
  <c r="P194" i="37" s="1"/>
  <c r="Q194" i="37"/>
  <c r="R194" i="37" s="1"/>
  <c r="M195" i="37"/>
  <c r="O195" i="37" s="1"/>
  <c r="N195" i="37"/>
  <c r="P195" i="37" s="1"/>
  <c r="Q195" i="37"/>
  <c r="R195" i="37" s="1"/>
  <c r="M196" i="37"/>
  <c r="O196" i="37" s="1"/>
  <c r="N196" i="37"/>
  <c r="P196" i="37" s="1"/>
  <c r="Q196" i="37"/>
  <c r="R196" i="37" s="1"/>
  <c r="L196" i="37"/>
  <c r="L195" i="37"/>
  <c r="L194" i="37"/>
  <c r="L193" i="37"/>
  <c r="L192" i="37"/>
  <c r="L191" i="37"/>
  <c r="L190" i="37"/>
  <c r="L189" i="37"/>
  <c r="L188" i="37"/>
  <c r="L187" i="37"/>
  <c r="L186" i="37"/>
  <c r="L185" i="37"/>
  <c r="L184" i="37"/>
  <c r="L183" i="37"/>
  <c r="L182" i="37"/>
  <c r="L181" i="37"/>
  <c r="L180" i="37"/>
  <c r="L179" i="37"/>
  <c r="L178" i="37"/>
  <c r="L177" i="37"/>
  <c r="L176" i="37"/>
  <c r="L175" i="37"/>
  <c r="L174" i="37"/>
  <c r="L173" i="37"/>
  <c r="L172" i="37"/>
  <c r="L171" i="37"/>
  <c r="L170" i="37"/>
  <c r="L169" i="37"/>
  <c r="L168" i="37"/>
  <c r="L167" i="37"/>
  <c r="L166" i="37"/>
  <c r="L165" i="37"/>
  <c r="L164" i="37"/>
  <c r="L163" i="37"/>
  <c r="L162" i="37"/>
  <c r="L161" i="37"/>
  <c r="L160" i="37"/>
  <c r="L159" i="37"/>
  <c r="L158" i="37"/>
  <c r="L157" i="37"/>
  <c r="L156" i="37"/>
  <c r="L155" i="37"/>
  <c r="L154" i="37"/>
  <c r="L153" i="37"/>
  <c r="L152" i="37"/>
  <c r="L151" i="37"/>
  <c r="L150" i="37"/>
  <c r="L149" i="37"/>
  <c r="L148" i="37"/>
  <c r="L147" i="37"/>
  <c r="L146" i="37"/>
  <c r="L145" i="37"/>
  <c r="L144" i="37"/>
  <c r="L143" i="37"/>
  <c r="L142" i="37"/>
  <c r="L141" i="37"/>
  <c r="L140" i="37"/>
  <c r="L139" i="37"/>
  <c r="L138" i="37"/>
  <c r="L137" i="37"/>
  <c r="L136" i="37"/>
  <c r="L135" i="37"/>
  <c r="L134" i="37"/>
  <c r="L133" i="37"/>
  <c r="L132" i="37"/>
  <c r="L131" i="37"/>
  <c r="L130" i="37"/>
  <c r="L129" i="37"/>
  <c r="L128" i="37"/>
  <c r="L127" i="37"/>
  <c r="L126" i="37"/>
  <c r="L125" i="37"/>
  <c r="L124" i="37"/>
  <c r="L123" i="37"/>
  <c r="L122" i="37"/>
  <c r="L121" i="37"/>
  <c r="L120" i="37"/>
  <c r="L119" i="37"/>
  <c r="L118" i="37"/>
  <c r="L117" i="37"/>
  <c r="L116" i="37"/>
  <c r="L115" i="37"/>
  <c r="L114" i="37"/>
  <c r="L113" i="37"/>
  <c r="L112" i="37"/>
  <c r="L111" i="37"/>
  <c r="L110" i="37"/>
  <c r="L109" i="37"/>
  <c r="L108" i="37"/>
  <c r="L107" i="37"/>
  <c r="L106" i="37"/>
  <c r="L105" i="37"/>
  <c r="L104" i="37"/>
  <c r="L103" i="37"/>
  <c r="L102" i="37"/>
  <c r="L101" i="37"/>
  <c r="L100" i="37"/>
  <c r="L99" i="37"/>
  <c r="L98" i="37"/>
  <c r="L97" i="37"/>
  <c r="L96" i="37"/>
  <c r="L95" i="37"/>
  <c r="L94" i="37"/>
  <c r="L93" i="37"/>
  <c r="L92" i="37"/>
  <c r="L91" i="37"/>
  <c r="L90" i="37"/>
  <c r="L89" i="37"/>
  <c r="L88" i="37"/>
  <c r="L87" i="37"/>
  <c r="L86" i="37"/>
  <c r="L85" i="37"/>
  <c r="L84" i="37"/>
  <c r="L83" i="37"/>
  <c r="L82" i="37"/>
  <c r="L81" i="37"/>
  <c r="L80" i="37"/>
  <c r="L79" i="37"/>
  <c r="L78" i="37"/>
  <c r="L77" i="37"/>
  <c r="L76" i="37"/>
  <c r="L75" i="37"/>
  <c r="L74" i="37"/>
  <c r="L73" i="37"/>
  <c r="L72" i="37"/>
  <c r="L71" i="37"/>
  <c r="L70" i="37"/>
  <c r="L69" i="37"/>
  <c r="L68" i="37"/>
  <c r="L67" i="37"/>
  <c r="L66" i="37"/>
  <c r="L65" i="37"/>
  <c r="L64" i="37"/>
  <c r="L63" i="37"/>
  <c r="L62" i="37"/>
  <c r="L61" i="37"/>
  <c r="L60" i="37"/>
  <c r="L59" i="37"/>
  <c r="L58" i="37"/>
  <c r="L57" i="37"/>
  <c r="L56" i="37"/>
  <c r="L55" i="37"/>
  <c r="L54" i="37"/>
  <c r="L53" i="37"/>
  <c r="L52" i="37"/>
  <c r="L51" i="37"/>
  <c r="L50" i="37"/>
  <c r="L49" i="37"/>
  <c r="L48" i="37"/>
  <c r="L47" i="37"/>
  <c r="L46" i="37"/>
  <c r="L45" i="37"/>
  <c r="L44" i="37"/>
  <c r="L43" i="37"/>
  <c r="L42" i="37"/>
  <c r="L41" i="37"/>
  <c r="L40" i="37"/>
  <c r="L39" i="37"/>
  <c r="L38" i="37"/>
  <c r="L37" i="37"/>
  <c r="L36" i="37"/>
  <c r="L35" i="37"/>
  <c r="L34" i="37"/>
  <c r="L33" i="37"/>
  <c r="L32" i="37"/>
  <c r="L31" i="37"/>
  <c r="L30" i="37"/>
  <c r="L29" i="37"/>
  <c r="L28" i="37"/>
  <c r="L27" i="37"/>
  <c r="L26" i="37"/>
  <c r="L25" i="37"/>
  <c r="L24" i="37"/>
  <c r="L23" i="37"/>
  <c r="L22" i="37"/>
  <c r="L21" i="37"/>
  <c r="L20" i="37"/>
  <c r="L19" i="37"/>
  <c r="L18" i="37"/>
  <c r="L17" i="37"/>
  <c r="L16" i="37"/>
  <c r="L15" i="37"/>
  <c r="L14" i="37"/>
  <c r="L13" i="37"/>
  <c r="L12" i="37"/>
  <c r="L11" i="37"/>
  <c r="L10" i="37"/>
  <c r="L9" i="37"/>
  <c r="L8" i="37"/>
  <c r="L7" i="37"/>
  <c r="L6" i="37"/>
  <c r="L5" i="37"/>
  <c r="L4" i="37"/>
  <c r="L3" i="37"/>
  <c r="Q2" i="37"/>
  <c r="R2" i="37" s="1"/>
  <c r="N2" i="37"/>
  <c r="P2" i="37" s="1"/>
  <c r="M2" i="37"/>
  <c r="O2" i="37" s="1"/>
  <c r="R3" i="14"/>
  <c r="O3" i="35"/>
  <c r="P3" i="35" s="1"/>
  <c r="O4" i="35"/>
  <c r="P4" i="35" s="1"/>
  <c r="O5" i="35"/>
  <c r="P5" i="35" s="1"/>
  <c r="O6" i="35"/>
  <c r="P6" i="35" s="1"/>
  <c r="O7" i="35"/>
  <c r="P7" i="35" s="1"/>
  <c r="O8" i="35"/>
  <c r="P8" i="35" s="1"/>
  <c r="O9" i="35"/>
  <c r="P9" i="35" s="1"/>
  <c r="O10" i="35"/>
  <c r="P10" i="35" s="1"/>
  <c r="O11" i="35"/>
  <c r="P11" i="35" s="1"/>
  <c r="O12" i="35"/>
  <c r="P12" i="35" s="1"/>
  <c r="O13" i="35"/>
  <c r="P13" i="35" s="1"/>
  <c r="O14" i="35"/>
  <c r="P14" i="35" s="1"/>
  <c r="O15" i="35"/>
  <c r="P15" i="35" s="1"/>
  <c r="O16" i="35"/>
  <c r="P16" i="35" s="1"/>
  <c r="O17" i="35"/>
  <c r="P17" i="35" s="1"/>
  <c r="O18" i="35"/>
  <c r="P18" i="35" s="1"/>
  <c r="O19" i="35"/>
  <c r="P19" i="35" s="1"/>
  <c r="O20" i="35"/>
  <c r="P20" i="35" s="1"/>
  <c r="O21" i="35"/>
  <c r="P21" i="35" s="1"/>
  <c r="O22" i="35"/>
  <c r="P22" i="35" s="1"/>
  <c r="O23" i="35"/>
  <c r="P23" i="35" s="1"/>
  <c r="O24" i="35"/>
  <c r="P24" i="35" s="1"/>
  <c r="O25" i="35"/>
  <c r="P25" i="35" s="1"/>
  <c r="O26" i="35"/>
  <c r="P26" i="35" s="1"/>
  <c r="O27" i="35"/>
  <c r="P27" i="35" s="1"/>
  <c r="O28" i="35"/>
  <c r="P28" i="35" s="1"/>
  <c r="O29" i="35"/>
  <c r="P29" i="35" s="1"/>
  <c r="O30" i="35"/>
  <c r="P30" i="35" s="1"/>
  <c r="O31" i="35"/>
  <c r="P31" i="35" s="1"/>
  <c r="O32" i="35"/>
  <c r="P32" i="35" s="1"/>
  <c r="O33" i="35"/>
  <c r="P33" i="35" s="1"/>
  <c r="O34" i="35"/>
  <c r="P34" i="35" s="1"/>
  <c r="O35" i="35"/>
  <c r="P35" i="35" s="1"/>
  <c r="O36" i="35"/>
  <c r="P36" i="35" s="1"/>
  <c r="O37" i="35"/>
  <c r="P37" i="35" s="1"/>
  <c r="O38" i="35"/>
  <c r="P38" i="35" s="1"/>
  <c r="O39" i="35"/>
  <c r="P39" i="35" s="1"/>
  <c r="O40" i="35"/>
  <c r="P40" i="35" s="1"/>
  <c r="O41" i="35"/>
  <c r="P41" i="35" s="1"/>
  <c r="O42" i="35"/>
  <c r="P42" i="35" s="1"/>
  <c r="O43" i="35"/>
  <c r="P43" i="35" s="1"/>
  <c r="O44" i="35"/>
  <c r="P44" i="35" s="1"/>
  <c r="O45" i="35"/>
  <c r="P45" i="35" s="1"/>
  <c r="O46" i="35"/>
  <c r="P46" i="35" s="1"/>
  <c r="O47" i="35"/>
  <c r="P47" i="35" s="1"/>
  <c r="O48" i="35"/>
  <c r="P48" i="35" s="1"/>
  <c r="O49" i="35"/>
  <c r="P49" i="35" s="1"/>
  <c r="O50" i="35"/>
  <c r="P50" i="35" s="1"/>
  <c r="O51" i="35"/>
  <c r="P51" i="35" s="1"/>
  <c r="O52" i="35"/>
  <c r="P52" i="35" s="1"/>
  <c r="O53" i="35"/>
  <c r="P53" i="35" s="1"/>
  <c r="O54" i="35"/>
  <c r="P54" i="35" s="1"/>
  <c r="O55" i="35"/>
  <c r="P55" i="35" s="1"/>
  <c r="O56" i="35"/>
  <c r="P56" i="35" s="1"/>
  <c r="O57" i="35"/>
  <c r="P57" i="35" s="1"/>
  <c r="O58" i="35"/>
  <c r="P58" i="35" s="1"/>
  <c r="O59" i="35"/>
  <c r="P59" i="35" s="1"/>
  <c r="O60" i="35"/>
  <c r="P60" i="35" s="1"/>
  <c r="O61" i="35"/>
  <c r="P61" i="35" s="1"/>
  <c r="O62" i="35"/>
  <c r="P62" i="35" s="1"/>
  <c r="O63" i="35"/>
  <c r="P63" i="35" s="1"/>
  <c r="O64" i="35"/>
  <c r="P64" i="35" s="1"/>
  <c r="O65" i="35"/>
  <c r="P65" i="35" s="1"/>
  <c r="O66" i="35"/>
  <c r="P66" i="35" s="1"/>
  <c r="O67" i="35"/>
  <c r="P67" i="35" s="1"/>
  <c r="O68" i="35"/>
  <c r="P68" i="35" s="1"/>
  <c r="O69" i="35"/>
  <c r="P69" i="35" s="1"/>
  <c r="O70" i="35"/>
  <c r="P70" i="35" s="1"/>
  <c r="O71" i="35"/>
  <c r="P71" i="35" s="1"/>
  <c r="O72" i="35"/>
  <c r="P72" i="35" s="1"/>
  <c r="O73" i="35"/>
  <c r="P73" i="35" s="1"/>
  <c r="O74" i="35"/>
  <c r="P74" i="35" s="1"/>
  <c r="O75" i="35"/>
  <c r="P75" i="35" s="1"/>
  <c r="O76" i="35"/>
  <c r="P76" i="35" s="1"/>
  <c r="O77" i="35"/>
  <c r="P77" i="35" s="1"/>
  <c r="O78" i="35"/>
  <c r="P78" i="35" s="1"/>
  <c r="O79" i="35"/>
  <c r="P79" i="35" s="1"/>
  <c r="O80" i="35"/>
  <c r="P80" i="35" s="1"/>
  <c r="O81" i="35"/>
  <c r="P81" i="35" s="1"/>
  <c r="O82" i="35"/>
  <c r="P82" i="35" s="1"/>
  <c r="O83" i="35"/>
  <c r="P83" i="35" s="1"/>
  <c r="O84" i="35"/>
  <c r="P84" i="35" s="1"/>
  <c r="O85" i="35"/>
  <c r="P85" i="35" s="1"/>
  <c r="O86" i="35"/>
  <c r="P86" i="35" s="1"/>
  <c r="O87" i="35"/>
  <c r="P87" i="35" s="1"/>
  <c r="O88" i="35"/>
  <c r="P88" i="35" s="1"/>
  <c r="O89" i="35"/>
  <c r="P89" i="35" s="1"/>
  <c r="O90" i="35"/>
  <c r="P90" i="35" s="1"/>
  <c r="O91" i="35"/>
  <c r="P91" i="35" s="1"/>
  <c r="O92" i="35"/>
  <c r="P92" i="35" s="1"/>
  <c r="O93" i="35"/>
  <c r="P93" i="35" s="1"/>
  <c r="O94" i="35"/>
  <c r="P94" i="35" s="1"/>
  <c r="O95" i="35"/>
  <c r="P95" i="35" s="1"/>
  <c r="O96" i="35"/>
  <c r="P96" i="35" s="1"/>
  <c r="O97" i="35"/>
  <c r="P97" i="35" s="1"/>
  <c r="O98" i="35"/>
  <c r="P98" i="35" s="1"/>
  <c r="O99" i="35"/>
  <c r="P99" i="35" s="1"/>
  <c r="O100" i="35"/>
  <c r="P100" i="35" s="1"/>
  <c r="O101" i="35"/>
  <c r="P101" i="35" s="1"/>
  <c r="O102" i="35"/>
  <c r="P102" i="35" s="1"/>
  <c r="O103" i="35"/>
  <c r="P103" i="35" s="1"/>
  <c r="O104" i="35"/>
  <c r="P104" i="35" s="1"/>
  <c r="O105" i="35"/>
  <c r="P105" i="35" s="1"/>
  <c r="O106" i="35"/>
  <c r="P106" i="35" s="1"/>
  <c r="O107" i="35"/>
  <c r="P107" i="35" s="1"/>
  <c r="O108" i="35"/>
  <c r="P108" i="35" s="1"/>
  <c r="O109" i="35"/>
  <c r="P109" i="35" s="1"/>
  <c r="O110" i="35"/>
  <c r="P110" i="35" s="1"/>
  <c r="O111" i="35"/>
  <c r="P111" i="35" s="1"/>
  <c r="O112" i="35"/>
  <c r="P112" i="35" s="1"/>
  <c r="O113" i="35"/>
  <c r="P113" i="35" s="1"/>
  <c r="O114" i="35"/>
  <c r="P114" i="35" s="1"/>
  <c r="O115" i="35"/>
  <c r="P115" i="35" s="1"/>
  <c r="O116" i="35"/>
  <c r="P116" i="35" s="1"/>
  <c r="O117" i="35"/>
  <c r="P117" i="35" s="1"/>
  <c r="O118" i="35"/>
  <c r="P118" i="35" s="1"/>
  <c r="O119" i="35"/>
  <c r="P119" i="35" s="1"/>
  <c r="O120" i="35"/>
  <c r="P120" i="35" s="1"/>
  <c r="O121" i="35"/>
  <c r="P121" i="35" s="1"/>
  <c r="O122" i="35"/>
  <c r="P122" i="35" s="1"/>
  <c r="O123" i="35"/>
  <c r="P123" i="35" s="1"/>
  <c r="O124" i="35"/>
  <c r="P124" i="35" s="1"/>
  <c r="O125" i="35"/>
  <c r="P125" i="35" s="1"/>
  <c r="O126" i="35"/>
  <c r="P126" i="35" s="1"/>
  <c r="O127" i="35"/>
  <c r="P127" i="35" s="1"/>
  <c r="O128" i="35"/>
  <c r="P128" i="35" s="1"/>
  <c r="O129" i="35"/>
  <c r="P129" i="35" s="1"/>
  <c r="O130" i="35"/>
  <c r="P130" i="35" s="1"/>
  <c r="O131" i="35"/>
  <c r="P131" i="35" s="1"/>
  <c r="O132" i="35"/>
  <c r="P132" i="35" s="1"/>
  <c r="O133" i="35"/>
  <c r="P133" i="35" s="1"/>
  <c r="O134" i="35"/>
  <c r="P134" i="35" s="1"/>
  <c r="O135" i="35"/>
  <c r="P135" i="35" s="1"/>
  <c r="O136" i="35"/>
  <c r="P136" i="35" s="1"/>
  <c r="O137" i="35"/>
  <c r="P137" i="35" s="1"/>
  <c r="O138" i="35"/>
  <c r="P138" i="35" s="1"/>
  <c r="O139" i="35"/>
  <c r="P139" i="35" s="1"/>
  <c r="O140" i="35"/>
  <c r="P140" i="35" s="1"/>
  <c r="O141" i="35"/>
  <c r="P141" i="35" s="1"/>
  <c r="O142" i="35"/>
  <c r="P142" i="35" s="1"/>
  <c r="O143" i="35"/>
  <c r="P143" i="35" s="1"/>
  <c r="O144" i="35"/>
  <c r="P144" i="35" s="1"/>
  <c r="O145" i="35"/>
  <c r="P145" i="35" s="1"/>
  <c r="O146" i="35"/>
  <c r="P146" i="35" s="1"/>
  <c r="O147" i="35"/>
  <c r="P147" i="35" s="1"/>
  <c r="O148" i="35"/>
  <c r="P148" i="35" s="1"/>
  <c r="O149" i="35"/>
  <c r="P149" i="35" s="1"/>
  <c r="O150" i="35"/>
  <c r="P150" i="35" s="1"/>
  <c r="O151" i="35"/>
  <c r="P151" i="35" s="1"/>
  <c r="O152" i="35"/>
  <c r="P152" i="35" s="1"/>
  <c r="O153" i="35"/>
  <c r="P153" i="35" s="1"/>
  <c r="O154" i="35"/>
  <c r="P154" i="35" s="1"/>
  <c r="O155" i="35"/>
  <c r="P155" i="35" s="1"/>
  <c r="O156" i="35"/>
  <c r="P156" i="35" s="1"/>
  <c r="O157" i="35"/>
  <c r="P157" i="35" s="1"/>
  <c r="O158" i="35"/>
  <c r="P158" i="35" s="1"/>
  <c r="O159" i="35"/>
  <c r="P159" i="35" s="1"/>
  <c r="O160" i="35"/>
  <c r="P160" i="35" s="1"/>
  <c r="O161" i="35"/>
  <c r="P161" i="35" s="1"/>
  <c r="O162" i="35"/>
  <c r="P162" i="35" s="1"/>
  <c r="O163" i="35"/>
  <c r="P163" i="35" s="1"/>
  <c r="O164" i="35"/>
  <c r="P164" i="35" s="1"/>
  <c r="O165" i="35"/>
  <c r="P165" i="35" s="1"/>
  <c r="O166" i="35"/>
  <c r="P166" i="35" s="1"/>
  <c r="O167" i="35"/>
  <c r="P167" i="35" s="1"/>
  <c r="O168" i="35"/>
  <c r="P168" i="35" s="1"/>
  <c r="O169" i="35"/>
  <c r="P169" i="35" s="1"/>
  <c r="O170" i="35"/>
  <c r="P170" i="35" s="1"/>
  <c r="O171" i="35"/>
  <c r="P171" i="35" s="1"/>
  <c r="O172" i="35"/>
  <c r="P172" i="35" s="1"/>
  <c r="O173" i="35"/>
  <c r="P173" i="35" s="1"/>
  <c r="O174" i="35"/>
  <c r="P174" i="35" s="1"/>
  <c r="O175" i="35"/>
  <c r="P175" i="35" s="1"/>
  <c r="O176" i="35"/>
  <c r="P176" i="35" s="1"/>
  <c r="O177" i="35"/>
  <c r="P177" i="35" s="1"/>
  <c r="O178" i="35"/>
  <c r="P178" i="35" s="1"/>
  <c r="O179" i="35"/>
  <c r="P179" i="35" s="1"/>
  <c r="O180" i="35"/>
  <c r="P180" i="35" s="1"/>
  <c r="O181" i="35"/>
  <c r="P181" i="35" s="1"/>
  <c r="O182" i="35"/>
  <c r="P182" i="35" s="1"/>
  <c r="O183" i="35"/>
  <c r="P183" i="35" s="1"/>
  <c r="O184" i="35"/>
  <c r="P184" i="35" s="1"/>
  <c r="O185" i="35"/>
  <c r="P185" i="35" s="1"/>
  <c r="O186" i="35"/>
  <c r="P186" i="35" s="1"/>
  <c r="O187" i="35"/>
  <c r="P187" i="35" s="1"/>
  <c r="O188" i="35"/>
  <c r="P188" i="35" s="1"/>
  <c r="O189" i="35"/>
  <c r="P189" i="35" s="1"/>
  <c r="O190" i="35"/>
  <c r="P190" i="35" s="1"/>
  <c r="O191" i="35"/>
  <c r="P191" i="35" s="1"/>
  <c r="O192" i="35"/>
  <c r="P192" i="35" s="1"/>
  <c r="O193" i="35"/>
  <c r="P193" i="35" s="1"/>
  <c r="O194" i="35"/>
  <c r="P194" i="35" s="1"/>
  <c r="O195" i="35"/>
  <c r="P195" i="35" s="1"/>
  <c r="O196" i="35"/>
  <c r="P196" i="35" s="1"/>
  <c r="O197" i="35"/>
  <c r="P197" i="35" s="1"/>
  <c r="O198" i="35"/>
  <c r="P198" i="35" s="1"/>
  <c r="O199" i="35"/>
  <c r="P199" i="35" s="1"/>
  <c r="O200" i="35"/>
  <c r="P200" i="35" s="1"/>
  <c r="O201" i="35"/>
  <c r="P201" i="35" s="1"/>
  <c r="O202" i="35"/>
  <c r="P202" i="35" s="1"/>
  <c r="O203" i="35"/>
  <c r="P203" i="35" s="1"/>
  <c r="O204" i="35"/>
  <c r="P204" i="35" s="1"/>
  <c r="O205" i="35"/>
  <c r="P205" i="35" s="1"/>
  <c r="O206" i="35"/>
  <c r="P206" i="35" s="1"/>
  <c r="O207" i="35"/>
  <c r="P207" i="35" s="1"/>
  <c r="O208" i="35"/>
  <c r="P208" i="35" s="1"/>
  <c r="O209" i="35"/>
  <c r="P209" i="35" s="1"/>
  <c r="O210" i="35"/>
  <c r="P210" i="35" s="1"/>
  <c r="O211" i="35"/>
  <c r="P211" i="35" s="1"/>
  <c r="O212" i="35"/>
  <c r="P212" i="35" s="1"/>
  <c r="O213" i="35"/>
  <c r="P213" i="35" s="1"/>
  <c r="O214" i="35"/>
  <c r="P214" i="35" s="1"/>
  <c r="O215" i="35"/>
  <c r="P215" i="35" s="1"/>
  <c r="O216" i="35"/>
  <c r="P216" i="35" s="1"/>
  <c r="O217" i="35"/>
  <c r="P217" i="35" s="1"/>
  <c r="O218" i="35"/>
  <c r="P218" i="35" s="1"/>
  <c r="O219" i="35"/>
  <c r="P219" i="35" s="1"/>
  <c r="O220" i="35"/>
  <c r="P220" i="35" s="1"/>
  <c r="O221" i="35"/>
  <c r="P221" i="35" s="1"/>
  <c r="O222" i="35"/>
  <c r="P222" i="35" s="1"/>
  <c r="O223" i="35"/>
  <c r="P223" i="35" s="1"/>
  <c r="O224" i="35"/>
  <c r="P224" i="35" s="1"/>
  <c r="O225" i="35"/>
  <c r="P225" i="35" s="1"/>
  <c r="O226" i="35"/>
  <c r="P226" i="35" s="1"/>
  <c r="O227" i="35"/>
  <c r="P227" i="35" s="1"/>
  <c r="O228" i="35"/>
  <c r="P228" i="35" s="1"/>
  <c r="O229" i="35"/>
  <c r="P229" i="35" s="1"/>
  <c r="O230" i="35"/>
  <c r="P230" i="35" s="1"/>
  <c r="O231" i="35"/>
  <c r="P231" i="35" s="1"/>
  <c r="O232" i="35"/>
  <c r="P232" i="35" s="1"/>
  <c r="O233" i="35"/>
  <c r="P233" i="35" s="1"/>
  <c r="O234" i="35"/>
  <c r="P234" i="35" s="1"/>
  <c r="O235" i="35"/>
  <c r="P235" i="35" s="1"/>
  <c r="O236" i="35"/>
  <c r="P236" i="35" s="1"/>
  <c r="O237" i="35"/>
  <c r="P237" i="35" s="1"/>
  <c r="O238" i="35"/>
  <c r="P238" i="35" s="1"/>
  <c r="O239" i="35"/>
  <c r="P239" i="35" s="1"/>
  <c r="O240" i="35"/>
  <c r="P240" i="35" s="1"/>
  <c r="O241" i="35"/>
  <c r="P241" i="35" s="1"/>
  <c r="O242" i="35"/>
  <c r="P242" i="35" s="1"/>
  <c r="O243" i="35"/>
  <c r="P243" i="35" s="1"/>
  <c r="O244" i="35"/>
  <c r="P244" i="35" s="1"/>
  <c r="O245" i="35"/>
  <c r="P245" i="35" s="1"/>
  <c r="O246" i="35"/>
  <c r="P246" i="35" s="1"/>
  <c r="O247" i="35"/>
  <c r="P247" i="35" s="1"/>
  <c r="O248" i="35"/>
  <c r="P248" i="35" s="1"/>
  <c r="O249" i="35"/>
  <c r="P249" i="35" s="1"/>
  <c r="O250" i="35"/>
  <c r="P250" i="35" s="1"/>
  <c r="O251" i="35"/>
  <c r="P251" i="35" s="1"/>
  <c r="O252" i="35"/>
  <c r="P252" i="35" s="1"/>
  <c r="O253" i="35"/>
  <c r="P253" i="35" s="1"/>
  <c r="O254" i="35"/>
  <c r="P254" i="35" s="1"/>
  <c r="O255" i="35"/>
  <c r="P255" i="35" s="1"/>
  <c r="K3" i="35"/>
  <c r="M3" i="35" s="1"/>
  <c r="Q3" i="35" s="1"/>
  <c r="L3" i="35"/>
  <c r="N3" i="35" s="1"/>
  <c r="K4" i="35"/>
  <c r="M4" i="35" s="1"/>
  <c r="Q4" i="35" s="1"/>
  <c r="L4" i="35"/>
  <c r="N4" i="35" s="1"/>
  <c r="K5" i="35"/>
  <c r="M5" i="35" s="1"/>
  <c r="Q5" i="35" s="1"/>
  <c r="L5" i="35"/>
  <c r="N5" i="35" s="1"/>
  <c r="K6" i="35"/>
  <c r="M6" i="35" s="1"/>
  <c r="Q6" i="35" s="1"/>
  <c r="L6" i="35"/>
  <c r="N6" i="35" s="1"/>
  <c r="K7" i="35"/>
  <c r="M7" i="35" s="1"/>
  <c r="Q7" i="35" s="1"/>
  <c r="L7" i="35"/>
  <c r="N7" i="35" s="1"/>
  <c r="K8" i="35"/>
  <c r="M8" i="35" s="1"/>
  <c r="Q8" i="35" s="1"/>
  <c r="L8" i="35"/>
  <c r="N8" i="35" s="1"/>
  <c r="K9" i="35"/>
  <c r="M9" i="35" s="1"/>
  <c r="Q9" i="35" s="1"/>
  <c r="L9" i="35"/>
  <c r="N9" i="35" s="1"/>
  <c r="K10" i="35"/>
  <c r="M10" i="35" s="1"/>
  <c r="Q10" i="35" s="1"/>
  <c r="L10" i="35"/>
  <c r="N10" i="35" s="1"/>
  <c r="K11" i="35"/>
  <c r="M11" i="35" s="1"/>
  <c r="Q11" i="35" s="1"/>
  <c r="L11" i="35"/>
  <c r="N11" i="35" s="1"/>
  <c r="K12" i="35"/>
  <c r="M12" i="35" s="1"/>
  <c r="Q12" i="35" s="1"/>
  <c r="L12" i="35"/>
  <c r="N12" i="35" s="1"/>
  <c r="K13" i="35"/>
  <c r="M13" i="35" s="1"/>
  <c r="Q13" i="35" s="1"/>
  <c r="L13" i="35"/>
  <c r="N13" i="35" s="1"/>
  <c r="K14" i="35"/>
  <c r="M14" i="35" s="1"/>
  <c r="Q14" i="35" s="1"/>
  <c r="L14" i="35"/>
  <c r="N14" i="35" s="1"/>
  <c r="K15" i="35"/>
  <c r="M15" i="35" s="1"/>
  <c r="Q15" i="35" s="1"/>
  <c r="L15" i="35"/>
  <c r="N15" i="35" s="1"/>
  <c r="K16" i="35"/>
  <c r="M16" i="35" s="1"/>
  <c r="Q16" i="35" s="1"/>
  <c r="L16" i="35"/>
  <c r="N16" i="35" s="1"/>
  <c r="K17" i="35"/>
  <c r="M17" i="35" s="1"/>
  <c r="Q17" i="35" s="1"/>
  <c r="L17" i="35"/>
  <c r="N17" i="35" s="1"/>
  <c r="K18" i="35"/>
  <c r="M18" i="35" s="1"/>
  <c r="Q18" i="35" s="1"/>
  <c r="L18" i="35"/>
  <c r="N18" i="35" s="1"/>
  <c r="K19" i="35"/>
  <c r="M19" i="35" s="1"/>
  <c r="Q19" i="35" s="1"/>
  <c r="L19" i="35"/>
  <c r="N19" i="35" s="1"/>
  <c r="K20" i="35"/>
  <c r="M20" i="35" s="1"/>
  <c r="Q20" i="35" s="1"/>
  <c r="L20" i="35"/>
  <c r="N20" i="35" s="1"/>
  <c r="K21" i="35"/>
  <c r="M21" i="35" s="1"/>
  <c r="Q21" i="35" s="1"/>
  <c r="L21" i="35"/>
  <c r="N21" i="35" s="1"/>
  <c r="K22" i="35"/>
  <c r="M22" i="35" s="1"/>
  <c r="Q22" i="35" s="1"/>
  <c r="L22" i="35"/>
  <c r="N22" i="35" s="1"/>
  <c r="K23" i="35"/>
  <c r="M23" i="35" s="1"/>
  <c r="Q23" i="35" s="1"/>
  <c r="L23" i="35"/>
  <c r="N23" i="35" s="1"/>
  <c r="K24" i="35"/>
  <c r="M24" i="35" s="1"/>
  <c r="Q24" i="35" s="1"/>
  <c r="L24" i="35"/>
  <c r="N24" i="35" s="1"/>
  <c r="K25" i="35"/>
  <c r="M25" i="35" s="1"/>
  <c r="Q25" i="35" s="1"/>
  <c r="L25" i="35"/>
  <c r="N25" i="35" s="1"/>
  <c r="K26" i="35"/>
  <c r="M26" i="35" s="1"/>
  <c r="Q26" i="35" s="1"/>
  <c r="L26" i="35"/>
  <c r="N26" i="35" s="1"/>
  <c r="K27" i="35"/>
  <c r="M27" i="35" s="1"/>
  <c r="Q27" i="35" s="1"/>
  <c r="L27" i="35"/>
  <c r="N27" i="35" s="1"/>
  <c r="K28" i="35"/>
  <c r="M28" i="35" s="1"/>
  <c r="Q28" i="35" s="1"/>
  <c r="L28" i="35"/>
  <c r="N28" i="35" s="1"/>
  <c r="K29" i="35"/>
  <c r="M29" i="35" s="1"/>
  <c r="Q29" i="35" s="1"/>
  <c r="L29" i="35"/>
  <c r="N29" i="35" s="1"/>
  <c r="K30" i="35"/>
  <c r="M30" i="35" s="1"/>
  <c r="Q30" i="35" s="1"/>
  <c r="L30" i="35"/>
  <c r="N30" i="35" s="1"/>
  <c r="K31" i="35"/>
  <c r="M31" i="35" s="1"/>
  <c r="Q31" i="35" s="1"/>
  <c r="L31" i="35"/>
  <c r="N31" i="35" s="1"/>
  <c r="K32" i="35"/>
  <c r="M32" i="35" s="1"/>
  <c r="Q32" i="35" s="1"/>
  <c r="L32" i="35"/>
  <c r="N32" i="35" s="1"/>
  <c r="K33" i="35"/>
  <c r="M33" i="35" s="1"/>
  <c r="Q33" i="35" s="1"/>
  <c r="L33" i="35"/>
  <c r="N33" i="35" s="1"/>
  <c r="K34" i="35"/>
  <c r="M34" i="35" s="1"/>
  <c r="Q34" i="35" s="1"/>
  <c r="L34" i="35"/>
  <c r="N34" i="35" s="1"/>
  <c r="K35" i="35"/>
  <c r="M35" i="35" s="1"/>
  <c r="Q35" i="35" s="1"/>
  <c r="L35" i="35"/>
  <c r="N35" i="35" s="1"/>
  <c r="K36" i="35"/>
  <c r="M36" i="35" s="1"/>
  <c r="Q36" i="35" s="1"/>
  <c r="L36" i="35"/>
  <c r="N36" i="35" s="1"/>
  <c r="K37" i="35"/>
  <c r="M37" i="35" s="1"/>
  <c r="Q37" i="35" s="1"/>
  <c r="L37" i="35"/>
  <c r="N37" i="35" s="1"/>
  <c r="K38" i="35"/>
  <c r="M38" i="35" s="1"/>
  <c r="Q38" i="35" s="1"/>
  <c r="L38" i="35"/>
  <c r="N38" i="35" s="1"/>
  <c r="K39" i="35"/>
  <c r="M39" i="35" s="1"/>
  <c r="Q39" i="35" s="1"/>
  <c r="L39" i="35"/>
  <c r="N39" i="35" s="1"/>
  <c r="K40" i="35"/>
  <c r="M40" i="35" s="1"/>
  <c r="Q40" i="35" s="1"/>
  <c r="L40" i="35"/>
  <c r="N40" i="35" s="1"/>
  <c r="K41" i="35"/>
  <c r="M41" i="35" s="1"/>
  <c r="Q41" i="35" s="1"/>
  <c r="L41" i="35"/>
  <c r="N41" i="35" s="1"/>
  <c r="K42" i="35"/>
  <c r="M42" i="35" s="1"/>
  <c r="Q42" i="35" s="1"/>
  <c r="L42" i="35"/>
  <c r="N42" i="35" s="1"/>
  <c r="K43" i="35"/>
  <c r="M43" i="35" s="1"/>
  <c r="Q43" i="35" s="1"/>
  <c r="L43" i="35"/>
  <c r="N43" i="35" s="1"/>
  <c r="K44" i="35"/>
  <c r="M44" i="35" s="1"/>
  <c r="Q44" i="35" s="1"/>
  <c r="L44" i="35"/>
  <c r="N44" i="35" s="1"/>
  <c r="K45" i="35"/>
  <c r="M45" i="35" s="1"/>
  <c r="Q45" i="35" s="1"/>
  <c r="L45" i="35"/>
  <c r="N45" i="35" s="1"/>
  <c r="K46" i="35"/>
  <c r="M46" i="35" s="1"/>
  <c r="Q46" i="35" s="1"/>
  <c r="L46" i="35"/>
  <c r="N46" i="35" s="1"/>
  <c r="K47" i="35"/>
  <c r="M47" i="35" s="1"/>
  <c r="Q47" i="35" s="1"/>
  <c r="L47" i="35"/>
  <c r="N47" i="35" s="1"/>
  <c r="K48" i="35"/>
  <c r="M48" i="35" s="1"/>
  <c r="Q48" i="35" s="1"/>
  <c r="L48" i="35"/>
  <c r="N48" i="35" s="1"/>
  <c r="K49" i="35"/>
  <c r="M49" i="35" s="1"/>
  <c r="Q49" i="35" s="1"/>
  <c r="L49" i="35"/>
  <c r="N49" i="35" s="1"/>
  <c r="K50" i="35"/>
  <c r="M50" i="35" s="1"/>
  <c r="Q50" i="35" s="1"/>
  <c r="L50" i="35"/>
  <c r="N50" i="35" s="1"/>
  <c r="K51" i="35"/>
  <c r="M51" i="35" s="1"/>
  <c r="Q51" i="35" s="1"/>
  <c r="L51" i="35"/>
  <c r="N51" i="35" s="1"/>
  <c r="K52" i="35"/>
  <c r="M52" i="35" s="1"/>
  <c r="Q52" i="35" s="1"/>
  <c r="L52" i="35"/>
  <c r="N52" i="35" s="1"/>
  <c r="K53" i="35"/>
  <c r="M53" i="35" s="1"/>
  <c r="Q53" i="35" s="1"/>
  <c r="L53" i="35"/>
  <c r="N53" i="35" s="1"/>
  <c r="K54" i="35"/>
  <c r="M54" i="35" s="1"/>
  <c r="Q54" i="35" s="1"/>
  <c r="L54" i="35"/>
  <c r="N54" i="35" s="1"/>
  <c r="K55" i="35"/>
  <c r="M55" i="35" s="1"/>
  <c r="Q55" i="35" s="1"/>
  <c r="L55" i="35"/>
  <c r="N55" i="35" s="1"/>
  <c r="K56" i="35"/>
  <c r="M56" i="35" s="1"/>
  <c r="Q56" i="35" s="1"/>
  <c r="L56" i="35"/>
  <c r="N56" i="35" s="1"/>
  <c r="K57" i="35"/>
  <c r="M57" i="35" s="1"/>
  <c r="Q57" i="35" s="1"/>
  <c r="L57" i="35"/>
  <c r="N57" i="35" s="1"/>
  <c r="K58" i="35"/>
  <c r="M58" i="35" s="1"/>
  <c r="Q58" i="35" s="1"/>
  <c r="L58" i="35"/>
  <c r="N58" i="35" s="1"/>
  <c r="K59" i="35"/>
  <c r="M59" i="35" s="1"/>
  <c r="Q59" i="35" s="1"/>
  <c r="L59" i="35"/>
  <c r="N59" i="35" s="1"/>
  <c r="K60" i="35"/>
  <c r="M60" i="35" s="1"/>
  <c r="Q60" i="35" s="1"/>
  <c r="L60" i="35"/>
  <c r="N60" i="35" s="1"/>
  <c r="K61" i="35"/>
  <c r="M61" i="35" s="1"/>
  <c r="Q61" i="35" s="1"/>
  <c r="L61" i="35"/>
  <c r="N61" i="35" s="1"/>
  <c r="K62" i="35"/>
  <c r="M62" i="35" s="1"/>
  <c r="Q62" i="35" s="1"/>
  <c r="L62" i="35"/>
  <c r="N62" i="35" s="1"/>
  <c r="K63" i="35"/>
  <c r="M63" i="35" s="1"/>
  <c r="Q63" i="35" s="1"/>
  <c r="L63" i="35"/>
  <c r="N63" i="35" s="1"/>
  <c r="K64" i="35"/>
  <c r="M64" i="35" s="1"/>
  <c r="Q64" i="35" s="1"/>
  <c r="L64" i="35"/>
  <c r="N64" i="35" s="1"/>
  <c r="K65" i="35"/>
  <c r="M65" i="35" s="1"/>
  <c r="Q65" i="35" s="1"/>
  <c r="L65" i="35"/>
  <c r="N65" i="35" s="1"/>
  <c r="K66" i="35"/>
  <c r="M66" i="35" s="1"/>
  <c r="Q66" i="35" s="1"/>
  <c r="L66" i="35"/>
  <c r="N66" i="35" s="1"/>
  <c r="K67" i="35"/>
  <c r="M67" i="35" s="1"/>
  <c r="Q67" i="35" s="1"/>
  <c r="L67" i="35"/>
  <c r="N67" i="35" s="1"/>
  <c r="K68" i="35"/>
  <c r="M68" i="35" s="1"/>
  <c r="Q68" i="35" s="1"/>
  <c r="L68" i="35"/>
  <c r="N68" i="35" s="1"/>
  <c r="K69" i="35"/>
  <c r="M69" i="35" s="1"/>
  <c r="Q69" i="35" s="1"/>
  <c r="L69" i="35"/>
  <c r="N69" i="35" s="1"/>
  <c r="K70" i="35"/>
  <c r="M70" i="35" s="1"/>
  <c r="Q70" i="35" s="1"/>
  <c r="L70" i="35"/>
  <c r="N70" i="35" s="1"/>
  <c r="K71" i="35"/>
  <c r="M71" i="35" s="1"/>
  <c r="Q71" i="35" s="1"/>
  <c r="L71" i="35"/>
  <c r="N71" i="35" s="1"/>
  <c r="K72" i="35"/>
  <c r="M72" i="35" s="1"/>
  <c r="Q72" i="35" s="1"/>
  <c r="L72" i="35"/>
  <c r="N72" i="35" s="1"/>
  <c r="K73" i="35"/>
  <c r="M73" i="35" s="1"/>
  <c r="Q73" i="35" s="1"/>
  <c r="L73" i="35"/>
  <c r="N73" i="35" s="1"/>
  <c r="K74" i="35"/>
  <c r="M74" i="35" s="1"/>
  <c r="Q74" i="35" s="1"/>
  <c r="L74" i="35"/>
  <c r="N74" i="35" s="1"/>
  <c r="K75" i="35"/>
  <c r="M75" i="35" s="1"/>
  <c r="Q75" i="35" s="1"/>
  <c r="L75" i="35"/>
  <c r="N75" i="35" s="1"/>
  <c r="K76" i="35"/>
  <c r="M76" i="35" s="1"/>
  <c r="Q76" i="35" s="1"/>
  <c r="L76" i="35"/>
  <c r="N76" i="35" s="1"/>
  <c r="K77" i="35"/>
  <c r="M77" i="35" s="1"/>
  <c r="Q77" i="35" s="1"/>
  <c r="L77" i="35"/>
  <c r="N77" i="35" s="1"/>
  <c r="K78" i="35"/>
  <c r="M78" i="35" s="1"/>
  <c r="Q78" i="35" s="1"/>
  <c r="L78" i="35"/>
  <c r="N78" i="35" s="1"/>
  <c r="K79" i="35"/>
  <c r="M79" i="35" s="1"/>
  <c r="Q79" i="35" s="1"/>
  <c r="L79" i="35"/>
  <c r="N79" i="35" s="1"/>
  <c r="K80" i="35"/>
  <c r="M80" i="35" s="1"/>
  <c r="Q80" i="35" s="1"/>
  <c r="L80" i="35"/>
  <c r="N80" i="35" s="1"/>
  <c r="K81" i="35"/>
  <c r="M81" i="35" s="1"/>
  <c r="Q81" i="35" s="1"/>
  <c r="L81" i="35"/>
  <c r="N81" i="35" s="1"/>
  <c r="K82" i="35"/>
  <c r="M82" i="35" s="1"/>
  <c r="Q82" i="35" s="1"/>
  <c r="L82" i="35"/>
  <c r="N82" i="35" s="1"/>
  <c r="K83" i="35"/>
  <c r="M83" i="35" s="1"/>
  <c r="Q83" i="35" s="1"/>
  <c r="L83" i="35"/>
  <c r="N83" i="35" s="1"/>
  <c r="K84" i="35"/>
  <c r="M84" i="35" s="1"/>
  <c r="Q84" i="35" s="1"/>
  <c r="L84" i="35"/>
  <c r="N84" i="35" s="1"/>
  <c r="K85" i="35"/>
  <c r="M85" i="35" s="1"/>
  <c r="Q85" i="35" s="1"/>
  <c r="L85" i="35"/>
  <c r="N85" i="35" s="1"/>
  <c r="K86" i="35"/>
  <c r="M86" i="35" s="1"/>
  <c r="Q86" i="35" s="1"/>
  <c r="L86" i="35"/>
  <c r="N86" i="35" s="1"/>
  <c r="K87" i="35"/>
  <c r="M87" i="35" s="1"/>
  <c r="Q87" i="35" s="1"/>
  <c r="L87" i="35"/>
  <c r="N87" i="35" s="1"/>
  <c r="K88" i="35"/>
  <c r="M88" i="35" s="1"/>
  <c r="Q88" i="35" s="1"/>
  <c r="L88" i="35"/>
  <c r="N88" i="35" s="1"/>
  <c r="K89" i="35"/>
  <c r="M89" i="35" s="1"/>
  <c r="Q89" i="35" s="1"/>
  <c r="L89" i="35"/>
  <c r="N89" i="35" s="1"/>
  <c r="K90" i="35"/>
  <c r="M90" i="35" s="1"/>
  <c r="Q90" i="35" s="1"/>
  <c r="L90" i="35"/>
  <c r="N90" i="35" s="1"/>
  <c r="K91" i="35"/>
  <c r="M91" i="35" s="1"/>
  <c r="Q91" i="35" s="1"/>
  <c r="L91" i="35"/>
  <c r="N91" i="35" s="1"/>
  <c r="K92" i="35"/>
  <c r="M92" i="35" s="1"/>
  <c r="Q92" i="35" s="1"/>
  <c r="L92" i="35"/>
  <c r="N92" i="35" s="1"/>
  <c r="K93" i="35"/>
  <c r="M93" i="35" s="1"/>
  <c r="Q93" i="35" s="1"/>
  <c r="L93" i="35"/>
  <c r="N93" i="35" s="1"/>
  <c r="K94" i="35"/>
  <c r="M94" i="35" s="1"/>
  <c r="Q94" i="35" s="1"/>
  <c r="L94" i="35"/>
  <c r="N94" i="35" s="1"/>
  <c r="K95" i="35"/>
  <c r="M95" i="35" s="1"/>
  <c r="Q95" i="35" s="1"/>
  <c r="L95" i="35"/>
  <c r="N95" i="35" s="1"/>
  <c r="K96" i="35"/>
  <c r="M96" i="35" s="1"/>
  <c r="Q96" i="35" s="1"/>
  <c r="L96" i="35"/>
  <c r="N96" i="35" s="1"/>
  <c r="K97" i="35"/>
  <c r="M97" i="35" s="1"/>
  <c r="Q97" i="35" s="1"/>
  <c r="L97" i="35"/>
  <c r="N97" i="35" s="1"/>
  <c r="K98" i="35"/>
  <c r="M98" i="35" s="1"/>
  <c r="Q98" i="35" s="1"/>
  <c r="L98" i="35"/>
  <c r="N98" i="35" s="1"/>
  <c r="K99" i="35"/>
  <c r="M99" i="35" s="1"/>
  <c r="Q99" i="35" s="1"/>
  <c r="L99" i="35"/>
  <c r="N99" i="35" s="1"/>
  <c r="K100" i="35"/>
  <c r="M100" i="35" s="1"/>
  <c r="Q100" i="35" s="1"/>
  <c r="L100" i="35"/>
  <c r="N100" i="35" s="1"/>
  <c r="K101" i="35"/>
  <c r="M101" i="35" s="1"/>
  <c r="Q101" i="35" s="1"/>
  <c r="L101" i="35"/>
  <c r="N101" i="35" s="1"/>
  <c r="K102" i="35"/>
  <c r="M102" i="35" s="1"/>
  <c r="Q102" i="35" s="1"/>
  <c r="L102" i="35"/>
  <c r="N102" i="35" s="1"/>
  <c r="K103" i="35"/>
  <c r="M103" i="35" s="1"/>
  <c r="Q103" i="35" s="1"/>
  <c r="L103" i="35"/>
  <c r="N103" i="35" s="1"/>
  <c r="K104" i="35"/>
  <c r="M104" i="35" s="1"/>
  <c r="Q104" i="35" s="1"/>
  <c r="L104" i="35"/>
  <c r="N104" i="35" s="1"/>
  <c r="K105" i="35"/>
  <c r="M105" i="35" s="1"/>
  <c r="Q105" i="35" s="1"/>
  <c r="L105" i="35"/>
  <c r="N105" i="35" s="1"/>
  <c r="K106" i="35"/>
  <c r="M106" i="35" s="1"/>
  <c r="Q106" i="35" s="1"/>
  <c r="L106" i="35"/>
  <c r="N106" i="35" s="1"/>
  <c r="K107" i="35"/>
  <c r="M107" i="35" s="1"/>
  <c r="Q107" i="35" s="1"/>
  <c r="L107" i="35"/>
  <c r="N107" i="35" s="1"/>
  <c r="K108" i="35"/>
  <c r="M108" i="35" s="1"/>
  <c r="Q108" i="35" s="1"/>
  <c r="L108" i="35"/>
  <c r="N108" i="35" s="1"/>
  <c r="K109" i="35"/>
  <c r="M109" i="35" s="1"/>
  <c r="Q109" i="35" s="1"/>
  <c r="L109" i="35"/>
  <c r="N109" i="35" s="1"/>
  <c r="K110" i="35"/>
  <c r="M110" i="35" s="1"/>
  <c r="Q110" i="35" s="1"/>
  <c r="L110" i="35"/>
  <c r="N110" i="35" s="1"/>
  <c r="K111" i="35"/>
  <c r="M111" i="35" s="1"/>
  <c r="Q111" i="35" s="1"/>
  <c r="L111" i="35"/>
  <c r="N111" i="35" s="1"/>
  <c r="K112" i="35"/>
  <c r="M112" i="35" s="1"/>
  <c r="Q112" i="35" s="1"/>
  <c r="L112" i="35"/>
  <c r="N112" i="35" s="1"/>
  <c r="K113" i="35"/>
  <c r="M113" i="35" s="1"/>
  <c r="Q113" i="35" s="1"/>
  <c r="L113" i="35"/>
  <c r="N113" i="35" s="1"/>
  <c r="K114" i="35"/>
  <c r="M114" i="35" s="1"/>
  <c r="Q114" i="35" s="1"/>
  <c r="L114" i="35"/>
  <c r="N114" i="35" s="1"/>
  <c r="K115" i="35"/>
  <c r="M115" i="35" s="1"/>
  <c r="Q115" i="35" s="1"/>
  <c r="L115" i="35"/>
  <c r="N115" i="35" s="1"/>
  <c r="K116" i="35"/>
  <c r="M116" i="35" s="1"/>
  <c r="Q116" i="35" s="1"/>
  <c r="L116" i="35"/>
  <c r="N116" i="35" s="1"/>
  <c r="K117" i="35"/>
  <c r="M117" i="35" s="1"/>
  <c r="Q117" i="35" s="1"/>
  <c r="L117" i="35"/>
  <c r="N117" i="35" s="1"/>
  <c r="K118" i="35"/>
  <c r="M118" i="35" s="1"/>
  <c r="Q118" i="35" s="1"/>
  <c r="L118" i="35"/>
  <c r="N118" i="35" s="1"/>
  <c r="K119" i="35"/>
  <c r="M119" i="35" s="1"/>
  <c r="Q119" i="35" s="1"/>
  <c r="L119" i="35"/>
  <c r="N119" i="35" s="1"/>
  <c r="K120" i="35"/>
  <c r="M120" i="35" s="1"/>
  <c r="Q120" i="35" s="1"/>
  <c r="L120" i="35"/>
  <c r="N120" i="35" s="1"/>
  <c r="K121" i="35"/>
  <c r="M121" i="35" s="1"/>
  <c r="Q121" i="35" s="1"/>
  <c r="L121" i="35"/>
  <c r="N121" i="35" s="1"/>
  <c r="K122" i="35"/>
  <c r="M122" i="35" s="1"/>
  <c r="Q122" i="35" s="1"/>
  <c r="L122" i="35"/>
  <c r="N122" i="35" s="1"/>
  <c r="K123" i="35"/>
  <c r="M123" i="35" s="1"/>
  <c r="Q123" i="35" s="1"/>
  <c r="L123" i="35"/>
  <c r="N123" i="35" s="1"/>
  <c r="K124" i="35"/>
  <c r="M124" i="35" s="1"/>
  <c r="Q124" i="35" s="1"/>
  <c r="L124" i="35"/>
  <c r="N124" i="35" s="1"/>
  <c r="K125" i="35"/>
  <c r="M125" i="35" s="1"/>
  <c r="Q125" i="35" s="1"/>
  <c r="L125" i="35"/>
  <c r="N125" i="35" s="1"/>
  <c r="K126" i="35"/>
  <c r="M126" i="35" s="1"/>
  <c r="Q126" i="35" s="1"/>
  <c r="L126" i="35"/>
  <c r="N126" i="35" s="1"/>
  <c r="K127" i="35"/>
  <c r="M127" i="35" s="1"/>
  <c r="Q127" i="35" s="1"/>
  <c r="L127" i="35"/>
  <c r="N127" i="35" s="1"/>
  <c r="K128" i="35"/>
  <c r="M128" i="35" s="1"/>
  <c r="Q128" i="35" s="1"/>
  <c r="L128" i="35"/>
  <c r="N128" i="35" s="1"/>
  <c r="K129" i="35"/>
  <c r="M129" i="35" s="1"/>
  <c r="Q129" i="35" s="1"/>
  <c r="L129" i="35"/>
  <c r="N129" i="35" s="1"/>
  <c r="K130" i="35"/>
  <c r="M130" i="35" s="1"/>
  <c r="Q130" i="35" s="1"/>
  <c r="L130" i="35"/>
  <c r="N130" i="35" s="1"/>
  <c r="K131" i="35"/>
  <c r="M131" i="35" s="1"/>
  <c r="Q131" i="35" s="1"/>
  <c r="L131" i="35"/>
  <c r="N131" i="35" s="1"/>
  <c r="K132" i="35"/>
  <c r="M132" i="35" s="1"/>
  <c r="Q132" i="35" s="1"/>
  <c r="L132" i="35"/>
  <c r="N132" i="35" s="1"/>
  <c r="K133" i="35"/>
  <c r="M133" i="35" s="1"/>
  <c r="Q133" i="35" s="1"/>
  <c r="L133" i="35"/>
  <c r="N133" i="35" s="1"/>
  <c r="K134" i="35"/>
  <c r="M134" i="35" s="1"/>
  <c r="Q134" i="35" s="1"/>
  <c r="L134" i="35"/>
  <c r="N134" i="35" s="1"/>
  <c r="K135" i="35"/>
  <c r="M135" i="35" s="1"/>
  <c r="Q135" i="35" s="1"/>
  <c r="L135" i="35"/>
  <c r="N135" i="35" s="1"/>
  <c r="K136" i="35"/>
  <c r="M136" i="35" s="1"/>
  <c r="Q136" i="35" s="1"/>
  <c r="L136" i="35"/>
  <c r="N136" i="35" s="1"/>
  <c r="K137" i="35"/>
  <c r="M137" i="35" s="1"/>
  <c r="Q137" i="35" s="1"/>
  <c r="L137" i="35"/>
  <c r="N137" i="35" s="1"/>
  <c r="K138" i="35"/>
  <c r="M138" i="35" s="1"/>
  <c r="Q138" i="35" s="1"/>
  <c r="L138" i="35"/>
  <c r="N138" i="35" s="1"/>
  <c r="K139" i="35"/>
  <c r="M139" i="35" s="1"/>
  <c r="Q139" i="35" s="1"/>
  <c r="L139" i="35"/>
  <c r="N139" i="35" s="1"/>
  <c r="K140" i="35"/>
  <c r="M140" i="35" s="1"/>
  <c r="Q140" i="35" s="1"/>
  <c r="L140" i="35"/>
  <c r="N140" i="35" s="1"/>
  <c r="K141" i="35"/>
  <c r="M141" i="35" s="1"/>
  <c r="Q141" i="35" s="1"/>
  <c r="L141" i="35"/>
  <c r="N141" i="35" s="1"/>
  <c r="K142" i="35"/>
  <c r="M142" i="35" s="1"/>
  <c r="Q142" i="35" s="1"/>
  <c r="L142" i="35"/>
  <c r="N142" i="35" s="1"/>
  <c r="K143" i="35"/>
  <c r="M143" i="35" s="1"/>
  <c r="Q143" i="35" s="1"/>
  <c r="L143" i="35"/>
  <c r="N143" i="35" s="1"/>
  <c r="K144" i="35"/>
  <c r="M144" i="35" s="1"/>
  <c r="Q144" i="35" s="1"/>
  <c r="L144" i="35"/>
  <c r="N144" i="35" s="1"/>
  <c r="K145" i="35"/>
  <c r="M145" i="35" s="1"/>
  <c r="Q145" i="35" s="1"/>
  <c r="L145" i="35"/>
  <c r="N145" i="35" s="1"/>
  <c r="K146" i="35"/>
  <c r="M146" i="35" s="1"/>
  <c r="Q146" i="35" s="1"/>
  <c r="L146" i="35"/>
  <c r="N146" i="35" s="1"/>
  <c r="K147" i="35"/>
  <c r="M147" i="35" s="1"/>
  <c r="Q147" i="35" s="1"/>
  <c r="L147" i="35"/>
  <c r="N147" i="35" s="1"/>
  <c r="K148" i="35"/>
  <c r="M148" i="35" s="1"/>
  <c r="Q148" i="35" s="1"/>
  <c r="L148" i="35"/>
  <c r="N148" i="35" s="1"/>
  <c r="K149" i="35"/>
  <c r="M149" i="35" s="1"/>
  <c r="Q149" i="35" s="1"/>
  <c r="L149" i="35"/>
  <c r="N149" i="35" s="1"/>
  <c r="K150" i="35"/>
  <c r="M150" i="35" s="1"/>
  <c r="Q150" i="35" s="1"/>
  <c r="L150" i="35"/>
  <c r="N150" i="35" s="1"/>
  <c r="K151" i="35"/>
  <c r="M151" i="35" s="1"/>
  <c r="Q151" i="35" s="1"/>
  <c r="L151" i="35"/>
  <c r="N151" i="35" s="1"/>
  <c r="K152" i="35"/>
  <c r="M152" i="35" s="1"/>
  <c r="Q152" i="35" s="1"/>
  <c r="L152" i="35"/>
  <c r="N152" i="35" s="1"/>
  <c r="K153" i="35"/>
  <c r="M153" i="35" s="1"/>
  <c r="Q153" i="35" s="1"/>
  <c r="L153" i="35"/>
  <c r="N153" i="35" s="1"/>
  <c r="K154" i="35"/>
  <c r="M154" i="35" s="1"/>
  <c r="Q154" i="35" s="1"/>
  <c r="L154" i="35"/>
  <c r="N154" i="35" s="1"/>
  <c r="K155" i="35"/>
  <c r="M155" i="35" s="1"/>
  <c r="Q155" i="35" s="1"/>
  <c r="L155" i="35"/>
  <c r="N155" i="35" s="1"/>
  <c r="K156" i="35"/>
  <c r="M156" i="35" s="1"/>
  <c r="Q156" i="35" s="1"/>
  <c r="L156" i="35"/>
  <c r="N156" i="35" s="1"/>
  <c r="K157" i="35"/>
  <c r="M157" i="35" s="1"/>
  <c r="Q157" i="35" s="1"/>
  <c r="L157" i="35"/>
  <c r="N157" i="35" s="1"/>
  <c r="K158" i="35"/>
  <c r="M158" i="35" s="1"/>
  <c r="Q158" i="35" s="1"/>
  <c r="L158" i="35"/>
  <c r="N158" i="35" s="1"/>
  <c r="K159" i="35"/>
  <c r="M159" i="35" s="1"/>
  <c r="Q159" i="35" s="1"/>
  <c r="L159" i="35"/>
  <c r="N159" i="35" s="1"/>
  <c r="K160" i="35"/>
  <c r="M160" i="35" s="1"/>
  <c r="Q160" i="35" s="1"/>
  <c r="L160" i="35"/>
  <c r="N160" i="35" s="1"/>
  <c r="K161" i="35"/>
  <c r="M161" i="35" s="1"/>
  <c r="Q161" i="35" s="1"/>
  <c r="L161" i="35"/>
  <c r="N161" i="35" s="1"/>
  <c r="K162" i="35"/>
  <c r="M162" i="35" s="1"/>
  <c r="Q162" i="35" s="1"/>
  <c r="L162" i="35"/>
  <c r="N162" i="35" s="1"/>
  <c r="K163" i="35"/>
  <c r="M163" i="35" s="1"/>
  <c r="Q163" i="35" s="1"/>
  <c r="L163" i="35"/>
  <c r="N163" i="35" s="1"/>
  <c r="K164" i="35"/>
  <c r="M164" i="35" s="1"/>
  <c r="Q164" i="35" s="1"/>
  <c r="L164" i="35"/>
  <c r="N164" i="35" s="1"/>
  <c r="K165" i="35"/>
  <c r="M165" i="35" s="1"/>
  <c r="Q165" i="35" s="1"/>
  <c r="L165" i="35"/>
  <c r="N165" i="35" s="1"/>
  <c r="K166" i="35"/>
  <c r="M166" i="35" s="1"/>
  <c r="Q166" i="35" s="1"/>
  <c r="L166" i="35"/>
  <c r="N166" i="35" s="1"/>
  <c r="K167" i="35"/>
  <c r="M167" i="35" s="1"/>
  <c r="Q167" i="35" s="1"/>
  <c r="L167" i="35"/>
  <c r="N167" i="35" s="1"/>
  <c r="K168" i="35"/>
  <c r="M168" i="35" s="1"/>
  <c r="Q168" i="35" s="1"/>
  <c r="L168" i="35"/>
  <c r="N168" i="35" s="1"/>
  <c r="K169" i="35"/>
  <c r="M169" i="35" s="1"/>
  <c r="Q169" i="35" s="1"/>
  <c r="L169" i="35"/>
  <c r="N169" i="35" s="1"/>
  <c r="K170" i="35"/>
  <c r="M170" i="35" s="1"/>
  <c r="Q170" i="35" s="1"/>
  <c r="L170" i="35"/>
  <c r="N170" i="35" s="1"/>
  <c r="K171" i="35"/>
  <c r="M171" i="35" s="1"/>
  <c r="Q171" i="35" s="1"/>
  <c r="L171" i="35"/>
  <c r="N171" i="35" s="1"/>
  <c r="K172" i="35"/>
  <c r="M172" i="35" s="1"/>
  <c r="Q172" i="35" s="1"/>
  <c r="L172" i="35"/>
  <c r="N172" i="35" s="1"/>
  <c r="K173" i="35"/>
  <c r="M173" i="35" s="1"/>
  <c r="Q173" i="35" s="1"/>
  <c r="L173" i="35"/>
  <c r="N173" i="35" s="1"/>
  <c r="K174" i="35"/>
  <c r="M174" i="35" s="1"/>
  <c r="Q174" i="35" s="1"/>
  <c r="L174" i="35"/>
  <c r="N174" i="35" s="1"/>
  <c r="K175" i="35"/>
  <c r="M175" i="35" s="1"/>
  <c r="Q175" i="35" s="1"/>
  <c r="L175" i="35"/>
  <c r="N175" i="35" s="1"/>
  <c r="K176" i="35"/>
  <c r="M176" i="35" s="1"/>
  <c r="Q176" i="35" s="1"/>
  <c r="L176" i="35"/>
  <c r="N176" i="35" s="1"/>
  <c r="K177" i="35"/>
  <c r="M177" i="35" s="1"/>
  <c r="Q177" i="35" s="1"/>
  <c r="L177" i="35"/>
  <c r="N177" i="35" s="1"/>
  <c r="K178" i="35"/>
  <c r="M178" i="35" s="1"/>
  <c r="Q178" i="35" s="1"/>
  <c r="L178" i="35"/>
  <c r="N178" i="35" s="1"/>
  <c r="K179" i="35"/>
  <c r="M179" i="35" s="1"/>
  <c r="Q179" i="35" s="1"/>
  <c r="L179" i="35"/>
  <c r="N179" i="35" s="1"/>
  <c r="K180" i="35"/>
  <c r="M180" i="35" s="1"/>
  <c r="Q180" i="35" s="1"/>
  <c r="L180" i="35"/>
  <c r="N180" i="35" s="1"/>
  <c r="K181" i="35"/>
  <c r="M181" i="35" s="1"/>
  <c r="Q181" i="35" s="1"/>
  <c r="L181" i="35"/>
  <c r="N181" i="35" s="1"/>
  <c r="K182" i="35"/>
  <c r="M182" i="35" s="1"/>
  <c r="Q182" i="35" s="1"/>
  <c r="L182" i="35"/>
  <c r="N182" i="35" s="1"/>
  <c r="K183" i="35"/>
  <c r="M183" i="35" s="1"/>
  <c r="Q183" i="35" s="1"/>
  <c r="L183" i="35"/>
  <c r="N183" i="35" s="1"/>
  <c r="K184" i="35"/>
  <c r="M184" i="35" s="1"/>
  <c r="Q184" i="35" s="1"/>
  <c r="L184" i="35"/>
  <c r="N184" i="35" s="1"/>
  <c r="K185" i="35"/>
  <c r="M185" i="35" s="1"/>
  <c r="Q185" i="35" s="1"/>
  <c r="L185" i="35"/>
  <c r="N185" i="35" s="1"/>
  <c r="K186" i="35"/>
  <c r="M186" i="35" s="1"/>
  <c r="Q186" i="35" s="1"/>
  <c r="L186" i="35"/>
  <c r="N186" i="35" s="1"/>
  <c r="K187" i="35"/>
  <c r="M187" i="35" s="1"/>
  <c r="Q187" i="35" s="1"/>
  <c r="L187" i="35"/>
  <c r="N187" i="35" s="1"/>
  <c r="K188" i="35"/>
  <c r="M188" i="35" s="1"/>
  <c r="Q188" i="35" s="1"/>
  <c r="L188" i="35"/>
  <c r="N188" i="35" s="1"/>
  <c r="K189" i="35"/>
  <c r="M189" i="35" s="1"/>
  <c r="Q189" i="35" s="1"/>
  <c r="L189" i="35"/>
  <c r="N189" i="35" s="1"/>
  <c r="K190" i="35"/>
  <c r="M190" i="35" s="1"/>
  <c r="Q190" i="35" s="1"/>
  <c r="L190" i="35"/>
  <c r="N190" i="35" s="1"/>
  <c r="K191" i="35"/>
  <c r="M191" i="35" s="1"/>
  <c r="Q191" i="35" s="1"/>
  <c r="L191" i="35"/>
  <c r="N191" i="35" s="1"/>
  <c r="K192" i="35"/>
  <c r="M192" i="35" s="1"/>
  <c r="Q192" i="35" s="1"/>
  <c r="L192" i="35"/>
  <c r="N192" i="35" s="1"/>
  <c r="K193" i="35"/>
  <c r="M193" i="35" s="1"/>
  <c r="Q193" i="35" s="1"/>
  <c r="L193" i="35"/>
  <c r="N193" i="35" s="1"/>
  <c r="K194" i="35"/>
  <c r="M194" i="35" s="1"/>
  <c r="Q194" i="35" s="1"/>
  <c r="L194" i="35"/>
  <c r="N194" i="35" s="1"/>
  <c r="K195" i="35"/>
  <c r="M195" i="35" s="1"/>
  <c r="Q195" i="35" s="1"/>
  <c r="L195" i="35"/>
  <c r="N195" i="35" s="1"/>
  <c r="K196" i="35"/>
  <c r="M196" i="35" s="1"/>
  <c r="Q196" i="35" s="1"/>
  <c r="L196" i="35"/>
  <c r="N196" i="35" s="1"/>
  <c r="K197" i="35"/>
  <c r="M197" i="35" s="1"/>
  <c r="Q197" i="35" s="1"/>
  <c r="L197" i="35"/>
  <c r="N197" i="35" s="1"/>
  <c r="K198" i="35"/>
  <c r="M198" i="35" s="1"/>
  <c r="Q198" i="35" s="1"/>
  <c r="L198" i="35"/>
  <c r="N198" i="35" s="1"/>
  <c r="K199" i="35"/>
  <c r="M199" i="35" s="1"/>
  <c r="Q199" i="35" s="1"/>
  <c r="L199" i="35"/>
  <c r="N199" i="35" s="1"/>
  <c r="K200" i="35"/>
  <c r="M200" i="35" s="1"/>
  <c r="Q200" i="35" s="1"/>
  <c r="L200" i="35"/>
  <c r="N200" i="35" s="1"/>
  <c r="K201" i="35"/>
  <c r="M201" i="35" s="1"/>
  <c r="Q201" i="35" s="1"/>
  <c r="L201" i="35"/>
  <c r="N201" i="35" s="1"/>
  <c r="K202" i="35"/>
  <c r="M202" i="35" s="1"/>
  <c r="Q202" i="35" s="1"/>
  <c r="L202" i="35"/>
  <c r="N202" i="35" s="1"/>
  <c r="K203" i="35"/>
  <c r="M203" i="35" s="1"/>
  <c r="Q203" i="35" s="1"/>
  <c r="L203" i="35"/>
  <c r="N203" i="35" s="1"/>
  <c r="K204" i="35"/>
  <c r="M204" i="35" s="1"/>
  <c r="Q204" i="35" s="1"/>
  <c r="L204" i="35"/>
  <c r="N204" i="35" s="1"/>
  <c r="K205" i="35"/>
  <c r="M205" i="35" s="1"/>
  <c r="Q205" i="35" s="1"/>
  <c r="L205" i="35"/>
  <c r="N205" i="35" s="1"/>
  <c r="K206" i="35"/>
  <c r="M206" i="35" s="1"/>
  <c r="Q206" i="35" s="1"/>
  <c r="L206" i="35"/>
  <c r="N206" i="35" s="1"/>
  <c r="K207" i="35"/>
  <c r="M207" i="35" s="1"/>
  <c r="Q207" i="35" s="1"/>
  <c r="L207" i="35"/>
  <c r="N207" i="35" s="1"/>
  <c r="K208" i="35"/>
  <c r="M208" i="35" s="1"/>
  <c r="Q208" i="35" s="1"/>
  <c r="L208" i="35"/>
  <c r="N208" i="35" s="1"/>
  <c r="K209" i="35"/>
  <c r="M209" i="35" s="1"/>
  <c r="Q209" i="35" s="1"/>
  <c r="L209" i="35"/>
  <c r="N209" i="35" s="1"/>
  <c r="K210" i="35"/>
  <c r="M210" i="35" s="1"/>
  <c r="Q210" i="35" s="1"/>
  <c r="L210" i="35"/>
  <c r="N210" i="35" s="1"/>
  <c r="K211" i="35"/>
  <c r="M211" i="35" s="1"/>
  <c r="Q211" i="35" s="1"/>
  <c r="L211" i="35"/>
  <c r="N211" i="35" s="1"/>
  <c r="K212" i="35"/>
  <c r="M212" i="35" s="1"/>
  <c r="Q212" i="35" s="1"/>
  <c r="L212" i="35"/>
  <c r="N212" i="35" s="1"/>
  <c r="K213" i="35"/>
  <c r="M213" i="35" s="1"/>
  <c r="Q213" i="35" s="1"/>
  <c r="L213" i="35"/>
  <c r="N213" i="35" s="1"/>
  <c r="K214" i="35"/>
  <c r="M214" i="35" s="1"/>
  <c r="Q214" i="35" s="1"/>
  <c r="L214" i="35"/>
  <c r="N214" i="35" s="1"/>
  <c r="K215" i="35"/>
  <c r="M215" i="35" s="1"/>
  <c r="Q215" i="35" s="1"/>
  <c r="L215" i="35"/>
  <c r="N215" i="35" s="1"/>
  <c r="K216" i="35"/>
  <c r="M216" i="35" s="1"/>
  <c r="Q216" i="35" s="1"/>
  <c r="L216" i="35"/>
  <c r="N216" i="35" s="1"/>
  <c r="K217" i="35"/>
  <c r="M217" i="35" s="1"/>
  <c r="Q217" i="35" s="1"/>
  <c r="L217" i="35"/>
  <c r="N217" i="35" s="1"/>
  <c r="K218" i="35"/>
  <c r="M218" i="35" s="1"/>
  <c r="Q218" i="35" s="1"/>
  <c r="L218" i="35"/>
  <c r="N218" i="35" s="1"/>
  <c r="K219" i="35"/>
  <c r="M219" i="35" s="1"/>
  <c r="Q219" i="35" s="1"/>
  <c r="L219" i="35"/>
  <c r="N219" i="35" s="1"/>
  <c r="K220" i="35"/>
  <c r="M220" i="35" s="1"/>
  <c r="Q220" i="35" s="1"/>
  <c r="L220" i="35"/>
  <c r="N220" i="35" s="1"/>
  <c r="K221" i="35"/>
  <c r="M221" i="35" s="1"/>
  <c r="Q221" i="35" s="1"/>
  <c r="L221" i="35"/>
  <c r="N221" i="35" s="1"/>
  <c r="K222" i="35"/>
  <c r="M222" i="35" s="1"/>
  <c r="Q222" i="35" s="1"/>
  <c r="L222" i="35"/>
  <c r="N222" i="35" s="1"/>
  <c r="K223" i="35"/>
  <c r="M223" i="35" s="1"/>
  <c r="Q223" i="35" s="1"/>
  <c r="L223" i="35"/>
  <c r="N223" i="35" s="1"/>
  <c r="K224" i="35"/>
  <c r="M224" i="35" s="1"/>
  <c r="Q224" i="35" s="1"/>
  <c r="L224" i="35"/>
  <c r="N224" i="35" s="1"/>
  <c r="K225" i="35"/>
  <c r="M225" i="35" s="1"/>
  <c r="Q225" i="35" s="1"/>
  <c r="L225" i="35"/>
  <c r="N225" i="35" s="1"/>
  <c r="K226" i="35"/>
  <c r="M226" i="35" s="1"/>
  <c r="Q226" i="35" s="1"/>
  <c r="L226" i="35"/>
  <c r="N226" i="35" s="1"/>
  <c r="K227" i="35"/>
  <c r="M227" i="35" s="1"/>
  <c r="Q227" i="35" s="1"/>
  <c r="L227" i="35"/>
  <c r="N227" i="35" s="1"/>
  <c r="K228" i="35"/>
  <c r="M228" i="35" s="1"/>
  <c r="Q228" i="35" s="1"/>
  <c r="L228" i="35"/>
  <c r="N228" i="35" s="1"/>
  <c r="K229" i="35"/>
  <c r="M229" i="35" s="1"/>
  <c r="Q229" i="35" s="1"/>
  <c r="L229" i="35"/>
  <c r="N229" i="35" s="1"/>
  <c r="K230" i="35"/>
  <c r="M230" i="35" s="1"/>
  <c r="Q230" i="35" s="1"/>
  <c r="L230" i="35"/>
  <c r="N230" i="35" s="1"/>
  <c r="K231" i="35"/>
  <c r="M231" i="35" s="1"/>
  <c r="Q231" i="35" s="1"/>
  <c r="L231" i="35"/>
  <c r="N231" i="35" s="1"/>
  <c r="K232" i="35"/>
  <c r="M232" i="35" s="1"/>
  <c r="Q232" i="35" s="1"/>
  <c r="L232" i="35"/>
  <c r="N232" i="35" s="1"/>
  <c r="K233" i="35"/>
  <c r="M233" i="35" s="1"/>
  <c r="Q233" i="35" s="1"/>
  <c r="L233" i="35"/>
  <c r="N233" i="35" s="1"/>
  <c r="K234" i="35"/>
  <c r="M234" i="35" s="1"/>
  <c r="Q234" i="35" s="1"/>
  <c r="L234" i="35"/>
  <c r="N234" i="35" s="1"/>
  <c r="K235" i="35"/>
  <c r="M235" i="35" s="1"/>
  <c r="Q235" i="35" s="1"/>
  <c r="L235" i="35"/>
  <c r="N235" i="35" s="1"/>
  <c r="K236" i="35"/>
  <c r="M236" i="35" s="1"/>
  <c r="Q236" i="35" s="1"/>
  <c r="L236" i="35"/>
  <c r="N236" i="35" s="1"/>
  <c r="K237" i="35"/>
  <c r="M237" i="35" s="1"/>
  <c r="Q237" i="35" s="1"/>
  <c r="L237" i="35"/>
  <c r="N237" i="35" s="1"/>
  <c r="K238" i="35"/>
  <c r="M238" i="35" s="1"/>
  <c r="Q238" i="35" s="1"/>
  <c r="L238" i="35"/>
  <c r="N238" i="35" s="1"/>
  <c r="K239" i="35"/>
  <c r="M239" i="35" s="1"/>
  <c r="Q239" i="35" s="1"/>
  <c r="L239" i="35"/>
  <c r="N239" i="35" s="1"/>
  <c r="K240" i="35"/>
  <c r="M240" i="35" s="1"/>
  <c r="Q240" i="35" s="1"/>
  <c r="L240" i="35"/>
  <c r="N240" i="35" s="1"/>
  <c r="K241" i="35"/>
  <c r="M241" i="35" s="1"/>
  <c r="Q241" i="35" s="1"/>
  <c r="L241" i="35"/>
  <c r="N241" i="35" s="1"/>
  <c r="K242" i="35"/>
  <c r="M242" i="35" s="1"/>
  <c r="Q242" i="35" s="1"/>
  <c r="L242" i="35"/>
  <c r="N242" i="35" s="1"/>
  <c r="K243" i="35"/>
  <c r="M243" i="35" s="1"/>
  <c r="Q243" i="35" s="1"/>
  <c r="L243" i="35"/>
  <c r="N243" i="35" s="1"/>
  <c r="K244" i="35"/>
  <c r="M244" i="35" s="1"/>
  <c r="Q244" i="35" s="1"/>
  <c r="L244" i="35"/>
  <c r="N244" i="35" s="1"/>
  <c r="K245" i="35"/>
  <c r="M245" i="35" s="1"/>
  <c r="Q245" i="35" s="1"/>
  <c r="L245" i="35"/>
  <c r="N245" i="35" s="1"/>
  <c r="K246" i="35"/>
  <c r="M246" i="35" s="1"/>
  <c r="Q246" i="35" s="1"/>
  <c r="L246" i="35"/>
  <c r="N246" i="35" s="1"/>
  <c r="K247" i="35"/>
  <c r="M247" i="35" s="1"/>
  <c r="Q247" i="35" s="1"/>
  <c r="L247" i="35"/>
  <c r="N247" i="35" s="1"/>
  <c r="K248" i="35"/>
  <c r="M248" i="35" s="1"/>
  <c r="Q248" i="35" s="1"/>
  <c r="L248" i="35"/>
  <c r="N248" i="35" s="1"/>
  <c r="K249" i="35"/>
  <c r="M249" i="35" s="1"/>
  <c r="Q249" i="35" s="1"/>
  <c r="L249" i="35"/>
  <c r="N249" i="35" s="1"/>
  <c r="K250" i="35"/>
  <c r="M250" i="35" s="1"/>
  <c r="Q250" i="35" s="1"/>
  <c r="L250" i="35"/>
  <c r="N250" i="35" s="1"/>
  <c r="K251" i="35"/>
  <c r="M251" i="35" s="1"/>
  <c r="Q251" i="35" s="1"/>
  <c r="L251" i="35"/>
  <c r="N251" i="35" s="1"/>
  <c r="K252" i="35"/>
  <c r="M252" i="35" s="1"/>
  <c r="Q252" i="35" s="1"/>
  <c r="L252" i="35"/>
  <c r="N252" i="35" s="1"/>
  <c r="K253" i="35"/>
  <c r="M253" i="35" s="1"/>
  <c r="Q253" i="35" s="1"/>
  <c r="L253" i="35"/>
  <c r="N253" i="35" s="1"/>
  <c r="K254" i="35"/>
  <c r="M254" i="35" s="1"/>
  <c r="Q254" i="35" s="1"/>
  <c r="L254" i="35"/>
  <c r="N254" i="35" s="1"/>
  <c r="K255" i="35"/>
  <c r="M255" i="35" s="1"/>
  <c r="Q255" i="35" s="1"/>
  <c r="L255" i="35"/>
  <c r="N255" i="35" s="1"/>
  <c r="L2" i="35"/>
  <c r="N2" i="35" s="1"/>
  <c r="K2" i="35"/>
  <c r="M2" i="35" s="1"/>
  <c r="AH34" i="33"/>
  <c r="AF34" i="33"/>
  <c r="AD34" i="33"/>
  <c r="AF34" i="32"/>
  <c r="AE34" i="32"/>
  <c r="AH34" i="32"/>
  <c r="AG34" i="32"/>
  <c r="AD34" i="32"/>
  <c r="T8" i="8"/>
  <c r="J1" i="8"/>
  <c r="S44" i="20"/>
  <c r="S42" i="20"/>
  <c r="S39" i="20"/>
  <c r="S7" i="14" l="1"/>
  <c r="T7" i="14" s="1"/>
  <c r="F24" i="8" s="1"/>
  <c r="S6" i="14"/>
  <c r="T6" i="14" s="1"/>
  <c r="F30" i="8" s="1"/>
  <c r="Q6" i="14"/>
  <c r="Q7" i="14"/>
  <c r="Q15" i="14"/>
  <c r="Q23" i="14"/>
  <c r="Q31" i="14"/>
  <c r="Q30" i="14"/>
  <c r="Q8" i="14"/>
  <c r="Q16" i="14"/>
  <c r="Q24" i="14"/>
  <c r="Q32" i="14"/>
  <c r="Q29" i="14"/>
  <c r="Q9" i="14"/>
  <c r="Q17" i="14"/>
  <c r="Q25" i="14"/>
  <c r="Q33" i="14"/>
  <c r="Q37" i="14"/>
  <c r="Q10" i="14"/>
  <c r="Q18" i="14"/>
  <c r="Q26" i="14"/>
  <c r="Q34" i="14"/>
  <c r="Q22" i="14"/>
  <c r="Q11" i="14"/>
  <c r="Q19" i="14"/>
  <c r="Q27" i="14"/>
  <c r="Q35" i="14"/>
  <c r="Q12" i="14"/>
  <c r="Q20" i="14"/>
  <c r="Q28" i="14"/>
  <c r="Q36" i="14"/>
  <c r="Q13" i="14"/>
  <c r="Q21" i="14"/>
  <c r="Q14" i="14"/>
  <c r="AO198" i="6"/>
  <c r="BC198" i="6" s="1"/>
  <c r="AG198" i="6"/>
  <c r="AC198" i="6"/>
  <c r="AD198" i="6"/>
  <c r="AV198" i="6" s="1"/>
  <c r="AF198" i="6"/>
  <c r="AY198" i="6" s="1"/>
  <c r="AA198" i="6"/>
  <c r="AT198" i="6" s="1"/>
  <c r="Y198" i="6"/>
  <c r="AR198" i="6" s="1"/>
  <c r="Z198" i="6"/>
  <c r="X198" i="6"/>
  <c r="W198" i="6"/>
  <c r="V198" i="6"/>
  <c r="AM198" i="6" s="1"/>
  <c r="U198" i="6"/>
  <c r="T198" i="6"/>
  <c r="AK198" i="6" s="1"/>
  <c r="AO190" i="6"/>
  <c r="AG190" i="6"/>
  <c r="AC190" i="6"/>
  <c r="AF190" i="6"/>
  <c r="AY190" i="6" s="1"/>
  <c r="AD190" i="6"/>
  <c r="AV190" i="6" s="1"/>
  <c r="AA190" i="6"/>
  <c r="AT190" i="6" s="1"/>
  <c r="Y190" i="6"/>
  <c r="AR190" i="6" s="1"/>
  <c r="Z190" i="6"/>
  <c r="W190" i="6"/>
  <c r="X190" i="6"/>
  <c r="V190" i="6"/>
  <c r="AM190" i="6" s="1"/>
  <c r="U190" i="6"/>
  <c r="T190" i="6"/>
  <c r="AK190" i="6" s="1"/>
  <c r="AG182" i="6"/>
  <c r="AO182" i="6"/>
  <c r="AC182" i="6"/>
  <c r="AF182" i="6"/>
  <c r="AY182" i="6" s="1"/>
  <c r="AD182" i="6"/>
  <c r="AV182" i="6" s="1"/>
  <c r="AA182" i="6"/>
  <c r="AT182" i="6" s="1"/>
  <c r="Y182" i="6"/>
  <c r="AR182" i="6" s="1"/>
  <c r="Z182" i="6"/>
  <c r="X182" i="6"/>
  <c r="W182" i="6"/>
  <c r="V182" i="6"/>
  <c r="AM182" i="6" s="1"/>
  <c r="T182" i="6"/>
  <c r="AK182" i="6" s="1"/>
  <c r="U182" i="6"/>
  <c r="AO177" i="6"/>
  <c r="AD177" i="6"/>
  <c r="AV177" i="6" s="1"/>
  <c r="AC177" i="6"/>
  <c r="AG177" i="6"/>
  <c r="AF177" i="6"/>
  <c r="AY177" i="6" s="1"/>
  <c r="Z177" i="6"/>
  <c r="AA177" i="6"/>
  <c r="AT177" i="6" s="1"/>
  <c r="Y177" i="6"/>
  <c r="AR177" i="6" s="1"/>
  <c r="X177" i="6"/>
  <c r="V177" i="6"/>
  <c r="AM177" i="6" s="1"/>
  <c r="W177" i="6"/>
  <c r="U177" i="6"/>
  <c r="T177" i="6"/>
  <c r="AK177" i="6" s="1"/>
  <c r="AO170" i="6"/>
  <c r="AD170" i="6"/>
  <c r="AV170" i="6" s="1"/>
  <c r="AG170" i="6"/>
  <c r="AF170" i="6"/>
  <c r="AY170" i="6" s="1"/>
  <c r="AA170" i="6"/>
  <c r="AT170" i="6" s="1"/>
  <c r="AC170" i="6"/>
  <c r="Z170" i="6"/>
  <c r="X170" i="6"/>
  <c r="Y170" i="6"/>
  <c r="AR170" i="6" s="1"/>
  <c r="V170" i="6"/>
  <c r="AM170" i="6" s="1"/>
  <c r="W170" i="6"/>
  <c r="T170" i="6"/>
  <c r="AK170" i="6" s="1"/>
  <c r="U170" i="6"/>
  <c r="AO165" i="6"/>
  <c r="BC165" i="6" s="1"/>
  <c r="AG165" i="6"/>
  <c r="AF165" i="6"/>
  <c r="AY165" i="6" s="1"/>
  <c r="AA165" i="6"/>
  <c r="AT165" i="6" s="1"/>
  <c r="AD165" i="6"/>
  <c r="AV165" i="6" s="1"/>
  <c r="AC165" i="6"/>
  <c r="Y165" i="6"/>
  <c r="AR165" i="6" s="1"/>
  <c r="Z165" i="6"/>
  <c r="X165" i="6"/>
  <c r="W165" i="6"/>
  <c r="U165" i="6"/>
  <c r="V165" i="6"/>
  <c r="AM165" i="6" s="1"/>
  <c r="T165" i="6"/>
  <c r="AK165" i="6" s="1"/>
  <c r="AO157" i="6"/>
  <c r="AG157" i="6"/>
  <c r="AF157" i="6"/>
  <c r="AY157" i="6" s="1"/>
  <c r="AA157" i="6"/>
  <c r="AT157" i="6" s="1"/>
  <c r="AD157" i="6"/>
  <c r="AV157" i="6" s="1"/>
  <c r="AC157" i="6"/>
  <c r="Y157" i="6"/>
  <c r="AR157" i="6" s="1"/>
  <c r="Z157" i="6"/>
  <c r="X157" i="6"/>
  <c r="W157" i="6"/>
  <c r="U157" i="6"/>
  <c r="V157" i="6"/>
  <c r="AM157" i="6" s="1"/>
  <c r="T157" i="6"/>
  <c r="AK157" i="6" s="1"/>
  <c r="AO134" i="6"/>
  <c r="BC134" i="6" s="1"/>
  <c r="AG134" i="6"/>
  <c r="AC134" i="6"/>
  <c r="AF134" i="6"/>
  <c r="AY134" i="6" s="1"/>
  <c r="AD134" i="6"/>
  <c r="AV134" i="6" s="1"/>
  <c r="AA134" i="6"/>
  <c r="AT134" i="6" s="1"/>
  <c r="Y134" i="6"/>
  <c r="AR134" i="6" s="1"/>
  <c r="Z134" i="6"/>
  <c r="X134" i="6"/>
  <c r="W134" i="6"/>
  <c r="V134" i="6"/>
  <c r="AM134" i="6" s="1"/>
  <c r="T134" i="6"/>
  <c r="AK134" i="6" s="1"/>
  <c r="U134" i="6"/>
  <c r="AO206" i="6"/>
  <c r="AG206" i="6"/>
  <c r="AC206" i="6"/>
  <c r="AF206" i="6"/>
  <c r="AY206" i="6" s="1"/>
  <c r="AD206" i="6"/>
  <c r="AV206" i="6" s="1"/>
  <c r="AA206" i="6"/>
  <c r="AT206" i="6" s="1"/>
  <c r="Y206" i="6"/>
  <c r="AR206" i="6" s="1"/>
  <c r="Z206" i="6"/>
  <c r="W206" i="6"/>
  <c r="X206" i="6"/>
  <c r="V206" i="6"/>
  <c r="AM206" i="6" s="1"/>
  <c r="T206" i="6"/>
  <c r="AK206" i="6" s="1"/>
  <c r="U206" i="6"/>
  <c r="AO196" i="6"/>
  <c r="AG196" i="6"/>
  <c r="AA196" i="6"/>
  <c r="AT196" i="6" s="1"/>
  <c r="AD196" i="6"/>
  <c r="AV196" i="6" s="1"/>
  <c r="AC196" i="6"/>
  <c r="AF196" i="6"/>
  <c r="AY196" i="6" s="1"/>
  <c r="Y196" i="6"/>
  <c r="AR196" i="6" s="1"/>
  <c r="X196" i="6"/>
  <c r="Z196" i="6"/>
  <c r="W196" i="6"/>
  <c r="V196" i="6"/>
  <c r="AM196" i="6" s="1"/>
  <c r="T196" i="6"/>
  <c r="AK196" i="6" s="1"/>
  <c r="U196" i="6"/>
  <c r="AO188" i="6"/>
  <c r="AG188" i="6"/>
  <c r="AF188" i="6"/>
  <c r="AY188" i="6" s="1"/>
  <c r="AC188" i="6"/>
  <c r="AA188" i="6"/>
  <c r="AT188" i="6" s="1"/>
  <c r="AD188" i="6"/>
  <c r="AV188" i="6" s="1"/>
  <c r="Y188" i="6"/>
  <c r="AR188" i="6" s="1"/>
  <c r="X188" i="6"/>
  <c r="Z188" i="6"/>
  <c r="W188" i="6"/>
  <c r="T188" i="6"/>
  <c r="AK188" i="6" s="1"/>
  <c r="V188" i="6"/>
  <c r="AM188" i="6" s="1"/>
  <c r="U188" i="6"/>
  <c r="AO180" i="6"/>
  <c r="AG180" i="6"/>
  <c r="AA180" i="6"/>
  <c r="AT180" i="6" s="1"/>
  <c r="AD180" i="6"/>
  <c r="AV180" i="6" s="1"/>
  <c r="AF180" i="6"/>
  <c r="AY180" i="6" s="1"/>
  <c r="AC180" i="6"/>
  <c r="Y180" i="6"/>
  <c r="AR180" i="6" s="1"/>
  <c r="X180" i="6"/>
  <c r="Z180" i="6"/>
  <c r="W180" i="6"/>
  <c r="V180" i="6"/>
  <c r="AM180" i="6" s="1"/>
  <c r="T180" i="6"/>
  <c r="AK180" i="6" s="1"/>
  <c r="U180" i="6"/>
  <c r="AO173" i="6"/>
  <c r="AG173" i="6"/>
  <c r="AF173" i="6"/>
  <c r="AY173" i="6" s="1"/>
  <c r="AA173" i="6"/>
  <c r="AT173" i="6" s="1"/>
  <c r="AD173" i="6"/>
  <c r="AV173" i="6" s="1"/>
  <c r="Y173" i="6"/>
  <c r="AR173" i="6" s="1"/>
  <c r="AC173" i="6"/>
  <c r="Z173" i="6"/>
  <c r="X173" i="6"/>
  <c r="W173" i="6"/>
  <c r="U173" i="6"/>
  <c r="V173" i="6"/>
  <c r="AM173" i="6" s="1"/>
  <c r="T173" i="6"/>
  <c r="AK173" i="6" s="1"/>
  <c r="AO163" i="6"/>
  <c r="AF163" i="6"/>
  <c r="AY163" i="6" s="1"/>
  <c r="AG163" i="6"/>
  <c r="AD163" i="6"/>
  <c r="AV163" i="6" s="1"/>
  <c r="AA163" i="6"/>
  <c r="AT163" i="6" s="1"/>
  <c r="Y163" i="6"/>
  <c r="AR163" i="6" s="1"/>
  <c r="AC163" i="6"/>
  <c r="X163" i="6"/>
  <c r="Z163" i="6"/>
  <c r="V163" i="6"/>
  <c r="AM163" i="6" s="1"/>
  <c r="W163" i="6"/>
  <c r="T163" i="6"/>
  <c r="AK163" i="6" s="1"/>
  <c r="U163" i="6"/>
  <c r="AO155" i="6"/>
  <c r="AG155" i="6"/>
  <c r="AF155" i="6"/>
  <c r="AY155" i="6" s="1"/>
  <c r="AD155" i="6"/>
  <c r="AV155" i="6" s="1"/>
  <c r="AC155" i="6"/>
  <c r="AA155" i="6"/>
  <c r="AT155" i="6" s="1"/>
  <c r="Y155" i="6"/>
  <c r="AR155" i="6" s="1"/>
  <c r="Z155" i="6"/>
  <c r="X155" i="6"/>
  <c r="W155" i="6"/>
  <c r="U155" i="6"/>
  <c r="V155" i="6"/>
  <c r="AM155" i="6" s="1"/>
  <c r="T155" i="6"/>
  <c r="AK155" i="6" s="1"/>
  <c r="AO153" i="6"/>
  <c r="BC153" i="6" s="1"/>
  <c r="AD153" i="6"/>
  <c r="AV153" i="6" s="1"/>
  <c r="AG153" i="6"/>
  <c r="AF153" i="6"/>
  <c r="AY153" i="6" s="1"/>
  <c r="Z153" i="6"/>
  <c r="AC153" i="6"/>
  <c r="AA153" i="6"/>
  <c r="AT153" i="6" s="1"/>
  <c r="Y153" i="6"/>
  <c r="AR153" i="6" s="1"/>
  <c r="V153" i="6"/>
  <c r="AM153" i="6" s="1"/>
  <c r="X153" i="6"/>
  <c r="W153" i="6"/>
  <c r="U153" i="6"/>
  <c r="T153" i="6"/>
  <c r="AK153" i="6" s="1"/>
  <c r="AO151" i="6"/>
  <c r="AG151" i="6"/>
  <c r="AC151" i="6"/>
  <c r="AF151" i="6"/>
  <c r="AY151" i="6" s="1"/>
  <c r="AD151" i="6"/>
  <c r="AV151" i="6" s="1"/>
  <c r="Z151" i="6"/>
  <c r="AA151" i="6"/>
  <c r="AT151" i="6" s="1"/>
  <c r="Y151" i="6"/>
  <c r="AR151" i="6" s="1"/>
  <c r="X151" i="6"/>
  <c r="V151" i="6"/>
  <c r="AM151" i="6" s="1"/>
  <c r="W151" i="6"/>
  <c r="T151" i="6"/>
  <c r="AK151" i="6" s="1"/>
  <c r="U151" i="6"/>
  <c r="AO98" i="6"/>
  <c r="BC98" i="6" s="1"/>
  <c r="AD98" i="6"/>
  <c r="AV98" i="6" s="1"/>
  <c r="AG98" i="6"/>
  <c r="AF98" i="6"/>
  <c r="AY98" i="6" s="1"/>
  <c r="AC98" i="6"/>
  <c r="AA98" i="6"/>
  <c r="AT98" i="6" s="1"/>
  <c r="Z98" i="6"/>
  <c r="Y98" i="6"/>
  <c r="AR98" i="6" s="1"/>
  <c r="X98" i="6"/>
  <c r="V98" i="6"/>
  <c r="AM98" i="6" s="1"/>
  <c r="W98" i="6"/>
  <c r="T98" i="6"/>
  <c r="AK98" i="6" s="1"/>
  <c r="U98" i="6"/>
  <c r="AO96" i="6"/>
  <c r="BC96" i="6" s="1"/>
  <c r="AG96" i="6"/>
  <c r="AD96" i="6"/>
  <c r="AV96" i="6" s="1"/>
  <c r="AC96" i="6"/>
  <c r="AF96" i="6"/>
  <c r="AY96" i="6" s="1"/>
  <c r="Z96" i="6"/>
  <c r="AA96" i="6"/>
  <c r="AT96" i="6" s="1"/>
  <c r="Y96" i="6"/>
  <c r="AR96" i="6" s="1"/>
  <c r="X96" i="6"/>
  <c r="W96" i="6"/>
  <c r="V96" i="6"/>
  <c r="AM96" i="6" s="1"/>
  <c r="U96" i="6"/>
  <c r="T96" i="6"/>
  <c r="AO94" i="6"/>
  <c r="AG94" i="6"/>
  <c r="AF94" i="6"/>
  <c r="AY94" i="6" s="1"/>
  <c r="AC94" i="6"/>
  <c r="AD94" i="6"/>
  <c r="AV94" i="6" s="1"/>
  <c r="AA94" i="6"/>
  <c r="AT94" i="6" s="1"/>
  <c r="Y94" i="6"/>
  <c r="AR94" i="6" s="1"/>
  <c r="Z94" i="6"/>
  <c r="W94" i="6"/>
  <c r="X94" i="6"/>
  <c r="V94" i="6"/>
  <c r="AM94" i="6" s="1"/>
  <c r="U94" i="6"/>
  <c r="T94" i="6"/>
  <c r="AK94" i="6" s="1"/>
  <c r="AO92" i="6"/>
  <c r="AF92" i="6"/>
  <c r="AY92" i="6" s="1"/>
  <c r="AG92" i="6"/>
  <c r="AA92" i="6"/>
  <c r="AT92" i="6" s="1"/>
  <c r="AD92" i="6"/>
  <c r="AV92" i="6" s="1"/>
  <c r="Y92" i="6"/>
  <c r="AR92" i="6" s="1"/>
  <c r="AC92" i="6"/>
  <c r="X92" i="6"/>
  <c r="Z92" i="6"/>
  <c r="W92" i="6"/>
  <c r="T92" i="6"/>
  <c r="AK92" i="6" s="1"/>
  <c r="V92" i="6"/>
  <c r="AM92" i="6" s="1"/>
  <c r="U92" i="6"/>
  <c r="AO90" i="6"/>
  <c r="AD90" i="6"/>
  <c r="AV90" i="6" s="1"/>
  <c r="AG90" i="6"/>
  <c r="AF90" i="6"/>
  <c r="AY90" i="6" s="1"/>
  <c r="AA90" i="6"/>
  <c r="AT90" i="6" s="1"/>
  <c r="AC90" i="6"/>
  <c r="Z90" i="6"/>
  <c r="X90" i="6"/>
  <c r="V90" i="6"/>
  <c r="AM90" i="6" s="1"/>
  <c r="Y90" i="6"/>
  <c r="AR90" i="6" s="1"/>
  <c r="W90" i="6"/>
  <c r="U90" i="6"/>
  <c r="T90" i="6"/>
  <c r="AK90" i="6" s="1"/>
  <c r="AO88" i="6"/>
  <c r="AG88" i="6"/>
  <c r="AD88" i="6"/>
  <c r="AV88" i="6" s="1"/>
  <c r="AC88" i="6"/>
  <c r="AF88" i="6"/>
  <c r="AY88" i="6" s="1"/>
  <c r="Z88" i="6"/>
  <c r="AA88" i="6"/>
  <c r="AT88" i="6" s="1"/>
  <c r="Y88" i="6"/>
  <c r="AR88" i="6" s="1"/>
  <c r="X88" i="6"/>
  <c r="W88" i="6"/>
  <c r="V88" i="6"/>
  <c r="AM88" i="6" s="1"/>
  <c r="U88" i="6"/>
  <c r="T88" i="6"/>
  <c r="AK88" i="6" s="1"/>
  <c r="AG86" i="6"/>
  <c r="AO86" i="6"/>
  <c r="AF86" i="6"/>
  <c r="AY86" i="6" s="1"/>
  <c r="AD86" i="6"/>
  <c r="AV86" i="6" s="1"/>
  <c r="AC86" i="6"/>
  <c r="AA86" i="6"/>
  <c r="AT86" i="6" s="1"/>
  <c r="Y86" i="6"/>
  <c r="AR86" i="6" s="1"/>
  <c r="Z86" i="6"/>
  <c r="X86" i="6"/>
  <c r="W86" i="6"/>
  <c r="V86" i="6"/>
  <c r="AM86" i="6" s="1"/>
  <c r="U86" i="6"/>
  <c r="T86" i="6"/>
  <c r="AK86" i="6" s="1"/>
  <c r="AO84" i="6"/>
  <c r="BC84" i="6" s="1"/>
  <c r="AF84" i="6"/>
  <c r="AY84" i="6" s="1"/>
  <c r="AG84" i="6"/>
  <c r="AA84" i="6"/>
  <c r="AT84" i="6" s="1"/>
  <c r="AD84" i="6"/>
  <c r="AV84" i="6" s="1"/>
  <c r="Y84" i="6"/>
  <c r="AR84" i="6" s="1"/>
  <c r="AC84" i="6"/>
  <c r="X84" i="6"/>
  <c r="Z84" i="6"/>
  <c r="W84" i="6"/>
  <c r="V84" i="6"/>
  <c r="AM84" i="6" s="1"/>
  <c r="T84" i="6"/>
  <c r="AK84" i="6" s="1"/>
  <c r="U84" i="6"/>
  <c r="AO82" i="6"/>
  <c r="AD82" i="6"/>
  <c r="AV82" i="6" s="1"/>
  <c r="AG82" i="6"/>
  <c r="AF82" i="6"/>
  <c r="AY82" i="6" s="1"/>
  <c r="AC82" i="6"/>
  <c r="AA82" i="6"/>
  <c r="AT82" i="6" s="1"/>
  <c r="Z82" i="6"/>
  <c r="Y82" i="6"/>
  <c r="AR82" i="6" s="1"/>
  <c r="X82" i="6"/>
  <c r="V82" i="6"/>
  <c r="AM82" i="6" s="1"/>
  <c r="W82" i="6"/>
  <c r="U82" i="6"/>
  <c r="T82" i="6"/>
  <c r="AK82" i="6" s="1"/>
  <c r="AO80" i="6"/>
  <c r="AG80" i="6"/>
  <c r="AD80" i="6"/>
  <c r="AV80" i="6" s="1"/>
  <c r="AC80" i="6"/>
  <c r="AF80" i="6"/>
  <c r="AY80" i="6" s="1"/>
  <c r="Z80" i="6"/>
  <c r="AA80" i="6"/>
  <c r="AT80" i="6" s="1"/>
  <c r="X80" i="6"/>
  <c r="Y80" i="6"/>
  <c r="AR80" i="6" s="1"/>
  <c r="U80" i="6"/>
  <c r="V80" i="6"/>
  <c r="AM80" i="6" s="1"/>
  <c r="W80" i="6"/>
  <c r="T80" i="6"/>
  <c r="AK80" i="6" s="1"/>
  <c r="AO69" i="6"/>
  <c r="AG69" i="6"/>
  <c r="AF69" i="6"/>
  <c r="AY69" i="6" s="1"/>
  <c r="AA69" i="6"/>
  <c r="AT69" i="6" s="1"/>
  <c r="AD69" i="6"/>
  <c r="AV69" i="6" s="1"/>
  <c r="Y69" i="6"/>
  <c r="AR69" i="6" s="1"/>
  <c r="AC69" i="6"/>
  <c r="Z69" i="6"/>
  <c r="X69" i="6"/>
  <c r="W69" i="6"/>
  <c r="U69" i="6"/>
  <c r="V69" i="6"/>
  <c r="AM69" i="6" s="1"/>
  <c r="T69" i="6"/>
  <c r="AK69" i="6" s="1"/>
  <c r="AO67" i="6"/>
  <c r="AF67" i="6"/>
  <c r="AY67" i="6" s="1"/>
  <c r="AG67" i="6"/>
  <c r="AD67" i="6"/>
  <c r="AV67" i="6" s="1"/>
  <c r="AA67" i="6"/>
  <c r="AT67" i="6" s="1"/>
  <c r="Y67" i="6"/>
  <c r="AR67" i="6" s="1"/>
  <c r="AC67" i="6"/>
  <c r="X67" i="6"/>
  <c r="Z67" i="6"/>
  <c r="V67" i="6"/>
  <c r="AM67" i="6" s="1"/>
  <c r="W67" i="6"/>
  <c r="T67" i="6"/>
  <c r="AK67" i="6" s="1"/>
  <c r="U67" i="6"/>
  <c r="AO65" i="6"/>
  <c r="AD65" i="6"/>
  <c r="AV65" i="6" s="1"/>
  <c r="AG65" i="6"/>
  <c r="AF65" i="6"/>
  <c r="AY65" i="6" s="1"/>
  <c r="AC65" i="6"/>
  <c r="Z65" i="6"/>
  <c r="AA65" i="6"/>
  <c r="AT65" i="6" s="1"/>
  <c r="Y65" i="6"/>
  <c r="AR65" i="6" s="1"/>
  <c r="X65" i="6"/>
  <c r="V65" i="6"/>
  <c r="AM65" i="6" s="1"/>
  <c r="W65" i="6"/>
  <c r="T65" i="6"/>
  <c r="AK65" i="6" s="1"/>
  <c r="U65" i="6"/>
  <c r="AO171" i="6"/>
  <c r="AF171" i="6"/>
  <c r="AY171" i="6" s="1"/>
  <c r="AG171" i="6"/>
  <c r="AD171" i="6"/>
  <c r="AV171" i="6" s="1"/>
  <c r="AA171" i="6"/>
  <c r="AT171" i="6" s="1"/>
  <c r="Y171" i="6"/>
  <c r="AR171" i="6" s="1"/>
  <c r="AC171" i="6"/>
  <c r="Z171" i="6"/>
  <c r="X171" i="6"/>
  <c r="W171" i="6"/>
  <c r="V171" i="6"/>
  <c r="AM171" i="6" s="1"/>
  <c r="T171" i="6"/>
  <c r="AK171" i="6" s="1"/>
  <c r="U171" i="6"/>
  <c r="AO166" i="6"/>
  <c r="AG166" i="6"/>
  <c r="AC166" i="6"/>
  <c r="AF166" i="6"/>
  <c r="AY166" i="6" s="1"/>
  <c r="AD166" i="6"/>
  <c r="AV166" i="6" s="1"/>
  <c r="AA166" i="6"/>
  <c r="AT166" i="6" s="1"/>
  <c r="Y166" i="6"/>
  <c r="AR166" i="6" s="1"/>
  <c r="Z166" i="6"/>
  <c r="X166" i="6"/>
  <c r="W166" i="6"/>
  <c r="V166" i="6"/>
  <c r="AM166" i="6" s="1"/>
  <c r="U166" i="6"/>
  <c r="T166" i="6"/>
  <c r="AK166" i="6" s="1"/>
  <c r="AO158" i="6"/>
  <c r="BC158" i="6" s="1"/>
  <c r="AG158" i="6"/>
  <c r="AC158" i="6"/>
  <c r="AF158" i="6"/>
  <c r="AY158" i="6" s="1"/>
  <c r="AD158" i="6"/>
  <c r="AV158" i="6" s="1"/>
  <c r="AA158" i="6"/>
  <c r="AT158" i="6" s="1"/>
  <c r="Y158" i="6"/>
  <c r="AR158" i="6" s="1"/>
  <c r="Z158" i="6"/>
  <c r="W158" i="6"/>
  <c r="X158" i="6"/>
  <c r="V158" i="6"/>
  <c r="AM158" i="6" s="1"/>
  <c r="U158" i="6"/>
  <c r="T158" i="6"/>
  <c r="AK158" i="6" s="1"/>
  <c r="AO149" i="6"/>
  <c r="BC149" i="6" s="1"/>
  <c r="AG149" i="6"/>
  <c r="AF149" i="6"/>
  <c r="AY149" i="6" s="1"/>
  <c r="AA149" i="6"/>
  <c r="AT149" i="6" s="1"/>
  <c r="AD149" i="6"/>
  <c r="AV149" i="6" s="1"/>
  <c r="Y149" i="6"/>
  <c r="AR149" i="6" s="1"/>
  <c r="AC149" i="6"/>
  <c r="Z149" i="6"/>
  <c r="X149" i="6"/>
  <c r="W149" i="6"/>
  <c r="U149" i="6"/>
  <c r="V149" i="6"/>
  <c r="AM149" i="6" s="1"/>
  <c r="T149" i="6"/>
  <c r="AK149" i="6" s="1"/>
  <c r="AO147" i="6"/>
  <c r="BC147" i="6" s="1"/>
  <c r="AF147" i="6"/>
  <c r="AY147" i="6" s="1"/>
  <c r="AG147" i="6"/>
  <c r="AD147" i="6"/>
  <c r="AV147" i="6" s="1"/>
  <c r="AA147" i="6"/>
  <c r="AT147" i="6" s="1"/>
  <c r="AC147" i="6"/>
  <c r="Y147" i="6"/>
  <c r="AR147" i="6" s="1"/>
  <c r="X147" i="6"/>
  <c r="Z147" i="6"/>
  <c r="W147" i="6"/>
  <c r="V147" i="6"/>
  <c r="AM147" i="6" s="1"/>
  <c r="U147" i="6"/>
  <c r="T147" i="6"/>
  <c r="AK147" i="6" s="1"/>
  <c r="AO145" i="6"/>
  <c r="BC145" i="6" s="1"/>
  <c r="AD145" i="6"/>
  <c r="AV145" i="6" s="1"/>
  <c r="AC145" i="6"/>
  <c r="AG145" i="6"/>
  <c r="AF145" i="6"/>
  <c r="AY145" i="6" s="1"/>
  <c r="Z145" i="6"/>
  <c r="AA145" i="6"/>
  <c r="AT145" i="6" s="1"/>
  <c r="Y145" i="6"/>
  <c r="AR145" i="6" s="1"/>
  <c r="X145" i="6"/>
  <c r="V145" i="6"/>
  <c r="AM145" i="6" s="1"/>
  <c r="W145" i="6"/>
  <c r="T145" i="6"/>
  <c r="AK145" i="6" s="1"/>
  <c r="U145" i="6"/>
  <c r="AO143" i="6"/>
  <c r="AG143" i="6"/>
  <c r="AC143" i="6"/>
  <c r="AD143" i="6"/>
  <c r="AV143" i="6" s="1"/>
  <c r="AF143" i="6"/>
  <c r="AY143" i="6" s="1"/>
  <c r="AA143" i="6"/>
  <c r="AT143" i="6" s="1"/>
  <c r="Z143" i="6"/>
  <c r="Y143" i="6"/>
  <c r="AR143" i="6" s="1"/>
  <c r="X143" i="6"/>
  <c r="W143" i="6"/>
  <c r="V143" i="6"/>
  <c r="AM143" i="6" s="1"/>
  <c r="U143" i="6"/>
  <c r="T143" i="6"/>
  <c r="AK143" i="6" s="1"/>
  <c r="AO141" i="6"/>
  <c r="AG141" i="6"/>
  <c r="AF141" i="6"/>
  <c r="AY141" i="6" s="1"/>
  <c r="AA141" i="6"/>
  <c r="AT141" i="6" s="1"/>
  <c r="AD141" i="6"/>
  <c r="AV141" i="6" s="1"/>
  <c r="Y141" i="6"/>
  <c r="AR141" i="6" s="1"/>
  <c r="AC141" i="6"/>
  <c r="Z141" i="6"/>
  <c r="X141" i="6"/>
  <c r="W141" i="6"/>
  <c r="U141" i="6"/>
  <c r="V141" i="6"/>
  <c r="AM141" i="6" s="1"/>
  <c r="T141" i="6"/>
  <c r="AK141" i="6" s="1"/>
  <c r="AO139" i="6"/>
  <c r="AG139" i="6"/>
  <c r="AF139" i="6"/>
  <c r="AY139" i="6" s="1"/>
  <c r="AD139" i="6"/>
  <c r="AV139" i="6" s="1"/>
  <c r="AA139" i="6"/>
  <c r="AT139" i="6" s="1"/>
  <c r="Y139" i="6"/>
  <c r="AR139" i="6" s="1"/>
  <c r="AC139" i="6"/>
  <c r="Z139" i="6"/>
  <c r="X139" i="6"/>
  <c r="W139" i="6"/>
  <c r="V139" i="6"/>
  <c r="AM139" i="6" s="1"/>
  <c r="U139" i="6"/>
  <c r="T139" i="6"/>
  <c r="AK139" i="6" s="1"/>
  <c r="AO137" i="6"/>
  <c r="AD137" i="6"/>
  <c r="AV137" i="6" s="1"/>
  <c r="AG137" i="6"/>
  <c r="AF137" i="6"/>
  <c r="AY137" i="6" s="1"/>
  <c r="AC137" i="6"/>
  <c r="Z137" i="6"/>
  <c r="AA137" i="6"/>
  <c r="AT137" i="6" s="1"/>
  <c r="Y137" i="6"/>
  <c r="AR137" i="6" s="1"/>
  <c r="V137" i="6"/>
  <c r="AM137" i="6" s="1"/>
  <c r="X137" i="6"/>
  <c r="W137" i="6"/>
  <c r="U137" i="6"/>
  <c r="T137" i="6"/>
  <c r="AK137" i="6" s="1"/>
  <c r="AG135" i="6"/>
  <c r="AO135" i="6"/>
  <c r="AC135" i="6"/>
  <c r="AF135" i="6"/>
  <c r="AY135" i="6" s="1"/>
  <c r="AD135" i="6"/>
  <c r="AV135" i="6" s="1"/>
  <c r="Z135" i="6"/>
  <c r="AA135" i="6"/>
  <c r="AT135" i="6" s="1"/>
  <c r="Y135" i="6"/>
  <c r="AR135" i="6" s="1"/>
  <c r="X135" i="6"/>
  <c r="W135" i="6"/>
  <c r="V135" i="6"/>
  <c r="AM135" i="6" s="1"/>
  <c r="U135" i="6"/>
  <c r="T135" i="6"/>
  <c r="AK135" i="6" s="1"/>
  <c r="AO63" i="6"/>
  <c r="AG63" i="6"/>
  <c r="AC63" i="6"/>
  <c r="AD63" i="6"/>
  <c r="AV63" i="6" s="1"/>
  <c r="AF63" i="6"/>
  <c r="AY63" i="6" s="1"/>
  <c r="AA63" i="6"/>
  <c r="AT63" i="6" s="1"/>
  <c r="Z63" i="6"/>
  <c r="Y63" i="6"/>
  <c r="AR63" i="6" s="1"/>
  <c r="X63" i="6"/>
  <c r="W63" i="6"/>
  <c r="V63" i="6"/>
  <c r="AM63" i="6" s="1"/>
  <c r="U63" i="6"/>
  <c r="T63" i="6"/>
  <c r="AK63" i="6" s="1"/>
  <c r="AO61" i="6"/>
  <c r="AG61" i="6"/>
  <c r="AF61" i="6"/>
  <c r="AY61" i="6" s="1"/>
  <c r="AA61" i="6"/>
  <c r="AT61" i="6" s="1"/>
  <c r="AD61" i="6"/>
  <c r="AV61" i="6" s="1"/>
  <c r="Y61" i="6"/>
  <c r="AR61" i="6" s="1"/>
  <c r="AC61" i="6"/>
  <c r="Z61" i="6"/>
  <c r="X61" i="6"/>
  <c r="W61" i="6"/>
  <c r="V61" i="6"/>
  <c r="AM61" i="6" s="1"/>
  <c r="U61" i="6"/>
  <c r="T61" i="6"/>
  <c r="AK61" i="6" s="1"/>
  <c r="AO59" i="6"/>
  <c r="AG59" i="6"/>
  <c r="AF59" i="6"/>
  <c r="AY59" i="6" s="1"/>
  <c r="AD59" i="6"/>
  <c r="AV59" i="6" s="1"/>
  <c r="AA59" i="6"/>
  <c r="AT59" i="6" s="1"/>
  <c r="Y59" i="6"/>
  <c r="AR59" i="6" s="1"/>
  <c r="AC59" i="6"/>
  <c r="Z59" i="6"/>
  <c r="X59" i="6"/>
  <c r="W59" i="6"/>
  <c r="V59" i="6"/>
  <c r="AM59" i="6" s="1"/>
  <c r="U59" i="6"/>
  <c r="T59" i="6"/>
  <c r="AK59" i="6" s="1"/>
  <c r="AO197" i="6"/>
  <c r="AG197" i="6"/>
  <c r="AA197" i="6"/>
  <c r="AT197" i="6" s="1"/>
  <c r="AD197" i="6"/>
  <c r="AV197" i="6" s="1"/>
  <c r="AC197" i="6"/>
  <c r="AF197" i="6"/>
  <c r="AY197" i="6" s="1"/>
  <c r="Y197" i="6"/>
  <c r="AR197" i="6" s="1"/>
  <c r="Z197" i="6"/>
  <c r="X197" i="6"/>
  <c r="W197" i="6"/>
  <c r="U197" i="6"/>
  <c r="V197" i="6"/>
  <c r="AM197" i="6" s="1"/>
  <c r="T197" i="6"/>
  <c r="AK197" i="6" s="1"/>
  <c r="AO189" i="6"/>
  <c r="AG189" i="6"/>
  <c r="AA189" i="6"/>
  <c r="AT189" i="6" s="1"/>
  <c r="AD189" i="6"/>
  <c r="AV189" i="6" s="1"/>
  <c r="AF189" i="6"/>
  <c r="AY189" i="6" s="1"/>
  <c r="AC189" i="6"/>
  <c r="Y189" i="6"/>
  <c r="AR189" i="6" s="1"/>
  <c r="Z189" i="6"/>
  <c r="X189" i="6"/>
  <c r="W189" i="6"/>
  <c r="U189" i="6"/>
  <c r="V189" i="6"/>
  <c r="AM189" i="6" s="1"/>
  <c r="T189" i="6"/>
  <c r="AK189" i="6" s="1"/>
  <c r="AO205" i="6"/>
  <c r="AG205" i="6"/>
  <c r="AA205" i="6"/>
  <c r="AT205" i="6" s="1"/>
  <c r="AF205" i="6"/>
  <c r="AY205" i="6" s="1"/>
  <c r="AD205" i="6"/>
  <c r="AV205" i="6" s="1"/>
  <c r="Y205" i="6"/>
  <c r="AR205" i="6" s="1"/>
  <c r="AC205" i="6"/>
  <c r="Z205" i="6"/>
  <c r="X205" i="6"/>
  <c r="W205" i="6"/>
  <c r="U205" i="6"/>
  <c r="V205" i="6"/>
  <c r="AM205" i="6" s="1"/>
  <c r="T205" i="6"/>
  <c r="AK205" i="6" s="1"/>
  <c r="AO200" i="6"/>
  <c r="AG200" i="6"/>
  <c r="AF200" i="6"/>
  <c r="AY200" i="6" s="1"/>
  <c r="AD200" i="6"/>
  <c r="AV200" i="6" s="1"/>
  <c r="AC200" i="6"/>
  <c r="Z200" i="6"/>
  <c r="AA200" i="6"/>
  <c r="AT200" i="6" s="1"/>
  <c r="Y200" i="6"/>
  <c r="AR200" i="6" s="1"/>
  <c r="X200" i="6"/>
  <c r="W200" i="6"/>
  <c r="V200" i="6"/>
  <c r="AM200" i="6" s="1"/>
  <c r="T200" i="6"/>
  <c r="AK200" i="6" s="1"/>
  <c r="U200" i="6"/>
  <c r="AO195" i="6"/>
  <c r="AF195" i="6"/>
  <c r="AY195" i="6" s="1"/>
  <c r="AG195" i="6"/>
  <c r="AD195" i="6"/>
  <c r="AV195" i="6" s="1"/>
  <c r="AA195" i="6"/>
  <c r="AT195" i="6" s="1"/>
  <c r="AC195" i="6"/>
  <c r="Y195" i="6"/>
  <c r="AR195" i="6" s="1"/>
  <c r="X195" i="6"/>
  <c r="Z195" i="6"/>
  <c r="V195" i="6"/>
  <c r="AM195" i="6" s="1"/>
  <c r="U195" i="6"/>
  <c r="W195" i="6"/>
  <c r="T195" i="6"/>
  <c r="AK195" i="6" s="1"/>
  <c r="AO187" i="6"/>
  <c r="AF187" i="6"/>
  <c r="AY187" i="6" s="1"/>
  <c r="AG187" i="6"/>
  <c r="AD187" i="6"/>
  <c r="AV187" i="6" s="1"/>
  <c r="AC187" i="6"/>
  <c r="AA187" i="6"/>
  <c r="AT187" i="6" s="1"/>
  <c r="Y187" i="6"/>
  <c r="AR187" i="6" s="1"/>
  <c r="Z187" i="6"/>
  <c r="X187" i="6"/>
  <c r="W187" i="6"/>
  <c r="V187" i="6"/>
  <c r="AM187" i="6" s="1"/>
  <c r="T187" i="6"/>
  <c r="AK187" i="6" s="1"/>
  <c r="U187" i="6"/>
  <c r="AO179" i="6"/>
  <c r="AF179" i="6"/>
  <c r="AY179" i="6" s="1"/>
  <c r="AG179" i="6"/>
  <c r="AD179" i="6"/>
  <c r="AV179" i="6" s="1"/>
  <c r="AA179" i="6"/>
  <c r="AT179" i="6" s="1"/>
  <c r="AC179" i="6"/>
  <c r="Y179" i="6"/>
  <c r="AR179" i="6" s="1"/>
  <c r="X179" i="6"/>
  <c r="Z179" i="6"/>
  <c r="W179" i="6"/>
  <c r="V179" i="6"/>
  <c r="AM179" i="6" s="1"/>
  <c r="U179" i="6"/>
  <c r="T179" i="6"/>
  <c r="AK179" i="6" s="1"/>
  <c r="AO201" i="6"/>
  <c r="AF201" i="6"/>
  <c r="AY201" i="6" s="1"/>
  <c r="AD201" i="6"/>
  <c r="AV201" i="6" s="1"/>
  <c r="AG201" i="6"/>
  <c r="AC201" i="6"/>
  <c r="Z201" i="6"/>
  <c r="AA201" i="6"/>
  <c r="AT201" i="6" s="1"/>
  <c r="Y201" i="6"/>
  <c r="AR201" i="6" s="1"/>
  <c r="V201" i="6"/>
  <c r="AM201" i="6" s="1"/>
  <c r="X201" i="6"/>
  <c r="W201" i="6"/>
  <c r="U201" i="6"/>
  <c r="T201" i="6"/>
  <c r="AK201" i="6" s="1"/>
  <c r="AO191" i="6"/>
  <c r="AG191" i="6"/>
  <c r="AF191" i="6"/>
  <c r="AY191" i="6" s="1"/>
  <c r="AC191" i="6"/>
  <c r="AD191" i="6"/>
  <c r="AV191" i="6" s="1"/>
  <c r="AA191" i="6"/>
  <c r="AT191" i="6" s="1"/>
  <c r="Z191" i="6"/>
  <c r="Y191" i="6"/>
  <c r="AR191" i="6" s="1"/>
  <c r="X191" i="6"/>
  <c r="W191" i="6"/>
  <c r="V191" i="6"/>
  <c r="AM191" i="6" s="1"/>
  <c r="T191" i="6"/>
  <c r="AK191" i="6" s="1"/>
  <c r="U191" i="6"/>
  <c r="AO183" i="6"/>
  <c r="AG183" i="6"/>
  <c r="AF183" i="6"/>
  <c r="AY183" i="6" s="1"/>
  <c r="AC183" i="6"/>
  <c r="AD183" i="6"/>
  <c r="AV183" i="6" s="1"/>
  <c r="Z183" i="6"/>
  <c r="AA183" i="6"/>
  <c r="AT183" i="6" s="1"/>
  <c r="Y183" i="6"/>
  <c r="AR183" i="6" s="1"/>
  <c r="X183" i="6"/>
  <c r="V183" i="6"/>
  <c r="AM183" i="6" s="1"/>
  <c r="U183" i="6"/>
  <c r="W183" i="6"/>
  <c r="T183" i="6"/>
  <c r="AK183" i="6" s="1"/>
  <c r="AO204" i="6"/>
  <c r="AG204" i="6"/>
  <c r="AA204" i="6"/>
  <c r="AT204" i="6" s="1"/>
  <c r="AF204" i="6"/>
  <c r="AY204" i="6" s="1"/>
  <c r="AD204" i="6"/>
  <c r="AV204" i="6" s="1"/>
  <c r="Y204" i="6"/>
  <c r="AR204" i="6" s="1"/>
  <c r="AC204" i="6"/>
  <c r="X204" i="6"/>
  <c r="Z204" i="6"/>
  <c r="W204" i="6"/>
  <c r="V204" i="6"/>
  <c r="AM204" i="6" s="1"/>
  <c r="U204" i="6"/>
  <c r="T204" i="6"/>
  <c r="AK204" i="6" s="1"/>
  <c r="AG199" i="6"/>
  <c r="AO199" i="6"/>
  <c r="AF199" i="6"/>
  <c r="AY199" i="6" s="1"/>
  <c r="AC199" i="6"/>
  <c r="AD199" i="6"/>
  <c r="AV199" i="6" s="1"/>
  <c r="Z199" i="6"/>
  <c r="AA199" i="6"/>
  <c r="AT199" i="6" s="1"/>
  <c r="Y199" i="6"/>
  <c r="AR199" i="6" s="1"/>
  <c r="X199" i="6"/>
  <c r="W199" i="6"/>
  <c r="V199" i="6"/>
  <c r="AM199" i="6" s="1"/>
  <c r="U199" i="6"/>
  <c r="T199" i="6"/>
  <c r="AK199" i="6" s="1"/>
  <c r="AO194" i="6"/>
  <c r="AD194" i="6"/>
  <c r="AV194" i="6" s="1"/>
  <c r="AG194" i="6"/>
  <c r="AF194" i="6"/>
  <c r="AY194" i="6" s="1"/>
  <c r="AC194" i="6"/>
  <c r="AA194" i="6"/>
  <c r="AT194" i="6" s="1"/>
  <c r="Z194" i="6"/>
  <c r="Y194" i="6"/>
  <c r="AR194" i="6" s="1"/>
  <c r="X194" i="6"/>
  <c r="V194" i="6"/>
  <c r="AM194" i="6" s="1"/>
  <c r="U194" i="6"/>
  <c r="W194" i="6"/>
  <c r="T194" i="6"/>
  <c r="AK194" i="6" s="1"/>
  <c r="AO186" i="6"/>
  <c r="BC186" i="6" s="1"/>
  <c r="AD186" i="6"/>
  <c r="AV186" i="6" s="1"/>
  <c r="AG186" i="6"/>
  <c r="AF186" i="6"/>
  <c r="AY186" i="6" s="1"/>
  <c r="AC186" i="6"/>
  <c r="AA186" i="6"/>
  <c r="AT186" i="6" s="1"/>
  <c r="Z186" i="6"/>
  <c r="X186" i="6"/>
  <c r="Y186" i="6"/>
  <c r="AR186" i="6" s="1"/>
  <c r="V186" i="6"/>
  <c r="AM186" i="6" s="1"/>
  <c r="W186" i="6"/>
  <c r="U186" i="6"/>
  <c r="T186" i="6"/>
  <c r="AK186" i="6" s="1"/>
  <c r="AO178" i="6"/>
  <c r="BC178" i="6" s="1"/>
  <c r="AD178" i="6"/>
  <c r="AV178" i="6" s="1"/>
  <c r="AG178" i="6"/>
  <c r="AC178" i="6"/>
  <c r="AF178" i="6"/>
  <c r="AY178" i="6" s="1"/>
  <c r="AA178" i="6"/>
  <c r="AT178" i="6" s="1"/>
  <c r="Z178" i="6"/>
  <c r="Y178" i="6"/>
  <c r="AR178" i="6" s="1"/>
  <c r="X178" i="6"/>
  <c r="V178" i="6"/>
  <c r="AM178" i="6" s="1"/>
  <c r="W178" i="6"/>
  <c r="T178" i="6"/>
  <c r="AK178" i="6" s="1"/>
  <c r="U178" i="6"/>
  <c r="AO169" i="6"/>
  <c r="BC169" i="6" s="1"/>
  <c r="AD169" i="6"/>
  <c r="AV169" i="6" s="1"/>
  <c r="AG169" i="6"/>
  <c r="AF169" i="6"/>
  <c r="AY169" i="6" s="1"/>
  <c r="AC169" i="6"/>
  <c r="Z169" i="6"/>
  <c r="AA169" i="6"/>
  <c r="AT169" i="6" s="1"/>
  <c r="Y169" i="6"/>
  <c r="AR169" i="6" s="1"/>
  <c r="V169" i="6"/>
  <c r="AM169" i="6" s="1"/>
  <c r="X169" i="6"/>
  <c r="W169" i="6"/>
  <c r="T169" i="6"/>
  <c r="AK169" i="6" s="1"/>
  <c r="U169" i="6"/>
  <c r="AO161" i="6"/>
  <c r="AD161" i="6"/>
  <c r="AV161" i="6" s="1"/>
  <c r="AG161" i="6"/>
  <c r="AF161" i="6"/>
  <c r="AY161" i="6" s="1"/>
  <c r="Z161" i="6"/>
  <c r="AA161" i="6"/>
  <c r="AT161" i="6" s="1"/>
  <c r="AC161" i="6"/>
  <c r="Y161" i="6"/>
  <c r="AR161" i="6" s="1"/>
  <c r="X161" i="6"/>
  <c r="V161" i="6"/>
  <c r="AM161" i="6" s="1"/>
  <c r="W161" i="6"/>
  <c r="U161" i="6"/>
  <c r="T161" i="6"/>
  <c r="AK161" i="6" s="1"/>
  <c r="AO133" i="6"/>
  <c r="AG133" i="6"/>
  <c r="AF133" i="6"/>
  <c r="AY133" i="6" s="1"/>
  <c r="AA133" i="6"/>
  <c r="AT133" i="6" s="1"/>
  <c r="AD133" i="6"/>
  <c r="AV133" i="6" s="1"/>
  <c r="AC133" i="6"/>
  <c r="Y133" i="6"/>
  <c r="AR133" i="6" s="1"/>
  <c r="Z133" i="6"/>
  <c r="X133" i="6"/>
  <c r="W133" i="6"/>
  <c r="U133" i="6"/>
  <c r="V133" i="6"/>
  <c r="AM133" i="6" s="1"/>
  <c r="T133" i="6"/>
  <c r="AK133" i="6" s="1"/>
  <c r="AO131" i="6"/>
  <c r="AF131" i="6"/>
  <c r="AY131" i="6" s="1"/>
  <c r="AG131" i="6"/>
  <c r="AD131" i="6"/>
  <c r="AV131" i="6" s="1"/>
  <c r="AA131" i="6"/>
  <c r="AT131" i="6" s="1"/>
  <c r="AC131" i="6"/>
  <c r="Y131" i="6"/>
  <c r="AR131" i="6" s="1"/>
  <c r="X131" i="6"/>
  <c r="Z131" i="6"/>
  <c r="V131" i="6"/>
  <c r="AM131" i="6" s="1"/>
  <c r="U131" i="6"/>
  <c r="W131" i="6"/>
  <c r="T131" i="6"/>
  <c r="AK131" i="6" s="1"/>
  <c r="AO129" i="6"/>
  <c r="AD129" i="6"/>
  <c r="AV129" i="6" s="1"/>
  <c r="AF129" i="6"/>
  <c r="AY129" i="6" s="1"/>
  <c r="AG129" i="6"/>
  <c r="Z129" i="6"/>
  <c r="AC129" i="6"/>
  <c r="AA129" i="6"/>
  <c r="AT129" i="6" s="1"/>
  <c r="Y129" i="6"/>
  <c r="AR129" i="6" s="1"/>
  <c r="X129" i="6"/>
  <c r="V129" i="6"/>
  <c r="AM129" i="6" s="1"/>
  <c r="W129" i="6"/>
  <c r="U129" i="6"/>
  <c r="T129" i="6"/>
  <c r="AK129" i="6" s="1"/>
  <c r="AO127" i="6"/>
  <c r="AG127" i="6"/>
  <c r="AC127" i="6"/>
  <c r="AD127" i="6"/>
  <c r="AV127" i="6" s="1"/>
  <c r="AF127" i="6"/>
  <c r="AY127" i="6" s="1"/>
  <c r="AA127" i="6"/>
  <c r="AT127" i="6" s="1"/>
  <c r="Z127" i="6"/>
  <c r="Y127" i="6"/>
  <c r="AR127" i="6" s="1"/>
  <c r="X127" i="6"/>
  <c r="W127" i="6"/>
  <c r="V127" i="6"/>
  <c r="AM127" i="6" s="1"/>
  <c r="T127" i="6"/>
  <c r="AK127" i="6" s="1"/>
  <c r="U127" i="6"/>
  <c r="AO125" i="6"/>
  <c r="AG125" i="6"/>
  <c r="AF125" i="6"/>
  <c r="AY125" i="6" s="1"/>
  <c r="AA125" i="6"/>
  <c r="AT125" i="6" s="1"/>
  <c r="AD125" i="6"/>
  <c r="AV125" i="6" s="1"/>
  <c r="AC125" i="6"/>
  <c r="Y125" i="6"/>
  <c r="AR125" i="6" s="1"/>
  <c r="Z125" i="6"/>
  <c r="X125" i="6"/>
  <c r="W125" i="6"/>
  <c r="U125" i="6"/>
  <c r="V125" i="6"/>
  <c r="AM125" i="6" s="1"/>
  <c r="T125" i="6"/>
  <c r="AK125" i="6" s="1"/>
  <c r="AO123" i="6"/>
  <c r="BC123" i="6" s="1"/>
  <c r="AG123" i="6"/>
  <c r="AF123" i="6"/>
  <c r="AY123" i="6" s="1"/>
  <c r="AD123" i="6"/>
  <c r="AV123" i="6" s="1"/>
  <c r="AC123" i="6"/>
  <c r="AA123" i="6"/>
  <c r="AT123" i="6" s="1"/>
  <c r="Y123" i="6"/>
  <c r="AR123" i="6" s="1"/>
  <c r="Z123" i="6"/>
  <c r="X123" i="6"/>
  <c r="W123" i="6"/>
  <c r="V123" i="6"/>
  <c r="AM123" i="6" s="1"/>
  <c r="U123" i="6"/>
  <c r="T123" i="6"/>
  <c r="AK123" i="6" s="1"/>
  <c r="AO121" i="6"/>
  <c r="AD121" i="6"/>
  <c r="AV121" i="6" s="1"/>
  <c r="AG121" i="6"/>
  <c r="AF121" i="6"/>
  <c r="AY121" i="6" s="1"/>
  <c r="Z121" i="6"/>
  <c r="AA121" i="6"/>
  <c r="AT121" i="6" s="1"/>
  <c r="AC121" i="6"/>
  <c r="V121" i="6"/>
  <c r="AM121" i="6" s="1"/>
  <c r="Y121" i="6"/>
  <c r="AR121" i="6" s="1"/>
  <c r="X121" i="6"/>
  <c r="W121" i="6"/>
  <c r="U121" i="6"/>
  <c r="T121" i="6"/>
  <c r="AK121" i="6" s="1"/>
  <c r="AO119" i="6"/>
  <c r="AG119" i="6"/>
  <c r="AC119" i="6"/>
  <c r="AF119" i="6"/>
  <c r="AY119" i="6" s="1"/>
  <c r="AD119" i="6"/>
  <c r="AV119" i="6" s="1"/>
  <c r="Z119" i="6"/>
  <c r="AA119" i="6"/>
  <c r="AT119" i="6" s="1"/>
  <c r="Y119" i="6"/>
  <c r="AR119" i="6" s="1"/>
  <c r="X119" i="6"/>
  <c r="V119" i="6"/>
  <c r="AM119" i="6" s="1"/>
  <c r="W119" i="6"/>
  <c r="U119" i="6"/>
  <c r="T119" i="6"/>
  <c r="AK119" i="6" s="1"/>
  <c r="AO117" i="6"/>
  <c r="AG117" i="6"/>
  <c r="AF117" i="6"/>
  <c r="AY117" i="6" s="1"/>
  <c r="AA117" i="6"/>
  <c r="AT117" i="6" s="1"/>
  <c r="AD117" i="6"/>
  <c r="AV117" i="6" s="1"/>
  <c r="Y117" i="6"/>
  <c r="AR117" i="6" s="1"/>
  <c r="AC117" i="6"/>
  <c r="Z117" i="6"/>
  <c r="X117" i="6"/>
  <c r="W117" i="6"/>
  <c r="U117" i="6"/>
  <c r="V117" i="6"/>
  <c r="AM117" i="6" s="1"/>
  <c r="T117" i="6"/>
  <c r="AK117" i="6" s="1"/>
  <c r="AO115" i="6"/>
  <c r="AF115" i="6"/>
  <c r="AY115" i="6" s="1"/>
  <c r="AG115" i="6"/>
  <c r="AD115" i="6"/>
  <c r="AV115" i="6" s="1"/>
  <c r="AA115" i="6"/>
  <c r="AT115" i="6" s="1"/>
  <c r="AC115" i="6"/>
  <c r="Y115" i="6"/>
  <c r="AR115" i="6" s="1"/>
  <c r="X115" i="6"/>
  <c r="Z115" i="6"/>
  <c r="W115" i="6"/>
  <c r="V115" i="6"/>
  <c r="AM115" i="6" s="1"/>
  <c r="T115" i="6"/>
  <c r="AK115" i="6" s="1"/>
  <c r="U115" i="6"/>
  <c r="AO113" i="6"/>
  <c r="BC113" i="6" s="1"/>
  <c r="AD113" i="6"/>
  <c r="AV113" i="6" s="1"/>
  <c r="AC113" i="6"/>
  <c r="AF113" i="6"/>
  <c r="AY113" i="6" s="1"/>
  <c r="AG113" i="6"/>
  <c r="Z113" i="6"/>
  <c r="AA113" i="6"/>
  <c r="AT113" i="6" s="1"/>
  <c r="Y113" i="6"/>
  <c r="AR113" i="6" s="1"/>
  <c r="X113" i="6"/>
  <c r="V113" i="6"/>
  <c r="AM113" i="6" s="1"/>
  <c r="W113" i="6"/>
  <c r="U113" i="6"/>
  <c r="T113" i="6"/>
  <c r="AK113" i="6" s="1"/>
  <c r="AO111" i="6"/>
  <c r="AG111" i="6"/>
  <c r="AC111" i="6"/>
  <c r="AD111" i="6"/>
  <c r="AV111" i="6" s="1"/>
  <c r="AF111" i="6"/>
  <c r="AY111" i="6" s="1"/>
  <c r="AA111" i="6"/>
  <c r="AT111" i="6" s="1"/>
  <c r="Z111" i="6"/>
  <c r="X111" i="6"/>
  <c r="Y111" i="6"/>
  <c r="AR111" i="6" s="1"/>
  <c r="W111" i="6"/>
  <c r="U111" i="6"/>
  <c r="V111" i="6"/>
  <c r="AM111" i="6" s="1"/>
  <c r="T111" i="6"/>
  <c r="AK111" i="6" s="1"/>
  <c r="AO109" i="6"/>
  <c r="BC109" i="6" s="1"/>
  <c r="AG109" i="6"/>
  <c r="AF109" i="6"/>
  <c r="AY109" i="6" s="1"/>
  <c r="AA109" i="6"/>
  <c r="AT109" i="6" s="1"/>
  <c r="AD109" i="6"/>
  <c r="AV109" i="6" s="1"/>
  <c r="Y109" i="6"/>
  <c r="AR109" i="6" s="1"/>
  <c r="AC109" i="6"/>
  <c r="Z109" i="6"/>
  <c r="X109" i="6"/>
  <c r="W109" i="6"/>
  <c r="U109" i="6"/>
  <c r="V109" i="6"/>
  <c r="AM109" i="6" s="1"/>
  <c r="T109" i="6"/>
  <c r="AK109" i="6" s="1"/>
  <c r="AO78" i="6"/>
  <c r="AG78" i="6"/>
  <c r="AF78" i="6"/>
  <c r="AY78" i="6" s="1"/>
  <c r="AC78" i="6"/>
  <c r="AD78" i="6"/>
  <c r="AV78" i="6" s="1"/>
  <c r="AA78" i="6"/>
  <c r="AT78" i="6" s="1"/>
  <c r="Y78" i="6"/>
  <c r="AR78" i="6" s="1"/>
  <c r="Z78" i="6"/>
  <c r="W78" i="6"/>
  <c r="X78" i="6"/>
  <c r="U78" i="6"/>
  <c r="V78" i="6"/>
  <c r="AM78" i="6" s="1"/>
  <c r="T78" i="6"/>
  <c r="AK78" i="6" s="1"/>
  <c r="AO181" i="6"/>
  <c r="AG181" i="6"/>
  <c r="AF181" i="6"/>
  <c r="AY181" i="6" s="1"/>
  <c r="AA181" i="6"/>
  <c r="AT181" i="6" s="1"/>
  <c r="AD181" i="6"/>
  <c r="AV181" i="6" s="1"/>
  <c r="Y181" i="6"/>
  <c r="AR181" i="6" s="1"/>
  <c r="AC181" i="6"/>
  <c r="Z181" i="6"/>
  <c r="X181" i="6"/>
  <c r="W181" i="6"/>
  <c r="U181" i="6"/>
  <c r="V181" i="6"/>
  <c r="AM181" i="6" s="1"/>
  <c r="T181" i="6"/>
  <c r="AK181" i="6" s="1"/>
  <c r="AO176" i="6"/>
  <c r="AG176" i="6"/>
  <c r="AD176" i="6"/>
  <c r="AV176" i="6" s="1"/>
  <c r="AC176" i="6"/>
  <c r="AF176" i="6"/>
  <c r="AY176" i="6" s="1"/>
  <c r="Z176" i="6"/>
  <c r="AA176" i="6"/>
  <c r="AT176" i="6" s="1"/>
  <c r="Y176" i="6"/>
  <c r="AR176" i="6" s="1"/>
  <c r="X176" i="6"/>
  <c r="W176" i="6"/>
  <c r="U176" i="6"/>
  <c r="V176" i="6"/>
  <c r="AM176" i="6" s="1"/>
  <c r="T176" i="6"/>
  <c r="AK176" i="6" s="1"/>
  <c r="AO174" i="6"/>
  <c r="AG174" i="6"/>
  <c r="AF174" i="6"/>
  <c r="AY174" i="6" s="1"/>
  <c r="AC174" i="6"/>
  <c r="AD174" i="6"/>
  <c r="AV174" i="6" s="1"/>
  <c r="AA174" i="6"/>
  <c r="AT174" i="6" s="1"/>
  <c r="Y174" i="6"/>
  <c r="AR174" i="6" s="1"/>
  <c r="Z174" i="6"/>
  <c r="W174" i="6"/>
  <c r="X174" i="6"/>
  <c r="V174" i="6"/>
  <c r="AM174" i="6" s="1"/>
  <c r="U174" i="6"/>
  <c r="T174" i="6"/>
  <c r="AK174" i="6" s="1"/>
  <c r="AO164" i="6"/>
  <c r="AF164" i="6"/>
  <c r="AY164" i="6" s="1"/>
  <c r="AG164" i="6"/>
  <c r="AA164" i="6"/>
  <c r="AT164" i="6" s="1"/>
  <c r="AD164" i="6"/>
  <c r="AV164" i="6" s="1"/>
  <c r="AC164" i="6"/>
  <c r="Y164" i="6"/>
  <c r="AR164" i="6" s="1"/>
  <c r="X164" i="6"/>
  <c r="Z164" i="6"/>
  <c r="W164" i="6"/>
  <c r="T164" i="6"/>
  <c r="AK164" i="6" s="1"/>
  <c r="U164" i="6"/>
  <c r="V164" i="6"/>
  <c r="AM164" i="6" s="1"/>
  <c r="AO156" i="6"/>
  <c r="BC156" i="6" s="1"/>
  <c r="AF156" i="6"/>
  <c r="AY156" i="6" s="1"/>
  <c r="AG156" i="6"/>
  <c r="AC156" i="6"/>
  <c r="AA156" i="6"/>
  <c r="AT156" i="6" s="1"/>
  <c r="AD156" i="6"/>
  <c r="AV156" i="6" s="1"/>
  <c r="Y156" i="6"/>
  <c r="AR156" i="6" s="1"/>
  <c r="X156" i="6"/>
  <c r="Z156" i="6"/>
  <c r="W156" i="6"/>
  <c r="T156" i="6"/>
  <c r="AK156" i="6" s="1"/>
  <c r="U156" i="6"/>
  <c r="V156" i="6"/>
  <c r="AM156" i="6" s="1"/>
  <c r="AO107" i="6"/>
  <c r="AG107" i="6"/>
  <c r="AF107" i="6"/>
  <c r="AY107" i="6" s="1"/>
  <c r="AD107" i="6"/>
  <c r="AV107" i="6" s="1"/>
  <c r="AA107" i="6"/>
  <c r="AT107" i="6" s="1"/>
  <c r="Y107" i="6"/>
  <c r="AR107" i="6" s="1"/>
  <c r="AC107" i="6"/>
  <c r="Z107" i="6"/>
  <c r="X107" i="6"/>
  <c r="W107" i="6"/>
  <c r="V107" i="6"/>
  <c r="AM107" i="6" s="1"/>
  <c r="U107" i="6"/>
  <c r="T107" i="6"/>
  <c r="AK107" i="6" s="1"/>
  <c r="AO105" i="6"/>
  <c r="AD105" i="6"/>
  <c r="AV105" i="6" s="1"/>
  <c r="AG105" i="6"/>
  <c r="AF105" i="6"/>
  <c r="AY105" i="6" s="1"/>
  <c r="AC105" i="6"/>
  <c r="Z105" i="6"/>
  <c r="AA105" i="6"/>
  <c r="AT105" i="6" s="1"/>
  <c r="Y105" i="6"/>
  <c r="AR105" i="6" s="1"/>
  <c r="V105" i="6"/>
  <c r="AM105" i="6" s="1"/>
  <c r="X105" i="6"/>
  <c r="W105" i="6"/>
  <c r="T105" i="6"/>
  <c r="AK105" i="6" s="1"/>
  <c r="U105" i="6"/>
  <c r="AG103" i="6"/>
  <c r="AO103" i="6"/>
  <c r="AC103" i="6"/>
  <c r="AF103" i="6"/>
  <c r="AY103" i="6" s="1"/>
  <c r="AD103" i="6"/>
  <c r="AV103" i="6" s="1"/>
  <c r="Z103" i="6"/>
  <c r="AA103" i="6"/>
  <c r="AT103" i="6" s="1"/>
  <c r="Y103" i="6"/>
  <c r="AR103" i="6" s="1"/>
  <c r="X103" i="6"/>
  <c r="W103" i="6"/>
  <c r="V103" i="6"/>
  <c r="AM103" i="6" s="1"/>
  <c r="U103" i="6"/>
  <c r="T103" i="6"/>
  <c r="AK103" i="6" s="1"/>
  <c r="AO101" i="6"/>
  <c r="AG101" i="6"/>
  <c r="AF101" i="6"/>
  <c r="AY101" i="6" s="1"/>
  <c r="AA101" i="6"/>
  <c r="AT101" i="6" s="1"/>
  <c r="AD101" i="6"/>
  <c r="AV101" i="6" s="1"/>
  <c r="Y101" i="6"/>
  <c r="AR101" i="6" s="1"/>
  <c r="AC101" i="6"/>
  <c r="Z101" i="6"/>
  <c r="X101" i="6"/>
  <c r="W101" i="6"/>
  <c r="V101" i="6"/>
  <c r="AM101" i="6" s="1"/>
  <c r="U101" i="6"/>
  <c r="T101" i="6"/>
  <c r="AK101" i="6" s="1"/>
  <c r="AO99" i="6"/>
  <c r="AF99" i="6"/>
  <c r="AY99" i="6" s="1"/>
  <c r="AG99" i="6"/>
  <c r="AD99" i="6"/>
  <c r="AV99" i="6" s="1"/>
  <c r="AA99" i="6"/>
  <c r="AT99" i="6" s="1"/>
  <c r="Y99" i="6"/>
  <c r="AR99" i="6" s="1"/>
  <c r="AC99" i="6"/>
  <c r="X99" i="6"/>
  <c r="Z99" i="6"/>
  <c r="V99" i="6"/>
  <c r="AM99" i="6" s="1"/>
  <c r="W99" i="6"/>
  <c r="T99" i="6"/>
  <c r="AK99" i="6" s="1"/>
  <c r="U99" i="6"/>
  <c r="AO76" i="6"/>
  <c r="AF76" i="6"/>
  <c r="AY76" i="6" s="1"/>
  <c r="AG76" i="6"/>
  <c r="AA76" i="6"/>
  <c r="AT76" i="6" s="1"/>
  <c r="AD76" i="6"/>
  <c r="AV76" i="6" s="1"/>
  <c r="Y76" i="6"/>
  <c r="AR76" i="6" s="1"/>
  <c r="AC76" i="6"/>
  <c r="X76" i="6"/>
  <c r="Z76" i="6"/>
  <c r="W76" i="6"/>
  <c r="V76" i="6"/>
  <c r="AM76" i="6" s="1"/>
  <c r="T76" i="6"/>
  <c r="AK76" i="6" s="1"/>
  <c r="U76" i="6"/>
  <c r="AO74" i="6"/>
  <c r="AD74" i="6"/>
  <c r="AV74" i="6" s="1"/>
  <c r="AG74" i="6"/>
  <c r="AF74" i="6"/>
  <c r="AY74" i="6" s="1"/>
  <c r="AA74" i="6"/>
  <c r="AT74" i="6" s="1"/>
  <c r="AC74" i="6"/>
  <c r="Z74" i="6"/>
  <c r="X74" i="6"/>
  <c r="V74" i="6"/>
  <c r="AM74" i="6" s="1"/>
  <c r="Y74" i="6"/>
  <c r="AR74" i="6" s="1"/>
  <c r="W74" i="6"/>
  <c r="T74" i="6"/>
  <c r="AK74" i="6" s="1"/>
  <c r="U74" i="6"/>
  <c r="AO72" i="6"/>
  <c r="AG72" i="6"/>
  <c r="AD72" i="6"/>
  <c r="AV72" i="6" s="1"/>
  <c r="AC72" i="6"/>
  <c r="AF72" i="6"/>
  <c r="AY72" i="6" s="1"/>
  <c r="Z72" i="6"/>
  <c r="AA72" i="6"/>
  <c r="AT72" i="6" s="1"/>
  <c r="Y72" i="6"/>
  <c r="AR72" i="6" s="1"/>
  <c r="X72" i="6"/>
  <c r="W72" i="6"/>
  <c r="V72" i="6"/>
  <c r="AM72" i="6" s="1"/>
  <c r="U72" i="6"/>
  <c r="T72" i="6"/>
  <c r="AK72" i="6" s="1"/>
  <c r="AO70" i="6"/>
  <c r="AG70" i="6"/>
  <c r="AF70" i="6"/>
  <c r="AY70" i="6" s="1"/>
  <c r="AD70" i="6"/>
  <c r="AV70" i="6" s="1"/>
  <c r="AC70" i="6"/>
  <c r="AA70" i="6"/>
  <c r="AT70" i="6" s="1"/>
  <c r="Y70" i="6"/>
  <c r="AR70" i="6" s="1"/>
  <c r="Z70" i="6"/>
  <c r="X70" i="6"/>
  <c r="W70" i="6"/>
  <c r="U70" i="6"/>
  <c r="V70" i="6"/>
  <c r="AM70" i="6" s="1"/>
  <c r="T70" i="6"/>
  <c r="AK70" i="6" s="1"/>
  <c r="AO202" i="6"/>
  <c r="AD202" i="6"/>
  <c r="AV202" i="6" s="1"/>
  <c r="AG202" i="6"/>
  <c r="AF202" i="6"/>
  <c r="AY202" i="6" s="1"/>
  <c r="AC202" i="6"/>
  <c r="AA202" i="6"/>
  <c r="AT202" i="6" s="1"/>
  <c r="Z202" i="6"/>
  <c r="X202" i="6"/>
  <c r="Y202" i="6"/>
  <c r="AR202" i="6" s="1"/>
  <c r="V202" i="6"/>
  <c r="AM202" i="6" s="1"/>
  <c r="W202" i="6"/>
  <c r="U202" i="6"/>
  <c r="T202" i="6"/>
  <c r="AK202" i="6" s="1"/>
  <c r="AO192" i="6"/>
  <c r="BC192" i="6" s="1"/>
  <c r="AG192" i="6"/>
  <c r="AF192" i="6"/>
  <c r="AY192" i="6" s="1"/>
  <c r="AD192" i="6"/>
  <c r="AV192" i="6" s="1"/>
  <c r="Z192" i="6"/>
  <c r="AC192" i="6"/>
  <c r="AA192" i="6"/>
  <c r="AT192" i="6" s="1"/>
  <c r="Y192" i="6"/>
  <c r="AR192" i="6" s="1"/>
  <c r="X192" i="6"/>
  <c r="W192" i="6"/>
  <c r="V192" i="6"/>
  <c r="AM192" i="6" s="1"/>
  <c r="U192" i="6"/>
  <c r="T192" i="6"/>
  <c r="AK192" i="6" s="1"/>
  <c r="AO184" i="6"/>
  <c r="BC184" i="6" s="1"/>
  <c r="AG184" i="6"/>
  <c r="AD184" i="6"/>
  <c r="AV184" i="6" s="1"/>
  <c r="AF184" i="6"/>
  <c r="AY184" i="6" s="1"/>
  <c r="Z184" i="6"/>
  <c r="AA184" i="6"/>
  <c r="AT184" i="6" s="1"/>
  <c r="AC184" i="6"/>
  <c r="Y184" i="6"/>
  <c r="AR184" i="6" s="1"/>
  <c r="X184" i="6"/>
  <c r="U184" i="6"/>
  <c r="V184" i="6"/>
  <c r="AM184" i="6" s="1"/>
  <c r="W184" i="6"/>
  <c r="T184" i="6"/>
  <c r="AK184" i="6" s="1"/>
  <c r="AG167" i="6"/>
  <c r="AO167" i="6"/>
  <c r="AC167" i="6"/>
  <c r="AF167" i="6"/>
  <c r="AY167" i="6" s="1"/>
  <c r="AD167" i="6"/>
  <c r="AV167" i="6" s="1"/>
  <c r="Z167" i="6"/>
  <c r="AA167" i="6"/>
  <c r="AT167" i="6" s="1"/>
  <c r="Y167" i="6"/>
  <c r="AR167" i="6" s="1"/>
  <c r="X167" i="6"/>
  <c r="W167" i="6"/>
  <c r="V167" i="6"/>
  <c r="AM167" i="6" s="1"/>
  <c r="U167" i="6"/>
  <c r="T167" i="6"/>
  <c r="AK167" i="6" s="1"/>
  <c r="AO159" i="6"/>
  <c r="AG159" i="6"/>
  <c r="AC159" i="6"/>
  <c r="AD159" i="6"/>
  <c r="AV159" i="6" s="1"/>
  <c r="AF159" i="6"/>
  <c r="AY159" i="6" s="1"/>
  <c r="AA159" i="6"/>
  <c r="AT159" i="6" s="1"/>
  <c r="Z159" i="6"/>
  <c r="Y159" i="6"/>
  <c r="AR159" i="6" s="1"/>
  <c r="X159" i="6"/>
  <c r="V159" i="6"/>
  <c r="AM159" i="6" s="1"/>
  <c r="U159" i="6"/>
  <c r="W159" i="6"/>
  <c r="T159" i="6"/>
  <c r="AK159" i="6" s="1"/>
  <c r="AO154" i="6"/>
  <c r="AD154" i="6"/>
  <c r="AV154" i="6" s="1"/>
  <c r="AG154" i="6"/>
  <c r="AC154" i="6"/>
  <c r="AF154" i="6"/>
  <c r="AY154" i="6" s="1"/>
  <c r="AA154" i="6"/>
  <c r="AT154" i="6" s="1"/>
  <c r="Z154" i="6"/>
  <c r="X154" i="6"/>
  <c r="Y154" i="6"/>
  <c r="AR154" i="6" s="1"/>
  <c r="V154" i="6"/>
  <c r="AM154" i="6" s="1"/>
  <c r="W154" i="6"/>
  <c r="T154" i="6"/>
  <c r="AK154" i="6" s="1"/>
  <c r="U154" i="6"/>
  <c r="AO152" i="6"/>
  <c r="AG152" i="6"/>
  <c r="AD152" i="6"/>
  <c r="AV152" i="6" s="1"/>
  <c r="AF152" i="6"/>
  <c r="AY152" i="6" s="1"/>
  <c r="Z152" i="6"/>
  <c r="AC152" i="6"/>
  <c r="AA152" i="6"/>
  <c r="AT152" i="6" s="1"/>
  <c r="Y152" i="6"/>
  <c r="AR152" i="6" s="1"/>
  <c r="X152" i="6"/>
  <c r="W152" i="6"/>
  <c r="V152" i="6"/>
  <c r="AM152" i="6" s="1"/>
  <c r="T152" i="6"/>
  <c r="AK152" i="6" s="1"/>
  <c r="U152" i="6"/>
  <c r="AO97" i="6"/>
  <c r="BC97" i="6" s="1"/>
  <c r="AD97" i="6"/>
  <c r="AV97" i="6" s="1"/>
  <c r="AF97" i="6"/>
  <c r="AY97" i="6" s="1"/>
  <c r="AG97" i="6"/>
  <c r="AC97" i="6"/>
  <c r="Z97" i="6"/>
  <c r="AA97" i="6"/>
  <c r="AT97" i="6" s="1"/>
  <c r="Y97" i="6"/>
  <c r="AR97" i="6" s="1"/>
  <c r="X97" i="6"/>
  <c r="V97" i="6"/>
  <c r="AM97" i="6" s="1"/>
  <c r="W97" i="6"/>
  <c r="T97" i="6"/>
  <c r="AK97" i="6" s="1"/>
  <c r="U97" i="6"/>
  <c r="AO95" i="6"/>
  <c r="AG95" i="6"/>
  <c r="AC95" i="6"/>
  <c r="AD95" i="6"/>
  <c r="AV95" i="6" s="1"/>
  <c r="AF95" i="6"/>
  <c r="AY95" i="6" s="1"/>
  <c r="AA95" i="6"/>
  <c r="AT95" i="6" s="1"/>
  <c r="Z95" i="6"/>
  <c r="Y95" i="6"/>
  <c r="AR95" i="6" s="1"/>
  <c r="X95" i="6"/>
  <c r="V95" i="6"/>
  <c r="AM95" i="6" s="1"/>
  <c r="U95" i="6"/>
  <c r="W95" i="6"/>
  <c r="T95" i="6"/>
  <c r="AK95" i="6" s="1"/>
  <c r="AO93" i="6"/>
  <c r="AG93" i="6"/>
  <c r="AF93" i="6"/>
  <c r="AY93" i="6" s="1"/>
  <c r="AA93" i="6"/>
  <c r="AT93" i="6" s="1"/>
  <c r="AD93" i="6"/>
  <c r="AV93" i="6" s="1"/>
  <c r="Y93" i="6"/>
  <c r="AR93" i="6" s="1"/>
  <c r="AC93" i="6"/>
  <c r="Z93" i="6"/>
  <c r="X93" i="6"/>
  <c r="W93" i="6"/>
  <c r="U93" i="6"/>
  <c r="V93" i="6"/>
  <c r="AM93" i="6" s="1"/>
  <c r="T93" i="6"/>
  <c r="AK93" i="6" s="1"/>
  <c r="AO91" i="6"/>
  <c r="AG91" i="6"/>
  <c r="AF91" i="6"/>
  <c r="AY91" i="6" s="1"/>
  <c r="AD91" i="6"/>
  <c r="AV91" i="6" s="1"/>
  <c r="AA91" i="6"/>
  <c r="AT91" i="6" s="1"/>
  <c r="Y91" i="6"/>
  <c r="AR91" i="6" s="1"/>
  <c r="AC91" i="6"/>
  <c r="Z91" i="6"/>
  <c r="X91" i="6"/>
  <c r="W91" i="6"/>
  <c r="V91" i="6"/>
  <c r="AM91" i="6" s="1"/>
  <c r="U91" i="6"/>
  <c r="T91" i="6"/>
  <c r="AK91" i="6" s="1"/>
  <c r="AO89" i="6"/>
  <c r="AD89" i="6"/>
  <c r="AV89" i="6" s="1"/>
  <c r="AG89" i="6"/>
  <c r="AF89" i="6"/>
  <c r="AY89" i="6" s="1"/>
  <c r="AC89" i="6"/>
  <c r="Z89" i="6"/>
  <c r="AA89" i="6"/>
  <c r="AT89" i="6" s="1"/>
  <c r="V89" i="6"/>
  <c r="AM89" i="6" s="1"/>
  <c r="Y89" i="6"/>
  <c r="AR89" i="6" s="1"/>
  <c r="X89" i="6"/>
  <c r="W89" i="6"/>
  <c r="U89" i="6"/>
  <c r="T89" i="6"/>
  <c r="AK89" i="6" s="1"/>
  <c r="AO87" i="6"/>
  <c r="AG87" i="6"/>
  <c r="AC87" i="6"/>
  <c r="AF87" i="6"/>
  <c r="AY87" i="6" s="1"/>
  <c r="AD87" i="6"/>
  <c r="AV87" i="6" s="1"/>
  <c r="Z87" i="6"/>
  <c r="AA87" i="6"/>
  <c r="AT87" i="6" s="1"/>
  <c r="Y87" i="6"/>
  <c r="AR87" i="6" s="1"/>
  <c r="X87" i="6"/>
  <c r="V87" i="6"/>
  <c r="AM87" i="6" s="1"/>
  <c r="W87" i="6"/>
  <c r="U87" i="6"/>
  <c r="T87" i="6"/>
  <c r="AK87" i="6" s="1"/>
  <c r="AO85" i="6"/>
  <c r="AG85" i="6"/>
  <c r="AF85" i="6"/>
  <c r="AY85" i="6" s="1"/>
  <c r="AA85" i="6"/>
  <c r="AT85" i="6" s="1"/>
  <c r="AD85" i="6"/>
  <c r="AV85" i="6" s="1"/>
  <c r="Y85" i="6"/>
  <c r="AR85" i="6" s="1"/>
  <c r="AC85" i="6"/>
  <c r="Z85" i="6"/>
  <c r="X85" i="6"/>
  <c r="W85" i="6"/>
  <c r="V85" i="6"/>
  <c r="AM85" i="6" s="1"/>
  <c r="U85" i="6"/>
  <c r="T85" i="6"/>
  <c r="AK85" i="6" s="1"/>
  <c r="AO83" i="6"/>
  <c r="AF83" i="6"/>
  <c r="AY83" i="6" s="1"/>
  <c r="AG83" i="6"/>
  <c r="AD83" i="6"/>
  <c r="AV83" i="6" s="1"/>
  <c r="AA83" i="6"/>
  <c r="AT83" i="6" s="1"/>
  <c r="Y83" i="6"/>
  <c r="AR83" i="6" s="1"/>
  <c r="AC83" i="6"/>
  <c r="X83" i="6"/>
  <c r="Z83" i="6"/>
  <c r="W83" i="6"/>
  <c r="V83" i="6"/>
  <c r="AM83" i="6" s="1"/>
  <c r="T83" i="6"/>
  <c r="AK83" i="6" s="1"/>
  <c r="U83" i="6"/>
  <c r="AO81" i="6"/>
  <c r="AD81" i="6"/>
  <c r="AV81" i="6" s="1"/>
  <c r="AG81" i="6"/>
  <c r="AF81" i="6"/>
  <c r="AY81" i="6" s="1"/>
  <c r="AC81" i="6"/>
  <c r="Z81" i="6"/>
  <c r="AA81" i="6"/>
  <c r="AT81" i="6" s="1"/>
  <c r="Y81" i="6"/>
  <c r="AR81" i="6" s="1"/>
  <c r="X81" i="6"/>
  <c r="V81" i="6"/>
  <c r="AM81" i="6" s="1"/>
  <c r="W81" i="6"/>
  <c r="T81" i="6"/>
  <c r="AK81" i="6" s="1"/>
  <c r="U81" i="6"/>
  <c r="AO68" i="6"/>
  <c r="AF68" i="6"/>
  <c r="AY68" i="6" s="1"/>
  <c r="AG68" i="6"/>
  <c r="AA68" i="6"/>
  <c r="AT68" i="6" s="1"/>
  <c r="AD68" i="6"/>
  <c r="AV68" i="6" s="1"/>
  <c r="Y68" i="6"/>
  <c r="AR68" i="6" s="1"/>
  <c r="AC68" i="6"/>
  <c r="X68" i="6"/>
  <c r="Z68" i="6"/>
  <c r="W68" i="6"/>
  <c r="V68" i="6"/>
  <c r="AM68" i="6" s="1"/>
  <c r="T68" i="6"/>
  <c r="AK68" i="6" s="1"/>
  <c r="U68" i="6"/>
  <c r="AO66" i="6"/>
  <c r="AD66" i="6"/>
  <c r="AV66" i="6" s="1"/>
  <c r="AG66" i="6"/>
  <c r="AF66" i="6"/>
  <c r="AY66" i="6" s="1"/>
  <c r="AC66" i="6"/>
  <c r="AA66" i="6"/>
  <c r="AT66" i="6" s="1"/>
  <c r="Z66" i="6"/>
  <c r="Y66" i="6"/>
  <c r="AR66" i="6" s="1"/>
  <c r="X66" i="6"/>
  <c r="V66" i="6"/>
  <c r="AM66" i="6" s="1"/>
  <c r="W66" i="6"/>
  <c r="T66" i="6"/>
  <c r="AK66" i="6" s="1"/>
  <c r="U66" i="6"/>
  <c r="AO172" i="6"/>
  <c r="AF172" i="6"/>
  <c r="AY172" i="6" s="1"/>
  <c r="AG172" i="6"/>
  <c r="AA172" i="6"/>
  <c r="AT172" i="6" s="1"/>
  <c r="AD172" i="6"/>
  <c r="AV172" i="6" s="1"/>
  <c r="Y172" i="6"/>
  <c r="AR172" i="6" s="1"/>
  <c r="AC172" i="6"/>
  <c r="X172" i="6"/>
  <c r="Z172" i="6"/>
  <c r="W172" i="6"/>
  <c r="V172" i="6"/>
  <c r="AM172" i="6" s="1"/>
  <c r="T172" i="6"/>
  <c r="AK172" i="6" s="1"/>
  <c r="U172" i="6"/>
  <c r="AO162" i="6"/>
  <c r="AD162" i="6"/>
  <c r="AV162" i="6" s="1"/>
  <c r="AG162" i="6"/>
  <c r="AF162" i="6"/>
  <c r="AY162" i="6" s="1"/>
  <c r="AA162" i="6"/>
  <c r="AT162" i="6" s="1"/>
  <c r="AC162" i="6"/>
  <c r="Z162" i="6"/>
  <c r="Y162" i="6"/>
  <c r="AR162" i="6" s="1"/>
  <c r="X162" i="6"/>
  <c r="V162" i="6"/>
  <c r="AM162" i="6" s="1"/>
  <c r="W162" i="6"/>
  <c r="U162" i="6"/>
  <c r="T162" i="6"/>
  <c r="AK162" i="6" s="1"/>
  <c r="AG150" i="6"/>
  <c r="AO150" i="6"/>
  <c r="BC150" i="6" s="1"/>
  <c r="AC150" i="6"/>
  <c r="AF150" i="6"/>
  <c r="AY150" i="6" s="1"/>
  <c r="AD150" i="6"/>
  <c r="AV150" i="6" s="1"/>
  <c r="AA150" i="6"/>
  <c r="AT150" i="6" s="1"/>
  <c r="Y150" i="6"/>
  <c r="AR150" i="6" s="1"/>
  <c r="Z150" i="6"/>
  <c r="X150" i="6"/>
  <c r="W150" i="6"/>
  <c r="V150" i="6"/>
  <c r="AM150" i="6" s="1"/>
  <c r="U150" i="6"/>
  <c r="T150" i="6"/>
  <c r="AK150" i="6" s="1"/>
  <c r="AO148" i="6"/>
  <c r="AF148" i="6"/>
  <c r="AY148" i="6" s="1"/>
  <c r="AG148" i="6"/>
  <c r="AA148" i="6"/>
  <c r="AT148" i="6" s="1"/>
  <c r="AD148" i="6"/>
  <c r="AV148" i="6" s="1"/>
  <c r="Y148" i="6"/>
  <c r="AR148" i="6" s="1"/>
  <c r="AC148" i="6"/>
  <c r="X148" i="6"/>
  <c r="Z148" i="6"/>
  <c r="W148" i="6"/>
  <c r="V148" i="6"/>
  <c r="AM148" i="6" s="1"/>
  <c r="T148" i="6"/>
  <c r="AK148" i="6" s="1"/>
  <c r="U148" i="6"/>
  <c r="AO146" i="6"/>
  <c r="AD146" i="6"/>
  <c r="AV146" i="6" s="1"/>
  <c r="AG146" i="6"/>
  <c r="AC146" i="6"/>
  <c r="AF146" i="6"/>
  <c r="AY146" i="6" s="1"/>
  <c r="AA146" i="6"/>
  <c r="AT146" i="6" s="1"/>
  <c r="Z146" i="6"/>
  <c r="Y146" i="6"/>
  <c r="AR146" i="6" s="1"/>
  <c r="X146" i="6"/>
  <c r="V146" i="6"/>
  <c r="AM146" i="6" s="1"/>
  <c r="W146" i="6"/>
  <c r="U146" i="6"/>
  <c r="T146" i="6"/>
  <c r="AK146" i="6" s="1"/>
  <c r="AO144" i="6"/>
  <c r="BC144" i="6" s="1"/>
  <c r="AG144" i="6"/>
  <c r="AD144" i="6"/>
  <c r="AV144" i="6" s="1"/>
  <c r="AC144" i="6"/>
  <c r="AF144" i="6"/>
  <c r="AY144" i="6" s="1"/>
  <c r="Z144" i="6"/>
  <c r="AA144" i="6"/>
  <c r="AT144" i="6" s="1"/>
  <c r="X144" i="6"/>
  <c r="Y144" i="6"/>
  <c r="AR144" i="6" s="1"/>
  <c r="V144" i="6"/>
  <c r="AM144" i="6" s="1"/>
  <c r="W144" i="6"/>
  <c r="U144" i="6"/>
  <c r="T144" i="6"/>
  <c r="AK144" i="6" s="1"/>
  <c r="AO142" i="6"/>
  <c r="BC142" i="6" s="1"/>
  <c r="AG142" i="6"/>
  <c r="AC142" i="6"/>
  <c r="AF142" i="6"/>
  <c r="AY142" i="6" s="1"/>
  <c r="AD142" i="6"/>
  <c r="AV142" i="6" s="1"/>
  <c r="AA142" i="6"/>
  <c r="AT142" i="6" s="1"/>
  <c r="Y142" i="6"/>
  <c r="AR142" i="6" s="1"/>
  <c r="Z142" i="6"/>
  <c r="W142" i="6"/>
  <c r="X142" i="6"/>
  <c r="V142" i="6"/>
  <c r="AM142" i="6" s="1"/>
  <c r="T142" i="6"/>
  <c r="AK142" i="6" s="1"/>
  <c r="U142" i="6"/>
  <c r="AO140" i="6"/>
  <c r="AF140" i="6"/>
  <c r="AY140" i="6" s="1"/>
  <c r="AG140" i="6"/>
  <c r="AA140" i="6"/>
  <c r="AT140" i="6" s="1"/>
  <c r="AD140" i="6"/>
  <c r="AV140" i="6" s="1"/>
  <c r="Y140" i="6"/>
  <c r="AR140" i="6" s="1"/>
  <c r="AC140" i="6"/>
  <c r="X140" i="6"/>
  <c r="Z140" i="6"/>
  <c r="W140" i="6"/>
  <c r="V140" i="6"/>
  <c r="AM140" i="6" s="1"/>
  <c r="U140" i="6"/>
  <c r="T140" i="6"/>
  <c r="AK140" i="6" s="1"/>
  <c r="AO138" i="6"/>
  <c r="BC138" i="6" s="1"/>
  <c r="AD138" i="6"/>
  <c r="AV138" i="6" s="1"/>
  <c r="AG138" i="6"/>
  <c r="AF138" i="6"/>
  <c r="AY138" i="6" s="1"/>
  <c r="AC138" i="6"/>
  <c r="AA138" i="6"/>
  <c r="AT138" i="6" s="1"/>
  <c r="Z138" i="6"/>
  <c r="X138" i="6"/>
  <c r="Y138" i="6"/>
  <c r="AR138" i="6" s="1"/>
  <c r="V138" i="6"/>
  <c r="AM138" i="6" s="1"/>
  <c r="W138" i="6"/>
  <c r="U138" i="6"/>
  <c r="T138" i="6"/>
  <c r="AK138" i="6" s="1"/>
  <c r="AO136" i="6"/>
  <c r="AG136" i="6"/>
  <c r="AD136" i="6"/>
  <c r="AV136" i="6" s="1"/>
  <c r="AC136" i="6"/>
  <c r="AF136" i="6"/>
  <c r="AY136" i="6" s="1"/>
  <c r="Z136" i="6"/>
  <c r="AA136" i="6"/>
  <c r="AT136" i="6" s="1"/>
  <c r="Y136" i="6"/>
  <c r="AR136" i="6" s="1"/>
  <c r="X136" i="6"/>
  <c r="W136" i="6"/>
  <c r="V136" i="6"/>
  <c r="AM136" i="6" s="1"/>
  <c r="T136" i="6"/>
  <c r="AK136" i="6" s="1"/>
  <c r="U136" i="6"/>
  <c r="AO79" i="6"/>
  <c r="AG79" i="6"/>
  <c r="AC79" i="6"/>
  <c r="AD79" i="6"/>
  <c r="AV79" i="6" s="1"/>
  <c r="AF79" i="6"/>
  <c r="AY79" i="6" s="1"/>
  <c r="AA79" i="6"/>
  <c r="AT79" i="6" s="1"/>
  <c r="Z79" i="6"/>
  <c r="X79" i="6"/>
  <c r="Y79" i="6"/>
  <c r="AR79" i="6" s="1"/>
  <c r="W79" i="6"/>
  <c r="U79" i="6"/>
  <c r="V79" i="6"/>
  <c r="AM79" i="6" s="1"/>
  <c r="T79" i="6"/>
  <c r="AK79" i="6" s="1"/>
  <c r="AO64" i="6"/>
  <c r="AG64" i="6"/>
  <c r="AD64" i="6"/>
  <c r="AV64" i="6" s="1"/>
  <c r="AC64" i="6"/>
  <c r="AF64" i="6"/>
  <c r="AY64" i="6" s="1"/>
  <c r="Z64" i="6"/>
  <c r="AA64" i="6"/>
  <c r="AT64" i="6" s="1"/>
  <c r="Y64" i="6"/>
  <c r="AR64" i="6" s="1"/>
  <c r="X64" i="6"/>
  <c r="W64" i="6"/>
  <c r="V64" i="6"/>
  <c r="AM64" i="6" s="1"/>
  <c r="U64" i="6"/>
  <c r="T64" i="6"/>
  <c r="AK64" i="6" s="1"/>
  <c r="AO62" i="6"/>
  <c r="AG62" i="6"/>
  <c r="AF62" i="6"/>
  <c r="AY62" i="6" s="1"/>
  <c r="AC62" i="6"/>
  <c r="AD62" i="6"/>
  <c r="AV62" i="6" s="1"/>
  <c r="AA62" i="6"/>
  <c r="AT62" i="6" s="1"/>
  <c r="Y62" i="6"/>
  <c r="AR62" i="6" s="1"/>
  <c r="Z62" i="6"/>
  <c r="W62" i="6"/>
  <c r="X62" i="6"/>
  <c r="V62" i="6"/>
  <c r="AM62" i="6" s="1"/>
  <c r="U62" i="6"/>
  <c r="T62" i="6"/>
  <c r="AK62" i="6" s="1"/>
  <c r="AO60" i="6"/>
  <c r="AF60" i="6"/>
  <c r="AY60" i="6" s="1"/>
  <c r="AG60" i="6"/>
  <c r="AA60" i="6"/>
  <c r="AT60" i="6" s="1"/>
  <c r="AD60" i="6"/>
  <c r="AV60" i="6" s="1"/>
  <c r="Y60" i="6"/>
  <c r="AR60" i="6" s="1"/>
  <c r="AC60" i="6"/>
  <c r="X60" i="6"/>
  <c r="Z60" i="6"/>
  <c r="W60" i="6"/>
  <c r="V60" i="6"/>
  <c r="AM60" i="6" s="1"/>
  <c r="T60" i="6"/>
  <c r="AK60" i="6" s="1"/>
  <c r="U60" i="6"/>
  <c r="AO132" i="6"/>
  <c r="AF132" i="6"/>
  <c r="AY132" i="6" s="1"/>
  <c r="AG132" i="6"/>
  <c r="AA132" i="6"/>
  <c r="AT132" i="6" s="1"/>
  <c r="AD132" i="6"/>
  <c r="AV132" i="6" s="1"/>
  <c r="AC132" i="6"/>
  <c r="Y132" i="6"/>
  <c r="AR132" i="6" s="1"/>
  <c r="X132" i="6"/>
  <c r="Z132" i="6"/>
  <c r="W132" i="6"/>
  <c r="V132" i="6"/>
  <c r="AM132" i="6" s="1"/>
  <c r="T132" i="6"/>
  <c r="AK132" i="6" s="1"/>
  <c r="U132" i="6"/>
  <c r="AO130" i="6"/>
  <c r="AD130" i="6"/>
  <c r="AV130" i="6" s="1"/>
  <c r="AG130" i="6"/>
  <c r="AF130" i="6"/>
  <c r="AY130" i="6" s="1"/>
  <c r="AC130" i="6"/>
  <c r="AA130" i="6"/>
  <c r="AT130" i="6" s="1"/>
  <c r="Z130" i="6"/>
  <c r="Y130" i="6"/>
  <c r="AR130" i="6" s="1"/>
  <c r="X130" i="6"/>
  <c r="V130" i="6"/>
  <c r="AM130" i="6" s="1"/>
  <c r="U130" i="6"/>
  <c r="W130" i="6"/>
  <c r="T130" i="6"/>
  <c r="AK130" i="6" s="1"/>
  <c r="AO128" i="6"/>
  <c r="BC128" i="6" s="1"/>
  <c r="AG128" i="6"/>
  <c r="AD128" i="6"/>
  <c r="AV128" i="6" s="1"/>
  <c r="AF128" i="6"/>
  <c r="AY128" i="6" s="1"/>
  <c r="Z128" i="6"/>
  <c r="AC128" i="6"/>
  <c r="AA128" i="6"/>
  <c r="AT128" i="6" s="1"/>
  <c r="Y128" i="6"/>
  <c r="AR128" i="6" s="1"/>
  <c r="X128" i="6"/>
  <c r="W128" i="6"/>
  <c r="V128" i="6"/>
  <c r="AM128" i="6" s="1"/>
  <c r="U128" i="6"/>
  <c r="T128" i="6"/>
  <c r="AK128" i="6" s="1"/>
  <c r="AO126" i="6"/>
  <c r="BC126" i="6" s="1"/>
  <c r="AG126" i="6"/>
  <c r="AC126" i="6"/>
  <c r="AF126" i="6"/>
  <c r="AY126" i="6" s="1"/>
  <c r="AD126" i="6"/>
  <c r="AV126" i="6" s="1"/>
  <c r="AA126" i="6"/>
  <c r="AT126" i="6" s="1"/>
  <c r="Y126" i="6"/>
  <c r="AR126" i="6" s="1"/>
  <c r="Z126" i="6"/>
  <c r="W126" i="6"/>
  <c r="X126" i="6"/>
  <c r="V126" i="6"/>
  <c r="AM126" i="6" s="1"/>
  <c r="U126" i="6"/>
  <c r="T126" i="6"/>
  <c r="AK126" i="6" s="1"/>
  <c r="AO124" i="6"/>
  <c r="AF124" i="6"/>
  <c r="AY124" i="6" s="1"/>
  <c r="AG124" i="6"/>
  <c r="AC124" i="6"/>
  <c r="AA124" i="6"/>
  <c r="AT124" i="6" s="1"/>
  <c r="AD124" i="6"/>
  <c r="AV124" i="6" s="1"/>
  <c r="Y124" i="6"/>
  <c r="AR124" i="6" s="1"/>
  <c r="X124" i="6"/>
  <c r="Z124" i="6"/>
  <c r="W124" i="6"/>
  <c r="T124" i="6"/>
  <c r="AK124" i="6" s="1"/>
  <c r="V124" i="6"/>
  <c r="AM124" i="6" s="1"/>
  <c r="U124" i="6"/>
  <c r="AO122" i="6"/>
  <c r="AD122" i="6"/>
  <c r="AV122" i="6" s="1"/>
  <c r="AG122" i="6"/>
  <c r="AC122" i="6"/>
  <c r="AF122" i="6"/>
  <c r="AY122" i="6" s="1"/>
  <c r="AA122" i="6"/>
  <c r="AT122" i="6" s="1"/>
  <c r="Z122" i="6"/>
  <c r="X122" i="6"/>
  <c r="V122" i="6"/>
  <c r="AM122" i="6" s="1"/>
  <c r="Y122" i="6"/>
  <c r="AR122" i="6" s="1"/>
  <c r="W122" i="6"/>
  <c r="U122" i="6"/>
  <c r="T122" i="6"/>
  <c r="AK122" i="6" s="1"/>
  <c r="AO120" i="6"/>
  <c r="BC120" i="6" s="1"/>
  <c r="AG120" i="6"/>
  <c r="AD120" i="6"/>
  <c r="AV120" i="6" s="1"/>
  <c r="AF120" i="6"/>
  <c r="AY120" i="6" s="1"/>
  <c r="Z120" i="6"/>
  <c r="AA120" i="6"/>
  <c r="AT120" i="6" s="1"/>
  <c r="AC120" i="6"/>
  <c r="Y120" i="6"/>
  <c r="AR120" i="6" s="1"/>
  <c r="X120" i="6"/>
  <c r="U120" i="6"/>
  <c r="V120" i="6"/>
  <c r="AM120" i="6" s="1"/>
  <c r="W120" i="6"/>
  <c r="T120" i="6"/>
  <c r="AK120" i="6" s="1"/>
  <c r="AG118" i="6"/>
  <c r="AO118" i="6"/>
  <c r="AC118" i="6"/>
  <c r="AF118" i="6"/>
  <c r="AY118" i="6" s="1"/>
  <c r="AD118" i="6"/>
  <c r="AV118" i="6" s="1"/>
  <c r="AA118" i="6"/>
  <c r="AT118" i="6" s="1"/>
  <c r="Y118" i="6"/>
  <c r="AR118" i="6" s="1"/>
  <c r="Z118" i="6"/>
  <c r="X118" i="6"/>
  <c r="W118" i="6"/>
  <c r="V118" i="6"/>
  <c r="AM118" i="6" s="1"/>
  <c r="T118" i="6"/>
  <c r="AK118" i="6" s="1"/>
  <c r="U118" i="6"/>
  <c r="AO116" i="6"/>
  <c r="AF116" i="6"/>
  <c r="AY116" i="6" s="1"/>
  <c r="AG116" i="6"/>
  <c r="AA116" i="6"/>
  <c r="AT116" i="6" s="1"/>
  <c r="AD116" i="6"/>
  <c r="AV116" i="6" s="1"/>
  <c r="AC116" i="6"/>
  <c r="Y116" i="6"/>
  <c r="AR116" i="6" s="1"/>
  <c r="X116" i="6"/>
  <c r="Z116" i="6"/>
  <c r="W116" i="6"/>
  <c r="V116" i="6"/>
  <c r="AM116" i="6" s="1"/>
  <c r="T116" i="6"/>
  <c r="AK116" i="6" s="1"/>
  <c r="U116" i="6"/>
  <c r="AO114" i="6"/>
  <c r="AD114" i="6"/>
  <c r="AV114" i="6" s="1"/>
  <c r="AG114" i="6"/>
  <c r="AC114" i="6"/>
  <c r="AF114" i="6"/>
  <c r="AY114" i="6" s="1"/>
  <c r="AA114" i="6"/>
  <c r="AT114" i="6" s="1"/>
  <c r="Z114" i="6"/>
  <c r="Y114" i="6"/>
  <c r="AR114" i="6" s="1"/>
  <c r="X114" i="6"/>
  <c r="V114" i="6"/>
  <c r="AM114" i="6" s="1"/>
  <c r="W114" i="6"/>
  <c r="T114" i="6"/>
  <c r="AK114" i="6" s="1"/>
  <c r="U114" i="6"/>
  <c r="AO112" i="6"/>
  <c r="AG112" i="6"/>
  <c r="AD112" i="6"/>
  <c r="AV112" i="6" s="1"/>
  <c r="AC112" i="6"/>
  <c r="AF112" i="6"/>
  <c r="AY112" i="6" s="1"/>
  <c r="Z112" i="6"/>
  <c r="AA112" i="6"/>
  <c r="AT112" i="6" s="1"/>
  <c r="X112" i="6"/>
  <c r="Y112" i="6"/>
  <c r="AR112" i="6" s="1"/>
  <c r="W112" i="6"/>
  <c r="U112" i="6"/>
  <c r="V112" i="6"/>
  <c r="AM112" i="6" s="1"/>
  <c r="T112" i="6"/>
  <c r="AK112" i="6" s="1"/>
  <c r="AO110" i="6"/>
  <c r="AG110" i="6"/>
  <c r="AC110" i="6"/>
  <c r="AF110" i="6"/>
  <c r="AY110" i="6" s="1"/>
  <c r="AD110" i="6"/>
  <c r="AV110" i="6" s="1"/>
  <c r="AA110" i="6"/>
  <c r="AT110" i="6" s="1"/>
  <c r="Y110" i="6"/>
  <c r="AR110" i="6" s="1"/>
  <c r="Z110" i="6"/>
  <c r="W110" i="6"/>
  <c r="X110" i="6"/>
  <c r="V110" i="6"/>
  <c r="AM110" i="6" s="1"/>
  <c r="U110" i="6"/>
  <c r="T110" i="6"/>
  <c r="AK110" i="6" s="1"/>
  <c r="AO108" i="6"/>
  <c r="AF108" i="6"/>
  <c r="AY108" i="6" s="1"/>
  <c r="AG108" i="6"/>
  <c r="AA108" i="6"/>
  <c r="AT108" i="6" s="1"/>
  <c r="AD108" i="6"/>
  <c r="AV108" i="6" s="1"/>
  <c r="Y108" i="6"/>
  <c r="AR108" i="6" s="1"/>
  <c r="AC108" i="6"/>
  <c r="X108" i="6"/>
  <c r="Z108" i="6"/>
  <c r="W108" i="6"/>
  <c r="V108" i="6"/>
  <c r="AM108" i="6" s="1"/>
  <c r="T108" i="6"/>
  <c r="AK108" i="6" s="1"/>
  <c r="U108" i="6"/>
  <c r="AO77" i="6"/>
  <c r="AG77" i="6"/>
  <c r="AF77" i="6"/>
  <c r="AY77" i="6" s="1"/>
  <c r="AA77" i="6"/>
  <c r="AT77" i="6" s="1"/>
  <c r="AD77" i="6"/>
  <c r="AV77" i="6" s="1"/>
  <c r="Y77" i="6"/>
  <c r="AR77" i="6" s="1"/>
  <c r="AC77" i="6"/>
  <c r="Z77" i="6"/>
  <c r="X77" i="6"/>
  <c r="W77" i="6"/>
  <c r="V77" i="6"/>
  <c r="AM77" i="6" s="1"/>
  <c r="U77" i="6"/>
  <c r="T77" i="6"/>
  <c r="AK77" i="6" s="1"/>
  <c r="AO203" i="6"/>
  <c r="BC203" i="6" s="1"/>
  <c r="AF203" i="6"/>
  <c r="AY203" i="6" s="1"/>
  <c r="AG203" i="6"/>
  <c r="AD203" i="6"/>
  <c r="AV203" i="6" s="1"/>
  <c r="AA203" i="6"/>
  <c r="AT203" i="6" s="1"/>
  <c r="Y203" i="6"/>
  <c r="AR203" i="6" s="1"/>
  <c r="AC203" i="6"/>
  <c r="Z203" i="6"/>
  <c r="X203" i="6"/>
  <c r="W203" i="6"/>
  <c r="V203" i="6"/>
  <c r="AM203" i="6" s="1"/>
  <c r="U203" i="6"/>
  <c r="T203" i="6"/>
  <c r="AK203" i="6" s="1"/>
  <c r="AO193" i="6"/>
  <c r="AD193" i="6"/>
  <c r="AV193" i="6" s="1"/>
  <c r="AF193" i="6"/>
  <c r="AY193" i="6" s="1"/>
  <c r="AG193" i="6"/>
  <c r="Z193" i="6"/>
  <c r="AC193" i="6"/>
  <c r="AA193" i="6"/>
  <c r="AT193" i="6" s="1"/>
  <c r="Y193" i="6"/>
  <c r="AR193" i="6" s="1"/>
  <c r="X193" i="6"/>
  <c r="V193" i="6"/>
  <c r="AM193" i="6" s="1"/>
  <c r="W193" i="6"/>
  <c r="U193" i="6"/>
  <c r="T193" i="6"/>
  <c r="AK193" i="6" s="1"/>
  <c r="AO185" i="6"/>
  <c r="BC185" i="6" s="1"/>
  <c r="AD185" i="6"/>
  <c r="AV185" i="6" s="1"/>
  <c r="AG185" i="6"/>
  <c r="AF185" i="6"/>
  <c r="AY185" i="6" s="1"/>
  <c r="Z185" i="6"/>
  <c r="AA185" i="6"/>
  <c r="AT185" i="6" s="1"/>
  <c r="AC185" i="6"/>
  <c r="Y185" i="6"/>
  <c r="AR185" i="6" s="1"/>
  <c r="V185" i="6"/>
  <c r="AM185" i="6" s="1"/>
  <c r="X185" i="6"/>
  <c r="W185" i="6"/>
  <c r="U185" i="6"/>
  <c r="T185" i="6"/>
  <c r="AK185" i="6" s="1"/>
  <c r="AO175" i="6"/>
  <c r="AG175" i="6"/>
  <c r="AF175" i="6"/>
  <c r="AY175" i="6" s="1"/>
  <c r="AC175" i="6"/>
  <c r="AD175" i="6"/>
  <c r="AV175" i="6" s="1"/>
  <c r="AA175" i="6"/>
  <c r="AT175" i="6" s="1"/>
  <c r="Z175" i="6"/>
  <c r="Y175" i="6"/>
  <c r="AR175" i="6" s="1"/>
  <c r="X175" i="6"/>
  <c r="W175" i="6"/>
  <c r="U175" i="6"/>
  <c r="V175" i="6"/>
  <c r="AM175" i="6" s="1"/>
  <c r="T175" i="6"/>
  <c r="AK175" i="6" s="1"/>
  <c r="AO168" i="6"/>
  <c r="BC168" i="6" s="1"/>
  <c r="AG168" i="6"/>
  <c r="AD168" i="6"/>
  <c r="AV168" i="6" s="1"/>
  <c r="AC168" i="6"/>
  <c r="AF168" i="6"/>
  <c r="AY168" i="6" s="1"/>
  <c r="Z168" i="6"/>
  <c r="AA168" i="6"/>
  <c r="AT168" i="6" s="1"/>
  <c r="Y168" i="6"/>
  <c r="AR168" i="6" s="1"/>
  <c r="X168" i="6"/>
  <c r="W168" i="6"/>
  <c r="V168" i="6"/>
  <c r="AM168" i="6" s="1"/>
  <c r="U168" i="6"/>
  <c r="T168" i="6"/>
  <c r="AK168" i="6" s="1"/>
  <c r="AO160" i="6"/>
  <c r="AG160" i="6"/>
  <c r="AD160" i="6"/>
  <c r="AV160" i="6" s="1"/>
  <c r="AF160" i="6"/>
  <c r="AY160" i="6" s="1"/>
  <c r="AC160" i="6"/>
  <c r="Z160" i="6"/>
  <c r="AA160" i="6"/>
  <c r="AT160" i="6" s="1"/>
  <c r="X160" i="6"/>
  <c r="Y160" i="6"/>
  <c r="AR160" i="6" s="1"/>
  <c r="W160" i="6"/>
  <c r="V160" i="6"/>
  <c r="AM160" i="6" s="1"/>
  <c r="U160" i="6"/>
  <c r="T160" i="6"/>
  <c r="AK160" i="6" s="1"/>
  <c r="AO106" i="6"/>
  <c r="AD106" i="6"/>
  <c r="AV106" i="6" s="1"/>
  <c r="AG106" i="6"/>
  <c r="AF106" i="6"/>
  <c r="AY106" i="6" s="1"/>
  <c r="AA106" i="6"/>
  <c r="AT106" i="6" s="1"/>
  <c r="AC106" i="6"/>
  <c r="Z106" i="6"/>
  <c r="X106" i="6"/>
  <c r="V106" i="6"/>
  <c r="AM106" i="6" s="1"/>
  <c r="Y106" i="6"/>
  <c r="AR106" i="6" s="1"/>
  <c r="W106" i="6"/>
  <c r="U106" i="6"/>
  <c r="T106" i="6"/>
  <c r="AK106" i="6" s="1"/>
  <c r="AO104" i="6"/>
  <c r="AG104" i="6"/>
  <c r="AD104" i="6"/>
  <c r="AV104" i="6" s="1"/>
  <c r="AC104" i="6"/>
  <c r="AF104" i="6"/>
  <c r="AY104" i="6" s="1"/>
  <c r="Z104" i="6"/>
  <c r="AA104" i="6"/>
  <c r="AT104" i="6" s="1"/>
  <c r="Y104" i="6"/>
  <c r="AR104" i="6" s="1"/>
  <c r="X104" i="6"/>
  <c r="W104" i="6"/>
  <c r="V104" i="6"/>
  <c r="AM104" i="6" s="1"/>
  <c r="U104" i="6"/>
  <c r="T104" i="6"/>
  <c r="AK104" i="6" s="1"/>
  <c r="AO102" i="6"/>
  <c r="BC102" i="6" s="1"/>
  <c r="AG102" i="6"/>
  <c r="AF102" i="6"/>
  <c r="AY102" i="6" s="1"/>
  <c r="AD102" i="6"/>
  <c r="AV102" i="6" s="1"/>
  <c r="AC102" i="6"/>
  <c r="AA102" i="6"/>
  <c r="AT102" i="6" s="1"/>
  <c r="Y102" i="6"/>
  <c r="AR102" i="6" s="1"/>
  <c r="Z102" i="6"/>
  <c r="X102" i="6"/>
  <c r="W102" i="6"/>
  <c r="V102" i="6"/>
  <c r="AM102" i="6" s="1"/>
  <c r="U102" i="6"/>
  <c r="T102" i="6"/>
  <c r="AK102" i="6" s="1"/>
  <c r="AO100" i="6"/>
  <c r="AF100" i="6"/>
  <c r="AY100" i="6" s="1"/>
  <c r="AG100" i="6"/>
  <c r="AA100" i="6"/>
  <c r="AT100" i="6" s="1"/>
  <c r="AD100" i="6"/>
  <c r="AV100" i="6" s="1"/>
  <c r="Y100" i="6"/>
  <c r="AR100" i="6" s="1"/>
  <c r="AC100" i="6"/>
  <c r="X100" i="6"/>
  <c r="Z100" i="6"/>
  <c r="W100" i="6"/>
  <c r="T100" i="6"/>
  <c r="AK100" i="6" s="1"/>
  <c r="V100" i="6"/>
  <c r="AM100" i="6" s="1"/>
  <c r="U100" i="6"/>
  <c r="AO75" i="6"/>
  <c r="AG75" i="6"/>
  <c r="AF75" i="6"/>
  <c r="AY75" i="6" s="1"/>
  <c r="AD75" i="6"/>
  <c r="AV75" i="6" s="1"/>
  <c r="AA75" i="6"/>
  <c r="AT75" i="6" s="1"/>
  <c r="Y75" i="6"/>
  <c r="AR75" i="6" s="1"/>
  <c r="AC75" i="6"/>
  <c r="Z75" i="6"/>
  <c r="X75" i="6"/>
  <c r="W75" i="6"/>
  <c r="V75" i="6"/>
  <c r="AM75" i="6" s="1"/>
  <c r="U75" i="6"/>
  <c r="T75" i="6"/>
  <c r="AK75" i="6" s="1"/>
  <c r="AO73" i="6"/>
  <c r="AD73" i="6"/>
  <c r="AV73" i="6" s="1"/>
  <c r="AG73" i="6"/>
  <c r="AF73" i="6"/>
  <c r="AY73" i="6" s="1"/>
  <c r="AC73" i="6"/>
  <c r="Z73" i="6"/>
  <c r="AA73" i="6"/>
  <c r="AT73" i="6" s="1"/>
  <c r="Y73" i="6"/>
  <c r="AR73" i="6" s="1"/>
  <c r="V73" i="6"/>
  <c r="AM73" i="6" s="1"/>
  <c r="X73" i="6"/>
  <c r="W73" i="6"/>
  <c r="U73" i="6"/>
  <c r="T73" i="6"/>
  <c r="AK73" i="6" s="1"/>
  <c r="AG71" i="6"/>
  <c r="AO71" i="6"/>
  <c r="AC71" i="6"/>
  <c r="AF71" i="6"/>
  <c r="AY71" i="6" s="1"/>
  <c r="AD71" i="6"/>
  <c r="AV71" i="6" s="1"/>
  <c r="Z71" i="6"/>
  <c r="AA71" i="6"/>
  <c r="AT71" i="6" s="1"/>
  <c r="Y71" i="6"/>
  <c r="AR71" i="6" s="1"/>
  <c r="X71" i="6"/>
  <c r="W71" i="6"/>
  <c r="U71" i="6"/>
  <c r="V71" i="6"/>
  <c r="AM71" i="6" s="1"/>
  <c r="T71" i="6"/>
  <c r="AK71" i="6" s="1"/>
  <c r="AB181" i="6"/>
  <c r="AB184" i="6"/>
  <c r="AB170" i="6"/>
  <c r="AB188" i="6"/>
  <c r="AE88" i="6"/>
  <c r="AE159" i="6"/>
  <c r="AE200" i="6"/>
  <c r="AE187" i="6"/>
  <c r="AE206" i="6"/>
  <c r="AE185" i="6"/>
  <c r="AE110" i="6"/>
  <c r="AB110" i="6"/>
  <c r="AE102" i="6"/>
  <c r="AB102" i="6"/>
  <c r="AE94" i="6"/>
  <c r="AB94" i="6"/>
  <c r="AB89" i="6"/>
  <c r="AE89" i="6"/>
  <c r="AE86" i="6"/>
  <c r="AB86" i="6"/>
  <c r="AE83" i="6"/>
  <c r="AB83" i="6"/>
  <c r="AE75" i="6"/>
  <c r="AB75" i="6"/>
  <c r="AE67" i="6"/>
  <c r="AB67" i="6"/>
  <c r="AB206" i="6"/>
  <c r="AB193" i="6"/>
  <c r="AE193" i="6"/>
  <c r="AB185" i="6"/>
  <c r="AE182" i="6"/>
  <c r="AB182" i="6"/>
  <c r="AE161" i="6"/>
  <c r="AB161" i="6"/>
  <c r="AE158" i="6"/>
  <c r="AB158" i="6"/>
  <c r="AB150" i="6"/>
  <c r="AE150" i="6"/>
  <c r="AE139" i="6"/>
  <c r="AB139" i="6"/>
  <c r="AE136" i="6"/>
  <c r="AB136" i="6"/>
  <c r="AB130" i="6"/>
  <c r="AE130" i="6"/>
  <c r="AE124" i="6"/>
  <c r="AB124" i="6"/>
  <c r="AB121" i="6"/>
  <c r="AE121" i="6"/>
  <c r="AE113" i="6"/>
  <c r="AB113" i="6"/>
  <c r="AB105" i="6"/>
  <c r="AE105" i="6"/>
  <c r="AE97" i="6"/>
  <c r="AB97" i="6"/>
  <c r="AE78" i="6"/>
  <c r="AB78" i="6"/>
  <c r="AE70" i="6"/>
  <c r="AB70" i="6"/>
  <c r="AE65" i="6"/>
  <c r="AB65" i="6"/>
  <c r="AE118" i="6"/>
  <c r="AB118" i="6"/>
  <c r="AE177" i="6"/>
  <c r="AB177" i="6"/>
  <c r="AE172" i="6"/>
  <c r="AB172" i="6"/>
  <c r="AE167" i="6"/>
  <c r="AB167" i="6"/>
  <c r="AE164" i="6"/>
  <c r="AB164" i="6"/>
  <c r="AB153" i="6"/>
  <c r="AE153" i="6"/>
  <c r="AE145" i="6"/>
  <c r="AB145" i="6"/>
  <c r="AE142" i="6"/>
  <c r="AB142" i="6"/>
  <c r="AB133" i="6"/>
  <c r="AE133" i="6"/>
  <c r="AE116" i="6"/>
  <c r="AB116" i="6"/>
  <c r="AE108" i="6"/>
  <c r="AB108" i="6"/>
  <c r="AE100" i="6"/>
  <c r="AB100" i="6"/>
  <c r="AE92" i="6"/>
  <c r="AB92" i="6"/>
  <c r="AE84" i="6"/>
  <c r="AB84" i="6"/>
  <c r="AE81" i="6"/>
  <c r="AB81" i="6"/>
  <c r="AE73" i="6"/>
  <c r="AB73" i="6"/>
  <c r="AE63" i="6"/>
  <c r="AB63" i="6"/>
  <c r="AE179" i="6"/>
  <c r="AB179" i="6"/>
  <c r="AE144" i="6"/>
  <c r="AB144" i="6"/>
  <c r="AE201" i="6"/>
  <c r="AB201" i="6"/>
  <c r="AE196" i="6"/>
  <c r="AB196" i="6"/>
  <c r="AE188" i="6"/>
  <c r="AE204" i="6"/>
  <c r="AB204" i="6"/>
  <c r="AE199" i="6"/>
  <c r="AB199" i="6"/>
  <c r="AB191" i="6"/>
  <c r="AE191" i="6"/>
  <c r="AE180" i="6"/>
  <c r="AB180" i="6"/>
  <c r="AB175" i="6"/>
  <c r="AE175" i="6"/>
  <c r="AE170" i="6"/>
  <c r="AE156" i="6"/>
  <c r="AB156" i="6"/>
  <c r="AE148" i="6"/>
  <c r="AB148" i="6"/>
  <c r="AE137" i="6"/>
  <c r="AB137" i="6"/>
  <c r="AE128" i="6"/>
  <c r="AB128" i="6"/>
  <c r="AE122" i="6"/>
  <c r="AB122" i="6"/>
  <c r="AE119" i="6"/>
  <c r="AB119" i="6"/>
  <c r="AE111" i="6"/>
  <c r="AB111" i="6"/>
  <c r="AE103" i="6"/>
  <c r="AB103" i="6"/>
  <c r="AE95" i="6"/>
  <c r="AB95" i="6"/>
  <c r="AE87" i="6"/>
  <c r="AB87" i="6"/>
  <c r="AE76" i="6"/>
  <c r="AB76" i="6"/>
  <c r="AE61" i="6"/>
  <c r="AB61" i="6"/>
  <c r="AE183" i="6"/>
  <c r="AB183" i="6"/>
  <c r="AE162" i="6"/>
  <c r="AB162" i="6"/>
  <c r="AB159" i="6"/>
  <c r="AB151" i="6"/>
  <c r="AE151" i="6"/>
  <c r="AE140" i="6"/>
  <c r="AB140" i="6"/>
  <c r="AE131" i="6"/>
  <c r="AB131" i="6"/>
  <c r="AE125" i="6"/>
  <c r="AB125" i="6"/>
  <c r="AB114" i="6"/>
  <c r="AE114" i="6"/>
  <c r="AE106" i="6"/>
  <c r="AB106" i="6"/>
  <c r="AE98" i="6"/>
  <c r="AB98" i="6"/>
  <c r="AB90" i="6"/>
  <c r="AE90" i="6"/>
  <c r="AB79" i="6"/>
  <c r="AE79" i="6"/>
  <c r="AE71" i="6"/>
  <c r="AB71" i="6"/>
  <c r="AE68" i="6"/>
  <c r="AB68" i="6"/>
  <c r="AB66" i="6"/>
  <c r="AE66" i="6"/>
  <c r="AE190" i="6"/>
  <c r="AB190" i="6"/>
  <c r="AE147" i="6"/>
  <c r="AB147" i="6"/>
  <c r="AE194" i="6"/>
  <c r="AB194" i="6"/>
  <c r="AE186" i="6"/>
  <c r="AB186" i="6"/>
  <c r="AB202" i="6"/>
  <c r="AE202" i="6"/>
  <c r="AE197" i="6"/>
  <c r="AB197" i="6"/>
  <c r="AE189" i="6"/>
  <c r="AB189" i="6"/>
  <c r="AE178" i="6"/>
  <c r="AB178" i="6"/>
  <c r="AE173" i="6"/>
  <c r="AB173" i="6"/>
  <c r="AE168" i="6"/>
  <c r="AB168" i="6"/>
  <c r="AE165" i="6"/>
  <c r="AB165" i="6"/>
  <c r="AE154" i="6"/>
  <c r="AB154" i="6"/>
  <c r="AE146" i="6"/>
  <c r="AB146" i="6"/>
  <c r="AE143" i="6"/>
  <c r="AB143" i="6"/>
  <c r="AE134" i="6"/>
  <c r="AB134" i="6"/>
  <c r="AE117" i="6"/>
  <c r="AB117" i="6"/>
  <c r="AE109" i="6"/>
  <c r="AB109" i="6"/>
  <c r="AE101" i="6"/>
  <c r="AB101" i="6"/>
  <c r="AE93" i="6"/>
  <c r="AB93" i="6"/>
  <c r="AB85" i="6"/>
  <c r="AE85" i="6"/>
  <c r="AE82" i="6"/>
  <c r="AB82" i="6"/>
  <c r="AE74" i="6"/>
  <c r="AB74" i="6"/>
  <c r="AE59" i="6"/>
  <c r="AB59" i="6"/>
  <c r="AE203" i="6"/>
  <c r="AB203" i="6"/>
  <c r="AE155" i="6"/>
  <c r="AB155" i="6"/>
  <c r="AE205" i="6"/>
  <c r="AB205" i="6"/>
  <c r="AB200" i="6"/>
  <c r="AE192" i="6"/>
  <c r="AB192" i="6"/>
  <c r="AE184" i="6"/>
  <c r="AE181" i="6"/>
  <c r="AE171" i="6"/>
  <c r="AB171" i="6"/>
  <c r="AE160" i="6"/>
  <c r="AB160" i="6"/>
  <c r="AE157" i="6"/>
  <c r="AB157" i="6"/>
  <c r="AE149" i="6"/>
  <c r="AB149" i="6"/>
  <c r="AB138" i="6"/>
  <c r="AE138" i="6"/>
  <c r="AE135" i="6"/>
  <c r="AB135" i="6"/>
  <c r="AE129" i="6"/>
  <c r="AB129" i="6"/>
  <c r="AE123" i="6"/>
  <c r="AB123" i="6"/>
  <c r="AE120" i="6"/>
  <c r="AB120" i="6"/>
  <c r="AE112" i="6"/>
  <c r="AB112" i="6"/>
  <c r="AE104" i="6"/>
  <c r="AB104" i="6"/>
  <c r="AE96" i="6"/>
  <c r="AB96" i="6"/>
  <c r="AK96" i="6"/>
  <c r="AB88" i="6"/>
  <c r="AE77" i="6"/>
  <c r="AB77" i="6"/>
  <c r="AE69" i="6"/>
  <c r="AB69" i="6"/>
  <c r="AE64" i="6"/>
  <c r="AB64" i="6"/>
  <c r="AE62" i="6"/>
  <c r="AB62" i="6"/>
  <c r="AB169" i="6"/>
  <c r="AE169" i="6"/>
  <c r="AB127" i="6"/>
  <c r="AE127" i="6"/>
  <c r="AE198" i="6"/>
  <c r="AB198" i="6"/>
  <c r="AE195" i="6"/>
  <c r="AB195" i="6"/>
  <c r="AB187" i="6"/>
  <c r="AE176" i="6"/>
  <c r="AB176" i="6"/>
  <c r="AE174" i="6"/>
  <c r="AB174" i="6"/>
  <c r="AE166" i="6"/>
  <c r="AB166" i="6"/>
  <c r="AE163" i="6"/>
  <c r="AB163" i="6"/>
  <c r="AE152" i="6"/>
  <c r="AB152" i="6"/>
  <c r="AE141" i="6"/>
  <c r="AB141" i="6"/>
  <c r="AE132" i="6"/>
  <c r="AB132" i="6"/>
  <c r="AE126" i="6"/>
  <c r="AB126" i="6"/>
  <c r="AE115" i="6"/>
  <c r="AB115" i="6"/>
  <c r="AE107" i="6"/>
  <c r="AB107" i="6"/>
  <c r="AE99" i="6"/>
  <c r="AB99" i="6"/>
  <c r="AE91" i="6"/>
  <c r="AB91" i="6"/>
  <c r="AB80" i="6"/>
  <c r="AE80" i="6"/>
  <c r="AE72" i="6"/>
  <c r="AB72" i="6"/>
  <c r="AE60" i="6"/>
  <c r="AB60" i="6"/>
  <c r="V14" i="14"/>
  <c r="C25" i="8" s="1"/>
  <c r="V22" i="14"/>
  <c r="C33" i="8" s="1"/>
  <c r="V6" i="14"/>
  <c r="C30" i="8" s="1"/>
  <c r="V9" i="14"/>
  <c r="C15" i="8" s="1"/>
  <c r="V18" i="14"/>
  <c r="C8" i="8" s="1"/>
  <c r="V27" i="14"/>
  <c r="C31" i="8" s="1"/>
  <c r="V36" i="14"/>
  <c r="C23" i="8" s="1"/>
  <c r="V10" i="14"/>
  <c r="C11" i="8" s="1"/>
  <c r="V20" i="14"/>
  <c r="C18" i="8" s="1"/>
  <c r="V31" i="14"/>
  <c r="C34" i="8" s="1"/>
  <c r="V8" i="14"/>
  <c r="C26" i="8" s="1"/>
  <c r="V19" i="14"/>
  <c r="C22" i="8" s="1"/>
  <c r="V13" i="14"/>
  <c r="C19" i="8" s="1"/>
  <c r="V26" i="14"/>
  <c r="C14" i="8" s="1"/>
  <c r="V21" i="14"/>
  <c r="C9" i="8" s="1"/>
  <c r="V28" i="14"/>
  <c r="C5" i="8" s="1"/>
  <c r="V7" i="14"/>
  <c r="C24" i="8" s="1"/>
  <c r="V32" i="14"/>
  <c r="C32" i="8" s="1"/>
  <c r="V12" i="14"/>
  <c r="C4" i="8" s="1"/>
  <c r="V37" i="14"/>
  <c r="C29" i="8" s="1"/>
  <c r="V17" i="14"/>
  <c r="C35" i="8" s="1"/>
  <c r="V23" i="14"/>
  <c r="C16" i="8" s="1"/>
  <c r="Q2" i="35"/>
  <c r="V29" i="14" s="1"/>
  <c r="C28" i="8" s="1"/>
  <c r="V24" i="14"/>
  <c r="C12" i="8" s="1"/>
  <c r="V15" i="14"/>
  <c r="C20" i="8" s="1"/>
  <c r="V35" i="14"/>
  <c r="C27" i="8" s="1"/>
  <c r="AL169" i="6"/>
  <c r="AL200" i="6"/>
  <c r="AL175" i="6"/>
  <c r="AL171" i="6"/>
  <c r="AL174" i="6"/>
  <c r="AL206" i="6"/>
  <c r="AL198" i="6"/>
  <c r="AL177" i="6"/>
  <c r="S37" i="14"/>
  <c r="T37" i="14" s="1"/>
  <c r="F29" i="8" s="1"/>
  <c r="S36" i="14"/>
  <c r="T36" i="14" s="1"/>
  <c r="F23" i="8" s="1"/>
  <c r="S35" i="14"/>
  <c r="T35" i="14" s="1"/>
  <c r="F27" i="8" s="1"/>
  <c r="S34" i="14"/>
  <c r="T34" i="14" s="1"/>
  <c r="F21" i="8" s="1"/>
  <c r="S33" i="14"/>
  <c r="T33" i="14" s="1"/>
  <c r="F10" i="8" s="1"/>
  <c r="S32" i="14"/>
  <c r="T32" i="14" s="1"/>
  <c r="F32" i="8" s="1"/>
  <c r="S31" i="14"/>
  <c r="T31" i="14" s="1"/>
  <c r="F34" i="8" s="1"/>
  <c r="S30" i="14"/>
  <c r="T30" i="14" s="1"/>
  <c r="F17" i="8" s="1"/>
  <c r="S29" i="14"/>
  <c r="T29" i="14" s="1"/>
  <c r="F28" i="8" s="1"/>
  <c r="S28" i="14"/>
  <c r="T28" i="14" s="1"/>
  <c r="F5" i="8" s="1"/>
  <c r="S27" i="14"/>
  <c r="T27" i="14" s="1"/>
  <c r="F31" i="8" s="1"/>
  <c r="S26" i="14"/>
  <c r="T26" i="14" s="1"/>
  <c r="F14" i="8" s="1"/>
  <c r="S25" i="14"/>
  <c r="T25" i="14" s="1"/>
  <c r="F7" i="8" s="1"/>
  <c r="S24" i="14"/>
  <c r="T24" i="14" s="1"/>
  <c r="F12" i="8" s="1"/>
  <c r="S23" i="14"/>
  <c r="T23" i="14" s="1"/>
  <c r="F16" i="8" s="1"/>
  <c r="S22" i="14"/>
  <c r="T22" i="14" s="1"/>
  <c r="F33" i="8" s="1"/>
  <c r="S21" i="14"/>
  <c r="T21" i="14" s="1"/>
  <c r="F9" i="8" s="1"/>
  <c r="S20" i="14"/>
  <c r="T20" i="14" s="1"/>
  <c r="F18" i="8" s="1"/>
  <c r="S19" i="14"/>
  <c r="T19" i="14" s="1"/>
  <c r="F22" i="8" s="1"/>
  <c r="S18" i="14"/>
  <c r="T18" i="14" s="1"/>
  <c r="F8" i="8" s="1"/>
  <c r="S17" i="14"/>
  <c r="T17" i="14" s="1"/>
  <c r="F35" i="8" s="1"/>
  <c r="S16" i="14"/>
  <c r="T16" i="14" s="1"/>
  <c r="F6" i="8" s="1"/>
  <c r="S15" i="14"/>
  <c r="T15" i="14" s="1"/>
  <c r="F20" i="8" s="1"/>
  <c r="S14" i="14"/>
  <c r="T14" i="14" s="1"/>
  <c r="F25" i="8" s="1"/>
  <c r="S13" i="14"/>
  <c r="T13" i="14" s="1"/>
  <c r="F19" i="8" s="1"/>
  <c r="S12" i="14"/>
  <c r="S11" i="14"/>
  <c r="T11" i="14" s="1"/>
  <c r="F13" i="8" s="1"/>
  <c r="S10" i="14"/>
  <c r="T10" i="14" s="1"/>
  <c r="F11" i="8" s="1"/>
  <c r="S9" i="14"/>
  <c r="T9" i="14" s="1"/>
  <c r="F15" i="8" s="1"/>
  <c r="S8" i="14"/>
  <c r="T8" i="14" s="1"/>
  <c r="F26" i="8" s="1"/>
  <c r="R6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R13" i="14"/>
  <c r="R12" i="14"/>
  <c r="R11" i="14"/>
  <c r="R10" i="14"/>
  <c r="R9" i="14"/>
  <c r="R8" i="14"/>
  <c r="R7" i="14"/>
  <c r="R42" i="20"/>
  <c r="R39" i="20"/>
  <c r="AA52" i="20"/>
  <c r="AA51" i="20"/>
  <c r="AA50" i="20"/>
  <c r="AA49" i="20"/>
  <c r="AA48" i="20"/>
  <c r="AA47" i="20"/>
  <c r="AA46" i="20"/>
  <c r="AA45" i="20"/>
  <c r="R43" i="20"/>
  <c r="Q43" i="20"/>
  <c r="Q42" i="20"/>
  <c r="Q39" i="20"/>
  <c r="V25" i="14" l="1"/>
  <c r="C7" i="8" s="1"/>
  <c r="V11" i="14"/>
  <c r="C13" i="8" s="1"/>
  <c r="V34" i="14"/>
  <c r="C21" i="8" s="1"/>
  <c r="BC78" i="6"/>
  <c r="BC77" i="6"/>
  <c r="V16" i="14"/>
  <c r="C6" i="8" s="1"/>
  <c r="V33" i="14"/>
  <c r="C10" i="8" s="1"/>
  <c r="BC68" i="6"/>
  <c r="V30" i="14"/>
  <c r="C17" i="8" s="1"/>
  <c r="U8" i="14"/>
  <c r="D26" i="8" s="1"/>
  <c r="O26" i="8" s="1"/>
  <c r="U15" i="14"/>
  <c r="D20" i="8" s="1"/>
  <c r="O20" i="8" s="1"/>
  <c r="U9" i="14"/>
  <c r="D15" i="8" s="1"/>
  <c r="O15" i="8" s="1"/>
  <c r="U17" i="14"/>
  <c r="D35" i="8" s="1"/>
  <c r="O35" i="8" s="1"/>
  <c r="U16" i="14"/>
  <c r="D6" i="8" s="1"/>
  <c r="O6" i="8" s="1"/>
  <c r="U7" i="14"/>
  <c r="D24" i="8" s="1"/>
  <c r="O24" i="8" s="1"/>
  <c r="U19" i="14"/>
  <c r="D22" i="8" s="1"/>
  <c r="O22" i="8" s="1"/>
  <c r="U18" i="14"/>
  <c r="D8" i="8" s="1"/>
  <c r="O8" i="8" s="1"/>
  <c r="U11" i="14"/>
  <c r="D13" i="8" s="1"/>
  <c r="O13" i="8" s="1"/>
  <c r="U12" i="14"/>
  <c r="D4" i="8" s="1"/>
  <c r="O4" i="8" s="1"/>
  <c r="U21" i="14"/>
  <c r="D9" i="8" s="1"/>
  <c r="O9" i="8" s="1"/>
  <c r="U20" i="14"/>
  <c r="D18" i="8" s="1"/>
  <c r="O18" i="8" s="1"/>
  <c r="U14" i="14"/>
  <c r="D25" i="8" s="1"/>
  <c r="O25" i="8" s="1"/>
  <c r="U22" i="14"/>
  <c r="D33" i="8" s="1"/>
  <c r="O33" i="8" s="1"/>
  <c r="U10" i="14"/>
  <c r="D11" i="8" s="1"/>
  <c r="O11" i="8" s="1"/>
  <c r="U6" i="14"/>
  <c r="D30" i="8" s="1"/>
  <c r="O30" i="8" s="1"/>
  <c r="U13" i="14"/>
  <c r="D19" i="8" s="1"/>
  <c r="O19" i="8" s="1"/>
  <c r="BC103" i="6"/>
  <c r="BC108" i="6"/>
  <c r="BC154" i="6"/>
  <c r="BC104" i="6"/>
  <c r="BC131" i="6"/>
  <c r="BC163" i="6"/>
  <c r="BC161" i="6"/>
  <c r="BC83" i="6"/>
  <c r="BC189" i="6"/>
  <c r="BC76" i="6"/>
  <c r="BC86" i="6"/>
  <c r="BC88" i="6"/>
  <c r="BC132" i="6"/>
  <c r="BC176" i="6"/>
  <c r="BC141" i="6"/>
  <c r="BC199" i="6"/>
  <c r="BC197" i="6"/>
  <c r="BC60" i="6"/>
  <c r="BC79" i="6"/>
  <c r="BC82" i="6"/>
  <c r="BC112" i="6"/>
  <c r="BC101" i="6"/>
  <c r="BC188" i="6"/>
  <c r="BC159" i="6"/>
  <c r="BC92" i="6"/>
  <c r="BC74" i="6"/>
  <c r="BC85" i="6"/>
  <c r="BC105" i="6"/>
  <c r="BC111" i="6"/>
  <c r="BC118" i="6"/>
  <c r="BC122" i="6"/>
  <c r="BC139" i="6"/>
  <c r="BC133" i="6"/>
  <c r="BC194" i="6"/>
  <c r="BC196" i="6"/>
  <c r="BC170" i="6"/>
  <c r="BC173" i="6"/>
  <c r="BC174" i="6"/>
  <c r="BC172" i="6"/>
  <c r="BC171" i="6"/>
  <c r="BC181" i="6"/>
  <c r="BC61" i="6"/>
  <c r="BC193" i="6"/>
  <c r="BC136" i="6"/>
  <c r="BC125" i="6"/>
  <c r="BC87" i="6"/>
  <c r="BC70" i="6"/>
  <c r="BC107" i="6"/>
  <c r="BC67" i="6"/>
  <c r="BC69" i="6"/>
  <c r="BC95" i="6"/>
  <c r="BC130" i="6"/>
  <c r="BC140" i="6"/>
  <c r="BC151" i="6"/>
  <c r="BC110" i="6"/>
  <c r="BC179" i="6"/>
  <c r="BC204" i="6"/>
  <c r="BC183" i="6"/>
  <c r="BC182" i="6"/>
  <c r="BC201" i="6"/>
  <c r="BC157" i="6"/>
  <c r="BC206" i="6"/>
  <c r="BC162" i="6"/>
  <c r="BC152" i="6"/>
  <c r="BC177" i="6"/>
  <c r="BC106" i="6"/>
  <c r="BC129" i="6"/>
  <c r="BC80" i="6"/>
  <c r="BC89" i="6"/>
  <c r="BC91" i="6"/>
  <c r="BC135" i="6"/>
  <c r="BC124" i="6"/>
  <c r="BC116" i="6"/>
  <c r="BC160" i="6"/>
  <c r="BC200" i="6"/>
  <c r="BC180" i="6"/>
  <c r="BC195" i="6"/>
  <c r="BC202" i="6"/>
  <c r="BC64" i="6"/>
  <c r="BC114" i="6"/>
  <c r="BC63" i="6"/>
  <c r="BC119" i="6"/>
  <c r="BC155" i="6"/>
  <c r="BC205" i="6"/>
  <c r="BC65" i="6"/>
  <c r="BC66" i="6"/>
  <c r="BC72" i="6"/>
  <c r="BC115" i="6"/>
  <c r="BC93" i="6"/>
  <c r="BC117" i="6"/>
  <c r="BC121" i="6"/>
  <c r="BC148" i="6"/>
  <c r="BC62" i="6"/>
  <c r="BC59" i="6"/>
  <c r="BC73" i="6"/>
  <c r="BC71" i="6"/>
  <c r="BC75" i="6"/>
  <c r="BC94" i="6"/>
  <c r="BC99" i="6"/>
  <c r="BC90" i="6"/>
  <c r="BC81" i="6"/>
  <c r="BC127" i="6"/>
  <c r="BC146" i="6"/>
  <c r="BC100" i="6"/>
  <c r="BC143" i="6"/>
  <c r="BC164" i="6"/>
  <c r="BC167" i="6"/>
  <c r="BC137" i="6"/>
  <c r="BC191" i="6"/>
  <c r="BC166" i="6"/>
  <c r="BC175" i="6"/>
  <c r="BC187" i="6"/>
  <c r="BC190" i="6"/>
  <c r="U37" i="14"/>
  <c r="D29" i="8" s="1"/>
  <c r="O29" i="8" s="1"/>
  <c r="U29" i="14"/>
  <c r="D28" i="8" s="1"/>
  <c r="O28" i="8" s="1"/>
  <c r="U31" i="14"/>
  <c r="D34" i="8" s="1"/>
  <c r="O34" i="8" s="1"/>
  <c r="U25" i="14"/>
  <c r="D7" i="8" s="1"/>
  <c r="O7" i="8" s="1"/>
  <c r="U33" i="14"/>
  <c r="D10" i="8" s="1"/>
  <c r="O10" i="8" s="1"/>
  <c r="U35" i="14"/>
  <c r="D27" i="8" s="1"/>
  <c r="O27" i="8" s="1"/>
  <c r="U23" i="14"/>
  <c r="D16" i="8" s="1"/>
  <c r="O16" i="8" s="1"/>
  <c r="U27" i="14"/>
  <c r="D31" i="8" s="1"/>
  <c r="O31" i="8" s="1"/>
  <c r="U30" i="14"/>
  <c r="D17" i="8" s="1"/>
  <c r="O17" i="8" s="1"/>
  <c r="U24" i="14"/>
  <c r="D12" i="8" s="1"/>
  <c r="O12" i="8" s="1"/>
  <c r="U32" i="14"/>
  <c r="D32" i="8" s="1"/>
  <c r="O32" i="8" s="1"/>
  <c r="U26" i="14"/>
  <c r="D14" i="8" s="1"/>
  <c r="O14" i="8" s="1"/>
  <c r="U34" i="14"/>
  <c r="D21" i="8" s="1"/>
  <c r="O21" i="8" s="1"/>
  <c r="U28" i="14"/>
  <c r="D5" i="8" s="1"/>
  <c r="O5" i="8" s="1"/>
  <c r="U36" i="14"/>
  <c r="D23" i="8" s="1"/>
  <c r="O23" i="8" s="1"/>
  <c r="T12" i="14"/>
  <c r="F4" i="8" s="1"/>
  <c r="A36" i="14"/>
  <c r="A37" i="14"/>
  <c r="A34" i="14"/>
  <c r="A35" i="14"/>
  <c r="O44" i="20"/>
  <c r="O43" i="20"/>
  <c r="O42" i="20"/>
  <c r="O41" i="20"/>
  <c r="AA41" i="20" s="1"/>
  <c r="O40" i="20"/>
  <c r="O39" i="20"/>
  <c r="A33" i="14" l="1"/>
  <c r="A32" i="14"/>
  <c r="A31" i="14"/>
  <c r="A30" i="14"/>
  <c r="N44" i="20" l="1"/>
  <c r="AA44" i="20" s="1"/>
  <c r="A29" i="14" l="1"/>
  <c r="A28" i="14"/>
  <c r="A26" i="14" l="1"/>
  <c r="A27" i="14"/>
  <c r="K43" i="20" l="1"/>
  <c r="K42" i="20"/>
  <c r="K39" i="20"/>
  <c r="A25" i="14" l="1"/>
  <c r="A24" i="14"/>
  <c r="I43" i="20"/>
  <c r="AA43" i="20" s="1"/>
  <c r="I42" i="20"/>
  <c r="I39" i="20"/>
  <c r="F39" i="20"/>
  <c r="AA39" i="20" s="1"/>
  <c r="G40" i="20" l="1"/>
  <c r="AA40" i="20" s="1"/>
  <c r="F42" i="20"/>
  <c r="AA42" i="20" s="1"/>
  <c r="O53" i="20"/>
  <c r="K53" i="20"/>
  <c r="G53" i="20"/>
  <c r="B53" i="20"/>
  <c r="R53" i="20"/>
  <c r="Q53" i="20"/>
  <c r="P53" i="20"/>
  <c r="N53" i="20"/>
  <c r="M53" i="20"/>
  <c r="L53" i="20"/>
  <c r="J53" i="20"/>
  <c r="I53" i="20"/>
  <c r="H53" i="20"/>
  <c r="E53" i="20"/>
  <c r="C251" i="7"/>
  <c r="E250" i="7"/>
  <c r="F53" i="20" l="1"/>
  <c r="C53" i="20"/>
  <c r="D53" i="20"/>
  <c r="A22" i="14"/>
  <c r="A23" i="14"/>
  <c r="AA53" i="20" l="1"/>
  <c r="A20" i="14"/>
  <c r="A21" i="14"/>
  <c r="N8" i="20" l="1"/>
  <c r="F236" i="7"/>
  <c r="R35" i="20" l="1"/>
  <c r="Q35" i="20"/>
  <c r="O35" i="20"/>
  <c r="N35" i="20"/>
  <c r="M35" i="20"/>
  <c r="L35" i="20"/>
  <c r="K35" i="20"/>
  <c r="J35" i="20"/>
  <c r="H35" i="20"/>
  <c r="G35" i="20"/>
  <c r="F35" i="20"/>
  <c r="C35" i="20"/>
  <c r="T35" i="8" l="1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7" i="8"/>
  <c r="T6" i="8"/>
  <c r="T5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AH34" i="26" l="1"/>
  <c r="AF34" i="26"/>
  <c r="AD34" i="26"/>
  <c r="AG34" i="25"/>
  <c r="AH34" i="25"/>
  <c r="AE34" i="25"/>
  <c r="AD34" i="25"/>
  <c r="F13" i="21"/>
  <c r="AN177" i="6" l="1"/>
  <c r="AN188" i="6"/>
  <c r="AN198" i="6"/>
  <c r="AN199" i="6"/>
  <c r="AN202" i="6"/>
  <c r="AN175" i="6"/>
  <c r="AN203" i="6"/>
  <c r="AN186" i="6"/>
  <c r="AN173" i="6"/>
  <c r="AN172" i="6"/>
  <c r="AN189" i="6"/>
  <c r="AN195" i="6"/>
  <c r="AN197" i="6"/>
  <c r="AN190" i="6"/>
  <c r="AN201" i="6"/>
  <c r="AN191" i="6"/>
  <c r="AN165" i="6"/>
  <c r="AN205" i="6"/>
  <c r="AN184" i="6"/>
  <c r="AN194" i="6"/>
  <c r="AN182" i="6"/>
  <c r="AN171" i="6"/>
  <c r="AN196" i="6"/>
  <c r="AN174" i="6"/>
  <c r="AN200" i="6"/>
  <c r="AN187" i="6"/>
  <c r="AN178" i="6"/>
  <c r="AN183" i="6"/>
  <c r="AN167" i="6"/>
  <c r="AN181" i="6"/>
  <c r="AN204" i="6"/>
  <c r="AN180" i="6"/>
  <c r="AN169" i="6"/>
  <c r="AN185" i="6"/>
  <c r="AN206" i="6"/>
  <c r="AN176" i="6"/>
  <c r="AN179" i="6"/>
  <c r="AN166" i="6"/>
  <c r="AN168" i="6"/>
  <c r="AN193" i="6"/>
  <c r="AN170" i="6"/>
  <c r="AN192" i="6"/>
  <c r="AF34" i="25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BE18" i="6"/>
  <c r="E16" i="20" l="1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D35" i="20" l="1"/>
  <c r="AA26" i="20"/>
  <c r="AA24" i="20"/>
  <c r="AA22" i="20"/>
  <c r="C207" i="7"/>
  <c r="AA25" i="20" l="1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B2" i="7" s="1"/>
  <c r="BE6" i="6"/>
  <c r="BF6" i="6"/>
  <c r="BG6" i="6"/>
  <c r="BE8" i="6"/>
  <c r="BF8" i="6"/>
  <c r="BG8" i="6"/>
  <c r="BE9" i="6"/>
  <c r="BF9" i="6"/>
  <c r="BG9" i="6"/>
  <c r="BE7" i="6"/>
  <c r="BF7" i="6"/>
  <c r="BG7" i="6"/>
  <c r="BE23" i="6"/>
  <c r="BF23" i="6"/>
  <c r="BG23" i="6"/>
  <c r="BE22" i="6"/>
  <c r="BF22" i="6"/>
  <c r="BG22" i="6"/>
  <c r="BE11" i="6"/>
  <c r="BF11" i="6"/>
  <c r="BG11" i="6"/>
  <c r="BE21" i="6"/>
  <c r="BF21" i="6"/>
  <c r="BG21" i="6"/>
  <c r="BE24" i="6"/>
  <c r="BF24" i="6"/>
  <c r="BG24" i="6"/>
  <c r="BE29" i="6"/>
  <c r="BF29" i="6"/>
  <c r="BG29" i="6"/>
  <c r="BE10" i="6"/>
  <c r="BF10" i="6"/>
  <c r="BG10" i="6"/>
  <c r="BE28" i="6"/>
  <c r="BF28" i="6"/>
  <c r="BG28" i="6"/>
  <c r="BE26" i="6"/>
  <c r="BF26" i="6"/>
  <c r="BG26" i="6"/>
  <c r="BE27" i="6"/>
  <c r="BF27" i="6"/>
  <c r="BG27" i="6"/>
  <c r="BE31" i="6"/>
  <c r="BF31" i="6"/>
  <c r="BG31" i="6"/>
  <c r="BE33" i="6"/>
  <c r="BF33" i="6"/>
  <c r="BG33" i="6"/>
  <c r="BE25" i="6"/>
  <c r="BF25" i="6"/>
  <c r="BG25" i="6"/>
  <c r="BE35" i="6"/>
  <c r="BF35" i="6"/>
  <c r="BG35" i="6"/>
  <c r="BE12" i="6"/>
  <c r="BF12" i="6"/>
  <c r="BG12" i="6"/>
  <c r="BE13" i="6"/>
  <c r="BF13" i="6"/>
  <c r="BG13" i="6"/>
  <c r="BE34" i="6"/>
  <c r="BF34" i="6"/>
  <c r="BG34" i="6"/>
  <c r="BE32" i="6"/>
  <c r="BF32" i="6"/>
  <c r="BG32" i="6"/>
  <c r="BE14" i="6"/>
  <c r="BF14" i="6"/>
  <c r="BG14" i="6"/>
  <c r="BE30" i="6"/>
  <c r="BF30" i="6"/>
  <c r="BG30" i="6"/>
  <c r="BE16" i="6"/>
  <c r="BF16" i="6"/>
  <c r="BG16" i="6"/>
  <c r="BE15" i="6"/>
  <c r="BF15" i="6"/>
  <c r="BG15" i="6"/>
  <c r="BE19" i="6"/>
  <c r="BF19" i="6"/>
  <c r="BG19" i="6"/>
  <c r="BE20" i="6"/>
  <c r="BF20" i="6"/>
  <c r="BG20" i="6"/>
  <c r="BE17" i="6"/>
  <c r="BF17" i="6"/>
  <c r="BG17" i="6"/>
  <c r="BE5" i="6"/>
  <c r="BF5" i="6"/>
  <c r="BG5" i="6"/>
  <c r="BE47" i="6"/>
  <c r="BF47" i="6"/>
  <c r="BG47" i="6"/>
  <c r="BE39" i="6"/>
  <c r="BF39" i="6"/>
  <c r="BG39" i="6"/>
  <c r="BE41" i="6"/>
  <c r="BF41" i="6"/>
  <c r="BG41" i="6"/>
  <c r="BE40" i="6"/>
  <c r="BF40" i="6"/>
  <c r="BG40" i="6"/>
  <c r="BE38" i="6"/>
  <c r="BF38" i="6"/>
  <c r="BG38" i="6"/>
  <c r="BE44" i="6"/>
  <c r="BF44" i="6"/>
  <c r="BG44" i="6"/>
  <c r="BE48" i="6"/>
  <c r="BF48" i="6"/>
  <c r="BG48" i="6"/>
  <c r="BE52" i="6"/>
  <c r="BF52" i="6"/>
  <c r="BG52" i="6"/>
  <c r="BE42" i="6"/>
  <c r="BF42" i="6"/>
  <c r="BG42" i="6"/>
  <c r="BE36" i="6"/>
  <c r="BF36" i="6"/>
  <c r="BG36" i="6"/>
  <c r="BE43" i="6"/>
  <c r="BF43" i="6"/>
  <c r="BG43" i="6"/>
  <c r="BE53" i="6"/>
  <c r="BF53" i="6"/>
  <c r="BG53" i="6"/>
  <c r="BE54" i="6"/>
  <c r="BF54" i="6"/>
  <c r="BG54" i="6"/>
  <c r="BE57" i="6"/>
  <c r="BF57" i="6"/>
  <c r="BG57" i="6"/>
  <c r="BE58" i="6"/>
  <c r="BF58" i="6"/>
  <c r="BG58" i="6"/>
  <c r="BE49" i="6"/>
  <c r="BF49" i="6"/>
  <c r="BG49" i="6"/>
  <c r="BE46" i="6"/>
  <c r="BF46" i="6"/>
  <c r="BG46" i="6"/>
  <c r="BE45" i="6"/>
  <c r="BF45" i="6"/>
  <c r="BG45" i="6"/>
  <c r="BE56" i="6"/>
  <c r="BF56" i="6"/>
  <c r="BG56" i="6"/>
  <c r="BE51" i="6"/>
  <c r="BF51" i="6"/>
  <c r="BG51" i="6"/>
  <c r="BE50" i="6"/>
  <c r="BF50" i="6"/>
  <c r="BG50" i="6"/>
  <c r="BE55" i="6"/>
  <c r="BF55" i="6"/>
  <c r="BG55" i="6"/>
  <c r="BE37" i="6"/>
  <c r="BF37" i="6"/>
  <c r="BG37" i="6"/>
  <c r="BG18" i="6"/>
  <c r="BF18" i="6"/>
  <c r="R3" i="7"/>
  <c r="R4" i="7" s="1"/>
  <c r="B3" i="7" l="1"/>
  <c r="B7" i="7"/>
  <c r="K211" i="7"/>
  <c r="K212" i="7"/>
  <c r="K209" i="7"/>
  <c r="K210" i="7"/>
  <c r="B4" i="7"/>
  <c r="B41" i="7"/>
  <c r="B199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10" i="7"/>
  <c r="B6" i="7"/>
  <c r="B17" i="7"/>
  <c r="B37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3" i="7"/>
  <c r="B9" i="7"/>
  <c r="B5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12" i="7"/>
  <c r="B8" i="7"/>
  <c r="B21" i="7"/>
  <c r="B25" i="7"/>
  <c r="B29" i="7"/>
  <c r="B33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11" i="7"/>
  <c r="B14" i="7"/>
  <c r="R5" i="7"/>
  <c r="D221" i="7" l="1"/>
  <c r="D232" i="7" s="1"/>
  <c r="B221" i="7"/>
  <c r="B232" i="7" s="1"/>
  <c r="E232" i="7" s="1"/>
  <c r="C221" i="7"/>
  <c r="C232" i="7" s="1"/>
  <c r="C218" i="7"/>
  <c r="C229" i="7" s="1"/>
  <c r="B222" i="7"/>
  <c r="B233" i="7" s="1"/>
  <c r="E233" i="7" s="1"/>
  <c r="B220" i="7"/>
  <c r="B231" i="7" s="1"/>
  <c r="E231" i="7" s="1"/>
  <c r="B218" i="7"/>
  <c r="B229" i="7" s="1"/>
  <c r="E229" i="7" s="1"/>
  <c r="B217" i="7"/>
  <c r="B228" i="7" s="1"/>
  <c r="E228" i="7" s="1"/>
  <c r="B219" i="7"/>
  <c r="B230" i="7" s="1"/>
  <c r="E230" i="7" s="1"/>
  <c r="C216" i="7"/>
  <c r="C227" i="7" s="1"/>
  <c r="C219" i="7"/>
  <c r="C230" i="7" s="1"/>
  <c r="D222" i="7"/>
  <c r="D233" i="7" s="1"/>
  <c r="D219" i="7"/>
  <c r="D230" i="7" s="1"/>
  <c r="C220" i="7"/>
  <c r="C231" i="7" s="1"/>
  <c r="B216" i="7"/>
  <c r="B227" i="7" s="1"/>
  <c r="E227" i="7" s="1"/>
  <c r="D217" i="7"/>
  <c r="D228" i="7" s="1"/>
  <c r="D220" i="7"/>
  <c r="D231" i="7" s="1"/>
  <c r="C222" i="7"/>
  <c r="C233" i="7" s="1"/>
  <c r="C217" i="7"/>
  <c r="C228" i="7" s="1"/>
  <c r="D218" i="7"/>
  <c r="D229" i="7" s="1"/>
  <c r="D216" i="7"/>
  <c r="D227" i="7" s="1"/>
  <c r="R6" i="7"/>
  <c r="E236" i="7" l="1"/>
  <c r="C236" i="7"/>
  <c r="C237" i="7" s="1"/>
  <c r="C214" i="7"/>
  <c r="R7" i="7"/>
  <c r="P6" i="6"/>
  <c r="P9" i="6"/>
  <c r="P7" i="6"/>
  <c r="P8" i="6"/>
  <c r="P11" i="6"/>
  <c r="P12" i="6"/>
  <c r="P10" i="6"/>
  <c r="P13" i="6"/>
  <c r="P14" i="6"/>
  <c r="P16" i="6"/>
  <c r="P15" i="6"/>
  <c r="P19" i="6"/>
  <c r="P20" i="6"/>
  <c r="P17" i="6"/>
  <c r="P23" i="6"/>
  <c r="P21" i="6"/>
  <c r="P22" i="6"/>
  <c r="P18" i="6"/>
  <c r="P24" i="6"/>
  <c r="P29" i="6"/>
  <c r="P26" i="6"/>
  <c r="P28" i="6"/>
  <c r="P27" i="6"/>
  <c r="P31" i="6"/>
  <c r="P33" i="6"/>
  <c r="P25" i="6"/>
  <c r="P34" i="6"/>
  <c r="P35" i="6"/>
  <c r="P30" i="6"/>
  <c r="P37" i="6"/>
  <c r="P32" i="6"/>
  <c r="P40" i="6"/>
  <c r="P39" i="6"/>
  <c r="P38" i="6"/>
  <c r="P44" i="6"/>
  <c r="P36" i="6"/>
  <c r="P42" i="6"/>
  <c r="P43" i="6"/>
  <c r="T43" i="6" s="1"/>
  <c r="P41" i="6"/>
  <c r="P46" i="6"/>
  <c r="P45" i="6"/>
  <c r="P49" i="6"/>
  <c r="P50" i="6"/>
  <c r="P55" i="6"/>
  <c r="P47" i="6"/>
  <c r="P56" i="6"/>
  <c r="P48" i="6"/>
  <c r="P51" i="6"/>
  <c r="P52" i="6"/>
  <c r="P54" i="6"/>
  <c r="P53" i="6"/>
  <c r="P57" i="6"/>
  <c r="P58" i="6"/>
  <c r="AD5" i="6"/>
  <c r="AV5" i="6" s="1"/>
  <c r="M11" i="14"/>
  <c r="M10" i="14"/>
  <c r="M9" i="14"/>
  <c r="M8" i="14"/>
  <c r="M7" i="14"/>
  <c r="M6" i="14"/>
  <c r="AO7" i="6" l="1"/>
  <c r="AG7" i="6"/>
  <c r="AC7" i="6"/>
  <c r="AF7" i="6"/>
  <c r="AY7" i="6" s="1"/>
  <c r="AD7" i="6"/>
  <c r="AV7" i="6" s="1"/>
  <c r="Z7" i="6"/>
  <c r="AA7" i="6"/>
  <c r="AT7" i="6" s="1"/>
  <c r="Y7" i="6"/>
  <c r="AR7" i="6" s="1"/>
  <c r="X7" i="6"/>
  <c r="W7" i="6"/>
  <c r="U7" i="6"/>
  <c r="V7" i="6"/>
  <c r="AM7" i="6" s="1"/>
  <c r="T7" i="6"/>
  <c r="AK7" i="6" s="1"/>
  <c r="AO57" i="6"/>
  <c r="BC57" i="6" s="1"/>
  <c r="AD57" i="6"/>
  <c r="AV57" i="6" s="1"/>
  <c r="AG57" i="6"/>
  <c r="AF57" i="6"/>
  <c r="AY57" i="6" s="1"/>
  <c r="AC57" i="6"/>
  <c r="Z57" i="6"/>
  <c r="AA57" i="6"/>
  <c r="AT57" i="6" s="1"/>
  <c r="V57" i="6"/>
  <c r="AM57" i="6" s="1"/>
  <c r="Y57" i="6"/>
  <c r="X57" i="6"/>
  <c r="W57" i="6"/>
  <c r="U57" i="6"/>
  <c r="T57" i="6"/>
  <c r="AO9" i="6"/>
  <c r="AD9" i="6"/>
  <c r="AV9" i="6" s="1"/>
  <c r="AG9" i="6"/>
  <c r="AF9" i="6"/>
  <c r="AY9" i="6" s="1"/>
  <c r="AC9" i="6"/>
  <c r="Z9" i="6"/>
  <c r="AA9" i="6"/>
  <c r="AT9" i="6" s="1"/>
  <c r="Y9" i="6"/>
  <c r="V9" i="6"/>
  <c r="AM9" i="6" s="1"/>
  <c r="X9" i="6"/>
  <c r="W9" i="6"/>
  <c r="U9" i="6"/>
  <c r="T9" i="6"/>
  <c r="AK9" i="6" s="1"/>
  <c r="AO45" i="6"/>
  <c r="AG45" i="6"/>
  <c r="AF45" i="6"/>
  <c r="AY45" i="6" s="1"/>
  <c r="AA45" i="6"/>
  <c r="AT45" i="6" s="1"/>
  <c r="AD45" i="6"/>
  <c r="AV45" i="6" s="1"/>
  <c r="Y45" i="6"/>
  <c r="AR45" i="6" s="1"/>
  <c r="AC45" i="6"/>
  <c r="Z45" i="6"/>
  <c r="X45" i="6"/>
  <c r="W45" i="6"/>
  <c r="V45" i="6"/>
  <c r="AM45" i="6" s="1"/>
  <c r="U45" i="6"/>
  <c r="T45" i="6"/>
  <c r="AK45" i="6" s="1"/>
  <c r="AO35" i="6"/>
  <c r="AF35" i="6"/>
  <c r="AY35" i="6" s="1"/>
  <c r="AG35" i="6"/>
  <c r="AD35" i="6"/>
  <c r="AV35" i="6" s="1"/>
  <c r="AA35" i="6"/>
  <c r="AT35" i="6" s="1"/>
  <c r="Y35" i="6"/>
  <c r="AC35" i="6"/>
  <c r="X35" i="6"/>
  <c r="Z35" i="6"/>
  <c r="V35" i="6"/>
  <c r="AM35" i="6" s="1"/>
  <c r="W35" i="6"/>
  <c r="T35" i="6"/>
  <c r="AK35" i="6" s="1"/>
  <c r="U35" i="6"/>
  <c r="AO15" i="6"/>
  <c r="AG15" i="6"/>
  <c r="AC15" i="6"/>
  <c r="AD15" i="6"/>
  <c r="AV15" i="6" s="1"/>
  <c r="AF15" i="6"/>
  <c r="AY15" i="6" s="1"/>
  <c r="AA15" i="6"/>
  <c r="AT15" i="6" s="1"/>
  <c r="Z15" i="6"/>
  <c r="X15" i="6"/>
  <c r="Y15" i="6"/>
  <c r="W15" i="6"/>
  <c r="U15" i="6"/>
  <c r="V15" i="6"/>
  <c r="AM15" i="6" s="1"/>
  <c r="T15" i="6"/>
  <c r="AK15" i="6" s="1"/>
  <c r="AO40" i="6"/>
  <c r="AG40" i="6"/>
  <c r="AD40" i="6"/>
  <c r="AV40" i="6" s="1"/>
  <c r="AC40" i="6"/>
  <c r="AF40" i="6"/>
  <c r="AY40" i="6" s="1"/>
  <c r="Z40" i="6"/>
  <c r="AA40" i="6"/>
  <c r="AT40" i="6" s="1"/>
  <c r="Y40" i="6"/>
  <c r="AR40" i="6" s="1"/>
  <c r="X40" i="6"/>
  <c r="W40" i="6"/>
  <c r="V40" i="6"/>
  <c r="AM40" i="6" s="1"/>
  <c r="U40" i="6"/>
  <c r="T40" i="6"/>
  <c r="AO21" i="6"/>
  <c r="AG21" i="6"/>
  <c r="AF21" i="6"/>
  <c r="AY21" i="6" s="1"/>
  <c r="AA21" i="6"/>
  <c r="AT21" i="6" s="1"/>
  <c r="AD21" i="6"/>
  <c r="AV21" i="6" s="1"/>
  <c r="Y21" i="6"/>
  <c r="AC21" i="6"/>
  <c r="Z21" i="6"/>
  <c r="X21" i="6"/>
  <c r="W21" i="6"/>
  <c r="V21" i="6"/>
  <c r="AM21" i="6" s="1"/>
  <c r="U21" i="6"/>
  <c r="T21" i="6"/>
  <c r="AK21" i="6" s="1"/>
  <c r="AO13" i="6"/>
  <c r="AG13" i="6"/>
  <c r="AF13" i="6"/>
  <c r="AY13" i="6" s="1"/>
  <c r="AA13" i="6"/>
  <c r="AT13" i="6" s="1"/>
  <c r="AD13" i="6"/>
  <c r="AV13" i="6" s="1"/>
  <c r="Y13" i="6"/>
  <c r="AR13" i="6" s="1"/>
  <c r="AC13" i="6"/>
  <c r="Z13" i="6"/>
  <c r="X13" i="6"/>
  <c r="W13" i="6"/>
  <c r="V13" i="6"/>
  <c r="AM13" i="6" s="1"/>
  <c r="U13" i="6"/>
  <c r="T13" i="6"/>
  <c r="AK13" i="6" s="1"/>
  <c r="AO36" i="6"/>
  <c r="AF36" i="6"/>
  <c r="AY36" i="6" s="1"/>
  <c r="AG36" i="6"/>
  <c r="AA36" i="6"/>
  <c r="AT36" i="6" s="1"/>
  <c r="AD36" i="6"/>
  <c r="Y36" i="6"/>
  <c r="AR36" i="6" s="1"/>
  <c r="AC36" i="6"/>
  <c r="X36" i="6"/>
  <c r="Z36" i="6"/>
  <c r="W36" i="6"/>
  <c r="T36" i="6"/>
  <c r="AK36" i="6" s="1"/>
  <c r="V36" i="6"/>
  <c r="AM36" i="6" s="1"/>
  <c r="U36" i="6"/>
  <c r="AO29" i="6"/>
  <c r="AG29" i="6"/>
  <c r="AF29" i="6"/>
  <c r="AY29" i="6" s="1"/>
  <c r="AA29" i="6"/>
  <c r="AT29" i="6" s="1"/>
  <c r="AD29" i="6"/>
  <c r="AV29" i="6" s="1"/>
  <c r="Y29" i="6"/>
  <c r="AR29" i="6" s="1"/>
  <c r="AC29" i="6"/>
  <c r="Z29" i="6"/>
  <c r="X29" i="6"/>
  <c r="W29" i="6"/>
  <c r="U29" i="6"/>
  <c r="T29" i="6"/>
  <c r="AK29" i="6" s="1"/>
  <c r="V29" i="6"/>
  <c r="AM29" i="6" s="1"/>
  <c r="AO8" i="6"/>
  <c r="AG8" i="6"/>
  <c r="AD8" i="6"/>
  <c r="AV8" i="6" s="1"/>
  <c r="AC8" i="6"/>
  <c r="AF8" i="6"/>
  <c r="AY8" i="6" s="1"/>
  <c r="Z8" i="6"/>
  <c r="AA8" i="6"/>
  <c r="AT8" i="6" s="1"/>
  <c r="Y8" i="6"/>
  <c r="AR8" i="6" s="1"/>
  <c r="X8" i="6"/>
  <c r="W8" i="6"/>
  <c r="V8" i="6"/>
  <c r="AM8" i="6" s="1"/>
  <c r="U8" i="6"/>
  <c r="T8" i="6"/>
  <c r="AK8" i="6" s="1"/>
  <c r="AO50" i="6"/>
  <c r="AD50" i="6"/>
  <c r="AV50" i="6" s="1"/>
  <c r="AG50" i="6"/>
  <c r="AF50" i="6"/>
  <c r="AY50" i="6" s="1"/>
  <c r="AC50" i="6"/>
  <c r="AA50" i="6"/>
  <c r="AT50" i="6" s="1"/>
  <c r="Z50" i="6"/>
  <c r="Y50" i="6"/>
  <c r="AR50" i="6" s="1"/>
  <c r="X50" i="6"/>
  <c r="V50" i="6"/>
  <c r="AM50" i="6" s="1"/>
  <c r="W50" i="6"/>
  <c r="T50" i="6"/>
  <c r="AK50" i="6" s="1"/>
  <c r="U50" i="6"/>
  <c r="AO34" i="6"/>
  <c r="AD34" i="6"/>
  <c r="AV34" i="6" s="1"/>
  <c r="AG34" i="6"/>
  <c r="AF34" i="6"/>
  <c r="AY34" i="6" s="1"/>
  <c r="AC34" i="6"/>
  <c r="AA34" i="6"/>
  <c r="AT34" i="6" s="1"/>
  <c r="Z34" i="6"/>
  <c r="Y34" i="6"/>
  <c r="X34" i="6"/>
  <c r="V34" i="6"/>
  <c r="AM34" i="6" s="1"/>
  <c r="W34" i="6"/>
  <c r="U34" i="6"/>
  <c r="T34" i="6"/>
  <c r="AK34" i="6" s="1"/>
  <c r="AO54" i="6"/>
  <c r="BC54" i="6" s="1"/>
  <c r="AG54" i="6"/>
  <c r="AF54" i="6"/>
  <c r="AY54" i="6" s="1"/>
  <c r="AD54" i="6"/>
  <c r="AV54" i="6" s="1"/>
  <c r="AC54" i="6"/>
  <c r="AA54" i="6"/>
  <c r="AT54" i="6" s="1"/>
  <c r="Y54" i="6"/>
  <c r="AR54" i="6" s="1"/>
  <c r="Z54" i="6"/>
  <c r="X54" i="6"/>
  <c r="W54" i="6"/>
  <c r="V54" i="6"/>
  <c r="AM54" i="6" s="1"/>
  <c r="U54" i="6"/>
  <c r="T54" i="6"/>
  <c r="AK54" i="6" s="1"/>
  <c r="AO25" i="6"/>
  <c r="AD25" i="6"/>
  <c r="AV25" i="6" s="1"/>
  <c r="AG25" i="6"/>
  <c r="AF25" i="6"/>
  <c r="AY25" i="6" s="1"/>
  <c r="AC25" i="6"/>
  <c r="Z25" i="6"/>
  <c r="AA25" i="6"/>
  <c r="AT25" i="6" s="1"/>
  <c r="V25" i="6"/>
  <c r="AM25" i="6" s="1"/>
  <c r="Y25" i="6"/>
  <c r="X25" i="6"/>
  <c r="W25" i="6"/>
  <c r="U25" i="6"/>
  <c r="T25" i="6"/>
  <c r="AK25" i="6" s="1"/>
  <c r="AO16" i="6"/>
  <c r="AG16" i="6"/>
  <c r="AD16" i="6"/>
  <c r="AV16" i="6" s="1"/>
  <c r="AC16" i="6"/>
  <c r="AF16" i="6"/>
  <c r="AY16" i="6" s="1"/>
  <c r="Z16" i="6"/>
  <c r="AA16" i="6"/>
  <c r="AT16" i="6" s="1"/>
  <c r="X16" i="6"/>
  <c r="Y16" i="6"/>
  <c r="W16" i="6"/>
  <c r="U16" i="6"/>
  <c r="V16" i="6"/>
  <c r="AM16" i="6" s="1"/>
  <c r="T16" i="6"/>
  <c r="AK16" i="6" s="1"/>
  <c r="AO33" i="6"/>
  <c r="AD33" i="6"/>
  <c r="AV33" i="6" s="1"/>
  <c r="AG33" i="6"/>
  <c r="AF33" i="6"/>
  <c r="AY33" i="6" s="1"/>
  <c r="AC33" i="6"/>
  <c r="Z33" i="6"/>
  <c r="AA33" i="6"/>
  <c r="AT33" i="6" s="1"/>
  <c r="Y33" i="6"/>
  <c r="AR33" i="6" s="1"/>
  <c r="X33" i="6"/>
  <c r="V33" i="6"/>
  <c r="AM33" i="6" s="1"/>
  <c r="W33" i="6"/>
  <c r="T33" i="6"/>
  <c r="AK33" i="6" s="1"/>
  <c r="U33" i="6"/>
  <c r="AG14" i="6"/>
  <c r="AO14" i="6"/>
  <c r="AF14" i="6"/>
  <c r="AY14" i="6" s="1"/>
  <c r="AC14" i="6"/>
  <c r="AD14" i="6"/>
  <c r="AV14" i="6" s="1"/>
  <c r="AA14" i="6"/>
  <c r="AT14" i="6" s="1"/>
  <c r="Y14" i="6"/>
  <c r="Z14" i="6"/>
  <c r="W14" i="6"/>
  <c r="X14" i="6"/>
  <c r="U14" i="6"/>
  <c r="T14" i="6"/>
  <c r="AK14" i="6" s="1"/>
  <c r="V14" i="6"/>
  <c r="AM14" i="6" s="1"/>
  <c r="AO51" i="6"/>
  <c r="AF51" i="6"/>
  <c r="AY51" i="6" s="1"/>
  <c r="AG51" i="6"/>
  <c r="AD51" i="6"/>
  <c r="AV51" i="6" s="1"/>
  <c r="AA51" i="6"/>
  <c r="AT51" i="6" s="1"/>
  <c r="Y51" i="6"/>
  <c r="AR51" i="6" s="1"/>
  <c r="AC51" i="6"/>
  <c r="X51" i="6"/>
  <c r="Z51" i="6"/>
  <c r="W51" i="6"/>
  <c r="V51" i="6"/>
  <c r="AM51" i="6" s="1"/>
  <c r="T51" i="6"/>
  <c r="AK51" i="6" s="1"/>
  <c r="U51" i="6"/>
  <c r="AO31" i="6"/>
  <c r="AG31" i="6"/>
  <c r="AC31" i="6"/>
  <c r="AD31" i="6"/>
  <c r="AV31" i="6" s="1"/>
  <c r="AF31" i="6"/>
  <c r="AY31" i="6" s="1"/>
  <c r="AA31" i="6"/>
  <c r="AT31" i="6" s="1"/>
  <c r="Z31" i="6"/>
  <c r="Y31" i="6"/>
  <c r="AR31" i="6" s="1"/>
  <c r="X31" i="6"/>
  <c r="V31" i="6"/>
  <c r="AM31" i="6" s="1"/>
  <c r="U31" i="6"/>
  <c r="W31" i="6"/>
  <c r="T31" i="6"/>
  <c r="AK31" i="6" s="1"/>
  <c r="AO27" i="6"/>
  <c r="AG27" i="6"/>
  <c r="AF27" i="6"/>
  <c r="AY27" i="6" s="1"/>
  <c r="AD27" i="6"/>
  <c r="AV27" i="6" s="1"/>
  <c r="AA27" i="6"/>
  <c r="AT27" i="6" s="1"/>
  <c r="Y27" i="6"/>
  <c r="AR27" i="6" s="1"/>
  <c r="AC27" i="6"/>
  <c r="Z27" i="6"/>
  <c r="X27" i="6"/>
  <c r="W27" i="6"/>
  <c r="U27" i="6"/>
  <c r="T27" i="6"/>
  <c r="AK27" i="6" s="1"/>
  <c r="V27" i="6"/>
  <c r="AM27" i="6" s="1"/>
  <c r="AG55" i="6"/>
  <c r="AO55" i="6"/>
  <c r="AC55" i="6"/>
  <c r="AF55" i="6"/>
  <c r="AY55" i="6" s="1"/>
  <c r="AD55" i="6"/>
  <c r="AV55" i="6" s="1"/>
  <c r="Z55" i="6"/>
  <c r="AA55" i="6"/>
  <c r="AT55" i="6" s="1"/>
  <c r="Y55" i="6"/>
  <c r="AR55" i="6" s="1"/>
  <c r="X55" i="6"/>
  <c r="V55" i="6"/>
  <c r="AM55" i="6" s="1"/>
  <c r="U55" i="6"/>
  <c r="W55" i="6"/>
  <c r="T55" i="6"/>
  <c r="AK55" i="6" s="1"/>
  <c r="AO19" i="6"/>
  <c r="AF19" i="6"/>
  <c r="AY19" i="6" s="1"/>
  <c r="AG19" i="6"/>
  <c r="AD19" i="6"/>
  <c r="AV19" i="6" s="1"/>
  <c r="AA19" i="6"/>
  <c r="AT19" i="6" s="1"/>
  <c r="Y19" i="6"/>
  <c r="AR19" i="6" s="1"/>
  <c r="AC19" i="6"/>
  <c r="X19" i="6"/>
  <c r="Z19" i="6"/>
  <c r="W19" i="6"/>
  <c r="V19" i="6"/>
  <c r="AM19" i="6" s="1"/>
  <c r="T19" i="6"/>
  <c r="AK19" i="6" s="1"/>
  <c r="U19" i="6"/>
  <c r="AO53" i="6"/>
  <c r="AG53" i="6"/>
  <c r="AF53" i="6"/>
  <c r="AY53" i="6" s="1"/>
  <c r="AA53" i="6"/>
  <c r="AT53" i="6" s="1"/>
  <c r="AD53" i="6"/>
  <c r="AV53" i="6" s="1"/>
  <c r="Y53" i="6"/>
  <c r="AR53" i="6" s="1"/>
  <c r="AC53" i="6"/>
  <c r="Z53" i="6"/>
  <c r="X53" i="6"/>
  <c r="W53" i="6"/>
  <c r="V53" i="6"/>
  <c r="AM53" i="6" s="1"/>
  <c r="U53" i="6"/>
  <c r="T53" i="6"/>
  <c r="AK53" i="6" s="1"/>
  <c r="AO44" i="6"/>
  <c r="AF44" i="6"/>
  <c r="AY44" i="6" s="1"/>
  <c r="AG44" i="6"/>
  <c r="AA44" i="6"/>
  <c r="AT44" i="6" s="1"/>
  <c r="AD44" i="6"/>
  <c r="AV44" i="6" s="1"/>
  <c r="Y44" i="6"/>
  <c r="AR44" i="6" s="1"/>
  <c r="AC44" i="6"/>
  <c r="X44" i="6"/>
  <c r="Z44" i="6"/>
  <c r="W44" i="6"/>
  <c r="V44" i="6"/>
  <c r="AM44" i="6" s="1"/>
  <c r="T44" i="6"/>
  <c r="AK44" i="6" s="1"/>
  <c r="U44" i="6"/>
  <c r="AO24" i="6"/>
  <c r="AG24" i="6"/>
  <c r="AD24" i="6"/>
  <c r="AV24" i="6" s="1"/>
  <c r="AC24" i="6"/>
  <c r="AF24" i="6"/>
  <c r="AY24" i="6" s="1"/>
  <c r="Z24" i="6"/>
  <c r="AA24" i="6"/>
  <c r="AT24" i="6" s="1"/>
  <c r="Y24" i="6"/>
  <c r="AR24" i="6" s="1"/>
  <c r="X24" i="6"/>
  <c r="W24" i="6"/>
  <c r="V24" i="6"/>
  <c r="AM24" i="6" s="1"/>
  <c r="U24" i="6"/>
  <c r="T24" i="6"/>
  <c r="AK24" i="6" s="1"/>
  <c r="AO49" i="6"/>
  <c r="AD49" i="6"/>
  <c r="AV49" i="6" s="1"/>
  <c r="AG49" i="6"/>
  <c r="AF49" i="6"/>
  <c r="AY49" i="6" s="1"/>
  <c r="AC49" i="6"/>
  <c r="Z49" i="6"/>
  <c r="AA49" i="6"/>
  <c r="AT49" i="6" s="1"/>
  <c r="Y49" i="6"/>
  <c r="X49" i="6"/>
  <c r="V49" i="6"/>
  <c r="AM49" i="6" s="1"/>
  <c r="W49" i="6"/>
  <c r="T49" i="6"/>
  <c r="AK49" i="6" s="1"/>
  <c r="U49" i="6"/>
  <c r="AO38" i="6"/>
  <c r="AG38" i="6"/>
  <c r="AF38" i="6"/>
  <c r="AY38" i="6" s="1"/>
  <c r="AD38" i="6"/>
  <c r="AV38" i="6" s="1"/>
  <c r="AC38" i="6"/>
  <c r="AA38" i="6"/>
  <c r="AT38" i="6" s="1"/>
  <c r="Y38" i="6"/>
  <c r="AR38" i="6" s="1"/>
  <c r="Z38" i="6"/>
  <c r="X38" i="6"/>
  <c r="W38" i="6"/>
  <c r="V38" i="6"/>
  <c r="AM38" i="6" s="1"/>
  <c r="U38" i="6"/>
  <c r="T38" i="6"/>
  <c r="AK38" i="6" s="1"/>
  <c r="AO18" i="6"/>
  <c r="AD18" i="6"/>
  <c r="AV18" i="6" s="1"/>
  <c r="AG18" i="6"/>
  <c r="AF18" i="6"/>
  <c r="AY18" i="6" s="1"/>
  <c r="AC18" i="6"/>
  <c r="Z18" i="6"/>
  <c r="Y18" i="6"/>
  <c r="AR18" i="6" s="1"/>
  <c r="AA18" i="6"/>
  <c r="AT18" i="6" s="1"/>
  <c r="X18" i="6"/>
  <c r="V18" i="6"/>
  <c r="AM18" i="6" s="1"/>
  <c r="W18" i="6"/>
  <c r="T18" i="6"/>
  <c r="AK18" i="6" s="1"/>
  <c r="U18" i="6"/>
  <c r="AO52" i="6"/>
  <c r="AF52" i="6"/>
  <c r="AY52" i="6" s="1"/>
  <c r="AG52" i="6"/>
  <c r="AA52" i="6"/>
  <c r="AT52" i="6" s="1"/>
  <c r="AD52" i="6"/>
  <c r="AV52" i="6" s="1"/>
  <c r="Y52" i="6"/>
  <c r="AR52" i="6" s="1"/>
  <c r="AC52" i="6"/>
  <c r="X52" i="6"/>
  <c r="Z52" i="6"/>
  <c r="W52" i="6"/>
  <c r="V52" i="6"/>
  <c r="AM52" i="6" s="1"/>
  <c r="T52" i="6"/>
  <c r="AK52" i="6" s="1"/>
  <c r="U52" i="6"/>
  <c r="AO39" i="6"/>
  <c r="AG39" i="6"/>
  <c r="AC39" i="6"/>
  <c r="AF39" i="6"/>
  <c r="AY39" i="6" s="1"/>
  <c r="AD39" i="6"/>
  <c r="AV39" i="6" s="1"/>
  <c r="Z39" i="6"/>
  <c r="AA39" i="6"/>
  <c r="AT39" i="6" s="1"/>
  <c r="Y39" i="6"/>
  <c r="AR39" i="6" s="1"/>
  <c r="X39" i="6"/>
  <c r="W39" i="6"/>
  <c r="V39" i="6"/>
  <c r="AM39" i="6" s="1"/>
  <c r="U39" i="6"/>
  <c r="T39" i="6"/>
  <c r="AK39" i="6" s="1"/>
  <c r="AO22" i="6"/>
  <c r="AG22" i="6"/>
  <c r="AF22" i="6"/>
  <c r="AY22" i="6" s="1"/>
  <c r="AD22" i="6"/>
  <c r="AV22" i="6" s="1"/>
  <c r="AC22" i="6"/>
  <c r="AA22" i="6"/>
  <c r="AT22" i="6" s="1"/>
  <c r="Y22" i="6"/>
  <c r="AR22" i="6" s="1"/>
  <c r="Z22" i="6"/>
  <c r="X22" i="6"/>
  <c r="W22" i="6"/>
  <c r="V22" i="6"/>
  <c r="AM22" i="6" s="1"/>
  <c r="U22" i="6"/>
  <c r="T22" i="6"/>
  <c r="AK22" i="6" s="1"/>
  <c r="AO6" i="6"/>
  <c r="AG6" i="6"/>
  <c r="AF6" i="6"/>
  <c r="AY6" i="6" s="1"/>
  <c r="AD6" i="6"/>
  <c r="AV6" i="6" s="1"/>
  <c r="AC6" i="6"/>
  <c r="AA6" i="6"/>
  <c r="AT6" i="6" s="1"/>
  <c r="Y6" i="6"/>
  <c r="AR6" i="6" s="1"/>
  <c r="Z6" i="6"/>
  <c r="X6" i="6"/>
  <c r="W6" i="6"/>
  <c r="U6" i="6"/>
  <c r="V6" i="6"/>
  <c r="AM6" i="6" s="1"/>
  <c r="T6" i="6"/>
  <c r="AK6" i="6" s="1"/>
  <c r="AO46" i="6"/>
  <c r="AG46" i="6"/>
  <c r="AF46" i="6"/>
  <c r="AY46" i="6" s="1"/>
  <c r="AC46" i="6"/>
  <c r="AD46" i="6"/>
  <c r="AV46" i="6" s="1"/>
  <c r="AA46" i="6"/>
  <c r="AT46" i="6" s="1"/>
  <c r="Y46" i="6"/>
  <c r="AR46" i="6" s="1"/>
  <c r="Z46" i="6"/>
  <c r="W46" i="6"/>
  <c r="X46" i="6"/>
  <c r="V46" i="6"/>
  <c r="AM46" i="6" s="1"/>
  <c r="U46" i="6"/>
  <c r="T46" i="6"/>
  <c r="AK46" i="6" s="1"/>
  <c r="AO48" i="6"/>
  <c r="AG48" i="6"/>
  <c r="AD48" i="6"/>
  <c r="AV48" i="6" s="1"/>
  <c r="AC48" i="6"/>
  <c r="AF48" i="6"/>
  <c r="AY48" i="6" s="1"/>
  <c r="Z48" i="6"/>
  <c r="AA48" i="6"/>
  <c r="AT48" i="6" s="1"/>
  <c r="X48" i="6"/>
  <c r="Y48" i="6"/>
  <c r="AR48" i="6" s="1"/>
  <c r="W48" i="6"/>
  <c r="U48" i="6"/>
  <c r="V48" i="6"/>
  <c r="AM48" i="6" s="1"/>
  <c r="T48" i="6"/>
  <c r="AK48" i="6" s="1"/>
  <c r="AO41" i="6"/>
  <c r="AD41" i="6"/>
  <c r="AV41" i="6" s="1"/>
  <c r="AG41" i="6"/>
  <c r="AF41" i="6"/>
  <c r="AY41" i="6" s="1"/>
  <c r="AC41" i="6"/>
  <c r="Z41" i="6"/>
  <c r="AA41" i="6"/>
  <c r="AT41" i="6" s="1"/>
  <c r="Y41" i="6"/>
  <c r="AR41" i="6" s="1"/>
  <c r="V41" i="6"/>
  <c r="AM41" i="6" s="1"/>
  <c r="X41" i="6"/>
  <c r="W41" i="6"/>
  <c r="U41" i="6"/>
  <c r="T41" i="6"/>
  <c r="AK41" i="6" s="1"/>
  <c r="AO32" i="6"/>
  <c r="AG32" i="6"/>
  <c r="AD32" i="6"/>
  <c r="AV32" i="6" s="1"/>
  <c r="AC32" i="6"/>
  <c r="AF32" i="6"/>
  <c r="AY32" i="6" s="1"/>
  <c r="Z32" i="6"/>
  <c r="AA32" i="6"/>
  <c r="AT32" i="6" s="1"/>
  <c r="Y32" i="6"/>
  <c r="AR32" i="6" s="1"/>
  <c r="X32" i="6"/>
  <c r="V32" i="6"/>
  <c r="AM32" i="6" s="1"/>
  <c r="U32" i="6"/>
  <c r="W32" i="6"/>
  <c r="T32" i="6"/>
  <c r="AK32" i="6" s="1"/>
  <c r="AO23" i="6"/>
  <c r="AG23" i="6"/>
  <c r="AC23" i="6"/>
  <c r="AF23" i="6"/>
  <c r="AY23" i="6" s="1"/>
  <c r="AD23" i="6"/>
  <c r="AV23" i="6" s="1"/>
  <c r="Z23" i="6"/>
  <c r="AA23" i="6"/>
  <c r="AT23" i="6" s="1"/>
  <c r="Y23" i="6"/>
  <c r="AR23" i="6" s="1"/>
  <c r="X23" i="6"/>
  <c r="W23" i="6"/>
  <c r="V23" i="6"/>
  <c r="AM23" i="6" s="1"/>
  <c r="U23" i="6"/>
  <c r="T23" i="6"/>
  <c r="AK23" i="6" s="1"/>
  <c r="AO10" i="6"/>
  <c r="AD10" i="6"/>
  <c r="AV10" i="6" s="1"/>
  <c r="AG10" i="6"/>
  <c r="AF10" i="6"/>
  <c r="AY10" i="6" s="1"/>
  <c r="AA10" i="6"/>
  <c r="AT10" i="6" s="1"/>
  <c r="AC10" i="6"/>
  <c r="Z10" i="6"/>
  <c r="X10" i="6"/>
  <c r="V10" i="6"/>
  <c r="AM10" i="6" s="1"/>
  <c r="Y10" i="6"/>
  <c r="AR10" i="6" s="1"/>
  <c r="W10" i="6"/>
  <c r="T10" i="6"/>
  <c r="AK10" i="6" s="1"/>
  <c r="U10" i="6"/>
  <c r="AO56" i="6"/>
  <c r="AG56" i="6"/>
  <c r="AD56" i="6"/>
  <c r="AV56" i="6" s="1"/>
  <c r="AC56" i="6"/>
  <c r="AF56" i="6"/>
  <c r="AY56" i="6" s="1"/>
  <c r="Z56" i="6"/>
  <c r="AA56" i="6"/>
  <c r="AT56" i="6" s="1"/>
  <c r="Y56" i="6"/>
  <c r="AR56" i="6" s="1"/>
  <c r="X56" i="6"/>
  <c r="U56" i="6"/>
  <c r="W56" i="6"/>
  <c r="V56" i="6"/>
  <c r="AM56" i="6" s="1"/>
  <c r="T56" i="6"/>
  <c r="AK56" i="6" s="1"/>
  <c r="AO43" i="6"/>
  <c r="AG43" i="6"/>
  <c r="AF43" i="6"/>
  <c r="AY43" i="6" s="1"/>
  <c r="AD43" i="6"/>
  <c r="AV43" i="6" s="1"/>
  <c r="AA43" i="6"/>
  <c r="AT43" i="6" s="1"/>
  <c r="Y43" i="6"/>
  <c r="AR43" i="6" s="1"/>
  <c r="AC43" i="6"/>
  <c r="Z43" i="6"/>
  <c r="X43" i="6"/>
  <c r="W43" i="6"/>
  <c r="V43" i="6"/>
  <c r="AM43" i="6" s="1"/>
  <c r="U43" i="6"/>
  <c r="AO37" i="6"/>
  <c r="AG37" i="6"/>
  <c r="AF37" i="6"/>
  <c r="AY37" i="6" s="1"/>
  <c r="AA37" i="6"/>
  <c r="AT37" i="6" s="1"/>
  <c r="AD37" i="6"/>
  <c r="AV37" i="6" s="1"/>
  <c r="Y37" i="6"/>
  <c r="AR37" i="6" s="1"/>
  <c r="AC37" i="6"/>
  <c r="Z37" i="6"/>
  <c r="X37" i="6"/>
  <c r="W37" i="6"/>
  <c r="V37" i="6"/>
  <c r="AM37" i="6" s="1"/>
  <c r="U37" i="6"/>
  <c r="T37" i="6"/>
  <c r="AK37" i="6" s="1"/>
  <c r="AO28" i="6"/>
  <c r="AF28" i="6"/>
  <c r="AY28" i="6" s="1"/>
  <c r="AG28" i="6"/>
  <c r="AA28" i="6"/>
  <c r="AT28" i="6" s="1"/>
  <c r="AD28" i="6"/>
  <c r="AV28" i="6" s="1"/>
  <c r="Y28" i="6"/>
  <c r="AR28" i="6" s="1"/>
  <c r="AC28" i="6"/>
  <c r="X28" i="6"/>
  <c r="Z28" i="6"/>
  <c r="W28" i="6"/>
  <c r="T28" i="6"/>
  <c r="AK28" i="6" s="1"/>
  <c r="V28" i="6"/>
  <c r="AM28" i="6" s="1"/>
  <c r="U28" i="6"/>
  <c r="AO17" i="6"/>
  <c r="AD17" i="6"/>
  <c r="AV17" i="6" s="1"/>
  <c r="AG17" i="6"/>
  <c r="AF17" i="6"/>
  <c r="AY17" i="6" s="1"/>
  <c r="AC17" i="6"/>
  <c r="Z17" i="6"/>
  <c r="AA17" i="6"/>
  <c r="AT17" i="6" s="1"/>
  <c r="Y17" i="6"/>
  <c r="AR17" i="6" s="1"/>
  <c r="X17" i="6"/>
  <c r="V17" i="6"/>
  <c r="AM17" i="6" s="1"/>
  <c r="W17" i="6"/>
  <c r="T17" i="6"/>
  <c r="AK17" i="6" s="1"/>
  <c r="U17" i="6"/>
  <c r="AO12" i="6"/>
  <c r="AF12" i="6"/>
  <c r="AY12" i="6" s="1"/>
  <c r="AG12" i="6"/>
  <c r="AA12" i="6"/>
  <c r="AT12" i="6" s="1"/>
  <c r="AD12" i="6"/>
  <c r="AV12" i="6" s="1"/>
  <c r="Y12" i="6"/>
  <c r="AR12" i="6" s="1"/>
  <c r="AC12" i="6"/>
  <c r="X12" i="6"/>
  <c r="Z12" i="6"/>
  <c r="V12" i="6"/>
  <c r="AM12" i="6" s="1"/>
  <c r="W12" i="6"/>
  <c r="T12" i="6"/>
  <c r="AK12" i="6" s="1"/>
  <c r="U12" i="6"/>
  <c r="AO58" i="6"/>
  <c r="AD58" i="6"/>
  <c r="AV58" i="6" s="1"/>
  <c r="AG58" i="6"/>
  <c r="AF58" i="6"/>
  <c r="AY58" i="6" s="1"/>
  <c r="AA58" i="6"/>
  <c r="AT58" i="6" s="1"/>
  <c r="AC58" i="6"/>
  <c r="Z58" i="6"/>
  <c r="X58" i="6"/>
  <c r="V58" i="6"/>
  <c r="AM58" i="6" s="1"/>
  <c r="Y58" i="6"/>
  <c r="AR58" i="6" s="1"/>
  <c r="W58" i="6"/>
  <c r="T58" i="6"/>
  <c r="AK58" i="6" s="1"/>
  <c r="U58" i="6"/>
  <c r="AG47" i="6"/>
  <c r="AO47" i="6"/>
  <c r="AC47" i="6"/>
  <c r="AD47" i="6"/>
  <c r="AV47" i="6" s="1"/>
  <c r="AF47" i="6"/>
  <c r="AY47" i="6" s="1"/>
  <c r="AA47" i="6"/>
  <c r="AT47" i="6" s="1"/>
  <c r="Z47" i="6"/>
  <c r="X47" i="6"/>
  <c r="Y47" i="6"/>
  <c r="AR47" i="6" s="1"/>
  <c r="W47" i="6"/>
  <c r="U47" i="6"/>
  <c r="V47" i="6"/>
  <c r="AM47" i="6" s="1"/>
  <c r="T47" i="6"/>
  <c r="AK47" i="6" s="1"/>
  <c r="AO42" i="6"/>
  <c r="AD42" i="6"/>
  <c r="AV42" i="6" s="1"/>
  <c r="AG42" i="6"/>
  <c r="AF42" i="6"/>
  <c r="AY42" i="6" s="1"/>
  <c r="AA42" i="6"/>
  <c r="AT42" i="6" s="1"/>
  <c r="AC42" i="6"/>
  <c r="Z42" i="6"/>
  <c r="X42" i="6"/>
  <c r="V42" i="6"/>
  <c r="AM42" i="6" s="1"/>
  <c r="Y42" i="6"/>
  <c r="AR42" i="6" s="1"/>
  <c r="W42" i="6"/>
  <c r="T42" i="6"/>
  <c r="AK42" i="6" s="1"/>
  <c r="U42" i="6"/>
  <c r="AO30" i="6"/>
  <c r="AG30" i="6"/>
  <c r="AF30" i="6"/>
  <c r="AY30" i="6" s="1"/>
  <c r="AC30" i="6"/>
  <c r="AD30" i="6"/>
  <c r="AV30" i="6" s="1"/>
  <c r="AA30" i="6"/>
  <c r="AT30" i="6" s="1"/>
  <c r="Y30" i="6"/>
  <c r="AR30" i="6" s="1"/>
  <c r="Z30" i="6"/>
  <c r="W30" i="6"/>
  <c r="X30" i="6"/>
  <c r="V30" i="6"/>
  <c r="AM30" i="6" s="1"/>
  <c r="U30" i="6"/>
  <c r="T30" i="6"/>
  <c r="AK30" i="6" s="1"/>
  <c r="AO26" i="6"/>
  <c r="AD26" i="6"/>
  <c r="AV26" i="6" s="1"/>
  <c r="AG26" i="6"/>
  <c r="AF26" i="6"/>
  <c r="AY26" i="6" s="1"/>
  <c r="AA26" i="6"/>
  <c r="AT26" i="6" s="1"/>
  <c r="AC26" i="6"/>
  <c r="Z26" i="6"/>
  <c r="X26" i="6"/>
  <c r="V26" i="6"/>
  <c r="AM26" i="6" s="1"/>
  <c r="Y26" i="6"/>
  <c r="AR26" i="6" s="1"/>
  <c r="W26" i="6"/>
  <c r="T26" i="6"/>
  <c r="AK26" i="6" s="1"/>
  <c r="U26" i="6"/>
  <c r="AO20" i="6"/>
  <c r="AF20" i="6"/>
  <c r="AY20" i="6" s="1"/>
  <c r="AG20" i="6"/>
  <c r="AA20" i="6"/>
  <c r="AT20" i="6" s="1"/>
  <c r="AD20" i="6"/>
  <c r="AV20" i="6" s="1"/>
  <c r="Y20" i="6"/>
  <c r="AR20" i="6" s="1"/>
  <c r="AC20" i="6"/>
  <c r="X20" i="6"/>
  <c r="Z20" i="6"/>
  <c r="V20" i="6"/>
  <c r="AM20" i="6" s="1"/>
  <c r="W20" i="6"/>
  <c r="T20" i="6"/>
  <c r="AK20" i="6" s="1"/>
  <c r="U20" i="6"/>
  <c r="AO11" i="6"/>
  <c r="AG11" i="6"/>
  <c r="AF11" i="6"/>
  <c r="AY11" i="6" s="1"/>
  <c r="AD11" i="6"/>
  <c r="AV11" i="6" s="1"/>
  <c r="AA11" i="6"/>
  <c r="AT11" i="6" s="1"/>
  <c r="Y11" i="6"/>
  <c r="AR11" i="6" s="1"/>
  <c r="AC11" i="6"/>
  <c r="Z11" i="6"/>
  <c r="X11" i="6"/>
  <c r="W11" i="6"/>
  <c r="V11" i="6"/>
  <c r="AM11" i="6" s="1"/>
  <c r="U11" i="6"/>
  <c r="T11" i="6"/>
  <c r="AK11" i="6" s="1"/>
  <c r="AE8" i="6"/>
  <c r="AB8" i="6"/>
  <c r="AE29" i="6"/>
  <c r="AB29" i="6"/>
  <c r="AE19" i="6"/>
  <c r="AB19" i="6"/>
  <c r="AE55" i="6"/>
  <c r="AB55" i="6"/>
  <c r="AE35" i="6"/>
  <c r="AB35" i="6"/>
  <c r="AR35" i="6"/>
  <c r="AE44" i="6"/>
  <c r="AB44" i="6"/>
  <c r="AB34" i="6"/>
  <c r="AE34" i="6"/>
  <c r="AE24" i="6"/>
  <c r="AB24" i="6"/>
  <c r="AE15" i="6"/>
  <c r="AB15" i="6"/>
  <c r="AR15" i="6"/>
  <c r="AB7" i="6"/>
  <c r="AE7" i="6"/>
  <c r="AB54" i="6"/>
  <c r="AE54" i="6"/>
  <c r="AE49" i="6"/>
  <c r="AB49" i="6"/>
  <c r="AE38" i="6"/>
  <c r="AB38" i="6"/>
  <c r="AE25" i="6"/>
  <c r="AB25" i="6"/>
  <c r="AE18" i="6"/>
  <c r="AB18" i="6"/>
  <c r="AE16" i="6"/>
  <c r="AB16" i="6"/>
  <c r="AE9" i="6"/>
  <c r="AB9" i="6"/>
  <c r="AE52" i="6"/>
  <c r="AB52" i="6"/>
  <c r="AE6" i="6"/>
  <c r="AB6" i="6"/>
  <c r="AE13" i="6"/>
  <c r="AB13" i="6"/>
  <c r="AE36" i="6"/>
  <c r="AV36" i="6"/>
  <c r="AB36" i="6"/>
  <c r="AE50" i="6"/>
  <c r="AB50" i="6"/>
  <c r="AE39" i="6"/>
  <c r="AB39" i="6"/>
  <c r="AE33" i="6"/>
  <c r="AB33" i="6"/>
  <c r="AE14" i="6"/>
  <c r="AR14" i="6"/>
  <c r="AB14" i="6"/>
  <c r="AE46" i="6"/>
  <c r="AB46" i="6"/>
  <c r="AE40" i="6"/>
  <c r="AB40" i="6"/>
  <c r="AK40" i="6"/>
  <c r="AE21" i="6"/>
  <c r="AB21" i="6"/>
  <c r="AR21" i="6"/>
  <c r="AB41" i="6"/>
  <c r="AE41" i="6"/>
  <c r="AE27" i="6"/>
  <c r="AB27" i="6"/>
  <c r="AE10" i="6"/>
  <c r="AB10" i="6"/>
  <c r="AE56" i="6"/>
  <c r="AB56" i="6"/>
  <c r="AE43" i="6"/>
  <c r="AB43" i="6"/>
  <c r="AK43" i="6"/>
  <c r="AE37" i="6"/>
  <c r="AB37" i="6"/>
  <c r="AE28" i="6"/>
  <c r="AB28" i="6"/>
  <c r="AB17" i="6"/>
  <c r="AE17" i="6"/>
  <c r="AE12" i="6"/>
  <c r="AB12" i="6"/>
  <c r="AB57" i="6"/>
  <c r="AE57" i="6"/>
  <c r="AK57" i="6"/>
  <c r="AE53" i="6"/>
  <c r="AB53" i="6"/>
  <c r="AE45" i="6"/>
  <c r="AB45" i="6"/>
  <c r="AE22" i="6"/>
  <c r="AB22" i="6"/>
  <c r="AE51" i="6"/>
  <c r="AB51" i="6"/>
  <c r="AB31" i="6"/>
  <c r="AE31" i="6"/>
  <c r="AE48" i="6"/>
  <c r="AB48" i="6"/>
  <c r="AB32" i="6"/>
  <c r="AE32" i="6"/>
  <c r="AE23" i="6"/>
  <c r="AB23" i="6"/>
  <c r="AE58" i="6"/>
  <c r="AB58" i="6"/>
  <c r="AE47" i="6"/>
  <c r="AB47" i="6"/>
  <c r="AB42" i="6"/>
  <c r="AE42" i="6"/>
  <c r="AE30" i="6"/>
  <c r="AB30" i="6"/>
  <c r="AE26" i="6"/>
  <c r="AB26" i="6"/>
  <c r="AE20" i="6"/>
  <c r="AB20" i="6"/>
  <c r="AE11" i="6"/>
  <c r="AB11" i="6"/>
  <c r="AR34" i="6"/>
  <c r="AR9" i="6"/>
  <c r="R8" i="7"/>
  <c r="A8" i="14"/>
  <c r="A12" i="14"/>
  <c r="A14" i="14"/>
  <c r="A16" i="14"/>
  <c r="A6" i="14"/>
  <c r="A10" i="14"/>
  <c r="A18" i="14"/>
  <c r="A7" i="14"/>
  <c r="A11" i="14"/>
  <c r="A19" i="14"/>
  <c r="A9" i="14"/>
  <c r="A13" i="14"/>
  <c r="A15" i="14"/>
  <c r="A17" i="14"/>
  <c r="BC47" i="6" l="1"/>
  <c r="AU10" i="6"/>
  <c r="BC52" i="6"/>
  <c r="AO5" i="6"/>
  <c r="AP162" i="6" s="1"/>
  <c r="AG5" i="6"/>
  <c r="AF5" i="6"/>
  <c r="AY5" i="6" s="1"/>
  <c r="AE5" i="6"/>
  <c r="AA5" i="6"/>
  <c r="AT5" i="6" s="1"/>
  <c r="Y5" i="6"/>
  <c r="AR5" i="6" s="1"/>
  <c r="AC5" i="6"/>
  <c r="AB5" i="6"/>
  <c r="Z5" i="6"/>
  <c r="X5" i="6"/>
  <c r="W5" i="6"/>
  <c r="U5" i="6"/>
  <c r="V5" i="6"/>
  <c r="AM5" i="6" s="1"/>
  <c r="T5" i="6"/>
  <c r="AK5" i="6" s="1"/>
  <c r="AP97" i="6"/>
  <c r="AW97" i="6"/>
  <c r="AW73" i="6"/>
  <c r="AW162" i="6"/>
  <c r="BC45" i="6"/>
  <c r="AW153" i="6"/>
  <c r="AW115" i="6"/>
  <c r="AW189" i="6"/>
  <c r="AW138" i="6"/>
  <c r="AW199" i="6"/>
  <c r="AW190" i="6"/>
  <c r="AP115" i="6"/>
  <c r="AP159" i="6"/>
  <c r="AW159" i="6"/>
  <c r="AP199" i="6"/>
  <c r="AP177" i="6"/>
  <c r="AP148" i="6"/>
  <c r="AP172" i="6"/>
  <c r="AW78" i="6"/>
  <c r="AW120" i="6"/>
  <c r="AW75" i="6"/>
  <c r="AW92" i="6"/>
  <c r="AW99" i="6"/>
  <c r="AW124" i="6"/>
  <c r="AW192" i="6"/>
  <c r="AW155" i="6"/>
  <c r="AW179" i="6"/>
  <c r="AP87" i="6"/>
  <c r="AP112" i="6"/>
  <c r="AP195" i="6"/>
  <c r="AP149" i="6"/>
  <c r="AP96" i="6"/>
  <c r="AP175" i="6"/>
  <c r="AP191" i="6"/>
  <c r="AP141" i="6"/>
  <c r="AP83" i="6"/>
  <c r="AP194" i="6"/>
  <c r="AP154" i="6"/>
  <c r="AW60" i="6"/>
  <c r="AW172" i="6"/>
  <c r="AW148" i="6"/>
  <c r="AW177" i="6"/>
  <c r="AP110" i="6"/>
  <c r="AW123" i="6"/>
  <c r="AW144" i="6"/>
  <c r="AW100" i="6"/>
  <c r="AP106" i="6"/>
  <c r="AP127" i="6"/>
  <c r="AP201" i="6"/>
  <c r="AP95" i="6"/>
  <c r="AP163" i="6"/>
  <c r="AW81" i="6"/>
  <c r="AW111" i="6"/>
  <c r="AW133" i="6"/>
  <c r="AW196" i="6"/>
  <c r="AW117" i="6"/>
  <c r="AW198" i="6"/>
  <c r="AW180" i="6"/>
  <c r="AW186" i="6"/>
  <c r="AP144" i="6"/>
  <c r="AW129" i="6"/>
  <c r="AW182" i="6"/>
  <c r="AW146" i="6"/>
  <c r="AW202" i="6"/>
  <c r="AW178" i="6"/>
  <c r="AW77" i="6"/>
  <c r="AW105" i="6"/>
  <c r="AW130" i="6"/>
  <c r="AW157" i="6"/>
  <c r="AW150" i="6"/>
  <c r="AP140" i="6"/>
  <c r="AP145" i="6"/>
  <c r="AP167" i="6"/>
  <c r="AP183" i="6"/>
  <c r="AP158" i="6"/>
  <c r="AP169" i="6"/>
  <c r="AP174" i="6"/>
  <c r="AP129" i="6"/>
  <c r="AP146" i="6"/>
  <c r="AP182" i="6"/>
  <c r="AP150" i="6"/>
  <c r="AP157" i="6"/>
  <c r="AP77" i="6"/>
  <c r="AP178" i="6"/>
  <c r="AP117" i="6"/>
  <c r="AP186" i="6"/>
  <c r="AP198" i="6"/>
  <c r="AP133" i="6"/>
  <c r="AP180" i="6"/>
  <c r="AP196" i="6"/>
  <c r="AW87" i="6"/>
  <c r="AW175" i="6"/>
  <c r="AW112" i="6"/>
  <c r="AW195" i="6"/>
  <c r="AW149" i="6"/>
  <c r="AW96" i="6"/>
  <c r="AP114" i="6"/>
  <c r="AP65" i="6"/>
  <c r="AP84" i="6"/>
  <c r="AP107" i="6"/>
  <c r="AW143" i="6"/>
  <c r="AW160" i="6"/>
  <c r="AW85" i="6"/>
  <c r="AW136" i="6"/>
  <c r="AW203" i="6"/>
  <c r="AW168" i="6"/>
  <c r="AW185" i="6"/>
  <c r="AW145" i="6"/>
  <c r="AW140" i="6"/>
  <c r="AW169" i="6"/>
  <c r="AW167" i="6"/>
  <c r="AW174" i="6"/>
  <c r="AW158" i="6"/>
  <c r="AW183" i="6"/>
  <c r="AW131" i="6"/>
  <c r="AW93" i="6"/>
  <c r="AW128" i="6"/>
  <c r="AW132" i="6"/>
  <c r="AP94" i="6"/>
  <c r="AP205" i="6"/>
  <c r="AP80" i="6"/>
  <c r="AP122" i="6"/>
  <c r="AP134" i="6"/>
  <c r="AP176" i="6"/>
  <c r="AP165" i="6"/>
  <c r="AP101" i="6"/>
  <c r="AP113" i="6"/>
  <c r="AP197" i="6"/>
  <c r="AP119" i="6"/>
  <c r="AP161" i="6"/>
  <c r="AP181" i="6"/>
  <c r="AP156" i="6"/>
  <c r="AP126" i="6"/>
  <c r="AP98" i="6"/>
  <c r="AP102" i="6"/>
  <c r="AP82" i="6"/>
  <c r="AP166" i="6"/>
  <c r="AP118" i="6"/>
  <c r="AP142" i="6"/>
  <c r="AP204" i="6"/>
  <c r="AW125" i="6"/>
  <c r="AW184" i="6"/>
  <c r="AW74" i="6"/>
  <c r="AW200" i="6"/>
  <c r="AW171" i="6"/>
  <c r="AW114" i="6"/>
  <c r="AW65" i="6"/>
  <c r="AW107" i="6"/>
  <c r="AW71" i="6"/>
  <c r="AW84" i="6"/>
  <c r="AW113" i="6"/>
  <c r="AW101" i="6"/>
  <c r="AW151" i="6"/>
  <c r="AW116" i="6"/>
  <c r="AW197" i="6"/>
  <c r="AW102" i="6"/>
  <c r="AW82" i="6"/>
  <c r="AW118" i="6"/>
  <c r="AW204" i="6"/>
  <c r="AW142" i="6"/>
  <c r="AW166" i="6"/>
  <c r="AW137" i="6"/>
  <c r="AW79" i="6"/>
  <c r="AW139" i="6"/>
  <c r="AW164" i="6"/>
  <c r="AW206" i="6"/>
  <c r="AP131" i="6"/>
  <c r="AP72" i="6"/>
  <c r="AP93" i="6"/>
  <c r="AP128" i="6"/>
  <c r="AP132" i="6"/>
  <c r="AP99" i="6"/>
  <c r="AP179" i="6"/>
  <c r="AP124" i="6"/>
  <c r="AP155" i="6"/>
  <c r="AP192" i="6"/>
  <c r="AP85" i="6"/>
  <c r="AP143" i="6"/>
  <c r="AP185" i="6"/>
  <c r="AP203" i="6"/>
  <c r="AP160" i="6"/>
  <c r="AP136" i="6"/>
  <c r="AP168" i="6"/>
  <c r="AP75" i="6"/>
  <c r="AP68" i="6"/>
  <c r="AP78" i="6"/>
  <c r="AP120" i="6"/>
  <c r="AP92" i="6"/>
  <c r="AW88" i="6"/>
  <c r="AW170" i="6"/>
  <c r="AW135" i="6"/>
  <c r="AW188" i="6"/>
  <c r="AW193" i="6"/>
  <c r="AP74" i="6"/>
  <c r="AP125" i="6"/>
  <c r="AP200" i="6"/>
  <c r="AP171" i="6"/>
  <c r="AW122" i="6"/>
  <c r="AW134" i="6"/>
  <c r="AW94" i="6"/>
  <c r="AW80" i="6"/>
  <c r="AW176" i="6"/>
  <c r="AW205" i="6"/>
  <c r="AW165" i="6"/>
  <c r="AW119" i="6"/>
  <c r="AW126" i="6"/>
  <c r="AW98" i="6"/>
  <c r="AW161" i="6"/>
  <c r="AW173" i="6"/>
  <c r="AW181" i="6"/>
  <c r="AW156" i="6"/>
  <c r="AP88" i="6"/>
  <c r="AP135" i="6"/>
  <c r="AP188" i="6"/>
  <c r="AP193" i="6"/>
  <c r="AW109" i="6"/>
  <c r="AW141" i="6"/>
  <c r="AW103" i="6"/>
  <c r="AW191" i="6"/>
  <c r="AP137" i="6"/>
  <c r="AP79" i="6"/>
  <c r="AP164" i="6"/>
  <c r="AP139" i="6"/>
  <c r="AP206" i="6"/>
  <c r="AW83" i="6"/>
  <c r="AW154" i="6"/>
  <c r="AW187" i="6"/>
  <c r="AW194" i="6"/>
  <c r="AW110" i="6"/>
  <c r="AW108" i="6"/>
  <c r="AW127" i="6"/>
  <c r="AW163" i="6"/>
  <c r="AW201" i="6"/>
  <c r="AW152" i="6"/>
  <c r="AW95" i="6"/>
  <c r="BC58" i="6"/>
  <c r="BC40" i="6"/>
  <c r="BC29" i="6"/>
  <c r="BC41" i="6"/>
  <c r="BC14" i="6"/>
  <c r="M10" i="8"/>
  <c r="M23" i="8"/>
  <c r="M29" i="8"/>
  <c r="K21" i="8"/>
  <c r="J27" i="8"/>
  <c r="M17" i="8"/>
  <c r="L28" i="8"/>
  <c r="J5" i="8"/>
  <c r="J14" i="8"/>
  <c r="J16" i="8"/>
  <c r="K30" i="8"/>
  <c r="M11" i="8"/>
  <c r="K15" i="8"/>
  <c r="K6" i="8"/>
  <c r="J24" i="8"/>
  <c r="J8" i="8"/>
  <c r="J25" i="8"/>
  <c r="M22" i="8"/>
  <c r="BC44" i="6"/>
  <c r="BC33" i="6"/>
  <c r="BC23" i="6"/>
  <c r="BC32" i="6"/>
  <c r="BC38" i="6"/>
  <c r="BC13" i="6"/>
  <c r="BC9" i="6"/>
  <c r="BC37" i="6"/>
  <c r="BC51" i="6"/>
  <c r="BC35" i="6"/>
  <c r="BC21" i="6"/>
  <c r="BC53" i="6"/>
  <c r="BC20" i="6"/>
  <c r="BC27" i="6"/>
  <c r="BC46" i="6"/>
  <c r="BC19" i="6"/>
  <c r="BC48" i="6"/>
  <c r="BC31" i="6"/>
  <c r="BC6" i="6"/>
  <c r="L10" i="8"/>
  <c r="K10" i="8"/>
  <c r="J10" i="8"/>
  <c r="M26" i="8"/>
  <c r="L26" i="8"/>
  <c r="K26" i="8"/>
  <c r="J26" i="8"/>
  <c r="M32" i="8"/>
  <c r="L32" i="8"/>
  <c r="K32" i="8"/>
  <c r="J32" i="8"/>
  <c r="M12" i="8"/>
  <c r="L12" i="8"/>
  <c r="K12" i="8"/>
  <c r="J12" i="8"/>
  <c r="BC55" i="6"/>
  <c r="BC42" i="6"/>
  <c r="BC18" i="6"/>
  <c r="BC17" i="6"/>
  <c r="BC28" i="6"/>
  <c r="BC56" i="6"/>
  <c r="BC39" i="6"/>
  <c r="BC24" i="6"/>
  <c r="BC30" i="6"/>
  <c r="BC10" i="6"/>
  <c r="BC15" i="6"/>
  <c r="BC34" i="6"/>
  <c r="BC50" i="6"/>
  <c r="BC8" i="6"/>
  <c r="BC36" i="6"/>
  <c r="BC11" i="6"/>
  <c r="BC26" i="6"/>
  <c r="BC12" i="6"/>
  <c r="AP7" i="6"/>
  <c r="BC7" i="6"/>
  <c r="AP15" i="6"/>
  <c r="AP43" i="6"/>
  <c r="AP6" i="6"/>
  <c r="AP25" i="6"/>
  <c r="R9" i="7"/>
  <c r="H36" i="8"/>
  <c r="AW15" i="6"/>
  <c r="AW43" i="6"/>
  <c r="AW7" i="6"/>
  <c r="AW6" i="6"/>
  <c r="AW25" i="6"/>
  <c r="BC49" i="6"/>
  <c r="BC43" i="6"/>
  <c r="BC22" i="6"/>
  <c r="BC25" i="6"/>
  <c r="BC16" i="6"/>
  <c r="AN6" i="6"/>
  <c r="AN11" i="6"/>
  <c r="AN9" i="6"/>
  <c r="AN12" i="6"/>
  <c r="AR49" i="6"/>
  <c r="AR16" i="6"/>
  <c r="AR25" i="6"/>
  <c r="AR57" i="6"/>
  <c r="AU12" i="6"/>
  <c r="I36" i="8"/>
  <c r="AU9" i="6"/>
  <c r="AU7" i="6"/>
  <c r="AU8" i="6"/>
  <c r="AN8" i="6"/>
  <c r="AU6" i="6"/>
  <c r="AU11" i="6"/>
  <c r="AN7" i="6"/>
  <c r="AZ7" i="6"/>
  <c r="AZ8" i="6"/>
  <c r="AZ9" i="6"/>
  <c r="AZ12" i="6"/>
  <c r="AZ6" i="6"/>
  <c r="AZ11" i="6"/>
  <c r="AP60" i="6" l="1"/>
  <c r="AP189" i="6"/>
  <c r="AP100" i="6"/>
  <c r="AP73" i="6"/>
  <c r="AP187" i="6"/>
  <c r="AP151" i="6"/>
  <c r="AP170" i="6"/>
  <c r="AP105" i="6"/>
  <c r="AP71" i="6"/>
  <c r="AP153" i="6"/>
  <c r="AP173" i="6"/>
  <c r="AP116" i="6"/>
  <c r="AP103" i="6"/>
  <c r="AP130" i="6"/>
  <c r="AP202" i="6"/>
  <c r="AP152" i="6"/>
  <c r="AP123" i="6"/>
  <c r="AP190" i="6"/>
  <c r="AP184" i="6"/>
  <c r="AP81" i="6"/>
  <c r="AP138" i="6"/>
  <c r="AP108" i="6"/>
  <c r="AP109" i="6"/>
  <c r="AP111" i="6"/>
  <c r="AP104" i="6"/>
  <c r="AP121" i="6"/>
  <c r="AP59" i="6"/>
  <c r="AP76" i="6"/>
  <c r="AP91" i="6"/>
  <c r="AP147" i="6"/>
  <c r="AP12" i="6"/>
  <c r="AP20" i="6"/>
  <c r="AP38" i="6"/>
  <c r="AP50" i="6"/>
  <c r="AP66" i="6"/>
  <c r="AP64" i="6"/>
  <c r="AP16" i="6"/>
  <c r="AP69" i="6"/>
  <c r="AP61" i="6"/>
  <c r="AP70" i="6"/>
  <c r="AP33" i="6"/>
  <c r="AP41" i="6"/>
  <c r="AP67" i="6"/>
  <c r="AP63" i="6"/>
  <c r="K27" i="8"/>
  <c r="Q27" i="8" s="1"/>
  <c r="J21" i="8"/>
  <c r="Q21" i="8" s="1"/>
  <c r="L21" i="8"/>
  <c r="L27" i="8"/>
  <c r="M28" i="8"/>
  <c r="N28" i="8" s="1"/>
  <c r="M15" i="8"/>
  <c r="L5" i="8"/>
  <c r="L30" i="8"/>
  <c r="L25" i="8"/>
  <c r="J28" i="8"/>
  <c r="L15" i="8"/>
  <c r="K28" i="8"/>
  <c r="M21" i="8"/>
  <c r="M25" i="8"/>
  <c r="M30" i="8"/>
  <c r="K25" i="8"/>
  <c r="Q25" i="8" s="1"/>
  <c r="M27" i="8"/>
  <c r="J29" i="8"/>
  <c r="L6" i="8"/>
  <c r="J30" i="8"/>
  <c r="Q30" i="8" s="1"/>
  <c r="J15" i="8"/>
  <c r="Q15" i="8" s="1"/>
  <c r="M6" i="8"/>
  <c r="M5" i="8"/>
  <c r="L14" i="8"/>
  <c r="M14" i="8"/>
  <c r="K22" i="8"/>
  <c r="K29" i="8"/>
  <c r="Q10" i="8"/>
  <c r="J22" i="8"/>
  <c r="L22" i="8"/>
  <c r="N22" i="8" s="1"/>
  <c r="L29" i="8"/>
  <c r="N29" i="8" s="1"/>
  <c r="J23" i="8"/>
  <c r="Q12" i="8"/>
  <c r="J6" i="8"/>
  <c r="Q6" i="8" s="1"/>
  <c r="L24" i="8"/>
  <c r="M24" i="8"/>
  <c r="K17" i="8"/>
  <c r="K14" i="8"/>
  <c r="Q14" i="8" s="1"/>
  <c r="K24" i="8"/>
  <c r="Q24" i="8" s="1"/>
  <c r="K5" i="8"/>
  <c r="Q5" i="8" s="1"/>
  <c r="K8" i="8"/>
  <c r="Q8" i="8" s="1"/>
  <c r="G5" i="8"/>
  <c r="L8" i="8"/>
  <c r="J17" i="8"/>
  <c r="K11" i="8"/>
  <c r="L11" i="8"/>
  <c r="N11" i="8" s="1"/>
  <c r="L16" i="8"/>
  <c r="L23" i="8"/>
  <c r="N23" i="8" s="1"/>
  <c r="L17" i="8"/>
  <c r="N17" i="8" s="1"/>
  <c r="G28" i="8"/>
  <c r="U28" i="8" s="1"/>
  <c r="J11" i="8"/>
  <c r="K16" i="8"/>
  <c r="Q16" i="8" s="1"/>
  <c r="K23" i="8"/>
  <c r="M16" i="8"/>
  <c r="M8" i="8"/>
  <c r="G7" i="8"/>
  <c r="U7" i="8" s="1"/>
  <c r="Q26" i="8"/>
  <c r="Q32" i="8"/>
  <c r="AN5" i="6"/>
  <c r="AU5" i="6"/>
  <c r="N12" i="8"/>
  <c r="N26" i="8"/>
  <c r="N32" i="8"/>
  <c r="R10" i="7"/>
  <c r="BA7" i="6"/>
  <c r="BA12" i="6"/>
  <c r="BA6" i="6"/>
  <c r="BH6" i="6" s="1"/>
  <c r="BA11" i="6"/>
  <c r="BA9" i="6"/>
  <c r="BA8" i="6"/>
  <c r="N10" i="8"/>
  <c r="AW104" i="6" l="1"/>
  <c r="AW121" i="6"/>
  <c r="AW59" i="6"/>
  <c r="AW106" i="6"/>
  <c r="N21" i="8"/>
  <c r="R21" i="8" s="1"/>
  <c r="AW76" i="6"/>
  <c r="AW91" i="6"/>
  <c r="AW147" i="6"/>
  <c r="AW67" i="6"/>
  <c r="AW63" i="6"/>
  <c r="AW16" i="6"/>
  <c r="AW61" i="6"/>
  <c r="AW64" i="6"/>
  <c r="AW69" i="6"/>
  <c r="AW66" i="6"/>
  <c r="AW20" i="6"/>
  <c r="AW38" i="6"/>
  <c r="AW72" i="6"/>
  <c r="AW70" i="6"/>
  <c r="AW12" i="6"/>
  <c r="AW41" i="6"/>
  <c r="AW68" i="6"/>
  <c r="AW33" i="6"/>
  <c r="AW50" i="6"/>
  <c r="N15" i="8"/>
  <c r="R15" i="8" s="1"/>
  <c r="AP86" i="6"/>
  <c r="AP62" i="6"/>
  <c r="AP89" i="6"/>
  <c r="AP90" i="6"/>
  <c r="AW89" i="6"/>
  <c r="AW86" i="6"/>
  <c r="AW62" i="6"/>
  <c r="AW90" i="6"/>
  <c r="AP19" i="6"/>
  <c r="AP11" i="6"/>
  <c r="AP48" i="6"/>
  <c r="AP52" i="6"/>
  <c r="AP46" i="6"/>
  <c r="AP51" i="6"/>
  <c r="AW48" i="6"/>
  <c r="AW46" i="6"/>
  <c r="AW19" i="6"/>
  <c r="AW51" i="6"/>
  <c r="AW11" i="6"/>
  <c r="N16" i="8"/>
  <c r="R16" i="8" s="1"/>
  <c r="N8" i="8"/>
  <c r="R8" i="8" s="1"/>
  <c r="N24" i="8"/>
  <c r="R24" i="8" s="1"/>
  <c r="N14" i="8"/>
  <c r="R14" i="8" s="1"/>
  <c r="N6" i="8"/>
  <c r="R6" i="8" s="1"/>
  <c r="N25" i="8"/>
  <c r="R25" i="8" s="1"/>
  <c r="N30" i="8"/>
  <c r="R30" i="8" s="1"/>
  <c r="N5" i="8"/>
  <c r="R5" i="8" s="1"/>
  <c r="N27" i="8"/>
  <c r="R27" i="8" s="1"/>
  <c r="Q23" i="8"/>
  <c r="R23" i="8" s="1"/>
  <c r="Q28" i="8"/>
  <c r="R28" i="8" s="1"/>
  <c r="Q29" i="8"/>
  <c r="R29" i="8" s="1"/>
  <c r="Q22" i="8"/>
  <c r="R22" i="8" s="1"/>
  <c r="Q11" i="8"/>
  <c r="R11" i="8" s="1"/>
  <c r="Q17" i="8"/>
  <c r="R17" i="8" s="1"/>
  <c r="G4" i="8"/>
  <c r="U4" i="8" s="1"/>
  <c r="J19" i="8"/>
  <c r="M19" i="8"/>
  <c r="L19" i="8"/>
  <c r="K19" i="8"/>
  <c r="M7" i="8"/>
  <c r="J7" i="8"/>
  <c r="L7" i="8"/>
  <c r="K7" i="8"/>
  <c r="M9" i="8"/>
  <c r="J9" i="8"/>
  <c r="L9" i="8"/>
  <c r="K9" i="8"/>
  <c r="M35" i="8"/>
  <c r="K35" i="8"/>
  <c r="L35" i="8"/>
  <c r="J35" i="8"/>
  <c r="M20" i="8"/>
  <c r="L20" i="8"/>
  <c r="K20" i="8"/>
  <c r="J20" i="8"/>
  <c r="J34" i="8"/>
  <c r="L34" i="8"/>
  <c r="M34" i="8"/>
  <c r="K34" i="8"/>
  <c r="J33" i="8"/>
  <c r="M33" i="8"/>
  <c r="K33" i="8"/>
  <c r="L33" i="8"/>
  <c r="J4" i="8"/>
  <c r="L4" i="8"/>
  <c r="M4" i="8"/>
  <c r="K4" i="8"/>
  <c r="M13" i="8"/>
  <c r="J13" i="8"/>
  <c r="K13" i="8"/>
  <c r="L13" i="8"/>
  <c r="M18" i="8"/>
  <c r="K18" i="8"/>
  <c r="L18" i="8"/>
  <c r="J18" i="8"/>
  <c r="K31" i="8"/>
  <c r="M31" i="8"/>
  <c r="L31" i="8"/>
  <c r="J31" i="8"/>
  <c r="G17" i="8"/>
  <c r="U17" i="8" s="1"/>
  <c r="AP9" i="6"/>
  <c r="AP40" i="6"/>
  <c r="AW9" i="6"/>
  <c r="AW40" i="6"/>
  <c r="G21" i="8"/>
  <c r="U21" i="8" s="1"/>
  <c r="G8" i="8"/>
  <c r="U8" i="8" s="1"/>
  <c r="G25" i="8"/>
  <c r="U25" i="8" s="1"/>
  <c r="AP56" i="6"/>
  <c r="AP32" i="6"/>
  <c r="AW32" i="6"/>
  <c r="AW56" i="6"/>
  <c r="AP13" i="6"/>
  <c r="AW13" i="6"/>
  <c r="AP31" i="6"/>
  <c r="AP35" i="6"/>
  <c r="AW35" i="6"/>
  <c r="AW31" i="6"/>
  <c r="AP8" i="6"/>
  <c r="AP10" i="6"/>
  <c r="AP34" i="6"/>
  <c r="AW10" i="6"/>
  <c r="AW34" i="6"/>
  <c r="AW8" i="6"/>
  <c r="AP37" i="6"/>
  <c r="AP26" i="6"/>
  <c r="AP28" i="6"/>
  <c r="AW26" i="6"/>
  <c r="AW28" i="6"/>
  <c r="AW37" i="6"/>
  <c r="AP47" i="6"/>
  <c r="AW47" i="6"/>
  <c r="G14" i="8"/>
  <c r="U14" i="8" s="1"/>
  <c r="AP21" i="6"/>
  <c r="AP39" i="6"/>
  <c r="AP53" i="6"/>
  <c r="AW53" i="6"/>
  <c r="AW21" i="6"/>
  <c r="AW39" i="6"/>
  <c r="AP45" i="6"/>
  <c r="AW45" i="6"/>
  <c r="G31" i="8"/>
  <c r="U31" i="8" s="1"/>
  <c r="G9" i="8"/>
  <c r="U9" i="8" s="1"/>
  <c r="AP36" i="6"/>
  <c r="AP44" i="6"/>
  <c r="AP23" i="6"/>
  <c r="AW23" i="6"/>
  <c r="AW36" i="6"/>
  <c r="AW44" i="6"/>
  <c r="AP30" i="6"/>
  <c r="AP29" i="6"/>
  <c r="AW30" i="6"/>
  <c r="AW29" i="6"/>
  <c r="G24" i="8"/>
  <c r="U24" i="8" s="1"/>
  <c r="AP27" i="6"/>
  <c r="AW27" i="6"/>
  <c r="AW52" i="6"/>
  <c r="G29" i="8"/>
  <c r="U29" i="8" s="1"/>
  <c r="G6" i="8"/>
  <c r="U6" i="8" s="1"/>
  <c r="G10" i="8"/>
  <c r="U10" i="8" s="1"/>
  <c r="G33" i="8"/>
  <c r="U33" i="8" s="1"/>
  <c r="G32" i="8"/>
  <c r="U32" i="8" s="1"/>
  <c r="AP42" i="6"/>
  <c r="AP49" i="6"/>
  <c r="AP22" i="6"/>
  <c r="AW49" i="6"/>
  <c r="AW22" i="6"/>
  <c r="AW42" i="6"/>
  <c r="AP14" i="6"/>
  <c r="AP17" i="6"/>
  <c r="AP18" i="6"/>
  <c r="AW18" i="6"/>
  <c r="AW17" i="6"/>
  <c r="AW14" i="6"/>
  <c r="G34" i="8"/>
  <c r="U34" i="8" s="1"/>
  <c r="AW24" i="6"/>
  <c r="AP24" i="6"/>
  <c r="G18" i="8"/>
  <c r="U18" i="8" s="1"/>
  <c r="G11" i="8"/>
  <c r="U11" i="8" s="1"/>
  <c r="AW57" i="6"/>
  <c r="AW58" i="6"/>
  <c r="AP57" i="6"/>
  <c r="AP58" i="6"/>
  <c r="G19" i="8"/>
  <c r="U19" i="8" s="1"/>
  <c r="G23" i="8"/>
  <c r="U23" i="8" s="1"/>
  <c r="G16" i="8"/>
  <c r="U16" i="8" s="1"/>
  <c r="G13" i="8"/>
  <c r="U13" i="8" s="1"/>
  <c r="AP5" i="6"/>
  <c r="AP54" i="6"/>
  <c r="AP55" i="6"/>
  <c r="BC5" i="6"/>
  <c r="AW5" i="6"/>
  <c r="AZ5" i="6"/>
  <c r="BA5" i="6" s="1"/>
  <c r="BH5" i="6" s="1"/>
  <c r="AW54" i="6"/>
  <c r="AW55" i="6"/>
  <c r="G26" i="8"/>
  <c r="U26" i="8" s="1"/>
  <c r="G27" i="8"/>
  <c r="U27" i="8" s="1"/>
  <c r="G22" i="8"/>
  <c r="U22" i="8" s="1"/>
  <c r="G35" i="8"/>
  <c r="U35" i="8" s="1"/>
  <c r="G12" i="8"/>
  <c r="U12" i="8" s="1"/>
  <c r="U5" i="8"/>
  <c r="G20" i="8"/>
  <c r="U20" i="8" s="1"/>
  <c r="G15" i="8"/>
  <c r="U15" i="8" s="1"/>
  <c r="G30" i="8"/>
  <c r="U30" i="8" s="1"/>
  <c r="R12" i="8"/>
  <c r="R10" i="8"/>
  <c r="BB9" i="6"/>
  <c r="BH9" i="6"/>
  <c r="BB7" i="6"/>
  <c r="BH7" i="6"/>
  <c r="BB11" i="6"/>
  <c r="BH11" i="6"/>
  <c r="BB6" i="6"/>
  <c r="BB8" i="6"/>
  <c r="BH8" i="6"/>
  <c r="BB12" i="6"/>
  <c r="BH12" i="6"/>
  <c r="R32" i="8"/>
  <c r="R26" i="8"/>
  <c r="R11" i="7"/>
  <c r="N19" i="8" l="1"/>
  <c r="N9" i="8"/>
  <c r="N18" i="8"/>
  <c r="N35" i="8"/>
  <c r="N7" i="8"/>
  <c r="N13" i="8"/>
  <c r="N20" i="8"/>
  <c r="L36" i="8"/>
  <c r="N33" i="8"/>
  <c r="N31" i="8"/>
  <c r="M36" i="8"/>
  <c r="N34" i="8"/>
  <c r="Q13" i="8"/>
  <c r="Q9" i="8"/>
  <c r="Q19" i="8"/>
  <c r="Q33" i="8"/>
  <c r="Q18" i="8"/>
  <c r="Q35" i="8"/>
  <c r="N4" i="8"/>
  <c r="Q4" i="8"/>
  <c r="Q34" i="8"/>
  <c r="Q7" i="8"/>
  <c r="Q20" i="8"/>
  <c r="Q31" i="8"/>
  <c r="S29" i="8"/>
  <c r="S24" i="8"/>
  <c r="BB5" i="6"/>
  <c r="S8" i="8"/>
  <c r="S21" i="8"/>
  <c r="S12" i="8"/>
  <c r="S25" i="8"/>
  <c r="S22" i="8"/>
  <c r="S10" i="8"/>
  <c r="S6" i="8"/>
  <c r="S26" i="8"/>
  <c r="S16" i="8"/>
  <c r="S17" i="8"/>
  <c r="S30" i="8"/>
  <c r="S5" i="8"/>
  <c r="S32" i="8"/>
  <c r="S14" i="8"/>
  <c r="S27" i="8"/>
  <c r="S15" i="8"/>
  <c r="S28" i="8"/>
  <c r="S11" i="8"/>
  <c r="S23" i="8"/>
  <c r="R12" i="7"/>
  <c r="R19" i="8" l="1"/>
  <c r="R9" i="8"/>
  <c r="R35" i="8"/>
  <c r="R18" i="8"/>
  <c r="R7" i="8"/>
  <c r="R13" i="8"/>
  <c r="R33" i="8"/>
  <c r="R20" i="8"/>
  <c r="AI12" i="6"/>
  <c r="AX12" i="6" s="1"/>
  <c r="R31" i="8"/>
  <c r="R34" i="8"/>
  <c r="R4" i="8"/>
  <c r="AI8" i="6"/>
  <c r="AX8" i="6" s="1"/>
  <c r="AI10" i="6"/>
  <c r="AX10" i="6" s="1"/>
  <c r="AZ10" i="6" s="1"/>
  <c r="AH12" i="6"/>
  <c r="R13" i="7"/>
  <c r="AI50" i="6" l="1"/>
  <c r="AX50" i="6" s="1"/>
  <c r="AZ50" i="6" s="1"/>
  <c r="AI31" i="6"/>
  <c r="AX31" i="6" s="1"/>
  <c r="AZ31" i="6" s="1"/>
  <c r="AI73" i="6"/>
  <c r="AX73" i="6" s="1"/>
  <c r="AZ73" i="6" s="1"/>
  <c r="AI89" i="6"/>
  <c r="AX89" i="6" s="1"/>
  <c r="AZ89" i="6" s="1"/>
  <c r="AI38" i="6"/>
  <c r="AX38" i="6" s="1"/>
  <c r="AZ38" i="6" s="1"/>
  <c r="S19" i="8"/>
  <c r="AI36" i="6"/>
  <c r="AX36" i="6" s="1"/>
  <c r="AZ36" i="6" s="1"/>
  <c r="AI195" i="6"/>
  <c r="AX195" i="6" s="1"/>
  <c r="AZ195" i="6" s="1"/>
  <c r="AI49" i="6"/>
  <c r="AX49" i="6" s="1"/>
  <c r="AZ49" i="6" s="1"/>
  <c r="AI204" i="6"/>
  <c r="AX204" i="6" s="1"/>
  <c r="AZ204" i="6" s="1"/>
  <c r="AI115" i="6"/>
  <c r="AX115" i="6" s="1"/>
  <c r="AZ115" i="6" s="1"/>
  <c r="AI7" i="6"/>
  <c r="AX7" i="6" s="1"/>
  <c r="AI42" i="6"/>
  <c r="AX42" i="6" s="1"/>
  <c r="AZ42" i="6" s="1"/>
  <c r="AI11" i="6"/>
  <c r="AX11" i="6" s="1"/>
  <c r="AI178" i="6"/>
  <c r="AX178" i="6" s="1"/>
  <c r="AZ178" i="6" s="1"/>
  <c r="AI20" i="6"/>
  <c r="AX20" i="6" s="1"/>
  <c r="AZ20" i="6" s="1"/>
  <c r="AI126" i="6"/>
  <c r="AX126" i="6" s="1"/>
  <c r="AZ126" i="6" s="1"/>
  <c r="AI26" i="6"/>
  <c r="AX26" i="6" s="1"/>
  <c r="AZ26" i="6" s="1"/>
  <c r="AI133" i="6"/>
  <c r="AX133" i="6" s="1"/>
  <c r="AZ133" i="6" s="1"/>
  <c r="AI23" i="6"/>
  <c r="AX23" i="6" s="1"/>
  <c r="AZ23" i="6" s="1"/>
  <c r="AI48" i="6"/>
  <c r="AX48" i="6" s="1"/>
  <c r="AZ48" i="6" s="1"/>
  <c r="AI183" i="6"/>
  <c r="AX183" i="6" s="1"/>
  <c r="AZ183" i="6" s="1"/>
  <c r="AI127" i="6"/>
  <c r="AX127" i="6" s="1"/>
  <c r="AZ127" i="6" s="1"/>
  <c r="AI13" i="6"/>
  <c r="AX13" i="6" s="1"/>
  <c r="AZ13" i="6" s="1"/>
  <c r="AI107" i="6"/>
  <c r="AX107" i="6" s="1"/>
  <c r="AZ107" i="6" s="1"/>
  <c r="AI190" i="6"/>
  <c r="AX190" i="6" s="1"/>
  <c r="AZ190" i="6" s="1"/>
  <c r="AI105" i="6"/>
  <c r="AX105" i="6" s="1"/>
  <c r="AZ105" i="6" s="1"/>
  <c r="AI16" i="6"/>
  <c r="AX16" i="6" s="1"/>
  <c r="AZ16" i="6" s="1"/>
  <c r="AI179" i="6"/>
  <c r="AX179" i="6" s="1"/>
  <c r="AZ179" i="6" s="1"/>
  <c r="AI113" i="6"/>
  <c r="AX113" i="6" s="1"/>
  <c r="AZ113" i="6" s="1"/>
  <c r="AI68" i="6"/>
  <c r="AX68" i="6" s="1"/>
  <c r="AZ68" i="6" s="1"/>
  <c r="AI108" i="6"/>
  <c r="AX108" i="6" s="1"/>
  <c r="AZ108" i="6" s="1"/>
  <c r="AI193" i="6"/>
  <c r="AX193" i="6" s="1"/>
  <c r="AZ193" i="6" s="1"/>
  <c r="AI175" i="6"/>
  <c r="AX175" i="6" s="1"/>
  <c r="AZ175" i="6" s="1"/>
  <c r="AI60" i="6"/>
  <c r="AX60" i="6" s="1"/>
  <c r="AZ60" i="6" s="1"/>
  <c r="AI129" i="6"/>
  <c r="AX129" i="6" s="1"/>
  <c r="AZ129" i="6" s="1"/>
  <c r="AI160" i="6"/>
  <c r="AX160" i="6" s="1"/>
  <c r="AZ160" i="6" s="1"/>
  <c r="AI184" i="6"/>
  <c r="AX184" i="6" s="1"/>
  <c r="AZ184" i="6" s="1"/>
  <c r="AI120" i="6"/>
  <c r="AX120" i="6" s="1"/>
  <c r="AZ120" i="6" s="1"/>
  <c r="AI130" i="6"/>
  <c r="AX130" i="6" s="1"/>
  <c r="AZ130" i="6" s="1"/>
  <c r="AI17" i="6"/>
  <c r="AX17" i="6" s="1"/>
  <c r="AZ17" i="6" s="1"/>
  <c r="AI33" i="6"/>
  <c r="AX33" i="6" s="1"/>
  <c r="AZ33" i="6" s="1"/>
  <c r="AI191" i="6"/>
  <c r="AX191" i="6" s="1"/>
  <c r="AZ191" i="6" s="1"/>
  <c r="AI185" i="6"/>
  <c r="AX185" i="6" s="1"/>
  <c r="AZ185" i="6" s="1"/>
  <c r="AI140" i="6"/>
  <c r="AX140" i="6" s="1"/>
  <c r="AZ140" i="6" s="1"/>
  <c r="AI43" i="6"/>
  <c r="AX43" i="6" s="1"/>
  <c r="AZ43" i="6" s="1"/>
  <c r="AI71" i="6"/>
  <c r="AX71" i="6" s="1"/>
  <c r="AZ71" i="6" s="1"/>
  <c r="S9" i="8"/>
  <c r="AI21" i="6"/>
  <c r="AX21" i="6" s="1"/>
  <c r="AZ21" i="6" s="1"/>
  <c r="AI145" i="6"/>
  <c r="AX145" i="6" s="1"/>
  <c r="AZ145" i="6" s="1"/>
  <c r="AI91" i="6"/>
  <c r="AX91" i="6" s="1"/>
  <c r="AZ91" i="6" s="1"/>
  <c r="AI67" i="6"/>
  <c r="AX67" i="6" s="1"/>
  <c r="AZ67" i="6" s="1"/>
  <c r="AI27" i="6"/>
  <c r="AX27" i="6" s="1"/>
  <c r="AZ27" i="6" s="1"/>
  <c r="AI94" i="6"/>
  <c r="AX94" i="6" s="1"/>
  <c r="AZ94" i="6" s="1"/>
  <c r="AI86" i="6"/>
  <c r="AX86" i="6" s="1"/>
  <c r="AZ86" i="6" s="1"/>
  <c r="AI35" i="6"/>
  <c r="AX35" i="6" s="1"/>
  <c r="AZ35" i="6" s="1"/>
  <c r="AI142" i="6"/>
  <c r="AX142" i="6" s="1"/>
  <c r="AZ142" i="6" s="1"/>
  <c r="AI14" i="6"/>
  <c r="AX14" i="6" s="1"/>
  <c r="AZ14" i="6" s="1"/>
  <c r="AI173" i="6"/>
  <c r="AX173" i="6" s="1"/>
  <c r="AZ173" i="6" s="1"/>
  <c r="AI114" i="6"/>
  <c r="AX114" i="6" s="1"/>
  <c r="AZ114" i="6" s="1"/>
  <c r="AI85" i="6"/>
  <c r="AX85" i="6" s="1"/>
  <c r="AZ85" i="6" s="1"/>
  <c r="AI123" i="6"/>
  <c r="AX123" i="6" s="1"/>
  <c r="AZ123" i="6" s="1"/>
  <c r="AI166" i="6"/>
  <c r="AX166" i="6" s="1"/>
  <c r="AZ166" i="6" s="1"/>
  <c r="AI157" i="6"/>
  <c r="AX157" i="6" s="1"/>
  <c r="AZ157" i="6" s="1"/>
  <c r="AI124" i="6"/>
  <c r="AX124" i="6" s="1"/>
  <c r="AZ124" i="6" s="1"/>
  <c r="AI182" i="6"/>
  <c r="AX182" i="6" s="1"/>
  <c r="AZ182" i="6" s="1"/>
  <c r="AI200" i="6"/>
  <c r="AX200" i="6" s="1"/>
  <c r="AZ200" i="6" s="1"/>
  <c r="AI30" i="6"/>
  <c r="AX30" i="6" s="1"/>
  <c r="AZ30" i="6" s="1"/>
  <c r="AI155" i="6"/>
  <c r="AX155" i="6" s="1"/>
  <c r="AZ155" i="6" s="1"/>
  <c r="AI162" i="6"/>
  <c r="AX162" i="6" s="1"/>
  <c r="AZ162" i="6" s="1"/>
  <c r="AI39" i="6"/>
  <c r="AX39" i="6" s="1"/>
  <c r="AZ39" i="6" s="1"/>
  <c r="AI56" i="6"/>
  <c r="AX56" i="6" s="1"/>
  <c r="AZ56" i="6" s="1"/>
  <c r="AI148" i="6"/>
  <c r="AX148" i="6" s="1"/>
  <c r="AZ148" i="6" s="1"/>
  <c r="AI102" i="6"/>
  <c r="AX102" i="6" s="1"/>
  <c r="AZ102" i="6" s="1"/>
  <c r="AI83" i="6"/>
  <c r="AX83" i="6" s="1"/>
  <c r="AZ83" i="6" s="1"/>
  <c r="AI192" i="6"/>
  <c r="AX192" i="6" s="1"/>
  <c r="AZ192" i="6" s="1"/>
  <c r="AI152" i="6"/>
  <c r="AX152" i="6" s="1"/>
  <c r="AZ152" i="6" s="1"/>
  <c r="AI181" i="6"/>
  <c r="AX181" i="6" s="1"/>
  <c r="AZ181" i="6" s="1"/>
  <c r="AI197" i="6"/>
  <c r="AX197" i="6" s="1"/>
  <c r="AZ197" i="6" s="1"/>
  <c r="AI163" i="6"/>
  <c r="AX163" i="6" s="1"/>
  <c r="AZ163" i="6" s="1"/>
  <c r="AI141" i="6"/>
  <c r="AX141" i="6" s="1"/>
  <c r="AZ141" i="6" s="1"/>
  <c r="AI154" i="6"/>
  <c r="AX154" i="6" s="1"/>
  <c r="AZ154" i="6" s="1"/>
  <c r="AI177" i="6"/>
  <c r="AX177" i="6" s="1"/>
  <c r="AZ177" i="6" s="1"/>
  <c r="AI188" i="6"/>
  <c r="AX188" i="6" s="1"/>
  <c r="AZ188" i="6" s="1"/>
  <c r="AI165" i="6"/>
  <c r="AX165" i="6" s="1"/>
  <c r="AZ165" i="6" s="1"/>
  <c r="AI144" i="6"/>
  <c r="AX144" i="6" s="1"/>
  <c r="AZ144" i="6" s="1"/>
  <c r="AI6" i="6"/>
  <c r="AX6" i="6" s="1"/>
  <c r="AI143" i="6"/>
  <c r="AX143" i="6" s="1"/>
  <c r="AZ143" i="6" s="1"/>
  <c r="AI72" i="6"/>
  <c r="AX72" i="6" s="1"/>
  <c r="AZ72" i="6" s="1"/>
  <c r="AI170" i="6"/>
  <c r="AX170" i="6" s="1"/>
  <c r="AZ170" i="6" s="1"/>
  <c r="AI196" i="6"/>
  <c r="AX196" i="6" s="1"/>
  <c r="AZ196" i="6" s="1"/>
  <c r="AI77" i="6"/>
  <c r="AX77" i="6" s="1"/>
  <c r="AZ77" i="6" s="1"/>
  <c r="AI22" i="6"/>
  <c r="AX22" i="6" s="1"/>
  <c r="AZ22" i="6" s="1"/>
  <c r="AI169" i="6"/>
  <c r="AX169" i="6" s="1"/>
  <c r="AZ169" i="6" s="1"/>
  <c r="S35" i="8"/>
  <c r="AI55" i="6"/>
  <c r="AX55" i="6" s="1"/>
  <c r="AZ55" i="6" s="1"/>
  <c r="S18" i="8"/>
  <c r="AI134" i="6"/>
  <c r="AX134" i="6" s="1"/>
  <c r="AZ134" i="6" s="1"/>
  <c r="AI156" i="6"/>
  <c r="AX156" i="6" s="1"/>
  <c r="AZ156" i="6" s="1"/>
  <c r="AI88" i="6"/>
  <c r="AX88" i="6" s="1"/>
  <c r="AZ88" i="6" s="1"/>
  <c r="AI150" i="6"/>
  <c r="AX150" i="6" s="1"/>
  <c r="AZ150" i="6" s="1"/>
  <c r="AI84" i="6"/>
  <c r="AX84" i="6" s="1"/>
  <c r="AZ84" i="6" s="1"/>
  <c r="AI147" i="6"/>
  <c r="AX147" i="6" s="1"/>
  <c r="AZ147" i="6" s="1"/>
  <c r="AI75" i="6"/>
  <c r="AX75" i="6" s="1"/>
  <c r="AZ75" i="6" s="1"/>
  <c r="AI57" i="6"/>
  <c r="AX57" i="6" s="1"/>
  <c r="AZ57" i="6" s="1"/>
  <c r="AI52" i="6"/>
  <c r="AX52" i="6" s="1"/>
  <c r="AZ52" i="6" s="1"/>
  <c r="AI161" i="6"/>
  <c r="AX161" i="6" s="1"/>
  <c r="AZ161" i="6" s="1"/>
  <c r="AI168" i="6"/>
  <c r="AX168" i="6" s="1"/>
  <c r="AZ168" i="6" s="1"/>
  <c r="AI53" i="6"/>
  <c r="AX53" i="6" s="1"/>
  <c r="AZ53" i="6" s="1"/>
  <c r="AI174" i="6"/>
  <c r="AX174" i="6" s="1"/>
  <c r="AZ174" i="6" s="1"/>
  <c r="AI65" i="6"/>
  <c r="AX65" i="6" s="1"/>
  <c r="AZ65" i="6" s="1"/>
  <c r="AI93" i="6"/>
  <c r="AX93" i="6" s="1"/>
  <c r="AZ93" i="6" s="1"/>
  <c r="AI19" i="6"/>
  <c r="AX19" i="6" s="1"/>
  <c r="AZ19" i="6" s="1"/>
  <c r="AI41" i="6"/>
  <c r="AX41" i="6" s="1"/>
  <c r="AZ41" i="6" s="1"/>
  <c r="AI40" i="6"/>
  <c r="AX40" i="6" s="1"/>
  <c r="AZ40" i="6" s="1"/>
  <c r="AI180" i="6"/>
  <c r="AX180" i="6" s="1"/>
  <c r="AZ180" i="6" s="1"/>
  <c r="AI9" i="6"/>
  <c r="AX9" i="6" s="1"/>
  <c r="AI167" i="6"/>
  <c r="AX167" i="6" s="1"/>
  <c r="AZ167" i="6" s="1"/>
  <c r="AI61" i="6"/>
  <c r="AX61" i="6" s="1"/>
  <c r="AZ61" i="6" s="1"/>
  <c r="AI90" i="6"/>
  <c r="AX90" i="6" s="1"/>
  <c r="AZ90" i="6" s="1"/>
  <c r="AI81" i="6"/>
  <c r="AX81" i="6" s="1"/>
  <c r="AZ81" i="6" s="1"/>
  <c r="AI66" i="6"/>
  <c r="AX66" i="6" s="1"/>
  <c r="AZ66" i="6" s="1"/>
  <c r="AI32" i="6"/>
  <c r="AX32" i="6" s="1"/>
  <c r="AZ32" i="6" s="1"/>
  <c r="AI98" i="6"/>
  <c r="AX98" i="6" s="1"/>
  <c r="AZ98" i="6" s="1"/>
  <c r="AI172" i="6"/>
  <c r="AX172" i="6" s="1"/>
  <c r="AZ172" i="6" s="1"/>
  <c r="AI201" i="6"/>
  <c r="AX201" i="6" s="1"/>
  <c r="AZ201" i="6" s="1"/>
  <c r="AI99" i="6"/>
  <c r="AX99" i="6" s="1"/>
  <c r="AZ99" i="6" s="1"/>
  <c r="AI117" i="6"/>
  <c r="AX117" i="6" s="1"/>
  <c r="AZ117" i="6" s="1"/>
  <c r="AI151" i="6"/>
  <c r="AX151" i="6" s="1"/>
  <c r="AZ151" i="6" s="1"/>
  <c r="AI109" i="6"/>
  <c r="AX109" i="6" s="1"/>
  <c r="AZ109" i="6" s="1"/>
  <c r="AI205" i="6"/>
  <c r="AX205" i="6" s="1"/>
  <c r="AZ205" i="6" s="1"/>
  <c r="AI82" i="6"/>
  <c r="AX82" i="6" s="1"/>
  <c r="AZ82" i="6" s="1"/>
  <c r="AI116" i="6"/>
  <c r="AX116" i="6" s="1"/>
  <c r="AZ116" i="6" s="1"/>
  <c r="AI76" i="6"/>
  <c r="AX76" i="6" s="1"/>
  <c r="AZ76" i="6" s="1"/>
  <c r="AI119" i="6"/>
  <c r="AX119" i="6" s="1"/>
  <c r="AZ119" i="6" s="1"/>
  <c r="AI131" i="6"/>
  <c r="AX131" i="6" s="1"/>
  <c r="AZ131" i="6" s="1"/>
  <c r="AI28" i="6"/>
  <c r="AX28" i="6" s="1"/>
  <c r="AZ28" i="6" s="1"/>
  <c r="AI5" i="6"/>
  <c r="AX5" i="6" s="1"/>
  <c r="AI74" i="6"/>
  <c r="AX74" i="6" s="1"/>
  <c r="AZ74" i="6" s="1"/>
  <c r="AI110" i="6"/>
  <c r="AX110" i="6" s="1"/>
  <c r="AZ110" i="6" s="1"/>
  <c r="AI189" i="6"/>
  <c r="AX189" i="6" s="1"/>
  <c r="AZ189" i="6" s="1"/>
  <c r="AI18" i="6"/>
  <c r="AX18" i="6" s="1"/>
  <c r="AZ18" i="6" s="1"/>
  <c r="AI24" i="6"/>
  <c r="AX24" i="6" s="1"/>
  <c r="AZ24" i="6" s="1"/>
  <c r="S7" i="8"/>
  <c r="S13" i="8"/>
  <c r="AI44" i="6"/>
  <c r="AX44" i="6" s="1"/>
  <c r="AZ44" i="6" s="1"/>
  <c r="AI54" i="6"/>
  <c r="AX54" i="6" s="1"/>
  <c r="AZ54" i="6" s="1"/>
  <c r="AI70" i="6"/>
  <c r="AX70" i="6" s="1"/>
  <c r="AZ70" i="6" s="1"/>
  <c r="AI121" i="6"/>
  <c r="AX121" i="6" s="1"/>
  <c r="AZ121" i="6" s="1"/>
  <c r="AI97" i="6"/>
  <c r="AX97" i="6" s="1"/>
  <c r="AZ97" i="6" s="1"/>
  <c r="AI59" i="6"/>
  <c r="AX59" i="6" s="1"/>
  <c r="AZ59" i="6" s="1"/>
  <c r="AI112" i="6"/>
  <c r="AX112" i="6" s="1"/>
  <c r="AZ112" i="6" s="1"/>
  <c r="AI96" i="6"/>
  <c r="AX96" i="6" s="1"/>
  <c r="AZ96" i="6" s="1"/>
  <c r="AI158" i="6"/>
  <c r="AX158" i="6" s="1"/>
  <c r="AZ158" i="6" s="1"/>
  <c r="AI149" i="6"/>
  <c r="AX149" i="6" s="1"/>
  <c r="AZ149" i="6" s="1"/>
  <c r="AI194" i="6"/>
  <c r="AX194" i="6" s="1"/>
  <c r="AZ194" i="6" s="1"/>
  <c r="AI146" i="6"/>
  <c r="AX146" i="6" s="1"/>
  <c r="AZ146" i="6" s="1"/>
  <c r="AI153" i="6"/>
  <c r="AX153" i="6" s="1"/>
  <c r="AZ153" i="6" s="1"/>
  <c r="AI104" i="6"/>
  <c r="AX104" i="6" s="1"/>
  <c r="AZ104" i="6" s="1"/>
  <c r="AI106" i="6"/>
  <c r="AX106" i="6" s="1"/>
  <c r="AZ106" i="6" s="1"/>
  <c r="AI69" i="6"/>
  <c r="AX69" i="6" s="1"/>
  <c r="AZ69" i="6" s="1"/>
  <c r="AL163" i="6"/>
  <c r="AN163" i="6" s="1"/>
  <c r="AI202" i="6"/>
  <c r="AX202" i="6" s="1"/>
  <c r="AZ202" i="6" s="1"/>
  <c r="AI103" i="6"/>
  <c r="AX103" i="6" s="1"/>
  <c r="AZ103" i="6" s="1"/>
  <c r="AI128" i="6"/>
  <c r="AX128" i="6" s="1"/>
  <c r="AZ128" i="6" s="1"/>
  <c r="AI132" i="6"/>
  <c r="AX132" i="6" s="1"/>
  <c r="AZ132" i="6" s="1"/>
  <c r="AI187" i="6"/>
  <c r="AX187" i="6" s="1"/>
  <c r="AZ187" i="6" s="1"/>
  <c r="AI63" i="6"/>
  <c r="AX63" i="6" s="1"/>
  <c r="AZ63" i="6" s="1"/>
  <c r="AI95" i="6"/>
  <c r="AX95" i="6" s="1"/>
  <c r="AZ95" i="6" s="1"/>
  <c r="AI159" i="6"/>
  <c r="AX159" i="6" s="1"/>
  <c r="AZ159" i="6" s="1"/>
  <c r="AI186" i="6"/>
  <c r="AX186" i="6" s="1"/>
  <c r="AZ186" i="6" s="1"/>
  <c r="S33" i="8"/>
  <c r="S20" i="8"/>
  <c r="AI34" i="6"/>
  <c r="AX34" i="6" s="1"/>
  <c r="AZ34" i="6" s="1"/>
  <c r="AI118" i="6"/>
  <c r="AX118" i="6" s="1"/>
  <c r="AZ118" i="6" s="1"/>
  <c r="AI122" i="6"/>
  <c r="AX122" i="6" s="1"/>
  <c r="AZ122" i="6" s="1"/>
  <c r="AI51" i="6"/>
  <c r="AX51" i="6" s="1"/>
  <c r="AZ51" i="6" s="1"/>
  <c r="AI15" i="6"/>
  <c r="AX15" i="6" s="1"/>
  <c r="AZ15" i="6" s="1"/>
  <c r="AI37" i="6"/>
  <c r="AX37" i="6" s="1"/>
  <c r="AZ37" i="6" s="1"/>
  <c r="AI87" i="6"/>
  <c r="AX87" i="6" s="1"/>
  <c r="AZ87" i="6" s="1"/>
  <c r="AI58" i="6"/>
  <c r="AX58" i="6" s="1"/>
  <c r="AZ58" i="6" s="1"/>
  <c r="AI62" i="6"/>
  <c r="AX62" i="6" s="1"/>
  <c r="AZ62" i="6" s="1"/>
  <c r="AI138" i="6"/>
  <c r="AX138" i="6" s="1"/>
  <c r="AZ138" i="6" s="1"/>
  <c r="AI125" i="6"/>
  <c r="AX125" i="6" s="1"/>
  <c r="AZ125" i="6" s="1"/>
  <c r="AI171" i="6"/>
  <c r="AX171" i="6" s="1"/>
  <c r="AZ171" i="6" s="1"/>
  <c r="N5" i="21"/>
  <c r="AI45" i="6"/>
  <c r="AX45" i="6" s="1"/>
  <c r="AZ45" i="6" s="1"/>
  <c r="AI136" i="6"/>
  <c r="AX136" i="6" s="1"/>
  <c r="AZ136" i="6" s="1"/>
  <c r="S34" i="8"/>
  <c r="AI78" i="6"/>
  <c r="AX78" i="6" s="1"/>
  <c r="AZ78" i="6" s="1"/>
  <c r="AI111" i="6"/>
  <c r="AX111" i="6" s="1"/>
  <c r="AZ111" i="6" s="1"/>
  <c r="AI100" i="6"/>
  <c r="AX100" i="6" s="1"/>
  <c r="AZ100" i="6" s="1"/>
  <c r="AI101" i="6"/>
  <c r="AX101" i="6" s="1"/>
  <c r="AZ101" i="6" s="1"/>
  <c r="S31" i="8"/>
  <c r="AI199" i="6"/>
  <c r="AX199" i="6" s="1"/>
  <c r="AZ199" i="6" s="1"/>
  <c r="AI92" i="6"/>
  <c r="AX92" i="6" s="1"/>
  <c r="AZ92" i="6" s="1"/>
  <c r="AI25" i="6"/>
  <c r="AX25" i="6" s="1"/>
  <c r="AZ25" i="6" s="1"/>
  <c r="AI80" i="6"/>
  <c r="AX80" i="6" s="1"/>
  <c r="AZ80" i="6" s="1"/>
  <c r="AI198" i="6"/>
  <c r="AX198" i="6" s="1"/>
  <c r="AZ198" i="6" s="1"/>
  <c r="AI64" i="6"/>
  <c r="AX64" i="6" s="1"/>
  <c r="AZ64" i="6" s="1"/>
  <c r="AI135" i="6"/>
  <c r="AX135" i="6" s="1"/>
  <c r="AZ135" i="6" s="1"/>
  <c r="AI176" i="6"/>
  <c r="AX176" i="6" s="1"/>
  <c r="AZ176" i="6" s="1"/>
  <c r="AI203" i="6"/>
  <c r="AX203" i="6" s="1"/>
  <c r="AZ203" i="6" s="1"/>
  <c r="AL142" i="6"/>
  <c r="AN142" i="6" s="1"/>
  <c r="AI139" i="6"/>
  <c r="AX139" i="6" s="1"/>
  <c r="AZ139" i="6" s="1"/>
  <c r="AI206" i="6"/>
  <c r="AX206" i="6" s="1"/>
  <c r="AZ206" i="6" s="1"/>
  <c r="AI164" i="6"/>
  <c r="AX164" i="6" s="1"/>
  <c r="AZ164" i="6" s="1"/>
  <c r="AI137" i="6"/>
  <c r="AX137" i="6" s="1"/>
  <c r="AZ137" i="6" s="1"/>
  <c r="AI79" i="6"/>
  <c r="AX79" i="6" s="1"/>
  <c r="AZ79" i="6" s="1"/>
  <c r="AI29" i="6"/>
  <c r="AX29" i="6" s="1"/>
  <c r="AZ29" i="6" s="1"/>
  <c r="AI46" i="6"/>
  <c r="AX46" i="6" s="1"/>
  <c r="AZ46" i="6" s="1"/>
  <c r="S4" i="8"/>
  <c r="AI47" i="6"/>
  <c r="AX47" i="6" s="1"/>
  <c r="AZ47" i="6" s="1"/>
  <c r="AH8" i="6"/>
  <c r="AQ8" i="6" s="1"/>
  <c r="AS8" i="6" s="1"/>
  <c r="H6" i="21"/>
  <c r="AQ12" i="6"/>
  <c r="AS12" i="6" s="1"/>
  <c r="AL12" i="6"/>
  <c r="R14" i="7"/>
  <c r="AH160" i="6" l="1"/>
  <c r="AQ160" i="6" s="1"/>
  <c r="AS160" i="6" s="1"/>
  <c r="AU160" i="6" s="1"/>
  <c r="AH50" i="6"/>
  <c r="AL50" i="6" s="1"/>
  <c r="AN50" i="6" s="1"/>
  <c r="AH31" i="6"/>
  <c r="AQ31" i="6" s="1"/>
  <c r="AS31" i="6" s="1"/>
  <c r="AU31" i="6" s="1"/>
  <c r="AH33" i="6"/>
  <c r="AQ33" i="6" s="1"/>
  <c r="AS33" i="6" s="1"/>
  <c r="AU33" i="6" s="1"/>
  <c r="AH178" i="6"/>
  <c r="AQ178" i="6" s="1"/>
  <c r="AS178" i="6" s="1"/>
  <c r="AU178" i="6" s="1"/>
  <c r="BA178" i="6" s="1"/>
  <c r="BB178" i="6" s="1"/>
  <c r="AH11" i="6"/>
  <c r="AQ11" i="6" s="1"/>
  <c r="AS11" i="6" s="1"/>
  <c r="N8" i="21"/>
  <c r="AH38" i="6"/>
  <c r="AL38" i="6" s="1"/>
  <c r="AN38" i="6" s="1"/>
  <c r="N12" i="21"/>
  <c r="AH36" i="6"/>
  <c r="AL36" i="6" s="1"/>
  <c r="AN36" i="6" s="1"/>
  <c r="AH195" i="6"/>
  <c r="AQ195" i="6" s="1"/>
  <c r="AS195" i="6" s="1"/>
  <c r="AU195" i="6" s="1"/>
  <c r="BA195" i="6" s="1"/>
  <c r="BB195" i="6" s="1"/>
  <c r="AH127" i="6"/>
  <c r="AL127" i="6" s="1"/>
  <c r="AN127" i="6" s="1"/>
  <c r="AH42" i="6"/>
  <c r="AQ42" i="6" s="1"/>
  <c r="AS42" i="6" s="1"/>
  <c r="AU42" i="6" s="1"/>
  <c r="N4" i="21"/>
  <c r="N10" i="21"/>
  <c r="AH126" i="6"/>
  <c r="AQ126" i="6" s="1"/>
  <c r="AS126" i="6" s="1"/>
  <c r="AU126" i="6" s="1"/>
  <c r="AH105" i="6"/>
  <c r="AQ105" i="6" s="1"/>
  <c r="AS105" i="6" s="1"/>
  <c r="AU105" i="6" s="1"/>
  <c r="AH7" i="6"/>
  <c r="AQ7" i="6" s="1"/>
  <c r="AS7" i="6" s="1"/>
  <c r="AH133" i="6"/>
  <c r="AQ133" i="6" s="1"/>
  <c r="AS133" i="6" s="1"/>
  <c r="AU133" i="6" s="1"/>
  <c r="AH26" i="6"/>
  <c r="AL26" i="6" s="1"/>
  <c r="AN26" i="6" s="1"/>
  <c r="AH16" i="6"/>
  <c r="AL16" i="6" s="1"/>
  <c r="AN16" i="6" s="1"/>
  <c r="AH13" i="6"/>
  <c r="AQ13" i="6" s="1"/>
  <c r="AS13" i="6" s="1"/>
  <c r="AU13" i="6" s="1"/>
  <c r="AH183" i="6"/>
  <c r="AQ183" i="6" s="1"/>
  <c r="AS183" i="6" s="1"/>
  <c r="AU183" i="6" s="1"/>
  <c r="BA183" i="6" s="1"/>
  <c r="BH183" i="6" s="1"/>
  <c r="AH113" i="6"/>
  <c r="AH190" i="6"/>
  <c r="AQ190" i="6" s="1"/>
  <c r="AS190" i="6" s="1"/>
  <c r="AU190" i="6" s="1"/>
  <c r="BA190" i="6" s="1"/>
  <c r="AH179" i="6"/>
  <c r="AQ179" i="6" s="1"/>
  <c r="AS179" i="6" s="1"/>
  <c r="AU179" i="6" s="1"/>
  <c r="BA179" i="6" s="1"/>
  <c r="BH179" i="6" s="1"/>
  <c r="AH94" i="6"/>
  <c r="AQ94" i="6" s="1"/>
  <c r="AS94" i="6" s="1"/>
  <c r="AU94" i="6" s="1"/>
  <c r="AH204" i="6"/>
  <c r="AQ204" i="6" s="1"/>
  <c r="AS204" i="6" s="1"/>
  <c r="AU204" i="6" s="1"/>
  <c r="BA204" i="6" s="1"/>
  <c r="BH204" i="6" s="1"/>
  <c r="AH114" i="6"/>
  <c r="AQ114" i="6" s="1"/>
  <c r="AS114" i="6" s="1"/>
  <c r="AU114" i="6" s="1"/>
  <c r="AH23" i="6"/>
  <c r="AQ23" i="6" s="1"/>
  <c r="AS23" i="6" s="1"/>
  <c r="AU23" i="6" s="1"/>
  <c r="AH175" i="6"/>
  <c r="AQ175" i="6" s="1"/>
  <c r="AS175" i="6" s="1"/>
  <c r="AU175" i="6" s="1"/>
  <c r="BA175" i="6" s="1"/>
  <c r="BB175" i="6" s="1"/>
  <c r="AH115" i="6"/>
  <c r="AQ115" i="6" s="1"/>
  <c r="AS115" i="6" s="1"/>
  <c r="AU115" i="6" s="1"/>
  <c r="AH68" i="6"/>
  <c r="AQ68" i="6" s="1"/>
  <c r="AS68" i="6" s="1"/>
  <c r="AU68" i="6" s="1"/>
  <c r="AH107" i="6"/>
  <c r="AQ107" i="6" s="1"/>
  <c r="AS107" i="6" s="1"/>
  <c r="AU107" i="6" s="1"/>
  <c r="AH10" i="6"/>
  <c r="AQ10" i="6" s="1"/>
  <c r="AS10" i="6" s="1"/>
  <c r="AH108" i="6"/>
  <c r="AQ108" i="6" s="1"/>
  <c r="AS108" i="6" s="1"/>
  <c r="AU108" i="6" s="1"/>
  <c r="AH130" i="6"/>
  <c r="AH191" i="6"/>
  <c r="AQ191" i="6" s="1"/>
  <c r="AS191" i="6" s="1"/>
  <c r="AU191" i="6" s="1"/>
  <c r="BA191" i="6" s="1"/>
  <c r="BH191" i="6" s="1"/>
  <c r="AH193" i="6"/>
  <c r="AQ193" i="6" s="1"/>
  <c r="AS193" i="6" s="1"/>
  <c r="AU193" i="6" s="1"/>
  <c r="BA193" i="6" s="1"/>
  <c r="AH185" i="6"/>
  <c r="AQ185" i="6" s="1"/>
  <c r="AS185" i="6" s="1"/>
  <c r="AU185" i="6" s="1"/>
  <c r="BA185" i="6" s="1"/>
  <c r="BH185" i="6" s="1"/>
  <c r="AH120" i="6"/>
  <c r="AH39" i="6"/>
  <c r="AQ39" i="6" s="1"/>
  <c r="AS39" i="6" s="1"/>
  <c r="AU39" i="6" s="1"/>
  <c r="AH48" i="6"/>
  <c r="AQ48" i="6" s="1"/>
  <c r="AS48" i="6" s="1"/>
  <c r="AU48" i="6" s="1"/>
  <c r="AH60" i="6"/>
  <c r="AQ60" i="6" s="1"/>
  <c r="AS60" i="6" s="1"/>
  <c r="AU60" i="6" s="1"/>
  <c r="AH89" i="6"/>
  <c r="AQ89" i="6" s="1"/>
  <c r="AS89" i="6" s="1"/>
  <c r="AU89" i="6" s="1"/>
  <c r="AH49" i="6"/>
  <c r="AQ49" i="6" s="1"/>
  <c r="AS49" i="6" s="1"/>
  <c r="AU49" i="6" s="1"/>
  <c r="AH17" i="6"/>
  <c r="AQ17" i="6" s="1"/>
  <c r="AS17" i="6" s="1"/>
  <c r="AU17" i="6" s="1"/>
  <c r="AH67" i="6"/>
  <c r="AL67" i="6" s="1"/>
  <c r="AN67" i="6" s="1"/>
  <c r="AH145" i="6"/>
  <c r="AQ145" i="6" s="1"/>
  <c r="AS145" i="6" s="1"/>
  <c r="AU145" i="6" s="1"/>
  <c r="AH71" i="6"/>
  <c r="AL71" i="6" s="1"/>
  <c r="AN71" i="6" s="1"/>
  <c r="AH184" i="6"/>
  <c r="AQ184" i="6" s="1"/>
  <c r="AS184" i="6" s="1"/>
  <c r="AU184" i="6" s="1"/>
  <c r="BA184" i="6" s="1"/>
  <c r="BB184" i="6" s="1"/>
  <c r="AH21" i="6"/>
  <c r="AQ21" i="6" s="1"/>
  <c r="AS21" i="6" s="1"/>
  <c r="AU21" i="6" s="1"/>
  <c r="AH35" i="6"/>
  <c r="AQ35" i="6" s="1"/>
  <c r="AS35" i="6" s="1"/>
  <c r="AU35" i="6" s="1"/>
  <c r="AH55" i="6"/>
  <c r="AQ55" i="6" s="1"/>
  <c r="AS55" i="6" s="1"/>
  <c r="AU55" i="6" s="1"/>
  <c r="AH86" i="6"/>
  <c r="AQ86" i="6" s="1"/>
  <c r="AS86" i="6" s="1"/>
  <c r="AU86" i="6" s="1"/>
  <c r="AH63" i="6"/>
  <c r="AQ63" i="6" s="1"/>
  <c r="AS63" i="6" s="1"/>
  <c r="AU63" i="6" s="1"/>
  <c r="AH14" i="6"/>
  <c r="AQ14" i="6" s="1"/>
  <c r="AS14" i="6" s="1"/>
  <c r="AU14" i="6" s="1"/>
  <c r="AH91" i="6"/>
  <c r="AL91" i="6" s="1"/>
  <c r="AN91" i="6" s="1"/>
  <c r="AH140" i="6"/>
  <c r="AQ140" i="6" s="1"/>
  <c r="AS140" i="6" s="1"/>
  <c r="AU140" i="6" s="1"/>
  <c r="AH157" i="6"/>
  <c r="AH129" i="6"/>
  <c r="AQ129" i="6" s="1"/>
  <c r="AS129" i="6" s="1"/>
  <c r="AU129" i="6" s="1"/>
  <c r="AH124" i="6"/>
  <c r="AH173" i="6"/>
  <c r="AQ173" i="6" s="1"/>
  <c r="AS173" i="6" s="1"/>
  <c r="AU173" i="6" s="1"/>
  <c r="BA173" i="6" s="1"/>
  <c r="AH27" i="6"/>
  <c r="AQ27" i="6" s="1"/>
  <c r="AS27" i="6" s="1"/>
  <c r="AU27" i="6" s="1"/>
  <c r="AH182" i="6"/>
  <c r="AQ182" i="6" s="1"/>
  <c r="AS182" i="6" s="1"/>
  <c r="AU182" i="6" s="1"/>
  <c r="BA182" i="6" s="1"/>
  <c r="AH166" i="6"/>
  <c r="AQ166" i="6" s="1"/>
  <c r="AS166" i="6" s="1"/>
  <c r="AU166" i="6" s="1"/>
  <c r="BA166" i="6" s="1"/>
  <c r="AH142" i="6"/>
  <c r="AQ142" i="6" s="1"/>
  <c r="AS142" i="6" s="1"/>
  <c r="AU142" i="6" s="1"/>
  <c r="BA142" i="6" s="1"/>
  <c r="AH170" i="6"/>
  <c r="AQ170" i="6" s="1"/>
  <c r="AS170" i="6" s="1"/>
  <c r="AU170" i="6" s="1"/>
  <c r="BA170" i="6" s="1"/>
  <c r="BH170" i="6" s="1"/>
  <c r="AH30" i="6"/>
  <c r="AQ30" i="6" s="1"/>
  <c r="AS30" i="6" s="1"/>
  <c r="AU30" i="6" s="1"/>
  <c r="AH73" i="6"/>
  <c r="AL73" i="6" s="1"/>
  <c r="AN73" i="6" s="1"/>
  <c r="AH85" i="6"/>
  <c r="AQ85" i="6" s="1"/>
  <c r="AS85" i="6" s="1"/>
  <c r="AU85" i="6" s="1"/>
  <c r="AH162" i="6"/>
  <c r="AQ162" i="6" s="1"/>
  <c r="AS162" i="6" s="1"/>
  <c r="AU162" i="6" s="1"/>
  <c r="AH148" i="6"/>
  <c r="AL148" i="6" s="1"/>
  <c r="AN148" i="6" s="1"/>
  <c r="AH155" i="6"/>
  <c r="AL155" i="6" s="1"/>
  <c r="AN155" i="6" s="1"/>
  <c r="AH6" i="6"/>
  <c r="AQ6" i="6" s="1"/>
  <c r="AS6" i="6" s="1"/>
  <c r="AH181" i="6"/>
  <c r="AQ181" i="6" s="1"/>
  <c r="AS181" i="6" s="1"/>
  <c r="AU181" i="6" s="1"/>
  <c r="BA181" i="6" s="1"/>
  <c r="BB181" i="6" s="1"/>
  <c r="N9" i="21"/>
  <c r="AH143" i="6"/>
  <c r="AL143" i="6" s="1"/>
  <c r="AN143" i="6" s="1"/>
  <c r="AH200" i="6"/>
  <c r="AQ200" i="6" s="1"/>
  <c r="AS200" i="6" s="1"/>
  <c r="AU200" i="6" s="1"/>
  <c r="BA200" i="6" s="1"/>
  <c r="BH200" i="6" s="1"/>
  <c r="AH72" i="6"/>
  <c r="AQ72" i="6" s="1"/>
  <c r="AS72" i="6" s="1"/>
  <c r="AU72" i="6" s="1"/>
  <c r="AH192" i="6"/>
  <c r="AQ192" i="6" s="1"/>
  <c r="AS192" i="6" s="1"/>
  <c r="AU192" i="6" s="1"/>
  <c r="BA192" i="6" s="1"/>
  <c r="AH152" i="6"/>
  <c r="AH188" i="6"/>
  <c r="AQ188" i="6" s="1"/>
  <c r="AS188" i="6" s="1"/>
  <c r="AU188" i="6" s="1"/>
  <c r="BA188" i="6" s="1"/>
  <c r="BH188" i="6" s="1"/>
  <c r="AH163" i="6"/>
  <c r="AQ163" i="6" s="1"/>
  <c r="AS163" i="6" s="1"/>
  <c r="AU163" i="6" s="1"/>
  <c r="BA163" i="6" s="1"/>
  <c r="AH141" i="6"/>
  <c r="AH197" i="6"/>
  <c r="AQ197" i="6" s="1"/>
  <c r="AS197" i="6" s="1"/>
  <c r="AU197" i="6" s="1"/>
  <c r="BA197" i="6" s="1"/>
  <c r="AH154" i="6"/>
  <c r="AH165" i="6"/>
  <c r="AQ165" i="6" s="1"/>
  <c r="AS165" i="6" s="1"/>
  <c r="AU165" i="6" s="1"/>
  <c r="BA165" i="6" s="1"/>
  <c r="AH144" i="6"/>
  <c r="AH177" i="6"/>
  <c r="AQ177" i="6" s="1"/>
  <c r="AS177" i="6" s="1"/>
  <c r="AU177" i="6" s="1"/>
  <c r="BA177" i="6" s="1"/>
  <c r="AH102" i="6"/>
  <c r="AH83" i="6"/>
  <c r="AH56" i="6"/>
  <c r="AQ56" i="6" s="1"/>
  <c r="AS56" i="6" s="1"/>
  <c r="AU56" i="6" s="1"/>
  <c r="AH196" i="6"/>
  <c r="AQ196" i="6" s="1"/>
  <c r="AS196" i="6" s="1"/>
  <c r="AU196" i="6" s="1"/>
  <c r="BA196" i="6" s="1"/>
  <c r="BB196" i="6" s="1"/>
  <c r="AH123" i="6"/>
  <c r="AL123" i="6" s="1"/>
  <c r="AN123" i="6" s="1"/>
  <c r="AH65" i="6"/>
  <c r="AQ65" i="6" s="1"/>
  <c r="AS65" i="6" s="1"/>
  <c r="AU65" i="6" s="1"/>
  <c r="AH66" i="6"/>
  <c r="AQ66" i="6" s="1"/>
  <c r="AS66" i="6" s="1"/>
  <c r="AU66" i="6" s="1"/>
  <c r="AH156" i="6"/>
  <c r="AL156" i="6" s="1"/>
  <c r="AN156" i="6" s="1"/>
  <c r="AH169" i="6"/>
  <c r="AQ169" i="6" s="1"/>
  <c r="AS169" i="6" s="1"/>
  <c r="AU169" i="6" s="1"/>
  <c r="BA169" i="6" s="1"/>
  <c r="BB169" i="6" s="1"/>
  <c r="AH88" i="6"/>
  <c r="AL88" i="6" s="1"/>
  <c r="AN88" i="6" s="1"/>
  <c r="AH84" i="6"/>
  <c r="AH150" i="6"/>
  <c r="AQ150" i="6" s="1"/>
  <c r="AS150" i="6" s="1"/>
  <c r="AU150" i="6" s="1"/>
  <c r="AH147" i="6"/>
  <c r="AQ147" i="6" s="1"/>
  <c r="AS147" i="6" s="1"/>
  <c r="AU147" i="6" s="1"/>
  <c r="AH77" i="6"/>
  <c r="AH93" i="6"/>
  <c r="AH75" i="6"/>
  <c r="AQ75" i="6" s="1"/>
  <c r="AS75" i="6" s="1"/>
  <c r="AU75" i="6" s="1"/>
  <c r="AH40" i="6"/>
  <c r="AQ40" i="6" s="1"/>
  <c r="AS40" i="6" s="1"/>
  <c r="AU40" i="6" s="1"/>
  <c r="AH180" i="6"/>
  <c r="AQ180" i="6" s="1"/>
  <c r="AS180" i="6" s="1"/>
  <c r="AU180" i="6" s="1"/>
  <c r="BA180" i="6" s="1"/>
  <c r="AH134" i="6"/>
  <c r="AQ134" i="6" s="1"/>
  <c r="AS134" i="6" s="1"/>
  <c r="AU134" i="6" s="1"/>
  <c r="AH41" i="6"/>
  <c r="AQ41" i="6" s="1"/>
  <c r="AS41" i="6" s="1"/>
  <c r="AU41" i="6" s="1"/>
  <c r="AH19" i="6"/>
  <c r="AQ19" i="6" s="1"/>
  <c r="AS19" i="6" s="1"/>
  <c r="AU19" i="6" s="1"/>
  <c r="AH76" i="6"/>
  <c r="AQ76" i="6" s="1"/>
  <c r="AS76" i="6" s="1"/>
  <c r="AU76" i="6" s="1"/>
  <c r="AH161" i="6"/>
  <c r="AQ161" i="6" s="1"/>
  <c r="AS161" i="6" s="1"/>
  <c r="AU161" i="6" s="1"/>
  <c r="AH57" i="6"/>
  <c r="AQ57" i="6" s="1"/>
  <c r="AS57" i="6" s="1"/>
  <c r="AU57" i="6" s="1"/>
  <c r="AH22" i="6"/>
  <c r="AQ22" i="6" s="1"/>
  <c r="AS22" i="6" s="1"/>
  <c r="AU22" i="6" s="1"/>
  <c r="AH167" i="6"/>
  <c r="AQ167" i="6" s="1"/>
  <c r="AS167" i="6" s="1"/>
  <c r="AU167" i="6" s="1"/>
  <c r="AH53" i="6"/>
  <c r="AQ53" i="6" s="1"/>
  <c r="AS53" i="6" s="1"/>
  <c r="AU53" i="6" s="1"/>
  <c r="AH52" i="6"/>
  <c r="AQ52" i="6" s="1"/>
  <c r="AS52" i="6" s="1"/>
  <c r="AU52" i="6" s="1"/>
  <c r="AH90" i="6"/>
  <c r="AQ90" i="6" s="1"/>
  <c r="AS90" i="6" s="1"/>
  <c r="AU90" i="6" s="1"/>
  <c r="AH9" i="6"/>
  <c r="AQ9" i="6" s="1"/>
  <c r="AS9" i="6" s="1"/>
  <c r="AH168" i="6"/>
  <c r="AQ168" i="6" s="1"/>
  <c r="AS168" i="6" s="1"/>
  <c r="AU168" i="6" s="1"/>
  <c r="BA168" i="6" s="1"/>
  <c r="BB168" i="6" s="1"/>
  <c r="AH32" i="6"/>
  <c r="AH70" i="6"/>
  <c r="AQ70" i="6" s="1"/>
  <c r="AS70" i="6" s="1"/>
  <c r="AU70" i="6" s="1"/>
  <c r="AH205" i="6"/>
  <c r="AQ205" i="6" s="1"/>
  <c r="AS205" i="6" s="1"/>
  <c r="AU205" i="6" s="1"/>
  <c r="BA205" i="6" s="1"/>
  <c r="AH116" i="6"/>
  <c r="AH82" i="6"/>
  <c r="AL107" i="6"/>
  <c r="AN107" i="6" s="1"/>
  <c r="AH109" i="6"/>
  <c r="AQ109" i="6" s="1"/>
  <c r="AS109" i="6" s="1"/>
  <c r="AU109" i="6" s="1"/>
  <c r="AH61" i="6"/>
  <c r="AQ61" i="6" s="1"/>
  <c r="AS61" i="6" s="1"/>
  <c r="AU61" i="6" s="1"/>
  <c r="AH131" i="6"/>
  <c r="AH119" i="6"/>
  <c r="N11" i="21"/>
  <c r="AH174" i="6"/>
  <c r="AQ174" i="6" s="1"/>
  <c r="AS174" i="6" s="1"/>
  <c r="AU174" i="6" s="1"/>
  <c r="BA174" i="6" s="1"/>
  <c r="BB174" i="6" s="1"/>
  <c r="AH81" i="6"/>
  <c r="AH194" i="6"/>
  <c r="AQ194" i="6" s="1"/>
  <c r="AS194" i="6" s="1"/>
  <c r="AU194" i="6" s="1"/>
  <c r="BA194" i="6" s="1"/>
  <c r="BH194" i="6" s="1"/>
  <c r="AH151" i="6"/>
  <c r="AH201" i="6"/>
  <c r="AQ201" i="6" s="1"/>
  <c r="AS201" i="6" s="1"/>
  <c r="AU201" i="6" s="1"/>
  <c r="BA201" i="6" s="1"/>
  <c r="AH99" i="6"/>
  <c r="AH117" i="6"/>
  <c r="AH172" i="6"/>
  <c r="AQ172" i="6" s="1"/>
  <c r="AS172" i="6" s="1"/>
  <c r="AU172" i="6" s="1"/>
  <c r="BA172" i="6" s="1"/>
  <c r="AH98" i="6"/>
  <c r="AH158" i="6"/>
  <c r="AQ158" i="6" s="1"/>
  <c r="AS158" i="6" s="1"/>
  <c r="AU158" i="6" s="1"/>
  <c r="AH153" i="6"/>
  <c r="AQ153" i="6" s="1"/>
  <c r="AS153" i="6" s="1"/>
  <c r="AU153" i="6" s="1"/>
  <c r="AH187" i="6"/>
  <c r="AQ187" i="6" s="1"/>
  <c r="AS187" i="6" s="1"/>
  <c r="AU187" i="6" s="1"/>
  <c r="BA187" i="6" s="1"/>
  <c r="BB187" i="6" s="1"/>
  <c r="AH202" i="6"/>
  <c r="AQ202" i="6" s="1"/>
  <c r="AS202" i="6" s="1"/>
  <c r="AU202" i="6" s="1"/>
  <c r="BA202" i="6" s="1"/>
  <c r="BH202" i="6" s="1"/>
  <c r="N7" i="21"/>
  <c r="AH146" i="6"/>
  <c r="AH43" i="6"/>
  <c r="AQ43" i="6" s="1"/>
  <c r="AS43" i="6" s="1"/>
  <c r="AU43" i="6" s="1"/>
  <c r="AH5" i="6"/>
  <c r="AQ5" i="6" s="1"/>
  <c r="AS5" i="6" s="1"/>
  <c r="AH28" i="6"/>
  <c r="AQ28" i="6" s="1"/>
  <c r="AS28" i="6" s="1"/>
  <c r="AU28" i="6" s="1"/>
  <c r="AH112" i="6"/>
  <c r="AL112" i="6" s="1"/>
  <c r="AN112" i="6" s="1"/>
  <c r="AH74" i="6"/>
  <c r="AQ74" i="6" s="1"/>
  <c r="AS74" i="6" s="1"/>
  <c r="AU74" i="6" s="1"/>
  <c r="AH96" i="6"/>
  <c r="AL96" i="6" s="1"/>
  <c r="AN96" i="6" s="1"/>
  <c r="AH54" i="6"/>
  <c r="AQ54" i="6" s="1"/>
  <c r="AS54" i="6" s="1"/>
  <c r="AU54" i="6" s="1"/>
  <c r="AH44" i="6"/>
  <c r="AQ44" i="6" s="1"/>
  <c r="AS44" i="6" s="1"/>
  <c r="AU44" i="6" s="1"/>
  <c r="N6" i="21"/>
  <c r="AH110" i="6"/>
  <c r="AQ110" i="6" s="1"/>
  <c r="AS110" i="6" s="1"/>
  <c r="AU110" i="6" s="1"/>
  <c r="AH149" i="6"/>
  <c r="AQ149" i="6" s="1"/>
  <c r="AS149" i="6" s="1"/>
  <c r="AU149" i="6" s="1"/>
  <c r="AH59" i="6"/>
  <c r="AQ59" i="6" s="1"/>
  <c r="AS59" i="6" s="1"/>
  <c r="AU59" i="6" s="1"/>
  <c r="AH189" i="6"/>
  <c r="AQ189" i="6" s="1"/>
  <c r="AS189" i="6" s="1"/>
  <c r="AU189" i="6" s="1"/>
  <c r="BA189" i="6" s="1"/>
  <c r="BB189" i="6" s="1"/>
  <c r="AH121" i="6"/>
  <c r="AQ121" i="6" s="1"/>
  <c r="AS121" i="6" s="1"/>
  <c r="AU121" i="6" s="1"/>
  <c r="AH18" i="6"/>
  <c r="AL18" i="6" s="1"/>
  <c r="AN18" i="6" s="1"/>
  <c r="AL63" i="6"/>
  <c r="AN63" i="6" s="1"/>
  <c r="AH122" i="6"/>
  <c r="AQ122" i="6" s="1"/>
  <c r="AS122" i="6" s="1"/>
  <c r="AU122" i="6" s="1"/>
  <c r="AH132" i="6"/>
  <c r="AH128" i="6"/>
  <c r="AH106" i="6"/>
  <c r="AH104" i="6"/>
  <c r="AH20" i="6"/>
  <c r="AH95" i="6"/>
  <c r="AH186" i="6"/>
  <c r="AQ186" i="6" s="1"/>
  <c r="AS186" i="6" s="1"/>
  <c r="AU186" i="6" s="1"/>
  <c r="BA186" i="6" s="1"/>
  <c r="AH159" i="6"/>
  <c r="AL162" i="6"/>
  <c r="AN162" i="6" s="1"/>
  <c r="AH24" i="6"/>
  <c r="AL160" i="6"/>
  <c r="AN160" i="6" s="1"/>
  <c r="AH97" i="6"/>
  <c r="AQ97" i="6" s="1"/>
  <c r="AS97" i="6" s="1"/>
  <c r="AU97" i="6" s="1"/>
  <c r="AH51" i="6"/>
  <c r="AQ51" i="6" s="1"/>
  <c r="AS51" i="6" s="1"/>
  <c r="AU51" i="6" s="1"/>
  <c r="AH118" i="6"/>
  <c r="AQ118" i="6" s="1"/>
  <c r="AS118" i="6" s="1"/>
  <c r="AU118" i="6" s="1"/>
  <c r="AH34" i="6"/>
  <c r="AH87" i="6"/>
  <c r="AL87" i="6" s="1"/>
  <c r="AN87" i="6" s="1"/>
  <c r="AH103" i="6"/>
  <c r="AH69" i="6"/>
  <c r="AH171" i="6"/>
  <c r="AQ171" i="6" s="1"/>
  <c r="AS171" i="6" s="1"/>
  <c r="AU171" i="6" s="1"/>
  <c r="BA171" i="6" s="1"/>
  <c r="BB171" i="6" s="1"/>
  <c r="AH62" i="6"/>
  <c r="AQ62" i="6" s="1"/>
  <c r="AS62" i="6" s="1"/>
  <c r="AU62" i="6" s="1"/>
  <c r="AH125" i="6"/>
  <c r="AL125" i="6" s="1"/>
  <c r="AN125" i="6" s="1"/>
  <c r="AH37" i="6"/>
  <c r="AQ37" i="6" s="1"/>
  <c r="AS37" i="6" s="1"/>
  <c r="AU37" i="6" s="1"/>
  <c r="AH15" i="6"/>
  <c r="AQ15" i="6" s="1"/>
  <c r="AS15" i="6" s="1"/>
  <c r="AU15" i="6" s="1"/>
  <c r="AH138" i="6"/>
  <c r="AL138" i="6" s="1"/>
  <c r="AN138" i="6" s="1"/>
  <c r="AL55" i="6"/>
  <c r="AN55" i="6" s="1"/>
  <c r="AH101" i="6"/>
  <c r="AH100" i="6"/>
  <c r="AH111" i="6"/>
  <c r="AH78" i="6"/>
  <c r="AH199" i="6"/>
  <c r="AQ199" i="6" s="1"/>
  <c r="AS199" i="6" s="1"/>
  <c r="AU199" i="6" s="1"/>
  <c r="BA199" i="6" s="1"/>
  <c r="AH198" i="6"/>
  <c r="AQ198" i="6" s="1"/>
  <c r="AS198" i="6" s="1"/>
  <c r="AU198" i="6" s="1"/>
  <c r="BA198" i="6" s="1"/>
  <c r="AH25" i="6"/>
  <c r="AH80" i="6"/>
  <c r="AH92" i="6"/>
  <c r="AH136" i="6"/>
  <c r="AH203" i="6"/>
  <c r="AQ203" i="6" s="1"/>
  <c r="AS203" i="6" s="1"/>
  <c r="AU203" i="6" s="1"/>
  <c r="BA203" i="6" s="1"/>
  <c r="BH203" i="6" s="1"/>
  <c r="AH176" i="6"/>
  <c r="AQ176" i="6" s="1"/>
  <c r="AS176" i="6" s="1"/>
  <c r="AU176" i="6" s="1"/>
  <c r="BA176" i="6" s="1"/>
  <c r="AH135" i="6"/>
  <c r="AH64" i="6"/>
  <c r="AH58" i="6"/>
  <c r="AQ58" i="6" s="1"/>
  <c r="AS58" i="6" s="1"/>
  <c r="AU58" i="6" s="1"/>
  <c r="AH45" i="6"/>
  <c r="AQ45" i="6" s="1"/>
  <c r="AS45" i="6" s="1"/>
  <c r="AU45" i="6" s="1"/>
  <c r="AL145" i="6"/>
  <c r="AN145" i="6" s="1"/>
  <c r="AH139" i="6"/>
  <c r="AH164" i="6"/>
  <c r="AH137" i="6"/>
  <c r="AH79" i="6"/>
  <c r="AH206" i="6"/>
  <c r="AQ206" i="6" s="1"/>
  <c r="AS206" i="6" s="1"/>
  <c r="AU206" i="6" s="1"/>
  <c r="BA206" i="6" s="1"/>
  <c r="AL27" i="6"/>
  <c r="AN27" i="6" s="1"/>
  <c r="AL23" i="6"/>
  <c r="AN23" i="6" s="1"/>
  <c r="AH46" i="6"/>
  <c r="AL46" i="6" s="1"/>
  <c r="AN46" i="6" s="1"/>
  <c r="AH29" i="6"/>
  <c r="AL8" i="6"/>
  <c r="AH47" i="6"/>
  <c r="H12" i="21"/>
  <c r="H10" i="21"/>
  <c r="R15" i="7"/>
  <c r="AL5" i="6" l="1"/>
  <c r="AQ50" i="6"/>
  <c r="AS50" i="6" s="1"/>
  <c r="AU50" i="6" s="1"/>
  <c r="BA50" i="6" s="1"/>
  <c r="BB50" i="6" s="1"/>
  <c r="AL31" i="6"/>
  <c r="AN31" i="6" s="1"/>
  <c r="BA31" i="6" s="1"/>
  <c r="BB31" i="6" s="1"/>
  <c r="AL33" i="6"/>
  <c r="AN33" i="6" s="1"/>
  <c r="BA33" i="6" s="1"/>
  <c r="BH33" i="6" s="1"/>
  <c r="AL7" i="6"/>
  <c r="AL11" i="6"/>
  <c r="AL48" i="6"/>
  <c r="AN48" i="6" s="1"/>
  <c r="BA48" i="6" s="1"/>
  <c r="BB48" i="6" s="1"/>
  <c r="AQ38" i="6"/>
  <c r="AS38" i="6" s="1"/>
  <c r="AU38" i="6" s="1"/>
  <c r="BA38" i="6" s="1"/>
  <c r="BH38" i="6" s="1"/>
  <c r="AL17" i="6"/>
  <c r="AN17" i="6" s="1"/>
  <c r="BA17" i="6" s="1"/>
  <c r="BB17" i="6" s="1"/>
  <c r="AL59" i="6"/>
  <c r="AN59" i="6" s="1"/>
  <c r="BA59" i="6" s="1"/>
  <c r="AQ127" i="6"/>
  <c r="AS127" i="6" s="1"/>
  <c r="AU127" i="6" s="1"/>
  <c r="BA127" i="6" s="1"/>
  <c r="BH127" i="6" s="1"/>
  <c r="BH195" i="6"/>
  <c r="BH178" i="6"/>
  <c r="AL37" i="6"/>
  <c r="AN37" i="6" s="1"/>
  <c r="BA37" i="6" s="1"/>
  <c r="BH37" i="6" s="1"/>
  <c r="AL42" i="6"/>
  <c r="AN42" i="6" s="1"/>
  <c r="BA42" i="6" s="1"/>
  <c r="BB42" i="6" s="1"/>
  <c r="AQ36" i="6"/>
  <c r="AS36" i="6" s="1"/>
  <c r="AU36" i="6" s="1"/>
  <c r="BA36" i="6" s="1"/>
  <c r="BH36" i="6" s="1"/>
  <c r="AL53" i="6"/>
  <c r="AN53" i="6" s="1"/>
  <c r="BA53" i="6" s="1"/>
  <c r="BH53" i="6" s="1"/>
  <c r="AL49" i="6"/>
  <c r="AN49" i="6" s="1"/>
  <c r="BA49" i="6" s="1"/>
  <c r="AL114" i="6"/>
  <c r="AN114" i="6" s="1"/>
  <c r="BA114" i="6" s="1"/>
  <c r="BH114" i="6" s="1"/>
  <c r="AL70" i="6"/>
  <c r="AN70" i="6" s="1"/>
  <c r="BA70" i="6" s="1"/>
  <c r="BB70" i="6" s="1"/>
  <c r="AQ141" i="6"/>
  <c r="AS141" i="6" s="1"/>
  <c r="AU141" i="6" s="1"/>
  <c r="AL141" i="6"/>
  <c r="AN141" i="6" s="1"/>
  <c r="AQ16" i="6"/>
  <c r="AS16" i="6" s="1"/>
  <c r="AU16" i="6" s="1"/>
  <c r="BA16" i="6" s="1"/>
  <c r="BB16" i="6" s="1"/>
  <c r="AL140" i="6"/>
  <c r="AN140" i="6" s="1"/>
  <c r="BA140" i="6" s="1"/>
  <c r="AL13" i="6"/>
  <c r="AN13" i="6" s="1"/>
  <c r="BA13" i="6" s="1"/>
  <c r="BH13" i="6" s="1"/>
  <c r="AL133" i="6"/>
  <c r="AN133" i="6" s="1"/>
  <c r="BA133" i="6" s="1"/>
  <c r="BB133" i="6" s="1"/>
  <c r="AL105" i="6"/>
  <c r="AN105" i="6" s="1"/>
  <c r="BA105" i="6" s="1"/>
  <c r="BB105" i="6" s="1"/>
  <c r="AL126" i="6"/>
  <c r="AN126" i="6" s="1"/>
  <c r="BA126" i="6" s="1"/>
  <c r="BH126" i="6" s="1"/>
  <c r="AQ26" i="6"/>
  <c r="AS26" i="6" s="1"/>
  <c r="AU26" i="6" s="1"/>
  <c r="BA26" i="6" s="1"/>
  <c r="BB26" i="6" s="1"/>
  <c r="AQ130" i="6"/>
  <c r="AS130" i="6" s="1"/>
  <c r="AU130" i="6" s="1"/>
  <c r="AL130" i="6"/>
  <c r="AN130" i="6" s="1"/>
  <c r="AQ157" i="6"/>
  <c r="AS157" i="6" s="1"/>
  <c r="AU157" i="6" s="1"/>
  <c r="AL157" i="6"/>
  <c r="AN157" i="6" s="1"/>
  <c r="AL89" i="6"/>
  <c r="AN89" i="6" s="1"/>
  <c r="BA89" i="6" s="1"/>
  <c r="AL108" i="6"/>
  <c r="AN108" i="6" s="1"/>
  <c r="BA108" i="6" s="1"/>
  <c r="BB179" i="6"/>
  <c r="BB204" i="6"/>
  <c r="BH175" i="6"/>
  <c r="BB183" i="6"/>
  <c r="AL68" i="6"/>
  <c r="AN68" i="6" s="1"/>
  <c r="BA68" i="6" s="1"/>
  <c r="AQ67" i="6"/>
  <c r="AS67" i="6" s="1"/>
  <c r="AU67" i="6" s="1"/>
  <c r="BA67" i="6" s="1"/>
  <c r="BH67" i="6" s="1"/>
  <c r="BB185" i="6"/>
  <c r="AL94" i="6"/>
  <c r="AN94" i="6" s="1"/>
  <c r="BA94" i="6" s="1"/>
  <c r="BH94" i="6" s="1"/>
  <c r="AL14" i="6"/>
  <c r="AN14" i="6" s="1"/>
  <c r="BA14" i="6" s="1"/>
  <c r="BB14" i="6" s="1"/>
  <c r="AL39" i="6"/>
  <c r="AN39" i="6" s="1"/>
  <c r="BA39" i="6" s="1"/>
  <c r="BB39" i="6" s="1"/>
  <c r="AL10" i="6"/>
  <c r="AN10" i="6" s="1"/>
  <c r="BA10" i="6" s="1"/>
  <c r="BB10" i="6" s="1"/>
  <c r="BA23" i="6"/>
  <c r="BH23" i="6" s="1"/>
  <c r="AL72" i="6"/>
  <c r="AN72" i="6" s="1"/>
  <c r="BA72" i="6" s="1"/>
  <c r="AL115" i="6"/>
  <c r="AN115" i="6" s="1"/>
  <c r="BA115" i="6" s="1"/>
  <c r="AL86" i="6"/>
  <c r="AN86" i="6" s="1"/>
  <c r="BA86" i="6" s="1"/>
  <c r="AL60" i="6"/>
  <c r="AN60" i="6" s="1"/>
  <c r="BA60" i="6" s="1"/>
  <c r="BH60" i="6" s="1"/>
  <c r="BB190" i="6"/>
  <c r="BH190" i="6"/>
  <c r="AQ47" i="6"/>
  <c r="AS47" i="6" s="1"/>
  <c r="AU47" i="6" s="1"/>
  <c r="AL47" i="6"/>
  <c r="AN47" i="6" s="1"/>
  <c r="AQ81" i="6"/>
  <c r="AS81" i="6" s="1"/>
  <c r="AU81" i="6" s="1"/>
  <c r="AL81" i="6"/>
  <c r="AN81" i="6" s="1"/>
  <c r="AL74" i="6"/>
  <c r="AN74" i="6" s="1"/>
  <c r="BA74" i="6" s="1"/>
  <c r="BB74" i="6" s="1"/>
  <c r="AQ113" i="6"/>
  <c r="AS113" i="6" s="1"/>
  <c r="AU113" i="6" s="1"/>
  <c r="AL113" i="6"/>
  <c r="AN113" i="6" s="1"/>
  <c r="BB191" i="6"/>
  <c r="AQ120" i="6"/>
  <c r="AS120" i="6" s="1"/>
  <c r="AU120" i="6" s="1"/>
  <c r="AL120" i="6"/>
  <c r="AN120" i="6" s="1"/>
  <c r="BB193" i="6"/>
  <c r="BH193" i="6"/>
  <c r="AQ83" i="6"/>
  <c r="AS83" i="6" s="1"/>
  <c r="AU83" i="6" s="1"/>
  <c r="AL83" i="6"/>
  <c r="AN83" i="6" s="1"/>
  <c r="AL97" i="6"/>
  <c r="AN97" i="6" s="1"/>
  <c r="BA97" i="6" s="1"/>
  <c r="AQ80" i="6"/>
  <c r="AS80" i="6" s="1"/>
  <c r="AU80" i="6" s="1"/>
  <c r="AL80" i="6"/>
  <c r="AN80" i="6" s="1"/>
  <c r="AL40" i="6"/>
  <c r="AN40" i="6" s="1"/>
  <c r="BA40" i="6" s="1"/>
  <c r="BB40" i="6" s="1"/>
  <c r="BA55" i="6"/>
  <c r="BB55" i="6" s="1"/>
  <c r="BH184" i="6"/>
  <c r="AQ71" i="6"/>
  <c r="AS71" i="6" s="1"/>
  <c r="AU71" i="6" s="1"/>
  <c r="BA71" i="6" s="1"/>
  <c r="BB71" i="6" s="1"/>
  <c r="BA63" i="6"/>
  <c r="BB63" i="6" s="1"/>
  <c r="AL35" i="6"/>
  <c r="AN35" i="6" s="1"/>
  <c r="BA35" i="6" s="1"/>
  <c r="BB35" i="6" s="1"/>
  <c r="AL21" i="6"/>
  <c r="AN21" i="6" s="1"/>
  <c r="BA21" i="6" s="1"/>
  <c r="BH21" i="6" s="1"/>
  <c r="AL6" i="6"/>
  <c r="AL65" i="6"/>
  <c r="AN65" i="6" s="1"/>
  <c r="BA65" i="6" s="1"/>
  <c r="BH65" i="6" s="1"/>
  <c r="AL129" i="6"/>
  <c r="AN129" i="6" s="1"/>
  <c r="BA129" i="6" s="1"/>
  <c r="BH129" i="6" s="1"/>
  <c r="AL66" i="6"/>
  <c r="AN66" i="6" s="1"/>
  <c r="BA66" i="6" s="1"/>
  <c r="BH66" i="6" s="1"/>
  <c r="AQ91" i="6"/>
  <c r="AS91" i="6" s="1"/>
  <c r="AU91" i="6" s="1"/>
  <c r="BA91" i="6" s="1"/>
  <c r="BH91" i="6" s="1"/>
  <c r="BA27" i="6"/>
  <c r="BB27" i="6" s="1"/>
  <c r="J10" i="21"/>
  <c r="AL19" i="6"/>
  <c r="AN19" i="6" s="1"/>
  <c r="BA19" i="6" s="1"/>
  <c r="BH19" i="6" s="1"/>
  <c r="AL124" i="6"/>
  <c r="AN124" i="6" s="1"/>
  <c r="AQ124" i="6"/>
  <c r="AS124" i="6" s="1"/>
  <c r="AU124" i="6" s="1"/>
  <c r="AQ84" i="6"/>
  <c r="AS84" i="6" s="1"/>
  <c r="AU84" i="6" s="1"/>
  <c r="AL84" i="6"/>
  <c r="AN84" i="6" s="1"/>
  <c r="AL52" i="6"/>
  <c r="AN52" i="6" s="1"/>
  <c r="BA52" i="6" s="1"/>
  <c r="BH52" i="6" s="1"/>
  <c r="BB170" i="6"/>
  <c r="AQ93" i="6"/>
  <c r="AS93" i="6" s="1"/>
  <c r="AU93" i="6" s="1"/>
  <c r="AL93" i="6"/>
  <c r="AN93" i="6" s="1"/>
  <c r="BH166" i="6"/>
  <c r="BB166" i="6"/>
  <c r="BA167" i="6"/>
  <c r="BB167" i="6" s="1"/>
  <c r="L10" i="21"/>
  <c r="AL56" i="6"/>
  <c r="AN56" i="6" s="1"/>
  <c r="BA56" i="6" s="1"/>
  <c r="BB56" i="6" s="1"/>
  <c r="BH182" i="6"/>
  <c r="BB182" i="6"/>
  <c r="BB173" i="6"/>
  <c r="BH173" i="6"/>
  <c r="AQ73" i="6"/>
  <c r="AS73" i="6" s="1"/>
  <c r="AU73" i="6" s="1"/>
  <c r="BA73" i="6" s="1"/>
  <c r="AQ148" i="6"/>
  <c r="AS148" i="6" s="1"/>
  <c r="AU148" i="6" s="1"/>
  <c r="BA148" i="6" s="1"/>
  <c r="BB148" i="6" s="1"/>
  <c r="BB200" i="6"/>
  <c r="AL85" i="6"/>
  <c r="AN85" i="6" s="1"/>
  <c r="BA85" i="6" s="1"/>
  <c r="AL30" i="6"/>
  <c r="AN30" i="6" s="1"/>
  <c r="BA30" i="6" s="1"/>
  <c r="BB30" i="6" s="1"/>
  <c r="AL57" i="6"/>
  <c r="AN57" i="6" s="1"/>
  <c r="BA57" i="6" s="1"/>
  <c r="BB57" i="6" s="1"/>
  <c r="AQ123" i="6"/>
  <c r="AS123" i="6" s="1"/>
  <c r="AU123" i="6" s="1"/>
  <c r="BA123" i="6" s="1"/>
  <c r="BB123" i="6" s="1"/>
  <c r="AQ143" i="6"/>
  <c r="AS143" i="6" s="1"/>
  <c r="AU143" i="6" s="1"/>
  <c r="BA143" i="6" s="1"/>
  <c r="AQ155" i="6"/>
  <c r="AS155" i="6" s="1"/>
  <c r="AU155" i="6" s="1"/>
  <c r="BA155" i="6" s="1"/>
  <c r="BH181" i="6"/>
  <c r="AL90" i="6"/>
  <c r="AN90" i="6" s="1"/>
  <c r="BA90" i="6" s="1"/>
  <c r="AL9" i="6"/>
  <c r="BB188" i="6"/>
  <c r="BH196" i="6"/>
  <c r="AL15" i="6"/>
  <c r="AN15" i="6" s="1"/>
  <c r="BA15" i="6" s="1"/>
  <c r="BB177" i="6"/>
  <c r="BH177" i="6"/>
  <c r="BB165" i="6"/>
  <c r="BH165" i="6"/>
  <c r="BH197" i="6"/>
  <c r="BB197" i="6"/>
  <c r="AQ116" i="6"/>
  <c r="AS116" i="6" s="1"/>
  <c r="AU116" i="6" s="1"/>
  <c r="AL116" i="6"/>
  <c r="AN116" i="6" s="1"/>
  <c r="BH192" i="6"/>
  <c r="BB192" i="6"/>
  <c r="AQ77" i="6"/>
  <c r="AS77" i="6" s="1"/>
  <c r="AU77" i="6" s="1"/>
  <c r="AL77" i="6"/>
  <c r="AN77" i="6" s="1"/>
  <c r="AQ117" i="6"/>
  <c r="AS117" i="6" s="1"/>
  <c r="AU117" i="6" s="1"/>
  <c r="AL117" i="6"/>
  <c r="AN117" i="6" s="1"/>
  <c r="AQ102" i="6"/>
  <c r="AS102" i="6" s="1"/>
  <c r="AU102" i="6" s="1"/>
  <c r="AL102" i="6"/>
  <c r="AN102" i="6" s="1"/>
  <c r="AQ69" i="6"/>
  <c r="AS69" i="6" s="1"/>
  <c r="AU69" i="6" s="1"/>
  <c r="AL69" i="6"/>
  <c r="AN69" i="6" s="1"/>
  <c r="AL154" i="6"/>
  <c r="AN154" i="6" s="1"/>
  <c r="AQ154" i="6"/>
  <c r="AS154" i="6" s="1"/>
  <c r="AU154" i="6" s="1"/>
  <c r="AQ144" i="6"/>
  <c r="AS144" i="6" s="1"/>
  <c r="AU144" i="6" s="1"/>
  <c r="AL144" i="6"/>
  <c r="AN144" i="6" s="1"/>
  <c r="AL61" i="6"/>
  <c r="AN61" i="6" s="1"/>
  <c r="BA61" i="6" s="1"/>
  <c r="BH61" i="6" s="1"/>
  <c r="AL152" i="6"/>
  <c r="AN152" i="6" s="1"/>
  <c r="AQ152" i="6"/>
  <c r="AS152" i="6" s="1"/>
  <c r="AU152" i="6" s="1"/>
  <c r="BH169" i="6"/>
  <c r="AQ156" i="6"/>
  <c r="AS156" i="6" s="1"/>
  <c r="AU156" i="6" s="1"/>
  <c r="BA156" i="6" s="1"/>
  <c r="BB156" i="6" s="1"/>
  <c r="AQ88" i="6"/>
  <c r="AS88" i="6" s="1"/>
  <c r="AU88" i="6" s="1"/>
  <c r="BA88" i="6" s="1"/>
  <c r="BH88" i="6" s="1"/>
  <c r="AL150" i="6"/>
  <c r="AN150" i="6" s="1"/>
  <c r="BA150" i="6" s="1"/>
  <c r="BH150" i="6" s="1"/>
  <c r="AL147" i="6"/>
  <c r="AN147" i="6" s="1"/>
  <c r="BA147" i="6" s="1"/>
  <c r="BH147" i="6" s="1"/>
  <c r="AL75" i="6"/>
  <c r="AN75" i="6" s="1"/>
  <c r="BA75" i="6" s="1"/>
  <c r="BB75" i="6" s="1"/>
  <c r="AL76" i="6"/>
  <c r="AN76" i="6" s="1"/>
  <c r="BA76" i="6" s="1"/>
  <c r="AL41" i="6"/>
  <c r="AN41" i="6" s="1"/>
  <c r="BA41" i="6" s="1"/>
  <c r="BB41" i="6" s="1"/>
  <c r="AL22" i="6"/>
  <c r="AN22" i="6" s="1"/>
  <c r="BA22" i="6" s="1"/>
  <c r="BH22" i="6" s="1"/>
  <c r="AL134" i="6"/>
  <c r="AN134" i="6" s="1"/>
  <c r="BA134" i="6" s="1"/>
  <c r="BH168" i="6"/>
  <c r="BB180" i="6"/>
  <c r="BH180" i="6"/>
  <c r="AL161" i="6"/>
  <c r="AN161" i="6" s="1"/>
  <c r="BA161" i="6" s="1"/>
  <c r="BH174" i="6"/>
  <c r="E12" i="21"/>
  <c r="AL109" i="6"/>
  <c r="AN109" i="6" s="1"/>
  <c r="BA109" i="6" s="1"/>
  <c r="BH109" i="6" s="1"/>
  <c r="AL110" i="6"/>
  <c r="AN110" i="6" s="1"/>
  <c r="BA110" i="6" s="1"/>
  <c r="J12" i="21"/>
  <c r="L12" i="21"/>
  <c r="AQ146" i="6"/>
  <c r="AS146" i="6" s="1"/>
  <c r="AU146" i="6" s="1"/>
  <c r="AL146" i="6"/>
  <c r="AN146" i="6" s="1"/>
  <c r="AQ131" i="6"/>
  <c r="AS131" i="6" s="1"/>
  <c r="AU131" i="6" s="1"/>
  <c r="AL131" i="6"/>
  <c r="AN131" i="6" s="1"/>
  <c r="AQ99" i="6"/>
  <c r="AS99" i="6" s="1"/>
  <c r="AU99" i="6" s="1"/>
  <c r="AL99" i="6"/>
  <c r="AN99" i="6" s="1"/>
  <c r="AQ82" i="6"/>
  <c r="AS82" i="6" s="1"/>
  <c r="AU82" i="6" s="1"/>
  <c r="AL82" i="6"/>
  <c r="AN82" i="6" s="1"/>
  <c r="BH201" i="6"/>
  <c r="BB201" i="6"/>
  <c r="AQ98" i="6"/>
  <c r="AS98" i="6" s="1"/>
  <c r="AU98" i="6" s="1"/>
  <c r="AL98" i="6"/>
  <c r="AN98" i="6" s="1"/>
  <c r="AL151" i="6"/>
  <c r="AN151" i="6" s="1"/>
  <c r="AQ151" i="6"/>
  <c r="AS151" i="6" s="1"/>
  <c r="AU151" i="6" s="1"/>
  <c r="AL32" i="6"/>
  <c r="AN32" i="6" s="1"/>
  <c r="AQ32" i="6"/>
  <c r="AS32" i="6" s="1"/>
  <c r="AU32" i="6" s="1"/>
  <c r="L9" i="21" s="1"/>
  <c r="AL119" i="6"/>
  <c r="AN119" i="6" s="1"/>
  <c r="AQ119" i="6"/>
  <c r="AS119" i="6" s="1"/>
  <c r="AU119" i="6" s="1"/>
  <c r="AL54" i="6"/>
  <c r="AN54" i="6" s="1"/>
  <c r="BA54" i="6" s="1"/>
  <c r="BH54" i="6" s="1"/>
  <c r="BH172" i="6"/>
  <c r="BB172" i="6"/>
  <c r="BA107" i="6"/>
  <c r="BB205" i="6"/>
  <c r="BH205" i="6"/>
  <c r="AQ164" i="6"/>
  <c r="AS164" i="6" s="1"/>
  <c r="AU164" i="6" s="1"/>
  <c r="AL164" i="6"/>
  <c r="AN164" i="6" s="1"/>
  <c r="AL158" i="6"/>
  <c r="AN158" i="6" s="1"/>
  <c r="BA158" i="6" s="1"/>
  <c r="AQ112" i="6"/>
  <c r="AS112" i="6" s="1"/>
  <c r="AU112" i="6" s="1"/>
  <c r="BA112" i="6" s="1"/>
  <c r="AQ18" i="6"/>
  <c r="AS18" i="6" s="1"/>
  <c r="AU18" i="6" s="1"/>
  <c r="BA18" i="6" s="1"/>
  <c r="BB18" i="6" s="1"/>
  <c r="AL153" i="6"/>
  <c r="AN153" i="6" s="1"/>
  <c r="BA153" i="6" s="1"/>
  <c r="BH153" i="6" s="1"/>
  <c r="AL28" i="6"/>
  <c r="AN28" i="6" s="1"/>
  <c r="BA28" i="6" s="1"/>
  <c r="BB28" i="6" s="1"/>
  <c r="AL43" i="6"/>
  <c r="AN43" i="6" s="1"/>
  <c r="BA43" i="6" s="1"/>
  <c r="BH43" i="6" s="1"/>
  <c r="BH189" i="6"/>
  <c r="AQ96" i="6"/>
  <c r="AS96" i="6" s="1"/>
  <c r="AU96" i="6" s="1"/>
  <c r="BA96" i="6" s="1"/>
  <c r="AL44" i="6"/>
  <c r="AN44" i="6" s="1"/>
  <c r="BA44" i="6" s="1"/>
  <c r="BB44" i="6" s="1"/>
  <c r="BB194" i="6"/>
  <c r="AL149" i="6"/>
  <c r="AN149" i="6" s="1"/>
  <c r="BA149" i="6" s="1"/>
  <c r="BH187" i="6"/>
  <c r="AL122" i="6"/>
  <c r="AN122" i="6" s="1"/>
  <c r="BA122" i="6" s="1"/>
  <c r="BB122" i="6" s="1"/>
  <c r="AL121" i="6"/>
  <c r="AN121" i="6" s="1"/>
  <c r="BA121" i="6" s="1"/>
  <c r="BB202" i="6"/>
  <c r="E6" i="21"/>
  <c r="G6" i="21" s="1"/>
  <c r="BA162" i="6"/>
  <c r="AQ79" i="6"/>
  <c r="AS79" i="6" s="1"/>
  <c r="AU79" i="6" s="1"/>
  <c r="AL79" i="6"/>
  <c r="AN79" i="6" s="1"/>
  <c r="AQ103" i="6"/>
  <c r="AS103" i="6" s="1"/>
  <c r="AU103" i="6" s="1"/>
  <c r="AL103" i="6"/>
  <c r="AN103" i="6" s="1"/>
  <c r="AQ24" i="6"/>
  <c r="AS24" i="6" s="1"/>
  <c r="AU24" i="6" s="1"/>
  <c r="AL24" i="6"/>
  <c r="AN24" i="6" s="1"/>
  <c r="AL95" i="6"/>
  <c r="AN95" i="6" s="1"/>
  <c r="AQ95" i="6"/>
  <c r="AS95" i="6" s="1"/>
  <c r="AU95" i="6" s="1"/>
  <c r="AQ106" i="6"/>
  <c r="AS106" i="6" s="1"/>
  <c r="AU106" i="6" s="1"/>
  <c r="AL106" i="6"/>
  <c r="AN106" i="6" s="1"/>
  <c r="AQ159" i="6"/>
  <c r="AS159" i="6" s="1"/>
  <c r="AU159" i="6" s="1"/>
  <c r="AL159" i="6"/>
  <c r="AN159" i="6" s="1"/>
  <c r="AQ20" i="6"/>
  <c r="AS20" i="6" s="1"/>
  <c r="AL20" i="6"/>
  <c r="AN20" i="6" s="1"/>
  <c r="AQ78" i="6"/>
  <c r="AS78" i="6" s="1"/>
  <c r="AU78" i="6" s="1"/>
  <c r="AL78" i="6"/>
  <c r="AN78" i="6" s="1"/>
  <c r="BB163" i="6"/>
  <c r="BH163" i="6"/>
  <c r="AQ104" i="6"/>
  <c r="AS104" i="6" s="1"/>
  <c r="AL104" i="6"/>
  <c r="AN104" i="6" s="1"/>
  <c r="AL128" i="6"/>
  <c r="AN128" i="6" s="1"/>
  <c r="AQ128" i="6"/>
  <c r="AS128" i="6" s="1"/>
  <c r="AU128" i="6" s="1"/>
  <c r="AQ132" i="6"/>
  <c r="AS132" i="6" s="1"/>
  <c r="AU132" i="6" s="1"/>
  <c r="AL132" i="6"/>
  <c r="AN132" i="6" s="1"/>
  <c r="AQ64" i="6"/>
  <c r="AS64" i="6" s="1"/>
  <c r="AU64" i="6" s="1"/>
  <c r="AL64" i="6"/>
  <c r="AN64" i="6" s="1"/>
  <c r="AL62" i="6"/>
  <c r="AN62" i="6" s="1"/>
  <c r="BA62" i="6" s="1"/>
  <c r="BB62" i="6" s="1"/>
  <c r="AL58" i="6"/>
  <c r="AN58" i="6" s="1"/>
  <c r="BA58" i="6" s="1"/>
  <c r="BH58" i="6" s="1"/>
  <c r="AQ34" i="6"/>
  <c r="AS34" i="6" s="1"/>
  <c r="AU34" i="6" s="1"/>
  <c r="AL34" i="6"/>
  <c r="AN34" i="6" s="1"/>
  <c r="BA160" i="6"/>
  <c r="BH186" i="6"/>
  <c r="BB186" i="6"/>
  <c r="AL51" i="6"/>
  <c r="AN51" i="6" s="1"/>
  <c r="BA51" i="6" s="1"/>
  <c r="BB51" i="6" s="1"/>
  <c r="AL118" i="6"/>
  <c r="AN118" i="6" s="1"/>
  <c r="BA118" i="6" s="1"/>
  <c r="BH118" i="6" s="1"/>
  <c r="AQ87" i="6"/>
  <c r="AS87" i="6" s="1"/>
  <c r="AU87" i="6" s="1"/>
  <c r="BA87" i="6" s="1"/>
  <c r="BH171" i="6"/>
  <c r="AQ125" i="6"/>
  <c r="AS125" i="6" s="1"/>
  <c r="AU125" i="6" s="1"/>
  <c r="BA125" i="6" s="1"/>
  <c r="BB203" i="6"/>
  <c r="AL45" i="6"/>
  <c r="AN45" i="6" s="1"/>
  <c r="BA45" i="6" s="1"/>
  <c r="BB45" i="6" s="1"/>
  <c r="AQ138" i="6"/>
  <c r="AS138" i="6" s="1"/>
  <c r="AU138" i="6" s="1"/>
  <c r="BA138" i="6" s="1"/>
  <c r="L6" i="21"/>
  <c r="AQ136" i="6"/>
  <c r="AS136" i="6" s="1"/>
  <c r="AU136" i="6" s="1"/>
  <c r="AL136" i="6"/>
  <c r="AN136" i="6" s="1"/>
  <c r="BH198" i="6"/>
  <c r="BB198" i="6"/>
  <c r="AL25" i="6"/>
  <c r="AN25" i="6" s="1"/>
  <c r="AQ25" i="6"/>
  <c r="AS25" i="6" s="1"/>
  <c r="BH199" i="6"/>
  <c r="BB199" i="6"/>
  <c r="AL100" i="6"/>
  <c r="AN100" i="6" s="1"/>
  <c r="AQ100" i="6"/>
  <c r="AS100" i="6" s="1"/>
  <c r="AU100" i="6" s="1"/>
  <c r="AQ135" i="6"/>
  <c r="AS135" i="6" s="1"/>
  <c r="AU135" i="6" s="1"/>
  <c r="AL135" i="6"/>
  <c r="AN135" i="6" s="1"/>
  <c r="AQ92" i="6"/>
  <c r="AS92" i="6" s="1"/>
  <c r="AU92" i="6" s="1"/>
  <c r="AL92" i="6"/>
  <c r="AN92" i="6" s="1"/>
  <c r="AL111" i="6"/>
  <c r="AN111" i="6" s="1"/>
  <c r="AQ111" i="6"/>
  <c r="AS111" i="6" s="1"/>
  <c r="AU111" i="6" s="1"/>
  <c r="BH176" i="6"/>
  <c r="BB176" i="6"/>
  <c r="J6" i="21"/>
  <c r="AQ101" i="6"/>
  <c r="AS101" i="6" s="1"/>
  <c r="AU101" i="6" s="1"/>
  <c r="AL101" i="6"/>
  <c r="AN101" i="6" s="1"/>
  <c r="BH142" i="6"/>
  <c r="BB142" i="6"/>
  <c r="AQ137" i="6"/>
  <c r="AS137" i="6" s="1"/>
  <c r="AU137" i="6" s="1"/>
  <c r="AL137" i="6"/>
  <c r="AN137" i="6" s="1"/>
  <c r="BA145" i="6"/>
  <c r="AQ139" i="6"/>
  <c r="AS139" i="6" s="1"/>
  <c r="AU139" i="6" s="1"/>
  <c r="AL139" i="6"/>
  <c r="AN139" i="6" s="1"/>
  <c r="BH206" i="6"/>
  <c r="BB206" i="6"/>
  <c r="AQ46" i="6"/>
  <c r="AS46" i="6" s="1"/>
  <c r="AU46" i="6" s="1"/>
  <c r="BA46" i="6" s="1"/>
  <c r="BB46" i="6" s="1"/>
  <c r="AQ29" i="6"/>
  <c r="AS29" i="6" s="1"/>
  <c r="AU29" i="6" s="1"/>
  <c r="AL29" i="6"/>
  <c r="AN29" i="6" s="1"/>
  <c r="R16" i="7"/>
  <c r="BH50" i="6" l="1"/>
  <c r="L7" i="21"/>
  <c r="J7" i="21"/>
  <c r="BH31" i="6"/>
  <c r="BB33" i="6"/>
  <c r="H11" i="21"/>
  <c r="H9" i="21"/>
  <c r="BB38" i="6"/>
  <c r="BB127" i="6"/>
  <c r="BB36" i="6"/>
  <c r="BA141" i="6"/>
  <c r="BH16" i="6"/>
  <c r="BH42" i="6"/>
  <c r="BB13" i="6"/>
  <c r="BH26" i="6"/>
  <c r="BH133" i="6"/>
  <c r="H5" i="21"/>
  <c r="BB126" i="6"/>
  <c r="BA157" i="6"/>
  <c r="BA130" i="6"/>
  <c r="BB94" i="6"/>
  <c r="BH39" i="6"/>
  <c r="BB23" i="6"/>
  <c r="BH48" i="6"/>
  <c r="BH10" i="6"/>
  <c r="BH55" i="6"/>
  <c r="BH105" i="6"/>
  <c r="BH17" i="6"/>
  <c r="BB114" i="6"/>
  <c r="BA113" i="6"/>
  <c r="BH113" i="6" s="1"/>
  <c r="H4" i="21"/>
  <c r="BB60" i="6"/>
  <c r="BA81" i="6"/>
  <c r="BA47" i="6"/>
  <c r="BA80" i="6"/>
  <c r="H7" i="21"/>
  <c r="BA83" i="6"/>
  <c r="BA120" i="6"/>
  <c r="BH71" i="6"/>
  <c r="BH63" i="6"/>
  <c r="BH35" i="6"/>
  <c r="E10" i="21"/>
  <c r="G10" i="21" s="1"/>
  <c r="BB129" i="6"/>
  <c r="BB21" i="6"/>
  <c r="BH27" i="6"/>
  <c r="BH14" i="6"/>
  <c r="BA124" i="6"/>
  <c r="BA93" i="6"/>
  <c r="BH167" i="6"/>
  <c r="BA84" i="6"/>
  <c r="BH148" i="6"/>
  <c r="BH30" i="6"/>
  <c r="BH123" i="6"/>
  <c r="BH56" i="6"/>
  <c r="BB65" i="6"/>
  <c r="BA144" i="6"/>
  <c r="BA102" i="6"/>
  <c r="BA154" i="6"/>
  <c r="BA152" i="6"/>
  <c r="BA69" i="6"/>
  <c r="AU104" i="6"/>
  <c r="L4" i="21" s="1"/>
  <c r="J4" i="21"/>
  <c r="AU20" i="6"/>
  <c r="L5" i="21" s="1"/>
  <c r="J5" i="21"/>
  <c r="J9" i="21"/>
  <c r="BA117" i="6"/>
  <c r="BA77" i="6"/>
  <c r="BA116" i="6"/>
  <c r="H8" i="21"/>
  <c r="AU25" i="6"/>
  <c r="J8" i="21"/>
  <c r="BH156" i="6"/>
  <c r="BB88" i="6"/>
  <c r="BB147" i="6"/>
  <c r="BB150" i="6"/>
  <c r="BH75" i="6"/>
  <c r="BB19" i="6"/>
  <c r="E7" i="21"/>
  <c r="G7" i="21" s="1"/>
  <c r="BH41" i="6"/>
  <c r="BB61" i="6"/>
  <c r="BH40" i="6"/>
  <c r="BH57" i="6"/>
  <c r="BB22" i="6"/>
  <c r="BB52" i="6"/>
  <c r="BB53" i="6"/>
  <c r="BH70" i="6"/>
  <c r="BA82" i="6"/>
  <c r="BH82" i="6" s="1"/>
  <c r="BB109" i="6"/>
  <c r="BB161" i="6"/>
  <c r="BH161" i="6"/>
  <c r="BA151" i="6"/>
  <c r="BA131" i="6"/>
  <c r="BA98" i="6"/>
  <c r="BH98" i="6" s="1"/>
  <c r="J11" i="21"/>
  <c r="BA32" i="6"/>
  <c r="E9" i="21" s="1"/>
  <c r="G9" i="21" s="1"/>
  <c r="BH107" i="6"/>
  <c r="BB107" i="6"/>
  <c r="BA99" i="6"/>
  <c r="BA164" i="6"/>
  <c r="BA119" i="6"/>
  <c r="BA146" i="6"/>
  <c r="BH18" i="6"/>
  <c r="BB43" i="6"/>
  <c r="BB54" i="6"/>
  <c r="BH28" i="6"/>
  <c r="BB153" i="6"/>
  <c r="BH44" i="6"/>
  <c r="BH122" i="6"/>
  <c r="BH51" i="6"/>
  <c r="BA128" i="6"/>
  <c r="BB128" i="6" s="1"/>
  <c r="BH162" i="6"/>
  <c r="BB162" i="6"/>
  <c r="BA132" i="6"/>
  <c r="BA103" i="6"/>
  <c r="BA106" i="6"/>
  <c r="BA78" i="6"/>
  <c r="BA24" i="6"/>
  <c r="BH24" i="6" s="1"/>
  <c r="BH158" i="6"/>
  <c r="BB158" i="6"/>
  <c r="BH160" i="6"/>
  <c r="BB160" i="6"/>
  <c r="BA64" i="6"/>
  <c r="BA34" i="6"/>
  <c r="BH155" i="6"/>
  <c r="BB155" i="6"/>
  <c r="BA95" i="6"/>
  <c r="BB134" i="6"/>
  <c r="BH134" i="6"/>
  <c r="BH76" i="6"/>
  <c r="BB76" i="6"/>
  <c r="BA159" i="6"/>
  <c r="BA79" i="6"/>
  <c r="BB118" i="6"/>
  <c r="BB37" i="6"/>
  <c r="BH45" i="6"/>
  <c r="BB58" i="6"/>
  <c r="BB91" i="6"/>
  <c r="BB73" i="6"/>
  <c r="BH73" i="6"/>
  <c r="BA111" i="6"/>
  <c r="BA92" i="6"/>
  <c r="BH92" i="6" s="1"/>
  <c r="BA101" i="6"/>
  <c r="BH101" i="6" s="1"/>
  <c r="BH87" i="6"/>
  <c r="BB87" i="6"/>
  <c r="BB68" i="6"/>
  <c r="BH68" i="6"/>
  <c r="BA100" i="6"/>
  <c r="BA136" i="6"/>
  <c r="BB89" i="6"/>
  <c r="BH89" i="6"/>
  <c r="BH74" i="6"/>
  <c r="BA135" i="6"/>
  <c r="BH138" i="6"/>
  <c r="BB138" i="6"/>
  <c r="BB72" i="6"/>
  <c r="BH72" i="6"/>
  <c r="BH121" i="6"/>
  <c r="BB121" i="6"/>
  <c r="BB140" i="6"/>
  <c r="BH140" i="6"/>
  <c r="BB59" i="6"/>
  <c r="BH59" i="6"/>
  <c r="BH90" i="6"/>
  <c r="BB90" i="6"/>
  <c r="BA139" i="6"/>
  <c r="BH139" i="6" s="1"/>
  <c r="BH143" i="6"/>
  <c r="BB143" i="6"/>
  <c r="BH125" i="6"/>
  <c r="BB125" i="6"/>
  <c r="BB115" i="6"/>
  <c r="BH115" i="6"/>
  <c r="BB112" i="6"/>
  <c r="BH112" i="6"/>
  <c r="BB96" i="6"/>
  <c r="BH96" i="6"/>
  <c r="BH86" i="6"/>
  <c r="BB86" i="6"/>
  <c r="BH108" i="6"/>
  <c r="BB108" i="6"/>
  <c r="BB85" i="6"/>
  <c r="BH85" i="6"/>
  <c r="BA137" i="6"/>
  <c r="BH110" i="6"/>
  <c r="BB110" i="6"/>
  <c r="BB97" i="6"/>
  <c r="BH97" i="6"/>
  <c r="BB145" i="6"/>
  <c r="BH145" i="6"/>
  <c r="BH149" i="6"/>
  <c r="BB149" i="6"/>
  <c r="BH62" i="6"/>
  <c r="BB67" i="6"/>
  <c r="BB66" i="6"/>
  <c r="BH46" i="6"/>
  <c r="BA29" i="6"/>
  <c r="BH29" i="6" s="1"/>
  <c r="BH49" i="6"/>
  <c r="BB49" i="6"/>
  <c r="BH15" i="6"/>
  <c r="BB15" i="6"/>
  <c r="R17" i="7"/>
  <c r="BB141" i="6" l="1"/>
  <c r="BH141" i="6"/>
  <c r="BB130" i="6"/>
  <c r="BH130" i="6"/>
  <c r="BH157" i="6"/>
  <c r="BB157" i="6"/>
  <c r="BB113" i="6"/>
  <c r="BB47" i="6"/>
  <c r="BH47" i="6"/>
  <c r="BH81" i="6"/>
  <c r="BB81" i="6"/>
  <c r="BB80" i="6"/>
  <c r="BH80" i="6"/>
  <c r="BB120" i="6"/>
  <c r="BH120" i="6"/>
  <c r="BH83" i="6"/>
  <c r="BB83" i="6"/>
  <c r="BB84" i="6"/>
  <c r="BH84" i="6"/>
  <c r="BB93" i="6"/>
  <c r="BH93" i="6"/>
  <c r="BH124" i="6"/>
  <c r="BB124" i="6"/>
  <c r="BA104" i="6"/>
  <c r="E4" i="21" s="1"/>
  <c r="G4" i="21" s="1"/>
  <c r="BA20" i="6"/>
  <c r="E5" i="21" s="1"/>
  <c r="G5" i="21" s="1"/>
  <c r="BH102" i="6"/>
  <c r="BB102" i="6"/>
  <c r="BB144" i="6"/>
  <c r="BH144" i="6"/>
  <c r="BB69" i="6"/>
  <c r="BH69" i="6"/>
  <c r="BB152" i="6"/>
  <c r="BH152" i="6"/>
  <c r="BB154" i="6"/>
  <c r="BH154" i="6"/>
  <c r="BB116" i="6"/>
  <c r="BH116" i="6"/>
  <c r="BB77" i="6"/>
  <c r="BH77" i="6"/>
  <c r="BB117" i="6"/>
  <c r="BH117" i="6"/>
  <c r="L11" i="21"/>
  <c r="L8" i="21"/>
  <c r="BA25" i="6"/>
  <c r="BB82" i="6"/>
  <c r="BH131" i="6"/>
  <c r="BB131" i="6"/>
  <c r="E11" i="21"/>
  <c r="BB98" i="6"/>
  <c r="BH151" i="6"/>
  <c r="BB151" i="6"/>
  <c r="BH119" i="6"/>
  <c r="BB119" i="6"/>
  <c r="BH164" i="6"/>
  <c r="BB164" i="6"/>
  <c r="BB99" i="6"/>
  <c r="BH99" i="6"/>
  <c r="BH146" i="6"/>
  <c r="BB146" i="6"/>
  <c r="BH32" i="6"/>
  <c r="BB32" i="6"/>
  <c r="BH128" i="6"/>
  <c r="BB24" i="6"/>
  <c r="BB106" i="6"/>
  <c r="BH106" i="6"/>
  <c r="BB103" i="6"/>
  <c r="BH103" i="6"/>
  <c r="BB132" i="6"/>
  <c r="BH132" i="6"/>
  <c r="BB78" i="6"/>
  <c r="BH78" i="6"/>
  <c r="BH79" i="6"/>
  <c r="BB79" i="6"/>
  <c r="BH95" i="6"/>
  <c r="BB95" i="6"/>
  <c r="BB159" i="6"/>
  <c r="BH159" i="6"/>
  <c r="BH34" i="6"/>
  <c r="BB34" i="6"/>
  <c r="BB64" i="6"/>
  <c r="BH64" i="6"/>
  <c r="BB92" i="6"/>
  <c r="BB101" i="6"/>
  <c r="BH111" i="6"/>
  <c r="BB111" i="6"/>
  <c r="BB135" i="6"/>
  <c r="BH135" i="6"/>
  <c r="BB136" i="6"/>
  <c r="BH136" i="6"/>
  <c r="BH100" i="6"/>
  <c r="BB100" i="6"/>
  <c r="BB139" i="6"/>
  <c r="BB137" i="6"/>
  <c r="BH137" i="6"/>
  <c r="BB29" i="6"/>
  <c r="R18" i="7"/>
  <c r="BB104" i="6" l="1"/>
  <c r="BH104" i="6"/>
  <c r="W15" i="7"/>
  <c r="T15" i="7" s="1"/>
  <c r="W13" i="7"/>
  <c r="T13" i="7" s="1"/>
  <c r="BH20" i="6"/>
  <c r="BB20" i="6"/>
  <c r="W16" i="7"/>
  <c r="T16" i="7" s="1"/>
  <c r="W6" i="7"/>
  <c r="U6" i="7" s="1"/>
  <c r="W4" i="7"/>
  <c r="U4" i="7" s="1"/>
  <c r="W14" i="7"/>
  <c r="V14" i="7" s="1"/>
  <c r="W3" i="7"/>
  <c r="V3" i="7" s="1"/>
  <c r="W5" i="7"/>
  <c r="V5" i="7" s="1"/>
  <c r="W12" i="7"/>
  <c r="T12" i="7" s="1"/>
  <c r="W11" i="7"/>
  <c r="V11" i="7" s="1"/>
  <c r="W7" i="7"/>
  <c r="V7" i="7" s="1"/>
  <c r="W8" i="7"/>
  <c r="V8" i="7" s="1"/>
  <c r="W2" i="7"/>
  <c r="T2" i="7" s="1"/>
  <c r="W10" i="7"/>
  <c r="T10" i="7" s="1"/>
  <c r="BB25" i="6"/>
  <c r="W17" i="7"/>
  <c r="V17" i="7" s="1"/>
  <c r="W9" i="7"/>
  <c r="V9" i="7" s="1"/>
  <c r="BH25" i="6"/>
  <c r="E8" i="21"/>
  <c r="G8" i="21" s="1"/>
  <c r="G13" i="21" s="1"/>
  <c r="R19" i="7"/>
  <c r="W18" i="7"/>
  <c r="E13" i="21" l="1"/>
  <c r="V15" i="7"/>
  <c r="U15" i="7"/>
  <c r="V13" i="7"/>
  <c r="V16" i="7"/>
  <c r="U13" i="7"/>
  <c r="U16" i="7"/>
  <c r="T6" i="7"/>
  <c r="V6" i="7"/>
  <c r="U2" i="7"/>
  <c r="V4" i="7"/>
  <c r="U8" i="7"/>
  <c r="U3" i="7"/>
  <c r="V2" i="7"/>
  <c r="T8" i="7"/>
  <c r="U12" i="7"/>
  <c r="U9" i="7"/>
  <c r="T4" i="7"/>
  <c r="V10" i="7"/>
  <c r="T3" i="7"/>
  <c r="T9" i="7"/>
  <c r="T5" i="7"/>
  <c r="U10" i="7"/>
  <c r="U14" i="7"/>
  <c r="U5" i="7"/>
  <c r="U7" i="7"/>
  <c r="U11" i="7"/>
  <c r="T11" i="7"/>
  <c r="T7" i="7"/>
  <c r="U17" i="7"/>
  <c r="T17" i="7"/>
  <c r="V12" i="7"/>
  <c r="T14" i="7"/>
  <c r="T18" i="7"/>
  <c r="U18" i="7"/>
  <c r="V18" i="7"/>
  <c r="R20" i="7"/>
  <c r="W19" i="7"/>
  <c r="T19" i="7" l="1"/>
  <c r="U19" i="7"/>
  <c r="V19" i="7"/>
  <c r="R21" i="7"/>
  <c r="W20" i="7"/>
  <c r="U20" i="7" l="1"/>
  <c r="V20" i="7"/>
  <c r="T20" i="7"/>
  <c r="R22" i="7"/>
  <c r="W21" i="7"/>
  <c r="T21" i="7" l="1"/>
  <c r="U21" i="7"/>
  <c r="R23" i="7"/>
  <c r="W22" i="7"/>
  <c r="T22" i="7" l="1"/>
  <c r="U22" i="7"/>
  <c r="V22" i="7"/>
  <c r="R24" i="7"/>
  <c r="W23" i="7"/>
  <c r="T23" i="7" l="1"/>
  <c r="U23" i="7"/>
  <c r="V23" i="7"/>
  <c r="R25" i="7"/>
  <c r="W24" i="7"/>
  <c r="U24" i="7" l="1"/>
  <c r="V24" i="7"/>
  <c r="T24" i="7"/>
  <c r="R26" i="7"/>
  <c r="W25" i="7"/>
  <c r="V25" i="7" l="1"/>
  <c r="T25" i="7"/>
  <c r="U25" i="7"/>
  <c r="R27" i="7"/>
  <c r="W26" i="7"/>
  <c r="T26" i="7" l="1"/>
  <c r="U26" i="7"/>
  <c r="V26" i="7"/>
  <c r="R28" i="7"/>
  <c r="W27" i="7"/>
  <c r="T27" i="7" l="1"/>
  <c r="U27" i="7"/>
  <c r="V27" i="7"/>
  <c r="R29" i="7"/>
  <c r="W28" i="7"/>
  <c r="U28" i="7" l="1"/>
  <c r="V28" i="7"/>
  <c r="T28" i="7"/>
  <c r="R30" i="7"/>
  <c r="W29" i="7"/>
  <c r="V29" i="7" l="1"/>
  <c r="T29" i="7"/>
  <c r="U29" i="7"/>
  <c r="R31" i="7"/>
  <c r="W30" i="7"/>
  <c r="T30" i="7" l="1"/>
  <c r="U30" i="7"/>
  <c r="V30" i="7"/>
  <c r="R32" i="7"/>
  <c r="W31" i="7"/>
  <c r="T31" i="7" l="1"/>
  <c r="U31" i="7"/>
  <c r="V31" i="7"/>
  <c r="R33" i="7"/>
  <c r="W32" i="7"/>
  <c r="U32" i="7" l="1"/>
  <c r="V32" i="7"/>
  <c r="T32" i="7"/>
  <c r="R34" i="7"/>
  <c r="W33" i="7"/>
  <c r="V33" i="7" l="1"/>
  <c r="T33" i="7"/>
  <c r="U33" i="7"/>
  <c r="R35" i="7"/>
  <c r="W34" i="7"/>
  <c r="T34" i="7" l="1"/>
  <c r="U34" i="7"/>
  <c r="V34" i="7"/>
  <c r="R36" i="7"/>
  <c r="W35" i="7"/>
  <c r="T35" i="7" l="1"/>
  <c r="U35" i="7"/>
  <c r="V35" i="7"/>
  <c r="R37" i="7"/>
  <c r="W36" i="7"/>
  <c r="U36" i="7" l="1"/>
  <c r="V36" i="7"/>
  <c r="T36" i="7"/>
  <c r="R38" i="7"/>
  <c r="W37" i="7"/>
  <c r="V37" i="7" l="1"/>
  <c r="T37" i="7"/>
  <c r="U37" i="7"/>
  <c r="R39" i="7"/>
  <c r="W38" i="7"/>
  <c r="T38" i="7" l="1"/>
  <c r="U38" i="7"/>
  <c r="V38" i="7"/>
  <c r="R40" i="7"/>
  <c r="W39" i="7"/>
  <c r="T39" i="7" l="1"/>
  <c r="U39" i="7"/>
  <c r="V39" i="7"/>
  <c r="R41" i="7"/>
  <c r="W40" i="7"/>
  <c r="U40" i="7" l="1"/>
  <c r="T40" i="7"/>
  <c r="V40" i="7"/>
  <c r="R42" i="7"/>
  <c r="W41" i="7"/>
  <c r="V41" i="7" l="1"/>
  <c r="T41" i="7"/>
  <c r="U41" i="7"/>
  <c r="R43" i="7"/>
  <c r="W42" i="7"/>
  <c r="T42" i="7" l="1"/>
  <c r="U42" i="7"/>
  <c r="V42" i="7"/>
  <c r="R44" i="7"/>
  <c r="W43" i="7"/>
  <c r="T43" i="7" l="1"/>
  <c r="V43" i="7"/>
  <c r="U43" i="7"/>
  <c r="R45" i="7"/>
  <c r="W44" i="7"/>
  <c r="U44" i="7" l="1"/>
  <c r="T44" i="7"/>
  <c r="V44" i="7"/>
  <c r="R46" i="7"/>
  <c r="W45" i="7"/>
  <c r="V45" i="7" l="1"/>
  <c r="U45" i="7"/>
  <c r="T45" i="7"/>
  <c r="R47" i="7"/>
  <c r="W46" i="7"/>
  <c r="T46" i="7" l="1"/>
  <c r="V46" i="7"/>
  <c r="U46" i="7"/>
  <c r="R48" i="7"/>
  <c r="W47" i="7"/>
  <c r="T47" i="7" l="1"/>
  <c r="U47" i="7"/>
  <c r="V47" i="7"/>
  <c r="R49" i="7"/>
  <c r="W48" i="7"/>
  <c r="U48" i="7" l="1"/>
  <c r="T48" i="7"/>
  <c r="V48" i="7"/>
  <c r="R50" i="7"/>
  <c r="W49" i="7"/>
  <c r="V49" i="7" l="1"/>
  <c r="T49" i="7"/>
  <c r="U49" i="7"/>
  <c r="R51" i="7"/>
  <c r="W50" i="7"/>
  <c r="V50" i="7" l="1"/>
  <c r="T50" i="7"/>
  <c r="U50" i="7"/>
  <c r="R52" i="7"/>
  <c r="W51" i="7"/>
  <c r="T51" i="7" l="1"/>
  <c r="U51" i="7"/>
  <c r="V51" i="7"/>
  <c r="R53" i="7"/>
  <c r="W52" i="7"/>
  <c r="U52" i="7" l="1"/>
  <c r="V52" i="7"/>
  <c r="T52" i="7"/>
  <c r="R54" i="7"/>
  <c r="W53" i="7"/>
  <c r="V53" i="7" l="1"/>
  <c r="T53" i="7"/>
  <c r="U53" i="7"/>
  <c r="R55" i="7"/>
  <c r="W54" i="7"/>
  <c r="U54" i="7" l="1"/>
  <c r="V54" i="7"/>
  <c r="T54" i="7"/>
  <c r="R56" i="7"/>
  <c r="W55" i="7"/>
  <c r="T55" i="7" l="1"/>
  <c r="U55" i="7"/>
  <c r="V55" i="7"/>
  <c r="R57" i="7"/>
  <c r="W56" i="7"/>
  <c r="U56" i="7" l="1"/>
  <c r="T56" i="7"/>
  <c r="V56" i="7"/>
  <c r="R58" i="7"/>
  <c r="W57" i="7"/>
  <c r="V57" i="7" l="1"/>
  <c r="T57" i="7"/>
  <c r="U57" i="7"/>
  <c r="R59" i="7"/>
  <c r="W58" i="7"/>
  <c r="T58" i="7" l="1"/>
  <c r="U58" i="7"/>
  <c r="V58" i="7"/>
  <c r="R60" i="7"/>
  <c r="W59" i="7"/>
  <c r="T59" i="7" l="1"/>
  <c r="V59" i="7"/>
  <c r="U59" i="7"/>
  <c r="R61" i="7"/>
  <c r="W60" i="7"/>
  <c r="U60" i="7" l="1"/>
  <c r="T60" i="7"/>
  <c r="V60" i="7"/>
  <c r="R62" i="7"/>
  <c r="W61" i="7"/>
  <c r="V61" i="7" l="1"/>
  <c r="U61" i="7"/>
  <c r="T61" i="7"/>
  <c r="R63" i="7"/>
  <c r="W62" i="7"/>
  <c r="T62" i="7" l="1"/>
  <c r="U62" i="7"/>
  <c r="V62" i="7"/>
  <c r="R64" i="7"/>
  <c r="W63" i="7"/>
  <c r="T63" i="7" l="1"/>
  <c r="U63" i="7"/>
  <c r="V63" i="7"/>
  <c r="R65" i="7"/>
  <c r="W64" i="7"/>
  <c r="U64" i="7" l="1"/>
  <c r="T64" i="7"/>
  <c r="V64" i="7"/>
  <c r="R66" i="7"/>
  <c r="W65" i="7"/>
  <c r="V65" i="7" l="1"/>
  <c r="T65" i="7"/>
  <c r="U65" i="7"/>
  <c r="R67" i="7"/>
  <c r="W66" i="7"/>
  <c r="V66" i="7" l="1"/>
  <c r="T66" i="7"/>
  <c r="U66" i="7"/>
  <c r="R68" i="7"/>
  <c r="W67" i="7"/>
  <c r="T67" i="7" l="1"/>
  <c r="U67" i="7"/>
  <c r="V67" i="7"/>
  <c r="R69" i="7"/>
  <c r="W68" i="7"/>
  <c r="U68" i="7" l="1"/>
  <c r="V68" i="7"/>
  <c r="T68" i="7"/>
  <c r="R70" i="7"/>
  <c r="W69" i="7"/>
  <c r="V69" i="7" l="1"/>
  <c r="T69" i="7"/>
  <c r="U69" i="7"/>
  <c r="R71" i="7"/>
  <c r="W70" i="7"/>
  <c r="U70" i="7" l="1"/>
  <c r="V70" i="7"/>
  <c r="T70" i="7"/>
  <c r="R72" i="7"/>
  <c r="W71" i="7"/>
  <c r="T71" i="7" l="1"/>
  <c r="U71" i="7"/>
  <c r="V71" i="7"/>
  <c r="R73" i="7"/>
  <c r="W72" i="7"/>
  <c r="U72" i="7" l="1"/>
  <c r="T72" i="7"/>
  <c r="V72" i="7"/>
  <c r="R74" i="7"/>
  <c r="W73" i="7"/>
  <c r="V73" i="7" l="1"/>
  <c r="T73" i="7"/>
  <c r="U73" i="7"/>
  <c r="R75" i="7"/>
  <c r="W74" i="7"/>
  <c r="T74" i="7" l="1"/>
  <c r="U74" i="7"/>
  <c r="V74" i="7"/>
  <c r="R76" i="7"/>
  <c r="W75" i="7"/>
  <c r="T75" i="7" l="1"/>
  <c r="V75" i="7"/>
  <c r="U75" i="7"/>
  <c r="R77" i="7"/>
  <c r="W76" i="7"/>
  <c r="U76" i="7" l="1"/>
  <c r="T76" i="7"/>
  <c r="V76" i="7"/>
  <c r="R78" i="7"/>
  <c r="W77" i="7"/>
  <c r="V77" i="7" l="1"/>
  <c r="U77" i="7"/>
  <c r="T77" i="7"/>
  <c r="R79" i="7"/>
  <c r="W78" i="7"/>
  <c r="T78" i="7" l="1"/>
  <c r="U78" i="7"/>
  <c r="V78" i="7"/>
  <c r="R80" i="7"/>
  <c r="W79" i="7"/>
  <c r="T79" i="7" l="1"/>
  <c r="U79" i="7"/>
  <c r="V79" i="7"/>
  <c r="R81" i="7"/>
  <c r="W80" i="7"/>
  <c r="U80" i="7" l="1"/>
  <c r="T80" i="7"/>
  <c r="V80" i="7"/>
  <c r="R82" i="7"/>
  <c r="W81" i="7"/>
  <c r="V81" i="7" l="1"/>
  <c r="T81" i="7"/>
  <c r="U81" i="7"/>
  <c r="R83" i="7"/>
  <c r="W82" i="7"/>
  <c r="V82" i="7" l="1"/>
  <c r="U82" i="7"/>
  <c r="T82" i="7"/>
  <c r="R84" i="7"/>
  <c r="W83" i="7"/>
  <c r="T83" i="7" l="1"/>
  <c r="U83" i="7"/>
  <c r="V83" i="7"/>
  <c r="R85" i="7"/>
  <c r="W84" i="7"/>
  <c r="U84" i="7" l="1"/>
  <c r="V84" i="7"/>
  <c r="T84" i="7"/>
  <c r="R86" i="7"/>
  <c r="W85" i="7"/>
  <c r="V85" i="7" l="1"/>
  <c r="T85" i="7"/>
  <c r="U85" i="7"/>
  <c r="R87" i="7"/>
  <c r="W86" i="7"/>
  <c r="U86" i="7" l="1"/>
  <c r="V86" i="7"/>
  <c r="T86" i="7"/>
  <c r="R88" i="7"/>
  <c r="W87" i="7"/>
  <c r="T87" i="7" l="1"/>
  <c r="U87" i="7"/>
  <c r="V87" i="7"/>
  <c r="R89" i="7"/>
  <c r="W88" i="7"/>
  <c r="U88" i="7" l="1"/>
  <c r="T88" i="7"/>
  <c r="V88" i="7"/>
  <c r="R90" i="7"/>
  <c r="W89" i="7"/>
  <c r="V89" i="7" l="1"/>
  <c r="U89" i="7"/>
  <c r="T89" i="7"/>
  <c r="R91" i="7"/>
  <c r="W90" i="7"/>
  <c r="T90" i="7" l="1"/>
  <c r="U90" i="7"/>
  <c r="V90" i="7"/>
  <c r="R92" i="7"/>
  <c r="W91" i="7"/>
  <c r="T91" i="7" l="1"/>
  <c r="V91" i="7"/>
  <c r="U91" i="7"/>
  <c r="R93" i="7"/>
  <c r="W92" i="7"/>
  <c r="U92" i="7" l="1"/>
  <c r="T92" i="7"/>
  <c r="V92" i="7"/>
  <c r="R94" i="7"/>
  <c r="W93" i="7"/>
  <c r="V93" i="7" l="1"/>
  <c r="U93" i="7"/>
  <c r="T93" i="7"/>
  <c r="R95" i="7"/>
  <c r="W94" i="7"/>
  <c r="T94" i="7" l="1"/>
  <c r="U94" i="7"/>
  <c r="V94" i="7"/>
  <c r="R96" i="7"/>
  <c r="W95" i="7"/>
  <c r="T95" i="7" l="1"/>
  <c r="U95" i="7"/>
  <c r="V95" i="7"/>
  <c r="R97" i="7"/>
  <c r="W96" i="7"/>
  <c r="U96" i="7" l="1"/>
  <c r="T96" i="7"/>
  <c r="V96" i="7"/>
  <c r="R98" i="7"/>
  <c r="W97" i="7"/>
  <c r="V97" i="7" l="1"/>
  <c r="T97" i="7"/>
  <c r="U97" i="7"/>
  <c r="R99" i="7"/>
  <c r="W98" i="7"/>
  <c r="V98" i="7" l="1"/>
  <c r="T98" i="7"/>
  <c r="U98" i="7"/>
  <c r="R100" i="7"/>
  <c r="W99" i="7"/>
  <c r="T99" i="7" l="1"/>
  <c r="U99" i="7"/>
  <c r="V99" i="7"/>
  <c r="R101" i="7"/>
  <c r="W100" i="7"/>
  <c r="U100" i="7" l="1"/>
  <c r="V100" i="7"/>
  <c r="T100" i="7"/>
  <c r="R102" i="7"/>
  <c r="W101" i="7"/>
  <c r="V101" i="7" l="1"/>
  <c r="T101" i="7"/>
  <c r="U101" i="7"/>
  <c r="R103" i="7"/>
  <c r="W102" i="7"/>
  <c r="U102" i="7" l="1"/>
  <c r="T102" i="7"/>
  <c r="V102" i="7"/>
  <c r="R104" i="7"/>
  <c r="W103" i="7"/>
  <c r="T103" i="7" l="1"/>
  <c r="U103" i="7"/>
  <c r="V103" i="7"/>
  <c r="R105" i="7"/>
  <c r="W104" i="7"/>
  <c r="U104" i="7" l="1"/>
  <c r="T104" i="7"/>
  <c r="V104" i="7"/>
  <c r="R106" i="7"/>
  <c r="W105" i="7"/>
  <c r="V105" i="7" l="1"/>
  <c r="U105" i="7"/>
  <c r="T105" i="7"/>
  <c r="R107" i="7"/>
  <c r="W106" i="7"/>
  <c r="T106" i="7" l="1"/>
  <c r="U106" i="7"/>
  <c r="V106" i="7"/>
  <c r="R108" i="7"/>
  <c r="W107" i="7"/>
  <c r="T107" i="7" l="1"/>
  <c r="V107" i="7"/>
  <c r="U107" i="7"/>
  <c r="R109" i="7"/>
  <c r="W108" i="7"/>
  <c r="U108" i="7" l="1"/>
  <c r="T108" i="7"/>
  <c r="V108" i="7"/>
  <c r="R110" i="7"/>
  <c r="W109" i="7"/>
  <c r="V109" i="7" l="1"/>
  <c r="U109" i="7"/>
  <c r="T109" i="7"/>
  <c r="R111" i="7"/>
  <c r="W110" i="7"/>
  <c r="U110" i="7" l="1"/>
  <c r="V110" i="7"/>
  <c r="T110" i="7"/>
  <c r="R112" i="7"/>
  <c r="W111" i="7"/>
  <c r="T111" i="7" l="1"/>
  <c r="U111" i="7"/>
  <c r="V111" i="7"/>
  <c r="R113" i="7"/>
  <c r="W112" i="7"/>
  <c r="U112" i="7" l="1"/>
  <c r="V112" i="7"/>
  <c r="T112" i="7"/>
  <c r="R114" i="7"/>
  <c r="W113" i="7"/>
  <c r="V113" i="7" l="1"/>
  <c r="T113" i="7"/>
  <c r="U113" i="7"/>
  <c r="R115" i="7"/>
  <c r="W114" i="7"/>
  <c r="V114" i="7" l="1"/>
  <c r="T114" i="7"/>
  <c r="U114" i="7"/>
  <c r="R116" i="7"/>
  <c r="W115" i="7"/>
  <c r="T115" i="7" l="1"/>
  <c r="U115" i="7"/>
  <c r="V115" i="7"/>
  <c r="R117" i="7"/>
  <c r="W116" i="7"/>
  <c r="U116" i="7" l="1"/>
  <c r="T116" i="7"/>
  <c r="V116" i="7"/>
  <c r="R118" i="7"/>
  <c r="W117" i="7"/>
  <c r="V117" i="7" l="1"/>
  <c r="T117" i="7"/>
  <c r="U117" i="7"/>
  <c r="R119" i="7"/>
  <c r="W118" i="7"/>
  <c r="V118" i="7" l="1"/>
  <c r="T118" i="7"/>
  <c r="U118" i="7"/>
  <c r="R120" i="7"/>
  <c r="W119" i="7"/>
  <c r="T119" i="7" l="1"/>
  <c r="U119" i="7"/>
  <c r="V119" i="7"/>
  <c r="R121" i="7"/>
  <c r="W120" i="7"/>
  <c r="U120" i="7" l="1"/>
  <c r="V120" i="7"/>
  <c r="T120" i="7"/>
  <c r="R122" i="7"/>
  <c r="W121" i="7"/>
  <c r="V121" i="7" l="1"/>
  <c r="T121" i="7"/>
  <c r="U121" i="7"/>
  <c r="R123" i="7"/>
  <c r="W122" i="7"/>
  <c r="U122" i="7" l="1"/>
  <c r="V122" i="7"/>
  <c r="T122" i="7"/>
  <c r="R124" i="7"/>
  <c r="W123" i="7"/>
  <c r="T123" i="7" l="1"/>
  <c r="V123" i="7"/>
  <c r="U123" i="7"/>
  <c r="R125" i="7"/>
  <c r="W124" i="7"/>
  <c r="U124" i="7" l="1"/>
  <c r="T124" i="7"/>
  <c r="V124" i="7"/>
  <c r="R126" i="7"/>
  <c r="W125" i="7"/>
  <c r="V125" i="7" l="1"/>
  <c r="T125" i="7"/>
  <c r="U125" i="7"/>
  <c r="R127" i="7"/>
  <c r="W126" i="7"/>
  <c r="T126" i="7" l="1"/>
  <c r="U126" i="7"/>
  <c r="V126" i="7"/>
  <c r="R128" i="7"/>
  <c r="W127" i="7"/>
  <c r="T127" i="7" l="1"/>
  <c r="V127" i="7"/>
  <c r="U127" i="7"/>
  <c r="R129" i="7"/>
  <c r="W128" i="7"/>
  <c r="U128" i="7" l="1"/>
  <c r="T128" i="7"/>
  <c r="V128" i="7"/>
  <c r="R130" i="7"/>
  <c r="W129" i="7"/>
  <c r="V129" i="7" l="1"/>
  <c r="U129" i="7"/>
  <c r="T129" i="7"/>
  <c r="R131" i="7"/>
  <c r="W130" i="7"/>
  <c r="T130" i="7" l="1"/>
  <c r="U130" i="7"/>
  <c r="V130" i="7"/>
  <c r="R132" i="7"/>
  <c r="W131" i="7"/>
  <c r="T131" i="7" l="1"/>
  <c r="U131" i="7"/>
  <c r="V131" i="7"/>
  <c r="R133" i="7"/>
  <c r="W132" i="7"/>
  <c r="U132" i="7" l="1"/>
  <c r="T132" i="7"/>
  <c r="V132" i="7"/>
  <c r="R134" i="7"/>
  <c r="W133" i="7"/>
  <c r="V133" i="7" l="1"/>
  <c r="T133" i="7"/>
  <c r="U133" i="7"/>
  <c r="R135" i="7"/>
  <c r="W134" i="7"/>
  <c r="V134" i="7" l="1"/>
  <c r="T134" i="7"/>
  <c r="U134" i="7"/>
  <c r="R136" i="7"/>
  <c r="W135" i="7"/>
  <c r="T135" i="7" l="1"/>
  <c r="U135" i="7"/>
  <c r="V135" i="7"/>
  <c r="R137" i="7"/>
  <c r="W136" i="7"/>
  <c r="U136" i="7" l="1"/>
  <c r="V136" i="7"/>
  <c r="T136" i="7"/>
  <c r="R138" i="7"/>
  <c r="W137" i="7"/>
  <c r="V137" i="7" l="1"/>
  <c r="T137" i="7"/>
  <c r="U137" i="7"/>
  <c r="R139" i="7"/>
  <c r="W138" i="7"/>
  <c r="U138" i="7" l="1"/>
  <c r="V138" i="7"/>
  <c r="T138" i="7"/>
  <c r="R140" i="7"/>
  <c r="W139" i="7"/>
  <c r="T139" i="7" l="1"/>
  <c r="U139" i="7"/>
  <c r="V139" i="7"/>
  <c r="R141" i="7"/>
  <c r="W140" i="7"/>
  <c r="U140" i="7" l="1"/>
  <c r="T140" i="7"/>
  <c r="V140" i="7"/>
  <c r="R142" i="7"/>
  <c r="W141" i="7"/>
  <c r="V141" i="7" l="1"/>
  <c r="U141" i="7"/>
  <c r="T141" i="7"/>
  <c r="R143" i="7"/>
  <c r="W142" i="7"/>
  <c r="T142" i="7" l="1"/>
  <c r="U142" i="7"/>
  <c r="V142" i="7"/>
  <c r="R144" i="7"/>
  <c r="W143" i="7"/>
  <c r="T143" i="7" l="1"/>
  <c r="V143" i="7"/>
  <c r="U143" i="7"/>
  <c r="R145" i="7"/>
  <c r="W144" i="7"/>
  <c r="U144" i="7" l="1"/>
  <c r="T144" i="7"/>
  <c r="V144" i="7"/>
  <c r="R146" i="7"/>
  <c r="W145" i="7"/>
  <c r="V145" i="7" l="1"/>
  <c r="U145" i="7"/>
  <c r="T145" i="7"/>
  <c r="R147" i="7"/>
  <c r="W146" i="7"/>
  <c r="T146" i="7" l="1"/>
  <c r="U146" i="7"/>
  <c r="V146" i="7"/>
  <c r="R148" i="7"/>
  <c r="W147" i="7"/>
  <c r="T147" i="7" l="1"/>
  <c r="U147" i="7"/>
  <c r="V147" i="7"/>
  <c r="R149" i="7"/>
  <c r="W148" i="7"/>
  <c r="U148" i="7" l="1"/>
  <c r="T148" i="7"/>
  <c r="V148" i="7"/>
  <c r="R150" i="7"/>
  <c r="W149" i="7"/>
  <c r="V149" i="7" l="1"/>
  <c r="T149" i="7"/>
  <c r="U149" i="7"/>
  <c r="R151" i="7"/>
  <c r="W150" i="7"/>
  <c r="V150" i="7" l="1"/>
  <c r="T150" i="7"/>
  <c r="U150" i="7"/>
  <c r="R152" i="7"/>
  <c r="W151" i="7"/>
  <c r="T151" i="7" l="1"/>
  <c r="U151" i="7"/>
  <c r="V151" i="7"/>
  <c r="R153" i="7"/>
  <c r="W152" i="7"/>
  <c r="U152" i="7" l="1"/>
  <c r="V152" i="7"/>
  <c r="T152" i="7"/>
  <c r="R154" i="7"/>
  <c r="W153" i="7"/>
  <c r="V153" i="7" l="1"/>
  <c r="T153" i="7"/>
  <c r="U153" i="7"/>
  <c r="R155" i="7"/>
  <c r="W154" i="7"/>
  <c r="U154" i="7" l="1"/>
  <c r="V154" i="7"/>
  <c r="T154" i="7"/>
  <c r="R156" i="7"/>
  <c r="W155" i="7"/>
  <c r="T155" i="7" l="1"/>
  <c r="U155" i="7"/>
  <c r="V155" i="7"/>
  <c r="R157" i="7"/>
  <c r="W156" i="7"/>
  <c r="U156" i="7" l="1"/>
  <c r="T156" i="7"/>
  <c r="V156" i="7"/>
  <c r="R158" i="7"/>
  <c r="W157" i="7"/>
  <c r="V157" i="7" l="1"/>
  <c r="T157" i="7"/>
  <c r="U157" i="7"/>
  <c r="R159" i="7"/>
  <c r="W158" i="7"/>
  <c r="T158" i="7" l="1"/>
  <c r="U158" i="7"/>
  <c r="V158" i="7"/>
  <c r="R160" i="7"/>
  <c r="W159" i="7"/>
  <c r="T159" i="7" l="1"/>
  <c r="V159" i="7"/>
  <c r="U159" i="7"/>
  <c r="R161" i="7"/>
  <c r="W160" i="7"/>
  <c r="U160" i="7" l="1"/>
  <c r="T160" i="7"/>
  <c r="V160" i="7"/>
  <c r="R162" i="7"/>
  <c r="W161" i="7"/>
  <c r="V161" i="7" l="1"/>
  <c r="U161" i="7"/>
  <c r="T161" i="7"/>
  <c r="R163" i="7"/>
  <c r="W162" i="7"/>
  <c r="T162" i="7" l="1"/>
  <c r="U162" i="7"/>
  <c r="V162" i="7"/>
  <c r="R164" i="7"/>
  <c r="W163" i="7"/>
  <c r="T163" i="7" l="1"/>
  <c r="U163" i="7"/>
  <c r="V163" i="7"/>
  <c r="R165" i="7"/>
  <c r="W164" i="7"/>
  <c r="U164" i="7" l="1"/>
  <c r="T164" i="7"/>
  <c r="V164" i="7"/>
  <c r="R166" i="7"/>
  <c r="W165" i="7"/>
  <c r="V165" i="7" l="1"/>
  <c r="T165" i="7"/>
  <c r="U165" i="7"/>
  <c r="R167" i="7"/>
  <c r="W166" i="7"/>
  <c r="V166" i="7" l="1"/>
  <c r="T166" i="7"/>
  <c r="U166" i="7"/>
  <c r="R168" i="7"/>
  <c r="W167" i="7"/>
  <c r="T167" i="7" l="1"/>
  <c r="U167" i="7"/>
  <c r="V167" i="7"/>
  <c r="R169" i="7"/>
  <c r="W168" i="7"/>
  <c r="U168" i="7" l="1"/>
  <c r="V168" i="7"/>
  <c r="T168" i="7"/>
  <c r="R170" i="7"/>
  <c r="W169" i="7"/>
  <c r="V169" i="7" l="1"/>
  <c r="T169" i="7"/>
  <c r="U169" i="7"/>
  <c r="R171" i="7"/>
  <c r="W170" i="7"/>
  <c r="U170" i="7" l="1"/>
  <c r="V170" i="7"/>
  <c r="T170" i="7"/>
  <c r="R172" i="7"/>
  <c r="W171" i="7"/>
  <c r="T171" i="7" l="1"/>
  <c r="U171" i="7"/>
  <c r="V171" i="7"/>
  <c r="R173" i="7"/>
  <c r="W172" i="7"/>
  <c r="U172" i="7" l="1"/>
  <c r="T172" i="7"/>
  <c r="V172" i="7"/>
  <c r="R174" i="7"/>
  <c r="W173" i="7"/>
  <c r="V173" i="7" l="1"/>
  <c r="T173" i="7"/>
  <c r="U173" i="7"/>
  <c r="R175" i="7"/>
  <c r="W174" i="7"/>
  <c r="T174" i="7" l="1"/>
  <c r="U174" i="7"/>
  <c r="V174" i="7"/>
  <c r="R176" i="7"/>
  <c r="W175" i="7"/>
  <c r="T175" i="7" l="1"/>
  <c r="V175" i="7"/>
  <c r="U175" i="7"/>
  <c r="R177" i="7"/>
  <c r="W176" i="7"/>
  <c r="U176" i="7" l="1"/>
  <c r="T176" i="7"/>
  <c r="V176" i="7"/>
  <c r="R178" i="7"/>
  <c r="W177" i="7"/>
  <c r="V177" i="7" l="1"/>
  <c r="U177" i="7"/>
  <c r="T177" i="7"/>
  <c r="R179" i="7"/>
  <c r="W178" i="7"/>
  <c r="T178" i="7" l="1"/>
  <c r="U178" i="7"/>
  <c r="V178" i="7"/>
  <c r="R180" i="7"/>
  <c r="W179" i="7"/>
  <c r="T179" i="7" l="1"/>
  <c r="U179" i="7"/>
  <c r="V179" i="7"/>
  <c r="R181" i="7"/>
  <c r="W180" i="7"/>
  <c r="U180" i="7" l="1"/>
  <c r="T180" i="7"/>
  <c r="V180" i="7"/>
  <c r="R182" i="7"/>
  <c r="W181" i="7"/>
  <c r="V181" i="7" l="1"/>
  <c r="T181" i="7"/>
  <c r="U181" i="7"/>
  <c r="R183" i="7"/>
  <c r="W182" i="7"/>
  <c r="V182" i="7" l="1"/>
  <c r="T182" i="7"/>
  <c r="U182" i="7"/>
  <c r="R184" i="7"/>
  <c r="W183" i="7"/>
  <c r="T183" i="7" l="1"/>
  <c r="U183" i="7"/>
  <c r="V183" i="7"/>
  <c r="R185" i="7"/>
  <c r="W184" i="7"/>
  <c r="U184" i="7" l="1"/>
  <c r="V184" i="7"/>
  <c r="T184" i="7"/>
  <c r="R186" i="7"/>
  <c r="W185" i="7"/>
  <c r="V185" i="7" l="1"/>
  <c r="T185" i="7"/>
  <c r="U185" i="7"/>
  <c r="R187" i="7"/>
  <c r="W186" i="7"/>
  <c r="U186" i="7" l="1"/>
  <c r="V186" i="7"/>
  <c r="T186" i="7"/>
  <c r="R188" i="7"/>
  <c r="W187" i="7"/>
  <c r="T187" i="7" l="1"/>
  <c r="U187" i="7"/>
  <c r="V187" i="7"/>
  <c r="R189" i="7"/>
  <c r="W188" i="7"/>
  <c r="U188" i="7" l="1"/>
  <c r="T188" i="7"/>
  <c r="V188" i="7"/>
  <c r="R190" i="7"/>
  <c r="W189" i="7"/>
  <c r="V189" i="7" l="1"/>
  <c r="T189" i="7"/>
  <c r="U189" i="7"/>
  <c r="R191" i="7"/>
  <c r="W190" i="7"/>
  <c r="T190" i="7" l="1"/>
  <c r="U190" i="7"/>
  <c r="V190" i="7"/>
  <c r="R192" i="7"/>
  <c r="W191" i="7"/>
  <c r="T191" i="7" l="1"/>
  <c r="V191" i="7"/>
  <c r="U191" i="7"/>
  <c r="R193" i="7"/>
  <c r="W192" i="7"/>
  <c r="U192" i="7" l="1"/>
  <c r="T192" i="7"/>
  <c r="V192" i="7"/>
  <c r="R194" i="7"/>
  <c r="W193" i="7"/>
  <c r="V193" i="7" l="1"/>
  <c r="U193" i="7"/>
  <c r="T193" i="7"/>
  <c r="R195" i="7"/>
  <c r="W194" i="7"/>
  <c r="T194" i="7" l="1"/>
  <c r="U194" i="7"/>
  <c r="V194" i="7"/>
  <c r="R196" i="7"/>
  <c r="W195" i="7"/>
  <c r="T195" i="7" l="1"/>
  <c r="U195" i="7"/>
  <c r="V195" i="7"/>
  <c r="R197" i="7"/>
  <c r="W196" i="7"/>
  <c r="U196" i="7" l="1"/>
  <c r="T196" i="7"/>
  <c r="V196" i="7"/>
  <c r="R198" i="7"/>
  <c r="W197" i="7"/>
  <c r="V197" i="7" l="1"/>
  <c r="T197" i="7"/>
  <c r="U197" i="7"/>
  <c r="R199" i="7"/>
  <c r="W198" i="7"/>
  <c r="V198" i="7" l="1"/>
  <c r="T198" i="7"/>
  <c r="U198" i="7"/>
  <c r="R200" i="7"/>
  <c r="W199" i="7"/>
  <c r="T199" i="7" l="1"/>
  <c r="U199" i="7"/>
  <c r="V199" i="7"/>
  <c r="R201" i="7"/>
  <c r="W201" i="7" s="1"/>
  <c r="W200" i="7"/>
  <c r="V201" i="7" l="1"/>
  <c r="T201" i="7"/>
  <c r="U201" i="7"/>
  <c r="U200" i="7"/>
  <c r="V200" i="7"/>
  <c r="T200" i="7"/>
  <c r="I35" i="20" l="1"/>
  <c r="AJ2" i="43" l="1"/>
  <c r="E35" i="20"/>
  <c r="P35" i="20"/>
  <c r="AA35" i="20" s="1"/>
  <c r="AA21" i="20"/>
  <c r="J17" i="20"/>
  <c r="M7" i="20" l="1"/>
  <c r="Q7" i="20" s="1"/>
  <c r="M6" i="20"/>
  <c r="Q6" i="20" s="1"/>
  <c r="M11" i="20"/>
  <c r="M4" i="20"/>
  <c r="Q4" i="20" s="1"/>
  <c r="M3" i="20"/>
  <c r="M5" i="20"/>
  <c r="Q5" i="20" s="1"/>
  <c r="B17" i="20" l="1"/>
  <c r="C3" i="20" s="1"/>
  <c r="F3" i="20" s="1"/>
  <c r="Q3" i="20"/>
  <c r="Q8" i="20" s="1"/>
  <c r="M10" i="20"/>
  <c r="M12" i="20" s="1"/>
  <c r="C6" i="20" l="1"/>
  <c r="F6" i="20" s="1"/>
  <c r="G6" i="20" s="1"/>
  <c r="C13" i="20"/>
  <c r="F13" i="20" s="1"/>
  <c r="G13" i="20" s="1"/>
  <c r="C10" i="20"/>
  <c r="F10" i="20" s="1"/>
  <c r="G10" i="20" s="1"/>
  <c r="C7" i="20"/>
  <c r="F7" i="20" s="1"/>
  <c r="G7" i="20" s="1"/>
  <c r="C12" i="20"/>
  <c r="F12" i="20" s="1"/>
  <c r="G12" i="20" s="1"/>
  <c r="C15" i="20"/>
  <c r="F15" i="20" s="1"/>
  <c r="G15" i="20" s="1"/>
  <c r="C5" i="20"/>
  <c r="F5" i="20" s="1"/>
  <c r="G5" i="20" s="1"/>
  <c r="C9" i="20"/>
  <c r="F9" i="20" s="1"/>
  <c r="G9" i="20" s="1"/>
  <c r="C16" i="20"/>
  <c r="F16" i="20" s="1"/>
  <c r="G16" i="20" s="1"/>
  <c r="C8" i="20"/>
  <c r="F8" i="20" s="1"/>
  <c r="G8" i="20" s="1"/>
  <c r="C11" i="20"/>
  <c r="F11" i="20" s="1"/>
  <c r="G11" i="20" s="1"/>
  <c r="C4" i="20"/>
  <c r="F4" i="20" s="1"/>
  <c r="G4" i="20" s="1"/>
  <c r="C14" i="20"/>
  <c r="F14" i="20" s="1"/>
  <c r="G14" i="20" s="1"/>
  <c r="G3" i="20"/>
  <c r="F17" i="20" l="1"/>
  <c r="G17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346266-270E-6C41-BFB4-0F77E17F4E4A}" name="Connection" type="4" refreshedVersion="8" background="1" refreshOnLoad="1" saveData="1">
    <webPr consecutive="1" xl2000="1" url="https://www.pro-football-reference.com/years/2021/passing.htm" htmlTables="1" htmlFormat="all"/>
  </connection>
  <connection id="2" xr16:uid="{61ADAEAE-7DAF-454B-B536-327D4D0AB3AB}" name="Connection1" type="4" refreshedVersion="8" background="1" refreshOnLoad="1" saveData="1">
    <webPr consecutive="1" xl2000="1" url="https://www.pro-football-reference.com/years/2020/passing.htm" htmlTables="1" htmlFormat="all"/>
  </connection>
  <connection id="3" xr16:uid="{7EAC06ED-4D42-0243-849C-9059CE9BC169}" name="Connection2" type="4" refreshedVersion="8" background="1" refreshOnLoad="1" saveData="1">
    <webPr consecutive="1" xl2000="1" url="https://www.pro-football-reference.com/years/2021/rushing.htm" htmlTables="1" htmlFormat="all"/>
  </connection>
  <connection id="4" xr16:uid="{A73CAF89-9D4F-6844-B730-83B531699BF1}" name="Connection3" type="4" refreshedVersion="8" background="1" refreshOnLoad="1" saveData="1">
    <webPr consecutive="1" xl2000="1" url="https://www.pro-football-reference.com/years/2021/receiving.htm" htmlTables="1" htmlFormat="all"/>
  </connection>
  <connection id="5" xr16:uid="{00000000-0015-0000-FFFF-FFFF00000000}" keepAlive="1" name="Query - Passing Table (CY)" description="Connection to the 'Passing Table (CY)' query in the workbook." type="5" refreshedVersion="6" background="1" refreshOnLoad="1" saveData="1">
    <dbPr connection="Provider=Microsoft.Mashup.OleDb.1;Data Source=$Workbook$;Location=Passing Table (CY);Extended Properties=&quot;&quot;" command="SELECT * FROM [Passing Table (CY)]"/>
  </connection>
  <connection id="6" xr16:uid="{00000000-0015-0000-FFFF-FFFF01000000}" keepAlive="1" name="Query - Passing Table (PY)" description="Connection to the 'Passing Table (PY)' query in the workbook." type="5" refreshedVersion="6" background="1" saveData="1">
    <dbPr connection="Provider=Microsoft.Mashup.OleDb.1;Data Source=$Workbook$;Location=Passing Table (PY);Extended Properties=&quot;&quot;" command="SELECT * FROM [Passing Table (PY)]"/>
  </connection>
  <connection id="7" xr16:uid="{00000000-0015-0000-FFFF-FFFF02000000}" keepAlive="1" name="Query - Receiving Table (CY)" description="Connection to the 'Receiving Table (CY)' query in the workbook." type="5" refreshedVersion="6" background="1" saveData="1">
    <dbPr connection="Provider=Microsoft.Mashup.OleDb.1;Data Source=$Workbook$;Location=Receiving Table (CY);Extended Properties=&quot;&quot;" command="SELECT * FROM [Receiving Table (CY)]"/>
  </connection>
  <connection id="8" xr16:uid="{00000000-0015-0000-FFFF-FFFF03000000}" keepAlive="1" name="Query - Receiving Table (PY)" description="Connection to the 'Receiving Table (PY)' query in the workbook." type="5" refreshedVersion="6" background="1" saveData="1">
    <dbPr connection="Provider=Microsoft.Mashup.OleDb.1;Data Source=$Workbook$;Location=Receiving Table (PY);Extended Properties=&quot;&quot;" command="SELECT * FROM [Receiving Table (PY)]"/>
  </connection>
  <connection id="9" xr16:uid="{00000000-0015-0000-FFFF-FFFF04000000}" keepAlive="1" name="Query - Rushing Table (CY)" description="Connection to the 'Rushing Table (CY)' query in the workbook." type="5" refreshedVersion="6" background="1" saveData="1">
    <dbPr connection="Provider=Microsoft.Mashup.OleDb.1;Data Source=$Workbook$;Location=Rushing Table (CY);Extended Properties=&quot;&quot;" command="SELECT * FROM [Rushing Table (CY)]"/>
  </connection>
  <connection id="10" xr16:uid="{00000000-0015-0000-FFFF-FFFF05000000}" keepAlive="1" name="Query - Rushing Table (PY)" description="Connection to the 'Rushing Table (PY)' query in the workbook." type="5" refreshedVersion="6" background="1" saveData="1">
    <dbPr connection="Provider=Microsoft.Mashup.OleDb.1;Data Source=$Workbook$;Location=Rushing Table (PY);Extended Properties=&quot;&quot;" command="SELECT * FROM [Rushing Table (PY)]"/>
  </connection>
  <connection id="11" xr16:uid="{00000000-0015-0000-FFFF-FFFF06000000}" keepAlive="1" name="Query - Team Defense Table (CY)" description="Connection to the 'Team Defense Table (CY)' query in the workbook." type="5" refreshedVersion="6" background="1" saveData="1">
    <dbPr connection="Provider=Microsoft.Mashup.OleDb.1;Data Source=$Workbook$;Location=Team Defense Table (CY);Extended Properties=&quot;&quot;" command="SELECT * FROM [Team Defense Table (CY)]"/>
  </connection>
  <connection id="12" xr16:uid="{00000000-0015-0000-FFFF-FFFF07000000}" keepAlive="1" name="Query - Team Defense Table (PY)" description="Connection to the 'Team Defense Table (PY)' query in the workbook." type="5" refreshedVersion="6" background="1" saveData="1">
    <dbPr connection="Provider=Microsoft.Mashup.OleDb.1;Data Source=$Workbook$;Location=Team Defense Table (PY);Extended Properties=&quot;&quot;" command="SELECT * FROM [Team Defense Table (PY)]"/>
  </connection>
  <connection id="13" xr16:uid="{00000000-0015-0000-FFFF-FFFF08000000}" keepAlive="1" name="Query - Team Offense Table (CY)" description="Connection to the 'Team Offense Table (CY)' query in the workbook." type="5" refreshedVersion="6" background="1" saveData="1">
    <dbPr connection="Provider=Microsoft.Mashup.OleDb.1;Data Source=$Workbook$;Location=Team Offense Table (CY);Extended Properties=&quot;&quot;" command="SELECT * FROM [Team Offense Table (CY)]"/>
  </connection>
  <connection id="14" xr16:uid="{00000000-0015-0000-FFFF-FFFF09000000}" keepAlive="1" name="Query - Team Offense Table (PY)" description="Connection to the 'Team Offense Table (PY)' query in the workbook." type="5" refreshedVersion="6" background="1" saveData="1">
    <dbPr connection="Provider=Microsoft.Mashup.OleDb.1;Data Source=$Workbook$;Location=Team Offense Table (PY);Extended Properties=&quot;&quot;" command="SELECT * FROM [Team Offense Table (PY)]"/>
  </connection>
</connections>
</file>

<file path=xl/sharedStrings.xml><?xml version="1.0" encoding="utf-8"?>
<sst xmlns="http://schemas.openxmlformats.org/spreadsheetml/2006/main" count="21008" uniqueCount="3125">
  <si>
    <t>1 = playing, 0 = not playing</t>
  </si>
  <si>
    <t>Attempts * playing</t>
  </si>
  <si>
    <t>Make Sure Backup QB's are excluded</t>
  </si>
  <si>
    <t>1 pt/ 25 yds</t>
  </si>
  <si>
    <t>pro rata off of # of passes</t>
  </si>
  <si>
    <t>.5 pt/reception</t>
  </si>
  <si>
    <t>1 pt/10 yrds</t>
  </si>
  <si>
    <t>Week 1 pulled 8-10</t>
  </si>
  <si>
    <t>Trimmed Full name</t>
  </si>
  <si>
    <t>2020 Receiving</t>
  </si>
  <si>
    <t>2020 Rushing</t>
  </si>
  <si>
    <t>Algorithm Columns</t>
  </si>
  <si>
    <t>Id</t>
  </si>
  <si>
    <t>Position</t>
  </si>
  <si>
    <t>First Name</t>
  </si>
  <si>
    <t>Nickname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</si>
  <si>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</si>
  <si>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</si>
  <si>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</si>
  <si>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</si>
  <si>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</si>
  <si>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</si>
  <si>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</si>
  <si>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</si>
  <si>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Injury Details</t>
  </si>
  <si>
    <t>Tier</t>
  </si>
  <si>
    <t>Full Name</t>
  </si>
  <si>
    <t>Lookup Name</t>
  </si>
  <si>
    <t>Def Passing Yds/att</t>
  </si>
  <si>
    <t>Def Rushing yds/att</t>
  </si>
  <si>
    <t>Def Passing Yds/Reception</t>
  </si>
  <si>
    <t>Attempts/gm</t>
  </si>
  <si>
    <t>Yards/gm</t>
  </si>
  <si>
    <t>Yards/Attempt</t>
  </si>
  <si>
    <t>Passing TD</t>
  </si>
  <si>
    <t>Targets Per Game</t>
  </si>
  <si>
    <t>Receptions per game</t>
  </si>
  <si>
    <t>Yards per game</t>
  </si>
  <si>
    <t>Yards/reception</t>
  </si>
  <si>
    <t>Long</t>
  </si>
  <si>
    <t>Receiving TDs</t>
  </si>
  <si>
    <t>Rushes</t>
  </si>
  <si>
    <t>Rushing Yards</t>
  </si>
  <si>
    <t>Yards/Att</t>
  </si>
  <si>
    <t>Rushing TDs</t>
  </si>
  <si>
    <t># of Passes</t>
  </si>
  <si>
    <t># of Runs</t>
  </si>
  <si>
    <t>Playing?</t>
  </si>
  <si>
    <t># of Attempts</t>
  </si>
  <si>
    <t>Adjusted Projected Attempts</t>
  </si>
  <si>
    <t>Pass Yards per completion</t>
  </si>
  <si>
    <t>Passing yards</t>
  </si>
  <si>
    <t>Targets per game</t>
  </si>
  <si>
    <t>Projected Team Targets</t>
  </si>
  <si>
    <t>Adjusted Projected Targets</t>
  </si>
  <si>
    <t>Receptions</t>
  </si>
  <si>
    <t>Adjusted Projected Receptions</t>
  </si>
  <si>
    <t>Yards per Reception</t>
  </si>
  <si>
    <t>Receiving yards</t>
  </si>
  <si>
    <t>Team Rushes</t>
  </si>
  <si>
    <t>Adjusted Projected Rushes</t>
  </si>
  <si>
    <t>Yards per Attempt</t>
  </si>
  <si>
    <t>Rushing yards</t>
  </si>
  <si>
    <t>Fanduel Pts</t>
  </si>
  <si>
    <t>Value per $1k</t>
  </si>
  <si>
    <t>Targets per $1K</t>
  </si>
  <si>
    <t>Name</t>
  </si>
  <si>
    <t>Proj Pts</t>
  </si>
  <si>
    <t>RB</t>
  </si>
  <si>
    <t>Christian McCaffrey</t>
  </si>
  <si>
    <t>CAR</t>
  </si>
  <si>
    <t>NYJ</t>
  </si>
  <si>
    <t>Dalvin Cook</t>
  </si>
  <si>
    <t>MIN</t>
  </si>
  <si>
    <t>CIN</t>
  </si>
  <si>
    <t>Derrick</t>
  </si>
  <si>
    <t>Derrick Henry</t>
  </si>
  <si>
    <t>TEN</t>
  </si>
  <si>
    <t>ARI</t>
  </si>
  <si>
    <t>QB</t>
  </si>
  <si>
    <t>Patrick Mahomes</t>
  </si>
  <si>
    <t>KC</t>
  </si>
  <si>
    <t>CLE</t>
  </si>
  <si>
    <t>WR</t>
  </si>
  <si>
    <t>Davante Adams</t>
  </si>
  <si>
    <t>GB</t>
  </si>
  <si>
    <t>NO</t>
  </si>
  <si>
    <t>Alvin Kamara</t>
  </si>
  <si>
    <t>TE</t>
  </si>
  <si>
    <t>Travis Kelce</t>
  </si>
  <si>
    <t>Tyreek Hill</t>
  </si>
  <si>
    <t>Saquon Barkley</t>
  </si>
  <si>
    <t>NYG</t>
  </si>
  <si>
    <t>DEN</t>
  </si>
  <si>
    <t>Q</t>
  </si>
  <si>
    <t>Kyler Murray</t>
  </si>
  <si>
    <t>DeAndre Hopkins</t>
  </si>
  <si>
    <t>Josh Allen</t>
  </si>
  <si>
    <t>BUF</t>
  </si>
  <si>
    <t>PIT</t>
  </si>
  <si>
    <t>Calvin Ridley</t>
  </si>
  <si>
    <t>ATL</t>
  </si>
  <si>
    <t>PHI</t>
  </si>
  <si>
    <t>Aaron Rodgers</t>
  </si>
  <si>
    <t>Justin Jefferson</t>
  </si>
  <si>
    <t>Stefon Diggs</t>
  </si>
  <si>
    <t>Jonathan Taylor</t>
  </si>
  <si>
    <t>IND</t>
  </si>
  <si>
    <t>SEA</t>
  </si>
  <si>
    <t>A.J. Brown</t>
  </si>
  <si>
    <t>Brown</t>
  </si>
  <si>
    <t>Russell Wilson</t>
  </si>
  <si>
    <t>Wilson</t>
  </si>
  <si>
    <t>Nick Chubb</t>
  </si>
  <si>
    <t>DK Metcalf</t>
  </si>
  <si>
    <t>Ryan</t>
  </si>
  <si>
    <t>Ryan Tannehill</t>
  </si>
  <si>
    <t>Justin Herbert</t>
  </si>
  <si>
    <t>LAC</t>
  </si>
  <si>
    <t>WAS</t>
  </si>
  <si>
    <t>Jalen Hurts</t>
  </si>
  <si>
    <t>Deshaun Watson</t>
  </si>
  <si>
    <t>HOU</t>
  </si>
  <si>
    <t>JAC</t>
  </si>
  <si>
    <t>O</t>
  </si>
  <si>
    <t>Keenan Allen</t>
  </si>
  <si>
    <t>Aaron Jones</t>
  </si>
  <si>
    <t>Matt</t>
  </si>
  <si>
    <t>Matt Ryan</t>
  </si>
  <si>
    <t>Adam Thielen</t>
  </si>
  <si>
    <t>Joe Mixon</t>
  </si>
  <si>
    <t>Kirk Cousins</t>
  </si>
  <si>
    <t>Joe Burrow</t>
  </si>
  <si>
    <t>Ben Roethlisberger</t>
  </si>
  <si>
    <t>Baker Mayfield</t>
  </si>
  <si>
    <t>Antonio</t>
  </si>
  <si>
    <t>Antonio Gibson</t>
  </si>
  <si>
    <t>George Kittle</t>
  </si>
  <si>
    <t>SF</t>
  </si>
  <si>
    <t>DET</t>
  </si>
  <si>
    <t>Cam Newton</t>
  </si>
  <si>
    <t>NE</t>
  </si>
  <si>
    <t>MIA</t>
  </si>
  <si>
    <t>Julio Jones</t>
  </si>
  <si>
    <t>Austin</t>
  </si>
  <si>
    <t>Austin Ekeler</t>
  </si>
  <si>
    <t>Hamstring</t>
  </si>
  <si>
    <t>Terry McLaurin</t>
  </si>
  <si>
    <t>Jimmy Garoppolo</t>
  </si>
  <si>
    <t>Tyrod Taylor</t>
  </si>
  <si>
    <t>Tyler Lockett</t>
  </si>
  <si>
    <t>Clyde Edwards-Helaire</t>
  </si>
  <si>
    <t>Trevor Lawrence</t>
  </si>
  <si>
    <t>Daniel</t>
  </si>
  <si>
    <t>Daniel Jones</t>
  </si>
  <si>
    <t>Jameis Winston</t>
  </si>
  <si>
    <t>Taysom Hill</t>
  </si>
  <si>
    <t>Chris</t>
  </si>
  <si>
    <t>Chris Carson</t>
  </si>
  <si>
    <t>DJ Moore</t>
  </si>
  <si>
    <t>Miles Sanders</t>
  </si>
  <si>
    <t>Tua Tagovailoa</t>
  </si>
  <si>
    <t>Diontae Johnson</t>
  </si>
  <si>
    <t>Johnson</t>
  </si>
  <si>
    <t>Teddy Bridgewater</t>
  </si>
  <si>
    <t>Drew Lock</t>
  </si>
  <si>
    <t>Ryan Fitzpatrick</t>
  </si>
  <si>
    <t>Taylor Heinicke</t>
  </si>
  <si>
    <t>Sam Darnold</t>
  </si>
  <si>
    <t>Zach Wilson</t>
  </si>
  <si>
    <t>Najee Harris</t>
  </si>
  <si>
    <t>Odell Beckham Jr.</t>
  </si>
  <si>
    <t>Carson Wentz</t>
  </si>
  <si>
    <t>Jared Goff</t>
  </si>
  <si>
    <t>Brandon Aiyuk</t>
  </si>
  <si>
    <t>Michael Thomas</t>
  </si>
  <si>
    <t>Ankle</t>
  </si>
  <si>
    <t>Joe Flacco</t>
  </si>
  <si>
    <t>Jarvis Landry</t>
  </si>
  <si>
    <t>JuJu Smith-Schuster</t>
  </si>
  <si>
    <t>D'Andre Swift</t>
  </si>
  <si>
    <t>Trey Lance</t>
  </si>
  <si>
    <t>IR</t>
  </si>
  <si>
    <t>Knee</t>
  </si>
  <si>
    <t>Brandon Allen</t>
  </si>
  <si>
    <t>Deebo Samuel</t>
  </si>
  <si>
    <t>Brandin Cooks</t>
  </si>
  <si>
    <t>Jacoby Brissett</t>
  </si>
  <si>
    <t>Mitchell Trubisky</t>
  </si>
  <si>
    <t>AJ</t>
  </si>
  <si>
    <t>Gardner Minshew II</t>
  </si>
  <si>
    <t>Case Keenum</t>
  </si>
  <si>
    <t>Mac Jones</t>
  </si>
  <si>
    <t>P.J. Walker</t>
  </si>
  <si>
    <t>Kenny Golladay</t>
  </si>
  <si>
    <t>Jordan Love</t>
  </si>
  <si>
    <t>Robby Anderson</t>
  </si>
  <si>
    <t>Mike</t>
  </si>
  <si>
    <t>Mike Davis</t>
  </si>
  <si>
    <t>Raheem Mostert</t>
  </si>
  <si>
    <t>Mason Rudolph</t>
  </si>
  <si>
    <t>Rudolph</t>
  </si>
  <si>
    <t>DeVante Parker</t>
  </si>
  <si>
    <t>Chase Daniel</t>
  </si>
  <si>
    <t>Mike Glennon</t>
  </si>
  <si>
    <t>David Blough</t>
  </si>
  <si>
    <t>DJ Chark Jr.</t>
  </si>
  <si>
    <t>Chris Streveler</t>
  </si>
  <si>
    <t>Geno Smith</t>
  </si>
  <si>
    <t>Smith</t>
  </si>
  <si>
    <t>Undisclosed</t>
  </si>
  <si>
    <t>Kyle</t>
  </si>
  <si>
    <t>Kyle Pitts</t>
  </si>
  <si>
    <t>Kareem Hunt</t>
  </si>
  <si>
    <t>Logan Woodside</t>
  </si>
  <si>
    <t>Tommy Stevens</t>
  </si>
  <si>
    <t>Nick Mullens</t>
  </si>
  <si>
    <t>Nate Sudfeld</t>
  </si>
  <si>
    <t>Colt McCoy</t>
  </si>
  <si>
    <t>C.J.</t>
  </si>
  <si>
    <t>C.J. Beathard</t>
  </si>
  <si>
    <t>Easton Stick</t>
  </si>
  <si>
    <t>Chase Claypool</t>
  </si>
  <si>
    <t>Ian</t>
  </si>
  <si>
    <t>Myles Gaskin</t>
  </si>
  <si>
    <t>Jarrett Stidham</t>
  </si>
  <si>
    <t>Tim Boyle</t>
  </si>
  <si>
    <t>Jeff Driskel</t>
  </si>
  <si>
    <t>Kendall Hinton</t>
  </si>
  <si>
    <t>Chad Henne</t>
  </si>
  <si>
    <t>Brian</t>
  </si>
  <si>
    <t>Brian Hoyer</t>
  </si>
  <si>
    <t>Jake Luton</t>
  </si>
  <si>
    <t>Brett Rypien</t>
  </si>
  <si>
    <t>Kyle Allen</t>
  </si>
  <si>
    <t>Concussion</t>
  </si>
  <si>
    <t>Tee Higgins</t>
  </si>
  <si>
    <t>Jamison Crowder</t>
  </si>
  <si>
    <t>Dallas Goedert</t>
  </si>
  <si>
    <t>Chase Edmonds</t>
  </si>
  <si>
    <t>James Robinson</t>
  </si>
  <si>
    <t>Tyler Boyd</t>
  </si>
  <si>
    <t>Courtland Sutton</t>
  </si>
  <si>
    <t>Corey Davis</t>
  </si>
  <si>
    <t>Damien Harris</t>
  </si>
  <si>
    <t>Marvin Jones Jr.</t>
  </si>
  <si>
    <t>T.J. Hockenson</t>
  </si>
  <si>
    <t>Mike Williams</t>
  </si>
  <si>
    <t>Williams</t>
  </si>
  <si>
    <t>David Johnson</t>
  </si>
  <si>
    <t>Will Fuller V</t>
  </si>
  <si>
    <t>Russell Gage</t>
  </si>
  <si>
    <t>Melvin Gordon III</t>
  </si>
  <si>
    <t>Nelson Agholor</t>
  </si>
  <si>
    <t>Javonte Williams</t>
  </si>
  <si>
    <t>Allen Lazard</t>
  </si>
  <si>
    <t>T.Y. Hilton</t>
  </si>
  <si>
    <t>Logan Thomas</t>
  </si>
  <si>
    <t>Laviska Shenault Jr.</t>
  </si>
  <si>
    <t>Jerry Jeudy</t>
  </si>
  <si>
    <t>Sterling Shepard</t>
  </si>
  <si>
    <t>Mike Gesicki</t>
  </si>
  <si>
    <t>Curtis Samuel</t>
  </si>
  <si>
    <t>Ja'Marr Chase</t>
  </si>
  <si>
    <t>James Conner</t>
  </si>
  <si>
    <t>Cole Beasley</t>
  </si>
  <si>
    <t>Tre'Quan Smith</t>
  </si>
  <si>
    <t>Noah Fant</t>
  </si>
  <si>
    <t>Nyheim Hines</t>
  </si>
  <si>
    <t>Jakobi Meyers</t>
  </si>
  <si>
    <t>Zack Moss</t>
  </si>
  <si>
    <t>Jalen Reagor</t>
  </si>
  <si>
    <t>Robert Tonyan</t>
  </si>
  <si>
    <t>Tyrell Williams</t>
  </si>
  <si>
    <t>Tevin Coleman</t>
  </si>
  <si>
    <t>Mecole Hardman</t>
  </si>
  <si>
    <t>A.J. Green</t>
  </si>
  <si>
    <t>Randall Cobb</t>
  </si>
  <si>
    <t>DeVonta Smith</t>
  </si>
  <si>
    <t>Devontae Booker</t>
  </si>
  <si>
    <t>Devin Singletary</t>
  </si>
  <si>
    <t>Irv Smith Jr.</t>
  </si>
  <si>
    <t>Emmanuel Sanders</t>
  </si>
  <si>
    <t>Michael Carter</t>
  </si>
  <si>
    <t>Michael Pittman Jr.</t>
  </si>
  <si>
    <t>Joshua Kelley</t>
  </si>
  <si>
    <t>Deonte Harris</t>
  </si>
  <si>
    <t>Hunter Henry</t>
  </si>
  <si>
    <t>Cordarrelle Patterson</t>
  </si>
  <si>
    <t>Jaylen Waddle</t>
  </si>
  <si>
    <t>Phillip Lindsay</t>
  </si>
  <si>
    <t>Trey Sermon</t>
  </si>
  <si>
    <t>Eric Ebron</t>
  </si>
  <si>
    <t>Anthony Miller</t>
  </si>
  <si>
    <t>Miller</t>
  </si>
  <si>
    <t>Christian Kirk</t>
  </si>
  <si>
    <t>Marquez Callaway</t>
  </si>
  <si>
    <t>Jared Cook</t>
  </si>
  <si>
    <t>Marquez Valdes-Scantling</t>
  </si>
  <si>
    <t>KJ Hamler</t>
  </si>
  <si>
    <t>Travis Fulgham</t>
  </si>
  <si>
    <t>J.D. McKissic</t>
  </si>
  <si>
    <t>Salvon Ahmed</t>
  </si>
  <si>
    <t>Evan Engram</t>
  </si>
  <si>
    <t>Austin Hooper</t>
  </si>
  <si>
    <t>Jalen Guyton</t>
  </si>
  <si>
    <t>Darrel Williams</t>
  </si>
  <si>
    <t>Chris Conley</t>
  </si>
  <si>
    <t>D</t>
  </si>
  <si>
    <t>San Francisco 49ers</t>
  </si>
  <si>
    <t>Darius Slayton</t>
  </si>
  <si>
    <t>Elijah Moore</t>
  </si>
  <si>
    <t>Rashard Higgins</t>
  </si>
  <si>
    <t>Keke Coutee</t>
  </si>
  <si>
    <t>Wayne Gallman Jr.</t>
  </si>
  <si>
    <t>AJ Dillon</t>
  </si>
  <si>
    <t>Parris Campbell</t>
  </si>
  <si>
    <t>Amon-Ra St. Brown</t>
  </si>
  <si>
    <t>Olamide Zaccheaus</t>
  </si>
  <si>
    <t>Dawson Knox</t>
  </si>
  <si>
    <t>Zach Ertz</t>
  </si>
  <si>
    <t>Joshua Palmer</t>
  </si>
  <si>
    <t>Malcolm Brown</t>
  </si>
  <si>
    <t>Greg Ward</t>
  </si>
  <si>
    <t>Preston Williams</t>
  </si>
  <si>
    <t>N'Keal Harry</t>
  </si>
  <si>
    <t>Kadarius Toney</t>
  </si>
  <si>
    <t>Matt Breida</t>
  </si>
  <si>
    <t>Adam Humphries</t>
  </si>
  <si>
    <t>Zach Pascal</t>
  </si>
  <si>
    <t>Kerryon Johnson</t>
  </si>
  <si>
    <t>Gabriel Davis</t>
  </si>
  <si>
    <t>Chris Hogan</t>
  </si>
  <si>
    <t>Kendrick Bourne</t>
  </si>
  <si>
    <t>James Washington</t>
  </si>
  <si>
    <t>Hayden Hurst</t>
  </si>
  <si>
    <t>Jamaal Williams</t>
  </si>
  <si>
    <t>Darrynton Evans</t>
  </si>
  <si>
    <t>Denzel Mims</t>
  </si>
  <si>
    <t>Jonnu Smith</t>
  </si>
  <si>
    <t>Rondale Moore</t>
  </si>
  <si>
    <t>Samaje Perine</t>
  </si>
  <si>
    <t>Nico Collins</t>
  </si>
  <si>
    <t>Demarcus Robinson</t>
  </si>
  <si>
    <t>Terrace Marshall Jr.</t>
  </si>
  <si>
    <t>Tim Patrick</t>
  </si>
  <si>
    <t>Josh Reynolds</t>
  </si>
  <si>
    <t>Keelan Cole Sr.</t>
  </si>
  <si>
    <t>James White</t>
  </si>
  <si>
    <t>Seattle Seahawks</t>
  </si>
  <si>
    <t>C.J. Uzomah</t>
  </si>
  <si>
    <t>Rashaad Penny</t>
  </si>
  <si>
    <t>Marlon Mack</t>
  </si>
  <si>
    <t>Mack</t>
  </si>
  <si>
    <t>Chad Beebe</t>
  </si>
  <si>
    <t>Jack Doyle</t>
  </si>
  <si>
    <t>Alexander Mattison</t>
  </si>
  <si>
    <t>Lynn Bowden Jr.</t>
  </si>
  <si>
    <t>Benny Snell Jr.</t>
  </si>
  <si>
    <t>Christian Blake</t>
  </si>
  <si>
    <t>Tyron Johnson</t>
  </si>
  <si>
    <t>Carlos Hyde</t>
  </si>
  <si>
    <t>Justin Jackson</t>
  </si>
  <si>
    <t>Gerald Everett</t>
  </si>
  <si>
    <t>Jordan Akins</t>
  </si>
  <si>
    <t>Cameron Batson</t>
  </si>
  <si>
    <t>Collin Johnson</t>
  </si>
  <si>
    <t>Quintez Cephus</t>
  </si>
  <si>
    <t>Anthony Firkser</t>
  </si>
  <si>
    <t>Ameer Abdullah</t>
  </si>
  <si>
    <t>Royce Freeman</t>
  </si>
  <si>
    <t>Rex Burkhead</t>
  </si>
  <si>
    <t>Brian Hill</t>
  </si>
  <si>
    <t>Kenneth Gainwell</t>
  </si>
  <si>
    <t>Auden Tate</t>
  </si>
  <si>
    <t>Harrison Bryant</t>
  </si>
  <si>
    <t>Donovan Peoples-Jones</t>
  </si>
  <si>
    <t>Equanimeous St. Brown</t>
  </si>
  <si>
    <t>Jerick McKinnon</t>
  </si>
  <si>
    <t>Dyami Brown</t>
  </si>
  <si>
    <t>Lil'Jordan Humphrey</t>
  </si>
  <si>
    <t>Chuba Hubbard</t>
  </si>
  <si>
    <t>Tyler Kroft</t>
  </si>
  <si>
    <t>Dede Westbrook</t>
  </si>
  <si>
    <t>Mohamed Sanu</t>
  </si>
  <si>
    <t>Ty Johnson</t>
  </si>
  <si>
    <t>Byron Pringle</t>
  </si>
  <si>
    <t>Freddie Swain</t>
  </si>
  <si>
    <t>La'Mical Perine</t>
  </si>
  <si>
    <t>Travis Homer</t>
  </si>
  <si>
    <t>Mo Alie-Cox</t>
  </si>
  <si>
    <t>Jaylen Samuels</t>
  </si>
  <si>
    <t>David Njoku</t>
  </si>
  <si>
    <t>Gary Brightwell</t>
  </si>
  <si>
    <t>Antonio Gandy-Golden</t>
  </si>
  <si>
    <t>Qadree Ollison</t>
  </si>
  <si>
    <t>Ihmir Smith-Marsette</t>
  </si>
  <si>
    <t>Gunner Olszewski</t>
  </si>
  <si>
    <t>D'Ernest Johnson</t>
  </si>
  <si>
    <t>Trayveon Williams</t>
  </si>
  <si>
    <t>Richie James</t>
  </si>
  <si>
    <t>Carolina Panthers</t>
  </si>
  <si>
    <t>Isaiah McKenzie</t>
  </si>
  <si>
    <t>Mike Thomas</t>
  </si>
  <si>
    <t>Boston Scott</t>
  </si>
  <si>
    <t>Scott</t>
  </si>
  <si>
    <t>John</t>
  </si>
  <si>
    <t>Mike Boone</t>
  </si>
  <si>
    <t>Jordan Wilkins</t>
  </si>
  <si>
    <t>Rhamondre Stevenson</t>
  </si>
  <si>
    <t>Frank Darby</t>
  </si>
  <si>
    <t>Ty Montgomery</t>
  </si>
  <si>
    <t>James O'Shaughnessy</t>
  </si>
  <si>
    <t>Durham Smythe</t>
  </si>
  <si>
    <t>Antonio Williams</t>
  </si>
  <si>
    <t>Kylin Hill</t>
  </si>
  <si>
    <t>Adam Trautman</t>
  </si>
  <si>
    <t>Josh Adams</t>
  </si>
  <si>
    <t>Braxton Berrios</t>
  </si>
  <si>
    <t>Rodney Smith</t>
  </si>
  <si>
    <t>Lamar Miller</t>
  </si>
  <si>
    <t>Shi Smith</t>
  </si>
  <si>
    <t>Diontae Spencer</t>
  </si>
  <si>
    <t>Anthony Schwartz</t>
  </si>
  <si>
    <t>Devine Ozigbo</t>
  </si>
  <si>
    <t>Benjamin</t>
  </si>
  <si>
    <t>Dezmon Patmon</t>
  </si>
  <si>
    <t>KeeSean Johnson</t>
  </si>
  <si>
    <t>DeeJay Dallas</t>
  </si>
  <si>
    <t>Quez Watkins</t>
  </si>
  <si>
    <t>Penny Hart</t>
  </si>
  <si>
    <t>Stephen Sullivan</t>
  </si>
  <si>
    <t>Isaiah Zuber</t>
  </si>
  <si>
    <t>Kirk Merritt</t>
  </si>
  <si>
    <t>Jamal Agnew</t>
  </si>
  <si>
    <t>Alex Armah</t>
  </si>
  <si>
    <t>JoJo Ward</t>
  </si>
  <si>
    <t>Vyncint Smith</t>
  </si>
  <si>
    <t>Joe Reed</t>
  </si>
  <si>
    <t>Jauan Jennings</t>
  </si>
  <si>
    <t>Dare Ogunbowale</t>
  </si>
  <si>
    <t>Mekhi Sargent</t>
  </si>
  <si>
    <t>Lawrence Cager</t>
  </si>
  <si>
    <t>Olabisi Johnson</t>
  </si>
  <si>
    <t>Mike Strachan</t>
  </si>
  <si>
    <t>Anthony McFarland Jr.</t>
  </si>
  <si>
    <t>Austin Walter</t>
  </si>
  <si>
    <t>Alex Erickson</t>
  </si>
  <si>
    <t>Green Bay Packers</t>
  </si>
  <si>
    <t>Eli</t>
  </si>
  <si>
    <t>Jeff Wilson Jr.</t>
  </si>
  <si>
    <t>Chris Moore</t>
  </si>
  <si>
    <t>Malcolm Perry</t>
  </si>
  <si>
    <t>Darius Phillips</t>
  </si>
  <si>
    <t>Jeff Badet</t>
  </si>
  <si>
    <t>K.J. Osborn</t>
  </si>
  <si>
    <t>Brandon Bolden</t>
  </si>
  <si>
    <t>Austin Proehl</t>
  </si>
  <si>
    <t>Trent Taylor</t>
  </si>
  <si>
    <t>C.J. Board</t>
  </si>
  <si>
    <t>Tajae Sharpe</t>
  </si>
  <si>
    <t>Antoine Wesley</t>
  </si>
  <si>
    <t>John Hightower</t>
  </si>
  <si>
    <t>Travis Toivonen</t>
  </si>
  <si>
    <t>Kawaan Baker</t>
  </si>
  <si>
    <t>Jonathan Williams</t>
  </si>
  <si>
    <t>Devin Ross</t>
  </si>
  <si>
    <t>Nick Bellore</t>
  </si>
  <si>
    <t>Kyle Juszczyk</t>
  </si>
  <si>
    <t>Scottie Phillips</t>
  </si>
  <si>
    <t>Jason Huntley</t>
  </si>
  <si>
    <t>Austin Trammell</t>
  </si>
  <si>
    <t>Jaret Patterson</t>
  </si>
  <si>
    <t>Tevin Jones</t>
  </si>
  <si>
    <t>Chad Hansen</t>
  </si>
  <si>
    <t>Patrick Laird</t>
  </si>
  <si>
    <t>Andy Janovich</t>
  </si>
  <si>
    <t>Tre Walker</t>
  </si>
  <si>
    <t>Cody Hollister</t>
  </si>
  <si>
    <t>Tony</t>
  </si>
  <si>
    <t>Tony Brooks-James</t>
  </si>
  <si>
    <t>Dan Arnold</t>
  </si>
  <si>
    <t>Taywan Taylor</t>
  </si>
  <si>
    <t>Mack Hollins</t>
  </si>
  <si>
    <t>J.J. Taylor</t>
  </si>
  <si>
    <t>Gabe Nabers</t>
  </si>
  <si>
    <t>Jalen McCleskey</t>
  </si>
  <si>
    <t>Cody White</t>
  </si>
  <si>
    <t>Chester Rogers</t>
  </si>
  <si>
    <t>Khari Blasingame</t>
  </si>
  <si>
    <t>Trent Sherfield</t>
  </si>
  <si>
    <t>Whop Philyor</t>
  </si>
  <si>
    <t>DaeSean Hamilton</t>
  </si>
  <si>
    <t>Kalif Raymond</t>
  </si>
  <si>
    <t>Cullen Gillaspia</t>
  </si>
  <si>
    <t>Brandon Zylstra</t>
  </si>
  <si>
    <t>Tommylee Lewis</t>
  </si>
  <si>
    <t>Donte Moncrief</t>
  </si>
  <si>
    <t>Laquon Treadwell</t>
  </si>
  <si>
    <t>Jeff Smith</t>
  </si>
  <si>
    <t>C.J. Ham</t>
  </si>
  <si>
    <t>Branden Mack</t>
  </si>
  <si>
    <t>Isaiah Hodgins</t>
  </si>
  <si>
    <t>Nick Westbrook-Ikhine</t>
  </si>
  <si>
    <t>Marcus Kemp</t>
  </si>
  <si>
    <t>Dan Chisena</t>
  </si>
  <si>
    <t>A.J. Richardson</t>
  </si>
  <si>
    <t>Keith Kirkwood</t>
  </si>
  <si>
    <t>Keith Smith</t>
  </si>
  <si>
    <t>Isaiah Wright</t>
  </si>
  <si>
    <t>Eli Stove</t>
  </si>
  <si>
    <t>Adrian Killins</t>
  </si>
  <si>
    <t>Duke Williams</t>
  </si>
  <si>
    <t>River Cracraft</t>
  </si>
  <si>
    <t>Jake Kumerow</t>
  </si>
  <si>
    <t>Jalen Camp</t>
  </si>
  <si>
    <t>Isaiah Ford</t>
  </si>
  <si>
    <t>Michael Bandy</t>
  </si>
  <si>
    <t>Austin Mack</t>
  </si>
  <si>
    <t>C.J. Saunders</t>
  </si>
  <si>
    <t>Ryan Becker</t>
  </si>
  <si>
    <t>Scotty Washington</t>
  </si>
  <si>
    <t>Brandon Powell</t>
  </si>
  <si>
    <t>Robert Foster</t>
  </si>
  <si>
    <t>Daurice Fountain</t>
  </si>
  <si>
    <t>Kalen Ballage</t>
  </si>
  <si>
    <t>Jordan Howard</t>
  </si>
  <si>
    <t>Allen Hurns</t>
  </si>
  <si>
    <t>DeAndre Carter</t>
  </si>
  <si>
    <t>Jakob Johnson</t>
  </si>
  <si>
    <t>Josh Malone</t>
  </si>
  <si>
    <t>Cam Sims</t>
  </si>
  <si>
    <t>Kai Locksley</t>
  </si>
  <si>
    <t>Ishmael Hyman</t>
  </si>
  <si>
    <t>Albert Wilson</t>
  </si>
  <si>
    <t>Kristian Wilkerson</t>
  </si>
  <si>
    <t>Andre Roberts</t>
  </si>
  <si>
    <t>JoJo Natson</t>
  </si>
  <si>
    <t>Antonio Nunn</t>
  </si>
  <si>
    <t>Marvin Hall</t>
  </si>
  <si>
    <t>Chris Rowland</t>
  </si>
  <si>
    <t>Juwan Green</t>
  </si>
  <si>
    <t>Tanner Gentry</t>
  </si>
  <si>
    <t>Jeff Cotton Jr.</t>
  </si>
  <si>
    <t>Juwan Johnson</t>
  </si>
  <si>
    <t>KhaDarel Hodge</t>
  </si>
  <si>
    <t>Dexter Williams</t>
  </si>
  <si>
    <t>Jeremy McNichols</t>
  </si>
  <si>
    <t>De'Mornay Pierson-El</t>
  </si>
  <si>
    <t>Tre Nixon</t>
  </si>
  <si>
    <t>Tim Jones</t>
  </si>
  <si>
    <t>Blake Proehl</t>
  </si>
  <si>
    <t>Dante Pettis</t>
  </si>
  <si>
    <t>Trenton Irwin</t>
  </si>
  <si>
    <t>JJ Arcega-Whiteside</t>
  </si>
  <si>
    <t>Amara Darboh</t>
  </si>
  <si>
    <t>Gehrig Dieter</t>
  </si>
  <si>
    <t>Isaac Whitney</t>
  </si>
  <si>
    <t>Andre Baccellia</t>
  </si>
  <si>
    <t>Omar Bayless</t>
  </si>
  <si>
    <t>Blake Lynch</t>
  </si>
  <si>
    <t>Ja'Marcus Bradley</t>
  </si>
  <si>
    <t>Damion Ratley</t>
  </si>
  <si>
    <t>LeVante Bellamy</t>
  </si>
  <si>
    <t>Michael Burton</t>
  </si>
  <si>
    <t>Micah Simon</t>
  </si>
  <si>
    <t>Jonathan Ward</t>
  </si>
  <si>
    <t>Riley Lees</t>
  </si>
  <si>
    <t>Alshon Jeffery</t>
  </si>
  <si>
    <t>Davion Davis</t>
  </si>
  <si>
    <t>Alexander Hollins</t>
  </si>
  <si>
    <t>Marcus Johnson</t>
  </si>
  <si>
    <t>Trinity Benson</t>
  </si>
  <si>
    <t>Jordan Veasy</t>
  </si>
  <si>
    <t>Connor Wedington</t>
  </si>
  <si>
    <t>Marquez Stevenson</t>
  </si>
  <si>
    <t>Dontrell Hilliard</t>
  </si>
  <si>
    <t>Ashton Dulin</t>
  </si>
  <si>
    <t>Josh Imatorbhebhe</t>
  </si>
  <si>
    <t>Alfred Morris</t>
  </si>
  <si>
    <t>Seth Williams</t>
  </si>
  <si>
    <t>Myron Mitchell</t>
  </si>
  <si>
    <t>Kevin White</t>
  </si>
  <si>
    <t>Ventell Bryant</t>
  </si>
  <si>
    <t>Easop Winston Jr.</t>
  </si>
  <si>
    <t>Stanley Morgan</t>
  </si>
  <si>
    <t>Matthew Slater</t>
  </si>
  <si>
    <t>Darrius Shepherd</t>
  </si>
  <si>
    <t>Josh Hammond</t>
  </si>
  <si>
    <t>DeVontres Dukes</t>
  </si>
  <si>
    <t>Tyrie Cleveland</t>
  </si>
  <si>
    <t>Ryan Switzer</t>
  </si>
  <si>
    <t>Jaylinn Hawkins</t>
  </si>
  <si>
    <t>Stantley Thomas-Oliver III</t>
  </si>
  <si>
    <t>Devin Smith</t>
  </si>
  <si>
    <t>K.J. Hill</t>
  </si>
  <si>
    <t>Malik Taylor</t>
  </si>
  <si>
    <t>Hip</t>
  </si>
  <si>
    <t>Jason Moore Jr.</t>
  </si>
  <si>
    <t>Amari Rodgers</t>
  </si>
  <si>
    <t>Antonio Callaway</t>
  </si>
  <si>
    <t>Alex Collins</t>
  </si>
  <si>
    <t>Kyle Rudolph</t>
  </si>
  <si>
    <t>J'Mon Moore</t>
  </si>
  <si>
    <t>Terry Godwin</t>
  </si>
  <si>
    <t>Dwayne Washington</t>
  </si>
  <si>
    <t>Greg Dortch</t>
  </si>
  <si>
    <t>Reggie Bonnafon</t>
  </si>
  <si>
    <t>Andy Isabella</t>
  </si>
  <si>
    <t>Jakeem Grant</t>
  </si>
  <si>
    <t>Pharoh Cooper</t>
  </si>
  <si>
    <t>Tino Ellis</t>
  </si>
  <si>
    <t>Chris Herndon</t>
  </si>
  <si>
    <t>Pat Freiermuth</t>
  </si>
  <si>
    <t>New England Patriots</t>
  </si>
  <si>
    <t>Jacob Hollister</t>
  </si>
  <si>
    <t>Ian Thomas</t>
  </si>
  <si>
    <t>Tyler Conklin</t>
  </si>
  <si>
    <t>Will Dissly</t>
  </si>
  <si>
    <t>Darren Fells</t>
  </si>
  <si>
    <t>Lee Smith</t>
  </si>
  <si>
    <t>Los Angeles Chargers</t>
  </si>
  <si>
    <t>Marcedes Lewis</t>
  </si>
  <si>
    <t>Richard Rodgers</t>
  </si>
  <si>
    <t>Pharaoh Brown</t>
  </si>
  <si>
    <t>Drew Sample</t>
  </si>
  <si>
    <t>Maxx Williams</t>
  </si>
  <si>
    <t>Donald Parham Jr.</t>
  </si>
  <si>
    <t>Adam Shaheen</t>
  </si>
  <si>
    <t>Washington Football Team</t>
  </si>
  <si>
    <t>Darrell Daniels</t>
  </si>
  <si>
    <t>Ross Dwelley</t>
  </si>
  <si>
    <t>Albert Okwuegbunam</t>
  </si>
  <si>
    <t>Devin Asiasi</t>
  </si>
  <si>
    <t>Chris Manhertz</t>
  </si>
  <si>
    <t>Geoff Swaim</t>
  </si>
  <si>
    <t>Josiah Deguara</t>
  </si>
  <si>
    <t>Brevin Jordan</t>
  </si>
  <si>
    <t>Nick Vannett</t>
  </si>
  <si>
    <t>Eric Saubert</t>
  </si>
  <si>
    <t>Kaden Smith</t>
  </si>
  <si>
    <t>Dominique Dafney</t>
  </si>
  <si>
    <t>Denver Broncos</t>
  </si>
  <si>
    <t>Indianapolis Colts</t>
  </si>
  <si>
    <t>Kahale Warring</t>
  </si>
  <si>
    <t>Ryan Izzo</t>
  </si>
  <si>
    <t>Jaeden Graham</t>
  </si>
  <si>
    <t>Hunter Bryant</t>
  </si>
  <si>
    <t>Blake Bell</t>
  </si>
  <si>
    <t>Tommy Sweeney</t>
  </si>
  <si>
    <t>Tommy Tremble</t>
  </si>
  <si>
    <t>Trevon Wesco</t>
  </si>
  <si>
    <t>Luke Farrell</t>
  </si>
  <si>
    <t>Brandon Dillon</t>
  </si>
  <si>
    <t>Jace Sternberger</t>
  </si>
  <si>
    <t>Charlie Woerner</t>
  </si>
  <si>
    <t>Dalton Keene</t>
  </si>
  <si>
    <t>Quintin Morris</t>
  </si>
  <si>
    <t>Shaun Beyer</t>
  </si>
  <si>
    <t>Jason Croom</t>
  </si>
  <si>
    <t>Antony Auclair</t>
  </si>
  <si>
    <t>Sam Tecklenburg</t>
  </si>
  <si>
    <t>Zach Davidson</t>
  </si>
  <si>
    <t>Bernhard Seikovits</t>
  </si>
  <si>
    <t>Miami Dolphins</t>
  </si>
  <si>
    <t>Danny Pinter</t>
  </si>
  <si>
    <t>Pittsburgh Steelers</t>
  </si>
  <si>
    <t>Matt Seybert</t>
  </si>
  <si>
    <t>Stephen Anderson</t>
  </si>
  <si>
    <t>Temarrick Hemingway</t>
  </si>
  <si>
    <t>Zach Gentry</t>
  </si>
  <si>
    <t>Reggie Gilliam</t>
  </si>
  <si>
    <t>Levine Toilolo</t>
  </si>
  <si>
    <t>Achilles</t>
  </si>
  <si>
    <t>MyCole Pruitt</t>
  </si>
  <si>
    <t>Ben Ellefson</t>
  </si>
  <si>
    <t>Daniel Brown</t>
  </si>
  <si>
    <t>Nick Keizer</t>
  </si>
  <si>
    <t>Ryan Griffin</t>
  </si>
  <si>
    <t>Colby Parkinson</t>
  </si>
  <si>
    <t>Colin Thompson</t>
  </si>
  <si>
    <t>Stephen Carlson</t>
  </si>
  <si>
    <t>Isaac Nauta</t>
  </si>
  <si>
    <t>Jordan Thomas</t>
  </si>
  <si>
    <t>Troy Fumagalli</t>
  </si>
  <si>
    <t>Cethan Carter</t>
  </si>
  <si>
    <t>Marcus Baugh</t>
  </si>
  <si>
    <t>Luke Stocker</t>
  </si>
  <si>
    <t>Atlanta Falcons</t>
  </si>
  <si>
    <t>Jacksonville Jaguars</t>
  </si>
  <si>
    <t>Minnesota Vikings</t>
  </si>
  <si>
    <t>Philadelphia Eagles</t>
  </si>
  <si>
    <t>New Orleans Saints</t>
  </si>
  <si>
    <t>New York Giants</t>
  </si>
  <si>
    <t>Buffalo Bills</t>
  </si>
  <si>
    <t>Kansas City Chiefs</t>
  </si>
  <si>
    <t>Tennessee Titans</t>
  </si>
  <si>
    <t>New York Jets</t>
  </si>
  <si>
    <t>Arizona Cardinals</t>
  </si>
  <si>
    <t>Houston Texans</t>
  </si>
  <si>
    <t>Detroit Lions</t>
  </si>
  <si>
    <t>Cleveland Browns</t>
  </si>
  <si>
    <t>Cincinnati Bengals</t>
  </si>
  <si>
    <t>*Avg game pace per league, skewing team's plays up or down based on opp's #</t>
  </si>
  <si>
    <t>*if winning, more likely to run more, for every pt favored, run by 2% more (currently)</t>
  </si>
  <si>
    <t>*Pick a factor of # of teams in NFL and divide (thus 96 (3*32))</t>
  </si>
  <si>
    <t>If positive, vegas expects more points than season avg</t>
  </si>
  <si>
    <t>Line</t>
  </si>
  <si>
    <t>Moneyline</t>
  </si>
  <si>
    <t>Over/under</t>
  </si>
  <si>
    <t>Projected Points</t>
  </si>
  <si>
    <t>Runs per game</t>
  </si>
  <si>
    <t>Passes per game</t>
  </si>
  <si>
    <t>Opp Pass Def</t>
  </si>
  <si>
    <t>Opp Run Def</t>
  </si>
  <si>
    <t>Opp Pass Plays per Game</t>
  </si>
  <si>
    <t>Opp Run Plays per game</t>
  </si>
  <si>
    <t>Expected # of plays</t>
  </si>
  <si>
    <t>Run Adjustment - Line</t>
  </si>
  <si>
    <t>Run Adjustment - Points</t>
  </si>
  <si>
    <t>Run Adjustment - Defense</t>
  </si>
  <si>
    <t>Projected # of runs</t>
  </si>
  <si>
    <t>Projected # of passes</t>
  </si>
  <si>
    <t>Points Per Game</t>
  </si>
  <si>
    <t>TD Adj</t>
  </si>
  <si>
    <t>BAL</t>
  </si>
  <si>
    <t>LV</t>
  </si>
  <si>
    <t>CHI</t>
  </si>
  <si>
    <t>TB</t>
  </si>
  <si>
    <t>DAL</t>
  </si>
  <si>
    <t>LAR</t>
  </si>
  <si>
    <t>Total</t>
  </si>
  <si>
    <t>Players</t>
  </si>
  <si>
    <t>Moneys Entered</t>
  </si>
  <si>
    <t>% of $'s</t>
  </si>
  <si>
    <t>Payouts</t>
  </si>
  <si>
    <t>Winnings</t>
  </si>
  <si>
    <t>Net Earnings</t>
  </si>
  <si>
    <t>Moneys Allocated</t>
  </si>
  <si>
    <t>Ladder Calculation</t>
  </si>
  <si>
    <t>Entry $'s</t>
  </si>
  <si>
    <t>Contests entered</t>
  </si>
  <si>
    <t>Moneys Spent</t>
  </si>
  <si>
    <t>Diff</t>
  </si>
  <si>
    <t>Randy</t>
  </si>
  <si>
    <t>Double Up</t>
  </si>
  <si>
    <t>Triple Up</t>
  </si>
  <si>
    <t>Quintuple Up</t>
  </si>
  <si>
    <t>GPP</t>
  </si>
  <si>
    <t>Brandt</t>
  </si>
  <si>
    <t>Millionaire Maker</t>
  </si>
  <si>
    <t>Pot</t>
  </si>
  <si>
    <t>Total Pot</t>
  </si>
  <si>
    <t>Before Week 1</t>
  </si>
  <si>
    <t xml:space="preserve">Week 1 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</si>
  <si>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</si>
  <si>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</si>
  <si>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</si>
  <si>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</si>
  <si>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</si>
  <si>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</si>
  <si>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</si>
  <si>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</si>
  <si>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</si>
  <si>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</si>
  <si>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</si>
  <si>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</si>
  <si>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</si>
  <si>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</si>
  <si>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</si>
  <si>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</si>
  <si>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</si>
  <si>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Balance</t>
  </si>
  <si>
    <t>Lineup Position</t>
  </si>
  <si>
    <t>Play?</t>
  </si>
  <si>
    <t>Opposing Team</t>
  </si>
  <si>
    <t>Nth</t>
  </si>
  <si>
    <t>Points</t>
  </si>
  <si>
    <t xml:space="preserve"> </t>
  </si>
  <si>
    <t>Total Players</t>
  </si>
  <si>
    <t>Total Salary</t>
  </si>
  <si>
    <t>Desired Defense Salary</t>
  </si>
  <si>
    <t>Desired Flex Salary</t>
  </si>
  <si>
    <t>Maximum Salary</t>
  </si>
  <si>
    <t>Total Points</t>
  </si>
  <si>
    <t># of Players</t>
  </si>
  <si>
    <t>Min</t>
  </si>
  <si>
    <t>Max</t>
  </si>
  <si>
    <t>Flex Play</t>
  </si>
  <si>
    <t>QB 1</t>
  </si>
  <si>
    <t>RB 1</t>
  </si>
  <si>
    <t>RB 2</t>
  </si>
  <si>
    <t>WR 1</t>
  </si>
  <si>
    <t>WR 2</t>
  </si>
  <si>
    <t>WR 3</t>
  </si>
  <si>
    <t>TE 1</t>
  </si>
  <si>
    <t>First Draft Lineup</t>
  </si>
  <si>
    <t>Projected</t>
  </si>
  <si>
    <t>Actual</t>
  </si>
  <si>
    <t>Yds</t>
  </si>
  <si>
    <t>TD</t>
  </si>
  <si>
    <t>Flex</t>
  </si>
  <si>
    <t>D/ST</t>
  </si>
  <si>
    <t>Def</t>
  </si>
  <si>
    <t>Total Remaining</t>
  </si>
  <si>
    <t>Actuals</t>
  </si>
  <si>
    <t>Proj</t>
  </si>
  <si>
    <t>Var</t>
  </si>
  <si>
    <t>Pass yds</t>
  </si>
  <si>
    <t>Recpts</t>
  </si>
  <si>
    <t>Rec Yds</t>
  </si>
  <si>
    <t>Ru Yds</t>
  </si>
  <si>
    <t>Chris Godwin</t>
  </si>
  <si>
    <t>Baltimore Ravens</t>
  </si>
  <si>
    <t>(Multiple Items)</t>
  </si>
  <si>
    <t>Row Labels</t>
  </si>
  <si>
    <t xml:space="preserve">Targets per game </t>
  </si>
  <si>
    <t xml:space="preserve">Targets per $1K </t>
  </si>
  <si>
    <t>Grand Total</t>
  </si>
  <si>
    <t>http://iis2.donbest.com/nfl/odds/</t>
  </si>
  <si>
    <t>Updated:</t>
  </si>
  <si>
    <t>Week</t>
  </si>
  <si>
    <t>NFL WEEK 2</t>
  </si>
  <si>
    <t>Rot</t>
  </si>
  <si>
    <t>Opener</t>
  </si>
  <si>
    <t>Time</t>
  </si>
  <si>
    <t>SC</t>
  </si>
  <si>
    <t>Westgate</t>
  </si>
  <si>
    <t>Mirage</t>
  </si>
  <si>
    <t>Station</t>
  </si>
  <si>
    <t>Pinnacle</t>
  </si>
  <si>
    <t>SIA</t>
  </si>
  <si>
    <t>Average</t>
  </si>
  <si>
    <t>Indicator</t>
  </si>
  <si>
    <t>point_1</t>
  </si>
  <si>
    <t>point_2</t>
  </si>
  <si>
    <t>Spread</t>
  </si>
  <si>
    <t>-</t>
  </si>
  <si>
    <t>ML</t>
  </si>
  <si>
    <t>Chicago Bears</t>
  </si>
  <si>
    <t>event_name</t>
  </si>
  <si>
    <t>commence</t>
  </si>
  <si>
    <t>status</t>
  </si>
  <si>
    <t>bookmaker</t>
  </si>
  <si>
    <t>last_update</t>
  </si>
  <si>
    <t>odd_1</t>
  </si>
  <si>
    <t>odd_2</t>
  </si>
  <si>
    <t>Team 1</t>
  </si>
  <si>
    <t>Team 2</t>
  </si>
  <si>
    <t>Date</t>
  </si>
  <si>
    <t>Pending</t>
  </si>
  <si>
    <t>Unibet</t>
  </si>
  <si>
    <t>SugarHouse</t>
  </si>
  <si>
    <t>DraftKings</t>
  </si>
  <si>
    <t>BetMGM</t>
  </si>
  <si>
    <t>BetRivers</t>
  </si>
  <si>
    <t>GTbets</t>
  </si>
  <si>
    <t>MyBookie.ag</t>
  </si>
  <si>
    <t>FanDuel</t>
  </si>
  <si>
    <t>Barstool Sportsbook</t>
  </si>
  <si>
    <t>Bovada</t>
  </si>
  <si>
    <t>William Hill (US)</t>
  </si>
  <si>
    <t>Intertops</t>
  </si>
  <si>
    <t>Points 1</t>
  </si>
  <si>
    <t>Fully Name</t>
  </si>
  <si>
    <t>Mike Evans Jr.</t>
  </si>
  <si>
    <t>Mike Evans</t>
  </si>
  <si>
    <t>Christopher Ivory</t>
  </si>
  <si>
    <t>Chris Ivory</t>
  </si>
  <si>
    <t>Sammy Watkins</t>
  </si>
  <si>
    <t>LeGarrette Blount</t>
  </si>
  <si>
    <t>Todd Gurley II</t>
  </si>
  <si>
    <t>Todd Gurley</t>
  </si>
  <si>
    <t>Ted Ginn Jr.</t>
  </si>
  <si>
    <t>Ted Ginn</t>
  </si>
  <si>
    <t>Benjamin Watson</t>
  </si>
  <si>
    <t>Ben Watson</t>
  </si>
  <si>
    <t>Dallas Cowboys</t>
  </si>
  <si>
    <t>Los Angeles Rams</t>
  </si>
  <si>
    <t>Las Vegas Raiders</t>
  </si>
  <si>
    <t>Tampa Bay Buccaneers</t>
  </si>
  <si>
    <t>Oakland Raiders</t>
  </si>
  <si>
    <t>D.J. Moore</t>
  </si>
  <si>
    <t>Allen Robinson II</t>
  </si>
  <si>
    <t>Allen Robinson</t>
  </si>
  <si>
    <t>D.K. Metcalf</t>
  </si>
  <si>
    <t>Melvin Gordon</t>
  </si>
  <si>
    <t>Darrell Henderson Jr.</t>
  </si>
  <si>
    <t>Darrell Henderson</t>
  </si>
  <si>
    <t>Marvin Jones</t>
  </si>
  <si>
    <t>Will Fuller</t>
  </si>
  <si>
    <t>DJ Chark</t>
  </si>
  <si>
    <t>Willie Snead IV</t>
  </si>
  <si>
    <t>Willie Snead</t>
  </si>
  <si>
    <t>Wayne Gallman</t>
  </si>
  <si>
    <t>Van Jefferson Jr.</t>
  </si>
  <si>
    <t>Van Jefferson</t>
  </si>
  <si>
    <t>Scotty Miller</t>
  </si>
  <si>
    <t>Scott Miller</t>
  </si>
  <si>
    <t>Phillip Walker</t>
  </si>
  <si>
    <t>Jeff Wilson</t>
  </si>
  <si>
    <t>Keelan Cole</t>
  </si>
  <si>
    <t>Rk</t>
  </si>
  <si>
    <t>Player</t>
  </si>
  <si>
    <t>Player Name</t>
  </si>
  <si>
    <t>Age</t>
  </si>
  <si>
    <t>Pos</t>
  </si>
  <si>
    <t>Games</t>
  </si>
  <si>
    <t>Games Started</t>
  </si>
  <si>
    <t>QB Record</t>
  </si>
  <si>
    <t>Completion</t>
  </si>
  <si>
    <t>Attempts</t>
  </si>
  <si>
    <t>Comp %</t>
  </si>
  <si>
    <t>TD%</t>
  </si>
  <si>
    <t>Int</t>
  </si>
  <si>
    <t>Int%</t>
  </si>
  <si>
    <t>First Down</t>
  </si>
  <si>
    <t>Lng</t>
  </si>
  <si>
    <t>Yds/Att</t>
  </si>
  <si>
    <t>Adj Yds/Att</t>
  </si>
  <si>
    <t>Yds/Comp</t>
  </si>
  <si>
    <t>Yds/Game</t>
  </si>
  <si>
    <t>QB Rating</t>
  </si>
  <si>
    <t>QBR</t>
  </si>
  <si>
    <t>Sacks</t>
  </si>
  <si>
    <t>Yds Lost to Sack</t>
  </si>
  <si>
    <t>Net Yds/Att</t>
  </si>
  <si>
    <t>Adj. Net Yds/Att</t>
  </si>
  <si>
    <t>Sk%</t>
  </si>
  <si>
    <t>4QC</t>
  </si>
  <si>
    <t>GWD</t>
  </si>
  <si>
    <t>1</t>
  </si>
  <si>
    <t>Derek Carr</t>
  </si>
  <si>
    <t>LVR</t>
  </si>
  <si>
    <t>30</t>
  </si>
  <si>
    <t>qb</t>
  </si>
  <si>
    <t>1-0-0</t>
  </si>
  <si>
    <t>34</t>
  </si>
  <si>
    <t>56</t>
  </si>
  <si>
    <t>60.7</t>
  </si>
  <si>
    <t>435</t>
  </si>
  <si>
    <t>2</t>
  </si>
  <si>
    <t>3.6</t>
  </si>
  <si>
    <t>1.8</t>
  </si>
  <si>
    <t>17</t>
  </si>
  <si>
    <t>37</t>
  </si>
  <si>
    <t>7.8</t>
  </si>
  <si>
    <t>7.7</t>
  </si>
  <si>
    <t>12.8</t>
  </si>
  <si>
    <t>435.0</t>
  </si>
  <si>
    <t>89.5</t>
  </si>
  <si>
    <t>3</t>
  </si>
  <si>
    <t>26</t>
  </si>
  <si>
    <t>6.93</t>
  </si>
  <si>
    <t>6.85</t>
  </si>
  <si>
    <t>5.1</t>
  </si>
  <si>
    <t>Dak Prescott</t>
  </si>
  <si>
    <t>28</t>
  </si>
  <si>
    <t>0-1-0</t>
  </si>
  <si>
    <t>42</t>
  </si>
  <si>
    <t>58</t>
  </si>
  <si>
    <t>72.4</t>
  </si>
  <si>
    <t>403</t>
  </si>
  <si>
    <t>5.2</t>
  </si>
  <si>
    <t>1.7</t>
  </si>
  <si>
    <t>21</t>
  </si>
  <si>
    <t>31</t>
  </si>
  <si>
    <t>6.9</t>
  </si>
  <si>
    <t>7.2</t>
  </si>
  <si>
    <t>9.6</t>
  </si>
  <si>
    <t>403.0</t>
  </si>
  <si>
    <t>101.4</t>
  </si>
  <si>
    <t>12</t>
  </si>
  <si>
    <t>6.63</t>
  </si>
  <si>
    <t>6.88</t>
  </si>
  <si>
    <t>Tom Brady</t>
  </si>
  <si>
    <t>TAM</t>
  </si>
  <si>
    <t>44</t>
  </si>
  <si>
    <t>32</t>
  </si>
  <si>
    <t>50</t>
  </si>
  <si>
    <t>64.0</t>
  </si>
  <si>
    <t>379</t>
  </si>
  <si>
    <t>4</t>
  </si>
  <si>
    <t>8.0</t>
  </si>
  <si>
    <t>4.0</t>
  </si>
  <si>
    <t>22</t>
  </si>
  <si>
    <t>47</t>
  </si>
  <si>
    <t>7.6</t>
  </si>
  <si>
    <t>7.4</t>
  </si>
  <si>
    <t>11.8</t>
  </si>
  <si>
    <t>379.0</t>
  </si>
  <si>
    <t>97.0</t>
  </si>
  <si>
    <t>0</t>
  </si>
  <si>
    <t>7.58</t>
  </si>
  <si>
    <t>7.38</t>
  </si>
  <si>
    <t>0.0</t>
  </si>
  <si>
    <t>33</t>
  </si>
  <si>
    <t>36</t>
  </si>
  <si>
    <t>49</t>
  </si>
  <si>
    <t>73.5</t>
  </si>
  <si>
    <t>351</t>
  </si>
  <si>
    <t>4.1</t>
  </si>
  <si>
    <t>15</t>
  </si>
  <si>
    <t>9.8</t>
  </si>
  <si>
    <t>351.0</t>
  </si>
  <si>
    <t>106.8</t>
  </si>
  <si>
    <t>6.25</t>
  </si>
  <si>
    <t>7.02</t>
  </si>
  <si>
    <t>5.8</t>
  </si>
  <si>
    <t>5</t>
  </si>
  <si>
    <t>27</t>
  </si>
  <si>
    <t>38</t>
  </si>
  <si>
    <t>57</t>
  </si>
  <si>
    <t>66.7</t>
  </si>
  <si>
    <t>338</t>
  </si>
  <si>
    <t>5.3</t>
  </si>
  <si>
    <t>19</t>
  </si>
  <si>
    <t>43</t>
  </si>
  <si>
    <t>5.9</t>
  </si>
  <si>
    <t>6.2</t>
  </si>
  <si>
    <t>8.9</t>
  </si>
  <si>
    <t>338.0</t>
  </si>
  <si>
    <t>92.6</t>
  </si>
  <si>
    <t>24</t>
  </si>
  <si>
    <t>5.23</t>
  </si>
  <si>
    <t>5.48</t>
  </si>
  <si>
    <t>5.0</t>
  </si>
  <si>
    <t>6</t>
  </si>
  <si>
    <t>23</t>
  </si>
  <si>
    <t>66.0</t>
  </si>
  <si>
    <t>337</t>
  </si>
  <si>
    <t>2.1</t>
  </si>
  <si>
    <t>20</t>
  </si>
  <si>
    <t>6.6</t>
  </si>
  <si>
    <t>10.9</t>
  </si>
  <si>
    <t>337.0</t>
  </si>
  <si>
    <t>85.2</t>
  </si>
  <si>
    <t>6.82</t>
  </si>
  <si>
    <t>6.31</t>
  </si>
  <si>
    <t>7</t>
  </si>
  <si>
    <t>KAN</t>
  </si>
  <si>
    <t>75.0</t>
  </si>
  <si>
    <t>8.3</t>
  </si>
  <si>
    <t>75</t>
  </si>
  <si>
    <t>9.4</t>
  </si>
  <si>
    <t>11.0</t>
  </si>
  <si>
    <t>12.5</t>
  </si>
  <si>
    <t>131.4</t>
  </si>
  <si>
    <t>13</t>
  </si>
  <si>
    <t>8.53</t>
  </si>
  <si>
    <t>10.11</t>
  </si>
  <si>
    <t>8</t>
  </si>
  <si>
    <t>JAX</t>
  </si>
  <si>
    <t>51</t>
  </si>
  <si>
    <t>54.9</t>
  </si>
  <si>
    <t>332</t>
  </si>
  <si>
    <t>41</t>
  </si>
  <si>
    <t>6.5</t>
  </si>
  <si>
    <t>11.9</t>
  </si>
  <si>
    <t>332.0</t>
  </si>
  <si>
    <t>70.1</t>
  </si>
  <si>
    <t>6.13</t>
  </si>
  <si>
    <t>4.69</t>
  </si>
  <si>
    <t>1.9</t>
  </si>
  <si>
    <t>9</t>
  </si>
  <si>
    <t>321</t>
  </si>
  <si>
    <t>14</t>
  </si>
  <si>
    <t>11.5</t>
  </si>
  <si>
    <t>9.9</t>
  </si>
  <si>
    <t>15.3</t>
  </si>
  <si>
    <t>321.0</t>
  </si>
  <si>
    <t>97.5</t>
  </si>
  <si>
    <t>10.13</t>
  </si>
  <si>
    <t>8.63</t>
  </si>
  <si>
    <t>6.7</t>
  </si>
  <si>
    <t>10</t>
  </si>
  <si>
    <t>Matthew Stafford</t>
  </si>
  <si>
    <t>76.9</t>
  </si>
  <si>
    <t>67</t>
  </si>
  <si>
    <t>12.3</t>
  </si>
  <si>
    <t>14.7</t>
  </si>
  <si>
    <t>16.1</t>
  </si>
  <si>
    <t>156.1</t>
  </si>
  <si>
    <t>11.56</t>
  </si>
  <si>
    <t>13.78</t>
  </si>
  <si>
    <t>3.7</t>
  </si>
  <si>
    <t>11</t>
  </si>
  <si>
    <t>SFO</t>
  </si>
  <si>
    <t>25</t>
  </si>
  <si>
    <t>68.0</t>
  </si>
  <si>
    <t>314</t>
  </si>
  <si>
    <t>79</t>
  </si>
  <si>
    <t>12.6</t>
  </si>
  <si>
    <t>13.4</t>
  </si>
  <si>
    <t>18.5</t>
  </si>
  <si>
    <t>314.0</t>
  </si>
  <si>
    <t>124.2</t>
  </si>
  <si>
    <t>11.77</t>
  </si>
  <si>
    <t>12.54</t>
  </si>
  <si>
    <t>3.8</t>
  </si>
  <si>
    <t>63.6</t>
  </si>
  <si>
    <t>291</t>
  </si>
  <si>
    <t>6.1</t>
  </si>
  <si>
    <t>52</t>
  </si>
  <si>
    <t>8.8</t>
  </si>
  <si>
    <t>10.0</t>
  </si>
  <si>
    <t>13.9</t>
  </si>
  <si>
    <t>291.0</t>
  </si>
  <si>
    <t>112.1</t>
  </si>
  <si>
    <t>8.50</t>
  </si>
  <si>
    <t>9.68</t>
  </si>
  <si>
    <t>2.9</t>
  </si>
  <si>
    <t>65.6</t>
  </si>
  <si>
    <t>289</t>
  </si>
  <si>
    <t>3.1</t>
  </si>
  <si>
    <t>9.0</t>
  </si>
  <si>
    <t>10.1</t>
  </si>
  <si>
    <t>13.8</t>
  </si>
  <si>
    <t>289.0</t>
  </si>
  <si>
    <t>121.0</t>
  </si>
  <si>
    <t>8.24</t>
  </si>
  <si>
    <t>9.26</t>
  </si>
  <si>
    <t>NWE</t>
  </si>
  <si>
    <t>29</t>
  </si>
  <si>
    <t>39</t>
  </si>
  <si>
    <t>74.4</t>
  </si>
  <si>
    <t>281</t>
  </si>
  <si>
    <t>2.6</t>
  </si>
  <si>
    <t>9.7</t>
  </si>
  <si>
    <t>281.0</t>
  </si>
  <si>
    <t>102.6</t>
  </si>
  <si>
    <t>6.70</t>
  </si>
  <si>
    <t>7.20</t>
  </si>
  <si>
    <t>2.5</t>
  </si>
  <si>
    <t>35</t>
  </si>
  <si>
    <t>68.6</t>
  </si>
  <si>
    <t>279</t>
  </si>
  <si>
    <t>8.5</t>
  </si>
  <si>
    <t>11.6</t>
  </si>
  <si>
    <t>279.0</t>
  </si>
  <si>
    <t>102.0</t>
  </si>
  <si>
    <t>7.50</t>
  </si>
  <si>
    <t>8.06</t>
  </si>
  <si>
    <t>2.8</t>
  </si>
  <si>
    <t>16</t>
  </si>
  <si>
    <t>58.8</t>
  </si>
  <si>
    <t>270</t>
  </si>
  <si>
    <t>2.0</t>
  </si>
  <si>
    <t>5.7</t>
  </si>
  <si>
    <t>270.0</t>
  </si>
  <si>
    <t>79.7</t>
  </si>
  <si>
    <t>4.70</t>
  </si>
  <si>
    <t>5.07</t>
  </si>
  <si>
    <t>5.6</t>
  </si>
  <si>
    <t>59.5</t>
  </si>
  <si>
    <t>267</t>
  </si>
  <si>
    <t>2.7</t>
  </si>
  <si>
    <t>12.1</t>
  </si>
  <si>
    <t>267.0</t>
  </si>
  <si>
    <t>90.7</t>
  </si>
  <si>
    <t>6.51</t>
  </si>
  <si>
    <t>7.03</t>
  </si>
  <si>
    <t>18</t>
  </si>
  <si>
    <t>77.8</t>
  </si>
  <si>
    <t>264</t>
  </si>
  <si>
    <t>7.3</t>
  </si>
  <si>
    <t>8.4</t>
  </si>
  <si>
    <t>264.0</t>
  </si>
  <si>
    <t>115.7</t>
  </si>
  <si>
    <t>6.71</t>
  </si>
  <si>
    <t>7.76</t>
  </si>
  <si>
    <t>77.1</t>
  </si>
  <si>
    <t>8.6</t>
  </si>
  <si>
    <t>7.5</t>
  </si>
  <si>
    <t>9.3</t>
  </si>
  <si>
    <t>126.4</t>
  </si>
  <si>
    <t>7.25</t>
  </si>
  <si>
    <t>8.92</t>
  </si>
  <si>
    <t>74.1</t>
  </si>
  <si>
    <t>261</t>
  </si>
  <si>
    <t>11.1</t>
  </si>
  <si>
    <t>13.1</t>
  </si>
  <si>
    <t>261.0</t>
  </si>
  <si>
    <t>128.8</t>
  </si>
  <si>
    <t>6.78</t>
  </si>
  <si>
    <t>8.03</t>
  </si>
  <si>
    <t>15.6</t>
  </si>
  <si>
    <t>54.1</t>
  </si>
  <si>
    <t>258</t>
  </si>
  <si>
    <t>5.4</t>
  </si>
  <si>
    <t>40</t>
  </si>
  <si>
    <t>7.0</t>
  </si>
  <si>
    <t>6.8</t>
  </si>
  <si>
    <t>12.9</t>
  </si>
  <si>
    <t>258.0</t>
  </si>
  <si>
    <t>82.9</t>
  </si>
  <si>
    <t>4.81</t>
  </si>
  <si>
    <t>14.0</t>
  </si>
  <si>
    <t>78.3</t>
  </si>
  <si>
    <t>254</t>
  </si>
  <si>
    <t>17.4</t>
  </si>
  <si>
    <t>69</t>
  </si>
  <si>
    <t>14.5</t>
  </si>
  <si>
    <t>14.1</t>
  </si>
  <si>
    <t>254.0</t>
  </si>
  <si>
    <t>152.3</t>
  </si>
  <si>
    <t>9.27</t>
  </si>
  <si>
    <t>12.35</t>
  </si>
  <si>
    <t>65.8</t>
  </si>
  <si>
    <t>251</t>
  </si>
  <si>
    <t>251.0</t>
  </si>
  <si>
    <t>5.44</t>
  </si>
  <si>
    <t>6.41</t>
  </si>
  <si>
    <t>Lamar Jackson</t>
  </si>
  <si>
    <t>63.3</t>
  </si>
  <si>
    <t>235</t>
  </si>
  <si>
    <t>3.3</t>
  </si>
  <si>
    <t>12.4</t>
  </si>
  <si>
    <t>235.0</t>
  </si>
  <si>
    <t>98.6</t>
  </si>
  <si>
    <t>6.58</t>
  </si>
  <si>
    <t>7.18</t>
  </si>
  <si>
    <t>9.1</t>
  </si>
  <si>
    <t>60.0</t>
  </si>
  <si>
    <t>212</t>
  </si>
  <si>
    <t>212.0</t>
  </si>
  <si>
    <t>74.9</t>
  </si>
  <si>
    <t>3.80</t>
  </si>
  <si>
    <t>3.20</t>
  </si>
  <si>
    <t>14.6</t>
  </si>
  <si>
    <t>Andy Dalton</t>
  </si>
  <si>
    <t>71.1</t>
  </si>
  <si>
    <t>206</t>
  </si>
  <si>
    <t>4.2</t>
  </si>
  <si>
    <t>206.0</t>
  </si>
  <si>
    <t>72.9</t>
  </si>
  <si>
    <t>4.34</t>
  </si>
  <si>
    <t>3.24</t>
  </si>
  <si>
    <t>59.3</t>
  </si>
  <si>
    <t>202</t>
  </si>
  <si>
    <t>202.0</t>
  </si>
  <si>
    <t>79.6</t>
  </si>
  <si>
    <t>6.38</t>
  </si>
  <si>
    <t>5.52</t>
  </si>
  <si>
    <t>56.3</t>
  </si>
  <si>
    <t>188</t>
  </si>
  <si>
    <t>10.4</t>
  </si>
  <si>
    <t>188.0</t>
  </si>
  <si>
    <t>83.9</t>
  </si>
  <si>
    <t>5.21</t>
  </si>
  <si>
    <t>5.79</t>
  </si>
  <si>
    <t>164</t>
  </si>
  <si>
    <t>4.7</t>
  </si>
  <si>
    <t>164.0</t>
  </si>
  <si>
    <t>71.6</t>
  </si>
  <si>
    <t>3.58</t>
  </si>
  <si>
    <t>7.9</t>
  </si>
  <si>
    <t>NOR</t>
  </si>
  <si>
    <t>70.0</t>
  </si>
  <si>
    <t>148</t>
  </si>
  <si>
    <t>25.0</t>
  </si>
  <si>
    <t>55</t>
  </si>
  <si>
    <t>10.6</t>
  </si>
  <si>
    <t>148.0</t>
  </si>
  <si>
    <t>130.8</t>
  </si>
  <si>
    <t>7.40</t>
  </si>
  <si>
    <t>12.40</t>
  </si>
  <si>
    <t>GNB</t>
  </si>
  <si>
    <t>53.6</t>
  </si>
  <si>
    <t>133</t>
  </si>
  <si>
    <t>7.1</t>
  </si>
  <si>
    <t>4.8</t>
  </si>
  <si>
    <t>1.5</t>
  </si>
  <si>
    <t>133.0</t>
  </si>
  <si>
    <t>36.8</t>
  </si>
  <si>
    <t>4.21</t>
  </si>
  <si>
    <t>1.10</t>
  </si>
  <si>
    <t>3.4</t>
  </si>
  <si>
    <t>73.3</t>
  </si>
  <si>
    <t>122</t>
  </si>
  <si>
    <t>8.1</t>
  </si>
  <si>
    <t>9.5</t>
  </si>
  <si>
    <t>122.0</t>
  </si>
  <si>
    <t>119.3</t>
  </si>
  <si>
    <t>8.13</t>
  </si>
  <si>
    <t>9.47</t>
  </si>
  <si>
    <t>71.4</t>
  </si>
  <si>
    <t>68</t>
  </si>
  <si>
    <t>13.6</t>
  </si>
  <si>
    <t>102.1</t>
  </si>
  <si>
    <t>8.00</t>
  </si>
  <si>
    <t>50.0</t>
  </si>
  <si>
    <t>2.2</t>
  </si>
  <si>
    <t>4.3</t>
  </si>
  <si>
    <t>13.0</t>
  </si>
  <si>
    <t>56.2</t>
  </si>
  <si>
    <t>1.57</t>
  </si>
  <si>
    <t>14.3</t>
  </si>
  <si>
    <t>wr</t>
  </si>
  <si>
    <t>100.0</t>
  </si>
  <si>
    <t>112.5</t>
  </si>
  <si>
    <t>11.00</t>
  </si>
  <si>
    <t>Justin Fields</t>
  </si>
  <si>
    <t>87.5</t>
  </si>
  <si>
    <t>5.00</t>
  </si>
  <si>
    <t>Matthias Farley</t>
  </si>
  <si>
    <t>6.0</t>
  </si>
  <si>
    <t>91.7</t>
  </si>
  <si>
    <t>6.00</t>
  </si>
  <si>
    <t>127.1</t>
  </si>
  <si>
    <t>25.00</t>
  </si>
  <si>
    <t>3.0</t>
  </si>
  <si>
    <t>79.2</t>
  </si>
  <si>
    <t>3.00</t>
  </si>
  <si>
    <t>Tm</t>
  </si>
  <si>
    <t>G</t>
  </si>
  <si>
    <t>GS</t>
  </si>
  <si>
    <t>QBrec</t>
  </si>
  <si>
    <t>Cmp</t>
  </si>
  <si>
    <t>Att</t>
  </si>
  <si>
    <t>Cmp%</t>
  </si>
  <si>
    <t>1D</t>
  </si>
  <si>
    <t>Y/A</t>
  </si>
  <si>
    <t>AY/A</t>
  </si>
  <si>
    <t>Y/C</t>
  </si>
  <si>
    <t>Y/G</t>
  </si>
  <si>
    <t>Rate</t>
  </si>
  <si>
    <t>Sk</t>
  </si>
  <si>
    <t>Yds2</t>
  </si>
  <si>
    <t>NY/A</t>
  </si>
  <si>
    <t>ANY/A</t>
  </si>
  <si>
    <t>4-12-0</t>
  </si>
  <si>
    <t>11-5-0</t>
  </si>
  <si>
    <t>12-3-0</t>
  </si>
  <si>
    <t>6-9-0</t>
  </si>
  <si>
    <t>Patrick Mahomes*</t>
  </si>
  <si>
    <t>14-1-0</t>
  </si>
  <si>
    <t>Josh Allen*</t>
  </si>
  <si>
    <t>13-3-0</t>
  </si>
  <si>
    <t>Kyler Murray*</t>
  </si>
  <si>
    <t>8-8-0</t>
  </si>
  <si>
    <t>Russell Wilson*</t>
  </si>
  <si>
    <t>12-4-0</t>
  </si>
  <si>
    <t>9-6-0</t>
  </si>
  <si>
    <t>Deshaun Watson*</t>
  </si>
  <si>
    <t>Philip Rivers</t>
  </si>
  <si>
    <t>5-11-0</t>
  </si>
  <si>
    <t>Aaron Rodgers*+</t>
  </si>
  <si>
    <t>7-9-0</t>
  </si>
  <si>
    <t>4-11-0</t>
  </si>
  <si>
    <t>5-9-0</t>
  </si>
  <si>
    <t>4-9-0</t>
  </si>
  <si>
    <t>3-8-1</t>
  </si>
  <si>
    <t>2-7-1</t>
  </si>
  <si>
    <t>Drew Brees</t>
  </si>
  <si>
    <t>9-3-0</t>
  </si>
  <si>
    <t>11-4-0</t>
  </si>
  <si>
    <t>7-8-0</t>
  </si>
  <si>
    <t>2-10-0</t>
  </si>
  <si>
    <t>4-5-0</t>
  </si>
  <si>
    <t>1-7-0</t>
  </si>
  <si>
    <t>2-6-0</t>
  </si>
  <si>
    <t>Nick Foles</t>
  </si>
  <si>
    <t>2-5-0</t>
  </si>
  <si>
    <t>6-3-0</t>
  </si>
  <si>
    <t>4-3-0</t>
  </si>
  <si>
    <t>Alex Smith</t>
  </si>
  <si>
    <t>5-1-0</t>
  </si>
  <si>
    <t>Dwayne Haskins</t>
  </si>
  <si>
    <t>1-5-0</t>
  </si>
  <si>
    <t>2-3-0</t>
  </si>
  <si>
    <t>0-5-0</t>
  </si>
  <si>
    <t>1-3-0</t>
  </si>
  <si>
    <t>1-4-0</t>
  </si>
  <si>
    <t>3-3-0</t>
  </si>
  <si>
    <t>0-4-0</t>
  </si>
  <si>
    <t>3-1-0</t>
  </si>
  <si>
    <t>0-3-0</t>
  </si>
  <si>
    <t>1-1-0</t>
  </si>
  <si>
    <t>Ben DiNucci</t>
  </si>
  <si>
    <t>Garrett Gilbert</t>
  </si>
  <si>
    <t>John Wolford</t>
  </si>
  <si>
    <t>Ryan Finley</t>
  </si>
  <si>
    <t>Marcus Mariota</t>
  </si>
  <si>
    <t>Matt Barkley</t>
  </si>
  <si>
    <t>Blaine Gabbert</t>
  </si>
  <si>
    <t>Robert Griffin III</t>
  </si>
  <si>
    <t>Trace McSorley</t>
  </si>
  <si>
    <t>Tyler Bray</t>
  </si>
  <si>
    <t>Joshua Dobbs</t>
  </si>
  <si>
    <t>Tyler Huntley</t>
  </si>
  <si>
    <t>Nathan Peterman</t>
  </si>
  <si>
    <t>rb</t>
  </si>
  <si>
    <t>Julian Edelman</t>
  </si>
  <si>
    <t>Travis Kelce*+</t>
  </si>
  <si>
    <t>Golden Tate</t>
  </si>
  <si>
    <t>Cedrick Wilson Jr.</t>
  </si>
  <si>
    <t>Keenan Allen*</t>
  </si>
  <si>
    <t>Joseph Charlton</t>
  </si>
  <si>
    <t>p</t>
  </si>
  <si>
    <t>Riley Dixon</t>
  </si>
  <si>
    <t>Jaquan Johnson</t>
  </si>
  <si>
    <t>Chris Jones</t>
  </si>
  <si>
    <t>Zay Jones</t>
  </si>
  <si>
    <t>Brett Kern</t>
  </si>
  <si>
    <t>Sam Koch</t>
  </si>
  <si>
    <t>Andy Lee</t>
  </si>
  <si>
    <t>A.J. McCarron</t>
  </si>
  <si>
    <t>Tommy Townsend</t>
  </si>
  <si>
    <t>Rushing Att</t>
  </si>
  <si>
    <t>Rushing Yds</t>
  </si>
  <si>
    <t>Rushing TD</t>
  </si>
  <si>
    <t>Rushing 1D</t>
  </si>
  <si>
    <t>Rushing Lng</t>
  </si>
  <si>
    <t>Rushing Yds/Att</t>
  </si>
  <si>
    <t>Rushing Yds/Gm</t>
  </si>
  <si>
    <t>Fmb</t>
  </si>
  <si>
    <t>127</t>
  </si>
  <si>
    <t>4.4</t>
  </si>
  <si>
    <t>127.0</t>
  </si>
  <si>
    <t>Mark Ingram</t>
  </si>
  <si>
    <t>85</t>
  </si>
  <si>
    <t>85.0</t>
  </si>
  <si>
    <t>100</t>
  </si>
  <si>
    <t>98</t>
  </si>
  <si>
    <t>98.0</t>
  </si>
  <si>
    <t>61</t>
  </si>
  <si>
    <t>61.0</t>
  </si>
  <si>
    <t>90</t>
  </si>
  <si>
    <t>4.5</t>
  </si>
  <si>
    <t>90.0</t>
  </si>
  <si>
    <t>83</t>
  </si>
  <si>
    <t>83.0</t>
  </si>
  <si>
    <t>Elijah Mitchell</t>
  </si>
  <si>
    <t>104</t>
  </si>
  <si>
    <t>5.5</t>
  </si>
  <si>
    <t>104.0</t>
  </si>
  <si>
    <t>58.0</t>
  </si>
  <si>
    <t>56.0</t>
  </si>
  <si>
    <t>91</t>
  </si>
  <si>
    <t>91.0</t>
  </si>
  <si>
    <t>53</t>
  </si>
  <si>
    <t>53.0</t>
  </si>
  <si>
    <t>45</t>
  </si>
  <si>
    <t>45.0</t>
  </si>
  <si>
    <t>70</t>
  </si>
  <si>
    <t>David Montgomery</t>
  </si>
  <si>
    <t>108</t>
  </si>
  <si>
    <t>108.0</t>
  </si>
  <si>
    <t>49.0</t>
  </si>
  <si>
    <t>57.0</t>
  </si>
  <si>
    <t>74</t>
  </si>
  <si>
    <t>4.9</t>
  </si>
  <si>
    <t>74.0</t>
  </si>
  <si>
    <t>43.0</t>
  </si>
  <si>
    <t>3.2</t>
  </si>
  <si>
    <t>63</t>
  </si>
  <si>
    <t>63.0</t>
  </si>
  <si>
    <t>86</t>
  </si>
  <si>
    <t>86.0</t>
  </si>
  <si>
    <t>Ezekiel Elliott</t>
  </si>
  <si>
    <t>33.0</t>
  </si>
  <si>
    <t>101</t>
  </si>
  <si>
    <t>9.2</t>
  </si>
  <si>
    <t>101.0</t>
  </si>
  <si>
    <t>Tony Jones</t>
  </si>
  <si>
    <t>72</t>
  </si>
  <si>
    <t>72.0</t>
  </si>
  <si>
    <t>3.5</t>
  </si>
  <si>
    <t>39.0</t>
  </si>
  <si>
    <t>26.0</t>
  </si>
  <si>
    <t>Josh Jacobs</t>
  </si>
  <si>
    <t>34.0</t>
  </si>
  <si>
    <t>Latavius Murray</t>
  </si>
  <si>
    <t>28.0</t>
  </si>
  <si>
    <t>44.0</t>
  </si>
  <si>
    <t>24.0</t>
  </si>
  <si>
    <t>Leonard Fournette</t>
  </si>
  <si>
    <t>32.0</t>
  </si>
  <si>
    <t>37.0</t>
  </si>
  <si>
    <t>54</t>
  </si>
  <si>
    <t>54.0</t>
  </si>
  <si>
    <t>Ty'Son Williams</t>
  </si>
  <si>
    <t>65</t>
  </si>
  <si>
    <t>65.0</t>
  </si>
  <si>
    <t>Larry Rountree</t>
  </si>
  <si>
    <t>27.0</t>
  </si>
  <si>
    <t>Kenyan Drake</t>
  </si>
  <si>
    <t>46</t>
  </si>
  <si>
    <t>48</t>
  </si>
  <si>
    <t>Damien Williams</t>
  </si>
  <si>
    <t>15.0</t>
  </si>
  <si>
    <t>16.0</t>
  </si>
  <si>
    <t>-1</t>
  </si>
  <si>
    <t>-0.2</t>
  </si>
  <si>
    <t>-1.0</t>
  </si>
  <si>
    <t>18.0</t>
  </si>
  <si>
    <t>20.0</t>
  </si>
  <si>
    <t>22.0</t>
  </si>
  <si>
    <t>-5</t>
  </si>
  <si>
    <t>-5.0</t>
  </si>
  <si>
    <t>59</t>
  </si>
  <si>
    <t>60</t>
  </si>
  <si>
    <t>1.0</t>
  </si>
  <si>
    <t>62</t>
  </si>
  <si>
    <t>64</t>
  </si>
  <si>
    <t>19.0</t>
  </si>
  <si>
    <t>-0.3</t>
  </si>
  <si>
    <t>66</t>
  </si>
  <si>
    <t>Ronald Jones II</t>
  </si>
  <si>
    <t>1.3</t>
  </si>
  <si>
    <t>0.3</t>
  </si>
  <si>
    <t>71</t>
  </si>
  <si>
    <t>40.0</t>
  </si>
  <si>
    <t>23.0</t>
  </si>
  <si>
    <t>73</t>
  </si>
  <si>
    <t>12.0</t>
  </si>
  <si>
    <t>6.3</t>
  </si>
  <si>
    <t>76</t>
  </si>
  <si>
    <t>0.7</t>
  </si>
  <si>
    <t>77</t>
  </si>
  <si>
    <t>78</t>
  </si>
  <si>
    <t>17.0</t>
  </si>
  <si>
    <t>80</t>
  </si>
  <si>
    <t>81</t>
  </si>
  <si>
    <t>Tony Pollard</t>
  </si>
  <si>
    <t>82</t>
  </si>
  <si>
    <t>Trenton Cannon</t>
  </si>
  <si>
    <t>84</t>
  </si>
  <si>
    <t>D'Wayne Eskridge</t>
  </si>
  <si>
    <t>0.5</t>
  </si>
  <si>
    <t>87</t>
  </si>
  <si>
    <t>Jason Kelce</t>
  </si>
  <si>
    <t>c</t>
  </si>
  <si>
    <t>88</t>
  </si>
  <si>
    <t>89</t>
  </si>
  <si>
    <t>92</t>
  </si>
  <si>
    <t>93</t>
  </si>
  <si>
    <t>94</t>
  </si>
  <si>
    <t>95</t>
  </si>
  <si>
    <t>96</t>
  </si>
  <si>
    <t>97</t>
  </si>
  <si>
    <t>99</t>
  </si>
  <si>
    <t>Antonio Brown</t>
  </si>
  <si>
    <t>Marquise Brown</t>
  </si>
  <si>
    <t>102</t>
  </si>
  <si>
    <t>103</t>
  </si>
  <si>
    <t>-2</t>
  </si>
  <si>
    <t>-2.0</t>
  </si>
  <si>
    <t>105</t>
  </si>
  <si>
    <t>106</t>
  </si>
  <si>
    <t>107</t>
  </si>
  <si>
    <t>109</t>
  </si>
  <si>
    <t>Jamie Gillan</t>
  </si>
  <si>
    <t>-8</t>
  </si>
  <si>
    <t>110</t>
  </si>
  <si>
    <t>Marquise Goodwin</t>
  </si>
  <si>
    <t>111</t>
  </si>
  <si>
    <t>Jamycal Hasty</t>
  </si>
  <si>
    <t>112</t>
  </si>
  <si>
    <t>113</t>
  </si>
  <si>
    <t>114</t>
  </si>
  <si>
    <t>115</t>
  </si>
  <si>
    <t>31.0</t>
  </si>
  <si>
    <t>116</t>
  </si>
  <si>
    <t>117</t>
  </si>
  <si>
    <t>118</t>
  </si>
  <si>
    <t>-3</t>
  </si>
  <si>
    <t>-3.0</t>
  </si>
  <si>
    <t>119</t>
  </si>
  <si>
    <t>120</t>
  </si>
  <si>
    <t>Sony Michel</t>
  </si>
  <si>
    <t>121</t>
  </si>
  <si>
    <t>123</t>
  </si>
  <si>
    <t>124</t>
  </si>
  <si>
    <t>125</t>
  </si>
  <si>
    <t>126</t>
  </si>
  <si>
    <t>te</t>
  </si>
  <si>
    <t>128</t>
  </si>
  <si>
    <t>129</t>
  </si>
  <si>
    <t>130</t>
  </si>
  <si>
    <t>131</t>
  </si>
  <si>
    <t>Robert Woods</t>
  </si>
  <si>
    <t>Derrick Henry*+</t>
  </si>
  <si>
    <t>378</t>
  </si>
  <si>
    <t>2027</t>
  </si>
  <si>
    <t>126.7</t>
  </si>
  <si>
    <t>Dalvin Cook*</t>
  </si>
  <si>
    <t>312</t>
  </si>
  <si>
    <t>1557</t>
  </si>
  <si>
    <t>111.2</t>
  </si>
  <si>
    <t>Josh Jacobs*</t>
  </si>
  <si>
    <t>273</t>
  </si>
  <si>
    <t>1065</t>
  </si>
  <si>
    <t>3.9</t>
  </si>
  <si>
    <t>71.0</t>
  </si>
  <si>
    <t>247</t>
  </si>
  <si>
    <t>1070</t>
  </si>
  <si>
    <t>71.3</t>
  </si>
  <si>
    <t>244</t>
  </si>
  <si>
    <t>979</t>
  </si>
  <si>
    <t>65.3</t>
  </si>
  <si>
    <t>240</t>
  </si>
  <si>
    <t>76.4</t>
  </si>
  <si>
    <t>239</t>
  </si>
  <si>
    <t>955</t>
  </si>
  <si>
    <t>63.7</t>
  </si>
  <si>
    <t>232</t>
  </si>
  <si>
    <t>1169</t>
  </si>
  <si>
    <t>77.9</t>
  </si>
  <si>
    <t>215</t>
  </si>
  <si>
    <t>986</t>
  </si>
  <si>
    <t>4.6</t>
  </si>
  <si>
    <t>65.7</t>
  </si>
  <si>
    <t>Aaron Jones*</t>
  </si>
  <si>
    <t>201</t>
  </si>
  <si>
    <t>1104</t>
  </si>
  <si>
    <t>78.9</t>
  </si>
  <si>
    <t>198</t>
  </si>
  <si>
    <t>841</t>
  </si>
  <si>
    <t>52.6</t>
  </si>
  <si>
    <t>195</t>
  </si>
  <si>
    <t>678</t>
  </si>
  <si>
    <t>45.2</t>
  </si>
  <si>
    <t>192</t>
  </si>
  <si>
    <t>978</t>
  </si>
  <si>
    <t>69.9</t>
  </si>
  <si>
    <t>Nick Chubb*</t>
  </si>
  <si>
    <t>190</t>
  </si>
  <si>
    <t>1067</t>
  </si>
  <si>
    <t>88.9</t>
  </si>
  <si>
    <t>Frank Gore</t>
  </si>
  <si>
    <t>187</t>
  </si>
  <si>
    <t>653</t>
  </si>
  <si>
    <t>43.5</t>
  </si>
  <si>
    <t>Alvin Kamara*</t>
  </si>
  <si>
    <t>932</t>
  </si>
  <si>
    <t>62.1</t>
  </si>
  <si>
    <t>181</t>
  </si>
  <si>
    <t>803</t>
  </si>
  <si>
    <t>61.8</t>
  </si>
  <si>
    <t>170</t>
  </si>
  <si>
    <t>795</t>
  </si>
  <si>
    <t>56.8</t>
  </si>
  <si>
    <t>169</t>
  </si>
  <si>
    <t>721</t>
  </si>
  <si>
    <t>55.5</t>
  </si>
  <si>
    <t>165</t>
  </si>
  <si>
    <t>642</t>
  </si>
  <si>
    <t>42.8</t>
  </si>
  <si>
    <t>867</t>
  </si>
  <si>
    <t>72.3</t>
  </si>
  <si>
    <t>159</t>
  </si>
  <si>
    <t>1005</t>
  </si>
  <si>
    <t>67.0</t>
  </si>
  <si>
    <t>Adrian Peterson</t>
  </si>
  <si>
    <t>156</t>
  </si>
  <si>
    <t>604</t>
  </si>
  <si>
    <t>37.8</t>
  </si>
  <si>
    <t>687</t>
  </si>
  <si>
    <t>42.9</t>
  </si>
  <si>
    <t>147</t>
  </si>
  <si>
    <t>682</t>
  </si>
  <si>
    <t>45.5</t>
  </si>
  <si>
    <t>691</t>
  </si>
  <si>
    <t>57.6</t>
  </si>
  <si>
    <t>ss</t>
  </si>
  <si>
    <t>146</t>
  </si>
  <si>
    <t>656</t>
  </si>
  <si>
    <t>43.7</t>
  </si>
  <si>
    <t>Cam Akers</t>
  </si>
  <si>
    <t>145</t>
  </si>
  <si>
    <t>625</t>
  </si>
  <si>
    <t>48.1</t>
  </si>
  <si>
    <t>Gus Edwards</t>
  </si>
  <si>
    <t>144</t>
  </si>
  <si>
    <t>723</t>
  </si>
  <si>
    <t>142</t>
  </si>
  <si>
    <t>584</t>
  </si>
  <si>
    <t>58.4</t>
  </si>
  <si>
    <t>141</t>
  </si>
  <si>
    <t>681</t>
  </si>
  <si>
    <t>138</t>
  </si>
  <si>
    <t>624</t>
  </si>
  <si>
    <t>41.6</t>
  </si>
  <si>
    <t>137</t>
  </si>
  <si>
    <t>69.1</t>
  </si>
  <si>
    <t>592</t>
  </si>
  <si>
    <t>39.5</t>
  </si>
  <si>
    <t>J.K. Dobbins</t>
  </si>
  <si>
    <t>134</t>
  </si>
  <si>
    <t>805</t>
  </si>
  <si>
    <t>53.7</t>
  </si>
  <si>
    <t>819</t>
  </si>
  <si>
    <t>51.2</t>
  </si>
  <si>
    <t>600</t>
  </si>
  <si>
    <t>Giovani Bernard</t>
  </si>
  <si>
    <t>416</t>
  </si>
  <si>
    <t>428</t>
  </si>
  <si>
    <t>505</t>
  </si>
  <si>
    <t>36.1</t>
  </si>
  <si>
    <t>502</t>
  </si>
  <si>
    <t>45.6</t>
  </si>
  <si>
    <t>530</t>
  </si>
  <si>
    <t>521</t>
  </si>
  <si>
    <t>40.1</t>
  </si>
  <si>
    <t>481</t>
  </si>
  <si>
    <t>354</t>
  </si>
  <si>
    <t>25.3</t>
  </si>
  <si>
    <t>368</t>
  </si>
  <si>
    <t>65.1</t>
  </si>
  <si>
    <t>421</t>
  </si>
  <si>
    <t>26.3</t>
  </si>
  <si>
    <t>419</t>
  </si>
  <si>
    <t>26.2</t>
  </si>
  <si>
    <t>27.2</t>
  </si>
  <si>
    <t>465</t>
  </si>
  <si>
    <t>29.1</t>
  </si>
  <si>
    <t>448</t>
  </si>
  <si>
    <t>367</t>
  </si>
  <si>
    <t>28.2</t>
  </si>
  <si>
    <t>434</t>
  </si>
  <si>
    <t>33.4</t>
  </si>
  <si>
    <t>Peyton Barber</t>
  </si>
  <si>
    <t>423</t>
  </si>
  <si>
    <t>26.4</t>
  </si>
  <si>
    <t>2TM</t>
  </si>
  <si>
    <t>303</t>
  </si>
  <si>
    <t>27.5</t>
  </si>
  <si>
    <t>444</t>
  </si>
  <si>
    <t>27.8</t>
  </si>
  <si>
    <t>380</t>
  </si>
  <si>
    <t>23.8</t>
  </si>
  <si>
    <t>457</t>
  </si>
  <si>
    <t>28.6</t>
  </si>
  <si>
    <t>365</t>
  </si>
  <si>
    <t>22.8</t>
  </si>
  <si>
    <t>308</t>
  </si>
  <si>
    <t>20.5</t>
  </si>
  <si>
    <t>513</t>
  </si>
  <si>
    <t>32.1</t>
  </si>
  <si>
    <t>Le'Veon Bell</t>
  </si>
  <si>
    <t>328</t>
  </si>
  <si>
    <t>29.8</t>
  </si>
  <si>
    <t>356</t>
  </si>
  <si>
    <t>35.6</t>
  </si>
  <si>
    <t>319</t>
  </si>
  <si>
    <t>19.9</t>
  </si>
  <si>
    <t>374</t>
  </si>
  <si>
    <t>23.4</t>
  </si>
  <si>
    <t>449</t>
  </si>
  <si>
    <t>49.9</t>
  </si>
  <si>
    <t>Duke Johnson</t>
  </si>
  <si>
    <t>21.4</t>
  </si>
  <si>
    <t>53.2</t>
  </si>
  <si>
    <t>299</t>
  </si>
  <si>
    <t>274</t>
  </si>
  <si>
    <t>27.4</t>
  </si>
  <si>
    <t>30.2</t>
  </si>
  <si>
    <t>Cordarrelle Patterson*+</t>
  </si>
  <si>
    <t>23.2</t>
  </si>
  <si>
    <t>23.6</t>
  </si>
  <si>
    <t>301</t>
  </si>
  <si>
    <t>18.8</t>
  </si>
  <si>
    <t>Ito Smith</t>
  </si>
  <si>
    <t>268</t>
  </si>
  <si>
    <t>19.1</t>
  </si>
  <si>
    <t>21.2</t>
  </si>
  <si>
    <t>30.0</t>
  </si>
  <si>
    <t>225</t>
  </si>
  <si>
    <t>234</t>
  </si>
  <si>
    <t>238</t>
  </si>
  <si>
    <t>Devonta Freeman</t>
  </si>
  <si>
    <t>172</t>
  </si>
  <si>
    <t>34.4</t>
  </si>
  <si>
    <t>19.5</t>
  </si>
  <si>
    <t>10.3</t>
  </si>
  <si>
    <t>18.6</t>
  </si>
  <si>
    <t>11.3</t>
  </si>
  <si>
    <t>276</t>
  </si>
  <si>
    <t>204</t>
  </si>
  <si>
    <t>242</t>
  </si>
  <si>
    <t>160</t>
  </si>
  <si>
    <t>266</t>
  </si>
  <si>
    <t>16.6</t>
  </si>
  <si>
    <t>200</t>
  </si>
  <si>
    <t>13.3</t>
  </si>
  <si>
    <t>22.3</t>
  </si>
  <si>
    <t>140</t>
  </si>
  <si>
    <t>149</t>
  </si>
  <si>
    <t>14.2</t>
  </si>
  <si>
    <t>217</t>
  </si>
  <si>
    <t>18.1</t>
  </si>
  <si>
    <t>166</t>
  </si>
  <si>
    <t>DeAndre Washington</t>
  </si>
  <si>
    <t>0.2</t>
  </si>
  <si>
    <t>0.4</t>
  </si>
  <si>
    <t>151</t>
  </si>
  <si>
    <t>16.8</t>
  </si>
  <si>
    <t>157</t>
  </si>
  <si>
    <t>19.6</t>
  </si>
  <si>
    <t>Dion Lewis</t>
  </si>
  <si>
    <t>153</t>
  </si>
  <si>
    <t>Darwin Thompson</t>
  </si>
  <si>
    <t>Ke'Shawn Vaughn</t>
  </si>
  <si>
    <t>15.7</t>
  </si>
  <si>
    <t>155</t>
  </si>
  <si>
    <t>18.3</t>
  </si>
  <si>
    <t>D'Onta Foreman</t>
  </si>
  <si>
    <t>15.8</t>
  </si>
  <si>
    <t>132</t>
  </si>
  <si>
    <t>Jalen Richard</t>
  </si>
  <si>
    <t>Corey Clement</t>
  </si>
  <si>
    <t>2.3</t>
  </si>
  <si>
    <t>135</t>
  </si>
  <si>
    <t>136</t>
  </si>
  <si>
    <t>-0.1</t>
  </si>
  <si>
    <t>25.7</t>
  </si>
  <si>
    <t>139</t>
  </si>
  <si>
    <t>-0.4</t>
  </si>
  <si>
    <t>-0.5</t>
  </si>
  <si>
    <t>1.1</t>
  </si>
  <si>
    <t>143</t>
  </si>
  <si>
    <t>Kyle Juszczyk*</t>
  </si>
  <si>
    <t>FB</t>
  </si>
  <si>
    <t>0.1</t>
  </si>
  <si>
    <t>Buddy Howell</t>
  </si>
  <si>
    <t>Troymaine Pope</t>
  </si>
  <si>
    <t>12.7</t>
  </si>
  <si>
    <t>Tarik Cohen</t>
  </si>
  <si>
    <t>24.7</t>
  </si>
  <si>
    <t>10.8</t>
  </si>
  <si>
    <t>150</t>
  </si>
  <si>
    <t>-9</t>
  </si>
  <si>
    <t>-0.7</t>
  </si>
  <si>
    <t>-1.1</t>
  </si>
  <si>
    <t>Tyler Ervin</t>
  </si>
  <si>
    <t>152</t>
  </si>
  <si>
    <t>Tyreek Hill*+</t>
  </si>
  <si>
    <t>8.2</t>
  </si>
  <si>
    <t>154</t>
  </si>
  <si>
    <t>34.5</t>
  </si>
  <si>
    <t>17.3</t>
  </si>
  <si>
    <t>Justice Hill</t>
  </si>
  <si>
    <t>158</t>
  </si>
  <si>
    <t>13.2</t>
  </si>
  <si>
    <t>161</t>
  </si>
  <si>
    <t>2.4</t>
  </si>
  <si>
    <t>162</t>
  </si>
  <si>
    <t>1.6</t>
  </si>
  <si>
    <t>163</t>
  </si>
  <si>
    <t>CeeDee Lamb</t>
  </si>
  <si>
    <t>LeSean McCoy</t>
  </si>
  <si>
    <t>167</t>
  </si>
  <si>
    <t>0.9</t>
  </si>
  <si>
    <t>0.6</t>
  </si>
  <si>
    <t>168</t>
  </si>
  <si>
    <t>C.J. Prosise</t>
  </si>
  <si>
    <t>T.J. Yeldon</t>
  </si>
  <si>
    <t>23.3</t>
  </si>
  <si>
    <t>171</t>
  </si>
  <si>
    <t>173</t>
  </si>
  <si>
    <t>174</t>
  </si>
  <si>
    <t>175</t>
  </si>
  <si>
    <t>88.0</t>
  </si>
  <si>
    <t>176</t>
  </si>
  <si>
    <t>177</t>
  </si>
  <si>
    <t>0.8</t>
  </si>
  <si>
    <t>178</t>
  </si>
  <si>
    <t>Henry Ruggs III</t>
  </si>
  <si>
    <t>179</t>
  </si>
  <si>
    <t>180</t>
  </si>
  <si>
    <t>David Moore</t>
  </si>
  <si>
    <t>182</t>
  </si>
  <si>
    <t>183</t>
  </si>
  <si>
    <t>1.4</t>
  </si>
  <si>
    <t>184</t>
  </si>
  <si>
    <t>-6</t>
  </si>
  <si>
    <t>-0.8</t>
  </si>
  <si>
    <t>-1.5</t>
  </si>
  <si>
    <t>185</t>
  </si>
  <si>
    <t>186</t>
  </si>
  <si>
    <t>fb</t>
  </si>
  <si>
    <t>1.2</t>
  </si>
  <si>
    <t>Rico Dowdle</t>
  </si>
  <si>
    <t>189</t>
  </si>
  <si>
    <t>-0.9</t>
  </si>
  <si>
    <t>-1.2</t>
  </si>
  <si>
    <t>191</t>
  </si>
  <si>
    <t>Chris Thompson</t>
  </si>
  <si>
    <t>193</t>
  </si>
  <si>
    <t>194</t>
  </si>
  <si>
    <t>6.4</t>
  </si>
  <si>
    <t>196</t>
  </si>
  <si>
    <t>197</t>
  </si>
  <si>
    <t>Amari Cooper</t>
  </si>
  <si>
    <t>199</t>
  </si>
  <si>
    <t>Evan Engram*</t>
  </si>
  <si>
    <t>203</t>
  </si>
  <si>
    <t>De'Michael Harris</t>
  </si>
  <si>
    <t>205</t>
  </si>
  <si>
    <t>Elijhaa Penny</t>
  </si>
  <si>
    <t>207</t>
  </si>
  <si>
    <t>Artavis Pierce</t>
  </si>
  <si>
    <t>208</t>
  </si>
  <si>
    <t>Theo Riddick</t>
  </si>
  <si>
    <t>209</t>
  </si>
  <si>
    <t>Bo Scarbrough</t>
  </si>
  <si>
    <t>210</t>
  </si>
  <si>
    <t>211</t>
  </si>
  <si>
    <t>213</t>
  </si>
  <si>
    <t>214</t>
  </si>
  <si>
    <t>216</t>
  </si>
  <si>
    <t>218</t>
  </si>
  <si>
    <t>219</t>
  </si>
  <si>
    <t>Gunner Olszewski+</t>
  </si>
  <si>
    <t>220</t>
  </si>
  <si>
    <t>221</t>
  </si>
  <si>
    <t>222</t>
  </si>
  <si>
    <t>-1.7</t>
  </si>
  <si>
    <t>223</t>
  </si>
  <si>
    <t>224</t>
  </si>
  <si>
    <t>226</t>
  </si>
  <si>
    <t>227</t>
  </si>
  <si>
    <t>Devin Duvernay</t>
  </si>
  <si>
    <t>17.5</t>
  </si>
  <si>
    <t>228</t>
  </si>
  <si>
    <t>229</t>
  </si>
  <si>
    <t>Cooper Kupp</t>
  </si>
  <si>
    <t>230</t>
  </si>
  <si>
    <t>231</t>
  </si>
  <si>
    <t>Ray-Ray McCloud</t>
  </si>
  <si>
    <t>16.3</t>
  </si>
  <si>
    <t>233</t>
  </si>
  <si>
    <t>Darnell Mooney</t>
  </si>
  <si>
    <t>236</t>
  </si>
  <si>
    <t>237</t>
  </si>
  <si>
    <t>241</t>
  </si>
  <si>
    <t>243</t>
  </si>
  <si>
    <t>245</t>
  </si>
  <si>
    <t>Alec Ingold</t>
  </si>
  <si>
    <t>246</t>
  </si>
  <si>
    <t>248</t>
  </si>
  <si>
    <t>249</t>
  </si>
  <si>
    <t>John Lovett</t>
  </si>
  <si>
    <t>250</t>
  </si>
  <si>
    <t>Ryan Nall</t>
  </si>
  <si>
    <t>252</t>
  </si>
  <si>
    <t>253</t>
  </si>
  <si>
    <t>8.7</t>
  </si>
  <si>
    <t>Matt Schaub</t>
  </si>
  <si>
    <t>-4</t>
  </si>
  <si>
    <t>-1.3</t>
  </si>
  <si>
    <t>-4.0</t>
  </si>
  <si>
    <t>255</t>
  </si>
  <si>
    <t>Anthony Sherman</t>
  </si>
  <si>
    <t>256</t>
  </si>
  <si>
    <t>257</t>
  </si>
  <si>
    <t>259</t>
  </si>
  <si>
    <t>-12</t>
  </si>
  <si>
    <t>260</t>
  </si>
  <si>
    <t>262</t>
  </si>
  <si>
    <t>Trey Burton</t>
  </si>
  <si>
    <t>263</t>
  </si>
  <si>
    <t>Damiere Byrd</t>
  </si>
  <si>
    <t>265</t>
  </si>
  <si>
    <t>Jeremy Chinn</t>
  </si>
  <si>
    <t>RLB</t>
  </si>
  <si>
    <t>269</t>
  </si>
  <si>
    <t>Clayton Fejedelem</t>
  </si>
  <si>
    <t>271</t>
  </si>
  <si>
    <t>D.J. Foster</t>
  </si>
  <si>
    <t>272</t>
  </si>
  <si>
    <t>275</t>
  </si>
  <si>
    <t>Myles Hartsfield</t>
  </si>
  <si>
    <t>277</t>
  </si>
  <si>
    <t>278</t>
  </si>
  <si>
    <t>280</t>
  </si>
  <si>
    <t>282</t>
  </si>
  <si>
    <t>283</t>
  </si>
  <si>
    <t>284</t>
  </si>
  <si>
    <t>285</t>
  </si>
  <si>
    <t>286</t>
  </si>
  <si>
    <t>287</t>
  </si>
  <si>
    <t>Senorise Perry</t>
  </si>
  <si>
    <t>288</t>
  </si>
  <si>
    <t>290</t>
  </si>
  <si>
    <t>292</t>
  </si>
  <si>
    <t>293</t>
  </si>
  <si>
    <t>294</t>
  </si>
  <si>
    <t>295</t>
  </si>
  <si>
    <t>296</t>
  </si>
  <si>
    <t>Shawn Williams</t>
  </si>
  <si>
    <t>297</t>
  </si>
  <si>
    <t>10.5</t>
  </si>
  <si>
    <t>298</t>
  </si>
  <si>
    <t>300</t>
  </si>
  <si>
    <t>Danny Amendola</t>
  </si>
  <si>
    <t>302</t>
  </si>
  <si>
    <t>Nick Bellore*</t>
  </si>
  <si>
    <t>304</t>
  </si>
  <si>
    <t>305</t>
  </si>
  <si>
    <t>306</t>
  </si>
  <si>
    <t>Noah Brown</t>
  </si>
  <si>
    <t>307</t>
  </si>
  <si>
    <t>Jason Cabinda</t>
  </si>
  <si>
    <t>mlb</t>
  </si>
  <si>
    <t>AJ Cole III</t>
  </si>
  <si>
    <t>309</t>
  </si>
  <si>
    <t>310</t>
  </si>
  <si>
    <t>311</t>
  </si>
  <si>
    <t>Stefon Diggs*+</t>
  </si>
  <si>
    <t>313</t>
  </si>
  <si>
    <t>315</t>
  </si>
  <si>
    <t>316</t>
  </si>
  <si>
    <t>317</t>
  </si>
  <si>
    <t>318</t>
  </si>
  <si>
    <t>320</t>
  </si>
  <si>
    <t>Jeff Heath</t>
  </si>
  <si>
    <t>fs</t>
  </si>
  <si>
    <t>Tyler Higbee</t>
  </si>
  <si>
    <t>322</t>
  </si>
  <si>
    <t>323</t>
  </si>
  <si>
    <t>T.J. Hockenson*</t>
  </si>
  <si>
    <t>324</t>
  </si>
  <si>
    <t>Amani Hooker</t>
  </si>
  <si>
    <t>325</t>
  </si>
  <si>
    <t>DeAndre Hopkins*</t>
  </si>
  <si>
    <t>326</t>
  </si>
  <si>
    <t>327</t>
  </si>
  <si>
    <t>-6.0</t>
  </si>
  <si>
    <t>DeSean Jackson</t>
  </si>
  <si>
    <t>329</t>
  </si>
  <si>
    <t>Justin Jefferson*</t>
  </si>
  <si>
    <t>330</t>
  </si>
  <si>
    <t>331</t>
  </si>
  <si>
    <t>-12.0</t>
  </si>
  <si>
    <t>333</t>
  </si>
  <si>
    <t>Cole Kmet</t>
  </si>
  <si>
    <t>334</t>
  </si>
  <si>
    <t>Ty Long</t>
  </si>
  <si>
    <t>-28</t>
  </si>
  <si>
    <t>-28.0</t>
  </si>
  <si>
    <t>-1.8</t>
  </si>
  <si>
    <t>335</t>
  </si>
  <si>
    <t>336</t>
  </si>
  <si>
    <t>Sam Martin</t>
  </si>
  <si>
    <t>Barkevious Mingo</t>
  </si>
  <si>
    <t>olb</t>
  </si>
  <si>
    <t>339</t>
  </si>
  <si>
    <t>340</t>
  </si>
  <si>
    <t>C.J. Moore</t>
  </si>
  <si>
    <t>341</t>
  </si>
  <si>
    <t>Jojo Natson</t>
  </si>
  <si>
    <t>342</t>
  </si>
  <si>
    <t>Sharrod Neasman</t>
  </si>
  <si>
    <t>cb</t>
  </si>
  <si>
    <t>343</t>
  </si>
  <si>
    <t>344</t>
  </si>
  <si>
    <t>345</t>
  </si>
  <si>
    <t>Breshad Perriman</t>
  </si>
  <si>
    <t>346</t>
  </si>
  <si>
    <t>347</t>
  </si>
  <si>
    <t>348</t>
  </si>
  <si>
    <t>Craig Reynolds</t>
  </si>
  <si>
    <t>349</t>
  </si>
  <si>
    <t>350</t>
  </si>
  <si>
    <t>Patrick Ricard*</t>
  </si>
  <si>
    <t>Patrick Ricard</t>
  </si>
  <si>
    <t>Andre Roberts*</t>
  </si>
  <si>
    <t>352</t>
  </si>
  <si>
    <t>353</t>
  </si>
  <si>
    <t>355</t>
  </si>
  <si>
    <t>Steven Sims</t>
  </si>
  <si>
    <t>357</t>
  </si>
  <si>
    <t>Matt Skura</t>
  </si>
  <si>
    <t>C</t>
  </si>
  <si>
    <t>358</t>
  </si>
  <si>
    <t>359</t>
  </si>
  <si>
    <t>360</t>
  </si>
  <si>
    <t>361</t>
  </si>
  <si>
    <t>362</t>
  </si>
  <si>
    <t>363</t>
  </si>
  <si>
    <t>364</t>
  </si>
  <si>
    <t>Darian Thompson</t>
  </si>
  <si>
    <t>366</t>
  </si>
  <si>
    <t>369</t>
  </si>
  <si>
    <t>370</t>
  </si>
  <si>
    <t>Javon Wims</t>
  </si>
  <si>
    <t>371</t>
  </si>
  <si>
    <t>372</t>
  </si>
  <si>
    <t>Targets</t>
  </si>
  <si>
    <t>Rec</t>
  </si>
  <si>
    <t>Ctch%</t>
  </si>
  <si>
    <t>Yds/Rec</t>
  </si>
  <si>
    <t>Yds/Tgt</t>
  </si>
  <si>
    <t>Rec/Gm</t>
  </si>
  <si>
    <t>Yds/Gm</t>
  </si>
  <si>
    <t>Darren Waller</t>
  </si>
  <si>
    <t>Rob Gronkowski</t>
  </si>
  <si>
    <t>Hunter Renfrow</t>
  </si>
  <si>
    <t>Dalton Schultz</t>
  </si>
  <si>
    <t>Bryan Edwards</t>
  </si>
  <si>
    <t>Michael Gallup</t>
  </si>
  <si>
    <t>Mark Andrews</t>
  </si>
  <si>
    <t>Blake Jarwin</t>
  </si>
  <si>
    <t>Jimmy Graham</t>
  </si>
  <si>
    <t>db</t>
  </si>
  <si>
    <t>Josh Palmer</t>
  </si>
  <si>
    <t>Mike Remmers</t>
  </si>
  <si>
    <t>Davante Adams*+</t>
  </si>
  <si>
    <t>Darren Waller*</t>
  </si>
  <si>
    <t>D.K. Metcalf*</t>
  </si>
  <si>
    <t>A.J. Brown*</t>
  </si>
  <si>
    <t>Larry Fitzgerald</t>
  </si>
  <si>
    <t>Tyler Eifert</t>
  </si>
  <si>
    <t>John Brown</t>
  </si>
  <si>
    <t>Cameron Brate</t>
  </si>
  <si>
    <t>Jordan Reed</t>
  </si>
  <si>
    <t>Greg Olsen</t>
  </si>
  <si>
    <t>Miles Boykin</t>
  </si>
  <si>
    <t>Dontrelle Inman</t>
  </si>
  <si>
    <t>Vance McDonald</t>
  </si>
  <si>
    <t>Nick Boyle</t>
  </si>
  <si>
    <t>Jesse James</t>
  </si>
  <si>
    <t>Jason Witten</t>
  </si>
  <si>
    <t>Tyler Johnson</t>
  </si>
  <si>
    <t>O.J. Howard</t>
  </si>
  <si>
    <t>Kenny Stills</t>
  </si>
  <si>
    <t>Donald Parham</t>
  </si>
  <si>
    <t>Josh Hill</t>
  </si>
  <si>
    <t>Demetrius Harris</t>
  </si>
  <si>
    <t>Jaydon Mickens</t>
  </si>
  <si>
    <t>Foster Moreau</t>
  </si>
  <si>
    <t>Justin Watson</t>
  </si>
  <si>
    <t>Deon Yelder</t>
  </si>
  <si>
    <t>Dez Bryant</t>
  </si>
  <si>
    <t>Tavon Austin</t>
  </si>
  <si>
    <t>Steven Mitchell</t>
  </si>
  <si>
    <t>Johnny Mundt</t>
  </si>
  <si>
    <t>Riley Ridley</t>
  </si>
  <si>
    <t>Seth Roberts</t>
  </si>
  <si>
    <t>Deontay Burnett</t>
  </si>
  <si>
    <t>Austin Carr</t>
  </si>
  <si>
    <t>Virgil Green</t>
  </si>
  <si>
    <t>Tanner Hudson</t>
  </si>
  <si>
    <t>Jake Butt</t>
  </si>
  <si>
    <t>Chandler Cox</t>
  </si>
  <si>
    <t>Bennie Fowler</t>
  </si>
  <si>
    <t>John Ross</t>
  </si>
  <si>
    <t>Derek Carrier</t>
  </si>
  <si>
    <t>Eric Fisher*</t>
  </si>
  <si>
    <t>Eric Fisher</t>
  </si>
  <si>
    <t>LT</t>
  </si>
  <si>
    <t>Kendall Lamm</t>
  </si>
  <si>
    <t>t</t>
  </si>
  <si>
    <t>Bobby Massie</t>
  </si>
  <si>
    <t>rt</t>
  </si>
  <si>
    <t>Bruce Miller</t>
  </si>
  <si>
    <t>Siran Neal</t>
  </si>
  <si>
    <t>James Proche</t>
  </si>
  <si>
    <t>Jaleel Scott</t>
  </si>
  <si>
    <t>Jeremy Sprinkle</t>
  </si>
  <si>
    <t>Zeke Turner</t>
  </si>
  <si>
    <t>Luke Willson</t>
  </si>
  <si>
    <t>Points For</t>
  </si>
  <si>
    <t>Plays</t>
  </si>
  <si>
    <t>Yards per Play</t>
  </si>
  <si>
    <t>Turnovers</t>
  </si>
  <si>
    <t>Fumbles Lost</t>
  </si>
  <si>
    <t>First Downs</t>
  </si>
  <si>
    <t>Completions</t>
  </si>
  <si>
    <t>Passing Yds</t>
  </si>
  <si>
    <t>Passing Int</t>
  </si>
  <si>
    <t>Net Yds gained/att</t>
  </si>
  <si>
    <t>Passing 1stD</t>
  </si>
  <si>
    <t>Rushing Y/A</t>
  </si>
  <si>
    <t>Rushing 1stD</t>
  </si>
  <si>
    <t>Penalties</t>
  </si>
  <si>
    <t>Penalties Yds</t>
  </si>
  <si>
    <t>Penalties 1stPy</t>
  </si>
  <si>
    <t>Scoring %</t>
  </si>
  <si>
    <t>Turnover %</t>
  </si>
  <si>
    <t>Expected Points For</t>
  </si>
  <si>
    <t>Points/gm</t>
  </si>
  <si>
    <t>Passing/Game</t>
  </si>
  <si>
    <t>Rushing yds/Game</t>
  </si>
  <si>
    <t>Rushing att per gm</t>
  </si>
  <si>
    <t>Passing att per gm</t>
  </si>
  <si>
    <t>% Run</t>
  </si>
  <si>
    <t>% Pass</t>
  </si>
  <si>
    <t>Games Played</t>
  </si>
  <si>
    <t>Yds per Off Play</t>
  </si>
  <si>
    <t>Total First Downs</t>
  </si>
  <si>
    <t>Passing Cmp</t>
  </si>
  <si>
    <t>Passing Att</t>
  </si>
  <si>
    <t>Passing Net Gained Yds/Att</t>
  </si>
  <si>
    <t>First Downs by Pens</t>
  </si>
  <si>
    <t>EXP PTS CONTRIBUTED</t>
  </si>
  <si>
    <t>Lookup</t>
  </si>
  <si>
    <t>Passing yds/att</t>
  </si>
  <si>
    <t>Passing Rank</t>
  </si>
  <si>
    <t>Rushing Yds/att</t>
  </si>
  <si>
    <t>Rushing Rank</t>
  </si>
  <si>
    <t>Yards per completion</t>
  </si>
  <si>
    <t>Passing</t>
  </si>
  <si>
    <t>Nick</t>
  </si>
  <si>
    <t>Josh</t>
  </si>
  <si>
    <t>Cooper</t>
  </si>
  <si>
    <t>Jalen</t>
  </si>
  <si>
    <t>Justin</t>
  </si>
  <si>
    <t>Tyler</t>
  </si>
  <si>
    <t>Ben</t>
  </si>
  <si>
    <t>Evans</t>
  </si>
  <si>
    <t>Jimmy</t>
  </si>
  <si>
    <t>Zach</t>
  </si>
  <si>
    <t>Derek</t>
  </si>
  <si>
    <t>Robert</t>
  </si>
  <si>
    <t>Watson</t>
  </si>
  <si>
    <t>Dalton</t>
  </si>
  <si>
    <t>Trey</t>
  </si>
  <si>
    <t>Corey</t>
  </si>
  <si>
    <t>Davis</t>
  </si>
  <si>
    <t>Hill</t>
  </si>
  <si>
    <t>Miles</t>
  </si>
  <si>
    <t>Mitchell</t>
  </si>
  <si>
    <t>Knee - acl</t>
  </si>
  <si>
    <t>Brandon</t>
  </si>
  <si>
    <t>Marcus</t>
  </si>
  <si>
    <t>Quadriceps</t>
  </si>
  <si>
    <t>Harris</t>
  </si>
  <si>
    <t>Jacob Eason</t>
  </si>
  <si>
    <t>Mason</t>
  </si>
  <si>
    <t>Chase</t>
  </si>
  <si>
    <t>Walker</t>
  </si>
  <si>
    <t>Nate</t>
  </si>
  <si>
    <t>Knee - meniscus</t>
  </si>
  <si>
    <t>Josh Rosen</t>
  </si>
  <si>
    <t>Travis</t>
  </si>
  <si>
    <t>Will</t>
  </si>
  <si>
    <t>Davis Mills</t>
  </si>
  <si>
    <t>Jeff</t>
  </si>
  <si>
    <t>Feleipe Franks</t>
  </si>
  <si>
    <t>James</t>
  </si>
  <si>
    <t>Michael</t>
  </si>
  <si>
    <t>Dallas</t>
  </si>
  <si>
    <t>Devin</t>
  </si>
  <si>
    <t>Robinson</t>
  </si>
  <si>
    <t>Patrick</t>
  </si>
  <si>
    <t>Jackson</t>
  </si>
  <si>
    <t>Jake Funk</t>
  </si>
  <si>
    <t>Elijah</t>
  </si>
  <si>
    <t>Neck</t>
  </si>
  <si>
    <t>Shoulder</t>
  </si>
  <si>
    <t>Washington</t>
  </si>
  <si>
    <t>Eric</t>
  </si>
  <si>
    <t>Khalil Herbert</t>
  </si>
  <si>
    <t>White</t>
  </si>
  <si>
    <t>Anthony</t>
  </si>
  <si>
    <t>Watkins</t>
  </si>
  <si>
    <t>Jordan</t>
  </si>
  <si>
    <t>Trent</t>
  </si>
  <si>
    <t>Blake</t>
  </si>
  <si>
    <t>Bernard</t>
  </si>
  <si>
    <t>Stephen</t>
  </si>
  <si>
    <t>Marcell Ateman</t>
  </si>
  <si>
    <t>Thompson</t>
  </si>
  <si>
    <t>Ward</t>
  </si>
  <si>
    <t>Jennings</t>
  </si>
  <si>
    <t>Derek Watt</t>
  </si>
  <si>
    <t>Adams</t>
  </si>
  <si>
    <t>Andre</t>
  </si>
  <si>
    <t>Trevor Davis</t>
  </si>
  <si>
    <t>T.J.</t>
  </si>
  <si>
    <t>Ross</t>
  </si>
  <si>
    <t>Jason</t>
  </si>
  <si>
    <t>Huntley</t>
  </si>
  <si>
    <t>Demetric Felton</t>
  </si>
  <si>
    <t>Keelan Doss</t>
  </si>
  <si>
    <t>Caleb Scott</t>
  </si>
  <si>
    <t>Trishton Jackson</t>
  </si>
  <si>
    <t>Chad</t>
  </si>
  <si>
    <t>Deon</t>
  </si>
  <si>
    <t>Powell</t>
  </si>
  <si>
    <t>Damarea Crockett</t>
  </si>
  <si>
    <t>Aaron Parker</t>
  </si>
  <si>
    <t>Aleva Hifo</t>
  </si>
  <si>
    <t>Brian Cole</t>
  </si>
  <si>
    <t>Trenton</t>
  </si>
  <si>
    <t>Chris Evans</t>
  </si>
  <si>
    <t>Ben Skowronek</t>
  </si>
  <si>
    <t>Trey Quinn</t>
  </si>
  <si>
    <t>Eno Benjamin</t>
  </si>
  <si>
    <t>Josh Doctson</t>
  </si>
  <si>
    <t>Dillon Stoner</t>
  </si>
  <si>
    <t>Jaelon Darden</t>
  </si>
  <si>
    <t>Khalil McClain</t>
  </si>
  <si>
    <t>DJ Turner</t>
  </si>
  <si>
    <t>John Kelly</t>
  </si>
  <si>
    <t>Charlie</t>
  </si>
  <si>
    <t>Alex Ellis</t>
  </si>
  <si>
    <t>Matt Bushman</t>
  </si>
  <si>
    <t>Tommy Hudson</t>
  </si>
  <si>
    <t>Kylen Granson</t>
  </si>
  <si>
    <t>Jesper Horsted</t>
  </si>
  <si>
    <t>TwinSpires</t>
  </si>
  <si>
    <t>Passing Table</t>
  </si>
  <si>
    <t>Rushing Table</t>
  </si>
  <si>
    <t>Rushing</t>
  </si>
  <si>
    <t xml:space="preserve">Derrick Henry </t>
  </si>
  <si>
    <t xml:space="preserve">Antonio Gibson </t>
  </si>
  <si>
    <t xml:space="preserve">AJ Dillon </t>
  </si>
  <si>
    <t>Johnny Hekker</t>
  </si>
  <si>
    <t>Receiving Table</t>
  </si>
  <si>
    <t>Tgt</t>
  </si>
  <si>
    <t>Y/R</t>
  </si>
  <si>
    <t>Y/Tgt</t>
  </si>
  <si>
    <t>R/G</t>
  </si>
  <si>
    <t xml:space="preserve">Allen Lazard </t>
  </si>
  <si>
    <t>Josh Oliver</t>
  </si>
  <si>
    <t>Ricky Seals-Jones</t>
  </si>
  <si>
    <t>PF</t>
  </si>
  <si>
    <t>Ply</t>
  </si>
  <si>
    <t>Y/P</t>
  </si>
  <si>
    <t>TO</t>
  </si>
  <si>
    <t>FL</t>
  </si>
  <si>
    <t>1stD</t>
  </si>
  <si>
    <t>Pen</t>
  </si>
  <si>
    <t>1stPy</t>
  </si>
  <si>
    <t>Sc%</t>
  </si>
  <si>
    <t>TO%</t>
  </si>
  <si>
    <t>EXP</t>
  </si>
  <si>
    <t>WynnBET</t>
  </si>
  <si>
    <t>Rashod Bateman</t>
  </si>
  <si>
    <t>John Ross III</t>
  </si>
  <si>
    <t>Chad Williams</t>
  </si>
  <si>
    <t>David Sills</t>
  </si>
  <si>
    <t>Taquan Mizzell</t>
  </si>
  <si>
    <t>Donte Sylencieux</t>
  </si>
  <si>
    <t>Siaosi Mariner</t>
  </si>
  <si>
    <t>Dax Milne</t>
  </si>
  <si>
    <t>Kelvin Benjamin</t>
  </si>
  <si>
    <t>Cornell Powell</t>
  </si>
  <si>
    <t>Deon Cain</t>
  </si>
  <si>
    <t>Jermar Jefferson</t>
  </si>
  <si>
    <t>Alex Bachman</t>
  </si>
  <si>
    <t>Matt Cole</t>
  </si>
  <si>
    <t>Devin Gray</t>
  </si>
  <si>
    <t>Derrick Dillon</t>
  </si>
  <si>
    <t>Rysen John</t>
  </si>
  <si>
    <t>Michael Dereus</t>
  </si>
  <si>
    <t>Jaylon Moore</t>
  </si>
  <si>
    <t>Chris Finke</t>
  </si>
  <si>
    <t>Tylan Wallace</t>
  </si>
  <si>
    <t>Binjimen Victor</t>
  </si>
  <si>
    <t>Maurice Ffrench</t>
  </si>
  <si>
    <t>Tom Kennedy</t>
  </si>
  <si>
    <t>Jake Breeland</t>
  </si>
  <si>
    <t>Eric Tomlinson</t>
  </si>
  <si>
    <t>Noah Gray</t>
  </si>
  <si>
    <t>John Bates</t>
  </si>
  <si>
    <t>Investment</t>
  </si>
  <si>
    <t>Jacques Patrick</t>
  </si>
  <si>
    <t>Damon Hazelton</t>
  </si>
  <si>
    <t>Juwann Winfree</t>
  </si>
  <si>
    <t>Mitchell Fraboni</t>
  </si>
  <si>
    <t>Paul Quessenberry</t>
  </si>
  <si>
    <t>Charlie Heck</t>
  </si>
  <si>
    <t>Giovanni Ricci</t>
  </si>
  <si>
    <t>Flex?</t>
  </si>
  <si>
    <t>Scotty</t>
  </si>
  <si>
    <t>Pro Wells</t>
  </si>
  <si>
    <t>Mason Schreck</t>
  </si>
  <si>
    <t>Cheyenne O'Grady</t>
  </si>
  <si>
    <t>Matt LaCosse</t>
  </si>
  <si>
    <t>Clark Harris</t>
  </si>
  <si>
    <t>Thaddeus Moss</t>
  </si>
  <si>
    <t>Mitchell Wilcox</t>
  </si>
  <si>
    <t>BetUS</t>
  </si>
  <si>
    <t>Josh Gordon</t>
  </si>
  <si>
    <t>PointsBet (US)</t>
  </si>
  <si>
    <t>Johnny Stanton</t>
  </si>
  <si>
    <t>Phillip Dorsett</t>
  </si>
  <si>
    <t>Godwin</t>
  </si>
  <si>
    <t>Griffin</t>
  </si>
  <si>
    <t>Sanders</t>
  </si>
  <si>
    <t>Howard</t>
  </si>
  <si>
    <t>Hurst</t>
  </si>
  <si>
    <t>Toe</t>
  </si>
  <si>
    <t>Trevon</t>
  </si>
  <si>
    <t>Trevon Grimes</t>
  </si>
  <si>
    <t>Andre Patton</t>
  </si>
  <si>
    <t>Michael Jacquet III</t>
  </si>
  <si>
    <t>Jhamon Ausbon</t>
  </si>
  <si>
    <t>Hakeem Butler</t>
  </si>
  <si>
    <t>Michael Walker</t>
  </si>
  <si>
    <t>Cary Angeline</t>
  </si>
  <si>
    <t>Parker Hesse</t>
  </si>
  <si>
    <t>Carson Meier</t>
  </si>
  <si>
    <t>Kalif Jackson</t>
  </si>
  <si>
    <t>Jibri Blount</t>
  </si>
  <si>
    <t>Noah Togiai</t>
  </si>
  <si>
    <t>Nick Eubanks</t>
  </si>
  <si>
    <t>Sal Cannella</t>
  </si>
  <si>
    <t>Jack Stoll</t>
  </si>
  <si>
    <t>Jack Driscoll</t>
  </si>
  <si>
    <t>Hunter Long</t>
  </si>
  <si>
    <t>John Raine</t>
  </si>
  <si>
    <t>FOX Bet</t>
  </si>
  <si>
    <t>Mike White</t>
  </si>
  <si>
    <t>Jack Fox</t>
  </si>
  <si>
    <t>Derrick Gore</t>
  </si>
  <si>
    <t>Bobby Price</t>
  </si>
  <si>
    <t>Diontae</t>
  </si>
  <si>
    <t>Sam Ehlinger</t>
  </si>
  <si>
    <t>Davis Webb</t>
  </si>
  <si>
    <t>Dwayne</t>
  </si>
  <si>
    <t>Trevor Siemian</t>
  </si>
  <si>
    <t>Eli Mitchell</t>
  </si>
  <si>
    <t>Bennie Fowler III</t>
  </si>
  <si>
    <t>Jordan Matthews</t>
  </si>
  <si>
    <t>Rico</t>
  </si>
  <si>
    <t>Josh Johnson</t>
  </si>
  <si>
    <t>Jalen Hurd</t>
  </si>
  <si>
    <t>Tanner</t>
  </si>
  <si>
    <t>Gentry</t>
  </si>
  <si>
    <t>Travis Benjamin</t>
  </si>
  <si>
    <t>Nathan Cottrell</t>
  </si>
  <si>
    <t>Kevin</t>
  </si>
  <si>
    <t>Adam Prentice</t>
  </si>
  <si>
    <t>Austin Watkins Jr.</t>
  </si>
  <si>
    <t>Garrett Griffin</t>
  </si>
  <si>
    <t>Kyle Markway</t>
  </si>
  <si>
    <t>Matt Sokol</t>
  </si>
  <si>
    <t>Daniel Brunskill</t>
  </si>
  <si>
    <t>Andrew Beck</t>
  </si>
  <si>
    <t>Tre' McKitty</t>
  </si>
  <si>
    <t>Ethan Wolf</t>
  </si>
  <si>
    <t>Joshua Perkins</t>
  </si>
  <si>
    <t>Connor Davis</t>
  </si>
  <si>
    <t>Josh Pederson</t>
  </si>
  <si>
    <t>Dylan Soehner</t>
  </si>
  <si>
    <t>Hunter Kampmoyer</t>
  </si>
  <si>
    <t>Miller Forristall</t>
  </si>
  <si>
    <t>Nate Becker</t>
  </si>
  <si>
    <t>Jordan Franks</t>
  </si>
  <si>
    <t>Cooper Rush</t>
  </si>
  <si>
    <t>Sean</t>
  </si>
  <si>
    <t>Cedrick Wilson</t>
  </si>
  <si>
    <t>Evan</t>
  </si>
  <si>
    <t>Stephen Guidry</t>
  </si>
  <si>
    <t>Brandon Smith</t>
  </si>
  <si>
    <t>Reggie Begelton</t>
  </si>
  <si>
    <t>Johnnie Dixon</t>
  </si>
  <si>
    <t>DeAndre Thompkins</t>
  </si>
  <si>
    <t>Brennan Eagles</t>
  </si>
  <si>
    <t>Bailey Gaither</t>
  </si>
  <si>
    <t>Devin Funchess</t>
  </si>
  <si>
    <t>T.J. Vasher</t>
  </si>
  <si>
    <t>Simi Fehoko</t>
  </si>
  <si>
    <t>Kene Nwangwu</t>
  </si>
  <si>
    <t>C.J. Goodwin</t>
  </si>
  <si>
    <t>Osirus Mitchell</t>
  </si>
  <si>
    <t>Chris Blair</t>
  </si>
  <si>
    <t>Malik Turner</t>
  </si>
  <si>
    <t>Patrick Taylor</t>
  </si>
  <si>
    <t>Corey Coleman</t>
  </si>
  <si>
    <t>Reggie Davis</t>
  </si>
  <si>
    <t>James Winchester</t>
  </si>
  <si>
    <t>David Wells</t>
  </si>
  <si>
    <t>Sean McKeon</t>
  </si>
  <si>
    <t>Daniel Helm</t>
  </si>
  <si>
    <t>Nakia Griffin-Stewart</t>
  </si>
  <si>
    <t>Artayvious Lynn</t>
  </si>
  <si>
    <t>Bruno Labelle</t>
  </si>
  <si>
    <t>Nick Ralston</t>
  </si>
  <si>
    <t>Carson Williams</t>
  </si>
  <si>
    <t>Tony Poljan</t>
  </si>
  <si>
    <t>Jake Hausmann</t>
  </si>
  <si>
    <t>Jake Bargas</t>
  </si>
  <si>
    <t>Chris Myarick</t>
  </si>
  <si>
    <t>Cole Hikutini</t>
  </si>
  <si>
    <t>Ross Travis</t>
  </si>
  <si>
    <t>Evan Baylis</t>
  </si>
  <si>
    <t>Tyler Davis</t>
  </si>
  <si>
    <t>Daniel Crawford</t>
  </si>
  <si>
    <t>Ian Bunting</t>
  </si>
  <si>
    <t>Andrew DePaola</t>
  </si>
  <si>
    <t>Nick Bowers</t>
  </si>
  <si>
    <t>Jody Fortson</t>
  </si>
  <si>
    <t>Chris Boswell</t>
  </si>
  <si>
    <t>Godwin Igwebuike</t>
  </si>
  <si>
    <t>Cyril Grayson</t>
  </si>
  <si>
    <t>QB #</t>
  </si>
  <si>
    <t>0-0-1</t>
  </si>
  <si>
    <t>Blake Gillikin</t>
  </si>
  <si>
    <t>Deon Jackson</t>
  </si>
  <si>
    <t>Dez Fitzpatrick</t>
  </si>
  <si>
    <t>Brock Wright</t>
  </si>
  <si>
    <t>Nick Bawden</t>
  </si>
  <si>
    <t>Kendall Blanton</t>
  </si>
  <si>
    <t>Stanley Morgan Jr.</t>
  </si>
  <si>
    <t>Kevin Rader</t>
  </si>
  <si>
    <t>Andrew Thomas</t>
  </si>
  <si>
    <t>Tom</t>
  </si>
  <si>
    <t>Cameron</t>
  </si>
  <si>
    <t>Cody</t>
  </si>
  <si>
    <t>Raymond</t>
  </si>
  <si>
    <t>Steven</t>
  </si>
  <si>
    <t>Dax</t>
  </si>
  <si>
    <t>Kenny Yeboah</t>
  </si>
  <si>
    <t>Mark</t>
  </si>
  <si>
    <t>Goodwin</t>
  </si>
  <si>
    <t>Damion</t>
  </si>
  <si>
    <t>Nate McCrary</t>
  </si>
  <si>
    <t>Gray</t>
  </si>
  <si>
    <t>Hardy</t>
  </si>
  <si>
    <t>Trey Ragas</t>
  </si>
  <si>
    <t>Le'Veon</t>
  </si>
  <si>
    <t>Bell</t>
  </si>
  <si>
    <t>Wendell Smallwood</t>
  </si>
  <si>
    <t>Shane</t>
  </si>
  <si>
    <t>Shane Zylstra</t>
  </si>
  <si>
    <t>Sean Chandler</t>
  </si>
  <si>
    <t>Knox</t>
  </si>
  <si>
    <t>Jake Fromm</t>
  </si>
  <si>
    <t>Reggie</t>
  </si>
  <si>
    <t>JaQuan Hardy</t>
  </si>
  <si>
    <t>Racey McMath</t>
  </si>
  <si>
    <t>Kurt Benkert</t>
  </si>
  <si>
    <t>3TM</t>
  </si>
  <si>
    <t>Dallin Leavitt</t>
  </si>
  <si>
    <t>D.J. Montgomery</t>
  </si>
  <si>
    <t>Taylor Decker</t>
  </si>
  <si>
    <t>Easop Winston</t>
  </si>
  <si>
    <t>Najee</t>
  </si>
  <si>
    <t>Rodgers</t>
  </si>
  <si>
    <t>Roethlisberger</t>
  </si>
  <si>
    <t>Claypool</t>
  </si>
  <si>
    <t>Dwayne Haskins Jr.</t>
  </si>
  <si>
    <t>Haskins Jr.</t>
  </si>
  <si>
    <t>Josh Dobbs</t>
  </si>
  <si>
    <t>Dobbs</t>
  </si>
  <si>
    <t>Pat</t>
  </si>
  <si>
    <t>Freiermuth</t>
  </si>
  <si>
    <t>Ray-Ray</t>
  </si>
  <si>
    <t>Ray-Ray McCloud III</t>
  </si>
  <si>
    <t>McCloud III</t>
  </si>
  <si>
    <t>Benny</t>
  </si>
  <si>
    <t>Snell Jr.</t>
  </si>
  <si>
    <t>Ebron</t>
  </si>
  <si>
    <t>Kalen</t>
  </si>
  <si>
    <t>Ballage</t>
  </si>
  <si>
    <t>Greg</t>
  </si>
  <si>
    <t>McFarland Jr.</t>
  </si>
  <si>
    <t>Tyler Vaughns</t>
  </si>
  <si>
    <t>Vaughns</t>
  </si>
  <si>
    <t>Pete</t>
  </si>
  <si>
    <t>Pete Guerriero</t>
  </si>
  <si>
    <t>Guerriero</t>
  </si>
  <si>
    <t>Watt</t>
  </si>
  <si>
    <t>Rico Bussey</t>
  </si>
  <si>
    <t>Bussey</t>
  </si>
  <si>
    <t>Anthony Johnson</t>
  </si>
  <si>
    <t>Tarik Black</t>
  </si>
  <si>
    <t>Mathew</t>
  </si>
  <si>
    <t>Mathew Sexton</t>
  </si>
  <si>
    <t>Sexton</t>
  </si>
  <si>
    <t>Steven Sims Jr.</t>
  </si>
  <si>
    <t>Sims Jr.</t>
  </si>
  <si>
    <t>Brooks-James</t>
  </si>
  <si>
    <t>JuJu</t>
  </si>
  <si>
    <t>Smith-Schuster</t>
  </si>
  <si>
    <t>Tyler Simmons</t>
  </si>
  <si>
    <t>Simmons</t>
  </si>
  <si>
    <t>Trey Edmunds</t>
  </si>
  <si>
    <t>Edmunds</t>
  </si>
  <si>
    <t>Jack</t>
  </si>
  <si>
    <t>Tyree Jackson</t>
  </si>
  <si>
    <t>Jace</t>
  </si>
  <si>
    <t>Sternberger</t>
  </si>
  <si>
    <t>Brycen Hopkins</t>
  </si>
  <si>
    <t>Rader</t>
  </si>
  <si>
    <t>Baugh</t>
  </si>
  <si>
    <t>Dax Raymond</t>
  </si>
  <si>
    <t>Pittsburgh</t>
  </si>
  <si>
    <t>Steelers</t>
  </si>
  <si>
    <t>Brady</t>
  </si>
  <si>
    <t>Leonard</t>
  </si>
  <si>
    <t>Fournette</t>
  </si>
  <si>
    <t>Knee - acl + mcl</t>
  </si>
  <si>
    <t>Rob</t>
  </si>
  <si>
    <t>Gronkowski</t>
  </si>
  <si>
    <t>Darren</t>
  </si>
  <si>
    <t>Kellen Mond</t>
  </si>
  <si>
    <t>Kyle Trask</t>
  </si>
  <si>
    <t>Trask</t>
  </si>
  <si>
    <t>Sean Mannion</t>
  </si>
  <si>
    <t>Blaine</t>
  </si>
  <si>
    <t>Gabbert</t>
  </si>
  <si>
    <t>Ronald</t>
  </si>
  <si>
    <t>Jones II</t>
  </si>
  <si>
    <t>Tampa Bay</t>
  </si>
  <si>
    <t>Buccaneers</t>
  </si>
  <si>
    <t>Breshad</t>
  </si>
  <si>
    <t>Perriman</t>
  </si>
  <si>
    <t>Ke'Shawn</t>
  </si>
  <si>
    <t>Vaughn</t>
  </si>
  <si>
    <t>Giovani</t>
  </si>
  <si>
    <t>Jaelon</t>
  </si>
  <si>
    <t>Darden</t>
  </si>
  <si>
    <t>Cyril</t>
  </si>
  <si>
    <t>Grayson</t>
  </si>
  <si>
    <t>John Hurst</t>
  </si>
  <si>
    <t>Josh Pearson</t>
  </si>
  <si>
    <t>Pearson</t>
  </si>
  <si>
    <t>Darwin</t>
  </si>
  <si>
    <t>Dazz Newsome</t>
  </si>
  <si>
    <t>Brate</t>
  </si>
  <si>
    <t>Kenjon</t>
  </si>
  <si>
    <t>Kenjon Barner</t>
  </si>
  <si>
    <t>Barner</t>
  </si>
  <si>
    <t>Darrius</t>
  </si>
  <si>
    <t>Shepherd</t>
  </si>
  <si>
    <t>Prosise</t>
  </si>
  <si>
    <t>Callaway</t>
  </si>
  <si>
    <t>T.J. Simmons Jr.</t>
  </si>
  <si>
    <t>Simmons Jr.</t>
  </si>
  <si>
    <t>Troymaine</t>
  </si>
  <si>
    <t>Pope</t>
  </si>
  <si>
    <t>O.J.</t>
  </si>
  <si>
    <t>Fells</t>
  </si>
  <si>
    <t>Codey</t>
  </si>
  <si>
    <t>Codey McElroy</t>
  </si>
  <si>
    <t>McElroy</t>
  </si>
  <si>
    <t>Jerell</t>
  </si>
  <si>
    <t>Jerell Adams</t>
  </si>
  <si>
    <t>week 16</t>
  </si>
  <si>
    <t>week 17</t>
  </si>
  <si>
    <t>week 18</t>
  </si>
  <si>
    <t>Tom Brady*</t>
  </si>
  <si>
    <t>Justin Herbert*</t>
  </si>
  <si>
    <t>Lamar Jackson*</t>
  </si>
  <si>
    <t>Ian Book</t>
  </si>
  <si>
    <t>Joe Mixon*</t>
  </si>
  <si>
    <t>James Conner*</t>
  </si>
  <si>
    <t>Tyreek Hill*</t>
  </si>
  <si>
    <t>Ja'Marr Chase*</t>
  </si>
  <si>
    <t>Jakeem Grant*</t>
  </si>
  <si>
    <t>George Kittle*</t>
  </si>
  <si>
    <t>Travis Kelce*</t>
  </si>
  <si>
    <t>Braden Mann</t>
  </si>
  <si>
    <t>Tremon Smith</t>
  </si>
  <si>
    <t>Andrew Wingard</t>
  </si>
  <si>
    <t>Stefon Diggs*</t>
  </si>
  <si>
    <t>Kyle Pitts*</t>
  </si>
  <si>
    <t>Jason Moore</t>
  </si>
  <si>
    <t>Lane Johnson</t>
  </si>
  <si>
    <t>Conor McDermott</t>
  </si>
  <si>
    <t>Terence Steele</t>
  </si>
  <si>
    <t>Christian Wilkins</t>
  </si>
  <si>
    <t>Chris Banjo</t>
  </si>
  <si>
    <t>Ryquell Armstead</t>
  </si>
  <si>
    <t>Garrett Bradbury</t>
  </si>
  <si>
    <t>BetOnline.ag</t>
  </si>
  <si>
    <t>Deebo</t>
  </si>
  <si>
    <t>Samuel</t>
  </si>
  <si>
    <t>Lance</t>
  </si>
  <si>
    <t>Garoppolo</t>
  </si>
  <si>
    <t>George</t>
  </si>
  <si>
    <t>Kittle</t>
  </si>
  <si>
    <t>Bray</t>
  </si>
  <si>
    <t>Wilson Jr.</t>
  </si>
  <si>
    <t>Sudfeld</t>
  </si>
  <si>
    <t>Aiyuk</t>
  </si>
  <si>
    <t>Jauan</t>
  </si>
  <si>
    <t>Finger</t>
  </si>
  <si>
    <t>Jeremy</t>
  </si>
  <si>
    <t>JaMycal</t>
  </si>
  <si>
    <t>JaMycal Hasty</t>
  </si>
  <si>
    <t>Hasty</t>
  </si>
  <si>
    <t>Juszczyk</t>
  </si>
  <si>
    <t>Sherfield</t>
  </si>
  <si>
    <t>Mohamed</t>
  </si>
  <si>
    <t>Mohamed Sanu Sr.</t>
  </si>
  <si>
    <t>Sanu Sr.</t>
  </si>
  <si>
    <t>Amari</t>
  </si>
  <si>
    <t>Damion Willis</t>
  </si>
  <si>
    <t>Willis</t>
  </si>
  <si>
    <t>Raheem</t>
  </si>
  <si>
    <t>Mostert</t>
  </si>
  <si>
    <t>Matthews</t>
  </si>
  <si>
    <t>Richie</t>
  </si>
  <si>
    <t>Sermon</t>
  </si>
  <si>
    <t>River</t>
  </si>
  <si>
    <t>Cracraft</t>
  </si>
  <si>
    <t>Josh Hokit</t>
  </si>
  <si>
    <t>Hokit</t>
  </si>
  <si>
    <t>Lynn</t>
  </si>
  <si>
    <t>Cannon</t>
  </si>
  <si>
    <t>Hurd</t>
  </si>
  <si>
    <t>Funchess</t>
  </si>
  <si>
    <t>Bennie</t>
  </si>
  <si>
    <t>Fowler III</t>
  </si>
  <si>
    <t>Connor</t>
  </si>
  <si>
    <t>Wedington</t>
  </si>
  <si>
    <t>Watkins Jr.</t>
  </si>
  <si>
    <t>Malik</t>
  </si>
  <si>
    <t>Woerner</t>
  </si>
  <si>
    <t>Dwelley</t>
  </si>
  <si>
    <t>Hudson</t>
  </si>
  <si>
    <t>Brunskill</t>
  </si>
  <si>
    <t>San Francisco</t>
  </si>
  <si>
    <t>49ers</t>
  </si>
  <si>
    <t>70042-57439</t>
  </si>
  <si>
    <t>Mahomes</t>
  </si>
  <si>
    <t>PIT@KC</t>
  </si>
  <si>
    <t>70042-56018</t>
  </si>
  <si>
    <t>SF@DAL</t>
  </si>
  <si>
    <t>70042-6498</t>
  </si>
  <si>
    <t>PHI@TB</t>
  </si>
  <si>
    <t>70042-32384</t>
  </si>
  <si>
    <t>70042-53681</t>
  </si>
  <si>
    <t>Tyreek</t>
  </si>
  <si>
    <t>70042-90575</t>
  </si>
  <si>
    <t>70042-31716</t>
  </si>
  <si>
    <t>Dak</t>
  </si>
  <si>
    <t>Prescott</t>
  </si>
  <si>
    <t>70042-38791</t>
  </si>
  <si>
    <t>Ezekiel</t>
  </si>
  <si>
    <t>Elliott</t>
  </si>
  <si>
    <t>70042-69531</t>
  </si>
  <si>
    <t>Hurts</t>
  </si>
  <si>
    <t>70042-33076</t>
  </si>
  <si>
    <t>Kelce</t>
  </si>
  <si>
    <t>70042-11460</t>
  </si>
  <si>
    <t>70042-92413</t>
  </si>
  <si>
    <t>70042-86631</t>
  </si>
  <si>
    <t>CeeDee</t>
  </si>
  <si>
    <t>Lamb</t>
  </si>
  <si>
    <t>70042-52922</t>
  </si>
  <si>
    <t>70042-66008</t>
  </si>
  <si>
    <t>70042-31001</t>
  </si>
  <si>
    <t>70042-54604</t>
  </si>
  <si>
    <t>70042-52897</t>
  </si>
  <si>
    <t>Darrel</t>
  </si>
  <si>
    <t>70042-85741</t>
  </si>
  <si>
    <t>Clyde</t>
  </si>
  <si>
    <t>Edwards-Helaire</t>
  </si>
  <si>
    <t>70042-39793</t>
  </si>
  <si>
    <t>70042-6589</t>
  </si>
  <si>
    <t>70042-149696</t>
  </si>
  <si>
    <t>70042-55042</t>
  </si>
  <si>
    <t>Schultz</t>
  </si>
  <si>
    <t>70042-61798</t>
  </si>
  <si>
    <t>Gardner</t>
  </si>
  <si>
    <t>Minshew II</t>
  </si>
  <si>
    <t>70042-90576</t>
  </si>
  <si>
    <t>DeVonta</t>
  </si>
  <si>
    <t>70042-7844</t>
  </si>
  <si>
    <t>Henne</t>
  </si>
  <si>
    <t>70042-44715</t>
  </si>
  <si>
    <t>Rush</t>
  </si>
  <si>
    <t>70042-85798</t>
  </si>
  <si>
    <t>70042-73183</t>
  </si>
  <si>
    <t>70042-53729</t>
  </si>
  <si>
    <t>70042-30788</t>
  </si>
  <si>
    <t>70042-52342</t>
  </si>
  <si>
    <t>Will Grier</t>
  </si>
  <si>
    <t>Grier</t>
  </si>
  <si>
    <t>70042-27801</t>
  </si>
  <si>
    <t>70042-69304</t>
  </si>
  <si>
    <t>70042-69833</t>
  </si>
  <si>
    <t>Shane Buechele</t>
  </si>
  <si>
    <t>Buechele</t>
  </si>
  <si>
    <t>70042-130269</t>
  </si>
  <si>
    <t>Reid</t>
  </si>
  <si>
    <t>Reid Sinnett</t>
  </si>
  <si>
    <t>Sinnett</t>
  </si>
  <si>
    <t>70042-14194</t>
  </si>
  <si>
    <t>70042-33702</t>
  </si>
  <si>
    <t>70042-69581</t>
  </si>
  <si>
    <t>Cedrick</t>
  </si>
  <si>
    <t>70042-40407</t>
  </si>
  <si>
    <t>70042-63469</t>
  </si>
  <si>
    <t>DiNucci</t>
  </si>
  <si>
    <t>70042-83074</t>
  </si>
  <si>
    <t>Goedert</t>
  </si>
  <si>
    <t>70042-71845</t>
  </si>
  <si>
    <t>70042-73111</t>
  </si>
  <si>
    <t>70042-43433</t>
  </si>
  <si>
    <t>Boston</t>
  </si>
  <si>
    <t>70042-71352</t>
  </si>
  <si>
    <t>Mecole</t>
  </si>
  <si>
    <t>Hardman</t>
  </si>
  <si>
    <t>70042-63759</t>
  </si>
  <si>
    <t>Pollard</t>
  </si>
  <si>
    <t>70042-63591</t>
  </si>
  <si>
    <t>70042-64575</t>
  </si>
  <si>
    <t>Gore</t>
  </si>
  <si>
    <t>70042-63078</t>
  </si>
  <si>
    <t>70042-69295</t>
  </si>
  <si>
    <t>Byron</t>
  </si>
  <si>
    <t>Pringle</t>
  </si>
  <si>
    <t>70042-86244</t>
  </si>
  <si>
    <t>70042-79920</t>
  </si>
  <si>
    <t>70042-61593</t>
  </si>
  <si>
    <t>70042-42142</t>
  </si>
  <si>
    <t>70042-54608</t>
  </si>
  <si>
    <t>Jerick</t>
  </si>
  <si>
    <t>McKinnon</t>
  </si>
  <si>
    <t>70042-61273</t>
  </si>
  <si>
    <t>70042-34295</t>
  </si>
  <si>
    <t>70042-68712</t>
  </si>
  <si>
    <t>70042-73687</t>
  </si>
  <si>
    <t>Quez</t>
  </si>
  <si>
    <t>70042-28181</t>
  </si>
  <si>
    <t>70042-90912</t>
  </si>
  <si>
    <t>Kenneth</t>
  </si>
  <si>
    <t>Gainwell</t>
  </si>
  <si>
    <t>70042-38264</t>
  </si>
  <si>
    <t>Demarcus</t>
  </si>
  <si>
    <t>70042-62055</t>
  </si>
  <si>
    <t>70042-70889</t>
  </si>
  <si>
    <t>70042-40758</t>
  </si>
  <si>
    <t>Clement</t>
  </si>
  <si>
    <t>70042-94625</t>
  </si>
  <si>
    <t>Reagor</t>
  </si>
  <si>
    <t>70042-65724</t>
  </si>
  <si>
    <t>70042-12536</t>
  </si>
  <si>
    <t>Kansas City</t>
  </si>
  <si>
    <t>Chiefs</t>
  </si>
  <si>
    <t>70042-55748</t>
  </si>
  <si>
    <t>70042-25290</t>
  </si>
  <si>
    <t>70042-55552</t>
  </si>
  <si>
    <t>70042-56248</t>
  </si>
  <si>
    <t>Noah</t>
  </si>
  <si>
    <t>70042-22018</t>
  </si>
  <si>
    <t>70042-70206</t>
  </si>
  <si>
    <t>70042-52371</t>
  </si>
  <si>
    <t>70042-23194</t>
  </si>
  <si>
    <t>Gordon</t>
  </si>
  <si>
    <t>70042-88277</t>
  </si>
  <si>
    <t>70042-149717</t>
  </si>
  <si>
    <t>JaQuan</t>
  </si>
  <si>
    <t>70042-56059</t>
  </si>
  <si>
    <t>70042-55088</t>
  </si>
  <si>
    <t>Turner</t>
  </si>
  <si>
    <t>70042-55689</t>
  </si>
  <si>
    <t>Ito</t>
  </si>
  <si>
    <t>70042-92093</t>
  </si>
  <si>
    <t>70042-41936</t>
  </si>
  <si>
    <t>70042-40434</t>
  </si>
  <si>
    <t>70042-54782</t>
  </si>
  <si>
    <t>70042-39428</t>
  </si>
  <si>
    <t>70042-70662</t>
  </si>
  <si>
    <t>70042-92168</t>
  </si>
  <si>
    <t>70042-89613</t>
  </si>
  <si>
    <t>Simi</t>
  </si>
  <si>
    <t>Fehoko</t>
  </si>
  <si>
    <t>70042-41997</t>
  </si>
  <si>
    <t>70042-62994</t>
  </si>
  <si>
    <t>70042-22035</t>
  </si>
  <si>
    <t>70042-89632</t>
  </si>
  <si>
    <t>70042-86078</t>
  </si>
  <si>
    <t>Grimes</t>
  </si>
  <si>
    <t>70042-63554</t>
  </si>
  <si>
    <t>Dalton Schoen</t>
  </si>
  <si>
    <t>Schoen</t>
  </si>
  <si>
    <t>70042-44103</t>
  </si>
  <si>
    <t>Elijah McGuire</t>
  </si>
  <si>
    <t>McGuire</t>
  </si>
  <si>
    <t>70042-28744</t>
  </si>
  <si>
    <t>70042-68685</t>
  </si>
  <si>
    <t>70042-72780</t>
  </si>
  <si>
    <t>70042-54863</t>
  </si>
  <si>
    <t>70042-91214</t>
  </si>
  <si>
    <t>Guidry</t>
  </si>
  <si>
    <t>70042-62042</t>
  </si>
  <si>
    <t>Cain</t>
  </si>
  <si>
    <t>70042-79972</t>
  </si>
  <si>
    <t>70042-72297</t>
  </si>
  <si>
    <t>Dowdle</t>
  </si>
  <si>
    <t>70042-86125</t>
  </si>
  <si>
    <t>70042-30837</t>
  </si>
  <si>
    <t>70042-86646</t>
  </si>
  <si>
    <t>70042-42107</t>
  </si>
  <si>
    <t>Foster</t>
  </si>
  <si>
    <t>70042-94850</t>
  </si>
  <si>
    <t>Jhamon</t>
  </si>
  <si>
    <t>Ausbon</t>
  </si>
  <si>
    <t>70042-83083</t>
  </si>
  <si>
    <t>70042-83086</t>
  </si>
  <si>
    <t>Daurice</t>
  </si>
  <si>
    <t>Fountain</t>
  </si>
  <si>
    <t>70042-83091</t>
  </si>
  <si>
    <t>70042-88213</t>
  </si>
  <si>
    <t>Brenden</t>
  </si>
  <si>
    <t>Brenden Knox</t>
  </si>
  <si>
    <t>70042-55964</t>
  </si>
  <si>
    <t>70042-139438</t>
  </si>
  <si>
    <t>70042-29357</t>
  </si>
  <si>
    <t>70042-64175</t>
  </si>
  <si>
    <t>Hakeem</t>
  </si>
  <si>
    <t>Butler</t>
  </si>
  <si>
    <t>70042-55987</t>
  </si>
  <si>
    <t>70042-52405</t>
  </si>
  <si>
    <t>70042-25272</t>
  </si>
  <si>
    <t>70042-104124</t>
  </si>
  <si>
    <t>70042-33472</t>
  </si>
  <si>
    <t>70042-71360</t>
  </si>
  <si>
    <t>70042-71382</t>
  </si>
  <si>
    <t>Osirus</t>
  </si>
  <si>
    <t>70042-89817</t>
  </si>
  <si>
    <t>70042-130265</t>
  </si>
  <si>
    <t>70042-28890</t>
  </si>
  <si>
    <t>70042-92890</t>
  </si>
  <si>
    <t>70042-64221</t>
  </si>
  <si>
    <t>70042-130268</t>
  </si>
  <si>
    <t>70042-71917</t>
  </si>
  <si>
    <t>70042-94453</t>
  </si>
  <si>
    <t>70042-53498</t>
  </si>
  <si>
    <t>70042-54010</t>
  </si>
  <si>
    <t>70042-72961</t>
  </si>
  <si>
    <t>70042-41221</t>
  </si>
  <si>
    <t>Patton</t>
  </si>
  <si>
    <t>70042-69894</t>
  </si>
  <si>
    <t>Sewo</t>
  </si>
  <si>
    <t>Sewo Olonilua</t>
  </si>
  <si>
    <t>Olonilua</t>
  </si>
  <si>
    <t>70042-26384</t>
  </si>
  <si>
    <t>70042-64828</t>
  </si>
  <si>
    <t>Finke</t>
  </si>
  <si>
    <t>70042-63806</t>
  </si>
  <si>
    <t>Kerryon</t>
  </si>
  <si>
    <t>70042-69956</t>
  </si>
  <si>
    <t>Gallup</t>
  </si>
  <si>
    <t>70042-55635</t>
  </si>
  <si>
    <t>70042-11612</t>
  </si>
  <si>
    <t>70042-64357</t>
  </si>
  <si>
    <t>70042-52598</t>
  </si>
  <si>
    <t>Johnnie</t>
  </si>
  <si>
    <t>Dixon</t>
  </si>
  <si>
    <t>70042-57208</t>
  </si>
  <si>
    <t>KeeSean</t>
  </si>
  <si>
    <t>70042-63360</t>
  </si>
  <si>
    <t>70042-70023</t>
  </si>
  <si>
    <t>Cornell</t>
  </si>
  <si>
    <t>70042-92552</t>
  </si>
  <si>
    <t>Brennan</t>
  </si>
  <si>
    <t>Eagles</t>
  </si>
  <si>
    <t>70042-64907</t>
  </si>
  <si>
    <t>JJ</t>
  </si>
  <si>
    <t>Arcega-Whiteside</t>
  </si>
  <si>
    <t>70042-45964</t>
  </si>
  <si>
    <t>Kemp</t>
  </si>
  <si>
    <t>70042-69518</t>
  </si>
  <si>
    <t>70042-32161</t>
  </si>
  <si>
    <t>Gehrig</t>
  </si>
  <si>
    <t>Dieter</t>
  </si>
  <si>
    <t>70042-28080</t>
  </si>
  <si>
    <t>70042-69056</t>
  </si>
  <si>
    <t>70042-72135</t>
  </si>
  <si>
    <t>Vasher</t>
  </si>
  <si>
    <t>70042-26057</t>
  </si>
  <si>
    <t>Burton</t>
  </si>
  <si>
    <t>70042-86472</t>
  </si>
  <si>
    <t>Hightower</t>
  </si>
  <si>
    <t>70042-64974</t>
  </si>
  <si>
    <t>Francis</t>
  </si>
  <si>
    <t>Francis Bernard</t>
  </si>
  <si>
    <t>70042-21980</t>
  </si>
  <si>
    <t>Alshon</t>
  </si>
  <si>
    <t>Jeffery</t>
  </si>
  <si>
    <t>70042-72676</t>
  </si>
  <si>
    <t>70042-39930</t>
  </si>
  <si>
    <t>70042-28157</t>
  </si>
  <si>
    <t>70042-93143</t>
  </si>
  <si>
    <t>70042-29314</t>
  </si>
  <si>
    <t>Richard</t>
  </si>
  <si>
    <t>70042-27403</t>
  </si>
  <si>
    <t>70042-27527</t>
  </si>
  <si>
    <t>Jarwin</t>
  </si>
  <si>
    <t>70042-71351</t>
  </si>
  <si>
    <t>70042-12551</t>
  </si>
  <si>
    <t>70042-39286</t>
  </si>
  <si>
    <t>70042-31169</t>
  </si>
  <si>
    <t>Sprinkle</t>
  </si>
  <si>
    <t>70042-62998</t>
  </si>
  <si>
    <t>70042-68730</t>
  </si>
  <si>
    <t>McKeon</t>
  </si>
  <si>
    <t>70042-83138</t>
  </si>
  <si>
    <t>70042-12530</t>
  </si>
  <si>
    <t>Cowboys</t>
  </si>
  <si>
    <t>70042-69451</t>
  </si>
  <si>
    <t>Stoll</t>
  </si>
  <si>
    <t>70042-70658</t>
  </si>
  <si>
    <t>Cary</t>
  </si>
  <si>
    <t>Angeline</t>
  </si>
  <si>
    <t>70042-68155</t>
  </si>
  <si>
    <t>70042-30800</t>
  </si>
  <si>
    <t>Croom</t>
  </si>
  <si>
    <t>70042-42077</t>
  </si>
  <si>
    <t>Winchester</t>
  </si>
  <si>
    <t>70042-46200</t>
  </si>
  <si>
    <t>70042-101007</t>
  </si>
  <si>
    <t>Mark Vital</t>
  </si>
  <si>
    <t>Vital</t>
  </si>
  <si>
    <t>70042-83117</t>
  </si>
  <si>
    <t>70042-29390</t>
  </si>
  <si>
    <t>Baylis</t>
  </si>
  <si>
    <t>70042-64762</t>
  </si>
  <si>
    <t>Nakia</t>
  </si>
  <si>
    <t>Griffin-Stewart</t>
  </si>
  <si>
    <t>70042-69898</t>
  </si>
  <si>
    <t>Artayvious</t>
  </si>
  <si>
    <t>70042-83226</t>
  </si>
  <si>
    <t>70042-90398</t>
  </si>
  <si>
    <t>Bushman</t>
  </si>
  <si>
    <t>70042-55099</t>
  </si>
  <si>
    <t>Bunting</t>
  </si>
  <si>
    <t>70042-64864</t>
  </si>
  <si>
    <t>Togiai</t>
  </si>
  <si>
    <t>70042-66402</t>
  </si>
  <si>
    <t>Driscoll</t>
  </si>
  <si>
    <t>70042-63851</t>
  </si>
  <si>
    <t>Tyree</t>
  </si>
  <si>
    <t>70042-60788</t>
  </si>
  <si>
    <t>Ralston</t>
  </si>
  <si>
    <t>70042-38805</t>
  </si>
  <si>
    <t>70042-38301</t>
  </si>
  <si>
    <t>70042-30654</t>
  </si>
  <si>
    <t>70042-65492</t>
  </si>
  <si>
    <t>70042-104447</t>
  </si>
  <si>
    <t>Jody</t>
  </si>
  <si>
    <t>Fortson</t>
  </si>
  <si>
    <t>70042-12549</t>
  </si>
  <si>
    <t>70042-12545</t>
  </si>
  <si>
    <t>Philadelphia</t>
  </si>
  <si>
    <t>70042-12547</t>
  </si>
  <si>
    <t>Philadelphia Eagles_Tampa Bay Buccaneers</t>
  </si>
  <si>
    <t>2022-01-16T18:00:00.000Z</t>
  </si>
  <si>
    <t>2022-01-16T15:59:40.000Z</t>
  </si>
  <si>
    <t>2022-01-16T15:59:43.000Z</t>
  </si>
  <si>
    <t>2022-01-16T15:59:44.000Z</t>
  </si>
  <si>
    <t>2022-01-16T15:59:45.000Z</t>
  </si>
  <si>
    <t>2022-01-16T15:59:46.000Z</t>
  </si>
  <si>
    <t>2022-01-16T15:59:42.000Z</t>
  </si>
  <si>
    <t>2022-01-16T15:57:58.000Z</t>
  </si>
  <si>
    <t>2022-01-16T15:58:00.000Z</t>
  </si>
  <si>
    <t>2022-01-16T15:58:01.000Z</t>
  </si>
  <si>
    <t>LowVig.ag</t>
  </si>
  <si>
    <t>Dallas Cowboys_San Francisco 49ers</t>
  </si>
  <si>
    <t>2022-01-16T21:30:00.000Z</t>
  </si>
  <si>
    <t>Kansas City Chiefs_Pittsburgh Steelers</t>
  </si>
  <si>
    <t>2022-01-17T01:15:00.000Z</t>
  </si>
  <si>
    <t>Arizona Cardinals_Los Angeles Rams</t>
  </si>
  <si>
    <t>2022-01-18T01:15:00.000Z</t>
  </si>
  <si>
    <t>over 47</t>
  </si>
  <si>
    <t>under 47</t>
  </si>
  <si>
    <t>over 47.0</t>
  </si>
  <si>
    <t>under 47.0</t>
  </si>
  <si>
    <t>over 46.5</t>
  </si>
  <si>
    <t>under 46.5</t>
  </si>
  <si>
    <t>over 46.0</t>
  </si>
  <si>
    <t>under 46.0</t>
  </si>
  <si>
    <t>over 51</t>
  </si>
  <si>
    <t>under 51</t>
  </si>
  <si>
    <t>over 51.0</t>
  </si>
  <si>
    <t>under 51.0</t>
  </si>
  <si>
    <t>over 50.5</t>
  </si>
  <si>
    <t>under 50.5</t>
  </si>
  <si>
    <t>over 51.5</t>
  </si>
  <si>
    <t>under 51.5</t>
  </si>
  <si>
    <t>over 46</t>
  </si>
  <si>
    <t>under 46</t>
  </si>
  <si>
    <t>over 49.5</t>
  </si>
  <si>
    <t>under 49.5</t>
  </si>
  <si>
    <t>over 50.0</t>
  </si>
  <si>
    <t>under 50.0</t>
  </si>
  <si>
    <t>over 50</t>
  </si>
  <si>
    <t>under 50</t>
  </si>
  <si>
    <t>Week 19</t>
  </si>
  <si>
    <t>13-4-0</t>
  </si>
  <si>
    <t>2-0-0</t>
  </si>
  <si>
    <t>0-2-0</t>
  </si>
  <si>
    <t>Deebo Samuel*+</t>
  </si>
  <si>
    <t>Cooper Kupp*+</t>
  </si>
  <si>
    <t>Jonathan Taylor*+</t>
  </si>
  <si>
    <t>Braxton Berrios+</t>
  </si>
  <si>
    <t>Devin Duvernay*+</t>
  </si>
  <si>
    <t>Mark Andrews*+</t>
  </si>
  <si>
    <t>Michael Palardy</t>
  </si>
  <si>
    <t>Kirk Cousins*</t>
  </si>
  <si>
    <t>Mac Jones*</t>
  </si>
  <si>
    <t>Najee Harris*</t>
  </si>
  <si>
    <t>CeeDee Lamb*</t>
  </si>
  <si>
    <t>Deonte Harty</t>
  </si>
  <si>
    <t>Diontae Johnson*</t>
  </si>
  <si>
    <t>Hunter Renfrow*</t>
  </si>
  <si>
    <t>SS</t>
  </si>
  <si>
    <t>Mike Evans*</t>
  </si>
  <si>
    <t>FS</t>
  </si>
  <si>
    <t>RT</t>
  </si>
  <si>
    <t>RDE</t>
  </si>
  <si>
    <t>P</t>
  </si>
  <si>
    <t>DB</t>
  </si>
  <si>
    <t>K</t>
  </si>
  <si>
    <t>WR/QB</t>
  </si>
  <si>
    <t>Chosen Anderson</t>
  </si>
  <si>
    <t>LB</t>
  </si>
  <si>
    <t>DE</t>
  </si>
  <si>
    <t>CB</t>
  </si>
  <si>
    <t>T</t>
  </si>
  <si>
    <t>RT/LT</t>
  </si>
  <si>
    <t>Rodney Adams</t>
  </si>
  <si>
    <t>Geronimo Allison</t>
  </si>
  <si>
    <t>Darius Bradwell</t>
  </si>
  <si>
    <t>Tevaughn Campbell</t>
  </si>
  <si>
    <t>RCB</t>
  </si>
  <si>
    <t>Isaiah Coulter</t>
  </si>
  <si>
    <t>Keion Crossen</t>
  </si>
  <si>
    <t>Dion Dawkins*</t>
  </si>
  <si>
    <t>Matt Nelson</t>
  </si>
  <si>
    <t>Trent Williams*+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</si>
</sst>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_(* #,##0_);_(* \(#,##0\);_(* &quot;-&quot;??_);_(@_)"/>
    <numFmt numFmtId="167" formatCode="yyyy\-mm\-dd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444444"/>
      <name val="Calibri"/>
      <family val="2"/>
    </font>
    <font>
      <sz val="14"/>
      <color rgb="FF000000"/>
      <name val="Helvetica Neue"/>
      <family val="2"/>
    </font>
    <font>
      <b/>
      <sz val="11"/>
      <color rgb="FF000000"/>
      <name val="Helvetica Neue"/>
      <family val="2"/>
    </font>
    <font>
      <sz val="11"/>
      <color rgb="FF000000"/>
      <name val="Helvetica Neue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96">
    <xf numFmtId="0" fontId="0" fillId="0" borderId="0" xfId="0"/>
    <xf numFmtId="0" fontId="3" fillId="0" borderId="0" xfId="3"/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18" fontId="0" fillId="0" borderId="0" xfId="0" applyNumberFormat="1"/>
    <xf numFmtId="9" fontId="0" fillId="0" borderId="0" xfId="2" applyFont="1"/>
    <xf numFmtId="43" fontId="0" fillId="0" borderId="0" xfId="1" applyFont="1"/>
    <xf numFmtId="0" fontId="0" fillId="7" borderId="0" xfId="0" applyFill="1" applyAlignment="1">
      <alignment wrapText="1"/>
    </xf>
    <xf numFmtId="0" fontId="0" fillId="7" borderId="0" xfId="0" applyFill="1"/>
    <xf numFmtId="10" fontId="0" fillId="7" borderId="0" xfId="2" applyNumberFormat="1" applyFont="1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43" fontId="0" fillId="0" borderId="0" xfId="0" applyNumberFormat="1"/>
    <xf numFmtId="43" fontId="0" fillId="0" borderId="0" xfId="1" applyFont="1" applyAlignment="1">
      <alignment wrapText="1"/>
    </xf>
    <xf numFmtId="43" fontId="0" fillId="0" borderId="0" xfId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6" borderId="0" xfId="0" applyFont="1" applyFill="1" applyAlignment="1">
      <alignment wrapText="1"/>
    </xf>
    <xf numFmtId="0" fontId="2" fillId="10" borderId="0" xfId="0" applyFont="1" applyFill="1" applyAlignment="1">
      <alignment wrapText="1"/>
    </xf>
    <xf numFmtId="0" fontId="2" fillId="11" borderId="0" xfId="0" applyFont="1" applyFill="1" applyAlignment="1">
      <alignment wrapText="1"/>
    </xf>
    <xf numFmtId="0" fontId="2" fillId="12" borderId="0" xfId="0" applyFont="1" applyFill="1" applyAlignment="1">
      <alignment wrapText="1"/>
    </xf>
    <xf numFmtId="0" fontId="5" fillId="6" borderId="0" xfId="0" applyFont="1" applyFill="1"/>
    <xf numFmtId="43" fontId="0" fillId="7" borderId="0" xfId="1" applyFont="1" applyFill="1"/>
    <xf numFmtId="43" fontId="0" fillId="7" borderId="0" xfId="0" applyNumberFormat="1" applyFill="1"/>
    <xf numFmtId="10" fontId="0" fillId="7" borderId="0" xfId="0" applyNumberFormat="1" applyFill="1"/>
    <xf numFmtId="0" fontId="2" fillId="13" borderId="0" xfId="0" applyFont="1" applyFill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44" fontId="0" fillId="0" borderId="0" xfId="4" applyFont="1"/>
    <xf numFmtId="164" fontId="0" fillId="0" borderId="0" xfId="4" applyNumberFormat="1" applyFont="1"/>
    <xf numFmtId="44" fontId="0" fillId="14" borderId="0" xfId="4" applyFont="1" applyFill="1"/>
    <xf numFmtId="44" fontId="0" fillId="0" borderId="0" xfId="0" applyNumberFormat="1"/>
    <xf numFmtId="2" fontId="0" fillId="7" borderId="0" xfId="0" applyNumberFormat="1" applyFill="1"/>
    <xf numFmtId="14" fontId="0" fillId="0" borderId="0" xfId="0" applyNumberFormat="1"/>
    <xf numFmtId="0" fontId="0" fillId="3" borderId="0" xfId="0" applyFill="1"/>
    <xf numFmtId="2" fontId="0" fillId="0" borderId="0" xfId="0" applyNumberFormat="1"/>
    <xf numFmtId="165" fontId="0" fillId="0" borderId="0" xfId="0" applyNumberFormat="1"/>
    <xf numFmtId="0" fontId="0" fillId="14" borderId="0" xfId="0" applyFill="1"/>
    <xf numFmtId="0" fontId="0" fillId="5" borderId="0" xfId="0" applyFill="1"/>
    <xf numFmtId="0" fontId="0" fillId="0" borderId="1" xfId="0" applyBorder="1"/>
    <xf numFmtId="0" fontId="0" fillId="0" borderId="2" xfId="0" applyBorder="1"/>
    <xf numFmtId="164" fontId="0" fillId="0" borderId="2" xfId="4" applyNumberFormat="1" applyFont="1" applyBorder="1"/>
    <xf numFmtId="43" fontId="0" fillId="0" borderId="2" xfId="1" applyFont="1" applyBorder="1"/>
    <xf numFmtId="43" fontId="0" fillId="0" borderId="2" xfId="0" applyNumberFormat="1" applyBorder="1"/>
    <xf numFmtId="166" fontId="0" fillId="14" borderId="2" xfId="1" applyNumberFormat="1" applyFont="1" applyFill="1" applyBorder="1"/>
    <xf numFmtId="166" fontId="0" fillId="5" borderId="2" xfId="1" applyNumberFormat="1" applyFont="1" applyFill="1" applyBorder="1"/>
    <xf numFmtId="166" fontId="0" fillId="5" borderId="3" xfId="1" applyNumberFormat="1" applyFont="1" applyFill="1" applyBorder="1"/>
    <xf numFmtId="0" fontId="0" fillId="0" borderId="4" xfId="0" applyBorder="1"/>
    <xf numFmtId="164" fontId="0" fillId="0" borderId="0" xfId="4" applyNumberFormat="1" applyFont="1" applyBorder="1"/>
    <xf numFmtId="43" fontId="0" fillId="0" borderId="0" xfId="1" applyFont="1" applyBorder="1"/>
    <xf numFmtId="166" fontId="0" fillId="14" borderId="0" xfId="1" applyNumberFormat="1" applyFont="1" applyFill="1" applyBorder="1"/>
    <xf numFmtId="166" fontId="0" fillId="5" borderId="0" xfId="1" applyNumberFormat="1" applyFont="1" applyFill="1" applyBorder="1"/>
    <xf numFmtId="166" fontId="0" fillId="5" borderId="5" xfId="1" applyNumberFormat="1" applyFont="1" applyFill="1" applyBorder="1"/>
    <xf numFmtId="0" fontId="0" fillId="0" borderId="6" xfId="0" applyBorder="1"/>
    <xf numFmtId="0" fontId="0" fillId="0" borderId="7" xfId="0" applyBorder="1"/>
    <xf numFmtId="164" fontId="0" fillId="0" borderId="7" xfId="4" applyNumberFormat="1" applyFont="1" applyBorder="1"/>
    <xf numFmtId="43" fontId="0" fillId="0" borderId="7" xfId="1" applyFont="1" applyBorder="1"/>
    <xf numFmtId="43" fontId="0" fillId="0" borderId="7" xfId="0" applyNumberFormat="1" applyBorder="1"/>
    <xf numFmtId="166" fontId="0" fillId="14" borderId="7" xfId="1" applyNumberFormat="1" applyFont="1" applyFill="1" applyBorder="1"/>
    <xf numFmtId="166" fontId="0" fillId="5" borderId="7" xfId="1" applyNumberFormat="1" applyFont="1" applyFill="1" applyBorder="1"/>
    <xf numFmtId="166" fontId="0" fillId="5" borderId="8" xfId="1" applyNumberFormat="1" applyFont="1" applyFill="1" applyBorder="1"/>
    <xf numFmtId="0" fontId="0" fillId="15" borderId="0" xfId="0" applyFill="1" applyAlignment="1">
      <alignment wrapText="1"/>
    </xf>
    <xf numFmtId="0" fontId="2" fillId="0" borderId="0" xfId="0" applyFont="1"/>
    <xf numFmtId="164" fontId="2" fillId="0" borderId="0" xfId="4" applyNumberFormat="1" applyFont="1"/>
    <xf numFmtId="2" fontId="2" fillId="0" borderId="0" xfId="0" applyNumberFormat="1" applyFont="1"/>
    <xf numFmtId="9" fontId="0" fillId="0" borderId="0" xfId="0" applyNumberFormat="1"/>
    <xf numFmtId="44" fontId="0" fillId="6" borderId="0" xfId="4" applyFont="1" applyFill="1"/>
    <xf numFmtId="164" fontId="0" fillId="0" borderId="0" xfId="0" applyNumberFormat="1"/>
    <xf numFmtId="0" fontId="7" fillId="0" borderId="0" xfId="0" applyFont="1"/>
    <xf numFmtId="0" fontId="8" fillId="0" borderId="0" xfId="0" applyFont="1"/>
    <xf numFmtId="167" fontId="0" fillId="0" borderId="0" xfId="0" applyNumberFormat="1"/>
    <xf numFmtId="166" fontId="0" fillId="3" borderId="0" xfId="1" applyNumberFormat="1" applyFont="1" applyFill="1"/>
    <xf numFmtId="166" fontId="0" fillId="3" borderId="0" xfId="0" applyNumberFormat="1" applyFill="1"/>
    <xf numFmtId="1" fontId="0" fillId="3" borderId="0" xfId="0" applyNumberFormat="1" applyFill="1"/>
    <xf numFmtId="166" fontId="0" fillId="0" borderId="0" xfId="0" applyNumberFormat="1"/>
    <xf numFmtId="166" fontId="0" fillId="7" borderId="0" xfId="0" applyNumberFormat="1" applyFill="1"/>
    <xf numFmtId="166" fontId="0" fillId="0" borderId="0" xfId="1" applyNumberFormat="1" applyFont="1"/>
    <xf numFmtId="43" fontId="0" fillId="7" borderId="0" xfId="2" applyNumberFormat="1" applyFont="1" applyFill="1"/>
    <xf numFmtId="0" fontId="0" fillId="0" borderId="0" xfId="0" applyAlignment="1">
      <alignment horizontal="center"/>
    </xf>
    <xf numFmtId="0" fontId="11" fillId="16" borderId="0" xfId="0" applyFont="1" applyFill="1" applyAlignment="1">
      <alignment vertical="center" wrapText="1"/>
    </xf>
    <xf numFmtId="0" fontId="3" fillId="16" borderId="0" xfId="3" applyFill="1" applyAlignment="1">
      <alignment vertical="center" wrapText="1"/>
    </xf>
    <xf numFmtId="14" fontId="11" fillId="16" borderId="0" xfId="0" applyNumberFormat="1" applyFont="1" applyFill="1" applyAlignment="1">
      <alignment vertical="center" wrapText="1"/>
    </xf>
    <xf numFmtId="10" fontId="11" fillId="16" borderId="0" xfId="0" applyNumberFormat="1" applyFont="1" applyFill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wrapText="1"/>
    </xf>
    <xf numFmtId="0" fontId="10" fillId="16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43" fontId="6" fillId="0" borderId="0" xfId="1" applyFont="1" applyAlignment="1">
      <alignment horizontal="center"/>
    </xf>
    <xf numFmtId="0" fontId="9" fillId="16" borderId="0" xfId="0" applyFont="1" applyFill="1" applyAlignment="1">
      <alignment horizontal="center" vertical="center"/>
    </xf>
    <xf numFmtId="0" fontId="0" fillId="0" borderId="0" xfId="0"/>
    <xf numFmtId="0" fontId="10" fillId="16" borderId="0" xfId="0" applyFont="1" applyFill="1" applyAlignment="1">
      <alignment horizontal="center" vertical="center" wrapText="1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139"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 Horan" refreshedDate="44507.388242129629" createdVersion="6" refreshedVersion="7" minRefreshableVersion="3" recordCount="720" xr:uid="{00000000-000A-0000-FFFF-FFFF08000000}">
  <cacheSource type="worksheet">
    <worksheetSource ref="A4:BC724" sheet="Fanduel Export"/>
  </cacheSource>
  <cacheFields count="55">
    <cacheField name="Id" numFmtId="0">
      <sharedItems containsBlank="1"/>
    </cacheField>
    <cacheField name="Position" numFmtId="0">
      <sharedItems containsBlank="1" count="7">
        <s v="RB"/>
        <s v="QB"/>
        <s v="WR"/>
        <s v="TE"/>
        <s v="D"/>
        <m/>
        <s v="WR/RB" u="1"/>
      </sharedItems>
    </cacheField>
    <cacheField name="First Name" numFmtId="0">
      <sharedItems containsBlank="1"/>
    </cacheField>
    <cacheField name="Nickname" numFmtId="0">
      <sharedItems containsBlank="1"/>
    </cacheField>
    <cacheField name="Last Name" numFmtId="0">
      <sharedItems containsBlank="1"/>
    </cacheField>
    <cacheField name="FPPG" numFmtId="0">
      <sharedItems containsString="0" containsBlank="1" containsNumber="1" minValue="-0.26666667064030902" maxValue="26.9685712541852"/>
    </cacheField>
    <cacheField name="Played" numFmtId="0">
      <sharedItems containsString="0" containsBlank="1" containsNumber="1" containsInteger="1" minValue="1" maxValue="18"/>
    </cacheField>
    <cacheField name="Salary" numFmtId="0">
      <sharedItems containsString="0" containsBlank="1" containsNumber="1" containsInteger="1" minValue="3000" maxValue="10000"/>
    </cacheField>
    <cacheField name="Game" numFmtId="0">
      <sharedItems containsBlank="1"/>
    </cacheField>
    <cacheField name="Team" numFmtId="0">
      <sharedItems containsBlank="1"/>
    </cacheField>
    <cacheField name="Opponent" numFmtId="0">
      <sharedItems containsBlank="1"/>
    </cacheField>
    <cacheField name="Injury Indicator" numFmtId="0">
      <sharedItems containsBlank="1"/>
    </cacheField>
    <cacheField name="Injury Details" numFmtId="0">
      <sharedItems containsBlank="1"/>
    </cacheField>
    <cacheField name="Tier" numFmtId="0">
      <sharedItems containsNonDate="0" containsString="0" containsBlank="1"/>
    </cacheField>
    <cacheField name="Full Name" numFmtId="0">
      <sharedItems containsBlank="1" containsMixedTypes="1" containsNumber="1" containsInteger="1" minValue="0" maxValue="0" count="713">
        <s v="Christian McCaffrey"/>
        <s v="Alvin Kamara"/>
        <s v="Austin Ekeler"/>
        <s v="Josh Allen"/>
        <s v="Davante Adams"/>
        <s v="Dalvin Cook"/>
        <s v="Patrick Mahomes"/>
        <s v="Tyreek Hill"/>
        <s v="Aaron Jones"/>
        <s v="Lamar Jackson"/>
        <s v="Ezekiel Elliott"/>
        <s v="Kyler Murray"/>
        <s v="Aaron Rodgers"/>
        <s v="Deebo Samuel"/>
        <s v="Ja'Marr Chase"/>
        <s v="Dak Prescott"/>
        <s v="Travis Kelce"/>
        <s v="Jalen Hurts"/>
        <s v="Marquise Brown"/>
        <s v="Nick Chubb"/>
        <s v="Stefon Diggs"/>
        <s v="Justin Herbert"/>
        <s v="Justin Jefferson"/>
        <s v="Joe Burrow"/>
        <s v="James Robinson"/>
        <s v="CeeDee Lamb"/>
        <s v="Derek Carr"/>
        <s v="Saquon Barkley"/>
        <s v="Joe Mixon"/>
        <s v="Kirk Cousins"/>
        <s v="Adam Thielen"/>
        <s v="Daniel Jones"/>
        <s v="Tua Tagovailoa"/>
        <s v="Mike Williams"/>
        <s v="Josh Jacobs"/>
        <s v="Trey Lance"/>
        <s v="DeAndre Hopkins"/>
        <s v="Jimmy Garoppolo"/>
        <s v="Mark Andrews"/>
        <s v="Eli Mitchell"/>
        <s v="Teddy Bridgewater"/>
        <s v="DJ Moore"/>
        <s v="Cordarrelle Patterson"/>
        <s v="Calvin Ridley"/>
        <s v="Sam Darnold"/>
        <s v="Jameis Winston"/>
        <s v="Taysom Hill"/>
        <s v="Keenan Allen"/>
        <s v="Trevor Siemian"/>
        <s v="Tyrod Taylor"/>
        <s v="Amari Cooper"/>
        <s v="Davis Mills"/>
        <s v="Chuba Hubbard"/>
        <s v="Darren Waller"/>
        <s v="Brandin Cooks"/>
        <s v="Courtland Sutton"/>
        <s v="Matt Ryan"/>
        <s v="Darrel Williams"/>
        <s v="Clyde Edwards-Helaire"/>
        <s v="Damien Harris"/>
        <s v="Kyle Pitts"/>
        <s v="Baker Mayfield"/>
        <s v="Tee Higgins"/>
        <s v="Alexander Mattison"/>
        <s v="Emmanuel Sanders"/>
        <s v="Mac Jones"/>
        <s v="Cooper Rush"/>
        <s v="Sterling Shepard"/>
        <s v="Michael Thomas"/>
        <s v="Mike Gesicki"/>
        <s v="Melvin Gordon III"/>
        <s v="Christian Kirk"/>
        <s v="Trevor Lawrence"/>
        <s v="Boston Scott"/>
        <s v="Devontae Booker"/>
        <s v="Cole Beasley"/>
        <s v="P.J. Walker"/>
        <s v="Dallas Goedert"/>
        <s v="Kenyan Drake"/>
        <s v="Case Keenum"/>
        <s v="DeVante Parker"/>
        <s v="Nathan Peterman"/>
        <s v="Gardner Minshew II"/>
        <s v="Tyler Huntley"/>
        <s v="Brandon Allen"/>
        <s v="Jaylen Waddle"/>
        <s v="Myles Gaskin"/>
        <s v="Jacoby Brissett"/>
        <s v="Drew Lock"/>
        <s v="Chase Daniel"/>
        <s v="Chad Henne"/>
        <s v="Marcus Mariota"/>
        <s v="Mitchell Trubisky"/>
        <s v="James Conner"/>
        <s v="Dalton Schultz"/>
        <s v="Mike Glennon"/>
        <s v="Nate Stanley"/>
        <s v="Will Grier"/>
        <s v="Anthony Gordon"/>
        <s v="Kurt Benkert"/>
        <s v="Brian Lewerke"/>
        <s v="Kyle Lauletta"/>
        <s v="Darius Bradwell"/>
        <s v="Nate Sudfeld"/>
        <s v="Kareem Hunt"/>
        <s v="Shane Buechele"/>
        <s v="Reid Sinnett"/>
        <s v="Colt McCoy"/>
        <s v="Case Cookus"/>
        <s v="Josh Thomas"/>
        <s v="AJ McCarron"/>
        <s v="C.J. Beathard"/>
        <s v="Kenji Bahar"/>
        <s v="Zack Moss"/>
        <s v="Easton Stick"/>
        <s v="Jordan Love"/>
        <s v="Garrett Gilbert"/>
        <s v="Ian Book"/>
        <s v="Jake Browning"/>
        <s v="Jake Fromm"/>
        <s v="Blake Bortles"/>
        <s v="Jarrett Stidham"/>
        <s v="Tommy Stevens"/>
        <s v="Jeff Driskel"/>
        <s v="Kellen Mond"/>
        <s v="Marvin Jones Jr."/>
        <s v="Nick Mullens"/>
        <s v="Deshaun Watson"/>
        <s v="Feleipe Franks"/>
        <s v="Brian Hoyer"/>
        <s v="Brett Rypien"/>
        <s v="Sean Mannion"/>
        <s v="Jake Dolegala"/>
        <s v="James Morgan"/>
        <s v="Cam Newton"/>
        <s v="Clayton Thorson"/>
        <s v="Chris Streveler"/>
        <s v="George Kittle"/>
        <s v="Davis Webb"/>
        <s v="Josh Rosen"/>
        <s v="Trace McSorley"/>
        <s v="Kenny Golladay"/>
        <s v="Ben DiNucci"/>
        <s v="KJ Costello"/>
        <s v="Dawson Knox"/>
        <s v="Chase Edmonds"/>
        <s v="Jarvis Landry"/>
        <s v="Tyler Boyd"/>
        <s v="Tony Pollard"/>
        <s v="Darius Slayton"/>
        <s v="Javonte Williams"/>
        <s v="Jerry Jeudy"/>
        <s v="DeVonta Smith"/>
        <s v="Russell Gage"/>
        <s v="Kadarius Toney"/>
        <s v="Jordan Howard"/>
        <s v="Henry Ruggs III"/>
        <s v="Allen Lazard"/>
        <s v="Latavius Murray"/>
        <s v="A.J. Green"/>
        <s v="Tre'Quan Smith"/>
        <s v="Noah Fant"/>
        <s v="Kendrick Bourne"/>
        <s v="Hunter Renfrow"/>
        <s v="Tim Patrick"/>
        <s v="Carlos Hyde"/>
        <s v="Mike Davis"/>
        <s v="Randall Cobb"/>
        <s v="Will Fuller V"/>
        <s v="Sammy Watkins"/>
        <s v="Zach Ertz"/>
        <s v="Jakobi Meyers"/>
        <s v="Miles Sanders"/>
        <s v="D'Ernest Johnson"/>
        <s v="Devonta Freeman"/>
        <s v="K.J. Osborn"/>
        <s v="Dante Pettis"/>
        <s v="Tajae Sharpe"/>
        <s v="Odell Beckham Jr."/>
        <s v="Robby Anderson"/>
        <s v="Byron Pringle"/>
        <s v="Brandon Aiyuk"/>
        <s v="Laviska Shenault Jr."/>
        <s v="Peyton Barber"/>
        <s v="Derrick Gore"/>
        <s v="JaMycal Hasty"/>
        <s v="Nico Collins"/>
        <s v="C.J. Uzomah"/>
        <s v="Marquez Callaway"/>
        <s v="Mecole Hardman"/>
        <s v="Eli Penny"/>
        <s v="Rashod Bateman"/>
        <s v="Quez Watkins"/>
        <s v="Nelson Agholor"/>
        <s v="David Johnson"/>
        <s v="Rondale Moore"/>
        <s v="Samaje Perine"/>
        <s v="Ty'Son Williams"/>
        <s v="Bryan Edwards"/>
        <s v="Marquez Valdes-Scantling"/>
        <s v="Hunter Henry"/>
        <s v="Devin Singletary"/>
        <s v="Cedrick Wilson"/>
        <s v="Tyler Conklin"/>
        <s v="Jamal Agnew"/>
        <s v="Buffalo Bills"/>
        <s v="Jerick McKinnon"/>
        <s v="Demarcus Robinson"/>
        <s v="Jalen Reagor"/>
        <s v="Jared Cook"/>
        <s v="Deonte Harris"/>
        <s v="Salvon Ahmed"/>
        <s v="Kenneth Gainwell"/>
        <s v="Mark Ingram II"/>
        <s v="AJ Dillon"/>
        <s v="Olamide Zaccheaus"/>
        <s v="Donovan Peoples-Jones"/>
        <s v="Brandon Bolden"/>
        <s v="Phillip Lindsay"/>
        <s v="Preston Williams"/>
        <s v="Mohamed Sanu"/>
        <s v="Dan Arnold"/>
        <s v="Evan Engram"/>
        <s v="Gary Brightwell"/>
        <s v="Christian Blake"/>
        <s v="Chris Moore"/>
        <s v="Foster Moreau"/>
        <s v="Michael Gallup"/>
        <s v="Gabriel Davis"/>
        <s v="Devin Duvernay"/>
        <s v="Malcolm Brown"/>
        <s v="Greg Ward"/>
        <s v="John Ross III"/>
        <s v="Le'Veon Bell"/>
        <s v="Trey Sermon"/>
        <s v="Josh Gordon"/>
        <s v="Mack Hollins"/>
        <s v="Rex Burkhead"/>
        <s v="Rashard Higgins"/>
        <s v="Corey Clement"/>
        <s v="Juwann Winfree"/>
        <s v="Justin Jackson"/>
        <s v="Isaiah Ford"/>
        <s v="Dare Ogunbowale"/>
        <s v="Austin Hooper"/>
        <s v="Equanimeous St. Brown"/>
        <s v="N'Keal Harry"/>
        <s v="Ameer Abdullah"/>
        <s v="Terrace Marshall Jr."/>
        <s v="Chris Conley"/>
        <s v="Rhamondre Stevenson"/>
        <s v="David Njoku"/>
        <s v="New England Patriots"/>
        <s v="Jeff Wilson Jr."/>
        <s v="Zay Jones"/>
        <s v="Dede Westbrook"/>
        <s v="Demetric Felton"/>
        <s v="Royce Freeman"/>
        <s v="J.J. Taylor"/>
        <s v="James Proche"/>
        <s v="Larry Rountree III"/>
        <s v="Trent Sherfield"/>
        <s v="Jalen Richard"/>
        <s v="Malik Taylor"/>
        <s v="Danny Amendola"/>
        <s v="Jordan Akins"/>
        <s v="Frank Darby"/>
        <s v="Ty Montgomery"/>
        <s v="Jauan Jennings"/>
        <s v="Collin Johnson"/>
        <s v="JaQuan Hardy"/>
        <s v="New Orleans Saints"/>
        <s v="Juwan Johnson"/>
        <s v="Miles Boykin"/>
        <s v="Jalen Guyton"/>
        <s v="JJ Arcega-Whiteside"/>
        <s v="Antoine Wesley"/>
        <s v="Scottie Phillips"/>
        <s v="Shi Smith"/>
        <s v="Alfred Morris"/>
        <s v="Kevin White"/>
        <s v="Devine Ozigbo"/>
        <s v="Joshua Kelley"/>
        <s v="Kenny Stills"/>
        <s v="Auden Tate"/>
        <s v="Tavon Austin"/>
        <s v="Amari Rodgers"/>
        <s v="Blake Jarwin"/>
        <s v="Marcus Kemp"/>
        <s v="Tommy Sweeney"/>
        <s v="Keith Kirkwood"/>
        <s v="Jonnu Smith"/>
        <s v="Jaylen Samuels"/>
        <s v="Matt Breida"/>
        <s v="Qadree Ollison"/>
        <s v="Austin Mack"/>
        <s v="Alex Armah"/>
        <s v="Daurice Fountain"/>
        <s v="Albert Wilson"/>
        <s v="Alex Erickson"/>
        <s v="A.J. Rose Jr."/>
        <s v="Tyron Johnson"/>
        <s v="Rodney Smith"/>
        <s v="Lil'Jordan Humphrey"/>
        <s v="Joshua Palmer"/>
        <s v="Isaiah McKenzie"/>
        <s v="Mike Thomas"/>
        <s v="C.J. Board"/>
        <s v="Tony Jones Jr."/>
        <s v="Chris Evans"/>
        <s v="Ja'Marcus Bradley"/>
        <s v="Bennie Fowler III"/>
        <s v="Kyle Juszczyk"/>
        <s v="Hayden Hurst"/>
        <s v="Anthony Schwartz"/>
        <s v="Kendall Hinton"/>
        <s v="Patrick Laird"/>
        <s v="Brandon Zylstra"/>
        <s v="Wayne Gallman Jr."/>
        <s v="Brevin Jordan"/>
        <s v="Noah Brown"/>
        <s v="John Kelly"/>
        <s v="Duke Williams"/>
        <s v="River Cracraft"/>
        <s v="Stephen Sullivan"/>
        <s v="Jake Kumerow"/>
        <s v="Jalen Camp"/>
        <s v="Michael Bandy"/>
        <s v="Durham Smythe"/>
        <s v="Isaiah Zuber"/>
        <s v="Trevon Grimes"/>
        <s v="Caleb Huntley"/>
        <s v="Elijah McGuire"/>
        <s v="Raheem Mostert"/>
        <s v="Josh Hokit"/>
        <s v="C.J. Saunders"/>
        <s v="Stephen Guidry"/>
        <s v="Marcell Ateman"/>
        <s v="Lynn Bowden Jr."/>
        <s v="Antonio Williams"/>
        <s v="Kirk Merritt"/>
        <s v="Kylin Hill"/>
        <s v="Ryan Becker"/>
        <s v="Ihmir Smith-Marsette"/>
        <s v="Chad Williams"/>
        <s v="Brandon Smith"/>
        <s v="David Moore"/>
        <s v="David Sills"/>
        <s v="Scotty Washington"/>
        <s v="Jordan Matthews"/>
        <s v="Alex Bachman"/>
        <s v="Robert Foster"/>
        <s v="JoJo Ward"/>
        <s v="Gunner Olszewski"/>
        <s v="Joe Reed"/>
        <s v="Trenton Cannon"/>
        <s v="Brenden Knox"/>
        <s v="Lawrence Cager"/>
        <s v="Allen Hurns"/>
        <s v="Jacques Patrick"/>
        <s v="Devante Downs"/>
        <s v="KJ Hamler"/>
        <s v="Jalen Hurd"/>
        <s v="Jakob Johnson"/>
        <s v="Josh Malone"/>
        <s v="Olabisi Johnson"/>
        <s v="Taquan Mizzell"/>
        <s v="Ross Dwelley"/>
        <s v="Albert Okwuegbunam"/>
        <s v="Kai Locksley"/>
        <s v="Ishmael Hyman"/>
        <s v="Damarea Crockett"/>
        <s v="Kristian Wilkerson"/>
        <s v="Alec Ingold"/>
        <s v="Trayveon Williams"/>
        <s v="Matt Cole"/>
        <s v="Gus Edwards"/>
        <s v="Nate McCrary"/>
        <s v="Duke Johnson"/>
        <s v="Donte Sylencieux"/>
        <s v="Andre Roberts"/>
        <s v="Corey Taylor"/>
        <s v="JoJo Natson"/>
        <s v="Richie James"/>
        <s v="Antonio Nunn"/>
        <s v="Marvin Hall"/>
        <s v="James White"/>
        <s v="Andre Patton"/>
        <s v="Siaosi Mariner"/>
        <s v="Sewo Olonilua"/>
        <s v="Chris Rowland"/>
        <s v="Juwan Green"/>
        <s v="Mikey Daniel"/>
        <s v="Aaron Parker"/>
        <s v="Ryquell Armstead"/>
        <s v="Mason Stokke"/>
        <s v="Aleva Hifo"/>
        <s v="Devin Gray"/>
        <s v="Garrett Groshek"/>
        <s v="Reggie Begelton"/>
        <s v="Derrick Dillon"/>
        <s v="Sandro Platzgummer"/>
        <s v="Rysen John"/>
        <s v="Gerrid Doaks"/>
        <s v="Tanner Gentry"/>
        <s v="Ben Mason"/>
        <s v="Jeff Cotton Jr."/>
        <s v="Malcolm Perry"/>
        <s v="Michael Dereus"/>
        <s v="Jaylon Moore"/>
        <s v="Travis Fulgham"/>
        <s v="Darius Phillips"/>
        <s v="Chris Finke"/>
        <s v="Kerryon Johnson"/>
        <s v="Dexter Williams"/>
        <s v="De'Mornay Pierson-El"/>
        <s v="John Brown"/>
        <s v="Tre Nixon"/>
        <s v="Tim Jones"/>
        <s v="Brian Cole"/>
        <s v="Kelvin Benjamin"/>
        <s v="Jeff Badet"/>
        <s v="Blake Proehl"/>
        <s v="Johnnie Dixon"/>
        <s v="DeAndre Thompkins"/>
        <s v="Tavien Feaster"/>
        <s v="Cornell Powell"/>
        <s v="Ito Smith"/>
        <s v="Trenton Irwin"/>
        <s v="Brennan Eagles"/>
        <s v="Austin Proehl"/>
        <s v="Amara Darboh"/>
        <s v="Trent Taylor"/>
        <s v="Trevor Davis"/>
        <s v="Khalfani Muhammad"/>
        <s v="Michael Jacquet III"/>
        <s v="Gehrig Dieter"/>
        <s v="Willie Snead IV"/>
        <s v="Isaac Whitney"/>
        <s v="Andre Baccellia"/>
        <s v="Trey Ragas"/>
        <s v="Patrick Ricard"/>
        <s v="Omar Bayless"/>
        <s v="Bailey Gaither"/>
        <s v="Devin Funchess"/>
        <s v="Blake Lynch"/>
        <s v="Darius Clark"/>
        <s v="Damion Ratley"/>
        <s v="LeVante Bellamy"/>
        <s v="T.J. Vasher"/>
        <s v="Michael Burton"/>
        <s v="John Hightower"/>
        <s v="Travis Toivonen"/>
        <s v="Kawaan Baker"/>
        <s v="Micah Simon"/>
        <s v="Jonathan Ward"/>
        <s v="Francis Bernard"/>
        <s v="Riley Lees"/>
        <s v="Devin Ross"/>
        <s v="Tylan Wallace"/>
        <s v="Alshon Jeffery"/>
        <s v="Davion Davis"/>
        <s v="Binjimen Victor"/>
        <s v="Alexander Hollins"/>
        <s v="Simi Fehoko"/>
        <s v="Travis Benjamin"/>
        <s v="Lamar Miller"/>
        <s v="Kene Nwangwu"/>
        <s v="Jordan Veasy"/>
        <s v="Diontae Spencer"/>
        <s v="Connor Wedington"/>
        <s v="Damon Hazelton"/>
        <s v="Tyler Gaffney"/>
        <s v="Nathan Cottrell"/>
        <s v="Carl Tucker"/>
        <s v="Marquez Stevenson"/>
        <s v="Jason Huntley"/>
        <s v="C.J. Goodwin"/>
        <s v="Deon Cain"/>
        <s v="Josh Imatorbhebhe"/>
        <s v="Rico Dowdle"/>
        <s v="Seth Williams"/>
        <s v="Myron Mitchell"/>
        <s v="Austin Trammell"/>
        <s v="Ventell Bryant"/>
        <s v="Tevin Jones"/>
        <s v="Easop Winston Jr."/>
        <s v="Jhamon Ausbon"/>
        <s v="Andy Janovich"/>
        <s v="Stanley Morgan"/>
        <s v="Tre Walker"/>
        <s v="Taywan Taylor"/>
        <s v="Trey Quinn"/>
        <s v="Hakeem Butler"/>
        <s v="Keelan Doss"/>
        <s v="Matthew Slater"/>
        <s v="DJ Chark Jr."/>
        <s v="Spencer Brown"/>
        <s v="Mike Boone"/>
        <s v="Elijah Holyfield"/>
        <s v="Darrius Shepherd"/>
        <s v="Javon Wims"/>
        <s v="Josh Hammond"/>
        <s v="Gabe Nabers"/>
        <s v="DeVontres Dukes"/>
        <s v="Jalen McCleskey"/>
        <s v="Tyrie Cleveland"/>
        <s v="Adam Prentice"/>
        <s v="Osirus Mitchell"/>
        <s v="Stevie Scott III"/>
        <s v="Austin Watkins Jr."/>
        <s v="Chris Blair"/>
        <s v="Ryan Switzer"/>
        <s v="J.K. Dobbins"/>
        <s v="Caleb Scott"/>
        <s v="Whop Philyor"/>
        <s v="Bo Scarbrough"/>
        <s v="Eno Benjamin"/>
        <s v="DaeSean Hamilton"/>
        <s v="Jaylinn Hawkins"/>
        <s v="Pooka Williams Jr."/>
        <s v="Cullen Gillaspia"/>
        <s v="Trishton Jackson"/>
        <s v="Malik Turner"/>
        <s v="Tommylee Lewis"/>
        <s v="Sutton Smith"/>
        <s v="Josh Doctson"/>
        <s v="Maurice Ffrench"/>
        <s v="Johnny Stanton IV"/>
        <s v="Donte Moncrief"/>
        <s v="Laquon Treadwell"/>
        <s v="Stantley Thomas-Oliver III"/>
        <s v="Devin Smith"/>
        <s v="K.J. Hill"/>
        <s v="Dillon Stoner"/>
        <s v="Justice Hill"/>
        <s v="Mike Weber"/>
        <s v="C.J. Ham"/>
        <s v="Michael Walker"/>
        <s v="Travis Etienne"/>
        <s v="Jason Moore Jr."/>
        <s v="Branden Mack"/>
        <s v="KeeSean Johnson"/>
        <s v="Isaiah Hodgins"/>
        <s v="Antonio Callaway"/>
        <s v="Rod Smith"/>
        <s v="Chad Beebe"/>
        <s v="Dan Chisena"/>
        <s v="Jordan Scarlett"/>
        <s v="J'Mon Moore"/>
        <s v="Terry Godwin"/>
        <s v="Dwayne Washington"/>
        <s v="A.J. Richardson"/>
        <s v="Patrick Taylor"/>
        <s v="Greg Dortch"/>
        <s v="Reggie Bonnafon"/>
        <s v="Christian Wade"/>
        <s v="Andy Isabella"/>
        <s v="Kerrith Whyte Jr."/>
        <s v="Keith Smith"/>
        <s v="Tre Harbison"/>
        <s v="Tommy Tremble"/>
        <s v="Pharoh Cooper"/>
        <s v="Tino Ellis"/>
        <s v="Khalil McClain"/>
        <s v="Taiwan Jones"/>
        <s v="DJ Turner"/>
        <s v="Corey Coleman"/>
        <s v="Eli Stove"/>
        <s v="Adrian Killins"/>
        <s v="Reggie Davis"/>
        <s v="Adam Shaheen"/>
        <s v="Adam Trautman"/>
        <s v="Arizona Cardinals"/>
        <s v="Josiah Deguara"/>
        <s v="Donald Parham Jr."/>
        <s v="Chris Herndon"/>
        <s v="Miami Dolphins"/>
        <s v="Garrett Griffin"/>
        <s v="Josh Oliver"/>
        <s v="Luke Farrell"/>
        <s v="Marcedes Lewis"/>
        <s v="Richard Rodgers"/>
        <s v="Charlie Woerner"/>
        <s v="Pharaoh Brown"/>
        <s v="Kyle Rudolph"/>
        <s v="Harrison Bryant"/>
        <s v="Lee Smith"/>
        <s v="Eric Saubert"/>
        <s v="Las Vegas Raiders"/>
        <s v="Carolina Panthers"/>
        <s v="Jacob Hollister"/>
        <s v="Blake Bell"/>
        <s v="Ian Thomas"/>
        <s v="Kaden Smith"/>
        <s v="Antony Auclair"/>
        <s v="Tanner Hudson"/>
        <s v="Cleveland Browns"/>
        <s v="Baltimore Ravens"/>
        <s v="Kahale Warring"/>
        <s v="Devin Asiasi"/>
        <s v="Drew Sample"/>
        <s v="Jeremy Sprinkle"/>
        <s v="Darrell Daniels"/>
        <s v="Chris Manhertz"/>
        <s v="Stephen Anderson"/>
        <s v="Cethan Carter"/>
        <s v="Jack Stoll"/>
        <s v="Demetrius Harris"/>
        <s v="Noah Gray"/>
        <s v="Cary Angeline"/>
        <s v="Quintin Morris"/>
        <s v="Shaun Beyer"/>
        <s v="Irv Smith Jr."/>
        <s v="Matt LaCosse"/>
        <s v="Levine Toilolo"/>
        <s v="James O'Shaughnessy"/>
        <s v="Nick Boyle"/>
        <s v="Alex Ellis"/>
        <s v="Jake Breeland"/>
        <s v="Jason Croom"/>
        <s v="James Winchester"/>
        <s v="David Wells"/>
        <s v="Daniel Brunskill"/>
        <s v="Sean McKeon"/>
        <s v="Parker Hesse"/>
        <s v="Andrew Beck"/>
        <s v="Dominique Dafney"/>
        <s v="Eric Tomlinson"/>
        <s v="Clark Harris"/>
        <s v="Tre' McKitty"/>
        <s v="Sam Tecklenburg"/>
        <s v="Zach Davidson"/>
        <s v="Bernhard Seikovits"/>
        <s v="Carson Meier"/>
        <s v="Daniel Helm"/>
        <s v="Ben Ellefson"/>
        <s v="Ethan Wolf"/>
        <s v="Nakia Griffin-Stewart"/>
        <s v="Philadelphia Eagles"/>
        <s v="Joshua Perkins"/>
        <s v="Artayvious Lynn"/>
        <s v="Houston Texans"/>
        <s v="Kalif Jackson"/>
        <s v="Bruno Labelle"/>
        <s v="Matt Bushman"/>
        <s v="Jibri Blount"/>
        <s v="Connor Davis"/>
        <s v="Noah Togiai"/>
        <s v="Matt Seybert"/>
        <s v="Josh Pederson"/>
        <s v="Nick Ralston"/>
        <s v="Derek Carrier"/>
        <s v="Thaddeus Moss"/>
        <s v="Carson Williams"/>
        <s v="Pro Wells"/>
        <s v="Nick Eubanks"/>
        <s v="Mason Schreck"/>
        <s v="Tony Poljan"/>
        <s v="Jake Hausmann"/>
        <s v="Jaeden Graham"/>
        <s v="Brandon Dillon"/>
        <s v="Robert Tonyan"/>
        <s v="Kyle Markway"/>
        <s v="Dylan Soehner"/>
        <s v="Paul Quessenberry"/>
        <s v="Hunter Kampmoyer"/>
        <s v="Charlie Heck"/>
        <s v="Jake Bargas"/>
        <s v="Colin Thompson"/>
        <s v="Stephen Carlson"/>
        <s v="Cheyenne O'Grady"/>
        <s v="Chris Myarick"/>
        <s v="Sal Cannella"/>
        <s v="Mitchell Wilcox"/>
        <s v="Cole Hikutini"/>
        <s v="Maxx Williams"/>
        <s v="Ross Travis"/>
        <s v="Evan Baylis"/>
        <s v="Isaac Nauta"/>
        <s v="Tyler Davis"/>
        <s v="Reggie Gilliam"/>
        <s v="Daniel Crawford"/>
        <s v="Troy Fumagalli"/>
        <s v="Ian Bunting"/>
        <s v="Mitchell Fraboni"/>
        <s v="Jack Driscoll"/>
        <s v="Andrew DePaola"/>
        <s v="Miller Forristall"/>
        <s v="Hunter Long"/>
        <s v="Nick Bowers"/>
        <s v="Nick Vannett"/>
        <s v="Nate Becker"/>
        <s v="Giovanni Ricci"/>
        <s v="John Raine"/>
        <s v="Matt Sokol"/>
        <s v="Luke Stocker"/>
        <s v="Dalton Keene"/>
        <s v="Jordan Franks"/>
        <s v="Jody Fortson"/>
        <s v="Dallas Cowboys"/>
        <s v="Cincinnati Bengals"/>
        <s v="Minnesota Vikings"/>
        <s v="Los Angeles Chargers"/>
        <s v="Green Bay Packers"/>
        <s v="New York Giants"/>
        <s v="San Francisco 49ers"/>
        <s v="Denver Broncos"/>
        <s v="Kansas City Chiefs"/>
        <s v="Atlanta Falcons"/>
        <s v="Jacksonville Jaguars"/>
        <m/>
        <n v="0" u="1"/>
      </sharedItems>
    </cacheField>
    <cacheField name="Lookup Name" numFmtId="0">
      <sharedItems containsBlank="1"/>
    </cacheField>
    <cacheField name="Def Passing Yds/att" numFmtId="43">
      <sharedItems containsString="0" containsBlank="1" containsNumber="1" minValue="4.6380952380952385" maxValue="9.3909774436090228"/>
    </cacheField>
    <cacheField name="Def Rushing yds/att" numFmtId="43">
      <sharedItems containsString="0" containsBlank="1" containsNumber="1" minValue="2.6470588235294117" maxValue="5.7954545454545459"/>
    </cacheField>
    <cacheField name="Def Passing Yds/Reception" numFmtId="43">
      <sharedItems containsString="0" containsBlank="1" containsNumber="1" minValue="8.515625" maxValue="12.49"/>
    </cacheField>
    <cacheField name="Attempts/gm" numFmtId="43">
      <sharedItems containsString="0" containsBlank="1" containsNumber="1" minValue="0" maxValue="41"/>
    </cacheField>
    <cacheField name="Yards/gm" numFmtId="43">
      <sharedItems containsString="0" containsBlank="1" containsNumber="1" minValue="0" maxValue="324.14285714285717"/>
    </cacheField>
    <cacheField name="Yards/Attempt" numFmtId="43">
      <sharedItems containsString="0" containsBlank="1" containsNumber="1" minValue="0" maxValue="25"/>
    </cacheField>
    <cacheField name="Passing TD" numFmtId="43">
      <sharedItems containsString="0" containsBlank="1" containsNumber="1" minValue="0" maxValue="2.6666666666666665"/>
    </cacheField>
    <cacheField name="Targets Per Game" numFmtId="43">
      <sharedItems containsString="0" containsBlank="1" containsNumber="1" minValue="0" maxValue="10.5"/>
    </cacheField>
    <cacheField name="Receptions per game" numFmtId="43">
      <sharedItems containsString="0" containsBlank="1" containsNumber="1" minValue="0" maxValue="7.4285714285714288"/>
    </cacheField>
    <cacheField name="Yards per game" numFmtId="43">
      <sharedItems containsString="0" containsBlank="1" containsNumber="1" minValue="-0.5" maxValue="108"/>
    </cacheField>
    <cacheField name="Yards/reception" numFmtId="43">
      <sharedItems containsString="0" containsBlank="1" containsNumber="1" minValue="-4" maxValue="35"/>
    </cacheField>
    <cacheField name="Long" numFmtId="43">
      <sharedItems containsString="0" containsBlank="1" containsNumber="1" minValue="0" maxValue="75"/>
    </cacheField>
    <cacheField name="Receiving TDs" numFmtId="43">
      <sharedItems containsString="0" containsBlank="1" containsNumber="1" minValue="-0.5" maxValue="12"/>
    </cacheField>
    <cacheField name="Rushes" numFmtId="43">
      <sharedItems containsString="0" containsBlank="1" containsNumber="1" minValue="0" maxValue="20"/>
    </cacheField>
    <cacheField name="Rushing Yards" numFmtId="43">
      <sharedItems containsString="0" containsBlank="1" containsNumber="1" minValue="-1.21875" maxValue="99.166666666666657"/>
    </cacheField>
    <cacheField name="Yards/Att" numFmtId="43">
      <sharedItems containsString="0" containsBlank="1" containsNumber="1" minValue="-9" maxValue="17.5"/>
    </cacheField>
    <cacheField name="Rushing TDs" numFmtId="43">
      <sharedItems containsString="0" containsBlank="1" containsNumber="1" minValue="0" maxValue="1"/>
    </cacheField>
    <cacheField name="# of Passes" numFmtId="43">
      <sharedItems containsBlank="1" containsMixedTypes="1" containsNumber="1" minValue="25.759493140243904" maxValue="44.656477842721628"/>
    </cacheField>
    <cacheField name="# of Runs" numFmtId="43">
      <sharedItems containsBlank="1" containsMixedTypes="1" containsNumber="1" minValue="14.343522157278372" maxValue="38.040506859756093"/>
    </cacheField>
    <cacheField name="Playing?" numFmtId="0">
      <sharedItems containsString="0" containsBlank="1" containsNumber="1" containsInteger="1" minValue="0" maxValue="1"/>
    </cacheField>
    <cacheField name="# of Attempts" numFmtId="43">
      <sharedItems containsString="0" containsBlank="1" containsNumber="1" minValue="0" maxValue="41"/>
    </cacheField>
    <cacheField name="Adjusted Projected Attempts" numFmtId="43">
      <sharedItems containsBlank="1" containsMixedTypes="1" containsNumber="1" minValue="0" maxValue="44.656477842721628"/>
    </cacheField>
    <cacheField name="Pass Yards per completion" numFmtId="43">
      <sharedItems containsString="0" containsBlank="1" containsNumber="1" minValue="0" maxValue="17.876988570132909"/>
    </cacheField>
    <cacheField name="Passing yards" numFmtId="43">
      <sharedItems containsBlank="1" containsMixedTypes="1" containsNumber="1" minValue="0" maxValue="394.91705924298952"/>
    </cacheField>
    <cacheField name="Targets per game2" numFmtId="43">
      <sharedItems containsString="0" containsBlank="1" containsNumber="1" minValue="0" maxValue="10.5"/>
    </cacheField>
    <cacheField name="Projected Team Targets" numFmtId="43">
      <sharedItems containsString="0" containsBlank="1" containsNumber="1" minValue="23.30952380952381" maxValue="45.690476190476197"/>
    </cacheField>
    <cacheField name="Adjusted Projected Targets" numFmtId="43">
      <sharedItems containsBlank="1" containsMixedTypes="1" containsNumber="1" minValue="0" maxValue="13.031632684617847"/>
    </cacheField>
    <cacheField name="Receptions" numFmtId="43">
      <sharedItems containsString="0" containsBlank="1" containsNumber="1" minValue="0" maxValue="7.4285714285714288"/>
    </cacheField>
    <cacheField name="Adjusted Projected Receptions" numFmtId="43">
      <sharedItems containsString="0" containsBlank="1" containsNumber="1" minValue="0" maxValue="9.1628667313719259"/>
    </cacheField>
    <cacheField name="Yards per Reception" numFmtId="43">
      <sharedItems containsString="0" containsBlank="1" containsNumber="1" minValue="-4.7351069035037456" maxValue="28.34778986394134"/>
    </cacheField>
    <cacheField name="Receiving yards" numFmtId="43">
      <sharedItems containsString="0" containsBlank="1" containsNumber="1" minValue="-0.43614913454355164" maxValue="125.75091048019236"/>
    </cacheField>
    <cacheField name="Rushes2" numFmtId="43">
      <sharedItems containsString="0" containsBlank="1" containsNumber="1" minValue="0" maxValue="20"/>
    </cacheField>
    <cacheField name="Team Rushes" numFmtId="43">
      <sharedItems containsString="0" containsBlank="1" containsNumber="1" minValue="8.5333333333333314" maxValue="38.571428571428569"/>
    </cacheField>
    <cacheField name="Adjusted Projected Rushes" numFmtId="43">
      <sharedItems containsString="0" containsBlank="1" containsNumber="1" minValue="0" maxValue="25.387304666800144"/>
    </cacheField>
    <cacheField name="Yards per Attempt" numFmtId="43">
      <sharedItems containsString="0" containsBlank="1" containsNumber="1" minValue="-10.475211391259423" maxValue="19.405256559292905"/>
    </cacheField>
    <cacheField name="Rushing yards2" numFmtId="43">
      <sharedItems containsString="0" containsBlank="1" containsNumber="1" minValue="-2.1868624001356998" maxValue="132.40936902518243"/>
    </cacheField>
    <cacheField name="Fanduel Pts" numFmtId="43">
      <sharedItems containsBlank="1" containsMixedTypes="1" containsNumber="1" minValue="0" maxValue="22.25912284773004"/>
    </cacheField>
    <cacheField name="Value per $1k" numFmtId="43">
      <sharedItems containsBlank="1" containsMixedTypes="1" containsNumber="1" minValue="0" maxValue="2.8537336984269284"/>
    </cacheField>
    <cacheField name="Targets per $1K" numFmtId="43">
      <sharedItems containsString="0" containsBlank="1" containsNumber="1" minValue="0" maxValue="1.53246753246753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s v="66282-55050"/>
    <x v="0"/>
    <s v="Christian"/>
    <s v="Christian McCaffrey"/>
    <s v="McCaffrey"/>
    <n v="16.800000508626301"/>
    <n v="3"/>
    <n v="10000"/>
    <s v="NE@CAR"/>
    <s v="CAR"/>
    <s v="NE"/>
    <m/>
    <m/>
    <m/>
    <x v="0"/>
    <s v="Christian McCaffrey"/>
    <n v="5.9135802469135799"/>
    <n v="4"/>
    <n v="9.9791666666666661"/>
    <n v="0"/>
    <n v="0"/>
    <n v="0"/>
    <n v="0"/>
    <n v="5.666666666666667"/>
    <n v="5.333333333333333"/>
    <n v="54.333333333333336"/>
    <n v="10.199999999999999"/>
    <n v="32"/>
    <n v="3.4"/>
    <n v="17.333333333333332"/>
    <n v="67"/>
    <n v="3.9"/>
    <n v="0.33333333333333331"/>
    <n v="42.879374651732974"/>
    <n v="18.220625348267024"/>
    <n v="1"/>
    <n v="0"/>
    <n v="0"/>
    <n v="0"/>
    <n v="0"/>
    <n v="5.666666666666667"/>
    <n v="45.690476190476197"/>
    <n v="5.3180256212154493"/>
    <n v="5.333333333333333"/>
    <n v="5.0052005846733634"/>
    <n v="9.6811974988025913"/>
    <n v="51.633053326947149"/>
    <n v="17.333333333333332"/>
    <n v="38.333333333333336"/>
    <n v="8.238891461825089"/>
    <n v="3.772236789096191"/>
    <n v="65.385437677667312"/>
    <n v="14.368515767128111"/>
    <n v="1.4368515767128112"/>
    <n v="0.56666666666666665"/>
  </r>
  <r>
    <s v="66282-42104"/>
    <x v="0"/>
    <s v="Alvin"/>
    <s v="Alvin Kamara"/>
    <s v="Kamara"/>
    <n v="17.657142639160099"/>
    <n v="7"/>
    <n v="9400"/>
    <s v="ATL@NO"/>
    <s v="NO"/>
    <s v="ATL"/>
    <m/>
    <m/>
    <m/>
    <x v="1"/>
    <s v="Alvin Kamara"/>
    <n v="7.2264150943396226"/>
    <n v="4.4936708860759493"/>
    <n v="10.213333333333333"/>
    <n v="0"/>
    <n v="0"/>
    <n v="0"/>
    <n v="0"/>
    <n v="5.5"/>
    <n v="4.166666666666667"/>
    <n v="40.166666666666664"/>
    <n v="9.6"/>
    <n v="27.5"/>
    <n v="1.5999999999999999"/>
    <n v="19"/>
    <n v="72.566666666666663"/>
    <n v="3.7"/>
    <n v="0.16666666666666666"/>
    <n v="40.544120654665065"/>
    <n v="22.955879345334939"/>
    <n v="1"/>
    <n v="0"/>
    <n v="0"/>
    <n v="0"/>
    <n v="0"/>
    <n v="5.5"/>
    <n v="24.533333333333335"/>
    <n v="9.0893748750268148"/>
    <n v="4.166666666666667"/>
    <n v="6.8858900568384973"/>
    <n v="9.3255267332687861"/>
    <n v="38.856361388619945"/>
    <n v="19"/>
    <n v="23.45"/>
    <n v="18.599646377883317"/>
    <n v="4.0204747017833879"/>
    <n v="76.389019333884377"/>
    <n v="13.607871405583767"/>
    <n v="1.4476458942110391"/>
    <n v="0.58510638297872342"/>
  </r>
  <r>
    <s v="66282-80001"/>
    <x v="0"/>
    <s v="Austin"/>
    <s v="Austin Ekeler"/>
    <s v="Ekeler"/>
    <n v="19.528570992605999"/>
    <n v="7"/>
    <n v="9000"/>
    <s v="LAC@PHI"/>
    <s v="LAC"/>
    <s v="PHI"/>
    <m/>
    <m/>
    <m/>
    <x v="2"/>
    <s v="Austin Ekeler"/>
    <n v="5.9890109890109891"/>
    <n v="3.8190476190476192"/>
    <n v="8.515625"/>
    <n v="0"/>
    <n v="0"/>
    <n v="0"/>
    <n v="0"/>
    <n v="5.333333333333333"/>
    <n v="4.5"/>
    <n v="40.333333333333336"/>
    <n v="9"/>
    <n v="0"/>
    <n v="1.5"/>
    <n v="12.166666666666666"/>
    <n v="55"/>
    <n v="4.9000000000000004"/>
    <n v="0.66666666666666663"/>
    <n v="30.851495621477966"/>
    <n v="35.648504378522034"/>
    <n v="1"/>
    <n v="0"/>
    <n v="0"/>
    <n v="0"/>
    <n v="0"/>
    <n v="5.333333333333333"/>
    <n v="35.500000000000007"/>
    <n v="4.634966478344106"/>
    <n v="4.5"/>
    <n v="3.9107529661028395"/>
    <n v="7.2894316792992004"/>
    <n v="32.802442556846401"/>
    <n v="12.166666666666666"/>
    <n v="19.5"/>
    <n v="22.242229227624858"/>
    <n v="4.525072079911542"/>
    <n v="55.055043638923756"/>
    <n v="11.035748619577017"/>
    <n v="1.226194291064113"/>
    <n v="0.59259259259259256"/>
  </r>
  <r>
    <s v="66282-62239"/>
    <x v="1"/>
    <s v="Josh"/>
    <s v="Josh Allen"/>
    <s v="Allen"/>
    <n v="26.9685712541852"/>
    <n v="7"/>
    <n v="9000"/>
    <s v="BUF@JAC"/>
    <s v="BUF"/>
    <s v="JAC"/>
    <m/>
    <m/>
    <m/>
    <x v="3"/>
    <s v="Josh Allen"/>
    <n v="9.3909774436090228"/>
    <n v="3.4552845528455283"/>
    <n v="12.49"/>
    <n v="38.333333333333336"/>
    <n v="287.16666666666669"/>
    <n v="7.5"/>
    <n v="2.5"/>
    <n v="0"/>
    <n v="0"/>
    <n v="0"/>
    <n v="0"/>
    <n v="0"/>
    <n v="0"/>
    <n v="7.333333333333333"/>
    <n v="35.15625"/>
    <n v="4.9000000000000004"/>
    <n v="0.33333333333333331"/>
    <n v="33.734564753717166"/>
    <n v="28.965435246282837"/>
    <n v="1"/>
    <n v="38.333333333333336"/>
    <n v="33.734564753717166"/>
    <n v="10.003951019653684"/>
    <n v="383.48478908672456"/>
    <n v="0"/>
    <n v="25.8"/>
    <n v="0"/>
    <n v="0"/>
    <n v="0"/>
    <n v="0"/>
    <n v="0"/>
    <n v="7.333333333333333"/>
    <n v="31.133333333333333"/>
    <n v="6.8226935269616957"/>
    <n v="4.0940604092624646"/>
    <n v="30.023109667924739"/>
    <n v="18.341702530261458"/>
    <n v="2.0379669478068285"/>
    <n v="0"/>
  </r>
  <r>
    <s v="66282-45889"/>
    <x v="2"/>
    <s v="Davante"/>
    <s v="Davante Adams"/>
    <s v="Adams"/>
    <n v="16.914285932268399"/>
    <n v="7"/>
    <n v="9000"/>
    <s v="GB@KC"/>
    <s v="GB"/>
    <s v="KC"/>
    <m/>
    <m/>
    <m/>
    <x v="4"/>
    <s v="Davante Adams"/>
    <n v="8.7934782608695645"/>
    <n v="5.404494382022472"/>
    <n v="12.446153846153846"/>
    <n v="0"/>
    <n v="0"/>
    <n v="0"/>
    <n v="0"/>
    <n v="10.428571428571429"/>
    <n v="7.4285714285714288"/>
    <n v="106.28571428571429"/>
    <n v="14.3"/>
    <n v="43.5"/>
    <n v="2.0428571428571431"/>
    <n v="0"/>
    <n v="0"/>
    <n v="0"/>
    <n v="0"/>
    <e v="#N/A"/>
    <e v="#N/A"/>
    <n v="1"/>
    <n v="0"/>
    <n v="0"/>
    <n v="0"/>
    <n v="0"/>
    <n v="10.428571428571429"/>
    <n v="30.583333333333336"/>
    <e v="#N/A"/>
    <n v="7.4285714285714288"/>
    <n v="0"/>
    <n v="16.928007180025894"/>
    <n v="125.75091048019236"/>
    <n v="0"/>
    <n v="14.916666666666666"/>
    <n v="0"/>
    <n v="0"/>
    <n v="0"/>
    <n v="16.289376762304951"/>
    <n v="1.8099307513672167"/>
    <n v="1.1587301587301588"/>
  </r>
  <r>
    <s v="66282-54140"/>
    <x v="0"/>
    <s v="Dalvin"/>
    <s v="Dalvin Cook"/>
    <s v="Cook"/>
    <n v="13.539999389648401"/>
    <n v="5"/>
    <n v="8800"/>
    <s v="MIN@BAL"/>
    <s v="MIN"/>
    <s v="BAL"/>
    <m/>
    <m/>
    <m/>
    <x v="5"/>
    <s v="Dalvin Cook"/>
    <n v="8"/>
    <n v="3.5909090909090908"/>
    <n v="11.8"/>
    <n v="0"/>
    <n v="0"/>
    <n v="0"/>
    <n v="0"/>
    <n v="4.5"/>
    <n v="3"/>
    <n v="18.25"/>
    <n v="6.1"/>
    <n v="29.5"/>
    <n v="1.5249999999999999"/>
    <n v="20"/>
    <n v="86.107142857142861"/>
    <n v="4.5999999999999996"/>
    <n v="0.5"/>
    <n v="25.759493140243904"/>
    <n v="38.040506859756093"/>
    <n v="1"/>
    <n v="0"/>
    <n v="0"/>
    <n v="0"/>
    <n v="0"/>
    <n v="4.5"/>
    <n v="38.833333333333329"/>
    <n v="2.985005642860882"/>
    <n v="3"/>
    <n v="1.9900037619072546"/>
    <n v="6.8461510103284837"/>
    <n v="20.538453030985451"/>
    <n v="20"/>
    <n v="33.833333333333336"/>
    <n v="22.486999128919855"/>
    <n v="3.9942623809952087"/>
    <n v="89.818974682116604"/>
    <n v="12.535742771310204"/>
    <n v="1.4245162240125231"/>
    <n v="0.51136363636363635"/>
  </r>
  <r>
    <s v="66282-57439"/>
    <x v="1"/>
    <s v="Patrick"/>
    <s v="Patrick Mahomes"/>
    <s v="Mahomes"/>
    <n v="23.202499389648398"/>
    <n v="8"/>
    <n v="8500"/>
    <s v="GB@KC"/>
    <s v="KC"/>
    <s v="GB"/>
    <m/>
    <m/>
    <m/>
    <x v="6"/>
    <s v="Patrick Mahomes"/>
    <n v="6.3711340206185563"/>
    <n v="4.3797468354430382"/>
    <n v="9.3636363636363633"/>
    <n v="39.571428571428569"/>
    <n v="299"/>
    <n v="7.6"/>
    <n v="2.5714285714285716"/>
    <n v="0"/>
    <n v="0"/>
    <n v="0"/>
    <n v="0"/>
    <n v="0"/>
    <n v="0"/>
    <n v="4.5714285714285712"/>
    <n v="19.266666666666666"/>
    <n v="6.8"/>
    <n v="0.14285714285714285"/>
    <n v="35.894621752555366"/>
    <n v="26.105378247444634"/>
    <n v="1"/>
    <n v="39.571428571428569"/>
    <n v="35.894621752555366"/>
    <n v="6.8774878055918851"/>
    <n v="272.15201744985029"/>
    <n v="0"/>
    <n v="38.357142857142847"/>
    <n v="0"/>
    <n v="0"/>
    <n v="0"/>
    <n v="0"/>
    <n v="0"/>
    <n v="4.5714285714285712"/>
    <n v="15.523809523809524"/>
    <n v="7.6874733489407499"/>
    <n v="7.2016542659733194"/>
    <n v="32.92184807302089"/>
    <n v="14.1782655052961"/>
    <n v="1.6680312359171883"/>
    <n v="0"/>
  </r>
  <r>
    <s v="66282-53681"/>
    <x v="2"/>
    <s v="Tyreek"/>
    <s v="Tyreek Hill"/>
    <s v="Hill"/>
    <n v="18.225000381469702"/>
    <n v="8"/>
    <n v="8500"/>
    <s v="GB@KC"/>
    <s v="KC"/>
    <s v="GB"/>
    <m/>
    <m/>
    <m/>
    <x v="7"/>
    <s v="Tyreek Hill"/>
    <n v="6.3711340206185563"/>
    <n v="4.3797468354430382"/>
    <n v="9.3636363636363633"/>
    <n v="0"/>
    <n v="0"/>
    <n v="0"/>
    <n v="0"/>
    <n v="10.285714285714286"/>
    <n v="7.4285714285714288"/>
    <n v="91.571428571428569"/>
    <n v="12.3"/>
    <n v="75"/>
    <n v="1.7571428571428573"/>
    <n v="0.7142857142857143"/>
    <n v="6.1"/>
    <n v="12.6"/>
    <n v="0"/>
    <n v="35.894621752555366"/>
    <n v="26.105378247444634"/>
    <n v="1"/>
    <n v="0"/>
    <n v="0"/>
    <n v="0"/>
    <n v="0"/>
    <n v="10.285714285714286"/>
    <n v="38.357142857142847"/>
    <n v="9.6253734308528394"/>
    <n v="7.4285714285714288"/>
    <n v="6.9516585889492726"/>
    <n v="10.954291236183229"/>
    <n v="81.374734897361137"/>
    <n v="0.7142857142857143"/>
    <n v="15.523809523809524"/>
    <n v="1.2011677107719922"/>
    <n v="13.344241728127033"/>
    <n v="9.5316012343764527"/>
    <n v="12.804919327459473"/>
    <n v="1.5064610973481734"/>
    <n v="1.2100840336134455"/>
  </r>
  <r>
    <s v="66282-40442"/>
    <x v="0"/>
    <s v="Aaron"/>
    <s v="Aaron Jones"/>
    <s v="Jones"/>
    <n v="15.8125"/>
    <n v="8"/>
    <n v="8500"/>
    <s v="GB@KC"/>
    <s v="GB"/>
    <s v="KC"/>
    <m/>
    <m/>
    <m/>
    <x v="8"/>
    <s v="Aaron Jones"/>
    <n v="8.7934782608695645"/>
    <n v="5.404494382022472"/>
    <n v="12.446153846153846"/>
    <n v="0"/>
    <n v="0"/>
    <n v="0"/>
    <n v="0"/>
    <n v="4.875"/>
    <n v="4.125"/>
    <n v="29.625"/>
    <n v="7.2"/>
    <n v="18.5"/>
    <n v="0.9"/>
    <n v="13"/>
    <n v="43.928571428571431"/>
    <n v="4.5"/>
    <n v="0.375"/>
    <e v="#N/A"/>
    <e v="#N/A"/>
    <n v="1"/>
    <n v="0"/>
    <n v="0"/>
    <n v="0"/>
    <n v="0"/>
    <n v="4.875"/>
    <n v="30.583333333333336"/>
    <e v="#N/A"/>
    <n v="4.125"/>
    <n v="0"/>
    <n v="8.5231924263067427"/>
    <n v="0"/>
    <n v="13"/>
    <n v="14.916666666666666"/>
    <n v="0"/>
    <n v="5.8808747695179378"/>
    <n v="0"/>
    <n v="2.0625"/>
    <n v="0.24264705882352941"/>
    <n v="0.57352941176470584"/>
  </r>
  <r>
    <s v="66282-63115"/>
    <x v="1"/>
    <s v="Lamar"/>
    <s v="Lamar Jackson"/>
    <s v="Jackson"/>
    <n v="24.388571602957501"/>
    <n v="7"/>
    <n v="8300"/>
    <s v="MIN@BAL"/>
    <s v="BAL"/>
    <s v="MIN"/>
    <m/>
    <m/>
    <m/>
    <x v="9"/>
    <s v="Lamar Jackson"/>
    <n v="9.1684210526315795"/>
    <n v="4.7733333333333334"/>
    <n v="12.097222222222221"/>
    <n v="32.142857142857146"/>
    <n v="277.57142857142856"/>
    <n v="8.6"/>
    <n v="1.4285714285714286"/>
    <n v="0"/>
    <n v="0"/>
    <n v="0"/>
    <n v="0"/>
    <n v="0"/>
    <n v="0"/>
    <n v="10.857142857142858"/>
    <n v="76.5"/>
    <n v="6.3"/>
    <n v="0.2857142857142857"/>
    <e v="#N/A"/>
    <e v="#N/A"/>
    <n v="1"/>
    <n v="32.142857142857146"/>
    <e v="#N/A"/>
    <n v="11.199341735889517"/>
    <e v="#N/A"/>
    <n v="0"/>
    <n v="39.43333333333333"/>
    <e v="#N/A"/>
    <n v="0"/>
    <n v="0"/>
    <n v="0"/>
    <n v="0"/>
    <n v="10.857142857142858"/>
    <n v="28.528571428571428"/>
    <n v="0"/>
    <n v="7.2717118411346569"/>
    <n v="0"/>
    <e v="#N/A"/>
    <e v="#N/A"/>
    <n v="0"/>
  </r>
  <r>
    <s v="66282-38791"/>
    <x v="0"/>
    <s v="Ezekiel"/>
    <s v="Ezekiel Elliott"/>
    <s v="Elliott"/>
    <n v="16.557143075125499"/>
    <n v="7"/>
    <n v="8200"/>
    <s v="DEN@DAL"/>
    <s v="DAL"/>
    <s v="DEN"/>
    <m/>
    <m/>
    <m/>
    <x v="10"/>
    <s v="Ezekiel Elliott"/>
    <n v="4.6380952380952385"/>
    <n v="3.6326530612244898"/>
    <n v="8.8545454545454554"/>
    <n v="0"/>
    <n v="0"/>
    <n v="0"/>
    <n v="0"/>
    <n v="3.3333333333333335"/>
    <n v="2.6666666666666665"/>
    <n v="17.5"/>
    <n v="6.6"/>
    <n v="11"/>
    <n v="1.0999999999999999"/>
    <n v="17"/>
    <n v="49.133333333333333"/>
    <n v="5.0999999999999996"/>
    <n v="0.83333333333333337"/>
    <n v="40.215481891649205"/>
    <n v="26.284518108350792"/>
    <n v="1"/>
    <n v="0"/>
    <n v="0"/>
    <n v="0"/>
    <n v="0"/>
    <n v="3.3333333333333335"/>
    <n v="28.733333333333334"/>
    <n v="4.6653691289616246"/>
    <n v="2.6666666666666665"/>
    <n v="3.7322953031692996"/>
    <n v="5.5583365524256267"/>
    <n v="20.745353408052402"/>
    <n v="17"/>
    <n v="32"/>
    <n v="13.963650245061357"/>
    <n v="4.4799013044760887"/>
    <n v="62.555774948098232"/>
    <n v="9.663446168948397"/>
    <n v="1.178469044993707"/>
    <n v="0.40650406504065045"/>
  </r>
  <r>
    <s v="66282-63484"/>
    <x v="1"/>
    <s v="Kyler"/>
    <s v="Kyler Murray"/>
    <s v="Murray"/>
    <n v="23.092500686645501"/>
    <n v="8"/>
    <n v="8200"/>
    <s v="ARI@SF"/>
    <s v="ARI"/>
    <s v="SF"/>
    <s v="Q"/>
    <s v="Ankle"/>
    <m/>
    <x v="11"/>
    <s v="Kyler Murray"/>
    <n v="6.5263157894736841"/>
    <n v="4.7051282051282053"/>
    <n v="10.191780821917808"/>
    <n v="32"/>
    <n v="284.5"/>
    <n v="8.9"/>
    <n v="2.125"/>
    <n v="0"/>
    <n v="0"/>
    <n v="0"/>
    <n v="0"/>
    <n v="0"/>
    <n v="0"/>
    <n v="6.125"/>
    <n v="35.59375"/>
    <n v="3"/>
    <n v="0.375"/>
    <e v="#N/A"/>
    <e v="#N/A"/>
    <n v="1"/>
    <n v="32"/>
    <e v="#N/A"/>
    <n v="8.2500691131068749"/>
    <e v="#N/A"/>
    <n v="0"/>
    <n v="26.625"/>
    <e v="#N/A"/>
    <n v="0"/>
    <n v="0"/>
    <n v="0"/>
    <n v="0"/>
    <n v="6.125"/>
    <n v="32.208333333333329"/>
    <n v="0"/>
    <n v="3.4132418678459127"/>
    <n v="0"/>
    <e v="#N/A"/>
    <e v="#N/A"/>
    <n v="0"/>
  </r>
  <r>
    <s v="66282-6894"/>
    <x v="1"/>
    <s v="Aaron"/>
    <s v="Aaron Rodgers"/>
    <s v="Rodgers"/>
    <n v="19.694999694824201"/>
    <n v="8"/>
    <n v="8100"/>
    <s v="GB@KC"/>
    <s v="GB"/>
    <s v="KC"/>
    <s v="IR"/>
    <s v="Illness"/>
    <m/>
    <x v="12"/>
    <s v="Aaron Rodgers"/>
    <n v="8.7934782608695645"/>
    <n v="5.404494382022472"/>
    <n v="12.446153846153846"/>
    <n v="32.25"/>
    <n v="236.75"/>
    <n v="7.3"/>
    <n v="2.125"/>
    <n v="0"/>
    <n v="0.125"/>
    <n v="-0.5"/>
    <n v="-4"/>
    <n v="0"/>
    <n v="-0.5"/>
    <n v="2.25"/>
    <n v="0"/>
    <n v="2.6"/>
    <n v="0.25"/>
    <e v="#N/A"/>
    <e v="#N/A"/>
    <n v="0"/>
    <n v="0"/>
    <n v="0"/>
    <n v="9.1176528009540903"/>
    <n v="0"/>
    <n v="0"/>
    <n v="30.583333333333336"/>
    <e v="#N/A"/>
    <n v="0"/>
    <n v="0"/>
    <n v="-4.7351069035037456"/>
    <n v="0"/>
    <n v="0"/>
    <n v="14.916666666666666"/>
    <n v="0"/>
    <n v="3.3978387557214762"/>
    <n v="0"/>
    <n v="0"/>
    <n v="0"/>
    <n v="0"/>
  </r>
  <r>
    <s v="66282-56018"/>
    <x v="2"/>
    <s v="Deebo"/>
    <s v="Deebo Samuel"/>
    <s v="Samuel"/>
    <n v="18.8714294433593"/>
    <n v="7"/>
    <n v="8000"/>
    <s v="ARI@SF"/>
    <s v="SF"/>
    <s v="ARI"/>
    <s v="Q"/>
    <s v="Calf"/>
    <m/>
    <x v="13"/>
    <s v="Deebo Samuel"/>
    <n v="5.9411764705882355"/>
    <n v="5.4102564102564106"/>
    <n v="9.1818181818181817"/>
    <n v="0"/>
    <n v="0"/>
    <n v="0"/>
    <n v="0"/>
    <n v="10.5"/>
    <n v="6.333333333333333"/>
    <n v="108"/>
    <n v="17.100000000000001"/>
    <n v="57"/>
    <n v="2.85"/>
    <n v="1"/>
    <n v="0"/>
    <n v="3.7"/>
    <n v="0.16666666666666666"/>
    <n v="33.198546563443358"/>
    <n v="30.201453436556637"/>
    <n v="1"/>
    <n v="0"/>
    <n v="0"/>
    <n v="0"/>
    <n v="0"/>
    <n v="10.5"/>
    <n v="34.266666666666673"/>
    <n v="10.172706388603752"/>
    <n v="6.333333333333333"/>
    <n v="6.1359181391578179"/>
    <n v="14.93342520641886"/>
    <n v="91.630274603822073"/>
    <n v="1"/>
    <n v="23.6"/>
    <n v="1.2797226032439253"/>
    <n v="4.8405411920568646"/>
    <n v="6.1945499754084645"/>
    <n v="12.949149124589718"/>
    <n v="1.6186436405737148"/>
    <n v="1.3125"/>
  </r>
  <r>
    <s v="66282-85701"/>
    <x v="2"/>
    <s v="Ja'Marr"/>
    <s v="Ja'Marr Chase"/>
    <s v="Chase"/>
    <n v="17.537500381469702"/>
    <n v="8"/>
    <n v="7900"/>
    <s v="CLE@CIN"/>
    <s v="CIN"/>
    <s v="CLE"/>
    <m/>
    <m/>
    <m/>
    <x v="14"/>
    <s v="Ja'Marr Chase"/>
    <n v="6.4117647058823533"/>
    <n v="3.140625"/>
    <n v="10.686274509803921"/>
    <n v="0"/>
    <n v="0"/>
    <n v="0"/>
    <n v="0"/>
    <n v="7.2857142857142856"/>
    <n v="5"/>
    <n v="107.71428571428571"/>
    <n v="21.5"/>
    <n v="0"/>
    <n v="3.0714285714285716"/>
    <n v="0.14285714285714285"/>
    <n v="0"/>
    <n v="-2"/>
    <n v="0"/>
    <n v="35.249369534050182"/>
    <n v="23.950630465949821"/>
    <n v="1"/>
    <n v="0"/>
    <n v="0"/>
    <n v="0"/>
    <n v="0"/>
    <n v="7.2857142857142856"/>
    <n v="32.859523809523814"/>
    <n v="7.8155982011588678"/>
    <n v="5"/>
    <n v="5.3636458243247134"/>
    <n v="21.852413923127884"/>
    <n v="117.20860869020011"/>
    <n v="0.14285714285714285"/>
    <n v="33.523809523809533"/>
    <n v="0.10206234573558159"/>
    <n v="-1.518869380225029"/>
    <n v="-0.15501937181171546"/>
    <n v="14.205358931838839"/>
    <n v="1.7981467002327645"/>
    <n v="0.92224231464737783"/>
  </r>
  <r>
    <s v="66282-31716"/>
    <x v="1"/>
    <s v="Dak"/>
    <s v="Dak Prescott"/>
    <s v="Prescott"/>
    <n v="22.253334045410099"/>
    <n v="6"/>
    <n v="7900"/>
    <s v="DEN@DAL"/>
    <s v="DAL"/>
    <s v="DEN"/>
    <m/>
    <m/>
    <m/>
    <x v="15"/>
    <s v="Dak Prescott"/>
    <n v="4.6380952380952385"/>
    <n v="3.6326530612244898"/>
    <n v="8.8545454545454554"/>
    <n v="36"/>
    <n v="302.16666666666669"/>
    <n v="8.4"/>
    <n v="2.6666666666666665"/>
    <n v="0"/>
    <n v="0"/>
    <n v="0"/>
    <n v="0"/>
    <n v="0"/>
    <n v="0"/>
    <n v="3.6666666666666665"/>
    <n v="15.8"/>
    <n v="3.2"/>
    <n v="0"/>
    <n v="40.215481891649205"/>
    <n v="26.284518108350792"/>
    <n v="1"/>
    <n v="36"/>
    <n v="40.215481891649205"/>
    <n v="5.5337361002956076"/>
    <n v="222.5418639346035"/>
    <n v="0"/>
    <n v="28.733333333333334"/>
    <n v="0"/>
    <n v="0"/>
    <n v="0"/>
    <n v="0"/>
    <n v="0"/>
    <n v="3.6666666666666665"/>
    <n v="32"/>
    <n v="3.0117676999151946"/>
    <n v="2.8109184655536246"/>
    <n v="8.465833441649588"/>
    <n v="9.7482579015490991"/>
    <n v="1.2339566963986202"/>
    <n v="0"/>
  </r>
  <r>
    <s v="66282-33076"/>
    <x v="3"/>
    <s v="Travis"/>
    <s v="Travis Kelce"/>
    <s v="Kelce"/>
    <n v="12.8125"/>
    <n v="8"/>
    <n v="7800"/>
    <s v="GB@KC"/>
    <s v="KC"/>
    <s v="GB"/>
    <m/>
    <m/>
    <m/>
    <x v="16"/>
    <s v="Travis Kelce"/>
    <n v="6.3711340206185563"/>
    <n v="4.3797468354430382"/>
    <n v="9.3636363636363633"/>
    <n v="0"/>
    <n v="0"/>
    <n v="0"/>
    <n v="0"/>
    <n v="9.2857142857142865"/>
    <n v="6.4285714285714288"/>
    <n v="76.142857142857139"/>
    <n v="11.8"/>
    <n v="32"/>
    <n v="1.6857142857142857"/>
    <n v="0"/>
    <n v="0"/>
    <n v="0"/>
    <n v="0"/>
    <n v="35.894621752555366"/>
    <n v="26.105378247444634"/>
    <n v="1"/>
    <n v="0"/>
    <n v="0"/>
    <n v="0"/>
    <n v="0"/>
    <n v="9.2857142857142865"/>
    <n v="38.357142857142847"/>
    <n v="8.6895732361865914"/>
    <n v="6.4285714285714288"/>
    <n v="6.0158583942830246"/>
    <n v="10.508994844468463"/>
    <n v="63.220624850572626"/>
    <n v="0"/>
    <n v="15.523809523809524"/>
    <n v="0"/>
    <n v="0"/>
    <n v="0"/>
    <n v="9.5363481993429779"/>
    <n v="1.22260874350551"/>
    <n v="1.1904761904761907"/>
  </r>
  <r>
    <s v="66282-69531"/>
    <x v="1"/>
    <s v="Jalen"/>
    <s v="Jalen Hurts"/>
    <s v="Hurts"/>
    <n v="23.245000839233398"/>
    <n v="8"/>
    <n v="7800"/>
    <s v="LAC@PHI"/>
    <s v="PHI"/>
    <s v="LAC"/>
    <m/>
    <m/>
    <m/>
    <x v="17"/>
    <s v="Jalen Hurts"/>
    <n v="6.5760869565217392"/>
    <n v="5.7954545454545459"/>
    <n v="9.453125"/>
    <n v="34.571428571428569"/>
    <n v="245.14285714285714"/>
    <n v="7.1"/>
    <n v="1.4285714285714286"/>
    <n v="0"/>
    <n v="0"/>
    <n v="0"/>
    <n v="0"/>
    <n v="0"/>
    <n v="0"/>
    <n v="9.4285714285714288"/>
    <n v="40.299999999999997"/>
    <n v="5.5"/>
    <n v="0.7142857142857143"/>
    <n v="35.928903458126896"/>
    <n v="25.271096541873106"/>
    <n v="1"/>
    <n v="34.571428571428569"/>
    <n v="35.928903458126896"/>
    <n v="6.631707944273888"/>
    <n v="238.26999449230971"/>
    <n v="0"/>
    <n v="24.999999999999996"/>
    <n v="0"/>
    <n v="0"/>
    <n v="0"/>
    <n v="0"/>
    <n v="0"/>
    <n v="9.4285714285714288"/>
    <n v="14.428571428571431"/>
    <n v="16.51378585904579"/>
    <n v="7.7076953623359685"/>
    <n v="127.28323068037653"/>
    <n v="22.25912284773004"/>
    <n v="2.8537336984269284"/>
    <n v="0"/>
  </r>
  <r>
    <s v="66282-86687"/>
    <x v="2"/>
    <s v="Marquise"/>
    <s v="Marquise Brown"/>
    <s v="Brown"/>
    <n v="15.9428569248744"/>
    <n v="7"/>
    <n v="7700"/>
    <s v="MIN@BAL"/>
    <s v="BAL"/>
    <s v="MIN"/>
    <m/>
    <m/>
    <m/>
    <x v="18"/>
    <s v="Marquise Brown"/>
    <n v="9.1684210526315795"/>
    <n v="4.7733333333333334"/>
    <n v="12.097222222222221"/>
    <n v="0"/>
    <n v="0"/>
    <n v="0"/>
    <n v="0"/>
    <n v="8.1428571428571423"/>
    <n v="5.2857142857142856"/>
    <n v="80.857142857142861"/>
    <n v="15.3"/>
    <n v="49.5"/>
    <n v="2.1857142857142859"/>
    <n v="0.14285714285714285"/>
    <n v="2.53125"/>
    <n v="5"/>
    <n v="0"/>
    <e v="#N/A"/>
    <e v="#N/A"/>
    <n v="1"/>
    <n v="0"/>
    <n v="0"/>
    <n v="0"/>
    <n v="0"/>
    <n v="8.1428571428571423"/>
    <n v="39.43333333333333"/>
    <e v="#N/A"/>
    <n v="5.2857142857142856"/>
    <n v="0"/>
    <n v="17.604014658574233"/>
    <n v="0"/>
    <n v="0.14285714285714285"/>
    <n v="28.528571428571428"/>
    <n v="0"/>
    <n v="5.7711998739163954"/>
    <n v="0"/>
    <n v="2.6428571428571428"/>
    <n v="0.3432282003710575"/>
    <n v="1.0575139146567718"/>
  </r>
  <r>
    <s v="66282-53562"/>
    <x v="0"/>
    <s v="Nick"/>
    <s v="Nick Chubb"/>
    <s v="Chubb"/>
    <n v="14.616666158040299"/>
    <n v="6"/>
    <n v="7600"/>
    <s v="CLE@CIN"/>
    <s v="CLE"/>
    <s v="CIN"/>
    <m/>
    <m/>
    <m/>
    <x v="19"/>
    <s v="Nick Chubb"/>
    <n v="5.884615384615385"/>
    <n v="3.7029702970297032"/>
    <n v="8.5794392523364493"/>
    <n v="0"/>
    <n v="0"/>
    <n v="0"/>
    <n v="0"/>
    <n v="1"/>
    <n v="1"/>
    <n v="7"/>
    <n v="7"/>
    <n v="18"/>
    <n v="1.4"/>
    <n v="18"/>
    <n v="85.958333333333343"/>
    <n v="5.8"/>
    <n v="0.8"/>
    <n v="26.716825649263725"/>
    <n v="36.583174350736272"/>
    <n v="1"/>
    <n v="0"/>
    <n v="0"/>
    <n v="0"/>
    <n v="0"/>
    <n v="1"/>
    <n v="23.30952380952381"/>
    <n v="1.1461763812758696"/>
    <n v="1"/>
    <n v="1.1461763812758696"/>
    <n v="5.7120444142545885"/>
    <n v="6.5470103964173685"/>
    <n v="18"/>
    <n v="31.019047619047615"/>
    <n v="21.228799362263299"/>
    <n v="5.19340952202809"/>
    <n v="110.24984874920206"/>
    <n v="12.179685914561942"/>
    <n v="1.6025902519160451"/>
    <n v="0.13157894736842105"/>
  </r>
  <r>
    <s v="66282-25079"/>
    <x v="2"/>
    <s v="Stefon"/>
    <s v="Stefon Diggs"/>
    <s v="Diggs"/>
    <n v="12.7571432931082"/>
    <n v="7"/>
    <n v="7600"/>
    <s v="BUF@JAC"/>
    <s v="BUF"/>
    <s v="JAC"/>
    <m/>
    <m/>
    <m/>
    <x v="20"/>
    <s v="Stefon Diggs"/>
    <n v="9.3909774436090228"/>
    <n v="3.4552845528455283"/>
    <n v="12.49"/>
    <n v="0"/>
    <n v="0"/>
    <n v="0"/>
    <n v="0"/>
    <n v="9.6666666666666661"/>
    <n v="6.166666666666667"/>
    <n v="77.166666666666671"/>
    <n v="12.5"/>
    <n v="34"/>
    <n v="2.0833333333333335"/>
    <n v="0"/>
    <n v="0"/>
    <n v="0"/>
    <n v="0"/>
    <n v="33.734564753717166"/>
    <n v="28.965435246282837"/>
    <n v="1"/>
    <n v="0"/>
    <n v="0"/>
    <n v="0"/>
    <n v="0"/>
    <n v="9.6666666666666661"/>
    <n v="25.8"/>
    <n v="12.639565605397904"/>
    <n v="6.166666666666667"/>
    <n v="8.0631711620641813"/>
    <n v="14.849337683905732"/>
    <n v="119.73275138862162"/>
    <n v="0"/>
    <n v="31.133333333333333"/>
    <n v="0"/>
    <n v="0"/>
    <n v="0"/>
    <n v="15.056608472195496"/>
    <n v="1.9811326937099338"/>
    <n v="1.2719298245614035"/>
  </r>
  <r>
    <s v="66282-69189"/>
    <x v="1"/>
    <s v="Justin"/>
    <s v="Justin Herbert"/>
    <s v="Herbert"/>
    <n v="21.980000087193002"/>
    <n v="7"/>
    <n v="7600"/>
    <s v="LAC@PHI"/>
    <s v="LAC"/>
    <s v="PHI"/>
    <m/>
    <m/>
    <m/>
    <x v="21"/>
    <s v="Justin Herbert"/>
    <n v="5.9890109890109891"/>
    <n v="3.8190476190476192"/>
    <n v="8.515625"/>
    <n v="41"/>
    <n v="295.16666666666669"/>
    <n v="7.2"/>
    <n v="2.3333333333333335"/>
    <n v="0"/>
    <n v="0"/>
    <n v="0"/>
    <n v="0"/>
    <n v="0"/>
    <n v="0"/>
    <n v="3.5"/>
    <n v="7.3"/>
    <n v="3.4"/>
    <n v="0.16666666666666666"/>
    <n v="30.851495621477966"/>
    <n v="35.648504378522034"/>
    <n v="1"/>
    <n v="41"/>
    <n v="30.851495621477966"/>
    <n v="6.1247321731953779"/>
    <n v="188.95714782406242"/>
    <n v="0"/>
    <n v="35.500000000000007"/>
    <n v="0"/>
    <n v="0"/>
    <n v="0"/>
    <n v="0"/>
    <n v="0"/>
    <n v="3.5"/>
    <n v="19.5"/>
    <n v="6.3984495038372886"/>
    <n v="3.1398459329998456"/>
    <n v="20.090145652128392"/>
    <n v="9.5673004781753352"/>
    <n v="1.2588553260757021"/>
    <n v="0"/>
  </r>
  <r>
    <s v="66282-85671"/>
    <x v="2"/>
    <s v="Justin"/>
    <s v="Justin Jefferson"/>
    <s v="Jefferson"/>
    <n v="13.462856837681301"/>
    <n v="7"/>
    <n v="7600"/>
    <s v="MIN@BAL"/>
    <s v="MIN"/>
    <s v="BAL"/>
    <m/>
    <m/>
    <m/>
    <x v="22"/>
    <s v="Justin Jefferson"/>
    <n v="8"/>
    <n v="3.5909090909090908"/>
    <n v="11.8"/>
    <n v="0.16666666666666666"/>
    <n v="1.8333333333333333"/>
    <n v="11"/>
    <n v="0"/>
    <n v="9.8333333333333339"/>
    <n v="6.833333333333333"/>
    <n v="90.333333333333329"/>
    <n v="13.2"/>
    <n v="52.5"/>
    <n v="2.1999999999999997"/>
    <n v="0"/>
    <n v="0"/>
    <n v="0"/>
    <n v="0"/>
    <n v="25.759493140243904"/>
    <n v="38.040506859756093"/>
    <n v="1"/>
    <n v="0.16666666666666666"/>
    <n v="0"/>
    <n v="12.499198583829914"/>
    <n v="0"/>
    <n v="9.8333333333333339"/>
    <n v="38.833333333333329"/>
    <n v="6.5227901084737798"/>
    <n v="6.833333333333333"/>
    <n v="4.5327863465665246"/>
    <n v="14.814621858415737"/>
    <n v="67.151515689372843"/>
    <n v="0"/>
    <n v="33.833333333333336"/>
    <n v="0"/>
    <n v="0"/>
    <n v="0"/>
    <n v="10.131818235603951"/>
    <n v="1.3331339783689411"/>
    <n v="1.2938596491228072"/>
  </r>
  <r>
    <s v="66282-63336"/>
    <x v="1"/>
    <s v="Joe"/>
    <s v="Joe Burrow"/>
    <s v="Burrow"/>
    <n v="20.737499237060501"/>
    <n v="8"/>
    <n v="7600"/>
    <s v="CLE@CIN"/>
    <s v="CIN"/>
    <s v="CLE"/>
    <m/>
    <m/>
    <m/>
    <x v="23"/>
    <s v="Joe Burrow"/>
    <n v="6.4117647058823533"/>
    <n v="3.140625"/>
    <n v="10.686274509803921"/>
    <n v="30.285714285714285"/>
    <n v="279.42857142857144"/>
    <n v="9.1999999999999993"/>
    <n v="2.4285714285714284"/>
    <n v="0"/>
    <n v="0"/>
    <n v="0"/>
    <n v="0"/>
    <n v="0"/>
    <n v="0"/>
    <n v="2.5714285714285716"/>
    <n v="8.1"/>
    <n v="2.4"/>
    <n v="0"/>
    <n v="35.249369534050182"/>
    <n v="23.950630465949821"/>
    <n v="1"/>
    <n v="30.285714285714285"/>
    <n v="35.249369534050182"/>
    <n v="8.3784734892143291"/>
    <n v="295.33590815255872"/>
    <n v="0"/>
    <n v="32.859523809523814"/>
    <n v="0"/>
    <n v="0"/>
    <n v="0"/>
    <n v="0"/>
    <n v="0"/>
    <n v="2.5714285714285716"/>
    <n v="33.523809523809533"/>
    <n v="1.8371222232404689"/>
    <n v="1.8226432562700348"/>
    <n v="3.3484184311330538"/>
    <n v="12.148278169215654"/>
    <n v="1.598457653844165"/>
    <n v="0"/>
  </r>
  <r>
    <s v="66282-130288"/>
    <x v="0"/>
    <s v="James"/>
    <s v="James Robinson"/>
    <s v="Robinson"/>
    <n v="14.357142857142801"/>
    <n v="7"/>
    <n v="7500"/>
    <s v="BUF@JAC"/>
    <s v="JAC"/>
    <s v="BUF"/>
    <s v="Q"/>
    <s v="Heel"/>
    <m/>
    <x v="24"/>
    <s v="James Robinson"/>
    <n v="5.34"/>
    <n v="3.393939393939394"/>
    <n v="9.3684210526315788"/>
    <n v="0"/>
    <n v="0"/>
    <n v="0"/>
    <n v="0"/>
    <n v="3.6666666666666665"/>
    <n v="2.8333333333333335"/>
    <n v="19.333333333333332"/>
    <n v="6.8"/>
    <n v="21.5"/>
    <n v="1.1333333333333333"/>
    <n v="14"/>
    <n v="50.714285714285715"/>
    <n v="5.5"/>
    <n v="0.83333333333333337"/>
    <n v="44.656477842721628"/>
    <n v="14.343522157278372"/>
    <n v="1"/>
    <n v="0"/>
    <n v="0"/>
    <n v="0"/>
    <n v="0"/>
    <n v="3.6666666666666665"/>
    <n v="34.133333333333333"/>
    <n v="4.7970825807611126"/>
    <n v="2.8333333333333335"/>
    <n v="3.7068365396790419"/>
    <n v="6.0591254755718671"/>
    <n v="22.460187711349949"/>
    <n v="14"/>
    <n v="20.466666666666665"/>
    <n v="9.8115298144249454"/>
    <n v="4.5137876108843313"/>
    <n v="44.287161720173565"/>
    <n v="8.0914016098190178"/>
    <n v="1.078853547975869"/>
    <n v="0.48888888888888887"/>
  </r>
  <r>
    <s v="66282-86631"/>
    <x v="2"/>
    <s v="CeeDee"/>
    <s v="CeeDee Lamb"/>
    <s v="Lamb"/>
    <n v="15.171428135463101"/>
    <n v="7"/>
    <n v="7500"/>
    <s v="DEN@DAL"/>
    <s v="DAL"/>
    <s v="DEN"/>
    <s v="Q"/>
    <s v="Ankle"/>
    <m/>
    <x v="25"/>
    <s v="CeeDee Lamb"/>
    <n v="4.6380952380952385"/>
    <n v="3.6326530612244898"/>
    <n v="8.8545454545454554"/>
    <n v="0"/>
    <n v="0"/>
    <n v="0"/>
    <n v="0"/>
    <n v="8.1666666666666661"/>
    <n v="5.5"/>
    <n v="82.833333333333329"/>
    <n v="15.1"/>
    <n v="41.5"/>
    <n v="2.5166666666666666"/>
    <n v="0.66666666666666663"/>
    <n v="0"/>
    <n v="4.5"/>
    <n v="0"/>
    <n v="40.215481891649205"/>
    <n v="26.284518108350792"/>
    <n v="1"/>
    <n v="0"/>
    <n v="0"/>
    <n v="0"/>
    <n v="0"/>
    <n v="8.1666666666666661"/>
    <n v="28.733333333333334"/>
    <n v="11.43015436595598"/>
    <n v="5.5"/>
    <n v="7.697859062786681"/>
    <n v="12.716800294185903"/>
    <n v="97.892136394247288"/>
    <n v="0.66666666666666663"/>
    <n v="32"/>
    <n v="0.54759412725730816"/>
    <n v="3.9528540921847841"/>
    <n v="2.164559686785406"/>
    <n v="12.755669608103268"/>
    <n v="1.7007559477471024"/>
    <n v="1.0888888888888888"/>
  </r>
  <r>
    <s v="66282-45859"/>
    <x v="1"/>
    <s v="Derek"/>
    <s v="Derek Carr"/>
    <s v="Carr"/>
    <n v="19.5228576660156"/>
    <n v="7"/>
    <n v="7500"/>
    <s v="LV@NYG"/>
    <s v="LV"/>
    <s v="NYG"/>
    <m/>
    <m/>
    <m/>
    <x v="26"/>
    <s v="Derek Carr"/>
    <n v="6.7966101694915251"/>
    <n v="4.5857142857142854"/>
    <n v="9.0112359550561791"/>
    <n v="38"/>
    <n v="324.14285714285717"/>
    <n v="8.5"/>
    <n v="1.7142857142857142"/>
    <n v="0"/>
    <n v="0"/>
    <n v="0"/>
    <n v="0"/>
    <n v="0"/>
    <n v="0"/>
    <n v="2.8571428571428572"/>
    <n v="7.375"/>
    <n v="1.5"/>
    <n v="0"/>
    <e v="#N/A"/>
    <e v="#N/A"/>
    <n v="1"/>
    <n v="38"/>
    <e v="#N/A"/>
    <n v="8.2056083152897266"/>
    <e v="#N/A"/>
    <n v="0"/>
    <n v="39.700000000000003"/>
    <e v="#N/A"/>
    <n v="0"/>
    <n v="0"/>
    <n v="0"/>
    <n v="0"/>
    <n v="2.8571428571428572"/>
    <n v="38.571428571428569"/>
    <n v="0"/>
    <n v="1.6633077050822489"/>
    <n v="0"/>
    <e v="#N/A"/>
    <e v="#N/A"/>
    <n v="0"/>
  </r>
  <r>
    <s v="66282-64401"/>
    <x v="0"/>
    <s v="Saquon"/>
    <s v="Saquon Barkley"/>
    <s v="Barkley"/>
    <n v="11.5"/>
    <n v="5"/>
    <n v="7500"/>
    <s v="LV@NYG"/>
    <s v="NYG"/>
    <s v="LV"/>
    <s v="O"/>
    <s v="Ankle"/>
    <m/>
    <x v="27"/>
    <s v="Saquon Barkley"/>
    <n v="5.9327731092436977"/>
    <n v="4.8133333333333335"/>
    <n v="9.0512820512820511"/>
    <n v="0"/>
    <n v="0"/>
    <n v="0"/>
    <n v="0"/>
    <n v="0"/>
    <n v="2.8"/>
    <n v="26"/>
    <n v="9.3000000000000007"/>
    <n v="19.5"/>
    <n v="1.86"/>
    <n v="10.8"/>
    <n v="21.5"/>
    <n v="3.6"/>
    <n v="0.4"/>
    <n v="35.232477994905381"/>
    <n v="23.167522005094618"/>
    <n v="0"/>
    <n v="0"/>
    <n v="0"/>
    <n v="0"/>
    <n v="0"/>
    <n v="0"/>
    <n v="28.607142857142854"/>
    <n v="0"/>
    <n v="0"/>
    <n v="0"/>
    <n v="8.0062229365020858"/>
    <n v="0"/>
    <n v="0"/>
    <n v="8.5333333333333314"/>
    <n v="0"/>
    <n v="4.1900845565037699"/>
    <n v="0"/>
    <n v="0"/>
    <n v="0"/>
    <n v="0"/>
  </r>
  <r>
    <s v="66282-52442"/>
    <x v="0"/>
    <s v="Joe"/>
    <s v="Joe Mixon"/>
    <s v="Mixon"/>
    <n v="15.3125"/>
    <n v="8"/>
    <n v="7400"/>
    <s v="CLE@CIN"/>
    <s v="CIN"/>
    <s v="CLE"/>
    <m/>
    <m/>
    <m/>
    <x v="28"/>
    <s v="Joe Mixon"/>
    <n v="6.4117647058823533"/>
    <n v="3.140625"/>
    <n v="10.686274509803921"/>
    <n v="0"/>
    <n v="0"/>
    <n v="0"/>
    <n v="0"/>
    <n v="2.2857142857142856"/>
    <n v="1.8571428571428572"/>
    <n v="12.857142857142858"/>
    <n v="6.9"/>
    <n v="15.5"/>
    <n v="0.98571428571428577"/>
    <n v="17.571428571428573"/>
    <n v="99.166666666666657"/>
    <n v="4.4000000000000004"/>
    <n v="0.5714285714285714"/>
    <n v="35.249369534050182"/>
    <n v="23.950630465949821"/>
    <n v="1"/>
    <n v="0"/>
    <n v="0"/>
    <n v="0"/>
    <n v="0"/>
    <n v="2.2857142857142856"/>
    <n v="32.859523809523814"/>
    <n v="2.4519523768341545"/>
    <n v="1.8571428571428572"/>
    <n v="1.9922113061777507"/>
    <n v="7.0131002823061594"/>
    <n v="13.971577673768707"/>
    <n v="17.571428571428573"/>
    <n v="33.523809523809533"/>
    <n v="12.553668525476537"/>
    <n v="3.341512636495064"/>
    <n v="41.948242012250205"/>
    <n v="6.5205533971733196"/>
    <n v="0.88115586448288097"/>
    <n v="0.30888030888030887"/>
  </r>
  <r>
    <s v="66282-22038"/>
    <x v="1"/>
    <s v="Kirk"/>
    <s v="Kirk Cousins"/>
    <s v="Cousins"/>
    <n v="19.9457135881696"/>
    <n v="7"/>
    <n v="7400"/>
    <s v="MIN@BAL"/>
    <s v="MIN"/>
    <s v="BAL"/>
    <m/>
    <m/>
    <m/>
    <x v="29"/>
    <s v="Kirk Cousins"/>
    <n v="8"/>
    <n v="3.5909090909090908"/>
    <n v="11.8"/>
    <n v="39.833333333333336"/>
    <n v="294.83333333333331"/>
    <n v="7.4"/>
    <n v="2.1666666666666665"/>
    <n v="0"/>
    <n v="0"/>
    <n v="0"/>
    <n v="0"/>
    <n v="0"/>
    <n v="0"/>
    <n v="1.3333333333333333"/>
    <n v="0"/>
    <n v="7.1"/>
    <n v="0"/>
    <n v="25.759493140243904"/>
    <n v="38.040506859756093"/>
    <n v="1"/>
    <n v="39.833333333333336"/>
    <n v="25.759493140243904"/>
    <n v="8.4085517745764875"/>
    <n v="216.60003175658875"/>
    <n v="0"/>
    <n v="38.833333333333329"/>
    <n v="0"/>
    <n v="0"/>
    <n v="0"/>
    <n v="0"/>
    <n v="0"/>
    <n v="1.3333333333333333"/>
    <n v="33.833333333333336"/>
    <n v="1.4991332752613236"/>
    <n v="6.1650571532752139"/>
    <n v="9.2422423223627224"/>
    <n v="9.5882255024998209"/>
    <n v="1.2957061489864623"/>
    <n v="0"/>
  </r>
  <r>
    <s v="66282-39716"/>
    <x v="2"/>
    <s v="Adam"/>
    <s v="Adam Thielen"/>
    <s v="Thielen"/>
    <n v="14.971429007393899"/>
    <n v="7"/>
    <n v="7400"/>
    <s v="MIN@BAL"/>
    <s v="MIN"/>
    <s v="BAL"/>
    <m/>
    <m/>
    <m/>
    <x v="30"/>
    <s v="Adam Thielen"/>
    <n v="8"/>
    <n v="3.5909090909090908"/>
    <n v="11.8"/>
    <n v="0"/>
    <n v="0"/>
    <n v="0"/>
    <n v="0"/>
    <n v="8.3333333333333339"/>
    <n v="6.166666666666667"/>
    <n v="65.5"/>
    <n v="10.6"/>
    <n v="37.5"/>
    <n v="1.7666666666666666"/>
    <n v="0.16666666666666666"/>
    <n v="0"/>
    <n v="2"/>
    <n v="0"/>
    <n v="25.759493140243904"/>
    <n v="38.040506859756093"/>
    <n v="1"/>
    <n v="0"/>
    <n v="0"/>
    <n v="0"/>
    <n v="0"/>
    <n v="8.3333333333333339"/>
    <n v="38.833333333333329"/>
    <n v="5.5277882275201522"/>
    <n v="6.166666666666667"/>
    <n v="4.0905632883649128"/>
    <n v="11.896590280242942"/>
    <n v="48.663755457080626"/>
    <n v="0.16666666666666666"/>
    <n v="33.833333333333336"/>
    <n v="0.18739165940766545"/>
    <n v="1.7366358178240042"/>
    <n v="0.32543106768882835"/>
    <n v="7.9822519858102794"/>
    <n v="1.0786827007851729"/>
    <n v="1.1261261261261262"/>
  </r>
  <r>
    <s v="66282-63519"/>
    <x v="1"/>
    <s v="Daniel"/>
    <s v="Daniel Jones"/>
    <s v="Jones"/>
    <n v="17.645000457763601"/>
    <n v="8"/>
    <n v="7300"/>
    <s v="LV@NYG"/>
    <s v="NYG"/>
    <s v="LV"/>
    <m/>
    <m/>
    <m/>
    <x v="31"/>
    <s v="Daniel Jones"/>
    <n v="5.9327731092436977"/>
    <n v="4.8133333333333335"/>
    <n v="9.0512820512820511"/>
    <n v="34.428571428571431"/>
    <n v="246.71428571428572"/>
    <n v="7.2"/>
    <n v="0.7142857142857143"/>
    <n v="0.14285714285714285"/>
    <n v="0.14285714285714285"/>
    <n v="2.2857142857142856"/>
    <n v="16"/>
    <n v="0"/>
    <n v="2.2857142857142856"/>
    <n v="5.8571428571428568"/>
    <n v="28.607142857142858"/>
    <n v="5.6"/>
    <n v="0.2857142857142857"/>
    <n v="35.232477994905381"/>
    <n v="23.167522005094618"/>
    <n v="1"/>
    <n v="34.428571428571431"/>
    <n v="35.232477994905381"/>
    <n v="6.0672198473380652"/>
    <n v="213.76318976159158"/>
    <n v="0.14285714285714285"/>
    <n v="28.607142857142854"/>
    <n v="0.17594246189715546"/>
    <n v="0.14285714285714285"/>
    <n v="0.17594246189715546"/>
    <n v="13.774146987530466"/>
    <n v="2.4234573315193977"/>
    <n v="5.8571428571428568"/>
    <n v="8.5333333333333314"/>
    <n v="15.901814769121867"/>
    <n v="6.5179093101169734"/>
    <n v="103.646586531415"/>
    <n v="19.228960548185675"/>
    <n v="2.6341041846829691"/>
    <n v="1.9569471624266144E-2"/>
  </r>
  <r>
    <s v="66282-90572"/>
    <x v="1"/>
    <s v="Tua"/>
    <s v="Tua Tagovailoa"/>
    <s v="Tagovailoa"/>
    <n v="16.9600006103515"/>
    <n v="5"/>
    <n v="7300"/>
    <s v="HOU@MIA"/>
    <s v="MIA"/>
    <s v="HOU"/>
    <s v="Q"/>
    <s v="Finger"/>
    <m/>
    <x v="32"/>
    <s v="Tua Tagovailoa"/>
    <n v="7.6226415094339623"/>
    <n v="4.2048192771084336"/>
    <n v="11.542857142857143"/>
    <n v="29.5"/>
    <n v="208.75"/>
    <n v="7.1"/>
    <n v="1.75"/>
    <n v="0"/>
    <n v="0"/>
    <n v="0"/>
    <n v="0"/>
    <n v="0"/>
    <n v="0"/>
    <n v="2.75"/>
    <n v="5.95"/>
    <n v="4.7"/>
    <n v="0.25"/>
    <n v="40.244550246190627"/>
    <n v="21.855449753809374"/>
    <n v="1"/>
    <n v="29.5"/>
    <n v="40.244550246190627"/>
    <n v="7.6871143262988264"/>
    <n v="309.36445875294493"/>
    <n v="0"/>
    <n v="27.457142857142856"/>
    <n v="0"/>
    <n v="0"/>
    <n v="0"/>
    <n v="0"/>
    <n v="0"/>
    <n v="2.75"/>
    <n v="17.464285714285712"/>
    <n v="3.4414511882276524"/>
    <n v="4.7788075418245928"/>
    <n v="16.446032893123512"/>
    <n v="14.019181639430149"/>
    <n v="1.9204358410178288"/>
    <n v="0"/>
  </r>
  <r>
    <s v="66282-39829"/>
    <x v="2"/>
    <s v="Mike"/>
    <s v="Mike Williams"/>
    <s v="Williams"/>
    <n v="15.3142852783203"/>
    <n v="7"/>
    <n v="7300"/>
    <s v="LAC@PHI"/>
    <s v="LAC"/>
    <s v="PHI"/>
    <m/>
    <m/>
    <m/>
    <x v="33"/>
    <s v="Mike Williams"/>
    <n v="5.9890109890109891"/>
    <n v="3.8190476190476192"/>
    <n v="8.515625"/>
    <n v="0"/>
    <n v="0"/>
    <n v="0"/>
    <n v="0"/>
    <n v="9.3333333333333339"/>
    <n v="5.5"/>
    <n v="83"/>
    <n v="15.1"/>
    <n v="42"/>
    <n v="2.5166666666666666"/>
    <n v="0"/>
    <n v="0"/>
    <n v="0"/>
    <n v="0"/>
    <n v="30.851495621477966"/>
    <n v="35.648504378522034"/>
    <n v="1"/>
    <n v="0"/>
    <n v="0"/>
    <n v="0"/>
    <n v="0"/>
    <n v="9.3333333333333339"/>
    <n v="35.500000000000007"/>
    <n v="8.1111913371021878"/>
    <n v="5.5"/>
    <n v="4.7798091807923608"/>
    <n v="12.230046484157548"/>
    <n v="58.45728846649358"/>
    <n v="0"/>
    <n v="19.5"/>
    <n v="0"/>
    <n v="0"/>
    <n v="0"/>
    <n v="8.595728846649358"/>
    <n v="1.1774971022807339"/>
    <n v="1.2785388127853883"/>
  </r>
  <r>
    <s v="66282-72731"/>
    <x v="0"/>
    <s v="Josh"/>
    <s v="Josh Jacobs"/>
    <s v="Jacobs"/>
    <n v="13.6800003051757"/>
    <n v="5"/>
    <n v="7200"/>
    <s v="LV@NYG"/>
    <s v="LV"/>
    <s v="NYG"/>
    <m/>
    <m/>
    <m/>
    <x v="34"/>
    <s v="Josh Jacobs"/>
    <n v="6.7966101694915251"/>
    <n v="4.5857142857142854"/>
    <n v="9.0112359550561791"/>
    <n v="0"/>
    <n v="0"/>
    <n v="0"/>
    <n v="0"/>
    <n v="3.2"/>
    <n v="2.8"/>
    <n v="22"/>
    <n v="7.9"/>
    <n v="17.5"/>
    <n v="1.58"/>
    <n v="12"/>
    <n v="52.5"/>
    <n v="3.4"/>
    <n v="1"/>
    <e v="#N/A"/>
    <e v="#N/A"/>
    <n v="1"/>
    <n v="0"/>
    <n v="0"/>
    <n v="0"/>
    <n v="0"/>
    <n v="3.2"/>
    <n v="39.700000000000003"/>
    <e v="#N/A"/>
    <n v="2.8"/>
    <n v="0"/>
    <n v="6.7708950943363186"/>
    <n v="0"/>
    <n v="12"/>
    <n v="38.571428571428569"/>
    <n v="0"/>
    <n v="3.7701641315197643"/>
    <n v="0"/>
    <n v="1.4"/>
    <n v="0.19444444444444442"/>
    <n v="0.44444444444444448"/>
  </r>
  <r>
    <s v="66282-149696"/>
    <x v="1"/>
    <s v="Trey"/>
    <s v="Trey Lance"/>
    <s v="Lance"/>
    <n v="11.6149997711181"/>
    <n v="4"/>
    <n v="7200"/>
    <s v="ARI@SF"/>
    <s v="SF"/>
    <s v="ARI"/>
    <m/>
    <m/>
    <m/>
    <x v="35"/>
    <s v="Trey Lance"/>
    <n v="5.9411764705882355"/>
    <n v="5.4102564102564106"/>
    <n v="9.1818181818181817"/>
    <n v="12"/>
    <n v="88.5"/>
    <n v="7.4"/>
    <n v="0.75"/>
    <n v="0"/>
    <n v="0"/>
    <n v="0"/>
    <n v="0"/>
    <n v="0"/>
    <n v="0"/>
    <n v="6.75"/>
    <n v="0"/>
    <n v="4.9000000000000004"/>
    <n v="0.25"/>
    <n v="33.198546563443358"/>
    <n v="30.201453436556637"/>
    <n v="1"/>
    <n v="12"/>
    <n v="33.198546563443358"/>
    <n v="6.2445862443545979"/>
    <n v="207.31118720264399"/>
    <n v="0"/>
    <n v="34.266666666666673"/>
    <n v="0"/>
    <n v="0"/>
    <n v="0"/>
    <n v="0"/>
    <n v="0"/>
    <n v="6.75"/>
    <n v="23.6"/>
    <n v="8.6381275718964954"/>
    <n v="6.4104464435347674"/>
    <n v="55.374254172063502"/>
    <n v="13.82987290531211"/>
    <n v="1.9208156812933486"/>
    <n v="0"/>
  </r>
  <r>
    <s v="66282-16606"/>
    <x v="2"/>
    <s v="DeAndre"/>
    <s v="DeAndre Hopkins"/>
    <s v="Hopkins"/>
    <n v="13.512499809265099"/>
    <n v="8"/>
    <n v="7200"/>
    <s v="ARI@SF"/>
    <s v="ARI"/>
    <s v="SF"/>
    <s v="Q"/>
    <s v="Hamstring"/>
    <m/>
    <x v="36"/>
    <s v="DeAndre Hopkins"/>
    <n v="6.5263157894736841"/>
    <n v="4.7051282051282053"/>
    <n v="10.191780821917808"/>
    <n v="0"/>
    <n v="0"/>
    <n v="0"/>
    <n v="0"/>
    <n v="6.125"/>
    <n v="4.375"/>
    <n v="60.75"/>
    <n v="13.9"/>
    <n v="49"/>
    <n v="1.7375"/>
    <n v="0"/>
    <n v="0"/>
    <n v="0"/>
    <n v="0"/>
    <e v="#N/A"/>
    <e v="#N/A"/>
    <n v="1"/>
    <n v="0"/>
    <n v="0"/>
    <n v="0"/>
    <n v="0"/>
    <n v="6.125"/>
    <n v="26.625"/>
    <e v="#N/A"/>
    <n v="4.375"/>
    <n v="0"/>
    <n v="13.474091983011464"/>
    <n v="0"/>
    <n v="0"/>
    <n v="32.208333333333329"/>
    <n v="0"/>
    <n v="0"/>
    <n v="0"/>
    <n v="2.1875"/>
    <n v="0.30381944444444442"/>
    <n v="0.85069444444444442"/>
  </r>
  <r>
    <s v="66282-54604"/>
    <x v="1"/>
    <s v="Jimmy"/>
    <s v="Jimmy Garoppolo"/>
    <s v="Garoppolo"/>
    <n v="15.686667124430301"/>
    <n v="6"/>
    <n v="7200"/>
    <s v="ARI@SF"/>
    <s v="SF"/>
    <s v="ARI"/>
    <m/>
    <m/>
    <m/>
    <x v="37"/>
    <s v="Jimmy Garoppolo"/>
    <n v="5.9411764705882355"/>
    <n v="5.4102564102564106"/>
    <n v="9.1818181818181817"/>
    <n v="29"/>
    <n v="221.2"/>
    <n v="7.6"/>
    <n v="1.2"/>
    <n v="0"/>
    <n v="0"/>
    <n v="0"/>
    <n v="0"/>
    <n v="0"/>
    <n v="0"/>
    <n v="3.4"/>
    <n v="3.0833333333333335"/>
    <n v="1.5"/>
    <n v="0.2"/>
    <n v="33.198546563443358"/>
    <n v="30.201453436556637"/>
    <n v="1"/>
    <n v="29"/>
    <n v="33.198546563443358"/>
    <n v="6.4133588455533701"/>
    <n v="212.91419226217491"/>
    <n v="0"/>
    <n v="34.266666666666673"/>
    <n v="0"/>
    <n v="0"/>
    <n v="0"/>
    <n v="0"/>
    <n v="0"/>
    <n v="3.4"/>
    <n v="23.6"/>
    <n v="4.3510568510293455"/>
    <n v="1.9623815643473776"/>
    <n v="8.5384337498873411"/>
    <n v="9.3704110654757304"/>
    <n v="1.3014459813160737"/>
    <n v="0"/>
  </r>
  <r>
    <s v="66282-52436"/>
    <x v="3"/>
    <s v="Mark"/>
    <s v="Mark Andrews"/>
    <s v="Andrews"/>
    <n v="13.157142639160099"/>
    <n v="7"/>
    <n v="7100"/>
    <s v="MIN@BAL"/>
    <s v="BAL"/>
    <s v="MIN"/>
    <m/>
    <m/>
    <m/>
    <x v="38"/>
    <s v="Mark Andrews"/>
    <n v="9.1684210526315795"/>
    <n v="4.7733333333333334"/>
    <n v="12.097222222222221"/>
    <n v="0"/>
    <n v="0"/>
    <n v="0"/>
    <n v="0"/>
    <n v="7.2857142857142856"/>
    <n v="5.2857142857142856"/>
    <n v="73.714285714285708"/>
    <n v="13.9"/>
    <n v="24.5"/>
    <n v="1.9857142857142858"/>
    <n v="0"/>
    <n v="0"/>
    <n v="0"/>
    <n v="0"/>
    <e v="#N/A"/>
    <e v="#N/A"/>
    <n v="1"/>
    <n v="0"/>
    <n v="0"/>
    <n v="0"/>
    <n v="0"/>
    <n v="7.2857142857142856"/>
    <n v="39.43333333333333"/>
    <e v="#N/A"/>
    <n v="5.2857142857142856"/>
    <n v="0"/>
    <n v="15.993189787855023"/>
    <n v="0"/>
    <n v="0"/>
    <n v="28.528571428571428"/>
    <n v="0"/>
    <n v="0"/>
    <n v="0"/>
    <n v="2.6428571428571428"/>
    <n v="0.37223340040241448"/>
    <n v="1.0261569416498995"/>
  </r>
  <r>
    <s v="66282-92413"/>
    <x v="0"/>
    <s v="Eli"/>
    <s v="Eli Mitchell"/>
    <s v="Mitchell"/>
    <n v="13.260000610351501"/>
    <n v="5"/>
    <n v="7100"/>
    <s v="ARI@SF"/>
    <s v="SF"/>
    <s v="ARI"/>
    <s v="Q"/>
    <s v="Ribs"/>
    <m/>
    <x v="39"/>
    <s v="Eli Mitchell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33259"/>
    <x v="1"/>
    <s v="Teddy"/>
    <s v="Teddy Bridgewater"/>
    <s v="Bridgewater"/>
    <n v="16.069999694824201"/>
    <n v="8"/>
    <n v="7100"/>
    <s v="DEN@DAL"/>
    <s v="DEN"/>
    <s v="DAL"/>
    <m/>
    <m/>
    <m/>
    <x v="40"/>
    <s v="Teddy Bridgewater"/>
    <n v="7.6538461538461542"/>
    <n v="4.6888888888888891"/>
    <n v="11.306818181818182"/>
    <n v="33"/>
    <n v="243"/>
    <n v="7.4"/>
    <n v="1.7142857142857142"/>
    <n v="0"/>
    <n v="0"/>
    <n v="0"/>
    <n v="0"/>
    <n v="0"/>
    <n v="0"/>
    <n v="2.4285714285714284"/>
    <n v="18.8"/>
    <n v="4.0999999999999996"/>
    <n v="0"/>
    <n v="29.854056299344741"/>
    <n v="32.74594370065526"/>
    <n v="1"/>
    <n v="33"/>
    <n v="29.854056299344741"/>
    <n v="8.0447202074073125"/>
    <n v="240.16752998441422"/>
    <n v="0"/>
    <n v="31.547619047619044"/>
    <n v="0"/>
    <n v="0"/>
    <n v="0"/>
    <n v="0"/>
    <n v="0"/>
    <n v="2.4285714285714284"/>
    <n v="12.714285714285715"/>
    <n v="6.2548431787768468"/>
    <n v="4.6486638835428984"/>
    <n v="29.076663582404585"/>
    <n v="12.514367557617026"/>
    <n v="1.7625869799460601"/>
    <n v="0"/>
  </r>
  <r>
    <s v="66282-63043"/>
    <x v="2"/>
    <s v="DJ"/>
    <s v="DJ Moore"/>
    <s v="Moore"/>
    <n v="13.449999809265099"/>
    <n v="8"/>
    <n v="7100"/>
    <s v="NE@CAR"/>
    <s v="CAR"/>
    <s v="NE"/>
    <m/>
    <m/>
    <m/>
    <x v="41"/>
    <s v="D.J. Moore"/>
    <n v="5.9135802469135799"/>
    <n v="4"/>
    <n v="9.9791666666666661"/>
    <n v="0"/>
    <n v="0"/>
    <n v="0"/>
    <n v="0"/>
    <n v="10.428571428571429"/>
    <n v="6.5714285714285712"/>
    <n v="83.714285714285708"/>
    <n v="12.7"/>
    <n v="50.5"/>
    <n v="1.8142857142857143"/>
    <n v="0.7142857142857143"/>
    <n v="7.7333333333333334"/>
    <n v="4.2"/>
    <n v="0"/>
    <n v="42.879374651732974"/>
    <n v="18.220625348267024"/>
    <n v="1"/>
    <n v="0"/>
    <n v="0"/>
    <n v="0"/>
    <n v="0"/>
    <n v="10.428571428571429"/>
    <n v="45.690476190476197"/>
    <n v="9.7869547146738096"/>
    <n v="6.5714285714285712"/>
    <n v="6.1671221489725374"/>
    <n v="12.054040023018912"/>
    <n v="74.338737210561362"/>
    <n v="0.7142857142857143"/>
    <n v="38.333333333333336"/>
    <n v="0.33951475804224268"/>
    <n v="4.0624088497958981"/>
    <n v="1.3792477577071198"/>
    <n v="10.857512782541132"/>
    <n v="1.5292271524705821"/>
    <n v="1.4688128772635816"/>
  </r>
  <r>
    <s v="66282-30733"/>
    <x v="0"/>
    <s v="Cordarrelle"/>
    <s v="Cordarrelle Patterson"/>
    <s v="Patterson"/>
    <n v="16.8714283534458"/>
    <n v="7"/>
    <n v="7000"/>
    <s v="ATL@NO"/>
    <s v="ATL"/>
    <s v="NO"/>
    <m/>
    <m/>
    <m/>
    <x v="42"/>
    <s v="Cordarrelle Patterson"/>
    <n v="5.895161290322581"/>
    <n v="2.7846153846153845"/>
    <n v="9.6184210526315788"/>
    <n v="0.16666666666666666"/>
    <n v="0"/>
    <n v="0"/>
    <n v="0"/>
    <n v="6"/>
    <n v="4.5"/>
    <n v="49.333333333333336"/>
    <n v="11"/>
    <n v="18.5"/>
    <n v="1.8333333333333333"/>
    <n v="9.1666666666666661"/>
    <n v="34.25"/>
    <n v="4.2"/>
    <n v="0.33333333333333331"/>
    <n v="37.013107313686163"/>
    <n v="26.586892686313835"/>
    <n v="1"/>
    <n v="0.16666666666666666"/>
    <n v="0"/>
    <n v="0"/>
    <n v="0"/>
    <n v="6"/>
    <n v="33.666666666666664"/>
    <n v="6.5963953628351586"/>
    <n v="4.5"/>
    <n v="4.9472965221263685"/>
    <n v="10.063084093909739"/>
    <n v="49.785060939664831"/>
    <n v="9.1666666666666661"/>
    <n v="25.833333333333332"/>
    <n v="9.4340586951436194"/>
    <n v="2.8280615454348368"/>
    <n v="26.680098613110825"/>
    <n v="9.8965159552775646"/>
    <n v="1.4137879936110807"/>
    <n v="0.8571428571428571"/>
  </r>
  <r>
    <s v="66282-64555"/>
    <x v="2"/>
    <s v="Calvin"/>
    <s v="Calvin Ridley"/>
    <s v="Ridley"/>
    <n v="11.1199996948242"/>
    <n v="5"/>
    <n v="7000"/>
    <s v="ATL@NO"/>
    <s v="ATL"/>
    <s v="NO"/>
    <s v="IR"/>
    <s v="Personal"/>
    <m/>
    <x v="43"/>
    <s v="Calvin Ridley"/>
    <n v="5.895161290322581"/>
    <n v="2.7846153846153845"/>
    <n v="9.6184210526315788"/>
    <n v="0"/>
    <n v="0"/>
    <n v="0"/>
    <n v="0"/>
    <n v="0"/>
    <n v="6.2"/>
    <n v="56.2"/>
    <n v="9.1"/>
    <n v="39.5"/>
    <n v="1.8199999999999998"/>
    <n v="0"/>
    <n v="0"/>
    <n v="0"/>
    <n v="0"/>
    <n v="37.013107313686163"/>
    <n v="26.586892686313835"/>
    <n v="0"/>
    <n v="0"/>
    <n v="0"/>
    <n v="0"/>
    <n v="0"/>
    <n v="0"/>
    <n v="33.666666666666664"/>
    <n v="0"/>
    <n v="0"/>
    <n v="0"/>
    <n v="8.324915023143511"/>
    <n v="0"/>
    <n v="0"/>
    <n v="25.833333333333332"/>
    <n v="0"/>
    <n v="0"/>
    <n v="0"/>
    <n v="0"/>
    <n v="0"/>
    <n v="0"/>
  </r>
  <r>
    <s v="66282-63589"/>
    <x v="1"/>
    <s v="Sam"/>
    <s v="Sam Darnold"/>
    <s v="Darnold"/>
    <n v="17.270000457763601"/>
    <n v="8"/>
    <n v="7000"/>
    <s v="NE@CAR"/>
    <s v="CAR"/>
    <s v="NE"/>
    <s v="Q"/>
    <s v="Shoulder"/>
    <m/>
    <x v="44"/>
    <s v="Sam Darnold"/>
    <n v="5.9135802469135799"/>
    <n v="4"/>
    <n v="9.9791666666666661"/>
    <n v="35.571428571428569"/>
    <n v="240.71428571428572"/>
    <n v="6.8"/>
    <n v="1"/>
    <n v="0"/>
    <n v="0"/>
    <n v="0"/>
    <n v="0"/>
    <n v="0"/>
    <n v="0"/>
    <n v="3.7142857142857144"/>
    <n v="8.5416666666666661"/>
    <n v="4.2"/>
    <n v="0.7142857142857143"/>
    <n v="42.879374651732974"/>
    <n v="18.220625348267024"/>
    <n v="1"/>
    <n v="35.571428571428569"/>
    <n v="42.879374651732974"/>
    <n v="5.7116147064044318"/>
    <n v="244.91046686226346"/>
    <n v="0"/>
    <n v="45.690476190476197"/>
    <n v="0"/>
    <n v="0"/>
    <n v="0"/>
    <n v="0"/>
    <n v="0"/>
    <n v="3.7142857142857144"/>
    <n v="38.333333333333336"/>
    <n v="1.765476741819662"/>
    <n v="4.0624088497958981"/>
    <n v="7.172088340077023"/>
    <n v="10.513627508498242"/>
    <n v="1.5019467869283203"/>
    <n v="0"/>
  </r>
  <r>
    <s v="66282-24849"/>
    <x v="1"/>
    <s v="Jameis"/>
    <s v="Jameis Winston"/>
    <s v="Winston"/>
    <n v="17.200000217982701"/>
    <n v="7"/>
    <n v="7000"/>
    <s v="ATL@NO"/>
    <s v="NO"/>
    <s v="ATL"/>
    <s v="IR"/>
    <s v="Knee - acl + mcl"/>
    <m/>
    <x v="45"/>
    <s v="Jameis Winston"/>
    <n v="7.2264150943396226"/>
    <n v="4.4936708860759493"/>
    <n v="10.213333333333333"/>
    <n v="25.166666666666668"/>
    <n v="185.66666666666666"/>
    <n v="7.4"/>
    <n v="2.1666666666666665"/>
    <n v="0"/>
    <n v="0"/>
    <n v="0"/>
    <n v="0"/>
    <n v="0"/>
    <n v="0"/>
    <n v="4.666666666666667"/>
    <n v="17.75"/>
    <n v="4.5"/>
    <n v="0.16666666666666666"/>
    <n v="40.544120654665065"/>
    <n v="22.955879345334939"/>
    <n v="0"/>
    <n v="0"/>
    <n v="0"/>
    <n v="7.5954606831669684"/>
    <n v="0"/>
    <n v="0"/>
    <n v="24.533333333333335"/>
    <n v="0"/>
    <n v="0"/>
    <n v="0"/>
    <n v="0"/>
    <n v="0"/>
    <n v="0"/>
    <n v="23.45"/>
    <n v="0"/>
    <n v="4.8897665291960113"/>
    <n v="0"/>
    <n v="0"/>
    <n v="0"/>
    <n v="0"/>
  </r>
  <r>
    <s v="66282-45565"/>
    <x v="1"/>
    <s v="Taysom"/>
    <s v="Taysom Hill"/>
    <s v="Hill"/>
    <n v="6.07599983215332"/>
    <n v="5"/>
    <n v="7000"/>
    <s v="ATL@NO"/>
    <s v="NO"/>
    <s v="ATL"/>
    <m/>
    <m/>
    <m/>
    <x v="46"/>
    <s v="Taysom Hill"/>
    <n v="7.2264150943396226"/>
    <n v="4.4936708860759493"/>
    <n v="10.213333333333333"/>
    <n v="0.8"/>
    <n v="2.4"/>
    <n v="3"/>
    <n v="0"/>
    <n v="0.8"/>
    <n v="0.6"/>
    <n v="7.4"/>
    <n v="12.3"/>
    <n v="0"/>
    <n v="2.46"/>
    <n v="3.2"/>
    <n v="14.78125"/>
    <n v="4.8"/>
    <n v="0.6"/>
    <n v="40.544120654665065"/>
    <n v="22.955879345334939"/>
    <n v="1"/>
    <n v="0.8"/>
    <n v="40.544120654665065"/>
    <n v="3.0792408175001227"/>
    <n v="124.84511122949446"/>
    <n v="0.8"/>
    <n v="24.533333333333335"/>
    <n v="1.3220908909129911"/>
    <n v="0.6"/>
    <n v="0.99156816818474325"/>
    <n v="11.948331127000634"/>
    <n v="11.847584808464767"/>
    <n v="3.2"/>
    <n v="23.45"/>
    <n v="3.1325720215382438"/>
    <n v="5.2157509644757463"/>
    <n v="16.338715542627835"/>
    <n v="8.1124344842890395"/>
    <n v="1.1589192120412914"/>
    <n v="0.1142857142857143"/>
  </r>
  <r>
    <s v="66282-29253"/>
    <x v="2"/>
    <s v="Keenan"/>
    <s v="Keenan Allen"/>
    <s v="Allen"/>
    <n v="12.014285496303"/>
    <n v="7"/>
    <n v="7000"/>
    <s v="LAC@PHI"/>
    <s v="LAC"/>
    <s v="PHI"/>
    <m/>
    <m/>
    <m/>
    <x v="47"/>
    <s v="Keenan Allen"/>
    <n v="5.9890109890109891"/>
    <n v="3.8190476190476192"/>
    <n v="8.515625"/>
    <n v="0"/>
    <n v="0"/>
    <n v="0"/>
    <n v="0"/>
    <n v="9.6666666666666661"/>
    <n v="6.5"/>
    <n v="69.833333333333329"/>
    <n v="10.7"/>
    <n v="22.5"/>
    <n v="1.7833333333333332"/>
    <n v="0"/>
    <n v="0"/>
    <n v="0"/>
    <n v="0"/>
    <n v="30.851495621477966"/>
    <n v="35.648504378522034"/>
    <n v="1"/>
    <n v="0"/>
    <n v="0"/>
    <n v="0"/>
    <n v="0"/>
    <n v="9.6666666666666661"/>
    <n v="35.500000000000007"/>
    <n v="8.4008767419986921"/>
    <n v="6.5"/>
    <n v="5.648865395481879"/>
    <n v="8.6663243298334933"/>
    <n v="48.954899612819105"/>
    <n v="0"/>
    <n v="19.5"/>
    <n v="0"/>
    <n v="0"/>
    <n v="0"/>
    <n v="8.1454899612819105"/>
    <n v="1.163641423040273"/>
    <n v="1.3809523809523809"/>
  </r>
  <r>
    <s v="66282-28434"/>
    <x v="1"/>
    <s v="Trevor"/>
    <s v="Trevor Siemian"/>
    <s v="Siemian"/>
    <n v="10.560000419616699"/>
    <n v="1"/>
    <n v="7000"/>
    <s v="ATL@NO"/>
    <s v="NO"/>
    <s v="ATL"/>
    <m/>
    <m/>
    <m/>
    <x v="48"/>
    <s v="Trevor Siemian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40.544120654665065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14377"/>
    <x v="1"/>
    <s v="Tyrod"/>
    <s v="Tyrod Taylor"/>
    <s v="Taylor"/>
    <n v="20.069999694824201"/>
    <n v="2"/>
    <n v="6900"/>
    <s v="HOU@MIA"/>
    <s v="HOU"/>
    <s v="MIA"/>
    <m/>
    <m/>
    <m/>
    <x v="49"/>
    <s v="Tyrod Taylor"/>
    <n v="6.9217391304347826"/>
    <n v="4.2947368421052632"/>
    <n v="11.055555555555555"/>
    <n v="22"/>
    <n v="208"/>
    <n v="9.5"/>
    <n v="1.5"/>
    <n v="0"/>
    <n v="0"/>
    <n v="0"/>
    <n v="0"/>
    <n v="0"/>
    <n v="0"/>
    <n v="2.5"/>
    <n v="21.75"/>
    <n v="11"/>
    <n v="0.5"/>
    <n v="40.537201150458387"/>
    <n v="17.062798849541611"/>
    <n v="1"/>
    <n v="22"/>
    <n v="40.537201150458387"/>
    <n v="9.3398161749922739"/>
    <n v="378.61000699396664"/>
    <n v="0"/>
    <n v="28.440476190476193"/>
    <n v="0"/>
    <n v="0"/>
    <n v="0"/>
    <n v="0"/>
    <n v="0"/>
    <n v="2.5"/>
    <n v="13.404761904761903"/>
    <n v="3.1822271389020771"/>
    <n v="11.423615863335835"/>
    <n v="36.352540424699576"/>
    <n v="18.779654322228623"/>
    <n v="2.7216890322070468"/>
    <n v="0"/>
  </r>
  <r>
    <s v="66282-31001"/>
    <x v="2"/>
    <s v="Amari"/>
    <s v="Amari Cooper"/>
    <s v="Cooper"/>
    <n v="14.0714285714285"/>
    <n v="7"/>
    <n v="6900"/>
    <s v="DEN@DAL"/>
    <s v="DAL"/>
    <s v="DEN"/>
    <s v="Q"/>
    <s v="Hamstring"/>
    <m/>
    <x v="50"/>
    <s v="Amari Cooper"/>
    <n v="4.6380952380952385"/>
    <n v="3.6326530612244898"/>
    <n v="8.8545454545454554"/>
    <n v="0"/>
    <n v="0"/>
    <n v="0"/>
    <n v="0"/>
    <n v="7.166666666666667"/>
    <n v="5"/>
    <n v="62.166666666666664"/>
    <n v="12.4"/>
    <n v="48.5"/>
    <n v="2.0666666666666669"/>
    <n v="0"/>
    <n v="0"/>
    <n v="0"/>
    <n v="0"/>
    <n v="40.215481891649205"/>
    <n v="26.284518108350792"/>
    <n v="1"/>
    <n v="0"/>
    <n v="0"/>
    <n v="0"/>
    <n v="0"/>
    <n v="7.166666666666667"/>
    <n v="28.733333333333334"/>
    <n v="10.030543627267493"/>
    <n v="5"/>
    <n v="6.9980536934424373"/>
    <n v="10.442935340920876"/>
    <n v="73.080222232911893"/>
    <n v="0"/>
    <n v="32"/>
    <n v="0"/>
    <n v="0"/>
    <n v="0"/>
    <n v="9.8080222232911893"/>
    <n v="1.4214524961291577"/>
    <n v="1.038647342995169"/>
  </r>
  <r>
    <s v="66282-89628"/>
    <x v="1"/>
    <s v="Davis"/>
    <s v="Davis Mills"/>
    <s v="Mills"/>
    <n v="10.725714547293499"/>
    <n v="7"/>
    <n v="6900"/>
    <s v="HOU@MIA"/>
    <s v="HOU"/>
    <s v="MIA"/>
    <m/>
    <m/>
    <m/>
    <x v="51"/>
    <s v="Davis Mills"/>
    <n v="6.9217391304347826"/>
    <n v="4.2947368421052632"/>
    <n v="11.055555555555555"/>
    <n v="28.5"/>
    <n v="174.5"/>
    <n v="6.1"/>
    <n v="0.83333333333333337"/>
    <n v="0"/>
    <n v="0"/>
    <n v="0"/>
    <n v="0"/>
    <n v="0"/>
    <n v="0"/>
    <n v="1.1666666666666667"/>
    <n v="0"/>
    <n v="1.1000000000000001"/>
    <n v="0"/>
    <n v="40.537201150458387"/>
    <n v="17.062798849541611"/>
    <n v="1"/>
    <n v="28.5"/>
    <n v="40.537201150458387"/>
    <n v="5.9971451228897754"/>
    <n v="243.10747817507331"/>
    <n v="0"/>
    <n v="28.440476190476193"/>
    <n v="0"/>
    <n v="0"/>
    <n v="0"/>
    <n v="0"/>
    <n v="0"/>
    <n v="1.1666666666666667"/>
    <n v="13.404761904761903"/>
    <n v="1.485039331487636"/>
    <n v="1.1423615863335836"/>
    <n v="1.6964518864859803"/>
    <n v="9.893944315651531"/>
    <n v="1.4339049732828304"/>
    <n v="0"/>
  </r>
  <r>
    <s v="66282-87467"/>
    <x v="0"/>
    <s v="Chuba"/>
    <s v="Chuba Hubbard"/>
    <s v="Hubbard"/>
    <n v="8.75"/>
    <n v="8"/>
    <n v="6800"/>
    <s v="NE@CAR"/>
    <s v="CAR"/>
    <s v="NE"/>
    <m/>
    <m/>
    <m/>
    <x v="52"/>
    <s v="Chuba Hubbard"/>
    <n v="5.9135802469135799"/>
    <n v="4"/>
    <n v="9.9791666666666661"/>
    <n v="0"/>
    <n v="0"/>
    <n v="0"/>
    <n v="0"/>
    <n v="3.4285714285714284"/>
    <n v="2.4285714285714284"/>
    <n v="15.714285714285714"/>
    <n v="6.5"/>
    <n v="0"/>
    <n v="0.9285714285714286"/>
    <n v="12"/>
    <n v="0"/>
    <n v="3.7"/>
    <n v="0.14285714285714285"/>
    <n v="42.879374651732974"/>
    <n v="18.220625348267024"/>
    <n v="1"/>
    <n v="0"/>
    <n v="0"/>
    <n v="0"/>
    <n v="0"/>
    <n v="3.4285714285714284"/>
    <n v="45.690476190476197"/>
    <n v="3.2176289472900192"/>
    <n v="2.4285714285714284"/>
    <n v="2.2791538376637637"/>
    <n v="6.1693905629624366"/>
    <n v="14.060990177622445"/>
    <n v="12"/>
    <n v="38.333333333333336"/>
    <n v="5.7038479351096765"/>
    <n v="3.5787887486297199"/>
    <n v="20.412866814065371"/>
    <n v="4.6616714134544956"/>
    <n v="0.68553991374330825"/>
    <n v="0.50420168067226889"/>
  </r>
  <r>
    <s v="66282-25011"/>
    <x v="3"/>
    <s v="Darren"/>
    <s v="Darren Waller"/>
    <s v="Waller"/>
    <n v="11.050000508626299"/>
    <n v="6"/>
    <n v="6800"/>
    <s v="LV@NYG"/>
    <s v="LV"/>
    <s v="NYG"/>
    <m/>
    <m/>
    <m/>
    <x v="53"/>
    <s v="Darren Waller"/>
    <n v="6.7966101694915251"/>
    <n v="4.5857142857142854"/>
    <n v="9.0112359550561791"/>
    <n v="0"/>
    <n v="0"/>
    <n v="0"/>
    <n v="0"/>
    <n v="8.8333333333333339"/>
    <n v="5.5"/>
    <n v="63"/>
    <n v="11.5"/>
    <n v="31"/>
    <n v="1.9166666666666667"/>
    <n v="0"/>
    <n v="0"/>
    <n v="0"/>
    <n v="0"/>
    <e v="#N/A"/>
    <e v="#N/A"/>
    <n v="1"/>
    <n v="0"/>
    <n v="0"/>
    <n v="0"/>
    <n v="0"/>
    <n v="8.8333333333333339"/>
    <n v="39.700000000000003"/>
    <e v="#N/A"/>
    <n v="5.5"/>
    <n v="0"/>
    <n v="9.8563662765655256"/>
    <n v="0"/>
    <n v="0"/>
    <n v="38.571428571428569"/>
    <n v="0"/>
    <n v="0"/>
    <n v="0"/>
    <n v="2.75"/>
    <n v="0.40441176470588236"/>
    <n v="1.2990196078431373"/>
  </r>
  <r>
    <s v="66282-29501"/>
    <x v="2"/>
    <s v="Brandin"/>
    <s v="Brandin Cooks"/>
    <s v="Cooks"/>
    <n v="12.0625"/>
    <n v="8"/>
    <n v="6800"/>
    <s v="HOU@MIA"/>
    <s v="HOU"/>
    <s v="MIA"/>
    <m/>
    <m/>
    <m/>
    <x v="54"/>
    <s v="Brandin Cooks"/>
    <n v="6.9217391304347826"/>
    <n v="4.2947368421052632"/>
    <n v="11.055555555555555"/>
    <n v="0"/>
    <n v="0"/>
    <n v="0"/>
    <n v="0"/>
    <n v="9.1428571428571423"/>
    <n v="6.4285714285714288"/>
    <n v="71.714285714285708"/>
    <n v="11.2"/>
    <n v="54.5"/>
    <n v="1.5999999999999999"/>
    <n v="0.14285714285714285"/>
    <n v="0"/>
    <n v="5"/>
    <n v="0"/>
    <n v="40.537201150458387"/>
    <n v="17.062798849541611"/>
    <n v="1"/>
    <n v="0"/>
    <n v="0"/>
    <n v="0"/>
    <n v="0"/>
    <n v="9.1428571428571423"/>
    <n v="28.440476190476193"/>
    <n v="13.031632684617847"/>
    <n v="6.4285714285714288"/>
    <n v="9.1628667313719259"/>
    <n v="11.776960708082589"/>
    <n v="107.91072146876431"/>
    <n v="0.14285714285714285"/>
    <n v="13.404761904761903"/>
    <n v="0.18184155079440439"/>
    <n v="5.1925526651526521"/>
    <n v="0.94422182921297593"/>
    <n v="14.099780044083442"/>
    <n v="2.0734970653063884"/>
    <n v="1.3445378151260503"/>
  </r>
  <r>
    <s v="66282-57403"/>
    <x v="2"/>
    <s v="Courtland"/>
    <s v="Courtland Sutton"/>
    <s v="Sutton"/>
    <n v="11.237500190734799"/>
    <n v="8"/>
    <n v="6700"/>
    <s v="DEN@DAL"/>
    <s v="DEN"/>
    <s v="DAL"/>
    <m/>
    <m/>
    <m/>
    <x v="55"/>
    <s v="Courtland Sutton"/>
    <n v="7.6538461538461542"/>
    <n v="4.6888888888888891"/>
    <n v="11.306818181818182"/>
    <n v="0"/>
    <n v="0"/>
    <n v="0"/>
    <n v="0"/>
    <n v="8.2857142857142865"/>
    <n v="5.4285714285714288"/>
    <n v="77"/>
    <n v="14.2"/>
    <n v="29.5"/>
    <n v="2.0285714285714285"/>
    <n v="0"/>
    <n v="0"/>
    <n v="0"/>
    <n v="0"/>
    <n v="29.854056299344741"/>
    <n v="32.74594370065526"/>
    <n v="1"/>
    <n v="0"/>
    <n v="0"/>
    <n v="0"/>
    <n v="0"/>
    <n v="8.2857142857142865"/>
    <n v="31.547619047619044"/>
    <n v="7.8409144091863938"/>
    <n v="5.4285714285714288"/>
    <n v="5.137150819811775"/>
    <n v="15.270856112956118"/>
    <n v="78.44869099990018"/>
    <n v="0"/>
    <n v="12.714285714285715"/>
    <n v="0"/>
    <n v="0"/>
    <n v="0"/>
    <n v="10.559154814275733"/>
    <n v="1.5759932558620495"/>
    <n v="1.2366737739872069"/>
  </r>
  <r>
    <s v="66282-6616"/>
    <x v="1"/>
    <s v="Matt"/>
    <s v="Matt Ryan"/>
    <s v="Ryan"/>
    <n v="17.065714154924599"/>
    <n v="7"/>
    <n v="6700"/>
    <s v="ATL@NO"/>
    <s v="ATL"/>
    <s v="NO"/>
    <m/>
    <m/>
    <m/>
    <x v="56"/>
    <s v="Matt Ryan"/>
    <n v="5.895161290322581"/>
    <n v="2.7846153846153845"/>
    <n v="9.6184210526315788"/>
    <n v="40.666666666666664"/>
    <n v="278"/>
    <n v="6.8"/>
    <n v="2"/>
    <n v="0"/>
    <n v="0"/>
    <n v="0"/>
    <n v="0"/>
    <n v="0"/>
    <n v="0"/>
    <n v="1.6666666666666667"/>
    <n v="6.875"/>
    <n v="2.6"/>
    <n v="0"/>
    <n v="37.013107313686163"/>
    <n v="26.586892686313835"/>
    <n v="1"/>
    <n v="40.666666666666664"/>
    <n v="37.013107313686163"/>
    <n v="5.6938248094301445"/>
    <n v="210.7461486967666"/>
    <n v="0"/>
    <n v="33.666666666666664"/>
    <n v="0"/>
    <n v="0"/>
    <n v="0"/>
    <n v="0"/>
    <n v="0"/>
    <n v="1.6666666666666667"/>
    <n v="25.833333333333332"/>
    <n v="1.715283399117022"/>
    <n v="1.7507047662215658"/>
    <n v="3.0029548222548987"/>
    <n v="8.730141430096154"/>
    <n v="1.3030061835964408"/>
    <n v="0"/>
  </r>
  <r>
    <s v="66282-52897"/>
    <x v="0"/>
    <s v="Darrel"/>
    <s v="Darrel Williams"/>
    <s v="Williams"/>
    <n v="9.1000003814697195"/>
    <n v="8"/>
    <n v="6700"/>
    <s v="GB@KC"/>
    <s v="KC"/>
    <s v="GB"/>
    <m/>
    <m/>
    <m/>
    <x v="57"/>
    <s v="Darrel Williams"/>
    <n v="6.3711340206185563"/>
    <n v="4.3797468354430382"/>
    <n v="9.3636363636363633"/>
    <n v="0"/>
    <n v="0"/>
    <n v="0"/>
    <n v="0"/>
    <n v="2.5714285714285716"/>
    <n v="1.8571428571428572"/>
    <n v="14.571428571428571"/>
    <n v="7.8"/>
    <n v="0"/>
    <n v="1.1142857142857143"/>
    <n v="7.4285714285714288"/>
    <n v="7.28125"/>
    <n v="3.5"/>
    <n v="0.5714285714285714"/>
    <n v="35.894621752555366"/>
    <n v="26.105378247444634"/>
    <n v="1"/>
    <n v="0"/>
    <n v="0"/>
    <n v="0"/>
    <n v="0"/>
    <n v="2.5714285714285716"/>
    <n v="38.357142857142847"/>
    <n v="2.4063433577132098"/>
    <n v="1.8571428571428572"/>
    <n v="1.7379146472373181"/>
    <n v="6.9466237107503392"/>
    <n v="12.072639095759065"/>
    <n v="7.4285714285714288"/>
    <n v="15.523809523809524"/>
    <n v="12.492144192028722"/>
    <n v="3.7067338133686207"/>
    <n v="46.305053278069288"/>
    <n v="6.7663406659542638"/>
    <n v="1.0099015919334722"/>
    <n v="0.38379530916844351"/>
  </r>
  <r>
    <s v="66282-85741"/>
    <x v="0"/>
    <s v="Clyde"/>
    <s v="Clyde Edwards-Helaire"/>
    <s v="Edwards-Helaire"/>
    <n v="9.6999999999999993"/>
    <n v="5"/>
    <n v="6700"/>
    <s v="GB@KC"/>
    <s v="KC"/>
    <s v="GB"/>
    <s v="IR"/>
    <s v="Knee - mcl"/>
    <m/>
    <x v="58"/>
    <s v="Clyde Edwards-Helaire"/>
    <n v="6.3711340206185563"/>
    <n v="4.3797468354430382"/>
    <n v="9.3636363636363633"/>
    <n v="0"/>
    <n v="0"/>
    <n v="0"/>
    <n v="0"/>
    <n v="0"/>
    <n v="1.6"/>
    <n v="12.2"/>
    <n v="7.6"/>
    <n v="20"/>
    <n v="1.52"/>
    <n v="13"/>
    <n v="52.384615384615387"/>
    <n v="4.7"/>
    <n v="0"/>
    <n v="35.894621752555366"/>
    <n v="26.105378247444634"/>
    <n v="0"/>
    <n v="0"/>
    <n v="0"/>
    <n v="0"/>
    <n v="0"/>
    <n v="0"/>
    <n v="38.357142857142847"/>
    <n v="0"/>
    <n v="0"/>
    <n v="0"/>
    <n v="6.7685051540644334"/>
    <n v="0"/>
    <n v="0"/>
    <n v="15.523809523809524"/>
    <n v="0"/>
    <n v="4.9776139779521476"/>
    <n v="0"/>
    <n v="0"/>
    <n v="0"/>
    <n v="0"/>
  </r>
  <r>
    <s v="66282-64576"/>
    <x v="0"/>
    <s v="Damien"/>
    <s v="Damien Harris"/>
    <s v="Harris"/>
    <n v="11.837499618530201"/>
    <n v="8"/>
    <n v="6600"/>
    <s v="NE@CAR"/>
    <s v="NE"/>
    <s v="CAR"/>
    <m/>
    <m/>
    <m/>
    <x v="59"/>
    <s v="Damien Harris"/>
    <n v="5.0344827586206895"/>
    <n v="2.6470588235294117"/>
    <n v="8.76"/>
    <n v="0"/>
    <n v="0"/>
    <n v="0"/>
    <n v="0"/>
    <n v="1.5714285714285714"/>
    <n v="1.4285714285714286"/>
    <n v="8.5714285714285712"/>
    <n v="6"/>
    <n v="12"/>
    <n v="0.8571428571428571"/>
    <n v="13.571428571428571"/>
    <n v="84.55"/>
    <n v="4.5999999999999996"/>
    <n v="0.7142857142857143"/>
    <n v="27.892429902449898"/>
    <n v="33.907570097550099"/>
    <n v="1"/>
    <n v="0"/>
    <n v="0"/>
    <n v="0"/>
    <n v="0"/>
    <n v="1.5714285714285714"/>
    <n v="35.154761904761905"/>
    <n v="1.2468001175494028"/>
    <n v="1.4285714285714286"/>
    <n v="1.133454652317639"/>
    <n v="4.9990788705593934"/>
    <n v="5.6662292031383528"/>
    <n v="13.571428571428571"/>
    <n v="29.773809523809522"/>
    <n v="15.455669696604204"/>
    <n v="2.9443929688646735"/>
    <n v="45.507565183776222"/>
    <n v="5.8316651529771724"/>
    <n v="0.88358562923896555"/>
    <n v="0.23809523809523811"/>
  </r>
  <r>
    <s v="66282-86080"/>
    <x v="3"/>
    <s v="Kyle"/>
    <s v="Kyle Pitts"/>
    <s v="Pitts"/>
    <n v="10.1285716465541"/>
    <n v="7"/>
    <n v="6600"/>
    <s v="ATL@NO"/>
    <s v="ATL"/>
    <s v="NO"/>
    <m/>
    <m/>
    <m/>
    <x v="60"/>
    <s v="Kyle Pitts"/>
    <n v="5.895161290322581"/>
    <n v="2.7846153846153845"/>
    <n v="9.6184210526315788"/>
    <n v="0"/>
    <n v="0"/>
    <n v="0"/>
    <n v="0"/>
    <n v="7.333333333333333"/>
    <n v="5.166666666666667"/>
    <n v="78.5"/>
    <n v="15.2"/>
    <n v="0"/>
    <n v="2.5333333333333332"/>
    <n v="0"/>
    <n v="0"/>
    <n v="0"/>
    <n v="0"/>
    <n v="37.013107313686163"/>
    <n v="26.586892686313835"/>
    <n v="1"/>
    <n v="0"/>
    <n v="0"/>
    <n v="0"/>
    <n v="0"/>
    <n v="7.333333333333333"/>
    <n v="33.666666666666664"/>
    <n v="8.062260999020749"/>
    <n v="5.166666666666667"/>
    <n v="5.6802293402191646"/>
    <n v="13.905352566129819"/>
    <n v="78.985591632222452"/>
    <n v="0"/>
    <n v="25.833333333333332"/>
    <n v="0"/>
    <n v="0"/>
    <n v="0"/>
    <n v="10.481892496555579"/>
    <n v="1.5881655297811483"/>
    <n v="1.1111111111111112"/>
  </r>
  <r>
    <s v="66282-41535"/>
    <x v="1"/>
    <s v="Baker"/>
    <s v="Baker Mayfield"/>
    <s v="Mayfield"/>
    <n v="14.8657139369419"/>
    <n v="7"/>
    <n v="6600"/>
    <s v="CLE@CIN"/>
    <s v="CLE"/>
    <s v="CIN"/>
    <m/>
    <m/>
    <m/>
    <x v="61"/>
    <s v="Baker Mayfield"/>
    <n v="5.884615384615385"/>
    <n v="3.7029702970297032"/>
    <n v="8.5794392523364493"/>
    <n v="28.833333333333332"/>
    <n v="245.66666666666666"/>
    <n v="8.5"/>
    <n v="1"/>
    <n v="0"/>
    <n v="0"/>
    <n v="0"/>
    <n v="0"/>
    <n v="0"/>
    <n v="0"/>
    <n v="3.3333333333333335"/>
    <n v="8.65625"/>
    <n v="3.8"/>
    <n v="0.16666666666666666"/>
    <n v="26.716825649263725"/>
    <n v="36.583174350736272"/>
    <n v="1"/>
    <n v="28.833333333333332"/>
    <n v="26.716825649263725"/>
    <n v="7.104548845398079"/>
    <n v="189.81099281917838"/>
    <n v="0"/>
    <n v="23.30952380952381"/>
    <n v="0"/>
    <n v="0"/>
    <n v="0"/>
    <n v="0"/>
    <n v="0"/>
    <n v="3.3333333333333335"/>
    <n v="31.019047619047615"/>
    <n v="3.9312591411598703"/>
    <n v="3.4025786523632311"/>
    <n v="13.376418430618385"/>
    <n v="8.9300815558289734"/>
    <n v="1.353042659974087"/>
    <n v="0"/>
  </r>
  <r>
    <s v="66282-89981"/>
    <x v="2"/>
    <s v="Tee"/>
    <s v="Tee Higgins"/>
    <s v="Higgins"/>
    <n v="10.299999872843401"/>
    <n v="6"/>
    <n v="6600"/>
    <s v="CLE@CIN"/>
    <s v="CIN"/>
    <s v="CLE"/>
    <m/>
    <m/>
    <m/>
    <x v="62"/>
    <s v="Tee Higgins"/>
    <n v="6.4117647058823533"/>
    <n v="3.140625"/>
    <n v="10.686274509803921"/>
    <n v="0"/>
    <n v="0"/>
    <n v="0"/>
    <n v="0"/>
    <n v="8.6"/>
    <n v="5"/>
    <n v="51.2"/>
    <n v="10.199999999999999"/>
    <n v="47.5"/>
    <n v="2.04"/>
    <n v="0"/>
    <n v="0"/>
    <n v="0"/>
    <n v="0"/>
    <n v="35.249369534050182"/>
    <n v="23.950630465949821"/>
    <n v="1"/>
    <n v="0"/>
    <n v="0"/>
    <n v="0"/>
    <n v="0"/>
    <n v="8.6"/>
    <n v="32.859523809523814"/>
    <n v="9.2254708178385076"/>
    <n v="5"/>
    <n v="5.3636458243247143"/>
    <n v="10.367191721669974"/>
    <n v="55.605944587908901"/>
    <n v="0"/>
    <n v="33.523809523809533"/>
    <n v="0"/>
    <n v="0"/>
    <n v="0"/>
    <n v="8.0605944587908898"/>
    <n v="1.2213021907258925"/>
    <n v="1.303030303030303"/>
  </r>
  <r>
    <s v="66282-72776"/>
    <x v="0"/>
    <s v="Alexander"/>
    <s v="Alexander Mattison"/>
    <s v="Mattison"/>
    <n v="7.3285713195800701"/>
    <n v="7"/>
    <n v="6500"/>
    <s v="MIN@BAL"/>
    <s v="MIN"/>
    <s v="BAL"/>
    <m/>
    <m/>
    <m/>
    <x v="63"/>
    <s v="Alexander Mattison"/>
    <n v="8"/>
    <n v="3.5909090909090908"/>
    <n v="11.8"/>
    <n v="0"/>
    <n v="0"/>
    <n v="0"/>
    <n v="0"/>
    <n v="2.8333333333333335"/>
    <n v="2.5"/>
    <n v="20"/>
    <n v="8"/>
    <n v="16"/>
    <n v="1.3333333333333333"/>
    <n v="11.333333333333334"/>
    <n v="17.692307692307693"/>
    <n v="3.9"/>
    <n v="0"/>
    <n v="25.759493140243904"/>
    <n v="38.040506859756093"/>
    <n v="1"/>
    <n v="0"/>
    <n v="0"/>
    <n v="0"/>
    <n v="0"/>
    <n v="2.8333333333333335"/>
    <n v="38.833333333333329"/>
    <n v="1.8794479973568519"/>
    <n v="2.5"/>
    <n v="1.6583364682560457"/>
    <n v="8.9785587020701438"/>
    <n v="14.889471328020589"/>
    <n v="11.333333333333334"/>
    <n v="33.833333333333336"/>
    <n v="12.742632839721251"/>
    <n v="3.3864398447568078"/>
    <n v="43.152159575538633"/>
    <n v="7.0541630903559218"/>
    <n v="1.0852558600547573"/>
    <n v="0.4358974358974359"/>
  </r>
  <r>
    <s v="66282-11505"/>
    <x v="2"/>
    <s v="Emmanuel"/>
    <s v="Emmanuel Sanders"/>
    <s v="Sanders"/>
    <n v="11.1428571428571"/>
    <n v="7"/>
    <n v="6500"/>
    <s v="BUF@JAC"/>
    <s v="BUF"/>
    <s v="JAC"/>
    <m/>
    <m/>
    <m/>
    <x v="64"/>
    <s v="Emmanuel Sanders"/>
    <n v="9.3909774436090228"/>
    <n v="3.4552845528455283"/>
    <n v="12.49"/>
    <n v="0"/>
    <n v="0"/>
    <n v="0"/>
    <n v="0"/>
    <n v="0"/>
    <n v="4"/>
    <n v="68.833333333333329"/>
    <n v="17.2"/>
    <n v="33.5"/>
    <n v="2.8666666666666667"/>
    <n v="0.16666666666666666"/>
    <n v="0"/>
    <n v="7"/>
    <n v="0"/>
    <n v="33.734564753717166"/>
    <n v="28.965435246282837"/>
    <n v="0"/>
    <n v="0"/>
    <n v="0"/>
    <n v="0"/>
    <n v="0"/>
    <n v="0"/>
    <n v="25.8"/>
    <n v="0"/>
    <n v="0"/>
    <n v="0"/>
    <n v="20.432688653054289"/>
    <n v="0"/>
    <n v="0"/>
    <n v="31.133333333333333"/>
    <n v="0"/>
    <n v="5.8486577275178071"/>
    <n v="0"/>
    <n v="0"/>
    <n v="0"/>
    <n v="0"/>
  </r>
  <r>
    <s v="66282-90584"/>
    <x v="1"/>
    <s v="Mac"/>
    <s v="Mac Jones"/>
    <s v="Jones"/>
    <n v="14.6674995422363"/>
    <n v="8"/>
    <n v="6500"/>
    <s v="NE@CAR"/>
    <s v="NE"/>
    <s v="CAR"/>
    <m/>
    <m/>
    <m/>
    <x v="65"/>
    <s v="Mac Jones"/>
    <n v="5.0344827586206895"/>
    <n v="2.6470588235294117"/>
    <n v="8.76"/>
    <n v="35.285714285714285"/>
    <n v="254.14285714285714"/>
    <n v="7.2"/>
    <n v="1.2857142857142858"/>
    <n v="0"/>
    <n v="0"/>
    <n v="0"/>
    <n v="0"/>
    <n v="0"/>
    <n v="0"/>
    <n v="1.8571428571428572"/>
    <n v="0"/>
    <n v="3.5"/>
    <n v="0"/>
    <n v="27.892429902449898"/>
    <n v="33.907570097550099"/>
    <n v="1"/>
    <n v="35.285714285714285"/>
    <n v="27.892429902449898"/>
    <n v="5.1485727081982784"/>
    <n v="143.60620336108713"/>
    <n v="0"/>
    <n v="35.154761904761905"/>
    <n v="0"/>
    <n v="0"/>
    <n v="0"/>
    <n v="0"/>
    <n v="0"/>
    <n v="1.8571428571428572"/>
    <n v="29.773809523809522"/>
    <n v="2.1149863795353121"/>
    <n v="2.2402989980492087"/>
    <n v="4.7382018669606829"/>
    <n v="6.2180683211395529"/>
    <n v="0.95662589555993116"/>
    <n v="0"/>
  </r>
  <r>
    <s v="66282-44715"/>
    <x v="1"/>
    <s v="Cooper"/>
    <s v="Cooper Rush"/>
    <s v="Rush"/>
    <n v="18.2000007629394"/>
    <n v="1"/>
    <n v="6500"/>
    <s v="DEN@DAL"/>
    <s v="DAL"/>
    <s v="DEN"/>
    <m/>
    <m/>
    <m/>
    <x v="66"/>
    <s v="Cooper Rush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0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27477"/>
    <x v="2"/>
    <s v="Sterling"/>
    <s v="Sterling Shepard"/>
    <s v="Shepard"/>
    <n v="10.7"/>
    <n v="5"/>
    <n v="6500"/>
    <s v="LV@NYG"/>
    <s v="NYG"/>
    <s v="LV"/>
    <s v="O"/>
    <s v="Quadriceps"/>
    <m/>
    <x v="67"/>
    <s v="Sterling Shepard"/>
    <n v="5.9327731092436977"/>
    <n v="4.8133333333333335"/>
    <n v="9.0512820512820511"/>
    <n v="0"/>
    <n v="0"/>
    <n v="0"/>
    <n v="0"/>
    <n v="0"/>
    <n v="7"/>
    <n v="74.75"/>
    <n v="10.7"/>
    <n v="33"/>
    <n v="2.6749999999999998"/>
    <n v="0.25"/>
    <n v="0"/>
    <n v="-9"/>
    <n v="0"/>
    <n v="35.232477994905381"/>
    <n v="23.167522005094618"/>
    <n v="0"/>
    <n v="0"/>
    <n v="0"/>
    <n v="0"/>
    <n v="0"/>
    <n v="0"/>
    <n v="28.607142857142854"/>
    <n v="0"/>
    <n v="0"/>
    <n v="0"/>
    <n v="9.2114607979109984"/>
    <n v="0"/>
    <n v="0"/>
    <n v="8.5333333333333314"/>
    <n v="0"/>
    <n v="-10.475211391259423"/>
    <n v="0"/>
    <n v="0"/>
    <n v="0"/>
    <n v="0"/>
  </r>
  <r>
    <s v="66282-28573"/>
    <x v="2"/>
    <s v="Michael"/>
    <s v="Michael Thomas"/>
    <s v="Thomas"/>
    <n v="8.85555521647135"/>
    <n v="9"/>
    <n v="6500"/>
    <s v="ATL@NO"/>
    <s v="NO"/>
    <s v="ATL"/>
    <s v="NA"/>
    <s v="Ankle"/>
    <m/>
    <x v="68"/>
    <s v="Michael Thomas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0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56265"/>
    <x v="3"/>
    <s v="Mike"/>
    <s v="Mike Gesicki"/>
    <s v="Gesicki"/>
    <n v="10.1875"/>
    <n v="8"/>
    <n v="6500"/>
    <s v="HOU@MIA"/>
    <s v="MIA"/>
    <s v="HOU"/>
    <m/>
    <m/>
    <m/>
    <x v="69"/>
    <s v="Mike Gesicki"/>
    <n v="7.6226415094339623"/>
    <n v="4.2048192771084336"/>
    <n v="11.542857142857143"/>
    <n v="0"/>
    <n v="0"/>
    <n v="0"/>
    <n v="0"/>
    <n v="7.2857142857142856"/>
    <n v="5.2857142857142856"/>
    <n v="61"/>
    <n v="11.5"/>
    <n v="0"/>
    <n v="1.6428571428571428"/>
    <n v="0"/>
    <n v="0"/>
    <n v="0"/>
    <n v="0"/>
    <n v="40.244550246190627"/>
    <n v="21.855449753809374"/>
    <n v="1"/>
    <n v="0"/>
    <n v="0"/>
    <n v="0"/>
    <n v="0"/>
    <n v="7.2857142857142856"/>
    <n v="27.457142857142856"/>
    <n v="10.678834872818534"/>
    <n v="5.2857142857142856"/>
    <n v="7.7473900057703089"/>
    <n v="12.625418804424298"/>
    <n v="97.814043464061328"/>
    <n v="0"/>
    <n v="17.464285714285712"/>
    <n v="0"/>
    <n v="0"/>
    <n v="0"/>
    <n v="12.424261489263275"/>
    <n v="1.9114248445020423"/>
    <n v="1.1208791208791209"/>
  </r>
  <r>
    <s v="66282-28900"/>
    <x v="0"/>
    <s v="Melvin"/>
    <s v="Melvin Gordon III"/>
    <s v="Gordon III"/>
    <n v="11.4375"/>
    <n v="8"/>
    <n v="6400"/>
    <s v="DEN@DAL"/>
    <s v="DEN"/>
    <s v="DAL"/>
    <m/>
    <m/>
    <m/>
    <x v="70"/>
    <s v="Melvin Gordon"/>
    <n v="7.6538461538461542"/>
    <n v="4.6888888888888891"/>
    <n v="11.306818181818182"/>
    <n v="0"/>
    <n v="0"/>
    <n v="0"/>
    <n v="0"/>
    <n v="0"/>
    <n v="2.1428571428571428"/>
    <n v="19"/>
    <n v="8.9"/>
    <n v="16.5"/>
    <n v="1.2714285714285716"/>
    <n v="11.142857142857142"/>
    <n v="83.366666666666674"/>
    <n v="4.5"/>
    <n v="0.2857142857142857"/>
    <n v="29.854056299344741"/>
    <n v="32.74594370065526"/>
    <n v="0"/>
    <n v="0"/>
    <n v="0"/>
    <n v="0"/>
    <n v="0"/>
    <n v="0"/>
    <n v="31.547619047619044"/>
    <n v="0"/>
    <n v="0"/>
    <n v="0"/>
    <n v="9.5711703806555946"/>
    <n v="0"/>
    <n v="0"/>
    <n v="12.714285714285715"/>
    <n v="0"/>
    <n v="5.1021920673031813"/>
    <n v="0"/>
    <n v="0"/>
    <n v="0"/>
    <n v="0"/>
  </r>
  <r>
    <s v="66282-60858"/>
    <x v="2"/>
    <s v="Christian"/>
    <s v="Christian Kirk"/>
    <s v="Kirk"/>
    <n v="10.9375"/>
    <n v="8"/>
    <n v="6400"/>
    <s v="ARI@SF"/>
    <s v="ARI"/>
    <s v="SF"/>
    <m/>
    <m/>
    <m/>
    <x v="71"/>
    <s v="Christian Kirk"/>
    <n v="6.5263157894736841"/>
    <n v="4.7051282051282053"/>
    <n v="10.191780821917808"/>
    <n v="0"/>
    <n v="0"/>
    <n v="0"/>
    <n v="0"/>
    <n v="5.25"/>
    <n v="4.25"/>
    <n v="56.75"/>
    <n v="13.4"/>
    <n v="53"/>
    <n v="1.675"/>
    <n v="0.125"/>
    <n v="0"/>
    <n v="11"/>
    <n v="0"/>
    <e v="#N/A"/>
    <e v="#N/A"/>
    <n v="1"/>
    <n v="0"/>
    <n v="0"/>
    <n v="0"/>
    <n v="0"/>
    <n v="5.25"/>
    <n v="26.625"/>
    <e v="#N/A"/>
    <n v="4.25"/>
    <n v="0"/>
    <n v="12.989412415277238"/>
    <n v="0"/>
    <n v="0.125"/>
    <n v="32.208333333333329"/>
    <n v="0"/>
    <n v="12.515220182101681"/>
    <n v="0"/>
    <n v="2.125"/>
    <n v="0.33203125"/>
    <n v="0.8203125"/>
  </r>
  <r>
    <s v="66282-89951"/>
    <x v="1"/>
    <s v="Trevor"/>
    <s v="Trevor Lawrence"/>
    <s v="Lawrence"/>
    <n v="15.7599999564034"/>
    <n v="7"/>
    <n v="6400"/>
    <s v="BUF@JAC"/>
    <s v="JAC"/>
    <s v="BUF"/>
    <m/>
    <m/>
    <m/>
    <x v="72"/>
    <s v="Trevor Lawrence"/>
    <n v="5.34"/>
    <n v="3.393939393939394"/>
    <n v="9.3684210526315788"/>
    <n v="36"/>
    <n v="244.16666666666666"/>
    <n v="6.8"/>
    <n v="1.1666666666666667"/>
    <n v="0"/>
    <n v="0"/>
    <n v="0"/>
    <n v="0"/>
    <n v="0"/>
    <n v="0"/>
    <n v="4.333333333333333"/>
    <n v="0"/>
    <n v="4.7"/>
    <n v="0.33333333333333331"/>
    <n v="44.656477842721628"/>
    <n v="14.343522157278372"/>
    <n v="0"/>
    <n v="0"/>
    <n v="0"/>
    <n v="5.1576238520003619"/>
    <n v="0"/>
    <n v="0"/>
    <n v="34.133333333333333"/>
    <n v="0"/>
    <n v="0"/>
    <n v="0"/>
    <n v="0"/>
    <n v="0"/>
    <n v="0"/>
    <n v="20.466666666666665"/>
    <n v="0"/>
    <n v="3.8572366856647924"/>
    <n v="0"/>
    <n v="0"/>
    <n v="0"/>
    <n v="0"/>
  </r>
  <r>
    <s v="66282-43433"/>
    <x v="0"/>
    <s v="Boston"/>
    <s v="Boston Scott"/>
    <s v="Scott"/>
    <n v="9.6333332061767507"/>
    <n v="3"/>
    <n v="6300"/>
    <s v="LAC@PHI"/>
    <s v="PHI"/>
    <s v="LAC"/>
    <m/>
    <m/>
    <m/>
    <x v="73"/>
    <s v="Boston Scott"/>
    <n v="6.5760869565217392"/>
    <n v="5.7954545454545459"/>
    <n v="9.453125"/>
    <n v="0"/>
    <n v="0"/>
    <n v="0"/>
    <n v="0"/>
    <n v="0.5714285714285714"/>
    <n v="0.42857142857142855"/>
    <n v="1.4285714285714286"/>
    <n v="3.3"/>
    <n v="0"/>
    <n v="0.47142857142857142"/>
    <n v="1"/>
    <n v="0"/>
    <n v="3.4"/>
    <n v="0.14285714285714285"/>
    <n v="35.928903458126896"/>
    <n v="25.271096541873106"/>
    <n v="1"/>
    <n v="0"/>
    <n v="0"/>
    <n v="0"/>
    <n v="0"/>
    <n v="0.5714285714285714"/>
    <n v="24.999999999999996"/>
    <n v="0.82123207904290063"/>
    <n v="0.42857142857142855"/>
    <n v="0.61592405928217553"/>
    <n v="2.9670439037147509"/>
    <n v="1.8274737252444218"/>
    <n v="1"/>
    <n v="14.428571428571431"/>
    <n v="1.7514621365654626"/>
    <n v="4.7647571330804164"/>
    <n v="8.3452917085205538"/>
    <n v="1.2315622576622116"/>
    <n v="0.19548607264479551"/>
    <n v="9.0702947845804988E-2"/>
  </r>
  <r>
    <s v="66282-39580"/>
    <x v="0"/>
    <s v="Devontae"/>
    <s v="Devontae Booker"/>
    <s v="Booker"/>
    <n v="8.8428573608398402"/>
    <n v="7"/>
    <n v="6300"/>
    <s v="LV@NYG"/>
    <s v="NYG"/>
    <s v="LV"/>
    <m/>
    <m/>
    <m/>
    <x v="74"/>
    <s v="Devontae Booker"/>
    <n v="5.9327731092436977"/>
    <n v="4.8133333333333335"/>
    <n v="9.0512820512820511"/>
    <n v="0"/>
    <n v="0"/>
    <n v="0"/>
    <n v="0"/>
    <n v="0"/>
    <n v="2"/>
    <n v="12.166666666666666"/>
    <n v="6.1"/>
    <n v="11.5"/>
    <n v="1.0166666666666666"/>
    <n v="8.1666666666666661"/>
    <n v="16.71875"/>
    <n v="3.2"/>
    <n v="0.33333333333333331"/>
    <n v="35.232477994905381"/>
    <n v="23.167522005094618"/>
    <n v="0"/>
    <n v="0"/>
    <n v="0"/>
    <n v="0"/>
    <n v="0"/>
    <n v="0"/>
    <n v="28.607142857142854"/>
    <n v="0"/>
    <n v="0"/>
    <n v="0"/>
    <n v="5.2513935389959903"/>
    <n v="0"/>
    <n v="0"/>
    <n v="8.5333333333333314"/>
    <n v="0"/>
    <n v="3.7245196057811283"/>
    <n v="0"/>
    <n v="0"/>
    <n v="0"/>
    <n v="0"/>
  </r>
  <r>
    <s v="66282-22288"/>
    <x v="2"/>
    <s v="Cole"/>
    <s v="Cole Beasley"/>
    <s v="Beasley"/>
    <n v="9.8285718645368298"/>
    <n v="7"/>
    <n v="6300"/>
    <s v="BUF@JAC"/>
    <s v="BUF"/>
    <s v="JAC"/>
    <s v="Q"/>
    <s v="Ribs"/>
    <m/>
    <x v="75"/>
    <s v="Cole Beasley"/>
    <n v="9.3909774436090228"/>
    <n v="3.4552845528455283"/>
    <n v="12.49"/>
    <n v="0"/>
    <n v="0"/>
    <n v="0"/>
    <n v="0"/>
    <n v="7.166666666666667"/>
    <n v="5.5"/>
    <n v="50.5"/>
    <n v="9.1999999999999993"/>
    <n v="23.5"/>
    <n v="1.5333333333333332"/>
    <n v="0"/>
    <n v="0"/>
    <n v="0"/>
    <n v="0"/>
    <n v="33.734564753717166"/>
    <n v="28.965435246282837"/>
    <n v="1"/>
    <n v="0"/>
    <n v="0"/>
    <n v="0"/>
    <n v="0"/>
    <n v="7.166666666666667"/>
    <n v="25.8"/>
    <n v="9.3707124315881014"/>
    <n v="5.5"/>
    <n v="7.1914769823815652"/>
    <n v="10.929112535354619"/>
    <n v="78.596461235860573"/>
    <n v="0"/>
    <n v="31.133333333333333"/>
    <n v="0"/>
    <n v="0"/>
    <n v="0"/>
    <n v="10.609646123586057"/>
    <n v="1.6840708132676281"/>
    <n v="1.1375661375661377"/>
  </r>
  <r>
    <s v="66282-41827"/>
    <x v="1"/>
    <s v="P.J."/>
    <s v="P.J. Walker"/>
    <s v="Walker"/>
    <n v="1.25999999046325"/>
    <n v="2"/>
    <n v="6300"/>
    <s v="NE@CAR"/>
    <s v="CAR"/>
    <s v="NE"/>
    <m/>
    <m/>
    <m/>
    <x v="76"/>
    <s v="Phillip Walker"/>
    <n v="5.9135802469135799"/>
    <n v="4"/>
    <n v="9.9791666666666661"/>
    <n v="7"/>
    <n v="16.5"/>
    <n v="2.4"/>
    <n v="0"/>
    <n v="0"/>
    <n v="0"/>
    <n v="0"/>
    <n v="0"/>
    <n v="0"/>
    <n v="0"/>
    <n v="0.5"/>
    <n v="0"/>
    <n v="13"/>
    <n v="0"/>
    <n v="42.879374651732974"/>
    <n v="18.220625348267024"/>
    <n v="1"/>
    <n v="7"/>
    <n v="42.879374651732974"/>
    <n v="2.0158640140250936"/>
    <n v="86.438988304328277"/>
    <n v="0"/>
    <n v="45.690476190476197"/>
    <n v="0"/>
    <n v="0"/>
    <n v="0"/>
    <n v="0"/>
    <n v="0"/>
    <n v="0.5"/>
    <n v="38.333333333333336"/>
    <n v="0.23766033062956987"/>
    <n v="12.574122630320637"/>
    <n v="2.9883701416987596"/>
    <n v="3.7563965463430069"/>
    <n v="0.59625342005444559"/>
    <n v="0"/>
  </r>
  <r>
    <s v="66282-83074"/>
    <x v="3"/>
    <s v="Dallas"/>
    <s v="Dallas Goedert"/>
    <s v="Goedert"/>
    <n v="8.8285713195800692"/>
    <n v="7"/>
    <n v="6200"/>
    <s v="LAC@PHI"/>
    <s v="PHI"/>
    <s v="LAC"/>
    <m/>
    <m/>
    <m/>
    <x v="77"/>
    <s v="Dallas Goedert"/>
    <n v="6.5760869565217392"/>
    <n v="5.7954545454545459"/>
    <n v="9.453125"/>
    <n v="0"/>
    <n v="0"/>
    <n v="0"/>
    <n v="0"/>
    <n v="4"/>
    <n v="3"/>
    <n v="47.666666666666664"/>
    <n v="15.9"/>
    <n v="27"/>
    <n v="2.65"/>
    <n v="0"/>
    <n v="0"/>
    <n v="0"/>
    <n v="0"/>
    <n v="35.928903458126896"/>
    <n v="25.271096541873106"/>
    <n v="1"/>
    <n v="0"/>
    <n v="0"/>
    <n v="0"/>
    <n v="0"/>
    <n v="4"/>
    <n v="24.999999999999996"/>
    <n v="5.7486245533003046"/>
    <n v="3"/>
    <n v="4.3114684149752289"/>
    <n v="14.295756990625621"/>
    <n v="61.635704733243699"/>
    <n v="0"/>
    <n v="14.428571428571431"/>
    <n v="0"/>
    <n v="0"/>
    <n v="0"/>
    <n v="7.6635704733243699"/>
    <n v="1.2360597537619951"/>
    <n v="0.64516129032258063"/>
  </r>
  <r>
    <s v="66282-30989"/>
    <x v="0"/>
    <s v="Kenyan"/>
    <s v="Kenyan Drake"/>
    <s v="Drake"/>
    <n v="8.8142858232770607"/>
    <n v="7"/>
    <n v="6200"/>
    <s v="LV@NYG"/>
    <s v="LV"/>
    <s v="NYG"/>
    <m/>
    <m/>
    <m/>
    <x v="78"/>
    <s v="Kenyan Drake"/>
    <n v="6.7966101694915251"/>
    <n v="4.5857142857142854"/>
    <n v="9.0112359550561791"/>
    <n v="0"/>
    <n v="0"/>
    <n v="0"/>
    <n v="0"/>
    <n v="3.2857142857142856"/>
    <n v="2.5714285714285716"/>
    <n v="26.714285714285715"/>
    <n v="10.4"/>
    <n v="19.5"/>
    <n v="1.4857142857142858"/>
    <n v="6"/>
    <n v="37.333333333333329"/>
    <n v="3.8"/>
    <n v="0.2857142857142857"/>
    <e v="#N/A"/>
    <e v="#N/A"/>
    <n v="1"/>
    <n v="0"/>
    <n v="0"/>
    <n v="0"/>
    <n v="0"/>
    <n v="3.2857142857142856"/>
    <n v="39.700000000000003"/>
    <e v="#N/A"/>
    <n v="2.5714285714285716"/>
    <n v="0"/>
    <n v="8.9135834153288247"/>
    <n v="0"/>
    <n v="6"/>
    <n v="38.571428571428569"/>
    <n v="0"/>
    <n v="4.2137128528750312"/>
    <n v="0"/>
    <n v="1.2857142857142858"/>
    <n v="0.20737327188940094"/>
    <n v="0.52995391705069117"/>
  </r>
  <r>
    <s v="66282-22994"/>
    <x v="1"/>
    <s v="Case"/>
    <s v="Case Keenum"/>
    <s v="Keenum"/>
    <n v="4.2999998728434203"/>
    <n v="3"/>
    <n v="6200"/>
    <s v="CLE@CIN"/>
    <s v="CLE"/>
    <s v="CIN"/>
    <m/>
    <m/>
    <m/>
    <x v="79"/>
    <s v="Case Keenum"/>
    <n v="5.884615384615385"/>
    <n v="3.7029702970297032"/>
    <n v="8.5794392523364493"/>
    <n v="12"/>
    <n v="68.333333333333329"/>
    <n v="5.7"/>
    <n v="0.33333333333333331"/>
    <n v="0"/>
    <n v="0"/>
    <n v="0"/>
    <n v="0"/>
    <n v="0"/>
    <n v="0"/>
    <n v="2.3333333333333335"/>
    <n v="0"/>
    <n v="1"/>
    <n v="0"/>
    <n v="26.716825649263725"/>
    <n v="36.583174350736272"/>
    <n v="1"/>
    <n v="12"/>
    <n v="26.716825649263725"/>
    <n v="4.7642268727963595"/>
    <n v="127.28501871403729"/>
    <n v="0"/>
    <n v="23.30952380952381"/>
    <n v="0"/>
    <n v="0"/>
    <n v="0"/>
    <n v="0"/>
    <n v="0"/>
    <n v="2.3333333333333335"/>
    <n v="31.019047619047615"/>
    <n v="2.7518813988119093"/>
    <n v="0.89541543483242936"/>
    <n v="2.4640770793244395"/>
    <n v="5.3378084564939359"/>
    <n v="0.86093684782160251"/>
    <n v="0"/>
  </r>
  <r>
    <s v="66282-33260"/>
    <x v="2"/>
    <s v="DeVante"/>
    <s v="DeVante Parker"/>
    <s v="Parker"/>
    <n v="10.2400001525878"/>
    <n v="5"/>
    <n v="6200"/>
    <s v="HOU@MIA"/>
    <s v="MIA"/>
    <s v="HOU"/>
    <s v="IR"/>
    <s v="Shoulder"/>
    <m/>
    <x v="80"/>
    <s v="DeVante Parker"/>
    <n v="7.6226415094339623"/>
    <n v="4.2048192771084336"/>
    <n v="11.542857142857143"/>
    <n v="0"/>
    <n v="0"/>
    <n v="0"/>
    <n v="0"/>
    <n v="0"/>
    <n v="4.25"/>
    <n v="60.5"/>
    <n v="14.2"/>
    <n v="30.5"/>
    <n v="3.55"/>
    <n v="0"/>
    <n v="0"/>
    <n v="0"/>
    <n v="0"/>
    <n v="40.244550246190627"/>
    <n v="21.855449753809374"/>
    <n v="0"/>
    <n v="0"/>
    <n v="0"/>
    <n v="0"/>
    <n v="0"/>
    <n v="0"/>
    <n v="27.457142857142856"/>
    <n v="0"/>
    <n v="0"/>
    <n v="0"/>
    <n v="15.58964756720218"/>
    <n v="0"/>
    <n v="0"/>
    <n v="17.464285714285712"/>
    <n v="0"/>
    <n v="0"/>
    <n v="0"/>
    <n v="0"/>
    <n v="0"/>
    <n v="0"/>
  </r>
  <r>
    <s v="66282-30761"/>
    <x v="1"/>
    <s v="Nathan"/>
    <s v="Nathan Peterman"/>
    <s v="Peterman"/>
    <n v="0.20000000298023199"/>
    <n v="1"/>
    <n v="6100"/>
    <s v="LV@NYG"/>
    <s v="LV"/>
    <s v="NYG"/>
    <m/>
    <m/>
    <m/>
    <x v="81"/>
    <s v="Nathan Peterman"/>
    <n v="6.7966101694915251"/>
    <n v="4.5857142857142854"/>
    <n v="9.0112359550561791"/>
    <n v="0"/>
    <n v="0"/>
    <n v="0"/>
    <n v="0"/>
    <n v="0"/>
    <n v="0"/>
    <n v="0"/>
    <n v="0"/>
    <n v="0"/>
    <n v="0"/>
    <n v="2"/>
    <n v="0"/>
    <n v="1"/>
    <n v="0"/>
    <e v="#N/A"/>
    <e v="#N/A"/>
    <n v="1"/>
    <n v="0"/>
    <e v="#N/A"/>
    <n v="0"/>
    <e v="#N/A"/>
    <n v="0"/>
    <n v="39.700000000000003"/>
    <e v="#N/A"/>
    <n v="0"/>
    <n v="0"/>
    <n v="0"/>
    <n v="0"/>
    <n v="2"/>
    <n v="38.571428571428569"/>
    <n v="0"/>
    <n v="1.1088718033881662"/>
    <n v="0"/>
    <e v="#N/A"/>
    <e v="#N/A"/>
    <n v="0"/>
  </r>
  <r>
    <s v="66282-61798"/>
    <x v="1"/>
    <s v="Gardner"/>
    <s v="Gardner Minshew II"/>
    <s v="Minshew II"/>
    <n v="0.43999999761581399"/>
    <n v="1"/>
    <n v="6100"/>
    <s v="LAC@PHI"/>
    <s v="PHI"/>
    <s v="LAC"/>
    <m/>
    <m/>
    <m/>
    <x v="82"/>
    <s v="Gardner Minshew II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35.928903458126896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70051"/>
    <x v="1"/>
    <s v="Tyler"/>
    <s v="Tyler Huntley"/>
    <s v="Huntley"/>
    <n v="1.2799999713897701"/>
    <n v="2"/>
    <n v="6100"/>
    <s v="MIN@BAL"/>
    <s v="BAL"/>
    <s v="MIN"/>
    <m/>
    <m/>
    <m/>
    <x v="83"/>
    <s v="Tyler Huntley"/>
    <n v="9.1684210526315795"/>
    <n v="4.7733333333333334"/>
    <n v="12.097222222222221"/>
    <n v="5.5"/>
    <n v="19.5"/>
    <n v="3.5"/>
    <n v="0"/>
    <n v="0"/>
    <n v="0"/>
    <n v="0"/>
    <n v="0"/>
    <n v="0"/>
    <n v="0"/>
    <n v="1.5"/>
    <n v="0"/>
    <n v="3.3"/>
    <n v="0"/>
    <e v="#N/A"/>
    <e v="#N/A"/>
    <n v="1"/>
    <n v="5.5"/>
    <e v="#N/A"/>
    <n v="4.5578716366992218"/>
    <e v="#N/A"/>
    <n v="0"/>
    <n v="39.43333333333333"/>
    <e v="#N/A"/>
    <n v="0"/>
    <n v="0"/>
    <n v="0"/>
    <n v="0"/>
    <n v="1.5"/>
    <n v="28.528571428571428"/>
    <n v="0"/>
    <n v="3.8089919167848207"/>
    <n v="0"/>
    <e v="#N/A"/>
    <e v="#N/A"/>
    <n v="0"/>
  </r>
  <r>
    <s v="66282-31170"/>
    <x v="1"/>
    <s v="Brandon"/>
    <s v="Brandon Allen"/>
    <s v="Allen"/>
    <n v="3.9800000190734801"/>
    <n v="1"/>
    <n v="6100"/>
    <s v="CLE@CIN"/>
    <s v="CIN"/>
    <s v="CLE"/>
    <m/>
    <m/>
    <m/>
    <x v="84"/>
    <s v="Brandon Allen"/>
    <n v="6.4117647058823533"/>
    <n v="3.140625"/>
    <n v="10.686274509803921"/>
    <n v="0.5"/>
    <n v="3.5"/>
    <n v="7"/>
    <n v="0.5"/>
    <n v="0"/>
    <n v="0"/>
    <n v="0"/>
    <n v="0"/>
    <n v="0"/>
    <n v="0"/>
    <n v="1.5"/>
    <n v="0"/>
    <n v="-1"/>
    <n v="0"/>
    <n v="35.249369534050182"/>
    <n v="23.950630465949821"/>
    <n v="1"/>
    <n v="0.5"/>
    <n v="35.249369534050182"/>
    <n v="6.3749254809239471"/>
    <n v="224.71210402912078"/>
    <n v="0"/>
    <n v="32.859523809523814"/>
    <n v="0"/>
    <n v="0"/>
    <n v="0"/>
    <n v="0"/>
    <n v="0"/>
    <n v="1.5"/>
    <n v="33.523809523809533"/>
    <n v="1.0716546302236067"/>
    <n v="-0.75943469011251452"/>
    <n v="-0.81385170201150614"/>
    <n v="8.9070989909636804"/>
    <n v="1.4601801624530624"/>
    <n v="0"/>
  </r>
  <r>
    <s v="66282-90573"/>
    <x v="2"/>
    <s v="Jaylen"/>
    <s v="Jaylen Waddle"/>
    <s v="Waddle"/>
    <n v="10.1875"/>
    <n v="8"/>
    <n v="6100"/>
    <s v="HOU@MIA"/>
    <s v="MIA"/>
    <s v="HOU"/>
    <m/>
    <m/>
    <m/>
    <x v="85"/>
    <s v="Jaylen Waddle"/>
    <n v="7.6226415094339623"/>
    <n v="4.2048192771084336"/>
    <n v="11.542857142857143"/>
    <n v="0"/>
    <n v="0"/>
    <n v="0"/>
    <n v="0"/>
    <n v="0"/>
    <n v="6.2857142857142856"/>
    <n v="54.857142857142854"/>
    <n v="8.6999999999999993"/>
    <n v="0"/>
    <n v="1.2428571428571427"/>
    <n v="0.14285714285714285"/>
    <n v="0"/>
    <n v="2"/>
    <n v="0"/>
    <n v="40.244550246190627"/>
    <n v="21.855449753809374"/>
    <n v="0"/>
    <n v="0"/>
    <n v="0"/>
    <n v="0"/>
    <n v="0"/>
    <n v="0"/>
    <n v="27.457142857142856"/>
    <n v="0"/>
    <n v="0"/>
    <n v="0"/>
    <n v="9.5514037911731648"/>
    <n v="0"/>
    <n v="0"/>
    <n v="17.464285714285712"/>
    <n v="0"/>
    <n v="2.0335351241806778"/>
    <n v="0"/>
    <n v="0"/>
    <n v="0"/>
    <n v="0"/>
  </r>
  <r>
    <s v="66282-60930"/>
    <x v="0"/>
    <s v="Myles"/>
    <s v="Myles Gaskin"/>
    <s v="Gaskin"/>
    <n v="9.7375001907348597"/>
    <n v="8"/>
    <n v="6100"/>
    <s v="HOU@MIA"/>
    <s v="MIA"/>
    <s v="HOU"/>
    <m/>
    <m/>
    <m/>
    <x v="86"/>
    <s v="Myles Gaskin"/>
    <n v="7.6226415094339623"/>
    <n v="4.2048192771084336"/>
    <n v="11.542857142857143"/>
    <n v="0"/>
    <n v="0"/>
    <n v="0"/>
    <n v="0"/>
    <n v="5.1428571428571432"/>
    <n v="4"/>
    <n v="20.857142857142858"/>
    <n v="5.2"/>
    <n v="35.5"/>
    <n v="0.74285714285714288"/>
    <n v="7.7142857142857144"/>
    <n v="53.7"/>
    <n v="4.5"/>
    <n v="0"/>
    <n v="40.244550246190627"/>
    <n v="21.855449753809374"/>
    <n v="1"/>
    <n v="0"/>
    <n v="0"/>
    <n v="0"/>
    <n v="0"/>
    <n v="5.1428571428571432"/>
    <n v="27.457142857142856"/>
    <n v="7.5380010866954361"/>
    <n v="4"/>
    <n v="5.8628897340964494"/>
    <n v="5.7088850246092484"/>
    <n v="33.470563403918518"/>
    <n v="7.7142857142857144"/>
    <n v="17.464285714285712"/>
    <n v="9.6539409955476998"/>
    <n v="4.575454029406524"/>
    <n v="44.171163227731554"/>
    <n v="9.7641726631650076"/>
    <n v="1.6006840431418046"/>
    <n v="0.84309133489461374"/>
  </r>
  <r>
    <s v="66282-30231"/>
    <x v="1"/>
    <s v="Jacoby"/>
    <s v="Jacoby Brissett"/>
    <s v="Brissett"/>
    <n v="9.8366667429606096"/>
    <n v="6"/>
    <n v="6100"/>
    <s v="HOU@MIA"/>
    <s v="MIA"/>
    <s v="HOU"/>
    <m/>
    <m/>
    <m/>
    <x v="87"/>
    <s v="Jacoby Brissett"/>
    <n v="7.6226415094339623"/>
    <n v="4.2048192771084336"/>
    <n v="11.542857142857143"/>
    <n v="26.5"/>
    <n v="147.16666666666666"/>
    <n v="5.6"/>
    <n v="0.66666666666666663"/>
    <n v="0"/>
    <n v="0"/>
    <n v="0"/>
    <n v="0"/>
    <n v="0"/>
    <n v="0"/>
    <n v="2.6666666666666665"/>
    <n v="2.8636363636363638"/>
    <n v="3.6"/>
    <n v="0.16666666666666666"/>
    <n v="40.244550246190627"/>
    <n v="21.855449753809374"/>
    <n v="1"/>
    <n v="26.5"/>
    <n v="40.244550246190627"/>
    <n v="6.0630760883483701"/>
    <n v="244.0057702840129"/>
    <n v="0"/>
    <n v="27.457142857142856"/>
    <n v="0"/>
    <n v="0"/>
    <n v="0"/>
    <n v="0"/>
    <n v="0"/>
    <n v="2.6666666666666665"/>
    <n v="17.464285714285712"/>
    <n v="3.3371647885843898"/>
    <n v="3.6603632235252199"/>
    <n v="12.215235262977616"/>
    <n v="10.981754337658279"/>
    <n v="1.8002875963374227"/>
    <n v="0"/>
  </r>
  <r>
    <s v="66282-64051"/>
    <x v="1"/>
    <s v="Drew"/>
    <s v="Drew Lock"/>
    <s v="Lock"/>
    <n v="3.5199999809265101"/>
    <n v="1"/>
    <n v="6100"/>
    <s v="DEN@DAL"/>
    <s v="DEN"/>
    <s v="DAL"/>
    <s v="IR"/>
    <s v="Undisclosed"/>
    <m/>
    <x v="88"/>
    <s v="Drew Lock"/>
    <n v="7.6538461538461542"/>
    <n v="4.6888888888888891"/>
    <n v="11.306818181818182"/>
    <n v="21"/>
    <n v="113"/>
    <n v="5.4"/>
    <n v="0"/>
    <n v="0"/>
    <n v="0"/>
    <n v="0"/>
    <n v="0"/>
    <n v="0"/>
    <n v="0"/>
    <n v="0"/>
    <n v="0"/>
    <n v="0"/>
    <n v="0"/>
    <n v="29.854056299344741"/>
    <n v="32.74594370065526"/>
    <n v="0"/>
    <n v="0"/>
    <n v="0"/>
    <n v="5.8704715027026344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8803"/>
    <x v="1"/>
    <s v="Chase"/>
    <s v="Chase Daniel"/>
    <s v="Daniel"/>
    <n v="2.8319999694824198"/>
    <n v="5"/>
    <n v="6100"/>
    <s v="LAC@PHI"/>
    <s v="LAC"/>
    <s v="PHI"/>
    <m/>
    <m/>
    <m/>
    <x v="89"/>
    <s v="Chase Daniel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30.851495621477966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7844"/>
    <x v="1"/>
    <s v="Chad"/>
    <s v="Chad Henne"/>
    <s v="Henne"/>
    <n v="3.6800000667571999"/>
    <n v="1"/>
    <n v="6100"/>
    <s v="GB@KC"/>
    <s v="KC"/>
    <s v="GB"/>
    <m/>
    <m/>
    <m/>
    <x v="90"/>
    <s v="Chad Henne"/>
    <n v="6.3711340206185563"/>
    <n v="4.3797468354430382"/>
    <n v="9.3636363636363633"/>
    <n v="16"/>
    <n v="82"/>
    <n v="5.0999999999999996"/>
    <n v="0"/>
    <n v="0"/>
    <n v="0"/>
    <n v="0"/>
    <n v="0"/>
    <n v="0"/>
    <n v="0"/>
    <n v="1"/>
    <n v="0"/>
    <n v="4"/>
    <n v="0"/>
    <n v="35.894621752555366"/>
    <n v="26.105378247444634"/>
    <n v="1"/>
    <n v="16"/>
    <n v="35.894621752555366"/>
    <n v="4.6151562905945545"/>
    <n v="165.65928937981803"/>
    <n v="0"/>
    <n v="38.357142857142847"/>
    <n v="0"/>
    <n v="0"/>
    <n v="0"/>
    <n v="0"/>
    <n v="0"/>
    <n v="1"/>
    <n v="15.523809523809524"/>
    <n v="1.6816347950807893"/>
    <n v="4.2362672152784233"/>
    <n v="7.1238543504721976"/>
    <n v="7.3387570102399415"/>
    <n v="1.2030749197114659"/>
    <n v="0"/>
  </r>
  <r>
    <s v="66282-29358"/>
    <x v="1"/>
    <s v="Marcus"/>
    <s v="Marcus Mariota"/>
    <s v="Mariota"/>
    <n v="1.75"/>
    <n v="2"/>
    <n v="6100"/>
    <s v="LV@NYG"/>
    <s v="LV"/>
    <s v="NYG"/>
    <m/>
    <m/>
    <m/>
    <x v="91"/>
    <s v="Marcus Mariota"/>
    <n v="6.7966101694915251"/>
    <n v="4.5857142857142854"/>
    <n v="9.0112359550561791"/>
    <n v="0"/>
    <n v="0"/>
    <n v="0"/>
    <n v="0"/>
    <n v="0"/>
    <n v="0"/>
    <n v="0"/>
    <n v="0"/>
    <n v="0"/>
    <n v="0"/>
    <n v="1"/>
    <n v="59.5"/>
    <n v="17.5"/>
    <n v="0"/>
    <e v="#N/A"/>
    <e v="#N/A"/>
    <n v="1"/>
    <n v="0"/>
    <e v="#N/A"/>
    <n v="0"/>
    <e v="#N/A"/>
    <n v="0"/>
    <n v="39.700000000000003"/>
    <e v="#N/A"/>
    <n v="0"/>
    <n v="0"/>
    <n v="0"/>
    <n v="0"/>
    <n v="1"/>
    <n v="38.571428571428569"/>
    <n v="0"/>
    <n v="19.405256559292905"/>
    <n v="0"/>
    <e v="#N/A"/>
    <e v="#N/A"/>
    <n v="0"/>
  </r>
  <r>
    <s v="66282-38628"/>
    <x v="1"/>
    <s v="Mitchell"/>
    <s v="Mitchell Trubisky"/>
    <s v="Trubisky"/>
    <n v="3.0200001398722298"/>
    <n v="3"/>
    <n v="6100"/>
    <s v="BUF@JAC"/>
    <s v="BUF"/>
    <s v="JAC"/>
    <s v="IR"/>
    <s v="Illness"/>
    <m/>
    <x v="92"/>
    <s v="Mitchell Trubisky"/>
    <n v="9.3909774436090228"/>
    <n v="3.4552845528455283"/>
    <n v="12.49"/>
    <n v="0.66666666666666663"/>
    <n v="3"/>
    <n v="4.5"/>
    <n v="0"/>
    <n v="0"/>
    <n v="0"/>
    <n v="0"/>
    <n v="0"/>
    <n v="0"/>
    <n v="0"/>
    <n v="3.3333333333333335"/>
    <n v="0"/>
    <n v="2.7"/>
    <n v="0.33333333333333331"/>
    <n v="33.734564753717166"/>
    <n v="28.965435246282837"/>
    <n v="0"/>
    <n v="0"/>
    <n v="0"/>
    <n v="6.0023706117922115"/>
    <n v="0"/>
    <n v="0"/>
    <n v="25.8"/>
    <n v="0"/>
    <n v="0"/>
    <n v="0"/>
    <n v="0"/>
    <n v="0"/>
    <n v="0"/>
    <n v="31.133333333333333"/>
    <n v="0"/>
    <n v="2.2559108377568684"/>
    <n v="0"/>
    <n v="0"/>
    <n v="0"/>
    <n v="0"/>
  </r>
  <r>
    <s v="66282-40687"/>
    <x v="0"/>
    <s v="James"/>
    <s v="James Conner"/>
    <s v="Conner"/>
    <n v="11.212499618530201"/>
    <n v="8"/>
    <n v="6100"/>
    <s v="ARI@SF"/>
    <s v="ARI"/>
    <s v="SF"/>
    <m/>
    <m/>
    <m/>
    <x v="93"/>
    <s v="James Conner"/>
    <n v="6.5263157894736841"/>
    <n v="4.7051282051282053"/>
    <n v="10.191780821917808"/>
    <n v="0"/>
    <n v="0"/>
    <n v="0"/>
    <n v="0"/>
    <n v="0.625"/>
    <n v="0.625"/>
    <n v="4.25"/>
    <n v="6.8"/>
    <n v="0"/>
    <n v="0.85"/>
    <n v="11.75"/>
    <n v="54.230769230769226"/>
    <n v="3.8"/>
    <n v="1"/>
    <e v="#N/A"/>
    <e v="#N/A"/>
    <n v="1"/>
    <n v="0"/>
    <n v="0"/>
    <n v="0"/>
    <n v="0"/>
    <n v="0.625"/>
    <n v="26.625"/>
    <e v="#N/A"/>
    <n v="0.625"/>
    <n v="0"/>
    <n v="6.5916421211854637"/>
    <n v="0"/>
    <n v="11.75"/>
    <n v="32.208333333333329"/>
    <n v="0"/>
    <n v="4.3234396992714892"/>
    <n v="0"/>
    <n v="0.3125"/>
    <n v="5.1229508196721313E-2"/>
    <n v="0.10245901639344263"/>
  </r>
  <r>
    <s v="66282-55042"/>
    <x v="3"/>
    <s v="Dalton"/>
    <s v="Dalton Schultz"/>
    <s v="Schultz"/>
    <n v="10.214285714285699"/>
    <n v="7"/>
    <n v="6100"/>
    <s v="DEN@DAL"/>
    <s v="DAL"/>
    <s v="DEN"/>
    <m/>
    <m/>
    <m/>
    <x v="94"/>
    <s v="Dalton Schultz"/>
    <n v="4.6380952380952385"/>
    <n v="3.6326530612244898"/>
    <n v="8.8545454545454554"/>
    <n v="0"/>
    <n v="0"/>
    <n v="0"/>
    <n v="0"/>
    <n v="6.166666666666667"/>
    <n v="5.166666666666667"/>
    <n v="59.833333333333336"/>
    <n v="11.6"/>
    <n v="22"/>
    <n v="1.9333333333333333"/>
    <n v="0"/>
    <n v="0"/>
    <n v="0"/>
    <n v="0"/>
    <n v="40.215481891649205"/>
    <n v="26.284518108350792"/>
    <n v="1"/>
    <n v="0"/>
    <n v="0"/>
    <n v="0"/>
    <n v="0"/>
    <n v="6.166666666666667"/>
    <n v="28.733333333333334"/>
    <n v="8.6309328885790055"/>
    <n v="5.166666666666667"/>
    <n v="7.2313221498905182"/>
    <n v="9.7691975769904964"/>
    <n v="70.644214825148154"/>
    <n v="0"/>
    <n v="32"/>
    <n v="0"/>
    <n v="0"/>
    <n v="0"/>
    <n v="9.647754815848149"/>
    <n v="1.581599150139041"/>
    <n v="1.0109289617486339"/>
  </r>
  <r>
    <s v="66282-25410"/>
    <x v="1"/>
    <s v="Mike"/>
    <s v="Mike Glennon"/>
    <s v="Glennon"/>
    <n v="10.039999961853001"/>
    <n v="1"/>
    <n v="6100"/>
    <s v="LV@NYG"/>
    <s v="NYG"/>
    <s v="LV"/>
    <m/>
    <m/>
    <m/>
    <x v="95"/>
    <s v="Mike Glennon"/>
    <n v="5.9327731092436977"/>
    <n v="4.8133333333333335"/>
    <n v="9.0512820512820511"/>
    <n v="25"/>
    <n v="196"/>
    <n v="7.8"/>
    <n v="1"/>
    <n v="0"/>
    <n v="0"/>
    <n v="0"/>
    <n v="0"/>
    <n v="0"/>
    <n v="0"/>
    <n v="2"/>
    <n v="0"/>
    <n v="1"/>
    <n v="0"/>
    <n v="35.232477994905381"/>
    <n v="23.167522005094618"/>
    <n v="1"/>
    <n v="25"/>
    <n v="35.232477994905381"/>
    <n v="6.5728215012829034"/>
    <n v="231.57678890839085"/>
    <n v="0"/>
    <n v="28.607142857142854"/>
    <n v="0"/>
    <n v="0"/>
    <n v="0"/>
    <n v="0"/>
    <n v="0"/>
    <n v="2"/>
    <n v="8.5333333333333314"/>
    <n v="5.4298879699440521"/>
    <n v="1.1639123768066026"/>
    <n v="6.3199138128911603"/>
    <n v="9.8950629376247505"/>
    <n v="1.6221414651843855"/>
    <n v="0"/>
  </r>
  <r>
    <s v="66282-71710"/>
    <x v="1"/>
    <s v="Nate"/>
    <s v="Nate Stanley"/>
    <s v="Stanley"/>
    <m/>
    <m/>
    <n v="6000"/>
    <s v="MIN@BAL"/>
    <s v="MIN"/>
    <s v="BAL"/>
    <s v="IR"/>
    <s v="Undisclosed"/>
    <m/>
    <x v="96"/>
    <s v="Nate Stanley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0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52342"/>
    <x v="1"/>
    <s v="Will"/>
    <s v="Will Grier"/>
    <s v="Grier"/>
    <n v="0"/>
    <n v="2"/>
    <n v="6000"/>
    <s v="DEN@DAL"/>
    <s v="DAL"/>
    <s v="DEN"/>
    <m/>
    <m/>
    <m/>
    <x v="97"/>
    <s v="Will Grier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40.215481891649205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71798"/>
    <x v="1"/>
    <s v="Anthony"/>
    <s v="Anthony Gordon"/>
    <s v="Gordon"/>
    <n v="0"/>
    <n v="1"/>
    <n v="6000"/>
    <s v="GB@KC"/>
    <s v="KC"/>
    <s v="GB"/>
    <m/>
    <m/>
    <m/>
    <x v="98"/>
    <s v="Anthony Gordon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35.894621752555366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39034"/>
    <x v="1"/>
    <s v="Kurt"/>
    <s v="Kurt Benkert"/>
    <s v="Benkert"/>
    <n v="0"/>
    <n v="1"/>
    <n v="6000"/>
    <s v="GB@KC"/>
    <s v="GB"/>
    <s v="KC"/>
    <s v="O"/>
    <s v="Illness"/>
    <m/>
    <x v="99"/>
    <s v="Kurt Benkert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0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64637"/>
    <x v="1"/>
    <s v="Brian"/>
    <s v="Brian Lewerke"/>
    <s v="Lewerke"/>
    <n v="0"/>
    <n v="1"/>
    <n v="6000"/>
    <s v="LV@NYG"/>
    <s v="NYG"/>
    <s v="LV"/>
    <m/>
    <m/>
    <m/>
    <x v="100"/>
    <s v="Brian Lewerke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35.232477994905381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83079"/>
    <x v="1"/>
    <s v="Kyle"/>
    <s v="Kyle Lauletta"/>
    <s v="Lauletta"/>
    <m/>
    <m/>
    <n v="6000"/>
    <s v="BUF@JAC"/>
    <s v="JAC"/>
    <s v="BUF"/>
    <m/>
    <m/>
    <m/>
    <x v="101"/>
    <s v="Kyle Lauletta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44.656477842721628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69769"/>
    <x v="1"/>
    <s v="Darius"/>
    <s v="Darius Bradwell"/>
    <s v="Bradwell"/>
    <n v="0"/>
    <n v="1"/>
    <n v="6000"/>
    <s v="LAC@PHI"/>
    <s v="LAC"/>
    <s v="PHI"/>
    <m/>
    <m/>
    <m/>
    <x v="102"/>
    <s v="Darius Bradwell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30.851495621477966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27801"/>
    <x v="1"/>
    <s v="Nate"/>
    <s v="Nate Sudfeld"/>
    <s v="Sudfeld"/>
    <n v="-0.259999990463256"/>
    <n v="2"/>
    <n v="6000"/>
    <s v="ARI@SF"/>
    <s v="SF"/>
    <s v="ARI"/>
    <m/>
    <m/>
    <m/>
    <x v="103"/>
    <s v="Nate Sudfeld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33.198546563443358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45229"/>
    <x v="0"/>
    <s v="Kareem"/>
    <s v="Kareem Hunt"/>
    <s v="Hunt"/>
    <n v="15.6999994913736"/>
    <n v="6"/>
    <n v="6000"/>
    <s v="CLE@CIN"/>
    <s v="CLE"/>
    <s v="CIN"/>
    <s v="IR"/>
    <s v="Calf"/>
    <m/>
    <x v="104"/>
    <s v="Kareem Hunt"/>
    <n v="5.884615384615385"/>
    <n v="3.7029702970297032"/>
    <n v="8.5794392523364493"/>
    <n v="0"/>
    <n v="0"/>
    <n v="0"/>
    <n v="0"/>
    <n v="0"/>
    <n v="3.3333333333333335"/>
    <n v="26.833333333333332"/>
    <n v="8.1"/>
    <n v="22.5"/>
    <n v="1.3499999999999999"/>
    <n v="11.5"/>
    <n v="42.78125"/>
    <n v="5.2"/>
    <n v="0.83333333333333337"/>
    <n v="26.716825649263725"/>
    <n v="36.583174350736272"/>
    <n v="0"/>
    <n v="0"/>
    <n v="0"/>
    <n v="0"/>
    <n v="0"/>
    <n v="0"/>
    <n v="23.30952380952381"/>
    <n v="0"/>
    <n v="0"/>
    <n v="0"/>
    <n v="6.6096513936374528"/>
    <n v="0"/>
    <n v="0"/>
    <n v="31.019047619047615"/>
    <n v="0"/>
    <n v="4.6561602611286332"/>
    <n v="0"/>
    <n v="0"/>
    <n v="0"/>
    <n v="0"/>
  </r>
  <r>
    <s v="66282-69833"/>
    <x v="1"/>
    <s v="Shane"/>
    <s v="Shane Buechele"/>
    <s v="Buechele"/>
    <m/>
    <m/>
    <n v="6000"/>
    <s v="GB@KC"/>
    <s v="KC"/>
    <s v="GB"/>
    <m/>
    <m/>
    <m/>
    <x v="105"/>
    <s v="Shane Buechele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35.894621752555366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130269"/>
    <x v="1"/>
    <s v="Reid"/>
    <s v="Reid Sinnett"/>
    <s v="Sinnett"/>
    <n v="0"/>
    <n v="1"/>
    <n v="6000"/>
    <s v="LAC@PHI"/>
    <s v="PHI"/>
    <s v="LAC"/>
    <m/>
    <m/>
    <m/>
    <x v="106"/>
    <s v="Reid Sinnett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0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11500"/>
    <x v="1"/>
    <s v="Colt"/>
    <s v="Colt McCoy"/>
    <s v="McCoy"/>
    <n v="-0.20000000794728501"/>
    <n v="3"/>
    <n v="6000"/>
    <s v="ARI@SF"/>
    <s v="ARI"/>
    <s v="SF"/>
    <m/>
    <m/>
    <m/>
    <x v="107"/>
    <s v="Colt McCoy"/>
    <n v="6.5263157894736841"/>
    <n v="4.7051282051282053"/>
    <n v="10.191780821917808"/>
    <n v="0"/>
    <n v="0"/>
    <n v="0"/>
    <n v="0"/>
    <n v="0"/>
    <n v="0"/>
    <n v="0"/>
    <n v="0"/>
    <n v="0"/>
    <n v="0"/>
    <n v="2.3333333333333335"/>
    <n v="0"/>
    <n v="-0.9"/>
    <n v="0"/>
    <e v="#N/A"/>
    <e v="#N/A"/>
    <n v="1"/>
    <n v="0"/>
    <e v="#N/A"/>
    <n v="0"/>
    <e v="#N/A"/>
    <n v="0"/>
    <n v="26.625"/>
    <e v="#N/A"/>
    <n v="0"/>
    <n v="0"/>
    <n v="0"/>
    <n v="0"/>
    <n v="2.3333333333333335"/>
    <n v="32.208333333333329"/>
    <n v="0"/>
    <n v="-1.0239725603537739"/>
    <n v="0"/>
    <e v="#N/A"/>
    <e v="#N/A"/>
    <n v="0"/>
  </r>
  <r>
    <s v="66282-130337"/>
    <x v="1"/>
    <s v="Case"/>
    <s v="Case Cookus"/>
    <s v="Cookus"/>
    <n v="0"/>
    <n v="1"/>
    <n v="6000"/>
    <s v="LV@NYG"/>
    <s v="LV"/>
    <s v="NYG"/>
    <m/>
    <m/>
    <m/>
    <x v="108"/>
    <s v="Case Cookus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e v="#N/A"/>
    <n v="0"/>
    <e v="#N/A"/>
    <n v="0"/>
    <n v="39.700000000000003"/>
    <e v="#N/A"/>
    <n v="0"/>
    <n v="0"/>
    <n v="0"/>
    <n v="0"/>
    <n v="0"/>
    <n v="38.571428571428569"/>
    <n v="0"/>
    <n v="0"/>
    <n v="0"/>
    <e v="#N/A"/>
    <e v="#N/A"/>
    <n v="0"/>
  </r>
  <r>
    <s v="66282-61751"/>
    <x v="1"/>
    <s v="Josh"/>
    <s v="Josh Thomas"/>
    <s v="Thomas"/>
    <m/>
    <m/>
    <n v="6000"/>
    <s v="BUF@JAC"/>
    <s v="BUF"/>
    <s v="JAC"/>
    <m/>
    <m/>
    <m/>
    <x v="109"/>
    <s v="Josh Thomas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33.734564753717166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31047"/>
    <x v="1"/>
    <s v="AJ"/>
    <s v="AJ McCarron"/>
    <s v="McCarron"/>
    <n v="0.40000000596046398"/>
    <n v="2"/>
    <n v="6000"/>
    <s v="ATL@NO"/>
    <s v="ATL"/>
    <s v="NO"/>
    <s v="IR"/>
    <s v="Knee - acl"/>
    <m/>
    <x v="110"/>
    <s v="AJ McCarron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0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27986"/>
    <x v="1"/>
    <s v="C.J."/>
    <s v="C.J. Beathard"/>
    <s v="Beathard"/>
    <n v="7.4685712541852602"/>
    <n v="7"/>
    <n v="6000"/>
    <s v="BUF@JAC"/>
    <s v="JAC"/>
    <s v="BUF"/>
    <m/>
    <m/>
    <m/>
    <x v="111"/>
    <s v="C.J. Beathard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44.656477842721628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149889"/>
    <x v="1"/>
    <s v="Kenji"/>
    <s v="Kenji Bahar"/>
    <s v="Bahar"/>
    <m/>
    <m/>
    <n v="6000"/>
    <s v="MIN@BAL"/>
    <s v="BAL"/>
    <s v="MIN"/>
    <m/>
    <m/>
    <m/>
    <x v="112"/>
    <s v="Kenji Bahar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e v="#N/A"/>
    <n v="0"/>
    <e v="#N/A"/>
    <n v="0"/>
    <n v="39.43333333333333"/>
    <e v="#N/A"/>
    <n v="0"/>
    <n v="0"/>
    <n v="0"/>
    <n v="0"/>
    <n v="0"/>
    <n v="28.528571428571428"/>
    <n v="0"/>
    <n v="0"/>
    <n v="0"/>
    <e v="#N/A"/>
    <e v="#N/A"/>
    <n v="0"/>
  </r>
  <r>
    <s v="66282-70027"/>
    <x v="0"/>
    <s v="Zack"/>
    <s v="Zack Moss"/>
    <s v="Moss"/>
    <n v="11.25"/>
    <n v="6"/>
    <n v="6000"/>
    <s v="BUF@JAC"/>
    <s v="BUF"/>
    <s v="JAC"/>
    <m/>
    <m/>
    <m/>
    <x v="113"/>
    <s v="Zack Moss"/>
    <n v="9.3909774436090228"/>
    <n v="3.4552845528455283"/>
    <n v="12.49"/>
    <n v="0"/>
    <n v="0"/>
    <n v="0"/>
    <n v="0"/>
    <n v="2.8"/>
    <n v="2"/>
    <n v="21.8"/>
    <n v="10.9"/>
    <n v="0"/>
    <n v="2.1800000000000002"/>
    <n v="10.8"/>
    <n v="0"/>
    <n v="3.9"/>
    <n v="0.6"/>
    <n v="33.734564753717166"/>
    <n v="28.965435246282837"/>
    <n v="1"/>
    <n v="0"/>
    <n v="0"/>
    <n v="0"/>
    <n v="0"/>
    <n v="2.8"/>
    <n v="25.8"/>
    <n v="3.6611155546669787"/>
    <n v="2"/>
    <n v="2.615082539047842"/>
    <n v="12.948622460365799"/>
    <n v="33.86171650082531"/>
    <n v="10.8"/>
    <n v="31.133333333333333"/>
    <n v="10.047966830616316"/>
    <n v="3.2585378767599207"/>
    <n v="32.741680501990601"/>
    <n v="7.6603397002815914"/>
    <n v="1.2767232833802653"/>
    <n v="0.46666666666666662"/>
  </r>
  <r>
    <s v="66282-103824"/>
    <x v="1"/>
    <s v="Easton"/>
    <s v="Easton Stick"/>
    <s v="Stick"/>
    <n v="-3.9999999105930301E-2"/>
    <n v="1"/>
    <n v="6000"/>
    <s v="LAC@PHI"/>
    <s v="LAC"/>
    <s v="PHI"/>
    <m/>
    <m/>
    <m/>
    <x v="114"/>
    <s v="Easton Stick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30.851495621477966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69017"/>
    <x v="1"/>
    <s v="Jordan"/>
    <s v="Jordan Love"/>
    <s v="Love"/>
    <n v="0.20999999344348899"/>
    <n v="2"/>
    <n v="6000"/>
    <s v="GB@KC"/>
    <s v="GB"/>
    <s v="KC"/>
    <m/>
    <m/>
    <m/>
    <x v="115"/>
    <s v="Jordan Love"/>
    <n v="8.7934782608695645"/>
    <n v="5.404494382022472"/>
    <n v="12.446153846153846"/>
    <n v="3.5"/>
    <n v="34"/>
    <n v="9.6999999999999993"/>
    <n v="0"/>
    <n v="0"/>
    <n v="0"/>
    <n v="0"/>
    <n v="0"/>
    <n v="0"/>
    <n v="0"/>
    <n v="1.5"/>
    <n v="0"/>
    <n v="-1"/>
    <n v="0"/>
    <e v="#N/A"/>
    <e v="#N/A"/>
    <n v="1"/>
    <n v="3.5"/>
    <e v="#N/A"/>
    <n v="12.115237283459544"/>
    <e v="#N/A"/>
    <n v="0"/>
    <n v="30.583333333333336"/>
    <e v="#N/A"/>
    <n v="0"/>
    <n v="0"/>
    <n v="0"/>
    <n v="0"/>
    <n v="1.5"/>
    <n v="14.916666666666666"/>
    <n v="0"/>
    <n v="-1.3068610598928754"/>
    <n v="0"/>
    <e v="#N/A"/>
    <e v="#N/A"/>
    <n v="0"/>
  </r>
  <r>
    <s v="66282-32158"/>
    <x v="1"/>
    <s v="Garrett"/>
    <s v="Garrett Gilbert"/>
    <s v="Gilbert"/>
    <n v="7.7600002288818297"/>
    <n v="2"/>
    <n v="6000"/>
    <s v="NE@CAR"/>
    <s v="NE"/>
    <s v="CAR"/>
    <m/>
    <m/>
    <m/>
    <x v="116"/>
    <s v="Garrett Gilbert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27.892429902449898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73118"/>
    <x v="1"/>
    <s v="Ian"/>
    <s v="Ian Book"/>
    <s v="Book"/>
    <m/>
    <m/>
    <n v="6000"/>
    <s v="ATL@NO"/>
    <s v="NO"/>
    <s v="ATL"/>
    <m/>
    <m/>
    <m/>
    <x v="117"/>
    <s v="Ian Book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0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60840"/>
    <x v="1"/>
    <s v="Jake"/>
    <s v="Jake Browning"/>
    <s v="Browning"/>
    <m/>
    <m/>
    <n v="6000"/>
    <s v="CLE@CIN"/>
    <s v="CIN"/>
    <s v="CLE"/>
    <m/>
    <m/>
    <m/>
    <x v="118"/>
    <s v="Jake Browning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35.249369534050182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91639"/>
    <x v="1"/>
    <s v="Jake"/>
    <s v="Jake Fromm"/>
    <s v="Fromm"/>
    <m/>
    <m/>
    <n v="6000"/>
    <s v="BUF@JAC"/>
    <s v="BUF"/>
    <s v="JAC"/>
    <s v="O"/>
    <s v="Illness"/>
    <m/>
    <x v="119"/>
    <s v="Jake Fromm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0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34308"/>
    <x v="1"/>
    <s v="Blake"/>
    <s v="Blake Bortles"/>
    <s v="Bortles"/>
    <n v="0"/>
    <n v="1"/>
    <n v="6000"/>
    <s v="GB@KC"/>
    <s v="GB"/>
    <s v="KC"/>
    <m/>
    <m/>
    <m/>
    <x v="120"/>
    <s v="Blake Bortles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0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60947"/>
    <x v="1"/>
    <s v="Jarrett"/>
    <s v="Jarrett Stidham"/>
    <s v="Stidham"/>
    <n v="2.6566665967305498"/>
    <n v="6"/>
    <n v="6000"/>
    <s v="NE@CAR"/>
    <s v="NE"/>
    <s v="CAR"/>
    <s v="NA"/>
    <s v="Back"/>
    <m/>
    <x v="121"/>
    <s v="Jarrett Stidham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0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61982"/>
    <x v="1"/>
    <s v="Tommy"/>
    <s v="Tommy Stevens"/>
    <s v="Stevens"/>
    <n v="2.4000000953674299"/>
    <n v="1"/>
    <n v="6000"/>
    <s v="LV@NYG"/>
    <s v="NYG"/>
    <s v="LV"/>
    <m/>
    <m/>
    <m/>
    <x v="122"/>
    <s v="Tommy Stevens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35.232477994905381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30253"/>
    <x v="1"/>
    <s v="Jeff"/>
    <s v="Jeff Driskel"/>
    <s v="Driskel"/>
    <n v="8.0200004577636701"/>
    <n v="4"/>
    <n v="6000"/>
    <s v="HOU@MIA"/>
    <s v="HOU"/>
    <s v="MIA"/>
    <m/>
    <m/>
    <m/>
    <x v="123"/>
    <s v="Jeff Driskel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40.537201150458387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94797"/>
    <x v="1"/>
    <s v="Kellen"/>
    <s v="Kellen Mond"/>
    <s v="Mond"/>
    <m/>
    <m/>
    <n v="6000"/>
    <s v="MIN@BAL"/>
    <s v="MIN"/>
    <s v="BAL"/>
    <m/>
    <m/>
    <m/>
    <x v="124"/>
    <s v="Kellen Mond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25.759493140243904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22103"/>
    <x v="2"/>
    <s v="Marvin"/>
    <s v="Marvin Jones Jr."/>
    <s v="Jones Jr."/>
    <n v="10.3285718645368"/>
    <n v="7"/>
    <n v="6000"/>
    <s v="BUF@JAC"/>
    <s v="JAC"/>
    <s v="BUF"/>
    <m/>
    <m/>
    <m/>
    <x v="125"/>
    <s v="Marvin Jones"/>
    <n v="5.34"/>
    <n v="3.393939393939394"/>
    <n v="9.3684210526315788"/>
    <n v="0"/>
    <n v="0"/>
    <n v="0"/>
    <n v="0"/>
    <n v="7.833333333333333"/>
    <n v="4.666666666666667"/>
    <n v="57.166666666666664"/>
    <n v="12.3"/>
    <n v="38"/>
    <n v="2.0500000000000003"/>
    <n v="0"/>
    <n v="0"/>
    <n v="0"/>
    <n v="0"/>
    <n v="44.656477842721628"/>
    <n v="14.343522157278372"/>
    <n v="1"/>
    <n v="0"/>
    <n v="0"/>
    <n v="0"/>
    <n v="0"/>
    <n v="7.833333333333333"/>
    <n v="34.133333333333333"/>
    <n v="10.248312786171468"/>
    <n v="4.666666666666667"/>
    <n v="6.1053778300595987"/>
    <n v="10.959888727872643"/>
    <n v="66.91426165907373"/>
    <n v="0"/>
    <n v="20.466666666666665"/>
    <n v="0"/>
    <n v="0"/>
    <n v="0"/>
    <n v="9.024759499240707"/>
    <n v="1.5041265832067845"/>
    <n v="1.3055555555555556"/>
  </r>
  <r>
    <s v="66282-41562"/>
    <x v="1"/>
    <s v="Nick"/>
    <s v="Nick Mullens"/>
    <s v="Mullens"/>
    <n v="11.661818070845101"/>
    <n v="11"/>
    <n v="6000"/>
    <s v="CLE@CIN"/>
    <s v="CLE"/>
    <s v="CIN"/>
    <m/>
    <m/>
    <m/>
    <x v="126"/>
    <s v="Nick Mullens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26.716825649263725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54879"/>
    <x v="1"/>
    <s v="Deshaun"/>
    <s v="Deshaun Watson"/>
    <s v="Watson"/>
    <n v="23.520000457763601"/>
    <n v="16"/>
    <n v="6000"/>
    <s v="HOU@MIA"/>
    <s v="HOU"/>
    <s v="MIA"/>
    <s v="O"/>
    <s v="Coach's decision"/>
    <m/>
    <x v="127"/>
    <s v="Deshaun Watson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0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69302"/>
    <x v="1"/>
    <s v="Feleipe"/>
    <s v="Feleipe Franks"/>
    <s v="Franks"/>
    <n v="0.30000001192092801"/>
    <n v="1"/>
    <n v="6000"/>
    <s v="ATL@NO"/>
    <s v="ATL"/>
    <s v="NO"/>
    <m/>
    <m/>
    <m/>
    <x v="128"/>
    <s v="Feleipe Franks"/>
    <n v="5.895161290322581"/>
    <n v="2.7846153846153845"/>
    <n v="9.6184210526315788"/>
    <n v="0"/>
    <n v="0"/>
    <n v="0"/>
    <n v="0"/>
    <n v="0"/>
    <n v="0"/>
    <n v="0"/>
    <n v="0"/>
    <n v="0"/>
    <n v="0"/>
    <n v="0.5"/>
    <n v="0"/>
    <n v="3"/>
    <n v="0"/>
    <n v="37.013107313686163"/>
    <n v="26.586892686313835"/>
    <n v="1"/>
    <n v="0"/>
    <n v="37.013107313686163"/>
    <n v="0"/>
    <n v="0"/>
    <n v="0"/>
    <n v="33.666666666666664"/>
    <n v="0"/>
    <n v="0"/>
    <n v="0"/>
    <n v="0"/>
    <n v="0"/>
    <n v="0.5"/>
    <n v="25.833333333333332"/>
    <n v="0.51458501973510651"/>
    <n v="2.0200439610248835"/>
    <n v="1.0394843615497724"/>
    <n v="0.10394843615497724"/>
    <n v="1.7324739359162875E-2"/>
    <n v="0"/>
  </r>
  <r>
    <s v="66282-7872"/>
    <x v="1"/>
    <s v="Brian"/>
    <s v="Brian Hoyer"/>
    <s v="Hoyer"/>
    <n v="2.8599998950958199"/>
    <n v="1"/>
    <n v="6000"/>
    <s v="NE@CAR"/>
    <s v="NE"/>
    <s v="CAR"/>
    <m/>
    <m/>
    <m/>
    <x v="129"/>
    <s v="Brian Hoyer"/>
    <n v="5.0344827586206895"/>
    <n v="2.6470588235294117"/>
    <n v="8.76"/>
    <n v="4"/>
    <n v="79"/>
    <n v="19.8"/>
    <n v="0"/>
    <n v="0"/>
    <n v="0"/>
    <n v="0"/>
    <n v="0"/>
    <n v="0"/>
    <n v="0"/>
    <n v="3"/>
    <n v="0"/>
    <n v="-1"/>
    <n v="0"/>
    <n v="27.892429902449898"/>
    <n v="33.907570097550099"/>
    <n v="1"/>
    <n v="4"/>
    <n v="27.892429902449898"/>
    <n v="14.158574947545263"/>
    <n v="394.91705924298952"/>
    <n v="0"/>
    <n v="35.154761904761905"/>
    <n v="0"/>
    <n v="0"/>
    <n v="0"/>
    <n v="0"/>
    <n v="0"/>
    <n v="3"/>
    <n v="29.773809523809522"/>
    <n v="3.4165164592493507"/>
    <n v="-0.64008542801405954"/>
    <n v="-2.1868624001356998"/>
    <n v="15.577996129706012"/>
    <n v="2.5963326882843352"/>
    <n v="0"/>
  </r>
  <r>
    <s v="66282-61157"/>
    <x v="1"/>
    <s v="Brett"/>
    <s v="Brett Rypien"/>
    <s v="Rypien"/>
    <n v="5.1000000635782801"/>
    <n v="3"/>
    <n v="6000"/>
    <s v="DEN@DAL"/>
    <s v="DEN"/>
    <s v="DAL"/>
    <m/>
    <m/>
    <m/>
    <x v="130"/>
    <s v="Brett Rypien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29.854056299344741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29445"/>
    <x v="1"/>
    <s v="Sean"/>
    <s v="Sean Mannion"/>
    <s v="Mannion"/>
    <m/>
    <m/>
    <n v="6000"/>
    <s v="MIN@BAL"/>
    <s v="MIN"/>
    <s v="BAL"/>
    <m/>
    <m/>
    <m/>
    <x v="131"/>
    <s v="Sean Mannion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25.759493140243904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104281"/>
    <x v="1"/>
    <s v="Jake"/>
    <s v="Jake Dolegala"/>
    <s v="Dolegala"/>
    <n v="0"/>
    <n v="1"/>
    <n v="6000"/>
    <s v="HOU@MIA"/>
    <s v="MIA"/>
    <s v="HOU"/>
    <m/>
    <m/>
    <m/>
    <x v="132"/>
    <s v="Jake Dolegala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40.244550246190627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61276"/>
    <x v="1"/>
    <s v="James"/>
    <s v="James Morgan"/>
    <s v="Morgan"/>
    <n v="0"/>
    <n v="1"/>
    <n v="6000"/>
    <s v="NE@CAR"/>
    <s v="CAR"/>
    <s v="NE"/>
    <m/>
    <m/>
    <m/>
    <x v="133"/>
    <s v="James Morgan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42.879374651732974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14185"/>
    <x v="1"/>
    <s v="Cam"/>
    <s v="Cam Newton"/>
    <s v="Newton"/>
    <n v="17.9986673990885"/>
    <n v="15"/>
    <n v="6000"/>
    <s v="NE@CAR"/>
    <s v="NE"/>
    <s v="CAR"/>
    <m/>
    <m/>
    <m/>
    <x v="134"/>
    <s v="Cam Newton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27.892429902449898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55148"/>
    <x v="1"/>
    <s v="Clayton"/>
    <s v="Clayton Thorson"/>
    <s v="Thorson"/>
    <n v="0"/>
    <n v="1"/>
    <n v="6000"/>
    <s v="LV@NYG"/>
    <s v="NYG"/>
    <s v="LV"/>
    <m/>
    <m/>
    <m/>
    <x v="135"/>
    <s v="Clayton Thorson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35.232477994905381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38767"/>
    <x v="1"/>
    <s v="Chris"/>
    <s v="Chris Streveler"/>
    <s v="Streveler"/>
    <n v="2.1749999523162802"/>
    <n v="4"/>
    <n v="6000"/>
    <s v="ARI@SF"/>
    <s v="ARI"/>
    <s v="SF"/>
    <m/>
    <m/>
    <m/>
    <x v="136"/>
    <s v="Chris Streveler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e v="#N/A"/>
    <n v="0"/>
    <e v="#N/A"/>
    <n v="0"/>
    <n v="26.625"/>
    <e v="#N/A"/>
    <n v="0"/>
    <n v="0"/>
    <n v="0"/>
    <n v="0"/>
    <n v="0"/>
    <n v="32.208333333333329"/>
    <n v="0"/>
    <n v="0"/>
    <n v="0"/>
    <e v="#N/A"/>
    <e v="#N/A"/>
    <n v="0"/>
  </r>
  <r>
    <s v="66282-39793"/>
    <x v="3"/>
    <s v="George"/>
    <s v="George Kittle"/>
    <s v="Kittle"/>
    <n v="8.2749996185302699"/>
    <n v="4"/>
    <n v="6000"/>
    <s v="ARI@SF"/>
    <s v="SF"/>
    <s v="ARI"/>
    <m/>
    <m/>
    <m/>
    <x v="137"/>
    <s v="George Kittle"/>
    <n v="5.9411764705882355"/>
    <n v="5.4102564102564106"/>
    <n v="9.1818181818181817"/>
    <n v="0"/>
    <n v="0"/>
    <n v="0"/>
    <n v="0"/>
    <n v="7"/>
    <n v="4.75"/>
    <n v="56.75"/>
    <n v="11.9"/>
    <n v="39.5"/>
    <n v="2.9750000000000001"/>
    <n v="0.25"/>
    <n v="0"/>
    <n v="9"/>
    <n v="0"/>
    <n v="33.198546563443358"/>
    <n v="30.201453436556637"/>
    <n v="1"/>
    <n v="0"/>
    <n v="0"/>
    <n v="0"/>
    <n v="0"/>
    <n v="7"/>
    <n v="34.266666666666673"/>
    <n v="6.7818042590691672"/>
    <n v="4.75"/>
    <n v="4.6019386043683639"/>
    <n v="10.39226666411605"/>
    <n v="47.824573148486088"/>
    <n v="0.25"/>
    <n v="23.6"/>
    <n v="0.31993065081098132"/>
    <n v="11.774289386084265"/>
    <n v="3.7669560661267685"/>
    <n v="7.5341529214612857"/>
    <n v="1.255692153576881"/>
    <n v="1.1666666666666667"/>
  </r>
  <r>
    <s v="66282-39795"/>
    <x v="1"/>
    <s v="Davis"/>
    <s v="Davis Webb"/>
    <s v="Webb"/>
    <m/>
    <m/>
    <n v="6000"/>
    <s v="BUF@JAC"/>
    <s v="BUF"/>
    <s v="JAC"/>
    <m/>
    <m/>
    <m/>
    <x v="138"/>
    <s v="Davis Webb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33.734564753717166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62364"/>
    <x v="1"/>
    <s v="Josh"/>
    <s v="Josh Rosen"/>
    <s v="Rosen"/>
    <n v="0"/>
    <n v="1"/>
    <n v="6000"/>
    <s v="ATL@NO"/>
    <s v="ATL"/>
    <s v="NO"/>
    <m/>
    <m/>
    <m/>
    <x v="139"/>
    <s v="Josh Rosen"/>
    <n v="5.895161290322581"/>
    <n v="2.7846153846153845"/>
    <n v="9.6184210526315788"/>
    <n v="1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1"/>
    <n v="37.013107313686163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56286"/>
    <x v="1"/>
    <s v="Trace"/>
    <s v="Trace McSorley"/>
    <s v="McSorley"/>
    <n v="3.1000000635782801"/>
    <n v="3"/>
    <n v="6000"/>
    <s v="MIN@BAL"/>
    <s v="BAL"/>
    <s v="MIN"/>
    <m/>
    <m/>
    <m/>
    <x v="140"/>
    <s v="Trace McSorley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e v="#N/A"/>
    <n v="0"/>
    <e v="#N/A"/>
    <n v="0"/>
    <n v="39.43333333333333"/>
    <e v="#N/A"/>
    <n v="0"/>
    <n v="0"/>
    <n v="0"/>
    <n v="0"/>
    <n v="0"/>
    <n v="28.528571428571428"/>
    <n v="0"/>
    <n v="0"/>
    <n v="0"/>
    <e v="#N/A"/>
    <e v="#N/A"/>
    <n v="0"/>
  </r>
  <r>
    <s v="66282-54244"/>
    <x v="2"/>
    <s v="Kenny"/>
    <s v="Kenny Golladay"/>
    <s v="Golladay"/>
    <n v="7.3400001525878897"/>
    <n v="5"/>
    <n v="6000"/>
    <s v="LV@NYG"/>
    <s v="NYG"/>
    <s v="LV"/>
    <s v="Q"/>
    <s v="Knee"/>
    <m/>
    <x v="141"/>
    <s v="Kenny Golladay"/>
    <n v="5.9327731092436977"/>
    <n v="4.8133333333333335"/>
    <n v="9.0512820512820511"/>
    <n v="0"/>
    <n v="0"/>
    <n v="0"/>
    <n v="0"/>
    <n v="5.8"/>
    <n v="3.4"/>
    <n v="56.4"/>
    <n v="16.600000000000001"/>
    <n v="32.5"/>
    <n v="3.3200000000000003"/>
    <n v="0"/>
    <n v="0"/>
    <n v="0"/>
    <n v="0"/>
    <n v="35.232477994905381"/>
    <n v="23.167522005094618"/>
    <n v="1"/>
    <n v="0"/>
    <n v="0"/>
    <n v="0"/>
    <n v="0"/>
    <n v="5.8"/>
    <n v="28.607142857142854"/>
    <n v="7.1432639530245119"/>
    <n v="3.4"/>
    <n v="4.1874305931522997"/>
    <n v="14.290677499562861"/>
    <n v="59.841220158542733"/>
    <n v="0"/>
    <n v="8.5333333333333314"/>
    <n v="0"/>
    <n v="0"/>
    <n v="0"/>
    <n v="7.6841220158542738"/>
    <n v="1.2806870026423789"/>
    <n v="0.96666666666666667"/>
  </r>
  <r>
    <s v="66282-63469"/>
    <x v="1"/>
    <s v="Ben"/>
    <s v="Ben DiNucci"/>
    <s v="DiNucci"/>
    <n v="2.3200000127156502"/>
    <n v="3"/>
    <n v="6000"/>
    <s v="DEN@DAL"/>
    <s v="DAL"/>
    <s v="DEN"/>
    <m/>
    <m/>
    <m/>
    <x v="142"/>
    <s v="Ben DiNucci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40.215481891649205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71672"/>
    <x v="1"/>
    <s v="KJ"/>
    <s v="KJ Costello"/>
    <s v="Costello"/>
    <m/>
    <m/>
    <n v="6000"/>
    <s v="LAC@PHI"/>
    <s v="LAC"/>
    <s v="PHI"/>
    <m/>
    <m/>
    <m/>
    <x v="143"/>
    <s v="KJ Costello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30.851495621477966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64585"/>
    <x v="3"/>
    <s v="Dawson"/>
    <s v="Dawson Knox"/>
    <s v="Knox"/>
    <n v="11.8499997456868"/>
    <n v="6"/>
    <n v="5900"/>
    <s v="BUF@JAC"/>
    <s v="BUF"/>
    <s v="JAC"/>
    <s v="O"/>
    <s v="Hand"/>
    <m/>
    <x v="144"/>
    <s v="Dawson Knox"/>
    <n v="9.3909774436090228"/>
    <n v="3.4552845528455283"/>
    <n v="12.49"/>
    <n v="0"/>
    <n v="0"/>
    <n v="0"/>
    <n v="0"/>
    <n v="0"/>
    <n v="3.5"/>
    <n v="47.666666666666664"/>
    <n v="13.6"/>
    <n v="24.5"/>
    <n v="2.2666666666666666"/>
    <n v="0"/>
    <n v="0"/>
    <n v="0"/>
    <n v="0"/>
    <n v="33.734564753717166"/>
    <n v="28.965435246282837"/>
    <n v="0"/>
    <n v="0"/>
    <n v="0"/>
    <n v="0"/>
    <n v="0"/>
    <n v="0"/>
    <n v="25.8"/>
    <n v="0"/>
    <n v="0"/>
    <n v="0"/>
    <n v="16.156079400089435"/>
    <n v="0"/>
    <n v="0"/>
    <n v="31.133333333333333"/>
    <n v="0"/>
    <n v="0"/>
    <n v="0"/>
    <n v="0"/>
    <n v="0"/>
    <n v="0"/>
  </r>
  <r>
    <s v="66282-83081"/>
    <x v="0"/>
    <s v="Chase"/>
    <s v="Chase Edmonds"/>
    <s v="Edmonds"/>
    <n v="10.3500003814697"/>
    <n v="8"/>
    <n v="5900"/>
    <s v="ARI@SF"/>
    <s v="ARI"/>
    <s v="SF"/>
    <m/>
    <m/>
    <m/>
    <x v="145"/>
    <s v="Chase Edmonds"/>
    <n v="6.5263157894736841"/>
    <n v="4.7051282051282053"/>
    <n v="10.191780821917808"/>
    <n v="0"/>
    <n v="0"/>
    <n v="0"/>
    <n v="0"/>
    <n v="4.625"/>
    <n v="3.75"/>
    <n v="26.375"/>
    <n v="7"/>
    <n v="33"/>
    <n v="0.875"/>
    <n v="9.375"/>
    <n v="45.5"/>
    <n v="5.7"/>
    <n v="0.125"/>
    <e v="#N/A"/>
    <e v="#N/A"/>
    <n v="1"/>
    <n v="0"/>
    <n v="0"/>
    <n v="0"/>
    <n v="0"/>
    <n v="4.625"/>
    <n v="26.625"/>
    <e v="#N/A"/>
    <n v="3.75"/>
    <n v="0"/>
    <n v="6.7855139482791538"/>
    <n v="0"/>
    <n v="9.375"/>
    <n v="32.208333333333329"/>
    <n v="0"/>
    <n v="6.4851595489072347"/>
    <n v="0"/>
    <n v="1.875"/>
    <n v="0.31779661016949151"/>
    <n v="0.78389830508474567"/>
  </r>
  <r>
    <s v="66282-31394"/>
    <x v="2"/>
    <s v="Jarvis"/>
    <s v="Jarvis Landry"/>
    <s v="Landry"/>
    <n v="8"/>
    <n v="4"/>
    <n v="5900"/>
    <s v="CLE@CIN"/>
    <s v="CLE"/>
    <s v="CIN"/>
    <m/>
    <m/>
    <m/>
    <x v="146"/>
    <s v="Jarvis Landry"/>
    <n v="5.884615384615385"/>
    <n v="3.7029702970297032"/>
    <n v="8.5794392523364493"/>
    <n v="0"/>
    <n v="0"/>
    <n v="0"/>
    <n v="0"/>
    <n v="4.666666666666667"/>
    <n v="3.6666666666666665"/>
    <n v="39"/>
    <n v="10.6"/>
    <n v="32"/>
    <n v="3.5333333333333332"/>
    <n v="0.66666666666666663"/>
    <n v="6.833333333333333"/>
    <n v="6.5"/>
    <n v="0.33333333333333331"/>
    <n v="26.716825649263725"/>
    <n v="36.583174350736272"/>
    <n v="1"/>
    <n v="0"/>
    <n v="0"/>
    <n v="0"/>
    <n v="0"/>
    <n v="4.666666666666667"/>
    <n v="23.30952380952381"/>
    <n v="5.3488231126207255"/>
    <n v="3.6666666666666665"/>
    <n v="4.2026467313448554"/>
    <n v="8.6496672558712344"/>
    <n v="36.351495820107871"/>
    <n v="0.66666666666666663"/>
    <n v="31.019047619047615"/>
    <n v="0.78625182823197404"/>
    <n v="5.8202003264107907"/>
    <n v="4.5761431473168166"/>
    <n v="5.9260972300758024"/>
    <n v="1.0044232593348816"/>
    <n v="0.79096045197740117"/>
  </r>
  <r>
    <s v="66282-40669"/>
    <x v="2"/>
    <s v="Tyler"/>
    <s v="Tyler Boyd"/>
    <s v="Boyd"/>
    <n v="9.0174999237060494"/>
    <n v="8"/>
    <n v="5900"/>
    <s v="CLE@CIN"/>
    <s v="CIN"/>
    <s v="CLE"/>
    <m/>
    <m/>
    <m/>
    <x v="147"/>
    <s v="Tyler Boyd"/>
    <n v="6.4117647058823533"/>
    <n v="3.140625"/>
    <n v="10.686274509803921"/>
    <n v="0"/>
    <n v="0"/>
    <n v="0"/>
    <n v="0"/>
    <n v="6.4285714285714288"/>
    <n v="4.5714285714285712"/>
    <n v="47"/>
    <n v="10.3"/>
    <n v="45"/>
    <n v="1.4714285714285715"/>
    <n v="0"/>
    <n v="0"/>
    <n v="0"/>
    <n v="0"/>
    <n v="35.249369534050182"/>
    <n v="23.950630465949821"/>
    <n v="1"/>
    <n v="0"/>
    <n v="0"/>
    <n v="0"/>
    <n v="0"/>
    <n v="6.4285714285714288"/>
    <n v="32.859523809523814"/>
    <n v="6.8961160598460607"/>
    <n v="4.5714285714285712"/>
    <n v="4.9039047536683089"/>
    <n v="10.468830856196151"/>
    <n v="51.338149401049776"/>
    <n v="0"/>
    <n v="33.523809523809533"/>
    <n v="0"/>
    <n v="0"/>
    <n v="0"/>
    <n v="7.4195292258192636"/>
    <n v="1.2575473264100445"/>
    <n v="1.089588377723971"/>
  </r>
  <r>
    <s v="66282-63759"/>
    <x v="0"/>
    <s v="Tony"/>
    <s v="Tony Pollard"/>
    <s v="Pollard"/>
    <n v="9.2571432931082498"/>
    <n v="7"/>
    <n v="5800"/>
    <s v="DEN@DAL"/>
    <s v="DAL"/>
    <s v="DEN"/>
    <m/>
    <m/>
    <m/>
    <x v="148"/>
    <s v="Tony Pollard"/>
    <n v="4.6380952380952385"/>
    <n v="3.6326530612244898"/>
    <n v="8.8545454545454554"/>
    <n v="0"/>
    <n v="0"/>
    <n v="0"/>
    <n v="0"/>
    <n v="2.5"/>
    <n v="2.5"/>
    <n v="19.166666666666668"/>
    <n v="7.7"/>
    <n v="20.5"/>
    <n v="1.2833333333333334"/>
    <n v="10.166666666666666"/>
    <n v="20.59375"/>
    <n v="6"/>
    <n v="0.16666666666666666"/>
    <n v="40.215481891649205"/>
    <n v="26.284518108350792"/>
    <n v="1"/>
    <n v="0"/>
    <n v="0"/>
    <n v="0"/>
    <n v="0"/>
    <n v="2.5"/>
    <n v="28.733333333333334"/>
    <n v="3.4990268467212187"/>
    <n v="2.5"/>
    <n v="3.4990268467212187"/>
    <n v="6.4847259778298989"/>
    <n v="22.690230290057322"/>
    <n v="10.166666666666666"/>
    <n v="32"/>
    <n v="8.3508104406739498"/>
    <n v="5.2704721229130458"/>
    <n v="44.012713631303257"/>
    <n v="7.9202943921360571"/>
    <n v="1.3655679986441478"/>
    <n v="0.43103448275862072"/>
  </r>
  <r>
    <s v="66282-63819"/>
    <x v="2"/>
    <s v="Darius"/>
    <s v="Darius Slayton"/>
    <s v="Slayton"/>
    <n v="6.2"/>
    <n v="5"/>
    <n v="5800"/>
    <s v="LV@NYG"/>
    <s v="NYG"/>
    <s v="LV"/>
    <m/>
    <m/>
    <m/>
    <x v="149"/>
    <s v="Darius Slayton"/>
    <n v="5.9327731092436977"/>
    <n v="4.8133333333333335"/>
    <n v="9.0512820512820511"/>
    <n v="0"/>
    <n v="0"/>
    <n v="0"/>
    <n v="0"/>
    <n v="5.75"/>
    <n v="3"/>
    <n v="47.5"/>
    <n v="15.8"/>
    <n v="41.5"/>
    <n v="3.95"/>
    <n v="0"/>
    <n v="0"/>
    <n v="0"/>
    <n v="0"/>
    <n v="35.232477994905381"/>
    <n v="23.167522005094618"/>
    <n v="1"/>
    <n v="0"/>
    <n v="0"/>
    <n v="0"/>
    <n v="0"/>
    <n v="5.75"/>
    <n v="28.607142857142854"/>
    <n v="7.0816840913605077"/>
    <n v="3"/>
    <n v="3.6947916998402648"/>
    <n v="13.601970150186338"/>
    <n v="50.256446412383518"/>
    <n v="0"/>
    <n v="8.5333333333333314"/>
    <n v="0"/>
    <n v="0"/>
    <n v="0"/>
    <n v="6.525644641238352"/>
    <n v="1.1251111450410951"/>
    <n v="0.99137931034482762"/>
  </r>
  <r>
    <s v="66282-93541"/>
    <x v="0"/>
    <s v="Javonte"/>
    <s v="Javonte Williams"/>
    <s v="Williams"/>
    <n v="8.75"/>
    <n v="8"/>
    <n v="5800"/>
    <s v="DEN@DAL"/>
    <s v="DEN"/>
    <s v="DAL"/>
    <m/>
    <m/>
    <m/>
    <x v="150"/>
    <s v="Javonte Williams"/>
    <n v="7.6538461538461542"/>
    <n v="4.6888888888888891"/>
    <n v="11.306818181818182"/>
    <n v="0"/>
    <n v="0"/>
    <n v="0"/>
    <n v="0"/>
    <n v="3.1428571428571428"/>
    <n v="2.8571428571428572"/>
    <n v="17.428571428571427"/>
    <n v="6.1"/>
    <n v="0"/>
    <n v="0.87142857142857133"/>
    <n v="9.8571428571428577"/>
    <n v="0"/>
    <n v="4.5999999999999996"/>
    <n v="0.14285714285714285"/>
    <n v="29.854056299344741"/>
    <n v="32.74594370065526"/>
    <n v="1"/>
    <n v="0"/>
    <n v="0"/>
    <n v="0"/>
    <n v="0"/>
    <n v="3.1428571428571428"/>
    <n v="31.547619047619044"/>
    <n v="2.9741399483120801"/>
    <n v="2.8571428571428572"/>
    <n v="2.7037635893746184"/>
    <n v="6.5600156541572039"/>
    <n v="17.736731471437768"/>
    <n v="9.8571428571428577"/>
    <n v="12.714285714285715"/>
    <n v="25.387304666800144"/>
    <n v="5.2155741132432523"/>
    <n v="132.40936902518243"/>
    <n v="16.443181478233448"/>
    <n v="2.8350312893505945"/>
    <n v="0.54187192118226601"/>
  </r>
  <r>
    <s v="66282-90561"/>
    <x v="2"/>
    <s v="Jerry"/>
    <s v="Jerry Jeudy"/>
    <s v="Jeudy"/>
    <n v="8.0500001907348597"/>
    <n v="2"/>
    <n v="5800"/>
    <s v="DEN@DAL"/>
    <s v="DEN"/>
    <s v="DAL"/>
    <m/>
    <m/>
    <m/>
    <x v="151"/>
    <s v="Jerry Jeudy"/>
    <n v="7.6538461538461542"/>
    <n v="4.6888888888888891"/>
    <n v="11.306818181818182"/>
    <n v="0"/>
    <n v="0"/>
    <n v="0"/>
    <n v="0"/>
    <n v="7"/>
    <n v="6"/>
    <n v="72"/>
    <n v="12"/>
    <n v="56"/>
    <n v="12"/>
    <n v="0"/>
    <n v="0"/>
    <n v="0"/>
    <n v="0"/>
    <n v="29.854056299344741"/>
    <n v="32.74594370065526"/>
    <n v="1"/>
    <n v="0"/>
    <n v="0"/>
    <n v="0"/>
    <n v="0"/>
    <n v="7"/>
    <n v="31.547619047619044"/>
    <n v="6.6242207939678153"/>
    <n v="6"/>
    <n v="5.6779035376866984"/>
    <n v="12.904948827850239"/>
    <n v="73.27305460331668"/>
    <n v="0"/>
    <n v="12.714285714285715"/>
    <n v="0"/>
    <n v="0"/>
    <n v="0"/>
    <n v="10.327305460331669"/>
    <n v="1.780569906953736"/>
    <n v="1.2068965517241379"/>
  </r>
  <r>
    <s v="66282-90576"/>
    <x v="2"/>
    <s v="DeVonta"/>
    <s v="DeVonta Smith"/>
    <s v="Smith"/>
    <n v="8.0749998092651296"/>
    <n v="8"/>
    <n v="5800"/>
    <s v="LAC@PHI"/>
    <s v="PHI"/>
    <s v="LAC"/>
    <m/>
    <m/>
    <m/>
    <x v="152"/>
    <s v="DeVonta Smith"/>
    <n v="6.5760869565217392"/>
    <n v="5.7954545454545459"/>
    <n v="9.453125"/>
    <n v="0"/>
    <n v="0"/>
    <n v="0"/>
    <n v="0"/>
    <n v="7.5714285714285712"/>
    <n v="4.5714285714285712"/>
    <n v="58"/>
    <n v="12.7"/>
    <n v="0"/>
    <n v="1.8142857142857143"/>
    <n v="0"/>
    <n v="0"/>
    <n v="0"/>
    <n v="0"/>
    <n v="35.928903458126896"/>
    <n v="25.271096541873106"/>
    <n v="1"/>
    <n v="0"/>
    <n v="0"/>
    <n v="0"/>
    <n v="0"/>
    <n v="7.5714285714285712"/>
    <n v="24.999999999999996"/>
    <n v="10.881325047318432"/>
    <n v="4.5714285714285712"/>
    <n v="6.5698566323432042"/>
    <n v="11.418623508235557"/>
    <n v="75.018719387811402"/>
    <n v="0"/>
    <n v="14.428571428571431"/>
    <n v="0"/>
    <n v="0"/>
    <n v="0"/>
    <n v="9.7875862244954259"/>
    <n v="1.687514866292315"/>
    <n v="1.3054187192118227"/>
  </r>
  <r>
    <s v="66282-52916"/>
    <x v="2"/>
    <s v="Russell"/>
    <s v="Russell Gage"/>
    <s v="Gage"/>
    <n v="6.6666666666666599"/>
    <n v="3"/>
    <n v="5800"/>
    <s v="ATL@NO"/>
    <s v="ATL"/>
    <s v="NO"/>
    <m/>
    <m/>
    <m/>
    <x v="153"/>
    <s v="Russell Gage"/>
    <n v="5.895161290322581"/>
    <n v="2.7846153846153845"/>
    <n v="9.6184210526315788"/>
    <n v="0"/>
    <n v="0"/>
    <n v="0"/>
    <n v="0"/>
    <n v="5"/>
    <n v="3"/>
    <n v="31.666666666666668"/>
    <n v="10.6"/>
    <n v="0"/>
    <n v="3.5333333333333332"/>
    <n v="0"/>
    <n v="0"/>
    <n v="0"/>
    <n v="0"/>
    <n v="37.013107313686163"/>
    <n v="26.586892686313835"/>
    <n v="1"/>
    <n v="0"/>
    <n v="0"/>
    <n v="0"/>
    <n v="0"/>
    <n v="5"/>
    <n v="33.666666666666664"/>
    <n v="5.4969961356959658"/>
    <n v="3"/>
    <n v="3.2981976814175793"/>
    <n v="9.6971537632221114"/>
    <n v="31.983130058208921"/>
    <n v="0"/>
    <n v="25.833333333333332"/>
    <n v="0"/>
    <n v="0"/>
    <n v="0"/>
    <n v="4.698313005820892"/>
    <n v="0.81005396652084349"/>
    <n v="0.86206896551724144"/>
  </r>
  <r>
    <s v="66282-86052"/>
    <x v="2"/>
    <s v="Kadarius"/>
    <s v="Kadarius Toney"/>
    <s v="Toney"/>
    <n v="8.2266667683919206"/>
    <n v="6"/>
    <n v="5700"/>
    <s v="LV@NYG"/>
    <s v="NYG"/>
    <s v="LV"/>
    <m/>
    <m/>
    <m/>
    <x v="154"/>
    <s v="Kadarius Toney"/>
    <n v="5.9327731092436977"/>
    <n v="4.8133333333333335"/>
    <n v="9.0512820512820511"/>
    <n v="0.16666666666666666"/>
    <n v="0"/>
    <n v="0"/>
    <n v="0"/>
    <n v="5"/>
    <n v="3.8333333333333335"/>
    <n v="52.833333333333336"/>
    <n v="13.8"/>
    <n v="0"/>
    <n v="2.3000000000000003"/>
    <n v="0.33333333333333331"/>
    <n v="0"/>
    <n v="4"/>
    <n v="0"/>
    <n v="35.232477994905381"/>
    <n v="23.167522005094618"/>
    <n v="1"/>
    <n v="0.16666666666666666"/>
    <n v="0"/>
    <n v="0"/>
    <n v="0"/>
    <n v="5"/>
    <n v="28.607142857142854"/>
    <n v="6.1579861664004412"/>
    <n v="3.8333333333333335"/>
    <n v="4.7211227275736718"/>
    <n v="11.880201776745029"/>
    <n v="56.08789061635207"/>
    <n v="0.33333333333333331"/>
    <n v="8.5333333333333314"/>
    <n v="0.90498132832400868"/>
    <n v="4.6556495072264106"/>
    <n v="4.2132758752607735"/>
    <n v="7.9467833158279513"/>
    <n v="1.3941725115487633"/>
    <n v="0.8771929824561403"/>
  </r>
  <r>
    <s v="66282-42142"/>
    <x v="0"/>
    <s v="Jordan"/>
    <s v="Jordan Howard"/>
    <s v="Howard"/>
    <n v="17.7000007629394"/>
    <n v="1"/>
    <n v="5700"/>
    <s v="LAC@PHI"/>
    <s v="PHI"/>
    <s v="LAC"/>
    <m/>
    <m/>
    <m/>
    <x v="155"/>
    <s v="Jordan Howard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90537"/>
    <x v="2"/>
    <s v="Henry"/>
    <s v="Henry Ruggs III"/>
    <s v="Ruggs III"/>
    <n v="10.357142857142801"/>
    <n v="7"/>
    <n v="5700"/>
    <s v="LV@NYG"/>
    <s v="LV"/>
    <s v="NYG"/>
    <m/>
    <m/>
    <m/>
    <x v="156"/>
    <s v="Henry Ruggs III"/>
    <n v="6.7966101694915251"/>
    <n v="4.5857142857142854"/>
    <n v="9.0112359550561791"/>
    <n v="0"/>
    <n v="0"/>
    <n v="0"/>
    <n v="0"/>
    <n v="5.1428571428571432"/>
    <n v="3.4285714285714284"/>
    <n v="67"/>
    <n v="19.5"/>
    <n v="54.5"/>
    <n v="2.7857142857142856"/>
    <n v="0.42857142857142855"/>
    <n v="0"/>
    <n v="5.3"/>
    <n v="0"/>
    <e v="#N/A"/>
    <e v="#N/A"/>
    <n v="1"/>
    <n v="0"/>
    <n v="0"/>
    <n v="0"/>
    <n v="0"/>
    <n v="5.1428571428571432"/>
    <n v="39.700000000000003"/>
    <e v="#N/A"/>
    <n v="3.4285714285714284"/>
    <n v="0"/>
    <n v="16.712968903741544"/>
    <n v="0"/>
    <n v="0.42857142857142855"/>
    <n v="38.571428571428569"/>
    <n v="0"/>
    <n v="5.8770205579572794"/>
    <n v="0"/>
    <n v="1.7142857142857142"/>
    <n v="0.3007518796992481"/>
    <n v="0.90225563909774442"/>
  </r>
  <r>
    <s v="66282-56809"/>
    <x v="2"/>
    <s v="Allen"/>
    <s v="Allen Lazard"/>
    <s v="Lazard"/>
    <n v="6.3166669209798103"/>
    <n v="6"/>
    <n v="5700"/>
    <s v="GB@KC"/>
    <s v="GB"/>
    <s v="KC"/>
    <m/>
    <m/>
    <m/>
    <x v="157"/>
    <s v="Allen Lazard"/>
    <n v="8.7934782608695645"/>
    <n v="5.404494382022472"/>
    <n v="12.446153846153846"/>
    <n v="0"/>
    <n v="0"/>
    <n v="0"/>
    <n v="0"/>
    <n v="0"/>
    <n v="0"/>
    <n v="0"/>
    <n v="0"/>
    <n v="43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34331"/>
    <x v="0"/>
    <s v="Latavius"/>
    <s v="Latavius Murray"/>
    <s v="Murray"/>
    <n v="8.2833334604898994"/>
    <n v="6"/>
    <n v="5700"/>
    <s v="MIN@BAL"/>
    <s v="BAL"/>
    <s v="MIN"/>
    <s v="D"/>
    <s v="Ankle"/>
    <m/>
    <x v="158"/>
    <s v="Latavius Murray"/>
    <n v="9.1684210526315795"/>
    <n v="4.7733333333333334"/>
    <n v="12.097222222222221"/>
    <n v="0"/>
    <n v="0"/>
    <n v="0"/>
    <n v="0"/>
    <n v="0"/>
    <n v="0.66666666666666663"/>
    <n v="4.166666666666667"/>
    <n v="6.3"/>
    <n v="0"/>
    <n v="1.05"/>
    <n v="9.8333333333333339"/>
    <n v="35.866666666666667"/>
    <n v="3.6"/>
    <n v="0.66666666666666663"/>
    <e v="#N/A"/>
    <e v="#N/A"/>
    <n v="0"/>
    <n v="0"/>
    <n v="0"/>
    <n v="0"/>
    <n v="0"/>
    <n v="0"/>
    <n v="39.43333333333333"/>
    <e v="#N/A"/>
    <n v="0"/>
    <n v="0"/>
    <n v="7.2487119182364488"/>
    <n v="0"/>
    <n v="0"/>
    <n v="28.528571428571428"/>
    <n v="0"/>
    <n v="4.1552639092198049"/>
    <n v="0"/>
    <n v="0"/>
    <n v="0"/>
    <n v="0"/>
  </r>
  <r>
    <s v="66282-14187"/>
    <x v="2"/>
    <s v="A.J."/>
    <s v="A.J. Green"/>
    <s v="Green"/>
    <n v="9.7624998092651296"/>
    <n v="8"/>
    <n v="5700"/>
    <s v="ARI@SF"/>
    <s v="ARI"/>
    <s v="SF"/>
    <s v="IR"/>
    <s v="Illness"/>
    <m/>
    <x v="159"/>
    <s v="A.J. Green"/>
    <n v="6.5263157894736841"/>
    <n v="4.7051282051282053"/>
    <n v="10.191780821917808"/>
    <n v="0"/>
    <n v="0"/>
    <n v="0"/>
    <n v="0"/>
    <n v="0"/>
    <n v="3.625"/>
    <n v="57"/>
    <n v="15.7"/>
    <n v="27"/>
    <n v="1.9624999999999999"/>
    <n v="0"/>
    <n v="0"/>
    <n v="0"/>
    <n v="0"/>
    <e v="#N/A"/>
    <e v="#N/A"/>
    <n v="0"/>
    <n v="0"/>
    <n v="0"/>
    <n v="0"/>
    <n v="0"/>
    <n v="0"/>
    <n v="26.625"/>
    <e v="#N/A"/>
    <n v="0"/>
    <n v="0"/>
    <n v="15.218938426854674"/>
    <n v="0"/>
    <n v="0"/>
    <n v="32.208333333333329"/>
    <n v="0"/>
    <n v="0"/>
    <n v="0"/>
    <n v="0"/>
    <n v="0"/>
    <n v="0"/>
  </r>
  <r>
    <s v="66282-57342"/>
    <x v="2"/>
    <s v="Tre'Quan"/>
    <s v="Tre'Quan Smith"/>
    <s v="Smith"/>
    <n v="6.1999998092651296"/>
    <n v="2"/>
    <n v="5700"/>
    <s v="ATL@NO"/>
    <s v="NO"/>
    <s v="ATL"/>
    <m/>
    <m/>
    <m/>
    <x v="160"/>
    <s v="Tre'Quan Smith"/>
    <n v="7.2264150943396226"/>
    <n v="4.4936708860759493"/>
    <n v="10.213333333333333"/>
    <n v="0"/>
    <n v="0"/>
    <n v="0"/>
    <n v="0"/>
    <n v="3"/>
    <n v="1"/>
    <n v="11"/>
    <n v="11"/>
    <n v="0"/>
    <n v="11"/>
    <n v="0"/>
    <n v="0"/>
    <n v="0"/>
    <n v="0"/>
    <n v="40.544120654665065"/>
    <n v="22.955879345334939"/>
    <n v="1"/>
    <n v="0"/>
    <n v="0"/>
    <n v="0"/>
    <n v="0"/>
    <n v="3"/>
    <n v="24.533333333333335"/>
    <n v="4.9578408409237165"/>
    <n v="1"/>
    <n v="1.6526136136412388"/>
    <n v="10.685499381870484"/>
    <n v="17.659001747034203"/>
    <n v="0"/>
    <n v="23.45"/>
    <n v="0"/>
    <n v="0"/>
    <n v="0"/>
    <n v="2.2659001747034204"/>
    <n v="0.39752634643919654"/>
    <n v="0.52631578947368418"/>
  </r>
  <r>
    <s v="66282-71705"/>
    <x v="3"/>
    <s v="Noah"/>
    <s v="Noah Fant"/>
    <s v="Fant"/>
    <n v="8.5625"/>
    <n v="8"/>
    <n v="5600"/>
    <s v="DEN@DAL"/>
    <s v="DEN"/>
    <s v="DAL"/>
    <s v="IR"/>
    <s v="Illness"/>
    <m/>
    <x v="161"/>
    <s v="Noah Fant"/>
    <n v="7.6538461538461542"/>
    <n v="4.6888888888888891"/>
    <n v="11.306818181818182"/>
    <n v="0"/>
    <n v="0"/>
    <n v="0"/>
    <n v="0"/>
    <n v="0"/>
    <n v="5"/>
    <n v="44.571428571428569"/>
    <n v="8.9"/>
    <n v="31"/>
    <n v="1.2714285714285716"/>
    <n v="0"/>
    <n v="0"/>
    <n v="0"/>
    <n v="0"/>
    <n v="29.854056299344741"/>
    <n v="32.74594370065526"/>
    <n v="0"/>
    <n v="0"/>
    <n v="0"/>
    <n v="0"/>
    <n v="0"/>
    <n v="0"/>
    <n v="31.547619047619044"/>
    <n v="0"/>
    <n v="0"/>
    <n v="0"/>
    <n v="9.5711703806555946"/>
    <n v="0"/>
    <n v="0"/>
    <n v="12.714285714285715"/>
    <n v="0"/>
    <n v="0"/>
    <n v="0"/>
    <n v="0"/>
    <n v="0"/>
    <n v="0"/>
  </r>
  <r>
    <s v="66282-80289"/>
    <x v="2"/>
    <s v="Kendrick"/>
    <s v="Kendrick Bourne"/>
    <s v="Bourne"/>
    <n v="8.6999998092651296"/>
    <n v="8"/>
    <n v="5600"/>
    <s v="NE@CAR"/>
    <s v="NE"/>
    <s v="CAR"/>
    <m/>
    <m/>
    <m/>
    <x v="162"/>
    <s v="Kendrick Bourne"/>
    <n v="5.0344827586206895"/>
    <n v="2.6470588235294117"/>
    <n v="8.76"/>
    <n v="0.14285714285714285"/>
    <n v="3.5714285714285716"/>
    <n v="25"/>
    <n v="0.14285714285714285"/>
    <n v="4"/>
    <n v="3.1428571428571428"/>
    <n v="50"/>
    <n v="15.9"/>
    <n v="33"/>
    <n v="2.2714285714285714"/>
    <n v="0.2857142857142857"/>
    <n v="0"/>
    <n v="14"/>
    <n v="0"/>
    <n v="27.892429902449898"/>
    <n v="33.907570097550099"/>
    <n v="1"/>
    <n v="0.14285714285714285"/>
    <n v="0"/>
    <n v="17.876988570132909"/>
    <n v="0"/>
    <n v="4"/>
    <n v="35.154761904761905"/>
    <n v="3.1736730264893889"/>
    <n v="3.1428571428571428"/>
    <n v="2.4936002350988056"/>
    <n v="13.247559006982392"/>
    <n v="33.034116254296592"/>
    <n v="0.2857142857142857"/>
    <n v="29.773809523809522"/>
    <n v="0.32538251992850953"/>
    <n v="8.9611959921968349"/>
    <n v="2.9158165335142665"/>
    <n v="5.1664218502096571"/>
    <n v="0.92257533039458173"/>
    <n v="0.7142857142857143"/>
  </r>
  <r>
    <s v="66282-57986"/>
    <x v="2"/>
    <s v="Hunter"/>
    <s v="Hunter Renfrow"/>
    <s v="Renfrow"/>
    <n v="10.1285716465541"/>
    <n v="7"/>
    <n v="5600"/>
    <s v="LV@NYG"/>
    <s v="LV"/>
    <s v="NYG"/>
    <m/>
    <m/>
    <m/>
    <x v="163"/>
    <s v="Hunter Renfrow"/>
    <n v="6.7966101694915251"/>
    <n v="4.5857142857142854"/>
    <n v="9.0112359550561791"/>
    <n v="0"/>
    <n v="0"/>
    <n v="0"/>
    <n v="0"/>
    <n v="7.2857142857142856"/>
    <n v="5.4285714285714288"/>
    <n v="57"/>
    <n v="10.5"/>
    <n v="40"/>
    <n v="1.5"/>
    <n v="0"/>
    <n v="0"/>
    <n v="0"/>
    <n v="0"/>
    <e v="#N/A"/>
    <e v="#N/A"/>
    <n v="1"/>
    <n v="0"/>
    <n v="0"/>
    <n v="0"/>
    <n v="0"/>
    <n v="7.2857142857142856"/>
    <n v="39.700000000000003"/>
    <e v="#N/A"/>
    <n v="5.4285714285714288"/>
    <n v="0"/>
    <n v="8.9992909481685235"/>
    <n v="0"/>
    <n v="0"/>
    <n v="38.571428571428569"/>
    <n v="0"/>
    <n v="0"/>
    <n v="0"/>
    <n v="2.7142857142857144"/>
    <n v="0.48469387755102045"/>
    <n v="1.3010204081632655"/>
  </r>
  <r>
    <s v="66282-57091"/>
    <x v="2"/>
    <s v="Tim"/>
    <s v="Tim Patrick"/>
    <s v="Patrick"/>
    <n v="9.4250001907348597"/>
    <n v="8"/>
    <n v="5600"/>
    <s v="DEN@DAL"/>
    <s v="DEN"/>
    <s v="DAL"/>
    <m/>
    <m/>
    <m/>
    <x v="164"/>
    <s v="Tim Patrick"/>
    <n v="7.6538461538461542"/>
    <n v="4.6888888888888891"/>
    <n v="11.306818181818182"/>
    <n v="0"/>
    <n v="0"/>
    <n v="0"/>
    <n v="0"/>
    <n v="5.5714285714285712"/>
    <n v="3.8571428571428572"/>
    <n v="51.428571428571431"/>
    <n v="13.3"/>
    <n v="38.5"/>
    <n v="1.9000000000000001"/>
    <n v="0"/>
    <n v="0"/>
    <n v="0"/>
    <n v="0"/>
    <n v="29.854056299344741"/>
    <n v="32.74594370065526"/>
    <n v="1"/>
    <n v="0"/>
    <n v="0"/>
    <n v="0"/>
    <n v="0"/>
    <n v="5.5714285714285712"/>
    <n v="31.547619047619044"/>
    <n v="5.2723389992805059"/>
    <n v="3.8571428571428572"/>
    <n v="3.6500808456557352"/>
    <n v="14.30298495086735"/>
    <n v="52.207051404863151"/>
    <n v="0"/>
    <n v="12.714285714285715"/>
    <n v="0"/>
    <n v="0"/>
    <n v="0"/>
    <n v="7.1492765690577436"/>
    <n v="1.2766565301888828"/>
    <n v="0.99489795918367352"/>
  </r>
  <r>
    <s v="66282-28473"/>
    <x v="0"/>
    <s v="Carlos"/>
    <s v="Carlos Hyde"/>
    <s v="Hyde"/>
    <n v="3.8999999364217102"/>
    <n v="6"/>
    <n v="5600"/>
    <s v="BUF@JAC"/>
    <s v="JAC"/>
    <s v="BUF"/>
    <m/>
    <m/>
    <m/>
    <x v="165"/>
    <s v="Carlos Hyde"/>
    <n v="5.34"/>
    <n v="3.393939393939394"/>
    <n v="9.3684210526315788"/>
    <n v="0"/>
    <n v="0"/>
    <n v="0"/>
    <n v="0"/>
    <n v="0.8"/>
    <n v="0.4"/>
    <n v="2.8"/>
    <n v="7"/>
    <n v="9"/>
    <n v="1.4"/>
    <n v="4.8"/>
    <n v="39.799999999999997"/>
    <n v="4.5"/>
    <n v="0"/>
    <n v="44.656477842721628"/>
    <n v="14.343522157278372"/>
    <n v="1"/>
    <n v="0"/>
    <n v="0"/>
    <n v="0"/>
    <n v="0"/>
    <n v="0.8"/>
    <n v="34.133333333333333"/>
    <n v="1.0466361994387881"/>
    <n v="0.4"/>
    <n v="0.52331809971939403"/>
    <n v="6.2373350483828043"/>
    <n v="3.2641103248328638"/>
    <n v="4.8"/>
    <n v="20.466666666666665"/>
    <n v="3.3639530792314098"/>
    <n v="3.6930989543599071"/>
    <n v="12.423411599425309"/>
    <n v="1.7687521924258174"/>
    <n v="0.31584860579032453"/>
    <n v="0.14285714285714288"/>
  </r>
  <r>
    <s v="66282-30635"/>
    <x v="0"/>
    <s v="Mike"/>
    <s v="Mike Davis"/>
    <s v="Davis"/>
    <n v="8.3285713195800692"/>
    <n v="7"/>
    <n v="5600"/>
    <s v="ATL@NO"/>
    <s v="ATL"/>
    <s v="NO"/>
    <m/>
    <m/>
    <m/>
    <x v="166"/>
    <s v="Mike Davis"/>
    <n v="5.895161290322581"/>
    <n v="2.7846153846153845"/>
    <n v="9.6184210526315788"/>
    <n v="0"/>
    <n v="0"/>
    <n v="0"/>
    <n v="0"/>
    <n v="4"/>
    <n v="3"/>
    <n v="14.666666666666666"/>
    <n v="4.9000000000000004"/>
    <n v="16"/>
    <n v="0.81666666666666676"/>
    <n v="11"/>
    <n v="45.9"/>
    <n v="3.2"/>
    <n v="0.16666666666666666"/>
    <n v="37.013107313686163"/>
    <n v="26.586892686313835"/>
    <n v="1"/>
    <n v="0"/>
    <n v="0"/>
    <n v="0"/>
    <n v="0"/>
    <n v="4"/>
    <n v="33.666666666666664"/>
    <n v="4.3975969085567721"/>
    <n v="3"/>
    <n v="3.2981976814175793"/>
    <n v="4.4826465509234286"/>
    <n v="14.784654460870161"/>
    <n v="11"/>
    <n v="25.833333333333332"/>
    <n v="11.320870434172344"/>
    <n v="2.1547135584265424"/>
    <n v="24.393233017701327"/>
    <n v="5.4177887478571485"/>
    <n v="0.96746227640306226"/>
    <n v="0.7142857142857143"/>
  </r>
  <r>
    <s v="66282-14257"/>
    <x v="2"/>
    <s v="Randall"/>
    <s v="Randall Cobb"/>
    <s v="Cobb"/>
    <n v="7.4285714285714199"/>
    <n v="7"/>
    <n v="5600"/>
    <s v="GB@KC"/>
    <s v="GB"/>
    <s v="KC"/>
    <m/>
    <m/>
    <m/>
    <x v="167"/>
    <s v="Randall Cobb"/>
    <n v="8.7934782608695645"/>
    <n v="5.404494382022472"/>
    <n v="12.446153846153846"/>
    <n v="0"/>
    <n v="0"/>
    <n v="0"/>
    <n v="0"/>
    <n v="2.875"/>
    <n v="2.125"/>
    <n v="24.25"/>
    <n v="11.4"/>
    <n v="33"/>
    <n v="1.425"/>
    <n v="0.125"/>
    <n v="0"/>
    <n v="1"/>
    <n v="0"/>
    <e v="#N/A"/>
    <e v="#N/A"/>
    <n v="1"/>
    <n v="0"/>
    <n v="0"/>
    <n v="0"/>
    <n v="0"/>
    <n v="2.875"/>
    <n v="30.583333333333336"/>
    <e v="#N/A"/>
    <n v="2.125"/>
    <n v="0"/>
    <n v="13.495054674985676"/>
    <n v="0"/>
    <n v="0.125"/>
    <n v="14.916666666666666"/>
    <n v="0"/>
    <n v="1.3068610598928754"/>
    <n v="0"/>
    <n v="1.0625"/>
    <n v="0.18973214285714288"/>
    <n v="0.51339285714285721"/>
  </r>
  <r>
    <s v="66282-42028"/>
    <x v="2"/>
    <s v="Will"/>
    <s v="Will Fuller V"/>
    <s v="Fuller V"/>
    <n v="3.2999999523162802"/>
    <n v="2"/>
    <n v="5500"/>
    <s v="HOU@MIA"/>
    <s v="MIA"/>
    <s v="HOU"/>
    <s v="IR"/>
    <s v="Finger"/>
    <m/>
    <x v="168"/>
    <s v="Will Fuller"/>
    <n v="7.6226415094339623"/>
    <n v="4.2048192771084336"/>
    <n v="11.542857142857143"/>
    <n v="0"/>
    <n v="0"/>
    <n v="0"/>
    <n v="0"/>
    <n v="0"/>
    <n v="2"/>
    <n v="13"/>
    <n v="6.5"/>
    <n v="0"/>
    <n v="3.25"/>
    <n v="0"/>
    <n v="0"/>
    <n v="0"/>
    <n v="0"/>
    <n v="40.244550246190627"/>
    <n v="21.855449753809374"/>
    <n v="0"/>
    <n v="0"/>
    <n v="0"/>
    <n v="0"/>
    <n v="0"/>
    <n v="0"/>
    <n v="27.457142857142856"/>
    <n v="0"/>
    <n v="0"/>
    <n v="0"/>
    <n v="7.1361062807615605"/>
    <n v="0"/>
    <n v="0"/>
    <n v="17.464285714285712"/>
    <n v="0"/>
    <n v="0"/>
    <n v="0"/>
    <n v="0"/>
    <n v="0"/>
    <n v="0"/>
  </r>
  <r>
    <s v="66282-24641"/>
    <x v="2"/>
    <s v="Sammy"/>
    <s v="Sammy Watkins"/>
    <s v="Watkins"/>
    <n v="7.6400001525878896"/>
    <n v="5"/>
    <n v="5500"/>
    <s v="MIN@BAL"/>
    <s v="BAL"/>
    <s v="MIN"/>
    <s v="Q"/>
    <s v="Thigh"/>
    <m/>
    <x v="169"/>
    <s v="Sammy Watkins"/>
    <n v="9.1684210526315795"/>
    <n v="4.7733333333333334"/>
    <n v="12.097222222222221"/>
    <n v="0"/>
    <n v="0"/>
    <n v="0"/>
    <n v="0"/>
    <n v="6.4"/>
    <n v="3.6"/>
    <n v="58.4"/>
    <n v="16.2"/>
    <n v="43"/>
    <n v="3.2399999999999998"/>
    <n v="0"/>
    <n v="0"/>
    <n v="0"/>
    <n v="0"/>
    <e v="#N/A"/>
    <e v="#N/A"/>
    <n v="1"/>
    <n v="0"/>
    <n v="0"/>
    <n v="0"/>
    <n v="0"/>
    <n v="6.4"/>
    <n v="39.43333333333333"/>
    <e v="#N/A"/>
    <n v="3.6"/>
    <n v="0"/>
    <n v="18.639544932608011"/>
    <n v="0"/>
    <n v="0"/>
    <n v="28.528571428571428"/>
    <n v="0"/>
    <n v="0"/>
    <n v="0"/>
    <n v="1.8"/>
    <n v="0.32727272727272727"/>
    <n v="1.1636363636363638"/>
  </r>
  <r>
    <s v="66282-29780"/>
    <x v="3"/>
    <s v="Zach"/>
    <s v="Zach Ertz"/>
    <s v="Ertz"/>
    <n v="7.5749998092651296"/>
    <n v="8"/>
    <n v="5500"/>
    <s v="ARI@SF"/>
    <s v="ARI"/>
    <s v="SF"/>
    <m/>
    <m/>
    <m/>
    <x v="170"/>
    <s v="Zach Ertz"/>
    <n v="6.5263157894736841"/>
    <n v="4.7051282051282053"/>
    <n v="10.191780821917808"/>
    <n v="0"/>
    <n v="0"/>
    <n v="0"/>
    <n v="0"/>
    <n v="5"/>
    <n v="3.125"/>
    <n v="37.125"/>
    <n v="11.9"/>
    <n v="35"/>
    <n v="1.4875"/>
    <n v="0.125"/>
    <n v="0"/>
    <n v="4"/>
    <n v="0"/>
    <e v="#N/A"/>
    <e v="#N/A"/>
    <n v="1"/>
    <n v="0"/>
    <n v="0"/>
    <n v="0"/>
    <n v="0"/>
    <n v="5"/>
    <n v="26.625"/>
    <e v="#N/A"/>
    <n v="3.125"/>
    <n v="0"/>
    <n v="11.535373712074563"/>
    <n v="0"/>
    <n v="0.125"/>
    <n v="32.208333333333329"/>
    <n v="0"/>
    <n v="4.5509891571278835"/>
    <n v="0"/>
    <n v="1.5625"/>
    <n v="0.28409090909090912"/>
    <n v="0.90909090909090906"/>
  </r>
  <r>
    <s v="66282-63634"/>
    <x v="2"/>
    <s v="Jakobi"/>
    <s v="Jakobi Meyers"/>
    <s v="Meyers"/>
    <n v="8.8625001907348597"/>
    <n v="8"/>
    <n v="5500"/>
    <s v="NE@CAR"/>
    <s v="NE"/>
    <s v="CAR"/>
    <m/>
    <m/>
    <m/>
    <x v="171"/>
    <s v="Jakobi Meyers"/>
    <n v="5.0344827586206895"/>
    <n v="2.6470588235294117"/>
    <n v="8.76"/>
    <n v="0.2857142857142857"/>
    <n v="6.4285714285714288"/>
    <n v="22.5"/>
    <n v="0"/>
    <n v="8.4285714285714288"/>
    <n v="5.8571428571428568"/>
    <n v="55.714285714285715"/>
    <n v="9.5"/>
    <n v="28.5"/>
    <n v="1.3571428571428572"/>
    <n v="0"/>
    <n v="0"/>
    <n v="0"/>
    <n v="0"/>
    <n v="27.892429902449898"/>
    <n v="33.907570097550099"/>
    <n v="1"/>
    <n v="0.2857142857142857"/>
    <n v="0"/>
    <n v="16.089289713119619"/>
    <n v="0"/>
    <n v="8.4285714285714288"/>
    <n v="35.154761904761905"/>
    <n v="6.6873824486740698"/>
    <n v="5.8571428571428568"/>
    <n v="4.6471640745023191"/>
    <n v="7.9152082117190394"/>
    <n v="36.783271243706466"/>
    <n v="0"/>
    <n v="29.773809523809522"/>
    <n v="0"/>
    <n v="0"/>
    <n v="0"/>
    <n v="6.6068985529420754"/>
    <n v="1.2012542823531047"/>
    <n v="1.5324675324675325"/>
  </r>
  <r>
    <s v="66282-71845"/>
    <x v="0"/>
    <s v="Miles"/>
    <s v="Miles Sanders"/>
    <s v="Sanders"/>
    <n v="7.6142856052943602"/>
    <n v="7"/>
    <n v="5500"/>
    <s v="LAC@PHI"/>
    <s v="PHI"/>
    <s v="LAC"/>
    <s v="IR"/>
    <s v="Ankle"/>
    <m/>
    <x v="172"/>
    <s v="Miles Sanders"/>
    <n v="6.5760869565217392"/>
    <n v="5.7954545454545459"/>
    <n v="9.453125"/>
    <n v="0"/>
    <n v="0"/>
    <n v="0"/>
    <n v="0"/>
    <n v="0"/>
    <n v="2.7142857142857144"/>
    <n v="16.857142857142858"/>
    <n v="6.2"/>
    <n v="26.5"/>
    <n v="0.88571428571428579"/>
    <n v="9"/>
    <n v="73.125"/>
    <n v="4.8"/>
    <n v="0"/>
    <n v="35.928903458126896"/>
    <n v="25.271096541873106"/>
    <n v="0"/>
    <n v="0"/>
    <n v="0"/>
    <n v="0"/>
    <n v="0"/>
    <n v="0"/>
    <n v="24.999999999999996"/>
    <n v="0"/>
    <n v="0"/>
    <n v="0"/>
    <n v="5.5744461221307446"/>
    <n v="0"/>
    <n v="0"/>
    <n v="14.428571428571431"/>
    <n v="0"/>
    <n v="6.7267159525841178"/>
    <n v="0"/>
    <n v="0"/>
    <n v="0"/>
    <n v="0"/>
  </r>
  <r>
    <s v="66282-57543"/>
    <x v="0"/>
    <s v="D'Ernest"/>
    <s v="D'Ernest Johnson"/>
    <s v="Johnson"/>
    <n v="8.875"/>
    <n v="4"/>
    <n v="5500"/>
    <s v="CLE@CIN"/>
    <s v="CLE"/>
    <s v="CIN"/>
    <m/>
    <m/>
    <m/>
    <x v="173"/>
    <s v="D'Ernest Johnson"/>
    <n v="5.884615384615385"/>
    <n v="3.7029702970297032"/>
    <n v="8.5794392523364493"/>
    <n v="0"/>
    <n v="0"/>
    <n v="0"/>
    <n v="0"/>
    <n v="0.42857142857142855"/>
    <n v="0.42857142857142855"/>
    <n v="4.1428571428571432"/>
    <n v="9.6999999999999993"/>
    <n v="0"/>
    <n v="1.3857142857142857"/>
    <n v="3.5714285714285716"/>
    <n v="0"/>
    <n v="6.3"/>
    <n v="0.14285714285714285"/>
    <n v="26.716825649263725"/>
    <n v="36.583174350736272"/>
    <n v="1"/>
    <n v="0"/>
    <n v="0"/>
    <n v="0"/>
    <n v="0"/>
    <n v="0.42857142857142855"/>
    <n v="23.30952380952381"/>
    <n v="0.49121844911822987"/>
    <n v="0.42857142857142855"/>
    <n v="0.49121844911822987"/>
    <n v="7.9152615454670716"/>
    <n v="3.8881225007294984"/>
    <n v="3.5714285714285716"/>
    <n v="31.019047619047615"/>
    <n v="4.2120633655284321"/>
    <n v="5.6411172394443039"/>
    <n v="23.760743264914232"/>
    <n v="2.9791722908500873"/>
    <n v="0.54166768924547037"/>
    <n v="7.792207792207792E-2"/>
  </r>
  <r>
    <s v="66282-24920"/>
    <x v="0"/>
    <s v="Devonta"/>
    <s v="Devonta Freeman"/>
    <s v="Freeman"/>
    <n v="5.2999998728434203"/>
    <n v="6"/>
    <n v="5500"/>
    <s v="MIN@BAL"/>
    <s v="BAL"/>
    <s v="MIN"/>
    <m/>
    <m/>
    <m/>
    <x v="174"/>
    <s v="Devonta Freeman"/>
    <n v="9.1684210526315795"/>
    <n v="4.7733333333333334"/>
    <n v="12.097222222222221"/>
    <n v="0"/>
    <n v="0"/>
    <n v="0"/>
    <n v="0"/>
    <n v="1.5"/>
    <n v="1"/>
    <n v="9.8333333333333339"/>
    <n v="9.8000000000000007"/>
    <n v="0"/>
    <n v="1.6333333333333335"/>
    <n v="3.3333333333333335"/>
    <n v="0"/>
    <n v="5.5"/>
    <n v="0.33333333333333331"/>
    <e v="#N/A"/>
    <e v="#N/A"/>
    <n v="1"/>
    <n v="0"/>
    <n v="0"/>
    <n v="0"/>
    <n v="0"/>
    <n v="1.5"/>
    <n v="39.43333333333333"/>
    <e v="#N/A"/>
    <n v="1"/>
    <n v="0"/>
    <n v="11.275774095034476"/>
    <n v="0"/>
    <n v="3.3333333333333335"/>
    <n v="28.528571428571428"/>
    <n v="0"/>
    <n v="6.3483198613080347"/>
    <n v="0"/>
    <n v="0.5"/>
    <n v="9.0909090909090912E-2"/>
    <n v="0.27272727272727271"/>
  </r>
  <r>
    <s v="66282-63855"/>
    <x v="2"/>
    <s v="K.J."/>
    <s v="K.J. Osborn"/>
    <s v="Osborn"/>
    <n v="8.4428569248744392"/>
    <n v="7"/>
    <n v="5500"/>
    <s v="MIN@BAL"/>
    <s v="MIN"/>
    <s v="BAL"/>
    <m/>
    <m/>
    <m/>
    <x v="175"/>
    <s v="K.J. Osborn"/>
    <n v="8"/>
    <n v="3.5909090909090908"/>
    <n v="11.8"/>
    <n v="0"/>
    <n v="0"/>
    <n v="0"/>
    <n v="0"/>
    <n v="5.833333333333333"/>
    <n v="4.333333333333333"/>
    <n v="51.833333333333336"/>
    <n v="12"/>
    <n v="0"/>
    <n v="2"/>
    <n v="0.16666666666666666"/>
    <n v="0"/>
    <n v="10"/>
    <n v="0"/>
    <n v="25.759493140243904"/>
    <n v="38.040506859756093"/>
    <n v="1"/>
    <n v="0"/>
    <n v="0"/>
    <n v="0"/>
    <n v="0"/>
    <n v="5.833333333333333"/>
    <n v="38.833333333333329"/>
    <n v="3.869451759264106"/>
    <n v="4.333333333333333"/>
    <n v="2.8744498783104788"/>
    <n v="13.467838053105215"/>
    <n v="38.712625452853523"/>
    <n v="0.16666666666666666"/>
    <n v="33.833333333333336"/>
    <n v="0.18739165940766545"/>
    <n v="8.6831790891200207"/>
    <n v="1.6271553384441415"/>
    <n v="6.2006447457964331"/>
    <n v="1.1273899537811696"/>
    <n v="1.0606060606060606"/>
  </r>
  <r>
    <s v="66282-56698"/>
    <x v="2"/>
    <s v="Dante"/>
    <s v="Dante Pettis"/>
    <s v="Pettis"/>
    <n v="6.7800000508626299"/>
    <n v="3"/>
    <n v="5500"/>
    <s v="LV@NYG"/>
    <s v="NYG"/>
    <s v="LV"/>
    <s v="IR"/>
    <s v="Shoulder"/>
    <m/>
    <x v="176"/>
    <s v="Dante Pettis"/>
    <n v="5.9327731092436977"/>
    <n v="4.8133333333333335"/>
    <n v="9.0512820512820511"/>
    <n v="0.5"/>
    <n v="8"/>
    <n v="16"/>
    <n v="0"/>
    <n v="0"/>
    <n v="5"/>
    <n v="43.5"/>
    <n v="8.6999999999999993"/>
    <n v="0"/>
    <n v="4.3499999999999996"/>
    <n v="0"/>
    <n v="0"/>
    <n v="0"/>
    <n v="0"/>
    <n v="35.232477994905381"/>
    <n v="23.167522005094618"/>
    <n v="0"/>
    <n v="0"/>
    <n v="0"/>
    <n v="13.482710771862369"/>
    <n v="0"/>
    <n v="0"/>
    <n v="28.607142857142854"/>
    <n v="0"/>
    <n v="0"/>
    <n v="0"/>
    <n v="7.4896924244696912"/>
    <n v="0"/>
    <n v="0"/>
    <n v="8.5333333333333314"/>
    <n v="0"/>
    <n v="0"/>
    <n v="0"/>
    <n v="0"/>
    <n v="0"/>
    <n v="0"/>
  </r>
  <r>
    <s v="66282-47523"/>
    <x v="2"/>
    <s v="Tajae"/>
    <s v="Tajae Sharpe"/>
    <s v="Sharpe"/>
    <n v="3.8833332061767498"/>
    <n v="6"/>
    <n v="5500"/>
    <s v="ATL@NO"/>
    <s v="ATL"/>
    <s v="NO"/>
    <m/>
    <m/>
    <m/>
    <x v="177"/>
    <s v="Tajae Sharpe"/>
    <n v="5.895161290322581"/>
    <n v="2.7846153846153845"/>
    <n v="9.6184210526315788"/>
    <n v="0"/>
    <n v="0"/>
    <n v="0"/>
    <n v="0"/>
    <n v="2"/>
    <n v="1.6666666666666667"/>
    <n v="16.666666666666668"/>
    <n v="10"/>
    <n v="0"/>
    <n v="1.6666666666666667"/>
    <n v="0"/>
    <n v="0"/>
    <n v="0"/>
    <n v="0"/>
    <n v="37.013107313686163"/>
    <n v="26.586892686313835"/>
    <n v="1"/>
    <n v="0"/>
    <n v="0"/>
    <n v="0"/>
    <n v="0"/>
    <n v="2"/>
    <n v="33.666666666666664"/>
    <n v="2.198798454278386"/>
    <n v="1.6666666666666667"/>
    <n v="1.8323320452319884"/>
    <n v="9.1482582671906698"/>
    <n v="16.762646781031926"/>
    <n v="0"/>
    <n v="25.833333333333332"/>
    <n v="0"/>
    <n v="0"/>
    <n v="0"/>
    <n v="2.5095980114365259"/>
    <n v="0.45629054753391379"/>
    <n v="0.36363636363636365"/>
  </r>
  <r>
    <s v="66282-31360"/>
    <x v="2"/>
    <s v="Odell"/>
    <s v="Odell Beckham Jr."/>
    <s v="Beckham Jr."/>
    <n v="5.5166664123535103"/>
    <n v="6"/>
    <n v="5500"/>
    <s v="CLE@CIN"/>
    <s v="CLE"/>
    <s v="CIN"/>
    <s v="O"/>
    <s v="Shoulder - ac joint"/>
    <m/>
    <x v="178"/>
    <s v="Odell Beckham Jr."/>
    <n v="5.884615384615385"/>
    <n v="3.7029702970297032"/>
    <n v="8.5794392523364493"/>
    <n v="0"/>
    <n v="0"/>
    <n v="0"/>
    <n v="0"/>
    <n v="0"/>
    <n v="3.2"/>
    <n v="45.2"/>
    <n v="14.1"/>
    <n v="0"/>
    <n v="2.82"/>
    <n v="0.4"/>
    <n v="0"/>
    <n v="7"/>
    <n v="0"/>
    <n v="26.716825649263725"/>
    <n v="36.583174350736272"/>
    <n v="0"/>
    <n v="0"/>
    <n v="0"/>
    <n v="0"/>
    <n v="0"/>
    <n v="0"/>
    <n v="23.30952380952381"/>
    <n v="0"/>
    <n v="0"/>
    <n v="0"/>
    <n v="11.505689462998529"/>
    <n v="0"/>
    <n v="0"/>
    <n v="31.019047619047615"/>
    <n v="0"/>
    <n v="6.2679080438270054"/>
    <n v="0"/>
    <n v="0"/>
    <n v="0"/>
    <n v="0"/>
  </r>
  <r>
    <s v="66282-26251"/>
    <x v="2"/>
    <s v="Robby"/>
    <s v="Robby Anderson"/>
    <s v="Anderson"/>
    <n v="5.2125000953674299"/>
    <n v="8"/>
    <n v="5500"/>
    <s v="NE@CAR"/>
    <s v="CAR"/>
    <s v="NE"/>
    <m/>
    <m/>
    <m/>
    <x v="179"/>
    <s v="Robby Anderson"/>
    <n v="5.9135802469135799"/>
    <n v="4"/>
    <n v="9.9791666666666661"/>
    <n v="0"/>
    <n v="0"/>
    <n v="0"/>
    <n v="0"/>
    <n v="7"/>
    <n v="2.5714285714285716"/>
    <n v="29.142857142857142"/>
    <n v="11.3"/>
    <n v="57"/>
    <n v="1.6142857142857143"/>
    <n v="0.14285714285714285"/>
    <n v="0"/>
    <n v="3"/>
    <n v="0"/>
    <n v="42.879374651732974"/>
    <n v="18.220625348267024"/>
    <n v="1"/>
    <n v="0"/>
    <n v="0"/>
    <n v="0"/>
    <n v="0"/>
    <n v="7"/>
    <n v="45.690476190476197"/>
    <n v="6.5693257673837895"/>
    <n v="2.5714285714285716"/>
    <n v="2.4132217104675147"/>
    <n v="10.725248209457773"/>
    <n v="25.882401829216334"/>
    <n v="0.14285714285714285"/>
    <n v="38.333333333333336"/>
    <n v="6.7902951608448531E-2"/>
    <n v="2.90172060699707"/>
    <n v="0.19703539395815994"/>
    <n v="3.8936580080317347"/>
    <n v="0.70793781964213354"/>
    <n v="1.2727272727272727"/>
  </r>
  <r>
    <s v="66282-69295"/>
    <x v="2"/>
    <s v="Byron"/>
    <s v="Byron Pringle"/>
    <s v="Pringle"/>
    <n v="5.5625"/>
    <n v="8"/>
    <n v="5500"/>
    <s v="GB@KC"/>
    <s v="KC"/>
    <s v="GB"/>
    <m/>
    <m/>
    <m/>
    <x v="180"/>
    <s v="Byron Pringle"/>
    <n v="6.3711340206185563"/>
    <n v="4.3797468354430382"/>
    <n v="9.3636363636363633"/>
    <n v="0"/>
    <n v="0"/>
    <n v="0"/>
    <n v="0"/>
    <n v="3.2857142857142856"/>
    <n v="2.4285714285714284"/>
    <n v="34.714285714285715"/>
    <n v="14.3"/>
    <n v="21.5"/>
    <n v="2.0428571428571431"/>
    <n v="0"/>
    <n v="0"/>
    <n v="0"/>
    <n v="0"/>
    <n v="35.894621752555366"/>
    <n v="26.105378247444634"/>
    <n v="1"/>
    <n v="0"/>
    <n v="0"/>
    <n v="0"/>
    <n v="0"/>
    <n v="3.2857142857142856"/>
    <n v="38.357142857142847"/>
    <n v="3.0747720681891009"/>
    <n v="2.4285714285714284"/>
    <n v="2.2726576156180309"/>
    <n v="12.735476803042291"/>
    <n v="28.943378344960834"/>
    <n v="0"/>
    <n v="15.523809523809524"/>
    <n v="0"/>
    <n v="0"/>
    <n v="0"/>
    <n v="4.1086235487817975"/>
    <n v="0.74702246341487222"/>
    <n v="0.59740259740259738"/>
  </r>
  <r>
    <s v="66282-85798"/>
    <x v="2"/>
    <s v="Brandon"/>
    <s v="Brandon Aiyuk"/>
    <s v="Aiyuk"/>
    <n v="4.2428572518484904"/>
    <n v="7"/>
    <n v="5500"/>
    <s v="ARI@SF"/>
    <s v="SF"/>
    <s v="ARI"/>
    <m/>
    <m/>
    <m/>
    <x v="181"/>
    <s v="Brandon Aiyuk"/>
    <n v="5.9411764705882355"/>
    <n v="5.4102564102564106"/>
    <n v="9.1818181818181817"/>
    <n v="0"/>
    <n v="0"/>
    <n v="0"/>
    <n v="0"/>
    <n v="2.6666666666666665"/>
    <n v="1.5"/>
    <n v="16"/>
    <n v="10.7"/>
    <n v="0"/>
    <n v="1.7833333333333332"/>
    <n v="0.33333333333333331"/>
    <n v="0"/>
    <n v="5.5"/>
    <n v="0"/>
    <n v="33.198546563443358"/>
    <n v="30.201453436556637"/>
    <n v="1"/>
    <n v="0"/>
    <n v="0"/>
    <n v="0"/>
    <n v="0"/>
    <n v="2.6666666666666665"/>
    <n v="34.266666666666673"/>
    <n v="2.583544479645397"/>
    <n v="1.5"/>
    <n v="1.4532437698005358"/>
    <n v="9.3443070005077065"/>
    <n v="13.579555931591356"/>
    <n v="0.33333333333333331"/>
    <n v="23.6"/>
    <n v="0.42657420108130839"/>
    <n v="7.1953990692737184"/>
    <n v="3.0693716094366263"/>
    <n v="2.414892754102798"/>
    <n v="0.43907140983687237"/>
    <n v="0.48484848484848481"/>
  </r>
  <r>
    <s v="66282-87859"/>
    <x v="2"/>
    <s v="Laviska"/>
    <s v="Laviska Shenault Jr."/>
    <s v="Shenault Jr."/>
    <n v="6.9571429661342004"/>
    <n v="7"/>
    <n v="5500"/>
    <s v="BUF@JAC"/>
    <s v="JAC"/>
    <s v="BUF"/>
    <m/>
    <m/>
    <m/>
    <x v="182"/>
    <s v="Laviska Shenault Jr."/>
    <n v="5.34"/>
    <n v="3.393939393939394"/>
    <n v="9.3684210526315788"/>
    <n v="0"/>
    <n v="0"/>
    <n v="0"/>
    <n v="0"/>
    <n v="6.833333333333333"/>
    <n v="4.333333333333333"/>
    <n v="51"/>
    <n v="11.8"/>
    <n v="25"/>
    <n v="1.9666666666666668"/>
    <n v="0.5"/>
    <n v="9"/>
    <n v="6.7"/>
    <n v="0"/>
    <n v="44.656477842721628"/>
    <n v="14.343522157278372"/>
    <n v="1"/>
    <n v="0"/>
    <n v="0"/>
    <n v="0"/>
    <n v="0"/>
    <n v="6.833333333333333"/>
    <n v="34.133333333333333"/>
    <n v="8.9400175368729826"/>
    <n v="4.333333333333333"/>
    <n v="5.6692794136267697"/>
    <n v="10.514364795845299"/>
    <n v="59.608871884447787"/>
    <n v="0.5"/>
    <n v="20.466666666666665"/>
    <n v="0.3504117790866052"/>
    <n v="5.4986139987136404"/>
    <n v="1.926779113799759"/>
    <n v="8.3202317664914212"/>
    <n v="1.5127694120893493"/>
    <n v="1.2424242424242424"/>
  </r>
  <r>
    <s v="66282-40857"/>
    <x v="0"/>
    <s v="Peyton"/>
    <s v="Peyton Barber"/>
    <s v="Barber"/>
    <n v="8.2999998728434203"/>
    <n v="3"/>
    <n v="5500"/>
    <s v="LV@NYG"/>
    <s v="LV"/>
    <s v="NYG"/>
    <m/>
    <m/>
    <m/>
    <x v="183"/>
    <s v="Peyton Barber"/>
    <n v="6.7966101694915251"/>
    <n v="4.5857142857142854"/>
    <n v="9.0112359550561791"/>
    <n v="0"/>
    <n v="0"/>
    <n v="0"/>
    <n v="0"/>
    <n v="1.6666666666666667"/>
    <n v="1"/>
    <n v="10.333333333333334"/>
    <n v="10.3"/>
    <n v="0"/>
    <n v="3.4333333333333336"/>
    <n v="12.333333333333334"/>
    <n v="0"/>
    <n v="3.9"/>
    <n v="0.33333333333333331"/>
    <e v="#N/A"/>
    <e v="#N/A"/>
    <n v="1"/>
    <n v="0"/>
    <n v="0"/>
    <n v="0"/>
    <n v="0"/>
    <n v="1.6666666666666667"/>
    <n v="39.700000000000003"/>
    <e v="#N/A"/>
    <n v="1"/>
    <n v="0"/>
    <n v="8.8278758824891241"/>
    <n v="0"/>
    <n v="12.333333333333334"/>
    <n v="38.571428571428569"/>
    <n v="0"/>
    <n v="4.324600033213847"/>
    <n v="0"/>
    <n v="0.5"/>
    <n v="9.0909090909090912E-2"/>
    <n v="0.30303030303030304"/>
  </r>
  <r>
    <s v="66282-64575"/>
    <x v="0"/>
    <s v="Derrick"/>
    <s v="Derrick Gore"/>
    <s v="Gore"/>
    <n v="6"/>
    <n v="2"/>
    <n v="5400"/>
    <s v="GB@KC"/>
    <s v="KC"/>
    <s v="GB"/>
    <m/>
    <m/>
    <m/>
    <x v="184"/>
    <s v="Derrick Gore"/>
    <n v="6.3711340206185563"/>
    <n v="4.3797468354430382"/>
    <n v="9.3636363636363633"/>
    <n v="0"/>
    <n v="0"/>
    <n v="0"/>
    <n v="0"/>
    <n v="0.5"/>
    <n v="0.5"/>
    <n v="3.5"/>
    <n v="7"/>
    <n v="0"/>
    <n v="3.5"/>
    <n v="0"/>
    <n v="0"/>
    <n v="0"/>
    <n v="0"/>
    <n v="35.894621752555366"/>
    <n v="26.105378247444634"/>
    <n v="1"/>
    <n v="0"/>
    <n v="0"/>
    <n v="0"/>
    <n v="0"/>
    <n v="0.5"/>
    <n v="38.357142857142847"/>
    <n v="0.4679000973331241"/>
    <n v="0.5"/>
    <n v="0.4679000973331241"/>
    <n v="6.2341494840067151"/>
    <n v="2.9169591503559875"/>
    <n v="0"/>
    <n v="15.523809523809524"/>
    <n v="0"/>
    <n v="0"/>
    <n v="0"/>
    <n v="0.54169591503559877"/>
    <n v="0.1003140583399257"/>
    <n v="9.2592592592592587E-2"/>
  </r>
  <r>
    <s v="66282-65724"/>
    <x v="0"/>
    <s v="JaMycal"/>
    <s v="JaMycal Hasty"/>
    <s v="Hasty"/>
    <n v="5.9000000953674299"/>
    <n v="4"/>
    <n v="5400"/>
    <s v="ARI@SF"/>
    <s v="SF"/>
    <s v="ARI"/>
    <m/>
    <m/>
    <m/>
    <x v="185"/>
    <s v="JaMycal Hasty"/>
    <n v="5.9411764705882355"/>
    <n v="5.4102564102564106"/>
    <n v="9.1818181818181817"/>
    <n v="0"/>
    <n v="0"/>
    <n v="0"/>
    <n v="0"/>
    <n v="4"/>
    <n v="2.6666666666666665"/>
    <n v="17"/>
    <n v="6.4"/>
    <n v="15.5"/>
    <n v="2.1333333333333333"/>
    <n v="3"/>
    <n v="10.75"/>
    <n v="4.7"/>
    <n v="0.33333333333333331"/>
    <n v="33.198546563443358"/>
    <n v="30.201453436556637"/>
    <n v="1"/>
    <n v="0"/>
    <n v="0"/>
    <n v="0"/>
    <n v="0"/>
    <n v="4"/>
    <n v="34.266666666666673"/>
    <n v="3.8753167194680955"/>
    <n v="2.6666666666666665"/>
    <n v="2.583544479645397"/>
    <n v="5.589118205911153"/>
    <n v="14.439735486967345"/>
    <n v="3"/>
    <n v="23.6"/>
    <n v="3.8391678097317756"/>
    <n v="6.1487955682884508"/>
    <n v="23.60625801439442"/>
    <n v="5.1379326834695096"/>
    <n v="0.95146901545731655"/>
    <n v="0.7407407407407407"/>
  </r>
  <r>
    <s v="66282-91419"/>
    <x v="2"/>
    <s v="Nico"/>
    <s v="Nico Collins"/>
    <s v="Collins"/>
    <n v="4.5200000762939396"/>
    <n v="5"/>
    <n v="5400"/>
    <s v="HOU@MIA"/>
    <s v="HOU"/>
    <s v="MIA"/>
    <m/>
    <m/>
    <m/>
    <x v="186"/>
    <s v="Nico Collins"/>
    <n v="6.9217391304347826"/>
    <n v="4.2947368421052632"/>
    <n v="11.055555555555555"/>
    <n v="0"/>
    <n v="0"/>
    <n v="0"/>
    <n v="0"/>
    <n v="3.75"/>
    <n v="2"/>
    <n v="27.75"/>
    <n v="13.9"/>
    <n v="0"/>
    <n v="3.4750000000000001"/>
    <n v="0"/>
    <n v="0"/>
    <n v="0"/>
    <n v="0"/>
    <n v="40.537201150458387"/>
    <n v="17.062798849541611"/>
    <n v="1"/>
    <n v="0"/>
    <n v="0"/>
    <n v="0"/>
    <n v="0"/>
    <n v="3.75"/>
    <n v="28.440476190476193"/>
    <n v="5.3450055933002893"/>
    <n v="2"/>
    <n v="2.8506696497601545"/>
    <n v="14.616049450209642"/>
    <n v="41.665528567106222"/>
    <n v="0"/>
    <n v="13.404761904761903"/>
    <n v="0"/>
    <n v="0"/>
    <n v="0"/>
    <n v="5.1665528567106218"/>
    <n v="0.95676904753900394"/>
    <n v="0.69444444444444442"/>
  </r>
  <r>
    <s v="66282-31207"/>
    <x v="3"/>
    <s v="C.J."/>
    <s v="C.J. Uzomah"/>
    <s v="Uzomah"/>
    <n v="8.6750001907348597"/>
    <n v="8"/>
    <n v="5400"/>
    <s v="CLE@CIN"/>
    <s v="CIN"/>
    <s v="CLE"/>
    <m/>
    <m/>
    <m/>
    <x v="187"/>
    <s v="C.J. Uzomah"/>
    <n v="6.4117647058823533"/>
    <n v="3.140625"/>
    <n v="10.686274509803921"/>
    <n v="0"/>
    <n v="0"/>
    <n v="0"/>
    <n v="0"/>
    <n v="2.7142857142857144"/>
    <n v="2.4285714285714284"/>
    <n v="36.571428571428569"/>
    <n v="15.1"/>
    <n v="27.5"/>
    <n v="2.157142857142857"/>
    <n v="0"/>
    <n v="0"/>
    <n v="0"/>
    <n v="0"/>
    <n v="35.249369534050182"/>
    <n v="23.950630465949821"/>
    <n v="1"/>
    <n v="0"/>
    <n v="0"/>
    <n v="0"/>
    <n v="0"/>
    <n v="2.7142857142857144"/>
    <n v="32.859523809523814"/>
    <n v="2.9116934474905589"/>
    <n v="2.4285714285714284"/>
    <n v="2.6051994003862893"/>
    <n v="15.347509313452608"/>
    <n v="39.983322060829728"/>
    <n v="0"/>
    <n v="33.523809523809533"/>
    <n v="0"/>
    <n v="0"/>
    <n v="0"/>
    <n v="5.2126179203686869"/>
    <n v="0.96529961488309013"/>
    <n v="0.50264550264550267"/>
  </r>
  <r>
    <s v="66282-71246"/>
    <x v="2"/>
    <s v="Marquez"/>
    <s v="Marquez Callaway"/>
    <s v="Callaway"/>
    <n v="7.9857145036969799"/>
    <n v="7"/>
    <n v="5400"/>
    <s v="ATL@NO"/>
    <s v="NO"/>
    <s v="ATL"/>
    <m/>
    <m/>
    <m/>
    <x v="188"/>
    <s v="Marquez Callaway"/>
    <n v="7.2264150943396226"/>
    <n v="4.4936708860759493"/>
    <n v="10.213333333333333"/>
    <n v="0"/>
    <n v="0"/>
    <n v="0"/>
    <n v="0"/>
    <n v="4.666666666666667"/>
    <n v="2.6666666666666665"/>
    <n v="42.333333333333336"/>
    <n v="15.9"/>
    <n v="20.5"/>
    <n v="2.65"/>
    <n v="0"/>
    <n v="0"/>
    <n v="0"/>
    <n v="0"/>
    <n v="40.544120654665065"/>
    <n v="22.955879345334939"/>
    <n v="1"/>
    <n v="0"/>
    <n v="0"/>
    <n v="0"/>
    <n v="0"/>
    <n v="4.666666666666667"/>
    <n v="24.533333333333335"/>
    <n v="7.7121968636591163"/>
    <n v="2.6666666666666665"/>
    <n v="4.4069696363766377"/>
    <n v="15.445403651976427"/>
    <n v="68.067424915840945"/>
    <n v="0"/>
    <n v="23.45"/>
    <n v="0"/>
    <n v="0"/>
    <n v="0"/>
    <n v="8.1400758249174281"/>
    <n v="1.5074214490587829"/>
    <n v="0.86419753086419748"/>
  </r>
  <r>
    <s v="66282-71352"/>
    <x v="2"/>
    <s v="Mecole"/>
    <s v="Mecole Hardman"/>
    <s v="Hardman"/>
    <n v="7.25"/>
    <n v="8"/>
    <n v="5400"/>
    <s v="GB@KC"/>
    <s v="KC"/>
    <s v="GB"/>
    <m/>
    <m/>
    <m/>
    <x v="189"/>
    <s v="Mecole Hardman"/>
    <n v="6.3711340206185563"/>
    <n v="4.3797468354430382"/>
    <n v="9.3636363636363633"/>
    <n v="0"/>
    <n v="0"/>
    <n v="0"/>
    <n v="0"/>
    <n v="5.7142857142857144"/>
    <n v="4.2857142857142856"/>
    <n v="41.285714285714285"/>
    <n v="9.6"/>
    <n v="28.5"/>
    <n v="1.3714285714285714"/>
    <n v="0.5714285714285714"/>
    <n v="0"/>
    <n v="8.3000000000000007"/>
    <n v="0"/>
    <n v="35.894621752555366"/>
    <n v="26.105378247444634"/>
    <n v="1"/>
    <n v="0"/>
    <n v="0"/>
    <n v="0"/>
    <n v="0"/>
    <n v="5.7142857142857144"/>
    <n v="38.357142857142847"/>
    <n v="5.3474296838071327"/>
    <n v="4.2857142857142856"/>
    <n v="4.0105722628553497"/>
    <n v="8.5496907209234951"/>
    <n v="34.289152461327525"/>
    <n v="0.5714285714285714"/>
    <n v="15.523809523809524"/>
    <n v="0.96093416861759373"/>
    <n v="8.7902544717027276"/>
    <n v="8.4468558727027467"/>
    <n v="6.416457976260169"/>
    <n v="1.188232958566698"/>
    <n v="1.0582010582010581"/>
  </r>
  <r>
    <s v="66282-52931"/>
    <x v="0"/>
    <s v="Eli"/>
    <s v="Eli Penny"/>
    <s v="Penny"/>
    <n v="2.01428576878138"/>
    <n v="7"/>
    <n v="5400"/>
    <s v="LV@NYG"/>
    <s v="NYG"/>
    <s v="LV"/>
    <m/>
    <m/>
    <m/>
    <x v="190"/>
    <s v="Eli Penny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85845"/>
    <x v="2"/>
    <s v="Rashod"/>
    <s v="Rashod Bateman"/>
    <s v="Bateman"/>
    <n v="7.1999998092651296"/>
    <n v="2"/>
    <n v="5400"/>
    <s v="MIN@BAL"/>
    <s v="BAL"/>
    <s v="MIN"/>
    <s v="Q"/>
    <s v="Groin"/>
    <m/>
    <x v="191"/>
    <s v="Rashod Bateman"/>
    <n v="9.1684210526315795"/>
    <n v="4.7733333333333334"/>
    <n v="12.097222222222221"/>
    <n v="0"/>
    <n v="0"/>
    <n v="0"/>
    <n v="0"/>
    <n v="6"/>
    <n v="3.5"/>
    <n v="54.5"/>
    <n v="15.6"/>
    <n v="0"/>
    <n v="7.8"/>
    <n v="0"/>
    <n v="0"/>
    <n v="0"/>
    <n v="0"/>
    <e v="#N/A"/>
    <e v="#N/A"/>
    <n v="1"/>
    <n v="0"/>
    <n v="0"/>
    <n v="0"/>
    <n v="0"/>
    <n v="6"/>
    <n v="39.43333333333333"/>
    <e v="#N/A"/>
    <n v="3.5"/>
    <n v="0"/>
    <n v="17.949191416585492"/>
    <n v="0"/>
    <n v="0"/>
    <n v="28.528571428571428"/>
    <n v="0"/>
    <n v="0"/>
    <n v="0"/>
    <n v="1.75"/>
    <n v="0.32407407407407407"/>
    <n v="1.1111111111111109"/>
  </r>
  <r>
    <s v="66282-73687"/>
    <x v="2"/>
    <s v="Quez"/>
    <s v="Quez Watkins"/>
    <s v="Watkins"/>
    <n v="6.0749998092651296"/>
    <n v="8"/>
    <n v="5400"/>
    <s v="LAC@PHI"/>
    <s v="PHI"/>
    <s v="LAC"/>
    <m/>
    <m/>
    <m/>
    <x v="192"/>
    <s v="Quez Watkins"/>
    <n v="6.5760869565217392"/>
    <n v="5.7954545454545459"/>
    <n v="9.453125"/>
    <n v="0"/>
    <n v="0"/>
    <n v="0"/>
    <n v="0"/>
    <n v="3.7142857142857144"/>
    <n v="2.5714285714285716"/>
    <n v="49.714285714285715"/>
    <n v="19.3"/>
    <n v="27"/>
    <n v="2.7571428571428571"/>
    <n v="0"/>
    <n v="0"/>
    <n v="0"/>
    <n v="0"/>
    <n v="35.928903458126896"/>
    <n v="25.271096541873106"/>
    <n v="1"/>
    <n v="0"/>
    <n v="0"/>
    <n v="0"/>
    <n v="0"/>
    <n v="3.7142857142857144"/>
    <n v="24.999999999999996"/>
    <n v="5.3380085137788544"/>
    <n v="2.5714285714285716"/>
    <n v="3.6955443556930532"/>
    <n v="17.352711315665061"/>
    <n v="64.127714358576995"/>
    <n v="0"/>
    <n v="14.428571428571431"/>
    <n v="0"/>
    <n v="0"/>
    <n v="0"/>
    <n v="7.6984857215719851"/>
    <n v="1.4256455039948119"/>
    <n v="0.68783068783068779"/>
  </r>
  <r>
    <s v="66282-29683"/>
    <x v="2"/>
    <s v="Nelson"/>
    <s v="Nelson Agholor"/>
    <s v="Agholor"/>
    <n v="7.125"/>
    <n v="8"/>
    <n v="5400"/>
    <s v="NE@CAR"/>
    <s v="NE"/>
    <s v="CAR"/>
    <m/>
    <m/>
    <m/>
    <x v="193"/>
    <s v="Nelson Agholor"/>
    <n v="5.0344827586206895"/>
    <n v="2.6470588235294117"/>
    <n v="8.76"/>
    <n v="0"/>
    <n v="0"/>
    <n v="0"/>
    <n v="0"/>
    <n v="5.1428571428571432"/>
    <n v="2.7142857142857144"/>
    <n v="39.285714285714285"/>
    <n v="14.5"/>
    <n v="55"/>
    <n v="2.0714285714285716"/>
    <n v="0.2857142857142857"/>
    <n v="0"/>
    <n v="2.5"/>
    <n v="0"/>
    <n v="27.892429902449898"/>
    <n v="33.907570097550099"/>
    <n v="1"/>
    <n v="0"/>
    <n v="0"/>
    <n v="0"/>
    <n v="0"/>
    <n v="5.1428571428571432"/>
    <n v="35.154761904761905"/>
    <n v="4.0804367483434998"/>
    <n v="2.7142857142857144"/>
    <n v="2.1535638394035139"/>
    <n v="12.081107270518533"/>
    <n v="26.017435757743598"/>
    <n v="0.2857142857142857"/>
    <n v="29.773809523809522"/>
    <n v="0.32538251992850953"/>
    <n v="1.600213570035149"/>
    <n v="0.52068152384183319"/>
    <n v="4.0109545853014001"/>
    <n v="0.7427693676484074"/>
    <n v="0.95238095238095244"/>
  </r>
  <r>
    <s v="66282-62497"/>
    <x v="0"/>
    <s v="David"/>
    <s v="David Johnson"/>
    <s v="Johnson"/>
    <n v="5.0124998092651296"/>
    <n v="8"/>
    <n v="5300"/>
    <s v="HOU@MIA"/>
    <s v="HOU"/>
    <s v="MIA"/>
    <m/>
    <m/>
    <m/>
    <x v="194"/>
    <s v="David Johnson"/>
    <n v="6.9217391304347826"/>
    <n v="4.2947368421052632"/>
    <n v="11.055555555555555"/>
    <n v="0"/>
    <n v="0"/>
    <n v="0"/>
    <n v="0"/>
    <n v="3.4285714285714284"/>
    <n v="2.7142857142857144"/>
    <n v="22"/>
    <n v="8.1"/>
    <n v="20.5"/>
    <n v="1.157142857142857"/>
    <n v="3.8571428571428572"/>
    <n v="33.791666666666671"/>
    <n v="3.9"/>
    <n v="0"/>
    <n v="40.537201150458387"/>
    <n v="17.062798849541611"/>
    <n v="1"/>
    <n v="0"/>
    <n v="0"/>
    <n v="0"/>
    <n v="0"/>
    <n v="3.4285714285714284"/>
    <n v="28.440476190476193"/>
    <n v="4.8868622567316926"/>
    <n v="2.7142857142857144"/>
    <n v="3.8687659532459238"/>
    <n v="8.5172662263811585"/>
    <n v="32.951309591354814"/>
    <n v="3.8571428571428572"/>
    <n v="13.404761904761903"/>
    <n v="4.9097218714489186"/>
    <n v="4.0501910788190685"/>
    <n v="19.885311723225271"/>
    <n v="6.6408049886008662"/>
    <n v="1.2529820733209183"/>
    <n v="0.64690026954177893"/>
  </r>
  <r>
    <s v="66282-93408"/>
    <x v="2"/>
    <s v="Rondale"/>
    <s v="Rondale Moore"/>
    <s v="Moore"/>
    <n v="7.1624999046325604"/>
    <n v="8"/>
    <n v="5300"/>
    <s v="ARI@SF"/>
    <s v="ARI"/>
    <s v="SF"/>
    <m/>
    <m/>
    <m/>
    <x v="195"/>
    <s v="Rondale Moore"/>
    <n v="6.5263157894736841"/>
    <n v="4.7051282051282053"/>
    <n v="10.191780821917808"/>
    <n v="0"/>
    <n v="0"/>
    <n v="0"/>
    <n v="0"/>
    <n v="4.5"/>
    <n v="3.625"/>
    <n v="40.875"/>
    <n v="11.3"/>
    <n v="0"/>
    <n v="1.4125000000000001"/>
    <n v="1.375"/>
    <n v="0"/>
    <n v="5.5"/>
    <n v="0"/>
    <e v="#N/A"/>
    <e v="#N/A"/>
    <n v="1"/>
    <n v="0"/>
    <n v="0"/>
    <n v="0"/>
    <n v="0"/>
    <n v="4.5"/>
    <n v="26.625"/>
    <e v="#N/A"/>
    <n v="3.625"/>
    <n v="0"/>
    <n v="10.953758230793492"/>
    <n v="0"/>
    <n v="1.375"/>
    <n v="32.208333333333329"/>
    <n v="0"/>
    <n v="6.2576100910508403"/>
    <n v="0"/>
    <n v="1.8125"/>
    <n v="0.34198113207547171"/>
    <n v="0.84905660377358494"/>
  </r>
  <r>
    <s v="66282-52451"/>
    <x v="0"/>
    <s v="Samaje"/>
    <s v="Samaje Perine"/>
    <s v="Perine"/>
    <n v="5.7428572518484904"/>
    <n v="7"/>
    <n v="5300"/>
    <s v="CLE@CIN"/>
    <s v="CIN"/>
    <s v="CLE"/>
    <m/>
    <m/>
    <m/>
    <x v="196"/>
    <s v="Samaje Perine"/>
    <n v="6.4117647058823533"/>
    <n v="3.140625"/>
    <n v="10.686274509803921"/>
    <n v="0"/>
    <n v="0"/>
    <n v="0"/>
    <n v="0"/>
    <n v="1.6666666666666667"/>
    <n v="1.3333333333333333"/>
    <n v="12.833333333333334"/>
    <n v="9.6"/>
    <n v="11"/>
    <n v="1.5999999999999999"/>
    <n v="5.166666666666667"/>
    <n v="20.40625"/>
    <n v="4.5"/>
    <n v="0.16666666666666666"/>
    <n v="35.249369534050182"/>
    <n v="23.950630465949821"/>
    <n v="1"/>
    <n v="0"/>
    <n v="0"/>
    <n v="0"/>
    <n v="0"/>
    <n v="1.6666666666666667"/>
    <n v="32.859523809523814"/>
    <n v="1.7878819414415712"/>
    <n v="1.3333333333333333"/>
    <n v="1.4303055531532569"/>
    <n v="9.7573569145129166"/>
    <n v="13.956001778926153"/>
    <n v="5.166666666666667"/>
    <n v="33.523809523809533"/>
    <n v="3.6912548374368681"/>
    <n v="3.4174561055063148"/>
    <n v="12.614701381178344"/>
    <n v="3.3237369826771164"/>
    <n v="0.62712018541077674"/>
    <n v="0.31446540880503149"/>
  </r>
  <r>
    <s v="66282-60977"/>
    <x v="0"/>
    <s v="Ty'Son"/>
    <s v="Ty'Son Williams"/>
    <s v="Williams"/>
    <n v="7.3800003051757797"/>
    <n v="5"/>
    <n v="5300"/>
    <s v="MIN@BAL"/>
    <s v="BAL"/>
    <s v="MIN"/>
    <m/>
    <m/>
    <m/>
    <x v="197"/>
    <s v="Ty'Son Williams"/>
    <n v="9.1684210526315795"/>
    <n v="4.7733333333333334"/>
    <n v="12.097222222222221"/>
    <n v="0"/>
    <n v="0"/>
    <n v="0"/>
    <n v="0"/>
    <n v="2.2000000000000002"/>
    <n v="1.8"/>
    <n v="16.8"/>
    <n v="9.3000000000000007"/>
    <n v="0"/>
    <n v="1.86"/>
    <n v="6.6"/>
    <n v="0"/>
    <n v="5.5"/>
    <n v="0.2"/>
    <e v="#N/A"/>
    <e v="#N/A"/>
    <n v="1"/>
    <n v="0"/>
    <n v="0"/>
    <n v="0"/>
    <n v="0"/>
    <n v="2.2000000000000002"/>
    <n v="39.43333333333333"/>
    <e v="#N/A"/>
    <n v="1.8"/>
    <n v="0"/>
    <n v="10.700479498349045"/>
    <n v="0"/>
    <n v="6.6"/>
    <n v="28.528571428571428"/>
    <n v="0"/>
    <n v="6.3483198613080347"/>
    <n v="0"/>
    <n v="0.9"/>
    <n v="0.169811320754717"/>
    <n v="0.41509433962264158"/>
  </r>
  <r>
    <s v="66282-69276"/>
    <x v="2"/>
    <s v="Bryan"/>
    <s v="Bryan Edwards"/>
    <s v="Edwards"/>
    <n v="7.0857140677315797"/>
    <n v="7"/>
    <n v="5300"/>
    <s v="LV@NYG"/>
    <s v="LV"/>
    <s v="NYG"/>
    <m/>
    <m/>
    <m/>
    <x v="198"/>
    <s v="Bryan Edwards"/>
    <n v="6.7966101694915251"/>
    <n v="4.5857142857142854"/>
    <n v="9.0112359550561791"/>
    <n v="0"/>
    <n v="0"/>
    <n v="0"/>
    <n v="0"/>
    <n v="4.4285714285714288"/>
    <n v="2.5714285714285716"/>
    <n v="49.428571428571431"/>
    <n v="19.2"/>
    <n v="33"/>
    <n v="2.7428571428571429"/>
    <n v="0"/>
    <n v="0"/>
    <n v="0"/>
    <n v="0"/>
    <e v="#N/A"/>
    <e v="#N/A"/>
    <n v="1"/>
    <n v="0"/>
    <n v="0"/>
    <n v="0"/>
    <n v="0"/>
    <n v="4.4285714285714288"/>
    <n v="39.700000000000003"/>
    <e v="#N/A"/>
    <n v="2.5714285714285716"/>
    <n v="0"/>
    <n v="16.455846305222444"/>
    <n v="0"/>
    <n v="0"/>
    <n v="38.571428571428569"/>
    <n v="0"/>
    <n v="0"/>
    <n v="0"/>
    <n v="1.2857142857142858"/>
    <n v="0.24258760107816715"/>
    <n v="0.83557951482479786"/>
  </r>
  <r>
    <s v="66282-40647"/>
    <x v="2"/>
    <s v="Marquez"/>
    <s v="Marquez Valdes-Scantling"/>
    <s v="Valdes-Scantling"/>
    <n v="5.5333334604899003"/>
    <n v="3"/>
    <n v="5300"/>
    <s v="GB@KC"/>
    <s v="GB"/>
    <s v="KC"/>
    <m/>
    <m/>
    <m/>
    <x v="199"/>
    <s v="Marquez Valdes-Scantling"/>
    <n v="8.7934782608695645"/>
    <n v="5.404494382022472"/>
    <n v="12.446153846153846"/>
    <n v="0"/>
    <n v="0"/>
    <n v="0"/>
    <n v="0"/>
    <n v="5.333333333333333"/>
    <n v="2"/>
    <n v="25.333333333333332"/>
    <n v="12.7"/>
    <n v="44"/>
    <n v="4.2333333333333334"/>
    <n v="0"/>
    <n v="0"/>
    <n v="0"/>
    <n v="0"/>
    <e v="#N/A"/>
    <e v="#N/A"/>
    <n v="1"/>
    <n v="0"/>
    <n v="0"/>
    <n v="0"/>
    <n v="0"/>
    <n v="5.333333333333333"/>
    <n v="30.583333333333336"/>
    <e v="#N/A"/>
    <n v="2"/>
    <n v="0"/>
    <n v="15.033964418624391"/>
    <n v="0"/>
    <n v="0"/>
    <n v="14.916666666666666"/>
    <n v="0"/>
    <n v="0"/>
    <n v="0"/>
    <n v="1"/>
    <n v="0.18867924528301888"/>
    <n v="1.0062893081761006"/>
  </r>
  <r>
    <s v="66282-40845"/>
    <x v="3"/>
    <s v="Hunter"/>
    <s v="Hunter Henry"/>
    <s v="Henry"/>
    <n v="8.2749996185302699"/>
    <n v="8"/>
    <n v="5300"/>
    <s v="NE@CAR"/>
    <s v="NE"/>
    <s v="CAR"/>
    <m/>
    <m/>
    <m/>
    <x v="200"/>
    <s v="Hunter Henry"/>
    <n v="5.0344827586206895"/>
    <n v="2.6470588235294117"/>
    <n v="8.76"/>
    <n v="0"/>
    <n v="0"/>
    <n v="0"/>
    <n v="0"/>
    <n v="4.5714285714285712"/>
    <n v="3.4285714285714284"/>
    <n v="37.714285714285715"/>
    <n v="11"/>
    <n v="24.5"/>
    <n v="1.5714285714285714"/>
    <n v="0"/>
    <n v="0"/>
    <n v="0"/>
    <n v="0"/>
    <n v="27.892429902449898"/>
    <n v="33.907570097550099"/>
    <n v="1"/>
    <n v="0"/>
    <n v="0"/>
    <n v="0"/>
    <n v="0"/>
    <n v="4.5714285714285712"/>
    <n v="35.154761904761905"/>
    <n v="3.6270548874164446"/>
    <n v="3.4285714285714284"/>
    <n v="2.7202911655623332"/>
    <n v="9.1649779293588889"/>
    <n v="24.93140849380875"/>
    <n v="0"/>
    <n v="29.773809523809522"/>
    <n v="0"/>
    <n v="0"/>
    <n v="0"/>
    <n v="4.2074265636665888"/>
    <n v="0.79385406861633756"/>
    <n v="0.8625336927223719"/>
  </r>
  <r>
    <s v="66282-70603"/>
    <x v="0"/>
    <s v="Devin"/>
    <s v="Devin Singletary"/>
    <s v="Singletary"/>
    <n v="7.2571427481514998"/>
    <n v="7"/>
    <n v="5300"/>
    <s v="BUF@JAC"/>
    <s v="BUF"/>
    <s v="JAC"/>
    <m/>
    <m/>
    <m/>
    <x v="201"/>
    <s v="Devin Singletary"/>
    <n v="9.3909774436090228"/>
    <n v="3.4552845528455283"/>
    <n v="12.49"/>
    <n v="0"/>
    <n v="0"/>
    <n v="0"/>
    <n v="0"/>
    <n v="3"/>
    <n v="2.1666666666666665"/>
    <n v="6.333333333333333"/>
    <n v="2.9"/>
    <n v="19.5"/>
    <n v="0.48333333333333334"/>
    <n v="10"/>
    <n v="72"/>
    <n v="5.2"/>
    <n v="0.16666666666666666"/>
    <n v="33.734564753717166"/>
    <n v="28.965435246282837"/>
    <n v="1"/>
    <n v="0"/>
    <n v="0"/>
    <n v="0"/>
    <n v="0"/>
    <n v="3"/>
    <n v="25.8"/>
    <n v="3.9226238085717635"/>
    <n v="2.1666666666666665"/>
    <n v="2.8330060839684958"/>
    <n v="3.4450463426661297"/>
    <n v="9.7598372483265603"/>
    <n v="10"/>
    <n v="31.133333333333333"/>
    <n v="9.3036729913114034"/>
    <n v="4.3447171690132285"/>
    <n v="40.421827780235319"/>
    <n v="6.1014998361895216"/>
    <n v="1.1512263841867023"/>
    <n v="0.56603773584905659"/>
  </r>
  <r>
    <s v="66282-69581"/>
    <x v="2"/>
    <s v="Cedrick"/>
    <s v="Cedrick Wilson"/>
    <s v="Wilson"/>
    <n v="7.8685716901506604"/>
    <n v="7"/>
    <n v="5300"/>
    <s v="DEN@DAL"/>
    <s v="DAL"/>
    <s v="DEN"/>
    <m/>
    <m/>
    <m/>
    <x v="202"/>
    <s v="Cedrick Wilson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60451"/>
    <x v="3"/>
    <s v="Tyler"/>
    <s v="Tyler Conklin"/>
    <s v="Conklin"/>
    <n v="7.0285715375627698"/>
    <n v="7"/>
    <n v="5200"/>
    <s v="MIN@BAL"/>
    <s v="MIN"/>
    <s v="BAL"/>
    <m/>
    <m/>
    <m/>
    <x v="203"/>
    <s v="Tyler Conklin"/>
    <n v="8"/>
    <n v="3.5909090909090908"/>
    <n v="11.8"/>
    <n v="0"/>
    <n v="0"/>
    <n v="0"/>
    <n v="0"/>
    <n v="5"/>
    <n v="3.6666666666666665"/>
    <n v="40"/>
    <n v="10.9"/>
    <n v="28.5"/>
    <n v="1.8166666666666667"/>
    <n v="0"/>
    <n v="0"/>
    <n v="0"/>
    <n v="0"/>
    <n v="25.759493140243904"/>
    <n v="38.040506859756093"/>
    <n v="1"/>
    <n v="0"/>
    <n v="0"/>
    <n v="0"/>
    <n v="0"/>
    <n v="5"/>
    <n v="38.833333333333329"/>
    <n v="3.3166729365120911"/>
    <n v="3.6666666666666665"/>
    <n v="2.4322268201088666"/>
    <n v="12.23328623157057"/>
    <n v="29.754126870494467"/>
    <n v="0"/>
    <n v="33.833333333333336"/>
    <n v="0"/>
    <n v="0"/>
    <n v="0"/>
    <n v="4.8087460203827801"/>
    <n v="0.92475885007361147"/>
    <n v="0.96153846153846145"/>
  </r>
  <r>
    <s v="66282-79979"/>
    <x v="2"/>
    <s v="Jamal"/>
    <s v="Jamal Agnew"/>
    <s v="Agnew"/>
    <n v="5.8999998910086404"/>
    <n v="7"/>
    <n v="5200"/>
    <s v="BUF@JAC"/>
    <s v="JAC"/>
    <s v="BUF"/>
    <m/>
    <m/>
    <m/>
    <x v="204"/>
    <s v="Jamal Agnew"/>
    <n v="5.34"/>
    <n v="3.393939393939394"/>
    <n v="9.3684210526315788"/>
    <n v="0"/>
    <n v="0"/>
    <n v="0"/>
    <n v="0"/>
    <n v="2.3333333333333335"/>
    <n v="2"/>
    <n v="24.333333333333332"/>
    <n v="12.2"/>
    <n v="0"/>
    <n v="2.0333333333333332"/>
    <n v="0.33333333333333331"/>
    <n v="0"/>
    <n v="9.5"/>
    <n v="0"/>
    <n v="44.656477842721628"/>
    <n v="14.343522157278372"/>
    <n v="1"/>
    <n v="0"/>
    <n v="0"/>
    <n v="0"/>
    <n v="0"/>
    <n v="2.3333333333333335"/>
    <n v="34.133333333333333"/>
    <n v="3.0526889150297989"/>
    <n v="2"/>
    <n v="2.6165904985969703"/>
    <n v="10.870783941467172"/>
    <n v="28.444389973543526"/>
    <n v="0.33333333333333331"/>
    <n v="20.466666666666665"/>
    <n v="0.23360785272440346"/>
    <n v="7.7965422369820274"/>
    <n v="1.8213334906564886"/>
    <n v="4.0265723464200018"/>
    <n v="0.77434083585000035"/>
    <n v="0.44871794871794873"/>
  </r>
  <r>
    <s v="66282-12526"/>
    <x v="4"/>
    <s v="Buffalo"/>
    <s v="Buffalo Bills"/>
    <s v="Bills"/>
    <n v="12.1428571428571"/>
    <n v="7"/>
    <n v="5200"/>
    <s v="BUF@JAC"/>
    <s v="BUF"/>
    <s v="JAC"/>
    <m/>
    <m/>
    <m/>
    <x v="205"/>
    <s v="BUF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54608"/>
    <x v="0"/>
    <s v="Jerick"/>
    <s v="Jerick McKinnon"/>
    <s v="McKinnon"/>
    <n v="1.8200000762939399"/>
    <n v="5"/>
    <n v="5200"/>
    <s v="GB@KC"/>
    <s v="KC"/>
    <s v="GB"/>
    <m/>
    <m/>
    <m/>
    <x v="206"/>
    <s v="Jerick McKinnon"/>
    <n v="6.3711340206185563"/>
    <n v="4.3797468354430382"/>
    <n v="9.3636363636363633"/>
    <n v="0"/>
    <n v="0"/>
    <n v="0"/>
    <n v="0"/>
    <n v="1.5714285714285714"/>
    <n v="0.8571428571428571"/>
    <n v="7"/>
    <n v="8.1999999999999993"/>
    <n v="0"/>
    <n v="1.1714285714285713"/>
    <n v="0.5714285714285714"/>
    <n v="0"/>
    <n v="3"/>
    <n v="0"/>
    <n v="35.894621752555366"/>
    <n v="26.105378247444634"/>
    <n v="1"/>
    <n v="0"/>
    <n v="0"/>
    <n v="0"/>
    <n v="0"/>
    <n v="1.5714285714285714"/>
    <n v="38.357142857142847"/>
    <n v="1.4705431630469614"/>
    <n v="0.8571428571428571"/>
    <n v="0.80211445257106984"/>
    <n v="7.3028608241221518"/>
    <n v="5.8577302121434514"/>
    <n v="0.5714285714285714"/>
    <n v="15.523809523809524"/>
    <n v="0.96093416861759373"/>
    <n v="3.1772004114588173"/>
    <n v="3.0530804359166552"/>
    <n v="1.3196524933774392"/>
    <n v="0.2537793256495075"/>
    <n v="0.30219780219780218"/>
  </r>
  <r>
    <s v="66282-38264"/>
    <x v="2"/>
    <s v="Demarcus"/>
    <s v="Demarcus Robinson"/>
    <s v="Robinson"/>
    <n v="4.7285712105887203"/>
    <n v="7"/>
    <n v="5200"/>
    <s v="GB@KC"/>
    <s v="KC"/>
    <s v="GB"/>
    <m/>
    <m/>
    <m/>
    <x v="207"/>
    <s v="Demarcus Robinson"/>
    <n v="6.3711340206185563"/>
    <n v="4.3797468354430382"/>
    <n v="9.3636363636363633"/>
    <n v="0"/>
    <n v="0"/>
    <n v="0"/>
    <n v="0"/>
    <n v="2.8571428571428572"/>
    <n v="1.5714285714285714"/>
    <n v="19"/>
    <n v="12.1"/>
    <n v="18.5"/>
    <n v="1.7285714285714284"/>
    <n v="0"/>
    <n v="0"/>
    <n v="0"/>
    <n v="0"/>
    <n v="35.894621752555366"/>
    <n v="26.105378247444634"/>
    <n v="1"/>
    <n v="0"/>
    <n v="0"/>
    <n v="0"/>
    <n v="0"/>
    <n v="2.8571428571428572"/>
    <n v="38.357142857142847"/>
    <n v="2.6737148419035663"/>
    <n v="1.5714285714285714"/>
    <n v="1.4705431630469612"/>
    <n v="10.776172679497321"/>
    <n v="15.846827057648238"/>
    <n v="0"/>
    <n v="15.523809523809524"/>
    <n v="0"/>
    <n v="0"/>
    <n v="0"/>
    <n v="2.3703969914791094"/>
    <n v="0.45584557528444408"/>
    <n v="0.5494505494505495"/>
  </r>
  <r>
    <s v="66282-94625"/>
    <x v="2"/>
    <s v="Jalen"/>
    <s v="Jalen Reagor"/>
    <s v="Reagor"/>
    <n v="5.2249999046325604"/>
    <n v="8"/>
    <n v="5200"/>
    <s v="LAC@PHI"/>
    <s v="PHI"/>
    <s v="LAC"/>
    <m/>
    <m/>
    <m/>
    <x v="208"/>
    <s v="Jalen Reagor"/>
    <n v="6.5760869565217392"/>
    <n v="5.7954545454545459"/>
    <n v="9.453125"/>
    <n v="0"/>
    <n v="0"/>
    <n v="0"/>
    <n v="0"/>
    <n v="4.2857142857142856"/>
    <n v="2.7142857142857144"/>
    <n v="23.571428571428573"/>
    <n v="8.6999999999999993"/>
    <n v="39"/>
    <n v="1.2428571428571427"/>
    <n v="0.2857142857142857"/>
    <n v="0"/>
    <n v="6"/>
    <n v="0"/>
    <n v="35.928903458126896"/>
    <n v="25.271096541873106"/>
    <n v="1"/>
    <n v="0"/>
    <n v="0"/>
    <n v="0"/>
    <n v="0"/>
    <n v="4.2857142857142856"/>
    <n v="24.999999999999996"/>
    <n v="6.1592405928217548"/>
    <n v="2.7142857142857144"/>
    <n v="3.9008523754537787"/>
    <n v="7.8222066552479799"/>
    <n v="30.513273412414438"/>
    <n v="0.2857142857142857"/>
    <n v="14.428571428571431"/>
    <n v="0.50041775330441784"/>
    <n v="8.4083949407301475"/>
    <n v="4.2077101051364139"/>
    <n v="4.8292412088979422"/>
    <n v="0.92870023248037348"/>
    <n v="0.82417582417582413"/>
  </r>
  <r>
    <s v="66282-7761"/>
    <x v="3"/>
    <s v="Jared"/>
    <s v="Jared Cook"/>
    <s v="Cook"/>
    <n v="7.0714285714285703"/>
    <n v="7"/>
    <n v="5200"/>
    <s v="LAC@PHI"/>
    <s v="LAC"/>
    <s v="PHI"/>
    <m/>
    <m/>
    <m/>
    <x v="209"/>
    <s v="Jared Cook"/>
    <n v="5.9890109890109891"/>
    <n v="3.8190476190476192"/>
    <n v="8.515625"/>
    <n v="0"/>
    <n v="0"/>
    <n v="0"/>
    <n v="0"/>
    <n v="5.5"/>
    <n v="3.5"/>
    <n v="39.166666666666664"/>
    <n v="11.2"/>
    <n v="34.5"/>
    <n v="1.8666666666666665"/>
    <n v="0"/>
    <n v="0"/>
    <n v="0"/>
    <n v="0"/>
    <n v="30.851495621477966"/>
    <n v="35.648504378522034"/>
    <n v="1"/>
    <n v="0"/>
    <n v="0"/>
    <n v="0"/>
    <n v="0"/>
    <n v="5.5"/>
    <n v="35.500000000000007"/>
    <n v="4.7798091807923599"/>
    <n v="3.5"/>
    <n v="3.04169675141332"/>
    <n v="9.0712927564612276"/>
    <n v="27.592121708447298"/>
    <n v="0"/>
    <n v="19.5"/>
    <n v="0"/>
    <n v="0"/>
    <n v="0"/>
    <n v="4.5092121708447301"/>
    <n v="0.86715618670090966"/>
    <n v="1.0576923076923077"/>
  </r>
  <r>
    <s v="66282-104176"/>
    <x v="2"/>
    <s v="Deonte"/>
    <s v="Deonte Harris"/>
    <s v="Harris"/>
    <n v="8.1500002543131504"/>
    <n v="6"/>
    <n v="5200"/>
    <s v="ATL@NO"/>
    <s v="NO"/>
    <s v="ATL"/>
    <m/>
    <m/>
    <m/>
    <x v="210"/>
    <s v="Deonte Harris"/>
    <n v="7.2264150943396226"/>
    <n v="4.4936708860759493"/>
    <n v="10.213333333333333"/>
    <n v="0"/>
    <n v="0"/>
    <n v="0"/>
    <n v="0"/>
    <n v="3.2"/>
    <n v="2.4"/>
    <n v="47.2"/>
    <n v="19.7"/>
    <n v="47.5"/>
    <n v="3.94"/>
    <n v="0.2"/>
    <n v="0"/>
    <n v="1"/>
    <n v="0"/>
    <n v="40.544120654665065"/>
    <n v="22.955879345334939"/>
    <n v="1"/>
    <n v="0"/>
    <n v="0"/>
    <n v="0"/>
    <n v="0"/>
    <n v="3.2"/>
    <n v="24.533333333333335"/>
    <n v="5.2883635636519646"/>
    <n v="2.4"/>
    <n v="3.966272672738973"/>
    <n v="19.136757983895322"/>
    <n v="75.901600236343384"/>
    <n v="0.2"/>
    <n v="23.45"/>
    <n v="0.19578575134614024"/>
    <n v="1.0866147842657805"/>
    <n v="0.21274369196129991"/>
    <n v="8.811434392830467"/>
    <n v="1.6945066140058589"/>
    <n v="0.61538461538461542"/>
  </r>
  <r>
    <s v="66282-86780"/>
    <x v="0"/>
    <s v="Salvon"/>
    <s v="Salvon Ahmed"/>
    <s v="Ahmed"/>
    <n v="3.51428576878138"/>
    <n v="7"/>
    <n v="5200"/>
    <s v="HOU@MIA"/>
    <s v="MIA"/>
    <s v="HOU"/>
    <m/>
    <m/>
    <m/>
    <x v="211"/>
    <s v="Salvon Ahmed"/>
    <n v="7.6226415094339623"/>
    <n v="4.2048192771084336"/>
    <n v="11.542857142857143"/>
    <n v="0"/>
    <n v="0"/>
    <n v="0"/>
    <n v="0"/>
    <n v="2.1428571428571428"/>
    <n v="1.2857142857142858"/>
    <n v="13.285714285714286"/>
    <n v="10.3"/>
    <n v="15.5"/>
    <n v="1.4714285714285715"/>
    <n v="4"/>
    <n v="28.583333333333332"/>
    <n v="2.7"/>
    <n v="0"/>
    <n v="40.244550246190627"/>
    <n v="21.855449753809374"/>
    <n v="1"/>
    <n v="0"/>
    <n v="0"/>
    <n v="0"/>
    <n v="0"/>
    <n v="2.1428571428571428"/>
    <n v="27.457142857142856"/>
    <n v="3.1408337861230984"/>
    <n v="1.2857142857142858"/>
    <n v="1.8845002716738593"/>
    <n v="11.307983798745244"/>
    <n v="21.309898540819013"/>
    <n v="4"/>
    <n v="17.464285714285712"/>
    <n v="5.0057471828765854"/>
    <n v="2.7452724176439149"/>
    <n v="13.74213967084982"/>
    <n v="4.148060964024026"/>
    <n v="0.79770403154308189"/>
    <n v="0.41208791208791207"/>
  </r>
  <r>
    <s v="66282-90912"/>
    <x v="0"/>
    <s v="Kenneth"/>
    <s v="Kenneth Gainwell"/>
    <s v="Gainwell"/>
    <n v="7.3249998092651296"/>
    <n v="8"/>
    <n v="5200"/>
    <s v="LAC@PHI"/>
    <s v="PHI"/>
    <s v="LAC"/>
    <m/>
    <m/>
    <m/>
    <x v="212"/>
    <s v="Kenneth Gainwell"/>
    <n v="6.5760869565217392"/>
    <n v="5.7954545454545459"/>
    <n v="9.453125"/>
    <n v="0"/>
    <n v="0"/>
    <n v="0"/>
    <n v="0"/>
    <n v="4.4285714285714288"/>
    <n v="2.7142857142857144"/>
    <n v="23.428571428571427"/>
    <n v="8.6"/>
    <n v="0"/>
    <n v="1.2285714285714284"/>
    <n v="3.7142857142857144"/>
    <n v="0"/>
    <n v="4.5999999999999996"/>
    <n v="0.2857142857142857"/>
    <n v="35.928903458126896"/>
    <n v="25.271096541873106"/>
    <n v="1"/>
    <n v="0"/>
    <n v="0"/>
    <n v="0"/>
    <n v="0"/>
    <n v="4.4285714285714288"/>
    <n v="24.999999999999996"/>
    <n v="6.3645486125824799"/>
    <n v="2.7142857142857144"/>
    <n v="3.9008523754537783"/>
    <n v="7.7322962339232912"/>
    <n v="30.162546131811975"/>
    <n v="3.7142857142857144"/>
    <n v="14.428571428571431"/>
    <n v="6.5054307929574318"/>
    <n v="6.4464361212264452"/>
    <n v="41.936844047859587"/>
    <n v="8.5670818751100128"/>
    <n v="1.6475157452134639"/>
    <n v="0.85164835164835162"/>
  </r>
  <r>
    <s v="66282-14211"/>
    <x v="0"/>
    <s v="Mark"/>
    <s v="Mark Ingram II"/>
    <s v="Ingram II"/>
    <n v="5.9375"/>
    <n v="8"/>
    <n v="5200"/>
    <s v="ATL@NO"/>
    <s v="NO"/>
    <s v="ATL"/>
    <m/>
    <m/>
    <m/>
    <x v="213"/>
    <s v="Mark Ingram II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93107"/>
    <x v="0"/>
    <s v="AJ"/>
    <s v="AJ Dillon"/>
    <s v="Dillon"/>
    <n v="6.1125001907348597"/>
    <n v="8"/>
    <n v="5200"/>
    <s v="GB@KC"/>
    <s v="GB"/>
    <s v="KC"/>
    <m/>
    <m/>
    <m/>
    <x v="214"/>
    <s v="AJ Dillon"/>
    <n v="8.7934782608695645"/>
    <n v="5.404494382022472"/>
    <n v="12.446153846153846"/>
    <n v="0"/>
    <n v="0"/>
    <n v="0"/>
    <n v="0"/>
    <n v="0"/>
    <n v="0"/>
    <n v="0"/>
    <n v="0"/>
    <n v="11.5"/>
    <n v="0"/>
    <n v="0"/>
    <n v="20.5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64496"/>
    <x v="2"/>
    <s v="Olamide"/>
    <s v="Olamide Zaccheaus"/>
    <s v="Zaccheaus"/>
    <n v="3.7333332697550401"/>
    <n v="6"/>
    <n v="5200"/>
    <s v="ATL@NO"/>
    <s v="ATL"/>
    <s v="NO"/>
    <m/>
    <m/>
    <m/>
    <x v="215"/>
    <s v="Olamide Zaccheaus"/>
    <n v="5.895161290322581"/>
    <n v="2.7846153846153845"/>
    <n v="9.6184210526315788"/>
    <n v="0"/>
    <n v="0"/>
    <n v="0"/>
    <n v="0"/>
    <n v="3"/>
    <n v="1.5"/>
    <n v="17"/>
    <n v="11.3"/>
    <n v="0"/>
    <n v="1.8833333333333335"/>
    <n v="0"/>
    <n v="0"/>
    <n v="0"/>
    <n v="0"/>
    <n v="37.013107313686163"/>
    <n v="26.586892686313835"/>
    <n v="1"/>
    <n v="0"/>
    <n v="0"/>
    <n v="0"/>
    <n v="0"/>
    <n v="3"/>
    <n v="33.666666666666664"/>
    <n v="3.2981976814175793"/>
    <n v="1.5"/>
    <n v="1.6490988407087896"/>
    <n v="10.337531841925458"/>
    <n v="17.04761177630947"/>
    <n v="0"/>
    <n v="25.833333333333332"/>
    <n v="0"/>
    <n v="0"/>
    <n v="0"/>
    <n v="2.4547611776309468"/>
    <n v="0.4720694572367205"/>
    <n v="0.57692307692307687"/>
  </r>
  <r>
    <s v="66282-91426"/>
    <x v="2"/>
    <s v="Donovan"/>
    <s v="Donovan Peoples-Jones"/>
    <s v="Peoples-Jones"/>
    <n v="7.8599998474120998"/>
    <n v="5"/>
    <n v="5100"/>
    <s v="CLE@CIN"/>
    <s v="CLE"/>
    <s v="CIN"/>
    <s v="Q"/>
    <s v="Groin"/>
    <m/>
    <x v="216"/>
    <s v="Donovan Peoples-Jones"/>
    <n v="5.884615384615385"/>
    <n v="3.7029702970297032"/>
    <n v="8.5794392523364493"/>
    <n v="0"/>
    <n v="0"/>
    <n v="0"/>
    <n v="0"/>
    <n v="2.5"/>
    <n v="2.1666666666666665"/>
    <n v="38"/>
    <n v="17.5"/>
    <n v="39.5"/>
    <n v="2.9166666666666665"/>
    <n v="0"/>
    <n v="0"/>
    <n v="0"/>
    <n v="0"/>
    <n v="26.716825649263725"/>
    <n v="36.583174350736272"/>
    <n v="1"/>
    <n v="0"/>
    <n v="0"/>
    <n v="0"/>
    <n v="0"/>
    <n v="2.5"/>
    <n v="23.30952380952381"/>
    <n v="2.8654409531896743"/>
    <n v="2.1666666666666665"/>
    <n v="2.4833821594310508"/>
    <n v="14.280111035636471"/>
    <n v="35.462972980594081"/>
    <n v="0"/>
    <n v="31.019047619047615"/>
    <n v="0"/>
    <n v="0"/>
    <n v="0"/>
    <n v="4.6296306313927413"/>
    <n v="0.90777071203779247"/>
    <n v="0.49019607843137258"/>
  </r>
  <r>
    <s v="66282-22898"/>
    <x v="0"/>
    <s v="Brandon"/>
    <s v="Brandon Bolden"/>
    <s v="Bolden"/>
    <n v="5.3714283534458698"/>
    <n v="7"/>
    <n v="5100"/>
    <s v="NE@CAR"/>
    <s v="NE"/>
    <s v="CAR"/>
    <m/>
    <m/>
    <m/>
    <x v="217"/>
    <s v="Brandon Bolden"/>
    <n v="5.0344827586206895"/>
    <n v="2.6470588235294117"/>
    <n v="8.76"/>
    <n v="0"/>
    <n v="0"/>
    <n v="0"/>
    <n v="0"/>
    <n v="3.1428571428571428"/>
    <n v="2.8571428571428572"/>
    <n v="23.142857142857142"/>
    <n v="8.1"/>
    <n v="0"/>
    <n v="1.157142857142857"/>
    <n v="1.4285714285714286"/>
    <n v="5"/>
    <n v="2.8"/>
    <n v="0"/>
    <n v="27.892429902449898"/>
    <n v="33.907570097550099"/>
    <n v="1"/>
    <n v="0"/>
    <n v="0"/>
    <n v="0"/>
    <n v="0"/>
    <n v="3.1428571428571428"/>
    <n v="35.154761904761905"/>
    <n v="2.4936002350988056"/>
    <n v="2.8571428571428572"/>
    <n v="2.266909304635278"/>
    <n v="6.7487564752551812"/>
    <n v="15.298818848473552"/>
    <n v="1.4285714285714286"/>
    <n v="29.773809523809522"/>
    <n v="1.626912599642548"/>
    <n v="1.7922391984393666"/>
    <n v="2.9158165335142665"/>
    <n v="3.2500349667702104"/>
    <n v="0.63726175819023734"/>
    <n v="0.61624649859943981"/>
  </r>
  <r>
    <s v="66282-41426"/>
    <x v="0"/>
    <s v="Phillip"/>
    <s v="Phillip Lindsay"/>
    <s v="Lindsay"/>
    <n v="3.4625000953674299"/>
    <n v="8"/>
    <n v="5100"/>
    <s v="HOU@MIA"/>
    <s v="HOU"/>
    <s v="MIA"/>
    <m/>
    <m/>
    <m/>
    <x v="218"/>
    <s v="Phillip Lindsay"/>
    <n v="6.9217391304347826"/>
    <n v="4.2947368421052632"/>
    <n v="11.055555555555555"/>
    <n v="0"/>
    <n v="0"/>
    <n v="0"/>
    <n v="0"/>
    <n v="0.5714285714285714"/>
    <n v="0.42857142857142855"/>
    <n v="5.2857142857142856"/>
    <n v="12.3"/>
    <n v="0"/>
    <n v="1.7571428571428573"/>
    <n v="5.4285714285714288"/>
    <n v="35.318181818181813"/>
    <n v="2.6"/>
    <n v="0.14285714285714285"/>
    <n v="40.537201150458387"/>
    <n v="17.062798849541611"/>
    <n v="1"/>
    <n v="0"/>
    <n v="0"/>
    <n v="0"/>
    <n v="0"/>
    <n v="0.5714285714285714"/>
    <n v="28.440476190476193"/>
    <n v="0.81447704278861544"/>
    <n v="0.42857142857142855"/>
    <n v="0.61085778209146158"/>
    <n v="12.933626491912131"/>
    <n v="7.9006063932488146"/>
    <n v="5.4285714285714288"/>
    <n v="13.404761904761903"/>
    <n v="6.9099789301873678"/>
    <n v="2.7001273858793793"/>
    <n v="18.657823345248406"/>
    <n v="2.8701286881354364"/>
    <n v="0.5627703310069484"/>
    <n v="0.11204481792717087"/>
  </r>
  <r>
    <s v="66282-62967"/>
    <x v="2"/>
    <s v="Preston"/>
    <s v="Preston Williams"/>
    <s v="Williams"/>
    <n v="3.2999998728434199"/>
    <n v="3"/>
    <n v="5100"/>
    <s v="HOU@MIA"/>
    <s v="MIA"/>
    <s v="HOU"/>
    <m/>
    <m/>
    <m/>
    <x v="219"/>
    <s v="Preston Williams"/>
    <n v="7.6226415094339623"/>
    <n v="4.2048192771084336"/>
    <n v="11.542857142857143"/>
    <n v="0"/>
    <n v="0"/>
    <n v="0"/>
    <n v="0"/>
    <n v="4"/>
    <n v="1.6666666666666667"/>
    <n v="22.333333333333332"/>
    <n v="13.4"/>
    <n v="0"/>
    <n v="4.4666666666666668"/>
    <n v="0.33333333333333331"/>
    <n v="0"/>
    <n v="7"/>
    <n v="0"/>
    <n v="40.244550246190627"/>
    <n v="21.855449753809374"/>
    <n v="1"/>
    <n v="0"/>
    <n v="0"/>
    <n v="0"/>
    <n v="0"/>
    <n v="4"/>
    <n v="27.457142857142856"/>
    <n v="5.8628897340964494"/>
    <n v="1.6666666666666667"/>
    <n v="2.4428707225401873"/>
    <n v="14.711357563416142"/>
    <n v="35.937944680489437"/>
    <n v="0.33333333333333331"/>
    <n v="17.464285714285712"/>
    <n v="0.41714559857304873"/>
    <n v="7.117372934632372"/>
    <n v="2.9689807930848371"/>
    <n v="4.7240258806907605"/>
    <n v="0.9262795844491688"/>
    <n v="0.78431372549019618"/>
  </r>
  <r>
    <s v="66282-22018"/>
    <x v="2"/>
    <s v="Mohamed"/>
    <s v="Mohamed Sanu"/>
    <s v="Sanu"/>
    <n v="3.4571429661341999"/>
    <n v="7"/>
    <n v="5100"/>
    <s v="ARI@SF"/>
    <s v="SF"/>
    <s v="ARI"/>
    <m/>
    <m/>
    <m/>
    <x v="220"/>
    <s v="Mohamed Sanu"/>
    <n v="5.9411764705882355"/>
    <n v="5.4102564102564106"/>
    <n v="9.1818181818181817"/>
    <n v="0"/>
    <n v="0"/>
    <n v="0"/>
    <n v="0"/>
    <n v="2.8333333333333335"/>
    <n v="1.8333333333333333"/>
    <n v="18.833333333333332"/>
    <n v="10.3"/>
    <n v="14"/>
    <n v="1.7166666666666668"/>
    <n v="0"/>
    <n v="0"/>
    <n v="0"/>
    <n v="0"/>
    <n v="33.198546563443358"/>
    <n v="30.201453436556637"/>
    <n v="1"/>
    <n v="0"/>
    <n v="0"/>
    <n v="0"/>
    <n v="0"/>
    <n v="2.8333333333333335"/>
    <n v="34.266666666666673"/>
    <n v="2.7450160096232343"/>
    <n v="1.8333333333333333"/>
    <n v="1.7761868297562102"/>
    <n v="8.9949871126382615"/>
    <n v="15.976777643294922"/>
    <n v="0"/>
    <n v="23.6"/>
    <n v="0"/>
    <n v="0"/>
    <n v="0"/>
    <n v="2.5143444309961587"/>
    <n v="0.49300871196003115"/>
    <n v="0.55555555555555558"/>
  </r>
  <r>
    <s v="66282-80546"/>
    <x v="3"/>
    <s v="Dan"/>
    <s v="Dan Arnold"/>
    <s v="Arnold"/>
    <n v="5.3857143947056301"/>
    <n v="7"/>
    <n v="5100"/>
    <s v="BUF@JAC"/>
    <s v="JAC"/>
    <s v="BUF"/>
    <m/>
    <m/>
    <m/>
    <x v="221"/>
    <s v="Dan Arnold"/>
    <n v="5.34"/>
    <n v="3.393939393939394"/>
    <n v="9.3684210526315788"/>
    <n v="0"/>
    <n v="0"/>
    <n v="0"/>
    <n v="0"/>
    <n v="4.333333333333333"/>
    <n v="2.8333333333333335"/>
    <n v="34"/>
    <n v="12"/>
    <n v="32"/>
    <n v="2"/>
    <n v="0"/>
    <n v="0"/>
    <n v="0"/>
    <n v="0"/>
    <n v="44.656477842721628"/>
    <n v="14.343522157278372"/>
    <n v="1"/>
    <n v="0"/>
    <n v="0"/>
    <n v="0"/>
    <n v="0"/>
    <n v="4.333333333333333"/>
    <n v="34.133333333333333"/>
    <n v="5.6692794136267688"/>
    <n v="2.8333333333333335"/>
    <n v="3.7068365396790419"/>
    <n v="10.692574368656237"/>
    <n v="39.635625372970502"/>
    <n v="0"/>
    <n v="20.466666666666665"/>
    <n v="0"/>
    <n v="0"/>
    <n v="0"/>
    <n v="5.380229203963717"/>
    <n v="1.0549469027379839"/>
    <n v="0.84967320261437906"/>
  </r>
  <r>
    <s v="66282-41872"/>
    <x v="3"/>
    <s v="Evan"/>
    <s v="Evan Engram"/>
    <s v="Engram"/>
    <n v="5.6333332061767498"/>
    <n v="6"/>
    <n v="5100"/>
    <s v="LV@NYG"/>
    <s v="NYG"/>
    <s v="LV"/>
    <m/>
    <m/>
    <m/>
    <x v="222"/>
    <s v="Evan Engram"/>
    <n v="5.9327731092436977"/>
    <n v="4.8133333333333335"/>
    <n v="9.0512820512820511"/>
    <n v="0"/>
    <n v="0"/>
    <n v="0"/>
    <n v="0"/>
    <n v="5.8"/>
    <n v="4"/>
    <n v="34.200000000000003"/>
    <n v="8.6"/>
    <n v="0"/>
    <n v="1.72"/>
    <n v="0.2"/>
    <n v="0"/>
    <n v="-3"/>
    <n v="0"/>
    <n v="35.232477994905381"/>
    <n v="23.167522005094618"/>
    <n v="1"/>
    <n v="0"/>
    <n v="0"/>
    <n v="0"/>
    <n v="0"/>
    <n v="5.8"/>
    <n v="28.607142857142854"/>
    <n v="7.1432639530245119"/>
    <n v="4"/>
    <n v="4.9263889331203536"/>
    <n v="7.403604005797626"/>
    <n v="36.473032839366944"/>
    <n v="0.2"/>
    <n v="8.5333333333333314"/>
    <n v="0.54298879699440528"/>
    <n v="-3.4917371304198075"/>
    <n v="-1.8959741438673481"/>
    <n v="5.4577058695499598"/>
    <n v="1.0701384057941099"/>
    <n v="1.1372549019607843"/>
  </r>
  <r>
    <s v="66282-88109"/>
    <x v="0"/>
    <s v="Gary"/>
    <s v="Gary Brightwell"/>
    <s v="Brightwell"/>
    <n v="0.75"/>
    <n v="2"/>
    <n v="5000"/>
    <s v="LV@NYG"/>
    <s v="NYG"/>
    <s v="LV"/>
    <s v="Q"/>
    <s v="Undisclosed"/>
    <m/>
    <x v="223"/>
    <s v="Gary Brightwell"/>
    <n v="5.9327731092436977"/>
    <n v="4.8133333333333335"/>
    <n v="9.0512820512820511"/>
    <n v="0"/>
    <n v="0"/>
    <n v="0"/>
    <n v="0"/>
    <n v="0.14285714285714285"/>
    <n v="0.14285714285714285"/>
    <n v="0.8571428571428571"/>
    <n v="6"/>
    <n v="0"/>
    <n v="0.8571428571428571"/>
    <n v="0.14285714285714285"/>
    <n v="0"/>
    <n v="4"/>
    <n v="0"/>
    <n v="35.232477994905381"/>
    <n v="23.167522005094618"/>
    <n v="1"/>
    <n v="0"/>
    <n v="0"/>
    <n v="0"/>
    <n v="0"/>
    <n v="0.14285714285714285"/>
    <n v="28.607142857142854"/>
    <n v="0.17594246189715546"/>
    <n v="0.14285714285714285"/>
    <n v="0.17594246189715546"/>
    <n v="5.1653051203239251"/>
    <n v="0.90879649931977413"/>
    <n v="0.14285714285714285"/>
    <n v="8.5333333333333314"/>
    <n v="0.38784914071028942"/>
    <n v="4.6556495072264106"/>
    <n v="1.8056896608260458"/>
    <n v="0.34287718744315343"/>
    <n v="6.8575437488630681E-2"/>
    <n v="2.8571428571428571E-2"/>
  </r>
  <r>
    <s v="66282-56580"/>
    <x v="2"/>
    <s v="Christian"/>
    <s v="Christian Blake"/>
    <s v="Blake"/>
    <n v="1.75"/>
    <n v="2"/>
    <n v="5000"/>
    <s v="ATL@NO"/>
    <s v="ATL"/>
    <s v="NO"/>
    <m/>
    <m/>
    <m/>
    <x v="224"/>
    <s v="Christian Blake"/>
    <n v="5.895161290322581"/>
    <n v="2.7846153846153845"/>
    <n v="9.6184210526315788"/>
    <n v="0"/>
    <n v="0"/>
    <n v="0"/>
    <n v="0"/>
    <n v="0.83333333333333337"/>
    <n v="0.5"/>
    <n v="3.3333333333333335"/>
    <n v="6.7"/>
    <n v="0"/>
    <n v="1.1166666666666667"/>
    <n v="0"/>
    <n v="0"/>
    <n v="0"/>
    <n v="0"/>
    <n v="37.013107313686163"/>
    <n v="26.586892686313835"/>
    <n v="1"/>
    <n v="0"/>
    <n v="0"/>
    <n v="0"/>
    <n v="0"/>
    <n v="0.83333333333333337"/>
    <n v="33.666666666666664"/>
    <n v="0.91616602261599422"/>
    <n v="0.5"/>
    <n v="0.54969961356959651"/>
    <n v="6.1293330390177498"/>
    <n v="3.3692920029874176"/>
    <n v="0"/>
    <n v="25.833333333333332"/>
    <n v="0"/>
    <n v="0"/>
    <n v="0"/>
    <n v="0.58692920029874174"/>
    <n v="0.11738584005974835"/>
    <n v="0.16666666666666669"/>
  </r>
  <r>
    <s v="66282-33047"/>
    <x v="2"/>
    <s v="Chris"/>
    <s v="Chris Moore"/>
    <s v="Moore"/>
    <n v="8.46666653951009"/>
    <n v="3"/>
    <n v="5000"/>
    <s v="HOU@MIA"/>
    <s v="HOU"/>
    <s v="MIA"/>
    <m/>
    <m/>
    <m/>
    <x v="225"/>
    <s v="Chris Moore"/>
    <n v="6.9217391304347826"/>
    <n v="4.2947368421052632"/>
    <n v="11.055555555555555"/>
    <n v="0"/>
    <n v="0"/>
    <n v="0"/>
    <n v="0"/>
    <n v="2.5"/>
    <n v="2.25"/>
    <n v="30.75"/>
    <n v="13.7"/>
    <n v="0"/>
    <n v="3.4249999999999998"/>
    <n v="0"/>
    <n v="0"/>
    <n v="0"/>
    <n v="0"/>
    <n v="40.537201150458387"/>
    <n v="17.062798849541611"/>
    <n v="1"/>
    <n v="0"/>
    <n v="0"/>
    <n v="0"/>
    <n v="0"/>
    <n v="2.5"/>
    <n v="28.440476190476193"/>
    <n v="3.5633370622001923"/>
    <n v="2.25"/>
    <n v="3.2070033559801732"/>
    <n v="14.405746580422452"/>
    <n v="46.199277628814706"/>
    <n v="0"/>
    <n v="13.404761904761903"/>
    <n v="0"/>
    <n v="0"/>
    <n v="0"/>
    <n v="5.7449277628814706"/>
    <n v="1.1489855525762942"/>
    <n v="0.5"/>
  </r>
  <r>
    <s v="66282-60712"/>
    <x v="3"/>
    <s v="Foster"/>
    <s v="Foster Moreau"/>
    <s v="Moreau"/>
    <n v="7.0749998092651296"/>
    <n v="4"/>
    <n v="5000"/>
    <s v="LV@NYG"/>
    <s v="LV"/>
    <s v="NYG"/>
    <m/>
    <m/>
    <m/>
    <x v="226"/>
    <s v="Foster Moreau"/>
    <n v="6.7966101694915251"/>
    <n v="4.5857142857142854"/>
    <n v="9.0112359550561791"/>
    <n v="0"/>
    <n v="0"/>
    <n v="0"/>
    <n v="0"/>
    <n v="1.7142857142857142"/>
    <n v="1.4285714285714286"/>
    <n v="16.142857142857142"/>
    <n v="11.3"/>
    <n v="0"/>
    <n v="1.6142857142857143"/>
    <n v="0"/>
    <n v="0"/>
    <n v="0"/>
    <n v="0"/>
    <e v="#N/A"/>
    <e v="#N/A"/>
    <n v="1"/>
    <n v="0"/>
    <n v="0"/>
    <n v="0"/>
    <n v="0"/>
    <n v="1.7142857142857142"/>
    <n v="39.700000000000003"/>
    <e v="#N/A"/>
    <n v="1.4285714285714286"/>
    <n v="0"/>
    <n v="9.6849512108861262"/>
    <n v="0"/>
    <n v="0"/>
    <n v="38.571428571428569"/>
    <n v="0"/>
    <n v="0"/>
    <n v="0"/>
    <n v="0.7142857142857143"/>
    <n v="0.14285714285714285"/>
    <n v="0.34285714285714286"/>
  </r>
  <r>
    <s v="66282-69956"/>
    <x v="2"/>
    <s v="Michael"/>
    <s v="Michael Gallup"/>
    <s v="Gallup"/>
    <n v="5.5999999046325604"/>
    <n v="1"/>
    <n v="5000"/>
    <s v="DEN@DAL"/>
    <s v="DAL"/>
    <s v="DEN"/>
    <s v="IR"/>
    <s v="Calf"/>
    <m/>
    <x v="227"/>
    <s v="Michael Gallup"/>
    <n v="4.6380952380952385"/>
    <n v="3.6326530612244898"/>
    <n v="8.8545454545454554"/>
    <n v="0"/>
    <n v="0"/>
    <n v="0"/>
    <n v="0"/>
    <n v="0"/>
    <n v="4"/>
    <n v="36"/>
    <n v="9"/>
    <n v="12"/>
    <n v="9"/>
    <n v="0"/>
    <n v="0"/>
    <n v="0"/>
    <n v="0"/>
    <n v="40.215481891649205"/>
    <n v="26.284518108350792"/>
    <n v="0"/>
    <n v="0"/>
    <n v="0"/>
    <n v="0"/>
    <n v="0"/>
    <n v="0"/>
    <n v="28.733333333333334"/>
    <n v="0"/>
    <n v="0"/>
    <n v="0"/>
    <n v="7.5795498442167641"/>
    <n v="0"/>
    <n v="0"/>
    <n v="32"/>
    <n v="0"/>
    <n v="0"/>
    <n v="0"/>
    <n v="0"/>
    <n v="0"/>
    <n v="0"/>
  </r>
  <r>
    <s v="66282-94534"/>
    <x v="2"/>
    <s v="Gabriel"/>
    <s v="Gabriel Davis"/>
    <s v="Davis"/>
    <n v="5.0499998728434203"/>
    <n v="6"/>
    <n v="5000"/>
    <s v="BUF@JAC"/>
    <s v="BUF"/>
    <s v="JAC"/>
    <m/>
    <m/>
    <m/>
    <x v="228"/>
    <s v="Gabriel Davis"/>
    <n v="9.3909774436090228"/>
    <n v="3.4552845528455283"/>
    <n v="12.49"/>
    <n v="0"/>
    <n v="0"/>
    <n v="0"/>
    <n v="0"/>
    <n v="1.6666666666666667"/>
    <n v="1"/>
    <n v="17.333333333333332"/>
    <n v="17.3"/>
    <n v="46.5"/>
    <n v="2.8833333333333333"/>
    <n v="0"/>
    <n v="0"/>
    <n v="0"/>
    <n v="0"/>
    <n v="33.734564753717166"/>
    <n v="28.965435246282837"/>
    <n v="1"/>
    <n v="0"/>
    <n v="0"/>
    <n v="0"/>
    <n v="0"/>
    <n v="1.6666666666666667"/>
    <n v="25.8"/>
    <n v="2.1792354492065349"/>
    <n v="1"/>
    <n v="1.3075412695239208"/>
    <n v="20.551483354525534"/>
    <n v="26.871912635976042"/>
    <n v="0"/>
    <n v="31.133333333333333"/>
    <n v="0"/>
    <n v="0"/>
    <n v="0"/>
    <n v="3.1871912635976041"/>
    <n v="0.63743825271952081"/>
    <n v="0.33333333333333337"/>
  </r>
  <r>
    <s v="66282-71032"/>
    <x v="2"/>
    <s v="Devin"/>
    <s v="Devin Duvernay"/>
    <s v="Duvernay"/>
    <n v="4.6285716465541196"/>
    <n v="7"/>
    <n v="5000"/>
    <s v="MIN@BAL"/>
    <s v="BAL"/>
    <s v="MIN"/>
    <m/>
    <m/>
    <m/>
    <x v="229"/>
    <s v="Devin Duvernay"/>
    <n v="9.1684210526315795"/>
    <n v="4.7733333333333334"/>
    <n v="12.097222222222221"/>
    <n v="0"/>
    <n v="0"/>
    <n v="0"/>
    <n v="0"/>
    <n v="2.7142857142857144"/>
    <n v="1.8571428571428572"/>
    <n v="18.571428571428573"/>
    <n v="10"/>
    <n v="22.5"/>
    <n v="1.4285714285714286"/>
    <n v="0.2857142857142857"/>
    <n v="0"/>
    <n v="4.5"/>
    <n v="0"/>
    <e v="#N/A"/>
    <e v="#N/A"/>
    <n v="1"/>
    <n v="0"/>
    <n v="0"/>
    <n v="0"/>
    <n v="0"/>
    <n v="2.7142857142857144"/>
    <n v="39.43333333333333"/>
    <e v="#N/A"/>
    <n v="1.8571428571428572"/>
    <n v="0"/>
    <n v="11.505891933708648"/>
    <n v="0"/>
    <n v="0.2857142857142857"/>
    <n v="28.528571428571428"/>
    <n v="0"/>
    <n v="5.1940798865247553"/>
    <n v="0"/>
    <n v="0.9285714285714286"/>
    <n v="0.18571428571428572"/>
    <n v="0.54285714285714293"/>
  </r>
  <r>
    <s v="66282-32234"/>
    <x v="0"/>
    <s v="Malcolm"/>
    <s v="Malcolm Brown"/>
    <s v="Brown"/>
    <n v="3.5"/>
    <n v="6"/>
    <n v="5000"/>
    <s v="HOU@MIA"/>
    <s v="MIA"/>
    <s v="HOU"/>
    <s v="IR"/>
    <s v="Quadriceps"/>
    <m/>
    <x v="230"/>
    <s v="Malcolm Brown"/>
    <n v="7.6226415094339623"/>
    <n v="4.2048192771084336"/>
    <n v="11.542857142857143"/>
    <n v="0"/>
    <n v="0"/>
    <n v="0"/>
    <n v="0"/>
    <n v="0"/>
    <n v="0.42857142857142855"/>
    <n v="1.4285714285714286"/>
    <n v="3.3"/>
    <n v="0"/>
    <n v="0.47142857142857142"/>
    <n v="4.7142857142857144"/>
    <n v="21.09375"/>
    <n v="3.8"/>
    <n v="0.14285714285714285"/>
    <n v="40.244550246190627"/>
    <n v="21.855449753809374"/>
    <n v="0"/>
    <n v="0"/>
    <n v="0"/>
    <n v="0"/>
    <n v="0"/>
    <n v="0"/>
    <n v="27.457142857142856"/>
    <n v="0"/>
    <n v="0"/>
    <n v="0"/>
    <n v="3.6229462656174074"/>
    <n v="0"/>
    <n v="0"/>
    <n v="17.464285714285712"/>
    <n v="0"/>
    <n v="3.8637167359432874"/>
    <n v="0"/>
    <n v="0"/>
    <n v="0"/>
    <n v="0"/>
  </r>
  <r>
    <s v="66282-40434"/>
    <x v="2"/>
    <s v="Greg"/>
    <s v="Greg Ward"/>
    <s v="Ward"/>
    <n v="4"/>
    <n v="4"/>
    <n v="5000"/>
    <s v="LAC@PHI"/>
    <s v="PHI"/>
    <s v="LAC"/>
    <m/>
    <m/>
    <m/>
    <x v="231"/>
    <s v="Greg Ward"/>
    <n v="6.5760869565217392"/>
    <n v="5.7954545454545459"/>
    <n v="9.453125"/>
    <n v="0.14285714285714285"/>
    <n v="0"/>
    <n v="0"/>
    <n v="0"/>
    <n v="0.42857142857142855"/>
    <n v="0.2857142857142857"/>
    <n v="4.2857142857142856"/>
    <n v="15"/>
    <n v="0"/>
    <n v="2.1428571428571428"/>
    <n v="0"/>
    <n v="0"/>
    <n v="0"/>
    <n v="0"/>
    <n v="35.928903458126896"/>
    <n v="25.271096541873106"/>
    <n v="1"/>
    <n v="0.14285714285714285"/>
    <n v="0"/>
    <n v="0"/>
    <n v="0"/>
    <n v="0.42857142857142855"/>
    <n v="24.999999999999996"/>
    <n v="0.61592405928217542"/>
    <n v="0.2857142857142857"/>
    <n v="0.41061603952145026"/>
    <n v="13.486563198703415"/>
    <n v="5.5377991674073384"/>
    <n v="0"/>
    <n v="14.428571428571431"/>
    <n v="0"/>
    <n v="0"/>
    <n v="0"/>
    <n v="0.69663705959787658"/>
    <n v="0.13932741191957532"/>
    <n v="8.5714285714285715E-2"/>
  </r>
  <r>
    <s v="66282-41475"/>
    <x v="2"/>
    <s v="John"/>
    <s v="John Ross III"/>
    <s v="Ross III"/>
    <n v="5.7799999237060504"/>
    <n v="5"/>
    <n v="5000"/>
    <s v="LV@NYG"/>
    <s v="NYG"/>
    <s v="LV"/>
    <s v="Q"/>
    <s v="Quadriceps"/>
    <m/>
    <x v="232"/>
    <s v="John Ross III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28181"/>
    <x v="0"/>
    <s v="Le'Veon"/>
    <s v="Le'Veon Bell"/>
    <s v="Bell"/>
    <n v="3.2666667302449501"/>
    <n v="3"/>
    <n v="5000"/>
    <s v="MIN@BAL"/>
    <s v="BAL"/>
    <s v="MIN"/>
    <m/>
    <m/>
    <m/>
    <x v="233"/>
    <s v="Le'Veon Bell"/>
    <n v="9.1684210526315795"/>
    <n v="4.7733333333333334"/>
    <n v="12.097222222222221"/>
    <n v="0"/>
    <n v="0"/>
    <n v="0"/>
    <n v="0"/>
    <n v="1"/>
    <n v="0.33333333333333331"/>
    <n v="-0.33333333333333331"/>
    <n v="-1"/>
    <n v="0"/>
    <n v="-0.33333333333333331"/>
    <n v="5.666666666666667"/>
    <n v="0"/>
    <n v="2"/>
    <n v="0.33333333333333331"/>
    <e v="#N/A"/>
    <e v="#N/A"/>
    <n v="1"/>
    <n v="0"/>
    <n v="0"/>
    <n v="0"/>
    <n v="0"/>
    <n v="1"/>
    <n v="39.43333333333333"/>
    <e v="#N/A"/>
    <n v="0.33333333333333331"/>
    <n v="0"/>
    <n v="-1.1505891933708647"/>
    <n v="0"/>
    <n v="5.666666666666667"/>
    <n v="28.528571428571428"/>
    <n v="0"/>
    <n v="2.308479949566558"/>
    <n v="0"/>
    <n v="0.16666666666666666"/>
    <n v="3.3333333333333333E-2"/>
    <n v="0.2"/>
  </r>
  <r>
    <s v="66282-86646"/>
    <x v="0"/>
    <s v="Trey"/>
    <s v="Trey Sermon"/>
    <s v="Sermon"/>
    <n v="5.1999998092651296"/>
    <n v="4"/>
    <n v="5000"/>
    <s v="ARI@SF"/>
    <s v="SF"/>
    <s v="ARI"/>
    <m/>
    <m/>
    <m/>
    <x v="234"/>
    <s v="Trey Sermon"/>
    <n v="5.9411764705882355"/>
    <n v="5.4102564102564106"/>
    <n v="9.1818181818181817"/>
    <n v="0"/>
    <n v="0"/>
    <n v="0"/>
    <n v="0"/>
    <n v="0.6"/>
    <n v="0.4"/>
    <n v="0.6"/>
    <n v="1.5"/>
    <n v="0"/>
    <n v="0.3"/>
    <n v="6.2"/>
    <n v="0"/>
    <n v="4.4000000000000004"/>
    <n v="0.2"/>
    <n v="33.198546563443358"/>
    <n v="30.201453436556637"/>
    <n v="1"/>
    <n v="0"/>
    <n v="0"/>
    <n v="0"/>
    <n v="0"/>
    <n v="0.6"/>
    <n v="34.266666666666673"/>
    <n v="0.58129750792021428"/>
    <n v="0.4"/>
    <n v="0.38753167194680954"/>
    <n v="1.3099495795104263"/>
    <n v="0.50764695071369559"/>
    <n v="6.2"/>
    <n v="23.6"/>
    <n v="7.9342801401123362"/>
    <n v="5.7563192554189753"/>
    <n v="45.672249548417007"/>
    <n v="4.8179896499130699"/>
    <n v="0.96359792998261395"/>
    <n v="0.12"/>
  </r>
  <r>
    <s v="66282-23194"/>
    <x v="2"/>
    <s v="Josh"/>
    <s v="Josh Gordon"/>
    <s v="Gordon"/>
    <n v="0.53333334128061904"/>
    <n v="3"/>
    <n v="5000"/>
    <s v="GB@KC"/>
    <s v="KC"/>
    <s v="GB"/>
    <m/>
    <m/>
    <m/>
    <x v="235"/>
    <s v="Josh Gordon"/>
    <n v="6.3711340206185563"/>
    <n v="4.3797468354430382"/>
    <n v="9.3636363636363633"/>
    <n v="0"/>
    <n v="0"/>
    <n v="0"/>
    <n v="0"/>
    <n v="0.66666666666666663"/>
    <n v="0.33333333333333331"/>
    <n v="3.6666666666666665"/>
    <n v="11"/>
    <n v="0"/>
    <n v="3.6666666666666665"/>
    <n v="0"/>
    <n v="0"/>
    <n v="0"/>
    <n v="0"/>
    <n v="35.894621752555366"/>
    <n v="26.105378247444634"/>
    <n v="1"/>
    <n v="0"/>
    <n v="0"/>
    <n v="0"/>
    <n v="0"/>
    <n v="0.66666666666666663"/>
    <n v="38.357142857142847"/>
    <n v="0.62386679644416532"/>
    <n v="0.33333333333333331"/>
    <n v="0.31193339822208266"/>
    <n v="9.7965206177248394"/>
    <n v="3.0558619670396054"/>
    <n v="0"/>
    <n v="15.523809523809524"/>
    <n v="0"/>
    <n v="0"/>
    <n v="0"/>
    <n v="0.47225286337062722"/>
    <n v="9.4450572674125446E-2"/>
    <n v="0.13333333333333333"/>
  </r>
  <r>
    <s v="66282-25267"/>
    <x v="2"/>
    <s v="Mack"/>
    <s v="Mack Hollins"/>
    <s v="Hollins"/>
    <n v="4.4749999046325604"/>
    <n v="4"/>
    <n v="5000"/>
    <s v="HOU@MIA"/>
    <s v="MIA"/>
    <s v="HOU"/>
    <m/>
    <m/>
    <m/>
    <x v="236"/>
    <s v="Mack Hollins"/>
    <n v="7.6226415094339623"/>
    <n v="4.2048192771084336"/>
    <n v="11.542857142857143"/>
    <n v="0"/>
    <n v="0"/>
    <n v="0"/>
    <n v="0"/>
    <n v="1.4285714285714286"/>
    <n v="1"/>
    <n v="12"/>
    <n v="12"/>
    <n v="0"/>
    <n v="1.7142857142857142"/>
    <n v="0"/>
    <n v="0"/>
    <n v="0"/>
    <n v="0"/>
    <n v="40.244550246190627"/>
    <n v="21.855449753809374"/>
    <n v="1"/>
    <n v="0"/>
    <n v="0"/>
    <n v="0"/>
    <n v="0"/>
    <n v="1.4285714285714286"/>
    <n v="27.457142857142856"/>
    <n v="2.0938891907487323"/>
    <n v="1"/>
    <n v="1.4657224335241126"/>
    <n v="13.174350056790573"/>
    <n v="19.309940425337608"/>
    <n v="0"/>
    <n v="17.464285714285712"/>
    <n v="0"/>
    <n v="0"/>
    <n v="0"/>
    <n v="2.4309940425337606"/>
    <n v="0.48619880850675212"/>
    <n v="0.2857142857142857"/>
  </r>
  <r>
    <s v="66282-27338"/>
    <x v="0"/>
    <s v="Rex"/>
    <s v="Rex Burkhead"/>
    <s v="Burkhead"/>
    <n v="2.8600000381469699"/>
    <n v="5"/>
    <n v="5000"/>
    <s v="HOU@MIA"/>
    <s v="HOU"/>
    <s v="MIA"/>
    <m/>
    <m/>
    <m/>
    <x v="237"/>
    <s v="Rex Burkhead"/>
    <n v="6.9217391304347826"/>
    <n v="4.2947368421052632"/>
    <n v="11.055555555555555"/>
    <n v="0"/>
    <n v="0"/>
    <n v="0"/>
    <n v="0"/>
    <n v="0.66666666666666663"/>
    <n v="0.33333333333333331"/>
    <n v="1.8333333333333333"/>
    <n v="5.5"/>
    <n v="15"/>
    <n v="0.91666666666666663"/>
    <n v="0.16666666666666666"/>
    <n v="0"/>
    <n v="-1"/>
    <n v="0"/>
    <n v="40.537201150458387"/>
    <n v="17.062798849541611"/>
    <n v="1"/>
    <n v="0"/>
    <n v="0"/>
    <n v="0"/>
    <n v="0"/>
    <n v="0.66666666666666663"/>
    <n v="28.440476190476193"/>
    <n v="0.95022321658671793"/>
    <n v="0.33333333333333331"/>
    <n v="0.47511160829335897"/>
    <n v="5.7833289191477002"/>
    <n v="2.7477267040657574"/>
    <n v="0.16666666666666666"/>
    <n v="13.404761904761903"/>
    <n v="0.21214847592680514"/>
    <n v="-1.0385105330305304"/>
    <n v="-0.22031842681636105"/>
    <n v="0.41940749439160629"/>
    <n v="8.3881498878321262E-2"/>
    <n v="0.13333333333333333"/>
  </r>
  <r>
    <s v="66282-45791"/>
    <x v="2"/>
    <s v="Rashard"/>
    <s v="Rashard Higgins"/>
    <s v="Higgins"/>
    <n v="4.2571427481514998"/>
    <n v="7"/>
    <n v="5000"/>
    <s v="CLE@CIN"/>
    <s v="CLE"/>
    <s v="CIN"/>
    <m/>
    <m/>
    <m/>
    <x v="238"/>
    <s v="Rashard Higgins"/>
    <n v="5.884615384615385"/>
    <n v="3.7029702970297032"/>
    <n v="8.5794392523364493"/>
    <n v="0"/>
    <n v="0"/>
    <n v="0"/>
    <n v="0"/>
    <n v="3"/>
    <n v="1.7142857142857142"/>
    <n v="20.142857142857142"/>
    <n v="11.8"/>
    <n v="0"/>
    <n v="1.6857142857142857"/>
    <n v="0"/>
    <n v="0"/>
    <n v="0"/>
    <n v="0"/>
    <n v="26.716825649263725"/>
    <n v="36.583174350736272"/>
    <n v="1"/>
    <n v="0"/>
    <n v="0"/>
    <n v="0"/>
    <n v="0"/>
    <n v="3"/>
    <n v="23.30952380952381"/>
    <n v="3.4385291438276089"/>
    <n v="1.7142857142857142"/>
    <n v="1.9648737964729193"/>
    <n v="9.6288748697434503"/>
    <n v="18.919523921075498"/>
    <n v="0"/>
    <n v="31.019047619047615"/>
    <n v="0"/>
    <n v="0"/>
    <n v="0"/>
    <n v="2.749095249250407"/>
    <n v="0.54981904985008145"/>
    <n v="0.6"/>
  </r>
  <r>
    <s v="66282-40758"/>
    <x v="0"/>
    <s v="Corey"/>
    <s v="Corey Clement"/>
    <s v="Clement"/>
    <n v="0"/>
    <n v="1"/>
    <n v="5000"/>
    <s v="DEN@DAL"/>
    <s v="DAL"/>
    <s v="DEN"/>
    <m/>
    <m/>
    <m/>
    <x v="239"/>
    <s v="Corey Clement"/>
    <n v="4.6380952380952385"/>
    <n v="3.6326530612244898"/>
    <n v="8.8545454545454554"/>
    <n v="0"/>
    <n v="0"/>
    <n v="0"/>
    <n v="0"/>
    <n v="0"/>
    <n v="0"/>
    <n v="0"/>
    <n v="0"/>
    <n v="0"/>
    <n v="0"/>
    <n v="0.5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.5"/>
    <n v="32"/>
    <n v="0.41069559544298112"/>
    <n v="0"/>
    <n v="0"/>
    <n v="0"/>
    <n v="0"/>
    <n v="0"/>
  </r>
  <r>
    <s v="66282-56142"/>
    <x v="2"/>
    <s v="Juwann"/>
    <s v="Juwann Winfree"/>
    <s v="Winfree"/>
    <n v="5"/>
    <n v="1"/>
    <n v="5000"/>
    <s v="GB@KC"/>
    <s v="GB"/>
    <s v="KC"/>
    <m/>
    <m/>
    <m/>
    <x v="240"/>
    <s v="Juwann Winfree"/>
    <n v="8.7934782608695645"/>
    <n v="5.404494382022472"/>
    <n v="12.446153846153846"/>
    <n v="0"/>
    <n v="0"/>
    <n v="0"/>
    <n v="0"/>
    <n v="3"/>
    <n v="2"/>
    <n v="15"/>
    <n v="7.5"/>
    <n v="0"/>
    <n v="3.75"/>
    <n v="0"/>
    <n v="0"/>
    <n v="0"/>
    <n v="0"/>
    <e v="#N/A"/>
    <e v="#N/A"/>
    <n v="1"/>
    <n v="0"/>
    <n v="0"/>
    <n v="0"/>
    <n v="0"/>
    <n v="3"/>
    <n v="30.583333333333336"/>
    <e v="#N/A"/>
    <n v="2"/>
    <n v="0"/>
    <n v="8.8783254440695245"/>
    <n v="0"/>
    <n v="0"/>
    <n v="14.916666666666666"/>
    <n v="0"/>
    <n v="0"/>
    <n v="0"/>
    <n v="1"/>
    <n v="0.2"/>
    <n v="0.6"/>
  </r>
  <r>
    <s v="66282-55165"/>
    <x v="0"/>
    <s v="Justin"/>
    <s v="Justin Jackson"/>
    <s v="Jackson"/>
    <n v="2.8333333333333299"/>
    <n v="6"/>
    <n v="5000"/>
    <s v="LAC@PHI"/>
    <s v="LAC"/>
    <s v="PHI"/>
    <s v="O"/>
    <s v="Quadriceps"/>
    <m/>
    <x v="241"/>
    <s v="Justin Jackson"/>
    <n v="5.9890109890109891"/>
    <n v="3.8190476190476192"/>
    <n v="8.515625"/>
    <n v="0"/>
    <n v="0"/>
    <n v="0"/>
    <n v="0"/>
    <n v="0"/>
    <n v="1.4"/>
    <n v="6.8"/>
    <n v="4.9000000000000004"/>
    <n v="18"/>
    <n v="0.98000000000000009"/>
    <n v="2"/>
    <n v="17.5"/>
    <n v="2.2000000000000002"/>
    <n v="0"/>
    <n v="30.851495621477966"/>
    <n v="35.648504378522034"/>
    <n v="0"/>
    <n v="0"/>
    <n v="0"/>
    <n v="0"/>
    <n v="0"/>
    <n v="0"/>
    <n v="35.500000000000007"/>
    <n v="0"/>
    <n v="0"/>
    <n v="0"/>
    <n v="3.9686905809517876"/>
    <n v="0"/>
    <n v="0"/>
    <n v="19.5"/>
    <n v="0"/>
    <n v="2.0316650154704887"/>
    <n v="0"/>
    <n v="0"/>
    <n v="0"/>
    <n v="0"/>
  </r>
  <r>
    <s v="66282-56356"/>
    <x v="2"/>
    <s v="Isaiah"/>
    <s v="Isaiah Ford"/>
    <s v="Ford"/>
    <n v="2.07500004768371"/>
    <n v="4"/>
    <n v="4900"/>
    <s v="HOU@MIA"/>
    <s v="MIA"/>
    <s v="HOU"/>
    <m/>
    <m/>
    <m/>
    <x v="242"/>
    <s v="Isaiah Ford"/>
    <n v="7.6226415094339623"/>
    <n v="4.2048192771084336"/>
    <n v="11.542857142857143"/>
    <n v="0"/>
    <n v="0"/>
    <n v="0"/>
    <n v="0"/>
    <n v="1"/>
    <n v="0.66666666666666663"/>
    <n v="4.333333333333333"/>
    <n v="6.5"/>
    <n v="0"/>
    <n v="2.1666666666666665"/>
    <n v="0"/>
    <n v="0"/>
    <n v="0"/>
    <n v="0"/>
    <n v="40.244550246190627"/>
    <n v="21.855449753809374"/>
    <n v="1"/>
    <n v="0"/>
    <n v="0"/>
    <n v="0"/>
    <n v="0"/>
    <n v="1"/>
    <n v="27.457142857142856"/>
    <n v="1.4657224335241124"/>
    <n v="0.66666666666666663"/>
    <n v="0.97714828901607487"/>
    <n v="7.1361062807615605"/>
    <n v="6.9730340424830244"/>
    <n v="0"/>
    <n v="17.464285714285712"/>
    <n v="0"/>
    <n v="0"/>
    <n v="0"/>
    <n v="1.0306367375816357"/>
    <n v="0.21033402807788482"/>
    <n v="0.2040816326530612"/>
  </r>
  <r>
    <s v="66282-28827"/>
    <x v="0"/>
    <s v="Dare"/>
    <s v="Dare Ogunbowale"/>
    <s v="Ogunbowale"/>
    <n v="1.6666666666666601"/>
    <n v="3"/>
    <n v="4900"/>
    <s v="BUF@JAC"/>
    <s v="JAC"/>
    <s v="BUF"/>
    <m/>
    <m/>
    <m/>
    <x v="243"/>
    <s v="Dare Ogunbowale"/>
    <n v="5.34"/>
    <n v="3.393939393939394"/>
    <n v="9.3684210526315788"/>
    <n v="0"/>
    <n v="0"/>
    <n v="0"/>
    <n v="0"/>
    <n v="0.16666666666666666"/>
    <n v="0.16666666666666666"/>
    <n v="3.1666666666666665"/>
    <n v="19"/>
    <n v="0"/>
    <n v="3.1666666666666665"/>
    <n v="0.33333333333333331"/>
    <n v="0"/>
    <n v="1.5"/>
    <n v="0"/>
    <n v="44.656477842721628"/>
    <n v="14.343522157278372"/>
    <n v="1"/>
    <n v="0"/>
    <n v="0"/>
    <n v="0"/>
    <n v="0"/>
    <n v="0.16666666666666666"/>
    <n v="34.133333333333333"/>
    <n v="0.21804920821641421"/>
    <n v="0.16666666666666666"/>
    <n v="0.21804920821641421"/>
    <n v="16.929909417039042"/>
    <n v="3.6915533435609778"/>
    <n v="0.33333333333333331"/>
    <n v="20.466666666666665"/>
    <n v="0.23360785272440346"/>
    <n v="1.2310329847866357"/>
    <n v="0.2875789722089192"/>
    <n v="0.48124656491032297"/>
    <n v="9.8213584675576115E-2"/>
    <n v="3.4013605442176867E-2"/>
  </r>
  <r>
    <s v="66282-40126"/>
    <x v="3"/>
    <s v="Austin"/>
    <s v="Austin Hooper"/>
    <s v="Hooper"/>
    <n v="4.2375001907348597"/>
    <n v="8"/>
    <n v="4900"/>
    <s v="CLE@CIN"/>
    <s v="CLE"/>
    <s v="CIN"/>
    <m/>
    <m/>
    <m/>
    <x v="244"/>
    <s v="Austin Hooper"/>
    <n v="5.884615384615385"/>
    <n v="3.7029702970297032"/>
    <n v="8.5794392523364493"/>
    <n v="0"/>
    <n v="0"/>
    <n v="0"/>
    <n v="0"/>
    <n v="3.1428571428571428"/>
    <n v="2"/>
    <n v="20.428571428571427"/>
    <n v="10.199999999999999"/>
    <n v="14"/>
    <n v="1.4571428571428571"/>
    <n v="0"/>
    <n v="0"/>
    <n v="0"/>
    <n v="0"/>
    <n v="26.716825649263725"/>
    <n v="36.583174350736272"/>
    <n v="1"/>
    <n v="0"/>
    <n v="0"/>
    <n v="0"/>
    <n v="0"/>
    <n v="3.1428571428571428"/>
    <n v="23.30952380952381"/>
    <n v="3.6022686268670192"/>
    <n v="2"/>
    <n v="2.2923527625517393"/>
    <n v="8.3232647179138279"/>
    <n v="19.079858869559185"/>
    <n v="0"/>
    <n v="31.019047619047615"/>
    <n v="0"/>
    <n v="0"/>
    <n v="0"/>
    <n v="2.9079858869559185"/>
    <n v="0.59346650754202412"/>
    <n v="0.64139941690962088"/>
  </r>
  <r>
    <s v="66282-64841"/>
    <x v="2"/>
    <s v="Equanimeous"/>
    <s v="Equanimeous St. Brown"/>
    <s v="St. Brown"/>
    <n v="1"/>
    <n v="4"/>
    <n v="4900"/>
    <s v="GB@KC"/>
    <s v="GB"/>
    <s v="KC"/>
    <m/>
    <m/>
    <m/>
    <x v="245"/>
    <s v="Equanimeous St. Brown"/>
    <n v="8.7934782608695645"/>
    <n v="5.404494382022472"/>
    <n v="12.446153846153846"/>
    <n v="0"/>
    <n v="0"/>
    <n v="0"/>
    <n v="0"/>
    <n v="1"/>
    <n v="0.5"/>
    <n v="2"/>
    <n v="4"/>
    <n v="0"/>
    <n v="0.66666666666666663"/>
    <n v="0.16666666666666666"/>
    <n v="0"/>
    <n v="13"/>
    <n v="0"/>
    <e v="#N/A"/>
    <e v="#N/A"/>
    <n v="1"/>
    <n v="0"/>
    <n v="0"/>
    <n v="0"/>
    <n v="0"/>
    <n v="1"/>
    <n v="30.583333333333336"/>
    <e v="#N/A"/>
    <n v="0.5"/>
    <n v="0"/>
    <n v="4.7351069035037456"/>
    <n v="0"/>
    <n v="0.16666666666666666"/>
    <n v="14.916666666666666"/>
    <n v="0"/>
    <n v="16.98919377860738"/>
    <n v="0"/>
    <n v="0.25"/>
    <n v="5.10204081632653E-2"/>
    <n v="0.2040816326530612"/>
  </r>
  <r>
    <s v="66282-69168"/>
    <x v="2"/>
    <s v="N'Keal"/>
    <s v="N'Keal Harry"/>
    <s v="Harry"/>
    <n v="2.5499999523162802"/>
    <n v="4"/>
    <n v="4900"/>
    <s v="NE@CAR"/>
    <s v="NE"/>
    <s v="CAR"/>
    <s v="Q"/>
    <s v="Knee"/>
    <m/>
    <x v="246"/>
    <s v="N'Keal Harry"/>
    <n v="5.0344827586206895"/>
    <n v="2.6470588235294117"/>
    <n v="8.76"/>
    <n v="0"/>
    <n v="0"/>
    <n v="0"/>
    <n v="0"/>
    <n v="1.25"/>
    <n v="0.75"/>
    <n v="11.75"/>
    <n v="15.7"/>
    <n v="0"/>
    <n v="3.9249999999999998"/>
    <n v="0"/>
    <n v="0"/>
    <n v="0"/>
    <n v="0"/>
    <n v="27.892429902449898"/>
    <n v="33.907570097550099"/>
    <n v="1"/>
    <n v="0"/>
    <n v="0"/>
    <n v="0"/>
    <n v="0"/>
    <n v="1.25"/>
    <n v="35.154761904761905"/>
    <n v="0.99177282077793405"/>
    <n v="0.75"/>
    <n v="0.59506369246676039"/>
    <n v="13.080923044630412"/>
    <n v="7.7839823678113103"/>
    <n v="0"/>
    <n v="29.773809523809522"/>
    <n v="0"/>
    <n v="0"/>
    <n v="0"/>
    <n v="1.1533982367811311"/>
    <n v="0.2353873952614553"/>
    <n v="0.25510204081632654"/>
  </r>
  <r>
    <s v="66282-27229"/>
    <x v="0"/>
    <s v="Ameer"/>
    <s v="Ameer Abdullah"/>
    <s v="Abdullah"/>
    <n v="1.7875000238418499"/>
    <n v="8"/>
    <n v="4900"/>
    <s v="NE@CAR"/>
    <s v="CAR"/>
    <s v="NE"/>
    <m/>
    <m/>
    <m/>
    <x v="247"/>
    <s v="Ameer Abdullah"/>
    <n v="5.9135802469135799"/>
    <n v="4"/>
    <n v="9.9791666666666661"/>
    <n v="0"/>
    <n v="0"/>
    <n v="0"/>
    <n v="0"/>
    <n v="0.5714285714285714"/>
    <n v="0.42857142857142855"/>
    <n v="2.4285714285714284"/>
    <n v="5.7"/>
    <n v="16"/>
    <n v="0.81428571428571428"/>
    <n v="1"/>
    <n v="3.3125"/>
    <n v="4.3"/>
    <n v="0"/>
    <n v="42.879374651732974"/>
    <n v="18.220625348267024"/>
    <n v="1"/>
    <n v="0"/>
    <n v="0"/>
    <n v="0"/>
    <n v="0"/>
    <n v="0.5714285714285714"/>
    <n v="45.690476190476197"/>
    <n v="0.53627149121500328"/>
    <n v="0.42857142857142855"/>
    <n v="0.40220361841125246"/>
    <n v="5.4100809552132132"/>
    <n v="2.1759541360845596"/>
    <n v="1"/>
    <n v="38.333333333333336"/>
    <n v="0.47532066125913974"/>
    <n v="4.1591328700291337"/>
    <n v="1.9769217860468715"/>
    <n v="0.62957330649885745"/>
    <n v="0.12848434826507293"/>
    <n v="0.11661807580174925"/>
  </r>
  <r>
    <s v="66282-85672"/>
    <x v="2"/>
    <s v="Terrace"/>
    <s v="Terrace Marshall Jr."/>
    <s v="Marshall Jr."/>
    <n v="3.1000000635782801"/>
    <n v="6"/>
    <n v="4900"/>
    <s v="NE@CAR"/>
    <s v="CAR"/>
    <s v="NE"/>
    <m/>
    <m/>
    <m/>
    <x v="248"/>
    <s v="Terrace Marshall Jr."/>
    <n v="5.9135802469135799"/>
    <n v="4"/>
    <n v="9.9791666666666661"/>
    <n v="0"/>
    <n v="0"/>
    <n v="0"/>
    <n v="0"/>
    <n v="3.6666666666666665"/>
    <n v="2.3333333333333335"/>
    <n v="19.333333333333332"/>
    <n v="8.3000000000000007"/>
    <n v="11"/>
    <n v="1.3833333333333335"/>
    <n v="0"/>
    <n v="0"/>
    <n v="0"/>
    <n v="0"/>
    <n v="42.879374651732974"/>
    <n v="18.220625348267024"/>
    <n v="1"/>
    <n v="0"/>
    <n v="0"/>
    <n v="0"/>
    <n v="0"/>
    <n v="3.6666666666666665"/>
    <n v="45.690476190476197"/>
    <n v="3.4410754019629373"/>
    <n v="2.3333333333333335"/>
    <n v="2.1897752557945966"/>
    <n v="7.8778371803981875"/>
    <n v="17.250692926814626"/>
    <n v="0"/>
    <n v="38.333333333333336"/>
    <n v="0"/>
    <n v="0"/>
    <n v="0"/>
    <n v="2.8917359593481295"/>
    <n v="0.59015019578533257"/>
    <n v="0.7482993197278911"/>
  </r>
  <r>
    <s v="66282-30403"/>
    <x v="2"/>
    <s v="Chris"/>
    <s v="Chris Conley"/>
    <s v="Conley"/>
    <n v="3.39999989100864"/>
    <n v="7"/>
    <n v="4900"/>
    <s v="HOU@MIA"/>
    <s v="HOU"/>
    <s v="MIA"/>
    <m/>
    <m/>
    <m/>
    <x v="249"/>
    <s v="Chris Conley"/>
    <n v="6.9217391304347826"/>
    <n v="4.2947368421052632"/>
    <n v="11.055555555555555"/>
    <n v="0"/>
    <n v="0"/>
    <n v="0"/>
    <n v="0"/>
    <n v="1.7142857142857142"/>
    <n v="1"/>
    <n v="19.142857142857142"/>
    <n v="19.100000000000001"/>
    <n v="34"/>
    <n v="2.7285714285714286"/>
    <n v="0"/>
    <n v="0"/>
    <n v="0"/>
    <n v="0"/>
    <n v="40.537201150458387"/>
    <n v="17.062798849541611"/>
    <n v="1"/>
    <n v="0"/>
    <n v="0"/>
    <n v="0"/>
    <n v="0"/>
    <n v="1.7142857142857142"/>
    <n v="28.440476190476193"/>
    <n v="2.4434311283658463"/>
    <n v="1"/>
    <n v="1.425334824880077"/>
    <n v="20.083924064676559"/>
    <n v="28.626316389630528"/>
    <n v="0"/>
    <n v="13.404761904761903"/>
    <n v="0"/>
    <n v="0"/>
    <n v="0"/>
    <n v="3.3626316389630526"/>
    <n v="0.68625135489041889"/>
    <n v="0.34985422740524774"/>
  </r>
  <r>
    <s v="66282-111540"/>
    <x v="0"/>
    <s v="Rhamondre"/>
    <s v="Rhamondre Stevenson"/>
    <s v="Stevenson"/>
    <n v="4.8000001907348597"/>
    <n v="4"/>
    <n v="4900"/>
    <s v="NE@CAR"/>
    <s v="NE"/>
    <s v="CAR"/>
    <m/>
    <m/>
    <m/>
    <x v="250"/>
    <s v="Rhamondre Stevenson"/>
    <n v="5.0344827586206895"/>
    <n v="2.6470588235294117"/>
    <n v="8.76"/>
    <n v="0"/>
    <n v="0"/>
    <n v="0"/>
    <n v="0"/>
    <n v="1.3333333333333333"/>
    <n v="1.3333333333333333"/>
    <n v="16"/>
    <n v="12"/>
    <n v="0"/>
    <n v="4"/>
    <n v="5.666666666666667"/>
    <n v="0"/>
    <n v="2.8"/>
    <n v="0.33333333333333331"/>
    <n v="27.892429902449898"/>
    <n v="33.907570097550099"/>
    <n v="1"/>
    <n v="0"/>
    <n v="0"/>
    <n v="0"/>
    <n v="0"/>
    <n v="1.3333333333333333"/>
    <n v="35.154761904761905"/>
    <n v="1.0578910088297964"/>
    <n v="1.3333333333333333"/>
    <n v="1.0578910088297964"/>
    <n v="9.9981577411187867"/>
    <n v="10.576961179191592"/>
    <n v="5.666666666666667"/>
    <n v="29.773809523809522"/>
    <n v="6.4534199785821063"/>
    <n v="1.7922391984393666"/>
    <n v="11.566072249606588"/>
    <n v="2.8809700095464845"/>
    <n v="0.58795306317275187"/>
    <n v="0.27210884353741494"/>
  </r>
  <r>
    <s v="66282-55335"/>
    <x v="3"/>
    <s v="David"/>
    <s v="David Njoku"/>
    <s v="Njoku"/>
    <n v="6.8999998910086404"/>
    <n v="7"/>
    <n v="4800"/>
    <s v="CLE@CIN"/>
    <s v="CLE"/>
    <s v="CIN"/>
    <m/>
    <m/>
    <m/>
    <x v="251"/>
    <s v="David Njoku"/>
    <n v="5.884615384615385"/>
    <n v="3.7029702970297032"/>
    <n v="8.5794392523364493"/>
    <n v="0"/>
    <n v="0"/>
    <n v="0"/>
    <n v="0"/>
    <n v="3"/>
    <n v="2.4285714285714284"/>
    <n v="40.571428571428569"/>
    <n v="16.7"/>
    <n v="35.5"/>
    <n v="2.3857142857142857"/>
    <n v="0"/>
    <n v="0"/>
    <n v="0"/>
    <n v="0"/>
    <n v="26.716825649263725"/>
    <n v="36.583174350736272"/>
    <n v="1"/>
    <n v="0"/>
    <n v="0"/>
    <n v="0"/>
    <n v="0"/>
    <n v="3"/>
    <n v="23.30952380952381"/>
    <n v="3.4385291438276089"/>
    <n v="2.4285714285714284"/>
    <n v="2.7835712116699689"/>
    <n v="13.62730595972166"/>
    <n v="37.932576562099811"/>
    <n v="0"/>
    <n v="31.019047619047615"/>
    <n v="0"/>
    <n v="0"/>
    <n v="0"/>
    <n v="5.0075433704956955"/>
    <n v="1.0432382021866033"/>
    <n v="0.625"/>
  </r>
  <r>
    <s v="66282-12541"/>
    <x v="4"/>
    <s v="New England"/>
    <s v="New England Patriots"/>
    <s v="Patriots"/>
    <n v="7.75"/>
    <n v="8"/>
    <n v="4800"/>
    <s v="NE@CAR"/>
    <s v="NE"/>
    <s v="CAR"/>
    <m/>
    <m/>
    <m/>
    <x v="252"/>
    <s v="NE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55552"/>
    <x v="0"/>
    <s v="Jeff"/>
    <s v="Jeff Wilson Jr."/>
    <s v="Wilson Jr."/>
    <n v="11.316666920979801"/>
    <n v="12"/>
    <n v="4800"/>
    <s v="ARI@SF"/>
    <s v="SF"/>
    <s v="ARI"/>
    <m/>
    <m/>
    <m/>
    <x v="253"/>
    <s v="Jeff Wilson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41305"/>
    <x v="2"/>
    <s v="Zay"/>
    <s v="Zay Jones"/>
    <s v="Jones"/>
    <n v="4.0999999999999996"/>
    <n v="5"/>
    <n v="4800"/>
    <s v="LV@NYG"/>
    <s v="LV"/>
    <s v="NYG"/>
    <m/>
    <m/>
    <m/>
    <x v="254"/>
    <s v="Zay Jones"/>
    <n v="6.7966101694915251"/>
    <n v="4.5857142857142854"/>
    <n v="9.0112359550561791"/>
    <n v="0"/>
    <n v="0"/>
    <n v="0"/>
    <n v="0"/>
    <n v="1"/>
    <n v="0.8571428571428571"/>
    <n v="16.428571428571427"/>
    <n v="19.2"/>
    <n v="34"/>
    <n v="2.7428571428571429"/>
    <n v="0"/>
    <n v="0"/>
    <n v="0"/>
    <n v="0"/>
    <e v="#N/A"/>
    <e v="#N/A"/>
    <n v="1"/>
    <n v="0"/>
    <n v="0"/>
    <n v="0"/>
    <n v="0"/>
    <n v="1"/>
    <n v="39.700000000000003"/>
    <e v="#N/A"/>
    <n v="0.8571428571428571"/>
    <n v="0"/>
    <n v="16.455846305222444"/>
    <n v="0"/>
    <n v="0"/>
    <n v="38.571428571428569"/>
    <n v="0"/>
    <n v="0"/>
    <n v="0"/>
    <n v="0.42857142857142855"/>
    <n v="8.9285714285714288E-2"/>
    <n v="0.20833333333333334"/>
  </r>
  <r>
    <s v="66282-60910"/>
    <x v="2"/>
    <s v="Dede"/>
    <s v="Dede Westbrook"/>
    <s v="Westbrook"/>
    <n v="1.56666660308837"/>
    <n v="6"/>
    <n v="4800"/>
    <s v="MIN@BAL"/>
    <s v="MIN"/>
    <s v="BAL"/>
    <m/>
    <m/>
    <m/>
    <x v="255"/>
    <s v="Dede Westbrook"/>
    <n v="8"/>
    <n v="3.5909090909090908"/>
    <n v="11.8"/>
    <n v="0"/>
    <n v="0"/>
    <n v="0"/>
    <n v="0"/>
    <n v="1.5"/>
    <n v="1.1666666666666667"/>
    <n v="9.8333333333333339"/>
    <n v="8.4"/>
    <n v="7.5"/>
    <n v="1.4000000000000001"/>
    <n v="0"/>
    <n v="0"/>
    <n v="0"/>
    <n v="0"/>
    <n v="25.759493140243904"/>
    <n v="38.040506859756093"/>
    <n v="1"/>
    <n v="0"/>
    <n v="0"/>
    <n v="0"/>
    <n v="0"/>
    <n v="1.5"/>
    <n v="38.833333333333329"/>
    <n v="0.99500188095362729"/>
    <n v="1.1666666666666667"/>
    <n v="0.77389035185282129"/>
    <n v="9.4274866371736525"/>
    <n v="7.2958409507300885"/>
    <n v="0"/>
    <n v="33.833333333333336"/>
    <n v="0"/>
    <n v="0"/>
    <n v="0"/>
    <n v="1.3129174284063421"/>
    <n v="0.27352446425132126"/>
    <n v="0.3125"/>
  </r>
  <r>
    <s v="66282-70282"/>
    <x v="0"/>
    <s v="Demetric"/>
    <s v="Demetric Felton"/>
    <s v="Felton"/>
    <n v="3.26250004768371"/>
    <n v="8"/>
    <n v="4800"/>
    <s v="CLE@CIN"/>
    <s v="CLE"/>
    <s v="CIN"/>
    <m/>
    <m/>
    <m/>
    <x v="256"/>
    <s v="Demetric Felton"/>
    <n v="5.884615384615385"/>
    <n v="3.7029702970297032"/>
    <n v="8.5794392523364493"/>
    <n v="0"/>
    <n v="0"/>
    <n v="0"/>
    <n v="0"/>
    <n v="1.7142857142857142"/>
    <n v="1.5714285714285714"/>
    <n v="15.857142857142858"/>
    <n v="10.1"/>
    <n v="0"/>
    <n v="1.4428571428571428"/>
    <n v="0.2857142857142857"/>
    <n v="0"/>
    <n v="6.5"/>
    <n v="0"/>
    <n v="26.716825649263725"/>
    <n v="36.583174350736272"/>
    <n v="1"/>
    <n v="0"/>
    <n v="0"/>
    <n v="0"/>
    <n v="0"/>
    <n v="1.7142857142857142"/>
    <n v="23.30952380952381"/>
    <n v="1.9648737964729195"/>
    <n v="1.5714285714285714"/>
    <n v="1.8011343134335096"/>
    <n v="8.2416640834244781"/>
    <n v="14.844343980448363"/>
    <n v="0.2857142857142857"/>
    <n v="31.019047619047615"/>
    <n v="0.3369650692422746"/>
    <n v="5.8202003264107907"/>
    <n v="1.9612042059929213"/>
    <n v="2.466269104358414"/>
    <n v="0.51380606340800294"/>
    <n v="0.35714285714285715"/>
  </r>
  <r>
    <s v="66282-55970"/>
    <x v="0"/>
    <s v="Royce"/>
    <s v="Royce Freeman"/>
    <s v="Freeman"/>
    <n v="1.7833333015441799"/>
    <n v="6"/>
    <n v="4800"/>
    <s v="NE@CAR"/>
    <s v="CAR"/>
    <s v="NE"/>
    <m/>
    <m/>
    <m/>
    <x v="257"/>
    <s v="Royce Freeman"/>
    <n v="5.9135802469135799"/>
    <n v="4"/>
    <n v="9.9791666666666661"/>
    <n v="0"/>
    <n v="0"/>
    <n v="0"/>
    <n v="0"/>
    <n v="0.7142857142857143"/>
    <n v="0.42857142857142855"/>
    <n v="2.1428571428571428"/>
    <n v="5"/>
    <n v="0"/>
    <n v="0.7142857142857143"/>
    <n v="2.1428571428571428"/>
    <n v="0"/>
    <n v="3.5"/>
    <n v="0"/>
    <n v="42.879374651732974"/>
    <n v="18.220625348267024"/>
    <n v="1"/>
    <n v="0"/>
    <n v="0"/>
    <n v="0"/>
    <n v="0"/>
    <n v="0.7142857142857143"/>
    <n v="45.690476190476197"/>
    <n v="0.67033936401875405"/>
    <n v="0.42857142857142855"/>
    <n v="0.40220361841125241"/>
    <n v="4.7456850484326427"/>
    <n v="1.9087316983197886"/>
    <n v="2.1428571428571428"/>
    <n v="38.333333333333336"/>
    <n v="1.0185442741267279"/>
    <n v="3.3853407081632487"/>
    <n v="3.448119394267799"/>
    <n v="0.74997082354447309"/>
    <n v="0.15624392157176523"/>
    <n v="0.14880952380952381"/>
  </r>
  <r>
    <s v="66282-72370"/>
    <x v="0"/>
    <s v="J.J."/>
    <s v="J.J. Taylor"/>
    <s v="Taylor"/>
    <n v="3.8499999046325599"/>
    <n v="4"/>
    <n v="4800"/>
    <s v="NE@CAR"/>
    <s v="NE"/>
    <s v="CAR"/>
    <m/>
    <m/>
    <m/>
    <x v="258"/>
    <s v="J.J. Taylor"/>
    <n v="5.0344827586206895"/>
    <n v="2.6470588235294117"/>
    <n v="8.76"/>
    <n v="0"/>
    <n v="0"/>
    <n v="0"/>
    <n v="0"/>
    <n v="1"/>
    <n v="1"/>
    <n v="2"/>
    <n v="2"/>
    <n v="0"/>
    <n v="0.5"/>
    <n v="3.25"/>
    <n v="0"/>
    <n v="2"/>
    <n v="0.5"/>
    <n v="27.892429902449898"/>
    <n v="33.907570097550099"/>
    <n v="1"/>
    <n v="0"/>
    <n v="0"/>
    <n v="0"/>
    <n v="0"/>
    <n v="1"/>
    <n v="35.154761904761905"/>
    <n v="0.79341825662234722"/>
    <n v="1"/>
    <n v="0.79341825662234722"/>
    <n v="1.6663596235197977"/>
    <n v="1.3221201473989488"/>
    <n v="3.25"/>
    <n v="29.773809523809522"/>
    <n v="3.7012261641867963"/>
    <n v="1.2801708560281191"/>
    <n v="4.7382018669606829"/>
    <n v="1.1060322014359631"/>
    <n v="0.23042337529915899"/>
    <n v="0.20833333333333334"/>
  </r>
  <r>
    <s v="66282-63186"/>
    <x v="2"/>
    <s v="James"/>
    <s v="James Proche"/>
    <s v="Proche"/>
    <n v="3.1600000381469702"/>
    <n v="5"/>
    <n v="4800"/>
    <s v="MIN@BAL"/>
    <s v="BAL"/>
    <s v="MIN"/>
    <m/>
    <m/>
    <m/>
    <x v="259"/>
    <s v="James Proche"/>
    <n v="9.1684210526315795"/>
    <n v="4.7733333333333334"/>
    <n v="12.097222222222221"/>
    <n v="0"/>
    <n v="0"/>
    <n v="0"/>
    <n v="0"/>
    <n v="1.5714285714285714"/>
    <n v="1.1428571428571428"/>
    <n v="16.857142857142858"/>
    <n v="14.8"/>
    <n v="0"/>
    <n v="2.1142857142857143"/>
    <n v="0"/>
    <n v="0"/>
    <n v="0"/>
    <n v="0"/>
    <e v="#N/A"/>
    <e v="#N/A"/>
    <n v="1"/>
    <n v="0"/>
    <n v="0"/>
    <n v="0"/>
    <n v="0"/>
    <n v="1.5714285714285714"/>
    <n v="39.43333333333333"/>
    <e v="#N/A"/>
    <n v="1.1428571428571428"/>
    <n v="0"/>
    <n v="17.028720061888801"/>
    <n v="0"/>
    <n v="0"/>
    <n v="28.528571428571428"/>
    <n v="0"/>
    <n v="0"/>
    <n v="0"/>
    <n v="0.5714285714285714"/>
    <n v="0.11904761904761904"/>
    <n v="0.32738095238095238"/>
  </r>
  <r>
    <s v="66282-94936"/>
    <x v="0"/>
    <s v="Larry"/>
    <s v="Larry Rountree III"/>
    <s v="Rountree III"/>
    <n v="1.25"/>
    <n v="6"/>
    <n v="4800"/>
    <s v="LAC@PHI"/>
    <s v="LAC"/>
    <s v="PHI"/>
    <m/>
    <m/>
    <m/>
    <x v="260"/>
    <s v="Larry Rountree III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56059"/>
    <x v="2"/>
    <s v="Trent"/>
    <s v="Trent Sherfield"/>
    <s v="Sherfield"/>
    <n v="3.0250000953674299"/>
    <n v="4"/>
    <n v="4800"/>
    <s v="ARI@SF"/>
    <s v="SF"/>
    <s v="ARI"/>
    <m/>
    <m/>
    <m/>
    <x v="261"/>
    <s v="Trent Sherfield"/>
    <n v="5.9411764705882355"/>
    <n v="5.4102564102564106"/>
    <n v="9.1818181818181817"/>
    <n v="0"/>
    <n v="0"/>
    <n v="0"/>
    <n v="0"/>
    <n v="1.6666666666666667"/>
    <n v="0.66666666666666663"/>
    <n v="6.833333333333333"/>
    <n v="10.3"/>
    <n v="18"/>
    <n v="1.7166666666666668"/>
    <n v="0"/>
    <n v="0"/>
    <n v="0"/>
    <n v="0"/>
    <n v="33.198546563443358"/>
    <n v="30.201453436556637"/>
    <n v="1"/>
    <n v="0"/>
    <n v="0"/>
    <n v="0"/>
    <n v="0"/>
    <n v="1.6666666666666667"/>
    <n v="34.266666666666673"/>
    <n v="1.6147152997783731"/>
    <n v="0.66666666666666663"/>
    <n v="0.64588611991134925"/>
    <n v="8.9949871126382615"/>
    <n v="5.8097373248345177"/>
    <n v="0"/>
    <n v="23.6"/>
    <n v="0"/>
    <n v="0"/>
    <n v="0"/>
    <n v="0.91430706581678511"/>
    <n v="0.19048063871183024"/>
    <n v="0.34722222222222227"/>
  </r>
  <r>
    <s v="66282-33578"/>
    <x v="0"/>
    <s v="Jalen"/>
    <s v="Jalen Richard"/>
    <s v="Richard"/>
    <n v="1.8999999364217099"/>
    <n v="3"/>
    <n v="4800"/>
    <s v="LV@NYG"/>
    <s v="LV"/>
    <s v="NYG"/>
    <m/>
    <m/>
    <m/>
    <x v="262"/>
    <s v="Jalen Richard"/>
    <n v="6.7966101694915251"/>
    <n v="4.5857142857142854"/>
    <n v="9.0112359550561791"/>
    <n v="0"/>
    <n v="0"/>
    <n v="0"/>
    <n v="0"/>
    <n v="2"/>
    <n v="1.6666666666666667"/>
    <n v="8"/>
    <n v="4.8"/>
    <n v="0"/>
    <n v="1.5999999999999999"/>
    <n v="1.6666666666666667"/>
    <n v="0"/>
    <n v="1.6"/>
    <n v="0"/>
    <e v="#N/A"/>
    <e v="#N/A"/>
    <n v="1"/>
    <n v="0"/>
    <n v="0"/>
    <n v="0"/>
    <n v="0"/>
    <n v="2"/>
    <n v="39.700000000000003"/>
    <e v="#N/A"/>
    <n v="1.6666666666666667"/>
    <n v="0"/>
    <n v="4.113961576305611"/>
    <n v="0"/>
    <n v="1.6666666666666667"/>
    <n v="38.571428571428569"/>
    <n v="0"/>
    <n v="1.7741948854210656"/>
    <n v="0"/>
    <n v="0.83333333333333337"/>
    <n v="0.17361111111111113"/>
    <n v="0.41666666666666669"/>
  </r>
  <r>
    <s v="66282-104289"/>
    <x v="2"/>
    <s v="Malik"/>
    <s v="Malik Taylor"/>
    <s v="Taylor"/>
    <n v="2.4000000953674299"/>
    <n v="1"/>
    <n v="4800"/>
    <s v="GB@KC"/>
    <s v="GB"/>
    <s v="KC"/>
    <m/>
    <m/>
    <m/>
    <x v="263"/>
    <s v="Malik Taylor"/>
    <n v="8.7934782608695645"/>
    <n v="5.404494382022472"/>
    <n v="12.446153846153846"/>
    <n v="0"/>
    <n v="0"/>
    <n v="0"/>
    <n v="0"/>
    <n v="0.5"/>
    <n v="0.33333333333333331"/>
    <n v="2.3333333333333335"/>
    <n v="7"/>
    <n v="7"/>
    <n v="1.1666666666666667"/>
    <n v="0"/>
    <n v="0"/>
    <n v="0"/>
    <n v="0"/>
    <e v="#N/A"/>
    <e v="#N/A"/>
    <n v="1"/>
    <n v="0"/>
    <n v="0"/>
    <n v="0"/>
    <n v="0"/>
    <n v="0.5"/>
    <n v="30.583333333333336"/>
    <e v="#N/A"/>
    <n v="0.33333333333333331"/>
    <n v="0"/>
    <n v="8.2864370811315542"/>
    <n v="0"/>
    <n v="0"/>
    <n v="14.916666666666666"/>
    <n v="0"/>
    <n v="0"/>
    <n v="0"/>
    <n v="0.16666666666666666"/>
    <n v="3.4722222222222224E-2"/>
    <n v="0.10416666666666667"/>
  </r>
  <r>
    <s v="66282-8117"/>
    <x v="2"/>
    <s v="Danny"/>
    <s v="Danny Amendola"/>
    <s v="Amendola"/>
    <n v="4.4499998092651296"/>
    <n v="4"/>
    <n v="4800"/>
    <s v="HOU@MIA"/>
    <s v="HOU"/>
    <s v="MIA"/>
    <m/>
    <m/>
    <m/>
    <x v="264"/>
    <s v="Danny Amendola"/>
    <n v="6.9217391304347826"/>
    <n v="4.2947368421052632"/>
    <n v="11.055555555555555"/>
    <n v="0"/>
    <n v="0"/>
    <n v="0"/>
    <n v="0"/>
    <n v="3.6666666666666665"/>
    <n v="3"/>
    <n v="20"/>
    <n v="6.7"/>
    <n v="8"/>
    <n v="2.2333333333333334"/>
    <n v="0"/>
    <n v="0"/>
    <n v="0"/>
    <n v="0"/>
    <n v="40.537201150458387"/>
    <n v="17.062798849541611"/>
    <n v="1"/>
    <n v="0"/>
    <n v="0"/>
    <n v="0"/>
    <n v="0"/>
    <n v="3.6666666666666665"/>
    <n v="28.440476190476193"/>
    <n v="5.2262276912269492"/>
    <n v="3"/>
    <n v="4.2760044746402315"/>
    <n v="7.0451461378708347"/>
    <n v="30.125076410030033"/>
    <n v="0"/>
    <n v="13.404761904761903"/>
    <n v="0"/>
    <n v="0"/>
    <n v="0"/>
    <n v="4.5125076410030029"/>
    <n v="0.94010575854229228"/>
    <n v="0.76388888888888884"/>
  </r>
  <r>
    <s v="66282-57338"/>
    <x v="3"/>
    <s v="Jordan"/>
    <s v="Jordan Akins"/>
    <s v="Akins"/>
    <n v="3.1875"/>
    <n v="8"/>
    <n v="4800"/>
    <s v="HOU@MIA"/>
    <s v="HOU"/>
    <s v="MIA"/>
    <m/>
    <m/>
    <m/>
    <x v="265"/>
    <s v="Jordan Akins"/>
    <n v="6.9217391304347826"/>
    <n v="4.2947368421052632"/>
    <n v="11.055555555555555"/>
    <n v="0"/>
    <n v="0"/>
    <n v="0"/>
    <n v="0"/>
    <n v="2.8571428571428572"/>
    <n v="2"/>
    <n v="17.714285714285715"/>
    <n v="8.9"/>
    <n v="0"/>
    <n v="1.2714285714285716"/>
    <n v="0.14285714285714285"/>
    <n v="0"/>
    <n v="3"/>
    <n v="0"/>
    <n v="40.537201150458387"/>
    <n v="17.062798849541611"/>
    <n v="1"/>
    <n v="0"/>
    <n v="0"/>
    <n v="0"/>
    <n v="0"/>
    <n v="2.8571428571428572"/>
    <n v="28.440476190476193"/>
    <n v="4.0723852139430772"/>
    <n v="2"/>
    <n v="2.850669649760154"/>
    <n v="9.3584777055299142"/>
    <n v="26.677928363111171"/>
    <n v="0.14285714285714285"/>
    <n v="13.404761904761903"/>
    <n v="0.18184155079440439"/>
    <n v="3.1155315990915908"/>
    <n v="0.56653309752778547"/>
    <n v="3.7244461460638956"/>
    <n v="0.77592628042997824"/>
    <n v="0.59523809523809523"/>
  </r>
  <r>
    <s v="66282-70663"/>
    <x v="2"/>
    <s v="Frank"/>
    <s v="Frank Darby"/>
    <s v="Darby"/>
    <m/>
    <m/>
    <n v="4700"/>
    <s v="ATL@NO"/>
    <s v="ATL"/>
    <s v="NO"/>
    <m/>
    <m/>
    <m/>
    <x v="266"/>
    <s v="Frank Darby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29734"/>
    <x v="0"/>
    <s v="Ty"/>
    <s v="Ty Montgomery"/>
    <s v="Montgomery"/>
    <n v="1.9"/>
    <n v="5"/>
    <n v="4700"/>
    <s v="ATL@NO"/>
    <s v="NO"/>
    <s v="ATL"/>
    <s v="O"/>
    <s v="Hamstring"/>
    <m/>
    <x v="267"/>
    <s v="Ty Montgomery"/>
    <n v="7.2264150943396226"/>
    <n v="4.4936708860759493"/>
    <n v="10.213333333333333"/>
    <n v="0"/>
    <n v="0"/>
    <n v="0"/>
    <n v="0"/>
    <n v="0"/>
    <n v="0.83333333333333337"/>
    <n v="8.3333333333333339"/>
    <n v="10"/>
    <n v="11"/>
    <n v="1.6666666666666667"/>
    <n v="0.5"/>
    <n v="0"/>
    <n v="3.7"/>
    <n v="0"/>
    <n v="40.544120654665065"/>
    <n v="22.955879345334939"/>
    <n v="0"/>
    <n v="0"/>
    <n v="0"/>
    <n v="0"/>
    <n v="0"/>
    <n v="0"/>
    <n v="24.533333333333335"/>
    <n v="0"/>
    <n v="0"/>
    <n v="0"/>
    <n v="9.7140903471549844"/>
    <n v="0"/>
    <n v="0"/>
    <n v="23.45"/>
    <n v="0"/>
    <n v="4.0204747017833879"/>
    <n v="0"/>
    <n v="0"/>
    <n v="0"/>
    <n v="0"/>
  </r>
  <r>
    <s v="66282-61593"/>
    <x v="2"/>
    <s v="Jauan"/>
    <s v="Jauan Jennings"/>
    <s v="Jennings"/>
    <n v="2.6500000953674299"/>
    <n v="4"/>
    <n v="4700"/>
    <s v="ARI@SF"/>
    <s v="SF"/>
    <s v="ARI"/>
    <m/>
    <m/>
    <m/>
    <x v="268"/>
    <s v="Jauan Jennings"/>
    <n v="5.9411764705882355"/>
    <n v="5.4102564102564106"/>
    <n v="9.1818181818181817"/>
    <n v="0"/>
    <n v="0"/>
    <n v="0"/>
    <n v="0"/>
    <n v="1"/>
    <n v="0.6"/>
    <n v="6.2"/>
    <n v="10.3"/>
    <n v="0"/>
    <n v="2.06"/>
    <n v="0"/>
    <n v="0"/>
    <n v="0"/>
    <n v="0"/>
    <n v="33.198546563443358"/>
    <n v="30.201453436556637"/>
    <n v="1"/>
    <n v="0"/>
    <n v="0"/>
    <n v="0"/>
    <n v="0"/>
    <n v="1"/>
    <n v="34.266666666666673"/>
    <n v="0.96882917986702388"/>
    <n v="0.6"/>
    <n v="0.58129750792021428"/>
    <n v="8.9949871126382615"/>
    <n v="5.2287635923510649"/>
    <n v="0"/>
    <n v="23.6"/>
    <n v="0"/>
    <n v="0"/>
    <n v="0"/>
    <n v="0.82287635923510649"/>
    <n v="0.17508007643300139"/>
    <n v="0.21276595744680851"/>
  </r>
  <r>
    <s v="66282-69836"/>
    <x v="2"/>
    <s v="Collin"/>
    <s v="Collin Johnson"/>
    <s v="Johnson"/>
    <n v="2.77999992370605"/>
    <n v="5"/>
    <n v="4700"/>
    <s v="LV@NYG"/>
    <s v="NYG"/>
    <s v="LV"/>
    <m/>
    <m/>
    <m/>
    <x v="269"/>
    <s v="Collin Johnson"/>
    <n v="5.9327731092436977"/>
    <n v="4.8133333333333335"/>
    <n v="9.0512820512820511"/>
    <n v="0"/>
    <n v="0"/>
    <n v="0"/>
    <n v="0"/>
    <n v="3.4"/>
    <n v="1.6"/>
    <n v="15.8"/>
    <n v="9.9"/>
    <n v="0"/>
    <n v="1.98"/>
    <n v="0"/>
    <n v="0"/>
    <n v="0"/>
    <n v="0"/>
    <n v="35.232477994905381"/>
    <n v="23.167522005094618"/>
    <n v="1"/>
    <n v="0"/>
    <n v="0"/>
    <n v="0"/>
    <n v="0"/>
    <n v="3.4"/>
    <n v="28.607142857142854"/>
    <n v="4.1874305931523006"/>
    <n v="1.6"/>
    <n v="1.9705555732481417"/>
    <n v="8.5227534485344769"/>
    <n v="16.794559307429431"/>
    <n v="0"/>
    <n v="8.5333333333333314"/>
    <n v="0"/>
    <n v="0"/>
    <n v="0"/>
    <n v="2.4794559307429429"/>
    <n v="0.52754381505169001"/>
    <n v="0.72340425531914887"/>
  </r>
  <r>
    <s v="66282-149717"/>
    <x v="0"/>
    <s v="JaQuan"/>
    <s v="JaQuan Hardy"/>
    <s v="Hardy"/>
    <m/>
    <m/>
    <n v="4700"/>
    <s v="DEN@DAL"/>
    <s v="DAL"/>
    <s v="DEN"/>
    <m/>
    <m/>
    <m/>
    <x v="270"/>
    <s v="JaQuan Hardy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12542"/>
    <x v="4"/>
    <s v="New Orleans"/>
    <s v="New Orleans Saints"/>
    <s v="Saints"/>
    <n v="10.4285714285714"/>
    <n v="7"/>
    <n v="4700"/>
    <s v="ATL@NO"/>
    <s v="NO"/>
    <s v="ATL"/>
    <m/>
    <m/>
    <m/>
    <x v="271"/>
    <s v="NO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64808"/>
    <x v="3"/>
    <s v="Juwan"/>
    <s v="Juwan Johnson"/>
    <s v="Johnson"/>
    <n v="4.7833334604899003"/>
    <n v="6"/>
    <n v="4700"/>
    <s v="ATL@NO"/>
    <s v="NO"/>
    <s v="ATL"/>
    <m/>
    <m/>
    <m/>
    <x v="272"/>
    <s v="Juwan Johnson"/>
    <n v="7.2264150943396226"/>
    <n v="4.4936708860759493"/>
    <n v="10.213333333333333"/>
    <n v="0"/>
    <n v="0"/>
    <n v="0"/>
    <n v="0"/>
    <n v="2"/>
    <n v="1.1666666666666667"/>
    <n v="12"/>
    <n v="10.3"/>
    <n v="15.5"/>
    <n v="1.7166666666666668"/>
    <n v="0"/>
    <n v="0"/>
    <n v="0"/>
    <n v="0"/>
    <n v="40.544120654665065"/>
    <n v="22.955879345334939"/>
    <n v="1"/>
    <n v="0"/>
    <n v="0"/>
    <n v="0"/>
    <n v="0"/>
    <n v="2"/>
    <n v="24.533333333333335"/>
    <n v="3.3052272272824781"/>
    <n v="1.1666666666666667"/>
    <n v="1.9280492159147791"/>
    <n v="10.005513057569637"/>
    <n v="19.29112160547222"/>
    <n v="0"/>
    <n v="23.45"/>
    <n v="0"/>
    <n v="0"/>
    <n v="0"/>
    <n v="2.5124454938805556"/>
    <n v="0.53456287103841604"/>
    <n v="0.42553191489361702"/>
  </r>
  <r>
    <s v="66282-64827"/>
    <x v="2"/>
    <s v="Miles"/>
    <s v="Miles Boykin"/>
    <s v="Boykin"/>
    <n v="1.1000000238418499"/>
    <n v="1"/>
    <n v="4700"/>
    <s v="MIN@BAL"/>
    <s v="BAL"/>
    <s v="MIN"/>
    <m/>
    <m/>
    <m/>
    <x v="273"/>
    <s v="Miles Boykin"/>
    <n v="9.1684210526315795"/>
    <n v="4.7733333333333334"/>
    <n v="12.097222222222221"/>
    <n v="0"/>
    <n v="0"/>
    <n v="0"/>
    <n v="0"/>
    <n v="0.33333333333333331"/>
    <n v="0.33333333333333331"/>
    <n v="2"/>
    <n v="6"/>
    <n v="0"/>
    <n v="2"/>
    <n v="0"/>
    <n v="0"/>
    <n v="0"/>
    <n v="0"/>
    <e v="#N/A"/>
    <e v="#N/A"/>
    <n v="1"/>
    <n v="0"/>
    <n v="0"/>
    <n v="0"/>
    <n v="0"/>
    <n v="0.33333333333333331"/>
    <n v="39.43333333333333"/>
    <e v="#N/A"/>
    <n v="0.33333333333333331"/>
    <n v="0"/>
    <n v="6.9035351602251893"/>
    <n v="0"/>
    <n v="0"/>
    <n v="28.528571428571428"/>
    <n v="0"/>
    <n v="0"/>
    <n v="0"/>
    <n v="0.16666666666666666"/>
    <n v="3.5460992907801414E-2"/>
    <n v="7.0921985815602828E-2"/>
  </r>
  <r>
    <s v="66282-64843"/>
    <x v="2"/>
    <s v="Jalen"/>
    <s v="Jalen Guyton"/>
    <s v="Guyton"/>
    <n v="3.1571429116385299"/>
    <n v="7"/>
    <n v="4700"/>
    <s v="LAC@PHI"/>
    <s v="LAC"/>
    <s v="PHI"/>
    <m/>
    <m/>
    <m/>
    <x v="274"/>
    <s v="Jalen Guyton"/>
    <n v="5.9890109890109891"/>
    <n v="3.8190476190476192"/>
    <n v="8.515625"/>
    <n v="0"/>
    <n v="0"/>
    <n v="0"/>
    <n v="0"/>
    <n v="3"/>
    <n v="1.5"/>
    <n v="20.166666666666668"/>
    <n v="13.4"/>
    <n v="47"/>
    <n v="2.2333333333333334"/>
    <n v="0.66666666666666663"/>
    <n v="0"/>
    <n v="8"/>
    <n v="0"/>
    <n v="30.851495621477966"/>
    <n v="35.648504378522034"/>
    <n v="1"/>
    <n v="0"/>
    <n v="0"/>
    <n v="0"/>
    <n v="0"/>
    <n v="3"/>
    <n v="35.500000000000007"/>
    <n v="2.60716864406856"/>
    <n v="1.5"/>
    <n v="1.30358432203428"/>
    <n v="10.853153833623255"/>
    <n v="14.148001182137516"/>
    <n v="0.66666666666666663"/>
    <n v="19.5"/>
    <n v="1.2187522864451976"/>
    <n v="7.3878727835290494"/>
    <n v="9.0039868468922748"/>
    <n v="3.0651988029029793"/>
    <n v="0.65216995806446365"/>
    <n v="0.63829787234042545"/>
  </r>
  <r>
    <s v="66282-64907"/>
    <x v="2"/>
    <s v="JJ"/>
    <s v="JJ Arcega-Whiteside"/>
    <s v="Arcega-Whiteside"/>
    <n v="3.7"/>
    <n v="5"/>
    <n v="4700"/>
    <s v="LAC@PHI"/>
    <s v="PHI"/>
    <s v="LAC"/>
    <s v="O"/>
    <s v="Ankle"/>
    <m/>
    <x v="275"/>
    <s v="JJ Arcega-Whiteside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0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72133"/>
    <x v="2"/>
    <s v="Antoine"/>
    <s v="Antoine Wesley"/>
    <s v="Wesley"/>
    <n v="1.20000004768371"/>
    <n v="1"/>
    <n v="4700"/>
    <s v="ARI@SF"/>
    <s v="ARI"/>
    <s v="SF"/>
    <m/>
    <m/>
    <m/>
    <x v="276"/>
    <s v="Antoine Wesley"/>
    <n v="6.5263157894736841"/>
    <n v="4.7051282051282053"/>
    <n v="10.191780821917808"/>
    <n v="0"/>
    <n v="0"/>
    <n v="0"/>
    <n v="0"/>
    <n v="0.5"/>
    <n v="0.16666666666666666"/>
    <n v="1.1666666666666667"/>
    <n v="7"/>
    <n v="0"/>
    <n v="1.1666666666666667"/>
    <n v="0"/>
    <n v="0"/>
    <n v="0"/>
    <n v="0"/>
    <e v="#N/A"/>
    <e v="#N/A"/>
    <n v="1"/>
    <n v="0"/>
    <n v="0"/>
    <n v="0"/>
    <n v="0"/>
    <n v="0.5"/>
    <n v="26.625"/>
    <e v="#N/A"/>
    <n v="0.16666666666666666"/>
    <n v="0"/>
    <n v="6.7855139482791538"/>
    <n v="0"/>
    <n v="0"/>
    <n v="32.208333333333329"/>
    <n v="0"/>
    <n v="0"/>
    <n v="0"/>
    <n v="8.3333333333333329E-2"/>
    <n v="1.7730496453900707E-2"/>
    <n v="0.10638297872340426"/>
  </r>
  <r>
    <s v="66282-88590"/>
    <x v="0"/>
    <s v="Scottie"/>
    <s v="Scottie Phillips"/>
    <s v="Phillips"/>
    <n v="3"/>
    <n v="1"/>
    <n v="4700"/>
    <s v="HOU@MIA"/>
    <s v="HOU"/>
    <s v="MIA"/>
    <m/>
    <m/>
    <m/>
    <x v="277"/>
    <s v="Scottie Phillips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91677"/>
    <x v="2"/>
    <s v="Shi"/>
    <s v="Shi Smith"/>
    <s v="Smith"/>
    <n v="1"/>
    <n v="3"/>
    <n v="4700"/>
    <s v="NE@CAR"/>
    <s v="CAR"/>
    <s v="NE"/>
    <m/>
    <m/>
    <m/>
    <x v="278"/>
    <s v="Shi Smith"/>
    <n v="5.9135802469135799"/>
    <n v="4"/>
    <n v="9.9791666666666661"/>
    <n v="0"/>
    <n v="0"/>
    <n v="0"/>
    <n v="0"/>
    <n v="2"/>
    <n v="1"/>
    <n v="10"/>
    <n v="10"/>
    <n v="0"/>
    <n v="5"/>
    <n v="0.5"/>
    <n v="0"/>
    <n v="-3"/>
    <n v="0"/>
    <n v="42.879374651732974"/>
    <n v="18.220625348267024"/>
    <n v="1"/>
    <n v="0"/>
    <n v="0"/>
    <n v="0"/>
    <n v="0"/>
    <n v="2"/>
    <n v="45.690476190476197"/>
    <n v="1.8769502192525114"/>
    <n v="1"/>
    <n v="0.93847510962625569"/>
    <n v="9.4913700968652854"/>
    <n v="8.9074145921590144"/>
    <n v="0.5"/>
    <n v="38.333333333333336"/>
    <n v="0.23766033062956987"/>
    <n v="-2.90172060699707"/>
    <n v="-0.6896238788535598"/>
    <n v="1.3217790713305453"/>
    <n v="0.28122958964479688"/>
    <n v="0.42553191489361702"/>
  </r>
  <r>
    <s v="66282-22113"/>
    <x v="0"/>
    <s v="Alfred"/>
    <s v="Alfred Morris"/>
    <s v="Morris"/>
    <n v="3.92000007629394"/>
    <n v="10"/>
    <n v="4700"/>
    <s v="LV@NYG"/>
    <s v="NYG"/>
    <s v="LV"/>
    <m/>
    <m/>
    <m/>
    <x v="279"/>
    <s v="Alfred Morris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38514"/>
    <x v="2"/>
    <s v="Kevin"/>
    <s v="Kevin White"/>
    <s v="White"/>
    <n v="2.1500000953674299"/>
    <n v="2"/>
    <n v="4700"/>
    <s v="ATL@NO"/>
    <s v="NO"/>
    <s v="ATL"/>
    <m/>
    <m/>
    <m/>
    <x v="280"/>
    <s v="Kevin White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61060"/>
    <x v="0"/>
    <s v="Devine"/>
    <s v="Devine Ozigbo"/>
    <s v="Ozigbo"/>
    <n v="0.89999997615814198"/>
    <n v="1"/>
    <n v="4700"/>
    <s v="BUF@JAC"/>
    <s v="JAC"/>
    <s v="BUF"/>
    <m/>
    <m/>
    <m/>
    <x v="281"/>
    <s v="Devine Ozigbo"/>
    <n v="5.34"/>
    <n v="3.393939393939394"/>
    <n v="9.3684210526315788"/>
    <n v="0"/>
    <n v="0"/>
    <n v="0"/>
    <n v="0"/>
    <n v="0.5"/>
    <n v="0.5"/>
    <n v="3.5"/>
    <n v="7"/>
    <n v="0"/>
    <n v="3.5"/>
    <n v="0.5"/>
    <n v="0"/>
    <n v="-3"/>
    <n v="0"/>
    <n v="44.656477842721628"/>
    <n v="14.343522157278372"/>
    <n v="1"/>
    <n v="0"/>
    <n v="0"/>
    <n v="0"/>
    <n v="0"/>
    <n v="0.5"/>
    <n v="34.133333333333333"/>
    <n v="0.65414762464924259"/>
    <n v="0.5"/>
    <n v="0.65414762464924259"/>
    <n v="6.2373350483828043"/>
    <n v="4.0801379060410801"/>
    <n v="0.5"/>
    <n v="20.466666666666665"/>
    <n v="0.3504117790866052"/>
    <n v="-2.4620659695732714"/>
    <n v="-0.86273691662675767"/>
    <n v="0.5717400989414323"/>
    <n v="0.12164682956200687"/>
    <n v="0.10638297872340426"/>
  </r>
  <r>
    <s v="66282-91872"/>
    <x v="0"/>
    <s v="Joshua"/>
    <s v="Joshua Kelley"/>
    <s v="Kelley"/>
    <n v="1.20000004768371"/>
    <n v="2"/>
    <n v="4700"/>
    <s v="LAC@PHI"/>
    <s v="LAC"/>
    <s v="PHI"/>
    <m/>
    <m/>
    <m/>
    <x v="282"/>
    <s v="Joshua Kelley"/>
    <n v="5.9890109890109891"/>
    <n v="3.8190476190476192"/>
    <n v="8.515625"/>
    <n v="0"/>
    <n v="0"/>
    <n v="0"/>
    <n v="0"/>
    <n v="0"/>
    <n v="0"/>
    <n v="0"/>
    <n v="0"/>
    <n v="0"/>
    <n v="0"/>
    <n v="3"/>
    <n v="0"/>
    <n v="4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3"/>
    <n v="19.5"/>
    <n v="5.4843852890033897"/>
    <n v="3.6939363917645247"/>
    <n v="20.258970405507622"/>
    <n v="2.0258970405507624"/>
    <n v="0.43104192352143877"/>
    <n v="0"/>
  </r>
  <r>
    <s v="66282-27457"/>
    <x v="2"/>
    <s v="Kenny"/>
    <s v="Kenny Stills"/>
    <s v="Stills"/>
    <n v="1.25"/>
    <n v="4"/>
    <n v="4700"/>
    <s v="ATL@NO"/>
    <s v="NO"/>
    <s v="ATL"/>
    <m/>
    <m/>
    <m/>
    <x v="283"/>
    <s v="Kenny Stills"/>
    <n v="7.2264150943396226"/>
    <n v="4.4936708860759493"/>
    <n v="10.213333333333333"/>
    <n v="0"/>
    <n v="0"/>
    <n v="0"/>
    <n v="0"/>
    <n v="3"/>
    <n v="0.75"/>
    <n v="8.5"/>
    <n v="11.3"/>
    <n v="0"/>
    <n v="2.8250000000000002"/>
    <n v="0.25"/>
    <n v="0"/>
    <n v="1"/>
    <n v="0"/>
    <n v="40.544120654665065"/>
    <n v="22.955879345334939"/>
    <n v="1"/>
    <n v="0"/>
    <n v="0"/>
    <n v="0"/>
    <n v="0"/>
    <n v="3"/>
    <n v="24.533333333333335"/>
    <n v="4.9578408409237165"/>
    <n v="0.75"/>
    <n v="1.2394602102309291"/>
    <n v="10.976922092285132"/>
    <n v="13.60545816419226"/>
    <n v="0.25"/>
    <n v="23.45"/>
    <n v="0.24473218918267525"/>
    <n v="1.0866147842657805"/>
    <n v="0.26592961495162487"/>
    <n v="1.7621387779143887"/>
    <n v="0.37492314423710393"/>
    <n v="0.63829787234042545"/>
  </r>
  <r>
    <s v="66282-64339"/>
    <x v="2"/>
    <s v="Auden"/>
    <s v="Auden Tate"/>
    <s v="Tate"/>
    <n v="2.8499999046325599"/>
    <n v="4"/>
    <n v="4700"/>
    <s v="CLE@CIN"/>
    <s v="CIN"/>
    <s v="CLE"/>
    <s v="Q"/>
    <s v="Thigh"/>
    <m/>
    <x v="284"/>
    <s v="Auden Tate"/>
    <n v="6.4117647058823533"/>
    <n v="3.140625"/>
    <n v="10.686274509803921"/>
    <n v="0"/>
    <n v="0"/>
    <n v="0"/>
    <n v="0"/>
    <n v="0.5714285714285714"/>
    <n v="0.42857142857142855"/>
    <n v="5.5714285714285712"/>
    <n v="13"/>
    <n v="0"/>
    <n v="1.8571428571428572"/>
    <n v="0"/>
    <n v="0"/>
    <n v="0"/>
    <n v="0"/>
    <n v="35.249369534050182"/>
    <n v="23.950630465949821"/>
    <n v="1"/>
    <n v="0"/>
    <n v="0"/>
    <n v="0"/>
    <n v="0"/>
    <n v="0.5714285714285714"/>
    <n v="32.859523809523814"/>
    <n v="0.61298809420853861"/>
    <n v="0.42857142857142855"/>
    <n v="0.45974107065640396"/>
    <n v="13.213087488402909"/>
    <n v="6.0745989885950893"/>
    <n v="0"/>
    <n v="33.523809523809533"/>
    <n v="0"/>
    <n v="0"/>
    <n v="0"/>
    <n v="0.82174561314522321"/>
    <n v="0.17483949215855812"/>
    <n v="0.121580547112462"/>
  </r>
  <r>
    <s v="66282-26458"/>
    <x v="2"/>
    <s v="Tavon"/>
    <s v="Tavon Austin"/>
    <s v="Austin"/>
    <n v="2.5499999523162802"/>
    <n v="4"/>
    <n v="4700"/>
    <s v="BUF@JAC"/>
    <s v="JAC"/>
    <s v="BUF"/>
    <m/>
    <m/>
    <m/>
    <x v="285"/>
    <s v="Tavon Austin"/>
    <n v="5.34"/>
    <n v="3.393939393939394"/>
    <n v="9.3684210526315788"/>
    <n v="0"/>
    <n v="0"/>
    <n v="0"/>
    <n v="0"/>
    <n v="3"/>
    <n v="2"/>
    <n v="20.666666666666668"/>
    <n v="10.3"/>
    <n v="0"/>
    <n v="3.4333333333333336"/>
    <n v="0"/>
    <n v="0"/>
    <n v="0"/>
    <n v="0"/>
    <n v="44.656477842721628"/>
    <n v="14.343522157278372"/>
    <n v="1"/>
    <n v="0"/>
    <n v="0"/>
    <n v="0"/>
    <n v="0"/>
    <n v="3"/>
    <n v="34.133333333333333"/>
    <n v="3.9248857478954555"/>
    <n v="2"/>
    <n v="2.6165904985969703"/>
    <n v="9.1777929997632715"/>
    <n v="24.014525961270362"/>
    <n v="0"/>
    <n v="20.466666666666665"/>
    <n v="0"/>
    <n v="0"/>
    <n v="0"/>
    <n v="3.4014525961270361"/>
    <n v="0.72371331832490127"/>
    <n v="0.63829787234042545"/>
  </r>
  <r>
    <s v="66282-89970"/>
    <x v="2"/>
    <s v="Amari"/>
    <s v="Amari Rodgers"/>
    <s v="Rodgers"/>
    <n v="0.94285712923322396"/>
    <n v="7"/>
    <n v="4700"/>
    <s v="GB@KC"/>
    <s v="GB"/>
    <s v="KC"/>
    <m/>
    <m/>
    <m/>
    <x v="286"/>
    <s v="Amari Rodgers"/>
    <n v="8.7934782608695645"/>
    <n v="5.404494382022472"/>
    <n v="12.446153846153846"/>
    <n v="0"/>
    <n v="0"/>
    <n v="0"/>
    <n v="0"/>
    <n v="0.625"/>
    <n v="0.375"/>
    <n v="5"/>
    <n v="13.3"/>
    <n v="19"/>
    <n v="1.6625000000000001"/>
    <n v="0.125"/>
    <n v="0"/>
    <n v="11"/>
    <n v="0"/>
    <e v="#N/A"/>
    <e v="#N/A"/>
    <n v="1"/>
    <n v="0"/>
    <n v="0"/>
    <n v="0"/>
    <n v="0"/>
    <n v="0.625"/>
    <n v="30.583333333333336"/>
    <e v="#N/A"/>
    <n v="0.375"/>
    <n v="0"/>
    <n v="15.744230454149955"/>
    <n v="0"/>
    <n v="0.125"/>
    <n v="14.916666666666666"/>
    <n v="0"/>
    <n v="14.375471658821629"/>
    <n v="0"/>
    <n v="0.1875"/>
    <n v="3.9893617021276591E-2"/>
    <n v="0.13297872340425532"/>
  </r>
  <r>
    <s v="66282-27527"/>
    <x v="3"/>
    <s v="Blake"/>
    <s v="Blake Jarwin"/>
    <s v="Jarwin"/>
    <n v="4.3333333333333304"/>
    <n v="6"/>
    <n v="4700"/>
    <s v="DEN@DAL"/>
    <s v="DAL"/>
    <s v="DEN"/>
    <s v="IR"/>
    <s v="Hip"/>
    <m/>
    <x v="287"/>
    <s v="Blake Jarwin"/>
    <n v="4.6380952380952385"/>
    <n v="3.6326530612244898"/>
    <n v="8.8545454545454554"/>
    <n v="0"/>
    <n v="0"/>
    <n v="0"/>
    <n v="0"/>
    <n v="0"/>
    <n v="1.6666666666666667"/>
    <n v="15"/>
    <n v="9"/>
    <n v="9.5"/>
    <n v="1.5"/>
    <n v="0"/>
    <n v="0"/>
    <n v="0"/>
    <n v="0"/>
    <n v="40.215481891649205"/>
    <n v="26.284518108350792"/>
    <n v="0"/>
    <n v="0"/>
    <n v="0"/>
    <n v="0"/>
    <n v="0"/>
    <n v="0"/>
    <n v="28.733333333333334"/>
    <n v="0"/>
    <n v="0"/>
    <n v="0"/>
    <n v="7.5795498442167641"/>
    <n v="0"/>
    <n v="0"/>
    <n v="32"/>
    <n v="0"/>
    <n v="0"/>
    <n v="0"/>
    <n v="0"/>
    <n v="0"/>
    <n v="0"/>
  </r>
  <r>
    <s v="66282-45964"/>
    <x v="2"/>
    <s v="Marcus"/>
    <s v="Marcus Kemp"/>
    <s v="Kemp"/>
    <n v="0.64999997615814198"/>
    <n v="2"/>
    <n v="4700"/>
    <s v="GB@KC"/>
    <s v="KC"/>
    <s v="GB"/>
    <m/>
    <m/>
    <m/>
    <x v="288"/>
    <s v="Marcus Kemp"/>
    <n v="6.3711340206185563"/>
    <n v="4.3797468354430382"/>
    <n v="9.3636363636363633"/>
    <n v="0"/>
    <n v="0"/>
    <n v="0"/>
    <n v="0"/>
    <n v="0.2857142857142857"/>
    <n v="0.14285714285714285"/>
    <n v="1.1428571428571428"/>
    <n v="8"/>
    <n v="0"/>
    <n v="1.1428571428571428"/>
    <n v="0"/>
    <n v="0"/>
    <n v="0"/>
    <n v="0"/>
    <n v="35.894621752555366"/>
    <n v="26.105378247444634"/>
    <n v="1"/>
    <n v="0"/>
    <n v="0"/>
    <n v="0"/>
    <n v="0"/>
    <n v="0.2857142857142857"/>
    <n v="38.357142857142847"/>
    <n v="0.26737148419035661"/>
    <n v="0.14285714285714285"/>
    <n v="0.13368574209517831"/>
    <n v="7.1247422674362459"/>
    <n v="0.95247645725909791"/>
    <n v="0"/>
    <n v="15.523809523809524"/>
    <n v="0"/>
    <n v="0"/>
    <n v="0"/>
    <n v="0.16667621715448122"/>
    <n v="3.5463024926485363E-2"/>
    <n v="6.0790273556230998E-2"/>
  </r>
  <r>
    <s v="66282-56212"/>
    <x v="3"/>
    <s v="Tommy"/>
    <s v="Tommy Sweeney"/>
    <s v="Sweeney"/>
    <n v="3.2249999046325599"/>
    <n v="4"/>
    <n v="4700"/>
    <s v="BUF@JAC"/>
    <s v="BUF"/>
    <s v="JAC"/>
    <m/>
    <m/>
    <m/>
    <x v="289"/>
    <s v="Tommy Sweeney"/>
    <n v="9.3909774436090228"/>
    <n v="3.4552845528455283"/>
    <n v="12.49"/>
    <n v="0"/>
    <n v="0"/>
    <n v="0"/>
    <n v="0"/>
    <n v="0.66666666666666663"/>
    <n v="0.66666666666666663"/>
    <n v="0.66666666666666663"/>
    <n v="1"/>
    <n v="0"/>
    <n v="0.16666666666666666"/>
    <n v="0"/>
    <n v="0"/>
    <n v="0"/>
    <n v="0"/>
    <n v="33.734564753717166"/>
    <n v="28.965435246282837"/>
    <n v="1"/>
    <n v="0"/>
    <n v="0"/>
    <n v="0"/>
    <n v="0"/>
    <n v="0.66666666666666663"/>
    <n v="25.8"/>
    <n v="0.87169417968261409"/>
    <n v="0.66666666666666663"/>
    <n v="0.87169417968261409"/>
    <n v="1.1879470147124584"/>
    <n v="1.0355264984961867"/>
    <n v="0"/>
    <n v="31.133333333333333"/>
    <n v="0"/>
    <n v="0"/>
    <n v="0"/>
    <n v="0.43688598318295202"/>
    <n v="9.2954464507011059E-2"/>
    <n v="0.14184397163120566"/>
  </r>
  <r>
    <s v="66282-45997"/>
    <x v="2"/>
    <s v="Keith"/>
    <s v="Keith Kirkwood"/>
    <s v="Kirkwood"/>
    <n v="1.6000000238418499"/>
    <n v="2"/>
    <n v="4700"/>
    <s v="NE@CAR"/>
    <s v="CAR"/>
    <s v="NE"/>
    <m/>
    <m/>
    <m/>
    <x v="290"/>
    <s v="Keith Kirkwood"/>
    <n v="5.9135802469135799"/>
    <n v="4"/>
    <n v="9.9791666666666661"/>
    <n v="0"/>
    <n v="0"/>
    <n v="0"/>
    <n v="0"/>
    <n v="5"/>
    <n v="3"/>
    <n v="17"/>
    <n v="5.7"/>
    <n v="0"/>
    <n v="5.7"/>
    <n v="0"/>
    <n v="0"/>
    <n v="0"/>
    <n v="0"/>
    <n v="42.879374651732974"/>
    <n v="18.220625348267024"/>
    <n v="1"/>
    <n v="0"/>
    <n v="0"/>
    <n v="0"/>
    <n v="0"/>
    <n v="5"/>
    <n v="45.690476190476197"/>
    <n v="4.6923755481312783"/>
    <n v="3"/>
    <n v="2.8154253288787667"/>
    <n v="5.4100809552132132"/>
    <n v="15.231678952591913"/>
    <n v="0"/>
    <n v="38.333333333333336"/>
    <n v="0"/>
    <n v="0"/>
    <n v="0"/>
    <n v="3.0231678952591912"/>
    <n v="0.64322721175727471"/>
    <n v="1.0638297872340425"/>
  </r>
  <r>
    <s v="66282-48116"/>
    <x v="3"/>
    <s v="Jonnu"/>
    <s v="Jonnu Smith"/>
    <s v="Smith"/>
    <n v="4.5625"/>
    <n v="8"/>
    <n v="4700"/>
    <s v="NE@CAR"/>
    <s v="NE"/>
    <s v="CAR"/>
    <s v="Q"/>
    <s v="Shoulder"/>
    <m/>
    <x v="291"/>
    <s v="Jonnu Smith"/>
    <n v="5.0344827586206895"/>
    <n v="2.6470588235294117"/>
    <n v="8.76"/>
    <n v="0"/>
    <n v="0"/>
    <n v="0"/>
    <n v="0"/>
    <n v="4.2857142857142856"/>
    <n v="2.5714285714285716"/>
    <n v="25.142857142857142"/>
    <n v="9.8000000000000007"/>
    <n v="37"/>
    <n v="1.4000000000000001"/>
    <n v="0.42857142857142855"/>
    <n v="3.1333333333333333"/>
    <n v="5.3"/>
    <n v="0"/>
    <n v="27.892429902449898"/>
    <n v="33.907570097550099"/>
    <n v="1"/>
    <n v="0"/>
    <n v="0"/>
    <n v="0"/>
    <n v="0"/>
    <n v="4.2857142857142856"/>
    <n v="35.154761904761905"/>
    <n v="3.4003639569529165"/>
    <n v="2.5714285714285716"/>
    <n v="2.0402183741717503"/>
    <n v="8.1651621552470104"/>
    <n v="16.658713857226761"/>
    <n v="0.42857142857142855"/>
    <n v="29.773809523809522"/>
    <n v="0.48807377989276435"/>
    <n v="3.3924527684745156"/>
    <n v="1.6557672458170298"/>
    <n v="3.117162396018665"/>
    <n v="0.66322604170609889"/>
    <n v="0.91185410334346495"/>
  </r>
  <r>
    <s v="66282-55323"/>
    <x v="0"/>
    <s v="Jaylen"/>
    <s v="Jaylen Samuels"/>
    <s v="Samuels"/>
    <n v="1.32222217983669"/>
    <n v="9"/>
    <n v="4600"/>
    <s v="HOU@MIA"/>
    <s v="HOU"/>
    <s v="MIA"/>
    <m/>
    <m/>
    <m/>
    <x v="292"/>
    <s v="Jaylen Samuels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53303"/>
    <x v="0"/>
    <s v="Matt"/>
    <s v="Matt Breida"/>
    <s v="Breida"/>
    <n v="0.40000000596046398"/>
    <n v="1"/>
    <n v="4600"/>
    <s v="BUF@JAC"/>
    <s v="BUF"/>
    <s v="JAC"/>
    <m/>
    <m/>
    <m/>
    <x v="293"/>
    <s v="Matt Breida"/>
    <n v="9.3909774436090228"/>
    <n v="3.4552845528455283"/>
    <n v="12.49"/>
    <n v="0"/>
    <n v="0"/>
    <n v="0"/>
    <n v="0"/>
    <n v="0"/>
    <n v="0"/>
    <n v="0"/>
    <n v="0"/>
    <n v="0"/>
    <n v="0"/>
    <n v="2"/>
    <n v="12.583333333333334"/>
    <n v="1"/>
    <n v="0"/>
    <n v="33.734564753717166"/>
    <n v="28.965435246282837"/>
    <n v="1"/>
    <n v="0"/>
    <n v="0"/>
    <n v="0"/>
    <n v="0"/>
    <n v="0"/>
    <n v="25.8"/>
    <n v="0"/>
    <n v="0"/>
    <n v="0"/>
    <n v="0"/>
    <n v="0"/>
    <n v="2"/>
    <n v="31.133333333333333"/>
    <n v="1.8607345982622807"/>
    <n v="0.83552253250254394"/>
    <n v="1.5546856838552046"/>
    <n v="0.15546856838552045"/>
    <n v="3.3797514866417494E-2"/>
    <n v="0"/>
  </r>
  <r>
    <s v="66282-55366"/>
    <x v="0"/>
    <s v="Qadree"/>
    <s v="Qadree Ollison"/>
    <s v="Ollison"/>
    <n v="0.30000001192092801"/>
    <n v="1"/>
    <n v="4600"/>
    <s v="ATL@NO"/>
    <s v="ATL"/>
    <s v="NO"/>
    <m/>
    <m/>
    <m/>
    <x v="294"/>
    <s v="Qadree Ollison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68685"/>
    <x v="2"/>
    <s v="Austin"/>
    <s v="Austin Mack"/>
    <s v="Mack"/>
    <n v="2.5200000762939401"/>
    <n v="5"/>
    <n v="4600"/>
    <s v="LV@NYG"/>
    <s v="NYG"/>
    <s v="LV"/>
    <m/>
    <m/>
    <m/>
    <x v="295"/>
    <s v="Austin Mack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79982"/>
    <x v="0"/>
    <s v="Alex"/>
    <s v="Alex Armah"/>
    <s v="Armah"/>
    <n v="1.5"/>
    <n v="5"/>
    <n v="4600"/>
    <s v="ATL@NO"/>
    <s v="NO"/>
    <s v="ATL"/>
    <m/>
    <m/>
    <m/>
    <x v="296"/>
    <s v="Alex Armah"/>
    <n v="7.2264150943396226"/>
    <n v="4.4936708860759493"/>
    <n v="10.213333333333333"/>
    <n v="0"/>
    <n v="0"/>
    <n v="0"/>
    <n v="0"/>
    <n v="0"/>
    <n v="0"/>
    <n v="0"/>
    <n v="0"/>
    <n v="0"/>
    <n v="0"/>
    <n v="0.6"/>
    <n v="0"/>
    <n v="3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.6"/>
    <n v="23.45"/>
    <n v="0.58735725403842065"/>
    <n v="3.2598443527973413"/>
    <n v="1.914693227651699"/>
    <n v="0.1914693227651699"/>
    <n v="4.16237658185152E-2"/>
    <n v="0"/>
  </r>
  <r>
    <s v="66282-83086"/>
    <x v="2"/>
    <s v="Daurice"/>
    <s v="Daurice Fountain"/>
    <s v="Fountain"/>
    <n v="1.09999998410542"/>
    <n v="3"/>
    <n v="4600"/>
    <s v="GB@KC"/>
    <s v="KC"/>
    <s v="GB"/>
    <m/>
    <m/>
    <m/>
    <x v="297"/>
    <s v="Daurice Fountain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48344"/>
    <x v="2"/>
    <s v="Albert"/>
    <s v="Albert Wilson"/>
    <s v="Wilson"/>
    <n v="2"/>
    <n v="4"/>
    <n v="4600"/>
    <s v="HOU@MIA"/>
    <s v="MIA"/>
    <s v="HOU"/>
    <m/>
    <m/>
    <m/>
    <x v="298"/>
    <s v="Albert Wilson"/>
    <n v="7.6226415094339623"/>
    <n v="4.2048192771084336"/>
    <n v="11.542857142857143"/>
    <n v="0"/>
    <n v="0"/>
    <n v="0"/>
    <n v="0"/>
    <n v="2"/>
    <n v="1.1666666666666667"/>
    <n v="7.5"/>
    <n v="6.4"/>
    <n v="0"/>
    <n v="1.0666666666666667"/>
    <n v="0"/>
    <n v="0"/>
    <n v="0"/>
    <n v="0"/>
    <n v="40.244550246190627"/>
    <n v="21.855449753809374"/>
    <n v="1"/>
    <n v="0"/>
    <n v="0"/>
    <n v="0"/>
    <n v="0"/>
    <n v="2"/>
    <n v="27.457142857142856"/>
    <n v="2.9314448670482247"/>
    <n v="1.1666666666666667"/>
    <n v="1.7100095057781313"/>
    <n v="7.0263200302883071"/>
    <n v="12.015074042432293"/>
    <n v="0"/>
    <n v="17.464285714285712"/>
    <n v="0"/>
    <n v="0"/>
    <n v="0"/>
    <n v="1.7848407375765625"/>
    <n v="0.38800885599490492"/>
    <n v="0.43478260869565222"/>
  </r>
  <r>
    <s v="66282-28907"/>
    <x v="2"/>
    <s v="Alex"/>
    <s v="Alex Erickson"/>
    <s v="Erickson"/>
    <n v="0.86666663487752205"/>
    <n v="6"/>
    <n v="4600"/>
    <s v="NE@CAR"/>
    <s v="CAR"/>
    <s v="NE"/>
    <m/>
    <m/>
    <m/>
    <x v="299"/>
    <s v="Alex Erickson"/>
    <n v="5.9135802469135799"/>
    <n v="4"/>
    <n v="9.9791666666666661"/>
    <n v="0"/>
    <n v="0"/>
    <n v="0"/>
    <n v="0"/>
    <n v="0.2857142857142857"/>
    <n v="0.2857142857142857"/>
    <n v="6"/>
    <n v="21"/>
    <n v="0"/>
    <n v="3"/>
    <n v="0"/>
    <n v="0"/>
    <n v="0"/>
    <n v="0"/>
    <n v="42.879374651732974"/>
    <n v="18.220625348267024"/>
    <n v="1"/>
    <n v="0"/>
    <n v="0"/>
    <n v="0"/>
    <n v="0"/>
    <n v="0.2857142857142857"/>
    <n v="45.690476190476197"/>
    <n v="0.26813574560750164"/>
    <n v="0.2857142857142857"/>
    <n v="0.26813574560750164"/>
    <n v="19.931877203417102"/>
    <n v="5.3444487552954092"/>
    <n v="0"/>
    <n v="38.333333333333336"/>
    <n v="0"/>
    <n v="0"/>
    <n v="0"/>
    <n v="0.6773020183866838"/>
    <n v="0.14723956921449649"/>
    <n v="6.2111801242236024E-2"/>
  </r>
  <r>
    <s v="66282-70892"/>
    <x v="0"/>
    <s v="A.J."/>
    <s v="A.J. Rose Jr."/>
    <s v="Rose Jr."/>
    <m/>
    <m/>
    <n v="4600"/>
    <s v="MIN@BAL"/>
    <s v="MIN"/>
    <s v="BAL"/>
    <m/>
    <m/>
    <m/>
    <x v="300"/>
    <s v="A.J. Rose Jr.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60705"/>
    <x v="2"/>
    <s v="Tyron"/>
    <s v="Tyron Johnson"/>
    <s v="Johnson"/>
    <n v="0.64999997615814198"/>
    <n v="4"/>
    <n v="4600"/>
    <s v="BUF@JAC"/>
    <s v="JAC"/>
    <s v="BUF"/>
    <m/>
    <m/>
    <m/>
    <x v="301"/>
    <s v="Tyron Johnson"/>
    <n v="5.34"/>
    <n v="3.393939393939394"/>
    <n v="9.3684210526315788"/>
    <n v="0"/>
    <n v="0"/>
    <n v="0"/>
    <n v="0"/>
    <n v="0.75"/>
    <n v="0.25"/>
    <n v="1.5"/>
    <n v="6"/>
    <n v="30.5"/>
    <n v="1.5"/>
    <n v="0"/>
    <n v="0"/>
    <n v="0"/>
    <n v="0"/>
    <n v="44.656477842721628"/>
    <n v="14.343522157278372"/>
    <n v="1"/>
    <n v="0"/>
    <n v="0"/>
    <n v="0"/>
    <n v="0"/>
    <n v="0.75"/>
    <n v="34.133333333333333"/>
    <n v="0.98122143697386388"/>
    <n v="0.25"/>
    <n v="0.32707381232462129"/>
    <n v="5.3462871843281183"/>
    <n v="1.7486305311604631"/>
    <n v="0"/>
    <n v="20.466666666666665"/>
    <n v="0"/>
    <n v="0"/>
    <n v="0"/>
    <n v="0.29986305311604633"/>
    <n v="6.5187620242618774E-2"/>
    <n v="0.16304347826086957"/>
  </r>
  <r>
    <s v="66282-52591"/>
    <x v="0"/>
    <s v="Rodney"/>
    <s v="Rodney Smith"/>
    <s v="Smith"/>
    <n v="7.3000001907348597"/>
    <n v="1"/>
    <n v="4600"/>
    <s v="NE@CAR"/>
    <s v="CAR"/>
    <s v="NE"/>
    <m/>
    <m/>
    <m/>
    <x v="302"/>
    <s v="Rodney Smith"/>
    <n v="5.9135802469135799"/>
    <n v="4"/>
    <n v="9.9791666666666661"/>
    <n v="0"/>
    <n v="0"/>
    <n v="0"/>
    <n v="0"/>
    <n v="2.5"/>
    <n v="2.5"/>
    <n v="24"/>
    <n v="9.6"/>
    <n v="0"/>
    <n v="4.8"/>
    <n v="0"/>
    <n v="0"/>
    <n v="0"/>
    <n v="0"/>
    <n v="42.879374651732974"/>
    <n v="18.220625348267024"/>
    <n v="1"/>
    <n v="0"/>
    <n v="0"/>
    <n v="0"/>
    <n v="0"/>
    <n v="2.5"/>
    <n v="45.690476190476197"/>
    <n v="2.3461877740656392"/>
    <n v="2.5"/>
    <n v="2.3461877740656392"/>
    <n v="9.1117152929906737"/>
    <n v="21.377795021181633"/>
    <n v="0"/>
    <n v="38.333333333333336"/>
    <n v="0"/>
    <n v="0"/>
    <n v="0"/>
    <n v="3.3877795021181631"/>
    <n v="0.73647380480829638"/>
    <n v="0.5434782608695653"/>
  </r>
  <r>
    <s v="66282-71031"/>
    <x v="2"/>
    <s v="Lil'Jordan"/>
    <s v="Lil'Jordan Humphrey"/>
    <s v="Humphrey"/>
    <n v="3.20000004768371"/>
    <n v="1"/>
    <n v="4600"/>
    <s v="ATL@NO"/>
    <s v="NO"/>
    <s v="ATL"/>
    <s v="IR"/>
    <s v="Illness"/>
    <m/>
    <x v="303"/>
    <s v="Lil'Jordan Humphrey"/>
    <n v="7.2264150943396226"/>
    <n v="4.4936708860759493"/>
    <n v="10.213333333333333"/>
    <n v="0"/>
    <n v="0"/>
    <n v="0"/>
    <n v="0"/>
    <n v="0"/>
    <n v="0.33333333333333331"/>
    <n v="9"/>
    <n v="27"/>
    <n v="0"/>
    <n v="9"/>
    <n v="0"/>
    <n v="0"/>
    <n v="0"/>
    <n v="0"/>
    <n v="40.544120654665065"/>
    <n v="22.955879345334939"/>
    <n v="0"/>
    <n v="0"/>
    <n v="0"/>
    <n v="0"/>
    <n v="0"/>
    <n v="0"/>
    <n v="24.533333333333335"/>
    <n v="0"/>
    <n v="0"/>
    <n v="0"/>
    <n v="26.228043937318461"/>
    <n v="0"/>
    <n v="0"/>
    <n v="23.45"/>
    <n v="0"/>
    <n v="0"/>
    <n v="0"/>
    <n v="0"/>
    <n v="0"/>
    <n v="0"/>
  </r>
  <r>
    <s v="66282-87418"/>
    <x v="2"/>
    <s v="Joshua"/>
    <s v="Joshua Palmer"/>
    <s v="Palmer"/>
    <n v="3.5400001525878899"/>
    <n v="5"/>
    <n v="4600"/>
    <s v="LAC@PHI"/>
    <s v="LAC"/>
    <s v="PHI"/>
    <m/>
    <m/>
    <m/>
    <x v="304"/>
    <s v="Joshua Palmer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53639"/>
    <x v="2"/>
    <s v="Isaiah"/>
    <s v="Isaiah McKenzie"/>
    <s v="McKenzie"/>
    <n v="0.34285715648106102"/>
    <n v="7"/>
    <n v="4600"/>
    <s v="BUF@JAC"/>
    <s v="BUF"/>
    <s v="JAC"/>
    <m/>
    <m/>
    <m/>
    <x v="305"/>
    <s v="Isaiah McKenzie"/>
    <n v="9.3909774436090228"/>
    <n v="3.4552845528455283"/>
    <n v="12.49"/>
    <n v="0"/>
    <n v="0"/>
    <n v="0"/>
    <n v="0"/>
    <n v="0.5"/>
    <n v="0.33333333333333331"/>
    <n v="0.66666666666666663"/>
    <n v="2"/>
    <n v="0"/>
    <n v="0.33333333333333331"/>
    <n v="0.5"/>
    <n v="-1.21875"/>
    <n v="3.3"/>
    <n v="0"/>
    <n v="33.734564753717166"/>
    <n v="28.965435246282837"/>
    <n v="1"/>
    <n v="0"/>
    <n v="0"/>
    <n v="0"/>
    <n v="0"/>
    <n v="0.5"/>
    <n v="25.8"/>
    <n v="0.65377063476196062"/>
    <n v="0.33333333333333331"/>
    <n v="0.43584708984130704"/>
    <n v="2.3758940294249169"/>
    <n v="1.0355264984961867"/>
    <n v="0.5"/>
    <n v="31.133333333333333"/>
    <n v="0.46518364956557018"/>
    <n v="2.7572243572583948"/>
    <n v="1.2826156891805436"/>
    <n v="0.39848088543433968"/>
    <n v="8.6626279442247767E-2"/>
    <n v="0.10869565217391305"/>
  </r>
  <r>
    <s v="66282-55694"/>
    <x v="2"/>
    <s v="Mike"/>
    <s v="Mike Thomas"/>
    <s v="Thomas"/>
    <n v="1.30000003178914"/>
    <n v="3"/>
    <n v="4600"/>
    <s v="CLE@CIN"/>
    <s v="CIN"/>
    <s v="CLE"/>
    <m/>
    <m/>
    <m/>
    <x v="306"/>
    <s v="Mike Thomas"/>
    <n v="6.4117647058823533"/>
    <n v="3.140625"/>
    <n v="10.686274509803921"/>
    <n v="0"/>
    <n v="0"/>
    <n v="0"/>
    <n v="0"/>
    <n v="1.25"/>
    <n v="0.75"/>
    <n v="6"/>
    <n v="8"/>
    <n v="5"/>
    <n v="2"/>
    <n v="0"/>
    <n v="0"/>
    <n v="0"/>
    <n v="0"/>
    <n v="35.249369534050182"/>
    <n v="23.950630465949821"/>
    <n v="1"/>
    <n v="0"/>
    <n v="0"/>
    <n v="0"/>
    <n v="0"/>
    <n v="1.25"/>
    <n v="32.859523809523814"/>
    <n v="1.3409114560811783"/>
    <n v="0.75"/>
    <n v="0.80454687364870703"/>
    <n v="8.1311307620940969"/>
    <n v="6.5418758338716341"/>
    <n v="0"/>
    <n v="33.523809523809533"/>
    <n v="0"/>
    <n v="0"/>
    <n v="0"/>
    <n v="1.0291875833871633"/>
    <n v="0.22373643117112249"/>
    <n v="0.27173913043478265"/>
  </r>
  <r>
    <s v="66282-80281"/>
    <x v="2"/>
    <s v="C.J."/>
    <s v="C.J. Board"/>
    <s v="Board"/>
    <n v="1.2833333015441799"/>
    <n v="6"/>
    <n v="4600"/>
    <s v="LV@NYG"/>
    <s v="NYG"/>
    <s v="LV"/>
    <s v="IR"/>
    <s v="Arm"/>
    <m/>
    <x v="307"/>
    <s v="C.J. Board"/>
    <n v="5.9327731092436977"/>
    <n v="4.8133333333333335"/>
    <n v="9.0512820512820511"/>
    <n v="0"/>
    <n v="0"/>
    <n v="0"/>
    <n v="0"/>
    <n v="0"/>
    <n v="0.66666666666666663"/>
    <n v="8.5"/>
    <n v="12.8"/>
    <n v="11"/>
    <n v="2.1333333333333333"/>
    <n v="0.16666666666666666"/>
    <n v="0"/>
    <n v="6"/>
    <n v="0"/>
    <n v="35.232477994905381"/>
    <n v="23.167522005094618"/>
    <n v="0"/>
    <n v="0"/>
    <n v="0"/>
    <n v="0"/>
    <n v="0"/>
    <n v="0"/>
    <n v="28.607142857142854"/>
    <n v="0"/>
    <n v="0"/>
    <n v="0"/>
    <n v="11.019317590024375"/>
    <n v="0"/>
    <n v="0"/>
    <n v="8.5333333333333314"/>
    <n v="0"/>
    <n v="6.983474260839615"/>
    <n v="0"/>
    <n v="0"/>
    <n v="0"/>
    <n v="0"/>
  </r>
  <r>
    <s v="66282-73121"/>
    <x v="0"/>
    <s v="Tony"/>
    <s v="Tony Jones Jr."/>
    <s v="Jones Jr."/>
    <n v="2.6749999523162802"/>
    <n v="4"/>
    <n v="4600"/>
    <s v="ATL@NO"/>
    <s v="NO"/>
    <s v="ATL"/>
    <s v="IR"/>
    <s v="Ankle"/>
    <m/>
    <x v="308"/>
    <s v="Tony Jones Jr.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0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73130"/>
    <x v="0"/>
    <s v="Chris"/>
    <s v="Chris Evans"/>
    <s v="Evans"/>
    <n v="5.5500001907348597"/>
    <n v="4"/>
    <n v="4600"/>
    <s v="CLE@CIN"/>
    <s v="CIN"/>
    <s v="CLE"/>
    <s v="Q"/>
    <s v="Hamstring"/>
    <m/>
    <x v="309"/>
    <s v="Chris Evans"/>
    <n v="6.4117647058823533"/>
    <n v="3.140625"/>
    <n v="10.686274509803921"/>
    <n v="0"/>
    <n v="0"/>
    <n v="0"/>
    <n v="0"/>
    <n v="1.1428571428571428"/>
    <n v="1.1428571428571428"/>
    <n v="14.857142857142858"/>
    <n v="13"/>
    <n v="0"/>
    <n v="1.8571428571428572"/>
    <n v="0.5714285714285714"/>
    <n v="0"/>
    <n v="4.5"/>
    <n v="0"/>
    <n v="35.249369534050182"/>
    <n v="23.950630465949821"/>
    <n v="1"/>
    <n v="0"/>
    <n v="0"/>
    <n v="0"/>
    <n v="0"/>
    <n v="1.1428571428571428"/>
    <n v="32.859523809523814"/>
    <n v="1.2259761884170772"/>
    <n v="1.1428571428571428"/>
    <n v="1.2259761884170772"/>
    <n v="13.213087488402909"/>
    <n v="16.198930636253571"/>
    <n v="0.5714285714285714"/>
    <n v="33.523809523809533"/>
    <n v="0.40824938294232638"/>
    <n v="3.4174561055063148"/>
    <n v="1.3951743463054389"/>
    <n v="2.3308390696844725"/>
    <n v="0.50670414558358101"/>
    <n v="0.2484472049689441"/>
  </r>
  <r>
    <s v="66282-64949"/>
    <x v="2"/>
    <s v="Ja'Marcus"/>
    <s v="Ja'Marcus Bradley"/>
    <s v="Bradley"/>
    <n v="4.25"/>
    <n v="2"/>
    <n v="4600"/>
    <s v="CLE@CIN"/>
    <s v="CLE"/>
    <s v="CIN"/>
    <m/>
    <m/>
    <m/>
    <x v="310"/>
    <s v="Ja'Marcus Bradley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28157"/>
    <x v="2"/>
    <s v="Bennie"/>
    <s v="Bennie Fowler III"/>
    <s v="Fowler III"/>
    <n v="2.0999999046325599"/>
    <n v="1"/>
    <n v="4600"/>
    <s v="ARI@SF"/>
    <s v="SF"/>
    <s v="ARI"/>
    <m/>
    <m/>
    <m/>
    <x v="311"/>
    <s v="Bennie Fowler III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39428"/>
    <x v="0"/>
    <s v="Kyle"/>
    <s v="Kyle Juszczyk"/>
    <s v="Juszczyk"/>
    <n v="4.9500001271565699"/>
    <n v="6"/>
    <n v="4600"/>
    <s v="ARI@SF"/>
    <s v="SF"/>
    <s v="ARI"/>
    <m/>
    <m/>
    <m/>
    <x v="312"/>
    <s v="Kyle Juszczyk"/>
    <n v="5.9411764705882355"/>
    <n v="5.4102564102564106"/>
    <n v="9.1818181818181817"/>
    <n v="0"/>
    <n v="0"/>
    <n v="0"/>
    <n v="0"/>
    <n v="2.6666666666666665"/>
    <n v="2.3333333333333335"/>
    <n v="22.5"/>
    <n v="9.6"/>
    <n v="24"/>
    <n v="1.5999999999999999"/>
    <n v="1.1666666666666667"/>
    <n v="0"/>
    <n v="2.2999999999999998"/>
    <n v="0"/>
    <n v="33.198546563443358"/>
    <n v="30.201453436556637"/>
    <n v="1"/>
    <n v="0"/>
    <n v="0"/>
    <n v="0"/>
    <n v="0"/>
    <n v="2.6666666666666665"/>
    <n v="34.266666666666673"/>
    <n v="2.583544479645397"/>
    <n v="2.3333333333333335"/>
    <n v="2.2606014196897228"/>
    <n v="8.3836773088667282"/>
    <n v="18.952152826644642"/>
    <n v="1.1666666666666667"/>
    <n v="23.6"/>
    <n v="1.4930097037845795"/>
    <n v="3.0089850653326455"/>
    <n v="4.492443901084517"/>
    <n v="3.5111263394395822"/>
    <n v="0.76328833466077883"/>
    <n v="0.57971014492753625"/>
  </r>
  <r>
    <s v="66282-64031"/>
    <x v="3"/>
    <s v="Hayden"/>
    <s v="Hayden Hurst"/>
    <s v="Hurst"/>
    <n v="3.8857143947056301"/>
    <n v="7"/>
    <n v="4600"/>
    <s v="ATL@NO"/>
    <s v="ATL"/>
    <s v="NO"/>
    <m/>
    <m/>
    <m/>
    <x v="313"/>
    <s v="Hayden Hurst"/>
    <n v="5.895161290322581"/>
    <n v="2.7846153846153845"/>
    <n v="9.6184210526315788"/>
    <n v="0"/>
    <n v="0"/>
    <n v="0"/>
    <n v="0"/>
    <n v="3.1666666666666665"/>
    <n v="2.6666666666666665"/>
    <n v="23"/>
    <n v="8.6"/>
    <n v="25.5"/>
    <n v="1.4333333333333333"/>
    <n v="0"/>
    <n v="0"/>
    <n v="0"/>
    <n v="0"/>
    <n v="37.013107313686163"/>
    <n v="26.586892686313835"/>
    <n v="1"/>
    <n v="0"/>
    <n v="0"/>
    <n v="0"/>
    <n v="0"/>
    <n v="3.1666666666666665"/>
    <n v="33.666666666666664"/>
    <n v="3.4814308859407777"/>
    <n v="2.6666666666666665"/>
    <n v="2.9317312723711808"/>
    <n v="7.8675021097839766"/>
    <n v="23.065401970699927"/>
    <n v="0"/>
    <n v="25.833333333333332"/>
    <n v="0"/>
    <n v="0"/>
    <n v="0"/>
    <n v="3.6398735304033263"/>
    <n v="0.79127685443550577"/>
    <n v="0.68840579710144933"/>
  </r>
  <r>
    <s v="66282-87662"/>
    <x v="2"/>
    <s v="Anthony"/>
    <s v="Anthony Schwartz"/>
    <s v="Schwartz"/>
    <n v="1.86249995231628"/>
    <n v="8"/>
    <n v="4600"/>
    <s v="CLE@CIN"/>
    <s v="CLE"/>
    <s v="CIN"/>
    <m/>
    <m/>
    <m/>
    <x v="314"/>
    <s v="Anthony Schwartz"/>
    <n v="5.884615384615385"/>
    <n v="3.7029702970297032"/>
    <n v="8.5794392523364493"/>
    <n v="0"/>
    <n v="0"/>
    <n v="0"/>
    <n v="0"/>
    <n v="2.1428571428571428"/>
    <n v="1"/>
    <n v="14.571428571428571"/>
    <n v="14.6"/>
    <n v="0"/>
    <n v="2.0857142857142859"/>
    <n v="0.42857142857142855"/>
    <n v="0"/>
    <n v="4"/>
    <n v="0"/>
    <n v="26.716825649263725"/>
    <n v="36.583174350736272"/>
    <n v="1"/>
    <n v="0"/>
    <n v="0"/>
    <n v="0"/>
    <n v="0"/>
    <n v="2.1428571428571428"/>
    <n v="23.30952380952381"/>
    <n v="2.4560922455911491"/>
    <n v="1"/>
    <n v="1.1461763812758696"/>
    <n v="11.913692635445285"/>
    <n v="13.655193112527655"/>
    <n v="0.42857142857142855"/>
    <n v="31.019047619047615"/>
    <n v="0.50544760386341181"/>
    <n v="3.5816617393297174"/>
    <n v="1.8103423439934656"/>
    <n v="2.0465535456521122"/>
    <n v="0.44490294470698094"/>
    <n v="0.46583850931677023"/>
  </r>
  <r>
    <s v="66282-61042"/>
    <x v="2"/>
    <s v="Kendall"/>
    <s v="Kendall Hinton"/>
    <s v="Hinton"/>
    <n v="3.6666666666666599"/>
    <n v="6"/>
    <n v="4600"/>
    <s v="DEN@DAL"/>
    <s v="DEN"/>
    <s v="DAL"/>
    <m/>
    <m/>
    <m/>
    <x v="315"/>
    <s v="Kendall Hinton"/>
    <n v="7.6538461538461542"/>
    <n v="4.6888888888888891"/>
    <n v="11.306818181818182"/>
    <n v="0"/>
    <n v="0"/>
    <n v="0"/>
    <n v="0"/>
    <n v="2.3333333333333335"/>
    <n v="1.8333333333333333"/>
    <n v="17.5"/>
    <n v="9.5"/>
    <n v="0"/>
    <n v="1.5833333333333333"/>
    <n v="0"/>
    <n v="0"/>
    <n v="0"/>
    <n v="0"/>
    <n v="29.854056299344741"/>
    <n v="32.74594370065526"/>
    <n v="1"/>
    <n v="0"/>
    <n v="0"/>
    <n v="0"/>
    <n v="0"/>
    <n v="2.3333333333333335"/>
    <n v="31.547619047619044"/>
    <n v="2.2080735979892716"/>
    <n v="1.8333333333333333"/>
    <n v="1.7349149698487132"/>
    <n v="10.216417822048106"/>
    <n v="17.724616217700447"/>
    <n v="0"/>
    <n v="12.714285714285715"/>
    <n v="0"/>
    <n v="0"/>
    <n v="0"/>
    <n v="2.6891282884367111"/>
    <n v="0.58459310618189375"/>
    <n v="0.50724637681159424"/>
  </r>
  <r>
    <s v="66282-55941"/>
    <x v="0"/>
    <s v="Patrick"/>
    <s v="Patrick Laird"/>
    <s v="Laird"/>
    <n v="1.5"/>
    <n v="1"/>
    <n v="4600"/>
    <s v="HOU@MIA"/>
    <s v="MIA"/>
    <s v="HOU"/>
    <m/>
    <m/>
    <m/>
    <x v="316"/>
    <s v="Patrick Laird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82731"/>
    <x v="2"/>
    <s v="Brandon"/>
    <s v="Brandon Zylstra"/>
    <s v="Zylstra"/>
    <n v="7.96666653951009"/>
    <n v="3"/>
    <n v="4600"/>
    <s v="NE@CAR"/>
    <s v="CAR"/>
    <s v="NE"/>
    <s v="IR"/>
    <s v="Hamstring"/>
    <m/>
    <x v="317"/>
    <s v="Brandon Zylstra"/>
    <n v="5.9135802469135799"/>
    <n v="4"/>
    <n v="9.9791666666666661"/>
    <n v="0"/>
    <n v="0"/>
    <n v="0"/>
    <n v="0"/>
    <n v="0"/>
    <n v="1.3333333333333333"/>
    <n v="23.166666666666668"/>
    <n v="17.399999999999999"/>
    <n v="0"/>
    <n v="2.9"/>
    <n v="0"/>
    <n v="0"/>
    <n v="0"/>
    <n v="0"/>
    <n v="42.879374651732974"/>
    <n v="18.220625348267024"/>
    <n v="0"/>
    <n v="0"/>
    <n v="0"/>
    <n v="0"/>
    <n v="0"/>
    <n v="0"/>
    <n v="45.690476190476197"/>
    <n v="0"/>
    <n v="0"/>
    <n v="0"/>
    <n v="16.514983968545597"/>
    <n v="0"/>
    <n v="0"/>
    <n v="38.333333333333336"/>
    <n v="0"/>
    <n v="0"/>
    <n v="0"/>
    <n v="0"/>
    <n v="0"/>
    <n v="0"/>
  </r>
  <r>
    <s v="66282-39818"/>
    <x v="0"/>
    <s v="Wayne"/>
    <s v="Wayne Gallman Jr."/>
    <s v="Gallman Jr."/>
    <n v="1.09999998410542"/>
    <n v="3"/>
    <n v="4600"/>
    <s v="ATL@NO"/>
    <s v="ATL"/>
    <s v="NO"/>
    <m/>
    <m/>
    <m/>
    <x v="318"/>
    <s v="Wayne Gallman"/>
    <n v="5.895161290322581"/>
    <n v="2.7846153846153845"/>
    <n v="9.6184210526315788"/>
    <n v="0"/>
    <n v="0"/>
    <n v="0"/>
    <n v="0"/>
    <n v="0"/>
    <n v="0"/>
    <n v="0"/>
    <n v="0"/>
    <n v="0"/>
    <n v="0"/>
    <n v="2.6666666666666665"/>
    <n v="0"/>
    <n v="4.0999999999999996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2.6666666666666665"/>
    <n v="25.833333333333332"/>
    <n v="2.7444534385872346"/>
    <n v="2.7607267467340071"/>
    <n v="7.5766860130738953"/>
    <n v="0.75766860130738956"/>
    <n v="0.16471056550160643"/>
    <n v="0"/>
  </r>
  <r>
    <s v="66282-94094"/>
    <x v="3"/>
    <s v="Brevin"/>
    <s v="Brevin Jordan"/>
    <s v="Jordan"/>
    <n v="11.6000003814697"/>
    <n v="1"/>
    <n v="4600"/>
    <s v="HOU@MIA"/>
    <s v="HOU"/>
    <s v="MIA"/>
    <m/>
    <m/>
    <m/>
    <x v="319"/>
    <s v="Brevin Jordan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56248"/>
    <x v="2"/>
    <s v="Noah"/>
    <s v="Noah Brown"/>
    <s v="Brown"/>
    <n v="3.3499999046325599"/>
    <n v="4"/>
    <n v="4600"/>
    <s v="DEN@DAL"/>
    <s v="DAL"/>
    <s v="DEN"/>
    <m/>
    <m/>
    <m/>
    <x v="320"/>
    <s v="Noah Brown"/>
    <n v="4.6380952380952385"/>
    <n v="3.6326530612244898"/>
    <n v="8.8545454545454554"/>
    <n v="0"/>
    <n v="0"/>
    <n v="0"/>
    <n v="0"/>
    <n v="1.4"/>
    <n v="1.2"/>
    <n v="18.399999999999999"/>
    <n v="15.3"/>
    <n v="0"/>
    <n v="3.06"/>
    <n v="0"/>
    <n v="0"/>
    <n v="0"/>
    <n v="0"/>
    <n v="40.215481891649205"/>
    <n v="26.284518108350792"/>
    <n v="1"/>
    <n v="0"/>
    <n v="0"/>
    <n v="0"/>
    <n v="0"/>
    <n v="1.4"/>
    <n v="28.733333333333334"/>
    <n v="1.9594550341638823"/>
    <n v="1.2"/>
    <n v="1.6795328864261849"/>
    <n v="12.885234735168499"/>
    <n v="21.641175487036488"/>
    <n v="0"/>
    <n v="32"/>
    <n v="0"/>
    <n v="0"/>
    <n v="0"/>
    <n v="2.7641175487036489"/>
    <n v="0.600895119283402"/>
    <n v="0.30434782608695654"/>
  </r>
  <r>
    <s v="66282-63479"/>
    <x v="0"/>
    <s v="John"/>
    <s v="John Kelly"/>
    <s v="Kelly"/>
    <n v="1.29999995231628"/>
    <n v="1"/>
    <n v="4600"/>
    <s v="CLE@CIN"/>
    <s v="CLE"/>
    <s v="CIN"/>
    <m/>
    <m/>
    <m/>
    <x v="321"/>
    <s v="John Kelly"/>
    <n v="5.884615384615385"/>
    <n v="3.7029702970297032"/>
    <n v="8.5794392523364493"/>
    <n v="0"/>
    <n v="0"/>
    <n v="0"/>
    <n v="0"/>
    <n v="0"/>
    <n v="0"/>
    <n v="0"/>
    <n v="0"/>
    <n v="0"/>
    <n v="0"/>
    <n v="2"/>
    <n v="0"/>
    <n v="6.5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2"/>
    <n v="31.019047619047615"/>
    <n v="2.358755484695922"/>
    <n v="5.8202003264107907"/>
    <n v="13.728429441950448"/>
    <n v="1.3728429441950447"/>
    <n v="0.29844411830327061"/>
    <n v="0"/>
  </r>
  <r>
    <s v="66282-54280"/>
    <x v="2"/>
    <s v="Duke"/>
    <s v="Duke Williams"/>
    <s v="Williams"/>
    <m/>
    <m/>
    <n v="4500"/>
    <s v="BUF@JAC"/>
    <s v="BUF"/>
    <s v="JAC"/>
    <s v="Q"/>
    <s v="Hamstring"/>
    <m/>
    <x v="322"/>
    <s v="Duke Williams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41997"/>
    <x v="2"/>
    <s v="River"/>
    <s v="River Cracraft"/>
    <s v="Cracraft"/>
    <n v="1.41999998092651"/>
    <n v="5"/>
    <n v="4500"/>
    <s v="ARI@SF"/>
    <s v="SF"/>
    <s v="ARI"/>
    <m/>
    <m/>
    <m/>
    <x v="323"/>
    <s v="River Cracraft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69655"/>
    <x v="2"/>
    <s v="Stephen"/>
    <s v="Stephen Sullivan"/>
    <s v="Sullivan"/>
    <n v="0"/>
    <n v="1"/>
    <n v="4500"/>
    <s v="NE@CAR"/>
    <s v="CAR"/>
    <s v="NE"/>
    <m/>
    <m/>
    <m/>
    <x v="324"/>
    <s v="Stephen Sullivan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27671"/>
    <x v="2"/>
    <s v="Jake"/>
    <s v="Jake Kumerow"/>
    <s v="Kumerow"/>
    <n v="0"/>
    <n v="2"/>
    <n v="4500"/>
    <s v="BUF@JAC"/>
    <s v="BUF"/>
    <s v="JAC"/>
    <m/>
    <m/>
    <m/>
    <x v="325"/>
    <s v="Jake Kumerow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70680"/>
    <x v="2"/>
    <s v="Jalen"/>
    <s v="Jalen Camp"/>
    <s v="Camp"/>
    <m/>
    <m/>
    <n v="4500"/>
    <s v="HOU@MIA"/>
    <s v="HOU"/>
    <s v="MIA"/>
    <m/>
    <m/>
    <m/>
    <x v="326"/>
    <s v="Jalen Camp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154661"/>
    <x v="2"/>
    <s v="Michael"/>
    <s v="Michael Bandy"/>
    <s v="Bandy"/>
    <m/>
    <m/>
    <n v="4500"/>
    <s v="LAC@PHI"/>
    <s v="LAC"/>
    <s v="PHI"/>
    <m/>
    <m/>
    <m/>
    <x v="327"/>
    <s v="Michael Bandy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42046"/>
    <x v="3"/>
    <s v="Durham"/>
    <s v="Durham Smythe"/>
    <s v="Smythe"/>
    <n v="3.31666660308837"/>
    <n v="6"/>
    <n v="4500"/>
    <s v="HOU@MIA"/>
    <s v="MIA"/>
    <s v="HOU"/>
    <m/>
    <m/>
    <m/>
    <x v="328"/>
    <s v="Durham Smythe"/>
    <n v="7.6226415094339623"/>
    <n v="4.2048192771084336"/>
    <n v="11.542857142857143"/>
    <n v="0"/>
    <n v="0"/>
    <n v="0"/>
    <n v="0"/>
    <n v="2.5714285714285716"/>
    <n v="1.8571428571428572"/>
    <n v="19.142857142857142"/>
    <n v="10.3"/>
    <n v="9"/>
    <n v="1.4714285714285715"/>
    <n v="0"/>
    <n v="0"/>
    <n v="0"/>
    <n v="0"/>
    <n v="40.244550246190627"/>
    <n v="21.855449753809374"/>
    <n v="1"/>
    <n v="0"/>
    <n v="0"/>
    <n v="0"/>
    <n v="0"/>
    <n v="2.5714285714285716"/>
    <n v="27.457142857142856"/>
    <n v="3.7690005433477181"/>
    <n v="1.8571428571428572"/>
    <n v="2.7220559479733519"/>
    <n v="11.307983798745244"/>
    <n v="30.78096455896079"/>
    <n v="0"/>
    <n v="17.464285714285712"/>
    <n v="0"/>
    <n v="0"/>
    <n v="0"/>
    <n v="4.0066678844675074"/>
    <n v="0.89037064099277941"/>
    <n v="0.57142857142857151"/>
  </r>
  <r>
    <s v="66282-63550"/>
    <x v="2"/>
    <s v="Isaiah"/>
    <s v="Isaiah Zuber"/>
    <s v="Zuber"/>
    <n v="1.5"/>
    <n v="4"/>
    <n v="4500"/>
    <s v="ARI@SF"/>
    <s v="SF"/>
    <s v="ARI"/>
    <m/>
    <m/>
    <m/>
    <x v="329"/>
    <s v="Isaiah Zuber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86078"/>
    <x v="2"/>
    <s v="Trevon"/>
    <s v="Trevon Grimes"/>
    <s v="Grimes"/>
    <m/>
    <m/>
    <n v="4500"/>
    <s v="LAC@PHI"/>
    <s v="PHI"/>
    <s v="LAC"/>
    <s v="Q"/>
    <s v="Undisclosed"/>
    <m/>
    <x v="330"/>
    <s v="Trevon Grimes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89157"/>
    <x v="0"/>
    <s v="Caleb"/>
    <s v="Caleb Huntley"/>
    <s v="Huntley"/>
    <m/>
    <m/>
    <n v="4500"/>
    <s v="ATL@NO"/>
    <s v="ATL"/>
    <s v="NO"/>
    <s v="O"/>
    <s v="Undisclosed"/>
    <m/>
    <x v="331"/>
    <s v="Caleb Huntley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0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44103"/>
    <x v="0"/>
    <s v="Elijah"/>
    <s v="Elijah McGuire"/>
    <s v="McGuire"/>
    <n v="0"/>
    <n v="1"/>
    <n v="4500"/>
    <s v="GB@KC"/>
    <s v="KC"/>
    <s v="GB"/>
    <m/>
    <m/>
    <m/>
    <x v="332"/>
    <s v="Elijah McGuire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28744"/>
    <x v="0"/>
    <s v="Raheem"/>
    <s v="Raheem Mostert"/>
    <s v="Mostert"/>
    <n v="2"/>
    <n v="1"/>
    <n v="4500"/>
    <s v="ARI@SF"/>
    <s v="SF"/>
    <s v="ARI"/>
    <s v="IR"/>
    <s v="Knee - meniscus"/>
    <m/>
    <x v="333"/>
    <s v="Raheem Mostert"/>
    <n v="5.9411764705882355"/>
    <n v="5.4102564102564106"/>
    <n v="9.1818181818181817"/>
    <n v="0"/>
    <n v="0"/>
    <n v="0"/>
    <n v="0"/>
    <n v="0"/>
    <n v="0"/>
    <n v="0"/>
    <n v="0"/>
    <n v="0"/>
    <n v="0"/>
    <n v="2"/>
    <n v="42.5625"/>
    <n v="10"/>
    <n v="0"/>
    <n v="33.198546563443358"/>
    <n v="30.201453436556637"/>
    <n v="0"/>
    <n v="0"/>
    <n v="0"/>
    <n v="0"/>
    <n v="0"/>
    <n v="0"/>
    <n v="34.266666666666673"/>
    <n v="0"/>
    <n v="0"/>
    <n v="0"/>
    <n v="0"/>
    <n v="0"/>
    <n v="0"/>
    <n v="23.6"/>
    <n v="0"/>
    <n v="13.082543762315851"/>
    <n v="0"/>
    <n v="0"/>
    <n v="0"/>
    <n v="0"/>
  </r>
  <r>
    <s v="66282-72780"/>
    <x v="0"/>
    <s v="Josh"/>
    <s v="Josh Hokit"/>
    <s v="Hokit"/>
    <n v="0"/>
    <n v="1"/>
    <n v="4500"/>
    <s v="ARI@SF"/>
    <s v="SF"/>
    <s v="ARI"/>
    <m/>
    <m/>
    <m/>
    <x v="334"/>
    <s v="Josh Hokit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68686"/>
    <x v="2"/>
    <s v="C.J."/>
    <s v="C.J. Saunders"/>
    <s v="Saunders"/>
    <m/>
    <m/>
    <n v="4500"/>
    <s v="NE@CAR"/>
    <s v="CAR"/>
    <s v="NE"/>
    <m/>
    <m/>
    <m/>
    <x v="335"/>
    <s v="C.J. Saunders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91214"/>
    <x v="2"/>
    <s v="Stephen"/>
    <s v="Stephen Guidry"/>
    <s v="Guidry"/>
    <n v="0"/>
    <n v="1"/>
    <n v="4500"/>
    <s v="DEN@DAL"/>
    <s v="DAL"/>
    <s v="DEN"/>
    <m/>
    <m/>
    <m/>
    <x v="336"/>
    <s v="Stephen Guidry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41042"/>
    <x v="2"/>
    <s v="Marcell"/>
    <s v="Marcell Ateman"/>
    <s v="Ateman"/>
    <m/>
    <m/>
    <n v="4500"/>
    <s v="LV@NYG"/>
    <s v="LV"/>
    <s v="NYG"/>
    <m/>
    <m/>
    <m/>
    <x v="337"/>
    <s v="Marcell Ateman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87122"/>
    <x v="2"/>
    <s v="Lynn"/>
    <s v="Lynn Bowden Jr."/>
    <s v="Bowden Jr."/>
    <n v="3.9580001831054599"/>
    <n v="10"/>
    <n v="4500"/>
    <s v="HOU@MIA"/>
    <s v="MIA"/>
    <s v="HOU"/>
    <s v="IR"/>
    <s v="Hamstring"/>
    <m/>
    <x v="338"/>
    <s v="Lynn Bowden Jr.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0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68694"/>
    <x v="0"/>
    <s v="Antonio"/>
    <s v="Antonio Williams"/>
    <s v="Williams"/>
    <n v="20.799999237060501"/>
    <n v="1"/>
    <n v="4500"/>
    <s v="BUF@JAC"/>
    <s v="BUF"/>
    <s v="JAC"/>
    <s v="Q"/>
    <s v="Neck"/>
    <m/>
    <x v="339"/>
    <s v="Antonio Williams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63576"/>
    <x v="2"/>
    <s v="Kirk"/>
    <s v="Kirk Merritt"/>
    <s v="Merritt"/>
    <n v="0"/>
    <n v="1"/>
    <n v="4500"/>
    <s v="HOU@MIA"/>
    <s v="MIA"/>
    <s v="HOU"/>
    <m/>
    <m/>
    <m/>
    <x v="340"/>
    <s v="Kirk Merritt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91225"/>
    <x v="0"/>
    <s v="Kylin"/>
    <s v="Kylin Hill"/>
    <s v="Hill"/>
    <n v="0.42500001192092801"/>
    <n v="8"/>
    <n v="4500"/>
    <s v="GB@KC"/>
    <s v="GB"/>
    <s v="KC"/>
    <s v="IR"/>
    <s v="Knee - acl"/>
    <m/>
    <x v="341"/>
    <s v="Kylin Hill"/>
    <n v="8.7934782608695645"/>
    <n v="5.404494382022472"/>
    <n v="12.446153846153846"/>
    <n v="0"/>
    <n v="0"/>
    <n v="0"/>
    <n v="0"/>
    <n v="0"/>
    <n v="0.125"/>
    <n v="0.625"/>
    <n v="5"/>
    <n v="0"/>
    <n v="0.625"/>
    <n v="1.25"/>
    <n v="0"/>
    <n v="2.4"/>
    <n v="0"/>
    <e v="#N/A"/>
    <e v="#N/A"/>
    <n v="0"/>
    <n v="0"/>
    <n v="0"/>
    <n v="0"/>
    <n v="0"/>
    <n v="0"/>
    <n v="30.583333333333336"/>
    <e v="#N/A"/>
    <n v="0"/>
    <n v="0"/>
    <n v="5.9188836293796818"/>
    <n v="0"/>
    <n v="0"/>
    <n v="14.916666666666666"/>
    <n v="0"/>
    <n v="3.1364665437429009"/>
    <n v="0"/>
    <n v="0"/>
    <n v="0"/>
    <n v="0"/>
  </r>
  <r>
    <s v="66282-70749"/>
    <x v="2"/>
    <s v="Ryan"/>
    <s v="Ryan Becker"/>
    <s v="Becker"/>
    <n v="0"/>
    <n v="2"/>
    <n v="4500"/>
    <s v="ATL@NO"/>
    <s v="ATL"/>
    <s v="NO"/>
    <s v="IR"/>
    <s v="Undisclosed"/>
    <m/>
    <x v="342"/>
    <s v="Ryan Becker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0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86113"/>
    <x v="2"/>
    <s v="Ihmir"/>
    <s v="Ihmir Smith-Marsette"/>
    <s v="Smith-Marsette"/>
    <n v="0.27500000596046398"/>
    <n v="4"/>
    <n v="4500"/>
    <s v="MIN@BAL"/>
    <s v="MIN"/>
    <s v="BAL"/>
    <m/>
    <m/>
    <m/>
    <x v="343"/>
    <s v="Ihmir Smith-Marsette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79972"/>
    <x v="2"/>
    <s v="Chad"/>
    <s v="Chad Williams"/>
    <s v="Williams"/>
    <m/>
    <m/>
    <n v="4500"/>
    <s v="GB@KC"/>
    <s v="KC"/>
    <s v="GB"/>
    <s v="Q"/>
    <s v="Undisclosed"/>
    <m/>
    <x v="344"/>
    <s v="Chad Williams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86125"/>
    <x v="2"/>
    <s v="Brandon"/>
    <s v="Brandon Smith"/>
    <s v="Smith"/>
    <m/>
    <m/>
    <n v="4500"/>
    <s v="DEN@DAL"/>
    <s v="DAL"/>
    <s v="DEN"/>
    <m/>
    <m/>
    <m/>
    <x v="345"/>
    <s v="Brandon Smith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79987"/>
    <x v="2"/>
    <s v="David"/>
    <s v="David Moore"/>
    <s v="Moore"/>
    <n v="0"/>
    <n v="1"/>
    <n v="4500"/>
    <s v="DEN@DAL"/>
    <s v="DEN"/>
    <s v="DAL"/>
    <m/>
    <m/>
    <m/>
    <x v="346"/>
    <s v="David Moore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61555"/>
    <x v="2"/>
    <s v="David"/>
    <s v="David Sills"/>
    <s v="Sills"/>
    <n v="0"/>
    <n v="1"/>
    <n v="4500"/>
    <s v="LV@NYG"/>
    <s v="NYG"/>
    <s v="LV"/>
    <m/>
    <m/>
    <m/>
    <x v="347"/>
    <s v="David Sills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64627"/>
    <x v="2"/>
    <s v="Scotty"/>
    <s v="Scotty Washington"/>
    <s v="Washington"/>
    <n v="0"/>
    <n v="1"/>
    <n v="4500"/>
    <s v="CLE@CIN"/>
    <s v="CIN"/>
    <s v="CLE"/>
    <m/>
    <m/>
    <m/>
    <x v="348"/>
    <s v="Scotty Washington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30837"/>
    <x v="2"/>
    <s v="Jordan"/>
    <s v="Jordan Matthews"/>
    <s v="Matthews"/>
    <m/>
    <m/>
    <n v="4500"/>
    <s v="ARI@SF"/>
    <s v="SF"/>
    <s v="ARI"/>
    <m/>
    <m/>
    <m/>
    <x v="349"/>
    <s v="Jordan Matthews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64634"/>
    <x v="2"/>
    <s v="Alex"/>
    <s v="Alex Bachman"/>
    <s v="Bachman"/>
    <n v="0"/>
    <n v="1"/>
    <n v="4500"/>
    <s v="LV@NYG"/>
    <s v="NYG"/>
    <s v="LV"/>
    <m/>
    <m/>
    <m/>
    <x v="350"/>
    <s v="Alex Bachman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42107"/>
    <x v="2"/>
    <s v="Robert"/>
    <s v="Robert Foster"/>
    <s v="Foster"/>
    <n v="1.56666660308837"/>
    <n v="3"/>
    <n v="4500"/>
    <s v="DEN@DAL"/>
    <s v="DAL"/>
    <s v="DEN"/>
    <m/>
    <m/>
    <m/>
    <x v="351"/>
    <s v="Robert Foster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88186"/>
    <x v="2"/>
    <s v="JoJo"/>
    <s v="JoJo Ward"/>
    <s v="Ward"/>
    <n v="0"/>
    <n v="2"/>
    <n v="4500"/>
    <s v="CLE@CIN"/>
    <s v="CLE"/>
    <s v="CIN"/>
    <m/>
    <m/>
    <m/>
    <x v="352"/>
    <s v="JoJo Ward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104577"/>
    <x v="2"/>
    <s v="Gunner"/>
    <s v="Gunner Olszewski"/>
    <s v="Olszewski"/>
    <n v="0.38571429252624501"/>
    <n v="7"/>
    <n v="4500"/>
    <s v="NE@CAR"/>
    <s v="NE"/>
    <s v="CAR"/>
    <m/>
    <m/>
    <m/>
    <x v="353"/>
    <s v="Gunner Olszewski"/>
    <n v="5.0344827586206895"/>
    <n v="2.6470588235294117"/>
    <n v="8.76"/>
    <n v="0"/>
    <n v="0"/>
    <n v="0"/>
    <n v="0"/>
    <n v="0.14285714285714285"/>
    <n v="0.14285714285714285"/>
    <n v="3.1428571428571428"/>
    <n v="22"/>
    <n v="0"/>
    <n v="3.1428571428571428"/>
    <n v="0"/>
    <n v="0"/>
    <n v="0"/>
    <n v="0"/>
    <n v="27.892429902449898"/>
    <n v="33.907570097550099"/>
    <n v="1"/>
    <n v="0"/>
    <n v="0"/>
    <n v="0"/>
    <n v="0"/>
    <n v="0.14285714285714285"/>
    <n v="35.154761904761905"/>
    <n v="0.11334546523176389"/>
    <n v="0.14285714285714285"/>
    <n v="0.11334546523176389"/>
    <n v="18.329955858717778"/>
    <n v="2.0776173744840629"/>
    <n v="0"/>
    <n v="29.773809523809522"/>
    <n v="0"/>
    <n v="0"/>
    <n v="0"/>
    <n v="0.27919030887697771"/>
    <n v="6.2042290861550602E-2"/>
    <n v="3.1746031746031744E-2"/>
  </r>
  <r>
    <s v="66282-71821"/>
    <x v="2"/>
    <s v="Joe"/>
    <s v="Joe Reed"/>
    <s v="Reed"/>
    <n v="0.98888884650336295"/>
    <n v="9"/>
    <n v="4500"/>
    <s v="LAC@PHI"/>
    <s v="LAC"/>
    <s v="PHI"/>
    <s v="O"/>
    <s v="Undisclosed"/>
    <m/>
    <x v="354"/>
    <s v="Joe Reed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0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83091"/>
    <x v="0"/>
    <s v="Trenton"/>
    <s v="Trenton Cannon"/>
    <s v="Cannon"/>
    <n v="-0.26666667064030902"/>
    <n v="6"/>
    <n v="4500"/>
    <s v="ARI@SF"/>
    <s v="SF"/>
    <s v="ARI"/>
    <m/>
    <m/>
    <m/>
    <x v="355"/>
    <s v="Trenton Cannon"/>
    <n v="5.9411764705882355"/>
    <n v="5.4102564102564106"/>
    <n v="9.1818181818181817"/>
    <n v="0"/>
    <n v="0"/>
    <n v="0"/>
    <n v="0"/>
    <n v="0"/>
    <n v="0"/>
    <n v="0"/>
    <n v="0"/>
    <n v="0"/>
    <n v="0"/>
    <n v="0.5"/>
    <n v="3.6785714285714288"/>
    <n v="1.3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.5"/>
    <n v="23.6"/>
    <n v="0.63986130162196264"/>
    <n v="1.700730689101061"/>
    <n v="1.0882317524366223"/>
    <n v="0.10882317524366222"/>
    <n v="2.4182927831924939E-2"/>
    <n v="0"/>
  </r>
  <r>
    <s v="66282-88213"/>
    <x v="0"/>
    <s v="Brenden"/>
    <s v="Brenden Knox"/>
    <s v="Knox"/>
    <m/>
    <m/>
    <n v="4500"/>
    <s v="DEN@DAL"/>
    <s v="DAL"/>
    <s v="DEN"/>
    <m/>
    <m/>
    <m/>
    <x v="356"/>
    <s v="Brenden Knox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63646"/>
    <x v="2"/>
    <s v="Lawrence"/>
    <s v="Lawrence Cager"/>
    <s v="Cager"/>
    <n v="1.5"/>
    <n v="3"/>
    <n v="4500"/>
    <s v="CLE@CIN"/>
    <s v="CLE"/>
    <s v="CIN"/>
    <m/>
    <m/>
    <m/>
    <x v="357"/>
    <s v="Lawrence Cager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25760"/>
    <x v="2"/>
    <s v="Allen"/>
    <s v="Allen Hurns"/>
    <s v="Hurns"/>
    <n v="0"/>
    <n v="1"/>
    <n v="4500"/>
    <s v="HOU@MIA"/>
    <s v="MIA"/>
    <s v="HOU"/>
    <s v="IR"/>
    <s v="Wrist"/>
    <m/>
    <x v="358"/>
    <s v="Allen Hurns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0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61610"/>
    <x v="0"/>
    <s v="Jacques"/>
    <s v="Jacques Patrick"/>
    <s v="Patrick"/>
    <n v="1.20000004768371"/>
    <n v="1"/>
    <n v="4500"/>
    <s v="ARI@SF"/>
    <s v="SF"/>
    <s v="ARI"/>
    <m/>
    <m/>
    <m/>
    <x v="359"/>
    <s v="Jacques Patrick"/>
    <n v="5.9411764705882355"/>
    <n v="5.4102564102564106"/>
    <n v="9.1818181818181817"/>
    <n v="0"/>
    <n v="0"/>
    <n v="0"/>
    <n v="0"/>
    <n v="0"/>
    <n v="0"/>
    <n v="0"/>
    <n v="0"/>
    <n v="0"/>
    <n v="0"/>
    <n v="1"/>
    <n v="0"/>
    <n v="6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1"/>
    <n v="23.6"/>
    <n v="1.2797226032439253"/>
    <n v="7.8495262573895106"/>
    <n v="10.04521617633805"/>
    <n v="1.004521617633805"/>
    <n v="0.22322702614084555"/>
    <n v="0"/>
  </r>
  <r>
    <s v="66282-52397"/>
    <x v="0"/>
    <s v="Devante"/>
    <s v="Devante Downs"/>
    <s v="Downs"/>
    <n v="0"/>
    <n v="1"/>
    <n v="4500"/>
    <s v="LV@NYG"/>
    <s v="NYG"/>
    <s v="LV"/>
    <m/>
    <m/>
    <m/>
    <x v="360"/>
    <s v="Devante Downs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86192"/>
    <x v="2"/>
    <s v="KJ"/>
    <s v="KJ Hamler"/>
    <s v="Hamler"/>
    <n v="3.2999998728434199"/>
    <n v="3"/>
    <n v="4500"/>
    <s v="DEN@DAL"/>
    <s v="DEN"/>
    <s v="DAL"/>
    <s v="IR"/>
    <s v="Knee - acl"/>
    <m/>
    <x v="361"/>
    <s v="KJ Hamler"/>
    <n v="7.6538461538461542"/>
    <n v="4.6888888888888891"/>
    <n v="11.306818181818182"/>
    <n v="0"/>
    <n v="0"/>
    <n v="0"/>
    <n v="0"/>
    <n v="0"/>
    <n v="1.6666666666666667"/>
    <n v="24.666666666666668"/>
    <n v="14.8"/>
    <n v="22"/>
    <n v="4.9333333333333336"/>
    <n v="0"/>
    <n v="0"/>
    <n v="0"/>
    <n v="0"/>
    <n v="29.854056299344741"/>
    <n v="32.74594370065526"/>
    <n v="0"/>
    <n v="0"/>
    <n v="0"/>
    <n v="0"/>
    <n v="0"/>
    <n v="0"/>
    <n v="31.547619047619044"/>
    <n v="0"/>
    <n v="0"/>
    <n v="0"/>
    <n v="15.916103554348631"/>
    <n v="0"/>
    <n v="0"/>
    <n v="12.714285714285715"/>
    <n v="0"/>
    <n v="0"/>
    <n v="0"/>
    <n v="0"/>
    <n v="0"/>
    <n v="0"/>
  </r>
  <r>
    <s v="66282-52405"/>
    <x v="2"/>
    <s v="Jalen"/>
    <s v="Jalen Hurd"/>
    <s v="Hurd"/>
    <n v="0"/>
    <n v="1"/>
    <n v="4500"/>
    <s v="ARI@SF"/>
    <s v="SF"/>
    <s v="ARI"/>
    <s v="IR"/>
    <s v="Knee"/>
    <m/>
    <x v="362"/>
    <s v="Jalen Hurd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0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52409"/>
    <x v="0"/>
    <s v="Jakob"/>
    <s v="Jakob Johnson"/>
    <s v="Johnson"/>
    <n v="2.45000004768371"/>
    <n v="2"/>
    <n v="4500"/>
    <s v="NE@CAR"/>
    <s v="NE"/>
    <s v="CAR"/>
    <m/>
    <m/>
    <m/>
    <x v="363"/>
    <s v="Jakob Johnson"/>
    <n v="5.0344827586206895"/>
    <n v="2.6470588235294117"/>
    <n v="8.76"/>
    <n v="0"/>
    <n v="0"/>
    <n v="0"/>
    <n v="0"/>
    <n v="0.2857142857142857"/>
    <n v="0.2857142857142857"/>
    <n v="4.5714285714285712"/>
    <n v="16"/>
    <n v="0"/>
    <n v="2.2857142857142856"/>
    <n v="0"/>
    <n v="0"/>
    <n v="0"/>
    <n v="0"/>
    <n v="27.892429902449898"/>
    <n v="33.907570097550099"/>
    <n v="1"/>
    <n v="0"/>
    <n v="0"/>
    <n v="0"/>
    <n v="0"/>
    <n v="0.2857142857142857"/>
    <n v="35.154761904761905"/>
    <n v="0.22669093046352778"/>
    <n v="0.2857142857142857"/>
    <n v="0.22669093046352778"/>
    <n v="13.330876988158382"/>
    <n v="3.0219889083404543"/>
    <n v="0"/>
    <n v="29.773809523809522"/>
    <n v="0"/>
    <n v="0"/>
    <n v="0"/>
    <n v="0.44505603369118829"/>
    <n v="9.8901340820264069E-2"/>
    <n v="6.3492063492063489E-2"/>
  </r>
  <r>
    <s v="66282-52410"/>
    <x v="2"/>
    <s v="Josh"/>
    <s v="Josh Malone"/>
    <s v="Malone"/>
    <n v="1.20000004768371"/>
    <n v="4"/>
    <n v="4500"/>
    <s v="DEN@DAL"/>
    <s v="DEN"/>
    <s v="DAL"/>
    <m/>
    <m/>
    <m/>
    <x v="364"/>
    <s v="Josh Malone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61631"/>
    <x v="2"/>
    <s v="Olabisi"/>
    <s v="Olabisi Johnson"/>
    <s v="Johnson"/>
    <n v="3.4874999523162802"/>
    <n v="8"/>
    <n v="4500"/>
    <s v="MIN@BAL"/>
    <s v="MIN"/>
    <s v="BAL"/>
    <s v="IR"/>
    <s v="Knee - acl"/>
    <m/>
    <x v="365"/>
    <s v="Olabisi Johnson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0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41155"/>
    <x v="2"/>
    <s v="Taquan"/>
    <s v="Taquan Mizzell"/>
    <s v="Mizzell"/>
    <m/>
    <m/>
    <n v="4500"/>
    <s v="LV@NYG"/>
    <s v="NYG"/>
    <s v="LV"/>
    <s v="Q"/>
    <s v="Undisclosed"/>
    <m/>
    <x v="366"/>
    <s v="Taquan Mizzell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83138"/>
    <x v="3"/>
    <s v="Ross"/>
    <s v="Ross Dwelley"/>
    <s v="Dwelley"/>
    <n v="4.3666667938232404"/>
    <n v="3"/>
    <n v="4500"/>
    <s v="ARI@SF"/>
    <s v="SF"/>
    <s v="ARI"/>
    <m/>
    <m/>
    <m/>
    <x v="367"/>
    <s v="Ross Dwelley"/>
    <n v="5.9411764705882355"/>
    <n v="5.4102564102564106"/>
    <n v="9.1818181818181817"/>
    <n v="0"/>
    <n v="0"/>
    <n v="0"/>
    <n v="0"/>
    <n v="0.83333333333333337"/>
    <n v="0.66666666666666663"/>
    <n v="8.5"/>
    <n v="12.8"/>
    <n v="0"/>
    <n v="2.1333333333333333"/>
    <n v="0"/>
    <n v="0"/>
    <n v="0"/>
    <n v="0"/>
    <n v="33.198546563443358"/>
    <n v="30.201453436556637"/>
    <n v="1"/>
    <n v="0"/>
    <n v="0"/>
    <n v="0"/>
    <n v="0"/>
    <n v="0.83333333333333337"/>
    <n v="34.266666666666673"/>
    <n v="0.80735764988918657"/>
    <n v="0.66666666666666663"/>
    <n v="0.64588611991134925"/>
    <n v="11.178236411822306"/>
    <n v="7.2198677434836727"/>
    <n v="0"/>
    <n v="23.6"/>
    <n v="0"/>
    <n v="0"/>
    <n v="0"/>
    <n v="1.0553201076817005"/>
    <n v="0.23451557948482232"/>
    <n v="0.1851851851851852"/>
  </r>
  <r>
    <s v="66282-70859"/>
    <x v="3"/>
    <s v="Albert"/>
    <s v="Albert Okwuegbunam"/>
    <s v="Okwuegbunam"/>
    <n v="3.8200000762939399"/>
    <n v="5"/>
    <n v="4500"/>
    <s v="DEN@DAL"/>
    <s v="DEN"/>
    <s v="DAL"/>
    <s v="Q"/>
    <s v="Knee"/>
    <m/>
    <x v="368"/>
    <s v="Albert Okwuegbunam"/>
    <n v="7.6538461538461542"/>
    <n v="4.6888888888888891"/>
    <n v="11.306818181818182"/>
    <n v="0"/>
    <n v="0"/>
    <n v="0"/>
    <n v="0"/>
    <n v="2.5"/>
    <n v="2.25"/>
    <n v="14.25"/>
    <n v="6.3"/>
    <n v="16.5"/>
    <n v="1.575"/>
    <n v="0"/>
    <n v="0"/>
    <n v="0"/>
    <n v="0"/>
    <n v="29.854056299344741"/>
    <n v="32.74594370065526"/>
    <n v="1"/>
    <n v="0"/>
    <n v="0"/>
    <n v="0"/>
    <n v="0"/>
    <n v="2.5"/>
    <n v="31.547619047619044"/>
    <n v="2.3657931407027912"/>
    <n v="2.25"/>
    <n v="2.1292138266325122"/>
    <n v="6.7750981346213761"/>
    <n v="14.425632625027976"/>
    <n v="0"/>
    <n v="12.714285714285715"/>
    <n v="0"/>
    <n v="0"/>
    <n v="0"/>
    <n v="2.5675632625027975"/>
    <n v="0.57056961388951055"/>
    <n v="0.55555555555555558"/>
  </r>
  <r>
    <s v="66282-64718"/>
    <x v="2"/>
    <s v="Kai"/>
    <s v="Kai Locksley"/>
    <s v="Locksley"/>
    <m/>
    <m/>
    <n v="4500"/>
    <s v="HOU@MIA"/>
    <s v="MIA"/>
    <s v="HOU"/>
    <m/>
    <m/>
    <m/>
    <x v="369"/>
    <s v="Kai Locksley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40148"/>
    <x v="2"/>
    <s v="Ishmael"/>
    <s v="Ishmael Hyman"/>
    <s v="Hyman"/>
    <n v="0"/>
    <n v="2"/>
    <n v="4500"/>
    <s v="NE@CAR"/>
    <s v="CAR"/>
    <s v="NE"/>
    <m/>
    <m/>
    <m/>
    <x v="370"/>
    <s v="Ishmael Hyman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70868"/>
    <x v="0"/>
    <s v="Damarea"/>
    <s v="Damarea Crockett"/>
    <s v="Crockett"/>
    <n v="0.69999998807907104"/>
    <n v="1"/>
    <n v="4500"/>
    <s v="DEN@DAL"/>
    <s v="DEN"/>
    <s v="DAL"/>
    <m/>
    <m/>
    <m/>
    <x v="371"/>
    <s v="Damarea Crockett"/>
    <n v="7.6538461538461542"/>
    <n v="4.6888888888888891"/>
    <n v="11.306818181818182"/>
    <n v="0"/>
    <n v="0"/>
    <n v="0"/>
    <n v="0"/>
    <n v="0"/>
    <n v="0"/>
    <n v="0"/>
    <n v="0"/>
    <n v="0"/>
    <n v="0"/>
    <n v="0.42857142857142855"/>
    <n v="0"/>
    <n v="2.2999999999999998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.42857142857142855"/>
    <n v="12.714285714285715"/>
    <n v="1.1037958550782669"/>
    <n v="2.6077870566216261"/>
    <n v="2.8784645440257046"/>
    <n v="0.28784645440257045"/>
    <n v="6.3965878756126762E-2"/>
    <n v="0"/>
  </r>
  <r>
    <s v="66282-130275"/>
    <x v="2"/>
    <s v="Kristian"/>
    <s v="Kristian Wilkerson"/>
    <s v="Wilkerson"/>
    <n v="0"/>
    <n v="1"/>
    <n v="4500"/>
    <s v="NE@CAR"/>
    <s v="NE"/>
    <s v="CAR"/>
    <m/>
    <m/>
    <m/>
    <x v="372"/>
    <s v="Kristian Wilkerson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63717"/>
    <x v="0"/>
    <s v="Alec"/>
    <s v="Alec Ingold"/>
    <s v="Ingold"/>
    <n v="2.8600000381469699"/>
    <n v="5"/>
    <n v="4500"/>
    <s v="LV@NYG"/>
    <s v="LV"/>
    <s v="NYG"/>
    <m/>
    <m/>
    <m/>
    <x v="373"/>
    <s v="Alec Ingold"/>
    <n v="6.7966101694915251"/>
    <n v="4.5857142857142854"/>
    <n v="9.0112359550561791"/>
    <n v="0"/>
    <n v="0"/>
    <n v="0"/>
    <n v="0"/>
    <n v="1.1428571428571428"/>
    <n v="0.8571428571428571"/>
    <n v="7.4285714285714288"/>
    <n v="8.6999999999999993"/>
    <n v="16"/>
    <n v="1.2428571428571427"/>
    <n v="0.2857142857142857"/>
    <n v="0"/>
    <n v="0.5"/>
    <n v="0"/>
    <e v="#N/A"/>
    <e v="#N/A"/>
    <n v="1"/>
    <n v="0"/>
    <n v="0"/>
    <n v="0"/>
    <n v="0"/>
    <n v="1.1428571428571428"/>
    <n v="39.700000000000003"/>
    <e v="#N/A"/>
    <n v="0.8571428571428571"/>
    <n v="0"/>
    <n v="7.4565553570539187"/>
    <n v="0"/>
    <n v="0.2857142857142857"/>
    <n v="38.571428571428569"/>
    <n v="0"/>
    <n v="0.55443590169408308"/>
    <n v="0"/>
    <n v="0.42857142857142855"/>
    <n v="9.5238095238095233E-2"/>
    <n v="0.25396825396825395"/>
  </r>
  <r>
    <s v="66282-69860"/>
    <x v="0"/>
    <s v="Trayveon"/>
    <s v="Trayveon Williams"/>
    <s v="Williams"/>
    <n v="1.29999995231628"/>
    <n v="1"/>
    <n v="4500"/>
    <s v="CLE@CIN"/>
    <s v="CIN"/>
    <s v="CLE"/>
    <m/>
    <m/>
    <m/>
    <x v="374"/>
    <s v="Trayveon Williams"/>
    <n v="6.4117647058823533"/>
    <n v="3.140625"/>
    <n v="10.686274509803921"/>
    <n v="0"/>
    <n v="0"/>
    <n v="0"/>
    <n v="0"/>
    <n v="0"/>
    <n v="0"/>
    <n v="0"/>
    <n v="0"/>
    <n v="0"/>
    <n v="0"/>
    <n v="6"/>
    <n v="0"/>
    <n v="2.2000000000000002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6"/>
    <n v="33.523809523809533"/>
    <n v="4.286618520894427"/>
    <n v="1.670756318247532"/>
    <n v="7.1618949777012544"/>
    <n v="0.71618949777012542"/>
    <n v="0.15915322172669455"/>
    <n v="0"/>
  </r>
  <r>
    <s v="66282-130279"/>
    <x v="2"/>
    <s v="Matt"/>
    <s v="Matt Cole"/>
    <s v="Cole"/>
    <n v="0"/>
    <n v="1"/>
    <n v="4500"/>
    <s v="NE@CAR"/>
    <s v="CAR"/>
    <s v="NE"/>
    <m/>
    <m/>
    <m/>
    <x v="375"/>
    <s v="Matt Cole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40167"/>
    <x v="0"/>
    <s v="Gus"/>
    <s v="Gus Edwards"/>
    <s v="Edwards"/>
    <n v="7.3166664971245599"/>
    <n v="18"/>
    <n v="4500"/>
    <s v="MIN@BAL"/>
    <s v="BAL"/>
    <s v="MIN"/>
    <s v="IR"/>
    <s v="Knee - acl"/>
    <m/>
    <x v="376"/>
    <s v="Gus Edwards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0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149742"/>
    <x v="0"/>
    <s v="Nate"/>
    <s v="Nate McCrary"/>
    <s v="McCrary"/>
    <m/>
    <m/>
    <n v="4500"/>
    <s v="MIN@BAL"/>
    <s v="BAL"/>
    <s v="MIN"/>
    <m/>
    <m/>
    <m/>
    <x v="377"/>
    <s v="Nate McCrary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25837"/>
    <x v="0"/>
    <s v="Duke"/>
    <s v="Duke Johnson"/>
    <s v="Johnson"/>
    <n v="6.4000001387162602"/>
    <n v="11"/>
    <n v="4500"/>
    <s v="HOU@MIA"/>
    <s v="MIA"/>
    <s v="HOU"/>
    <m/>
    <m/>
    <m/>
    <x v="378"/>
    <s v="Duke Johnson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149743"/>
    <x v="2"/>
    <s v="Donte"/>
    <s v="Donte Sylencieux"/>
    <s v="Sylencieux"/>
    <m/>
    <m/>
    <n v="4500"/>
    <s v="MIN@BAL"/>
    <s v="BAL"/>
    <s v="MIN"/>
    <s v="Q"/>
    <s v="Undisclosed"/>
    <m/>
    <x v="379"/>
    <s v="Donte Sylencieux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11504"/>
    <x v="2"/>
    <s v="Andre"/>
    <s v="Andre Roberts"/>
    <s v="Roberts"/>
    <n v="0.28571428571428498"/>
    <n v="7"/>
    <n v="4500"/>
    <s v="LAC@PHI"/>
    <s v="LAC"/>
    <s v="PHI"/>
    <m/>
    <m/>
    <m/>
    <x v="380"/>
    <s v="Andre Roberts"/>
    <n v="5.9890109890109891"/>
    <n v="3.8190476190476192"/>
    <n v="8.515625"/>
    <n v="0"/>
    <n v="0"/>
    <n v="0"/>
    <n v="0"/>
    <n v="0.33333333333333331"/>
    <n v="0.16666666666666666"/>
    <n v="5.833333333333333"/>
    <n v="35"/>
    <n v="0"/>
    <n v="5.833333333333333"/>
    <n v="0"/>
    <n v="0"/>
    <n v="0"/>
    <n v="0"/>
    <n v="30.851495621477966"/>
    <n v="35.648504378522034"/>
    <n v="1"/>
    <n v="0"/>
    <n v="0"/>
    <n v="0"/>
    <n v="0"/>
    <n v="0.33333333333333331"/>
    <n v="35.500000000000007"/>
    <n v="0.28968540489650663"/>
    <n v="0.16666666666666666"/>
    <n v="0.14484270244825331"/>
    <n v="28.34778986394134"/>
    <n v="4.105970492328467"/>
    <n v="0"/>
    <n v="19.5"/>
    <n v="0"/>
    <n v="0"/>
    <n v="0"/>
    <n v="0.49393038256617999"/>
    <n v="0.10976230723692888"/>
    <n v="7.407407407407407E-2"/>
  </r>
  <r>
    <s v="66282-71920"/>
    <x v="0"/>
    <s v="Corey"/>
    <s v="Corey Taylor"/>
    <s v="Taylor"/>
    <m/>
    <m/>
    <n v="4500"/>
    <s v="CLE@CIN"/>
    <s v="CLE"/>
    <s v="CIN"/>
    <m/>
    <m/>
    <m/>
    <x v="381"/>
    <s v="Corey Taylor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44280"/>
    <x v="2"/>
    <s v="JoJo"/>
    <s v="JoJo Natson"/>
    <s v="Natson"/>
    <n v="7.5000002980232197E-2"/>
    <n v="4"/>
    <n v="4500"/>
    <s v="CLE@CIN"/>
    <s v="CLE"/>
    <s v="CIN"/>
    <m/>
    <m/>
    <m/>
    <x v="382"/>
    <s v="JoJo Natson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53498"/>
    <x v="2"/>
    <s v="Richie"/>
    <s v="Richie James"/>
    <s v="James"/>
    <n v="5.2900001525878899"/>
    <n v="10"/>
    <n v="4500"/>
    <s v="ARI@SF"/>
    <s v="SF"/>
    <s v="ARI"/>
    <s v="IR"/>
    <s v="Knee"/>
    <m/>
    <x v="383"/>
    <s v="Richie James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0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72955"/>
    <x v="2"/>
    <s v="Antonio"/>
    <s v="Antonio Nunn"/>
    <s v="Nunn"/>
    <m/>
    <m/>
    <n v="4500"/>
    <s v="ATL@NO"/>
    <s v="ATL"/>
    <s v="NO"/>
    <m/>
    <m/>
    <m/>
    <x v="384"/>
    <s v="Antonio Nunn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29949"/>
    <x v="2"/>
    <s v="Marvin"/>
    <s v="Marvin Hall"/>
    <s v="Hall"/>
    <n v="4.6636362942782297"/>
    <n v="11"/>
    <n v="4500"/>
    <s v="ATL@NO"/>
    <s v="ATL"/>
    <s v="NO"/>
    <m/>
    <m/>
    <m/>
    <x v="385"/>
    <s v="Marvin Hall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28930"/>
    <x v="0"/>
    <s v="James"/>
    <s v="James White"/>
    <s v="White"/>
    <n v="8.4000002543131504"/>
    <n v="3"/>
    <n v="4500"/>
    <s v="NE@CAR"/>
    <s v="NE"/>
    <s v="CAR"/>
    <s v="IR"/>
    <s v="Hip"/>
    <m/>
    <x v="386"/>
    <s v="James White"/>
    <n v="5.0344827586206895"/>
    <n v="2.6470588235294117"/>
    <n v="8.76"/>
    <n v="0"/>
    <n v="0"/>
    <n v="0"/>
    <n v="0"/>
    <n v="0"/>
    <n v="4"/>
    <n v="31.333333333333332"/>
    <n v="7.8"/>
    <n v="30"/>
    <n v="2.6"/>
    <n v="3.3333333333333335"/>
    <n v="10.321428571428571"/>
    <n v="3.8"/>
    <n v="0.33333333333333331"/>
    <n v="27.892429902449898"/>
    <n v="33.907570097550099"/>
    <n v="0"/>
    <n v="0"/>
    <n v="0"/>
    <n v="0"/>
    <n v="0"/>
    <n v="0"/>
    <n v="35.154761904761905"/>
    <n v="0"/>
    <n v="0"/>
    <n v="0"/>
    <n v="6.4988025317272111"/>
    <n v="0"/>
    <n v="0"/>
    <n v="29.773809523809522"/>
    <n v="0"/>
    <n v="2.4323246264534264"/>
    <n v="0"/>
    <n v="0"/>
    <n v="0"/>
    <n v="0"/>
  </r>
  <r>
    <s v="66282-41221"/>
    <x v="2"/>
    <s v="Andre"/>
    <s v="Andre Patton"/>
    <s v="Patton"/>
    <n v="0"/>
    <n v="2"/>
    <n v="4500"/>
    <s v="LAC@PHI"/>
    <s v="PHI"/>
    <s v="LAC"/>
    <m/>
    <m/>
    <m/>
    <x v="387"/>
    <s v="Andre Patton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65798"/>
    <x v="2"/>
    <s v="Siaosi"/>
    <s v="Siaosi Mariner"/>
    <s v="Mariner"/>
    <m/>
    <m/>
    <n v="4500"/>
    <s v="MIN@BAL"/>
    <s v="BAL"/>
    <s v="MIN"/>
    <m/>
    <m/>
    <m/>
    <x v="388"/>
    <s v="Siaosi Mariner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69894"/>
    <x v="0"/>
    <s v="Sewo"/>
    <s v="Sewo Olonilua"/>
    <s v="Olonilua"/>
    <n v="0"/>
    <n v="1"/>
    <n v="4500"/>
    <s v="DEN@DAL"/>
    <s v="DAL"/>
    <s v="DEN"/>
    <s v="IR"/>
    <s v="Neck"/>
    <m/>
    <x v="389"/>
    <s v="Sewo Olonilua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0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130315"/>
    <x v="2"/>
    <s v="Chris"/>
    <s v="Chris Rowland"/>
    <s v="Rowland"/>
    <n v="0"/>
    <n v="2"/>
    <n v="4500"/>
    <s v="ATL@NO"/>
    <s v="ATL"/>
    <s v="NO"/>
    <m/>
    <m/>
    <m/>
    <x v="390"/>
    <s v="Chris Rowland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130317"/>
    <x v="2"/>
    <s v="Juwan"/>
    <s v="Juwan Green"/>
    <s v="Green"/>
    <n v="0"/>
    <n v="1"/>
    <n v="4500"/>
    <s v="ATL@NO"/>
    <s v="ATL"/>
    <s v="NO"/>
    <m/>
    <m/>
    <m/>
    <x v="391"/>
    <s v="Juwan Green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130318"/>
    <x v="0"/>
    <s v="Mikey"/>
    <s v="Mikey Daniel"/>
    <s v="Daniel"/>
    <n v="0"/>
    <n v="1"/>
    <n v="4500"/>
    <s v="NE@CAR"/>
    <s v="CAR"/>
    <s v="NE"/>
    <m/>
    <m/>
    <m/>
    <x v="392"/>
    <s v="Mikey Daniel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130320"/>
    <x v="2"/>
    <s v="Aaron"/>
    <s v="Aaron Parker"/>
    <s v="Parker"/>
    <n v="0"/>
    <n v="1"/>
    <n v="4500"/>
    <s v="NE@CAR"/>
    <s v="CAR"/>
    <s v="NE"/>
    <m/>
    <m/>
    <m/>
    <x v="393"/>
    <s v="Aaron Parker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64786"/>
    <x v="0"/>
    <s v="Ryquell"/>
    <s v="Ryquell Armstead"/>
    <s v="Armstead"/>
    <n v="0"/>
    <n v="2"/>
    <n v="4500"/>
    <s v="GB@KC"/>
    <s v="GB"/>
    <s v="KC"/>
    <m/>
    <m/>
    <m/>
    <x v="394"/>
    <s v="Ryquell Armstead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71955"/>
    <x v="0"/>
    <s v="Mason"/>
    <s v="Mason Stokke"/>
    <s v="Stokke"/>
    <m/>
    <m/>
    <n v="4500"/>
    <s v="NE@CAR"/>
    <s v="CAR"/>
    <s v="NE"/>
    <m/>
    <m/>
    <m/>
    <x v="395"/>
    <s v="Mason Stokke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72981"/>
    <x v="2"/>
    <s v="Aleva"/>
    <s v="Aleva Hifo"/>
    <s v="Hifo"/>
    <m/>
    <m/>
    <n v="4500"/>
    <s v="ARI@SF"/>
    <s v="ARI"/>
    <s v="SF"/>
    <m/>
    <m/>
    <m/>
    <x v="396"/>
    <s v="Aleva Hifo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68890"/>
    <x v="2"/>
    <s v="Devin"/>
    <s v="Devin Gray"/>
    <s v="Gray"/>
    <n v="0"/>
    <n v="1"/>
    <n v="4500"/>
    <s v="MIN@BAL"/>
    <s v="BAL"/>
    <s v="MIN"/>
    <m/>
    <m/>
    <m/>
    <x v="397"/>
    <s v="Devin Gray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71962"/>
    <x v="0"/>
    <s v="Garrett"/>
    <s v="Garrett Groshek"/>
    <s v="Groshek"/>
    <m/>
    <m/>
    <n v="4500"/>
    <s v="LV@NYG"/>
    <s v="LV"/>
    <s v="NYG"/>
    <m/>
    <m/>
    <m/>
    <x v="398"/>
    <s v="Garrett Groshek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130335"/>
    <x v="2"/>
    <s v="Reggie"/>
    <s v="Reggie Begelton"/>
    <s v="Begelton"/>
    <m/>
    <m/>
    <n v="4500"/>
    <s v="GB@KC"/>
    <s v="GB"/>
    <s v="KC"/>
    <m/>
    <m/>
    <m/>
    <x v="399"/>
    <s v="Reggie Begelton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60704"/>
    <x v="2"/>
    <s v="Derrick"/>
    <s v="Derrick Dillon"/>
    <s v="Dillon"/>
    <n v="0"/>
    <n v="1"/>
    <n v="4500"/>
    <s v="LV@NYG"/>
    <s v="NYG"/>
    <s v="LV"/>
    <s v="Q"/>
    <s v="Undisclosed"/>
    <m/>
    <x v="400"/>
    <s v="Derrick Dillon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130336"/>
    <x v="0"/>
    <s v="Sandro"/>
    <s v="Sandro Platzgummer"/>
    <s v="Platzgummer"/>
    <n v="0"/>
    <n v="1"/>
    <n v="4500"/>
    <s v="LV@NYG"/>
    <s v="NYG"/>
    <s v="LV"/>
    <m/>
    <m/>
    <m/>
    <x v="401"/>
    <s v="Sandro Platzgummer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130338"/>
    <x v="2"/>
    <s v="Rysen"/>
    <s v="Rysen John"/>
    <s v="John"/>
    <n v="0"/>
    <n v="1"/>
    <n v="4500"/>
    <s v="LV@NYG"/>
    <s v="NYG"/>
    <s v="LV"/>
    <s v="IR"/>
    <s v="Ankle"/>
    <m/>
    <x v="402"/>
    <s v="Rysen John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0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68901"/>
    <x v="0"/>
    <s v="Gerrid"/>
    <s v="Gerrid Doaks"/>
    <s v="Doaks"/>
    <m/>
    <m/>
    <n v="4500"/>
    <s v="HOU@MIA"/>
    <s v="MIA"/>
    <s v="HOU"/>
    <m/>
    <m/>
    <m/>
    <x v="403"/>
    <s v="Gerrid Doaks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46374"/>
    <x v="2"/>
    <s v="Tanner"/>
    <s v="Tanner Gentry"/>
    <s v="Gentry"/>
    <m/>
    <m/>
    <n v="4500"/>
    <s v="BUF@JAC"/>
    <s v="BUF"/>
    <s v="JAC"/>
    <s v="O"/>
    <s v="Illness"/>
    <m/>
    <x v="404"/>
    <s v="Tanner Gentry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0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91431"/>
    <x v="0"/>
    <s v="Ben"/>
    <s v="Ben Mason"/>
    <s v="Mason"/>
    <m/>
    <m/>
    <n v="4500"/>
    <s v="NE@CAR"/>
    <s v="NE"/>
    <s v="CAR"/>
    <m/>
    <m/>
    <m/>
    <x v="405"/>
    <s v="Ben Mason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130343"/>
    <x v="2"/>
    <s v="Jeff"/>
    <s v="Jeff Cotton Jr."/>
    <s v="Cotton Jr."/>
    <n v="0"/>
    <n v="1"/>
    <n v="4500"/>
    <s v="BUF@JAC"/>
    <s v="JAC"/>
    <s v="BUF"/>
    <m/>
    <m/>
    <m/>
    <x v="406"/>
    <s v="Jeff Cotton Jr.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71974"/>
    <x v="2"/>
    <s v="Malcolm"/>
    <s v="Malcolm Perry"/>
    <s v="Perry"/>
    <n v="2.2444445292154902"/>
    <n v="9"/>
    <n v="4500"/>
    <s v="NE@CAR"/>
    <s v="NE"/>
    <s v="CAR"/>
    <s v="IR"/>
    <s v="Foot"/>
    <m/>
    <x v="407"/>
    <s v="Malcolm Perry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0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130345"/>
    <x v="2"/>
    <s v="Michael"/>
    <s v="Michael Dereus"/>
    <s v="Dereus"/>
    <n v="0"/>
    <n v="1"/>
    <n v="4500"/>
    <s v="MIN@BAL"/>
    <s v="BAL"/>
    <s v="MIN"/>
    <m/>
    <m/>
    <m/>
    <x v="408"/>
    <s v="Michael Dereus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130350"/>
    <x v="2"/>
    <s v="Jaylon"/>
    <s v="Jaylon Moore"/>
    <s v="Moore"/>
    <n v="0"/>
    <n v="1"/>
    <n v="4500"/>
    <s v="MIN@BAL"/>
    <s v="BAL"/>
    <s v="MIN"/>
    <m/>
    <m/>
    <m/>
    <x v="409"/>
    <s v="Jaylon Moore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57651"/>
    <x v="2"/>
    <s v="Travis"/>
    <s v="Travis Fulgham"/>
    <s v="Fulgham"/>
    <n v="8.0750001271565708"/>
    <n v="12"/>
    <n v="4500"/>
    <s v="HOU@MIA"/>
    <s v="MIA"/>
    <s v="HOU"/>
    <m/>
    <m/>
    <m/>
    <x v="410"/>
    <s v="Travis Fulgham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45371"/>
    <x v="2"/>
    <s v="Darius"/>
    <s v="Darius Phillips"/>
    <s v="Phillips"/>
    <n v="0"/>
    <n v="7"/>
    <n v="4500"/>
    <s v="CLE@CIN"/>
    <s v="CIN"/>
    <s v="CLE"/>
    <m/>
    <m/>
    <m/>
    <x v="411"/>
    <s v="Darius Phillips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64828"/>
    <x v="2"/>
    <s v="Chris"/>
    <s v="Chris Finke"/>
    <s v="Finke"/>
    <n v="0"/>
    <n v="1"/>
    <n v="4500"/>
    <s v="GB@KC"/>
    <s v="KC"/>
    <s v="GB"/>
    <s v="Q"/>
    <s v="Undisclosed"/>
    <m/>
    <x v="412"/>
    <s v="Chris Finke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63806"/>
    <x v="0"/>
    <s v="Kerryon"/>
    <s v="Kerryon Johnson"/>
    <s v="Johnson"/>
    <n v="4.4499999455043202"/>
    <n v="14"/>
    <n v="4500"/>
    <s v="ARI@SF"/>
    <s v="SF"/>
    <s v="ARI"/>
    <m/>
    <m/>
    <m/>
    <x v="413"/>
    <s v="Kerryon Johnson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64835"/>
    <x v="0"/>
    <s v="Dexter"/>
    <s v="Dexter Williams"/>
    <s v="Williams"/>
    <n v="0.40000000596046398"/>
    <n v="2"/>
    <n v="4500"/>
    <s v="LV@NYG"/>
    <s v="NYG"/>
    <s v="LV"/>
    <m/>
    <m/>
    <m/>
    <x v="414"/>
    <s v="Dexter Williams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52553"/>
    <x v="2"/>
    <s v="De'Mornay"/>
    <s v="De'Mornay Pierson-El"/>
    <s v="Pierson-El"/>
    <m/>
    <m/>
    <n v="4500"/>
    <s v="DEN@DAL"/>
    <s v="DEN"/>
    <s v="DAL"/>
    <m/>
    <m/>
    <m/>
    <x v="415"/>
    <s v="De'Mornay Pierson-El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54606"/>
    <x v="2"/>
    <s v="John"/>
    <s v="John Brown"/>
    <s v="Brown"/>
    <n v="0"/>
    <n v="1"/>
    <n v="4500"/>
    <s v="DEN@DAL"/>
    <s v="DEN"/>
    <s v="DAL"/>
    <m/>
    <m/>
    <m/>
    <x v="416"/>
    <s v="John Brown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73046"/>
    <x v="2"/>
    <s v="Tre"/>
    <s v="Tre Nixon"/>
    <s v="Nixon"/>
    <m/>
    <m/>
    <n v="4500"/>
    <s v="NE@CAR"/>
    <s v="NE"/>
    <s v="CAR"/>
    <m/>
    <m/>
    <m/>
    <x v="417"/>
    <s v="Tre Nixon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89437"/>
    <x v="2"/>
    <s v="Tim"/>
    <s v="Tim Jones"/>
    <s v="Jones"/>
    <m/>
    <m/>
    <n v="4500"/>
    <s v="BUF@JAC"/>
    <s v="JAC"/>
    <s v="BUF"/>
    <m/>
    <m/>
    <m/>
    <x v="418"/>
    <s v="Tim Jones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60765"/>
    <x v="2"/>
    <s v="Brian"/>
    <s v="Brian Cole"/>
    <s v="Cole"/>
    <n v="0"/>
    <n v="1"/>
    <n v="4500"/>
    <s v="NE@CAR"/>
    <s v="CAR"/>
    <s v="NE"/>
    <m/>
    <m/>
    <m/>
    <x v="419"/>
    <s v="Brian Cole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24929"/>
    <x v="2"/>
    <s v="Kelvin"/>
    <s v="Kelvin Benjamin"/>
    <s v="Benjamin"/>
    <m/>
    <m/>
    <n v="4500"/>
    <s v="LV@NYG"/>
    <s v="NYG"/>
    <s v="LV"/>
    <m/>
    <m/>
    <m/>
    <x v="420"/>
    <s v="Kelvin Benjamin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41319"/>
    <x v="2"/>
    <s v="Jeff"/>
    <s v="Jeff Badet"/>
    <s v="Badet"/>
    <n v="0"/>
    <n v="2"/>
    <n v="4500"/>
    <s v="ATL@NO"/>
    <s v="ATL"/>
    <s v="NO"/>
    <s v="Q"/>
    <s v="Lower leg"/>
    <m/>
    <x v="421"/>
    <s v="Jeff Badet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91504"/>
    <x v="2"/>
    <s v="Blake"/>
    <s v="Blake Proehl"/>
    <s v="Proehl"/>
    <m/>
    <m/>
    <n v="4500"/>
    <s v="MIN@BAL"/>
    <s v="MIN"/>
    <s v="BAL"/>
    <s v="IR"/>
    <s v="Leg"/>
    <m/>
    <x v="422"/>
    <s v="Blake Proehl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0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52598"/>
    <x v="2"/>
    <s v="Johnnie"/>
    <s v="Johnnie Dixon"/>
    <s v="Dixon"/>
    <n v="0"/>
    <n v="2"/>
    <n v="4500"/>
    <s v="DEN@DAL"/>
    <s v="DAL"/>
    <s v="DEN"/>
    <m/>
    <m/>
    <m/>
    <x v="423"/>
    <s v="Johnnie Dixon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52602"/>
    <x v="2"/>
    <s v="DeAndre"/>
    <s v="DeAndre Thompkins"/>
    <s v="Thompkins"/>
    <n v="0"/>
    <n v="1"/>
    <n v="4500"/>
    <s v="GB@KC"/>
    <s v="GB"/>
    <s v="KC"/>
    <s v="Q"/>
    <s v="Undisclosed"/>
    <m/>
    <x v="424"/>
    <s v="DeAndre Thompkins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70019"/>
    <x v="0"/>
    <s v="Tavien"/>
    <s v="Tavien Feaster"/>
    <s v="Feaster"/>
    <n v="0"/>
    <n v="1"/>
    <n v="4500"/>
    <s v="ARI@SF"/>
    <s v="ARI"/>
    <s v="SF"/>
    <m/>
    <m/>
    <m/>
    <x v="425"/>
    <s v="Tavien Feaster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70023"/>
    <x v="2"/>
    <s v="Cornell"/>
    <s v="Cornell Powell"/>
    <s v="Powell"/>
    <m/>
    <m/>
    <n v="4500"/>
    <s v="GB@KC"/>
    <s v="KC"/>
    <s v="GB"/>
    <m/>
    <m/>
    <m/>
    <x v="426"/>
    <s v="Cornell Powell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55689"/>
    <x v="0"/>
    <s v="Ito"/>
    <s v="Ito Smith"/>
    <s v="Smith"/>
    <n v="3.2533332824707002"/>
    <n v="15"/>
    <n v="4500"/>
    <s v="MIN@BAL"/>
    <s v="MIN"/>
    <s v="BAL"/>
    <m/>
    <m/>
    <m/>
    <x v="427"/>
    <s v="Ito Smith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64905"/>
    <x v="2"/>
    <s v="Trenton"/>
    <s v="Trenton Irwin"/>
    <s v="Irwin"/>
    <n v="1.5"/>
    <n v="2"/>
    <n v="4500"/>
    <s v="CLE@CIN"/>
    <s v="CIN"/>
    <s v="CLE"/>
    <m/>
    <m/>
    <m/>
    <x v="428"/>
    <s v="Trenton Irwin"/>
    <n v="6.4117647058823533"/>
    <n v="3.140625"/>
    <n v="10.686274509803921"/>
    <n v="0"/>
    <n v="0"/>
    <n v="0"/>
    <n v="0"/>
    <n v="0.2"/>
    <n v="0.2"/>
    <n v="5"/>
    <n v="25"/>
    <n v="0"/>
    <n v="5"/>
    <n v="0"/>
    <n v="0"/>
    <n v="0"/>
    <n v="0"/>
    <n v="35.249369534050182"/>
    <n v="23.950630465949821"/>
    <n v="1"/>
    <n v="0"/>
    <n v="0"/>
    <n v="0"/>
    <n v="0"/>
    <n v="0.2"/>
    <n v="32.859523809523814"/>
    <n v="0.21454583297298854"/>
    <n v="0.2"/>
    <n v="0.21454583297298854"/>
    <n v="25.409783631544055"/>
    <n v="5.451563194893029"/>
    <n v="0"/>
    <n v="33.523809523809533"/>
    <n v="0"/>
    <n v="0"/>
    <n v="0"/>
    <n v="0.64515631948930285"/>
    <n v="0.14336807099762286"/>
    <n v="4.4444444444444446E-2"/>
  </r>
  <r>
    <s v="66282-92552"/>
    <x v="2"/>
    <s v="Brennan"/>
    <s v="Brennan Eagles"/>
    <s v="Eagles"/>
    <m/>
    <m/>
    <n v="4500"/>
    <s v="DEN@DAL"/>
    <s v="DAL"/>
    <s v="DEN"/>
    <m/>
    <m/>
    <m/>
    <x v="429"/>
    <s v="Brennan Eagles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53646"/>
    <x v="2"/>
    <s v="Austin"/>
    <s v="Austin Proehl"/>
    <s v="Proehl"/>
    <m/>
    <m/>
    <n v="4500"/>
    <s v="BUF@JAC"/>
    <s v="BUF"/>
    <s v="JAC"/>
    <m/>
    <m/>
    <m/>
    <x v="430"/>
    <s v="Austin Proehl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28055"/>
    <x v="2"/>
    <s v="Amara"/>
    <s v="Amara Darboh"/>
    <s v="Darboh"/>
    <n v="0"/>
    <n v="1"/>
    <n v="4500"/>
    <s v="DEN@DAL"/>
    <s v="DEN"/>
    <s v="DAL"/>
    <m/>
    <m/>
    <m/>
    <x v="431"/>
    <s v="Amara Darboh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43416"/>
    <x v="2"/>
    <s v="Trent"/>
    <s v="Trent Taylor"/>
    <s v="Taylor"/>
    <n v="1.2363636710427"/>
    <n v="11"/>
    <n v="4500"/>
    <s v="CLE@CIN"/>
    <s v="CIN"/>
    <s v="CLE"/>
    <m/>
    <m/>
    <m/>
    <x v="432"/>
    <s v="Trent Taylor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41370"/>
    <x v="2"/>
    <s v="Trevor"/>
    <s v="Trevor Davis"/>
    <s v="Davis"/>
    <n v="0"/>
    <n v="2"/>
    <n v="4500"/>
    <s v="ATL@NO"/>
    <s v="ATL"/>
    <s v="NO"/>
    <m/>
    <m/>
    <m/>
    <x v="433"/>
    <s v="Trevor Davis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41371"/>
    <x v="0"/>
    <s v="Khalfani"/>
    <s v="Khalfani Muhammad"/>
    <s v="Muhammad"/>
    <n v="0"/>
    <n v="1"/>
    <n v="4500"/>
    <s v="ARI@SF"/>
    <s v="ARI"/>
    <s v="SF"/>
    <m/>
    <m/>
    <m/>
    <x v="434"/>
    <s v="Khalfani Muhammad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64926"/>
    <x v="2"/>
    <s v="Michael"/>
    <s v="Michael Jacquet III"/>
    <s v="Jacquet III"/>
    <n v="0"/>
    <n v="1"/>
    <n v="4500"/>
    <s v="LAC@PHI"/>
    <s v="PHI"/>
    <s v="LAC"/>
    <m/>
    <m/>
    <m/>
    <x v="435"/>
    <s v="Michael Jacquet III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32161"/>
    <x v="2"/>
    <s v="Gehrig"/>
    <s v="Gehrig Dieter"/>
    <s v="Dieter"/>
    <n v="1.5"/>
    <n v="1"/>
    <n v="4500"/>
    <s v="GB@KC"/>
    <s v="KC"/>
    <s v="GB"/>
    <m/>
    <m/>
    <m/>
    <x v="436"/>
    <s v="Gehrig Dieter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44449"/>
    <x v="2"/>
    <s v="Willie"/>
    <s v="Willie Snead IV"/>
    <s v="Snead IV"/>
    <n v="0.93999996185302703"/>
    <n v="5"/>
    <n v="4500"/>
    <s v="NE@CAR"/>
    <s v="CAR"/>
    <s v="NE"/>
    <m/>
    <m/>
    <m/>
    <x v="437"/>
    <s v="Willie Snead"/>
    <n v="5.9135802469135799"/>
    <n v="4"/>
    <n v="9.9791666666666661"/>
    <n v="0"/>
    <n v="0"/>
    <n v="0"/>
    <n v="0"/>
    <n v="0.7142857142857143"/>
    <n v="0.42857142857142855"/>
    <n v="4.5714285714285712"/>
    <n v="10.7"/>
    <n v="0"/>
    <n v="1.5285714285714285"/>
    <n v="0"/>
    <n v="0"/>
    <n v="0"/>
    <n v="0"/>
    <n v="42.879374651732974"/>
    <n v="18.220625348267024"/>
    <n v="1"/>
    <n v="0"/>
    <n v="0"/>
    <n v="0"/>
    <n v="0"/>
    <n v="0.7142857142857143"/>
    <n v="45.690476190476197"/>
    <n v="0.67033936401875405"/>
    <n v="0.42857142857142855"/>
    <n v="0.40220361841125241"/>
    <n v="10.155766003645855"/>
    <n v="4.0846858344043468"/>
    <n v="0"/>
    <n v="38.333333333333336"/>
    <n v="0"/>
    <n v="0"/>
    <n v="0"/>
    <n v="0.62275429772614899"/>
    <n v="0.13838984393914422"/>
    <n v="0.15873015873015872"/>
  </r>
  <r>
    <s v="66282-60835"/>
    <x v="2"/>
    <s v="Isaac"/>
    <s v="Isaac Whitney"/>
    <s v="Whitney"/>
    <m/>
    <m/>
    <n v="4500"/>
    <s v="ARI@SF"/>
    <s v="ARI"/>
    <s v="SF"/>
    <m/>
    <m/>
    <m/>
    <x v="438"/>
    <s v="Isaac Whitney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60838"/>
    <x v="2"/>
    <s v="Andre"/>
    <s v="Andre Baccellia"/>
    <s v="Baccellia"/>
    <n v="0"/>
    <n v="1"/>
    <n v="4500"/>
    <s v="ARI@SF"/>
    <s v="ARI"/>
    <s v="SF"/>
    <m/>
    <m/>
    <m/>
    <x v="439"/>
    <s v="Andre Baccellia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72103"/>
    <x v="0"/>
    <s v="Trey"/>
    <s v="Trey Ragas"/>
    <s v="Ragas"/>
    <m/>
    <m/>
    <n v="4500"/>
    <s v="LV@NYG"/>
    <s v="LV"/>
    <s v="NYG"/>
    <m/>
    <m/>
    <m/>
    <x v="440"/>
    <s v="Trey Ragas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80299"/>
    <x v="0"/>
    <s v="Patrick"/>
    <s v="Patrick Ricard"/>
    <s v="Ricard"/>
    <n v="1.19999996821085"/>
    <n v="3"/>
    <n v="4500"/>
    <s v="MIN@BAL"/>
    <s v="BAL"/>
    <s v="MIN"/>
    <m/>
    <m/>
    <m/>
    <x v="441"/>
    <s v="Patrick Ricard"/>
    <n v="9.1684210526315795"/>
    <n v="4.7733333333333334"/>
    <n v="12.097222222222221"/>
    <n v="0"/>
    <n v="0"/>
    <n v="0"/>
    <n v="0"/>
    <n v="0.5714285714285714"/>
    <n v="0.42857142857142855"/>
    <n v="2.7142857142857144"/>
    <n v="6.3"/>
    <n v="10"/>
    <n v="0.9"/>
    <n v="0.14285714285714285"/>
    <n v="0"/>
    <n v="2"/>
    <n v="0"/>
    <e v="#N/A"/>
    <e v="#N/A"/>
    <n v="1"/>
    <n v="0"/>
    <n v="0"/>
    <n v="0"/>
    <n v="0"/>
    <n v="0.5714285714285714"/>
    <n v="39.43333333333333"/>
    <e v="#N/A"/>
    <n v="0.42857142857142855"/>
    <n v="0"/>
    <n v="7.2487119182364488"/>
    <n v="0"/>
    <n v="0.14285714285714285"/>
    <n v="28.528571428571428"/>
    <n v="0"/>
    <n v="2.308479949566558"/>
    <n v="0"/>
    <n v="0.21428571428571427"/>
    <n v="4.7619047619047616E-2"/>
    <n v="0.12698412698412698"/>
  </r>
  <r>
    <s v="66282-62891"/>
    <x v="2"/>
    <s v="Omar"/>
    <s v="Omar Bayless"/>
    <s v="Bayless"/>
    <n v="0"/>
    <n v="2"/>
    <n v="4500"/>
    <s v="NE@CAR"/>
    <s v="CAR"/>
    <s v="NE"/>
    <m/>
    <m/>
    <m/>
    <x v="442"/>
    <s v="Omar Bayless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63919"/>
    <x v="2"/>
    <s v="Bailey"/>
    <s v="Bailey Gaither"/>
    <s v="Gaither"/>
    <m/>
    <m/>
    <n v="4500"/>
    <s v="GB@KC"/>
    <s v="GB"/>
    <s v="KC"/>
    <m/>
    <m/>
    <m/>
    <x v="443"/>
    <s v="Bailey Gaither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28080"/>
    <x v="2"/>
    <s v="Devin"/>
    <s v="Devin Funchess"/>
    <s v="Funchess"/>
    <m/>
    <m/>
    <n v="4500"/>
    <s v="GB@KC"/>
    <s v="GB"/>
    <s v="KC"/>
    <s v="Q"/>
    <s v="Hamstring"/>
    <m/>
    <x v="444"/>
    <s v="Devin Funchess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60849"/>
    <x v="2"/>
    <s v="Blake"/>
    <s v="Blake Lynch"/>
    <s v="Lynch"/>
    <m/>
    <m/>
    <n v="4500"/>
    <s v="MIN@BAL"/>
    <s v="MIN"/>
    <s v="BAL"/>
    <m/>
    <m/>
    <m/>
    <x v="445"/>
    <s v="Blake Lynch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147899"/>
    <x v="0"/>
    <s v="Darius"/>
    <s v="Darius Clark"/>
    <s v="Clark"/>
    <m/>
    <m/>
    <n v="4500"/>
    <s v="NE@CAR"/>
    <s v="CAR"/>
    <s v="NE"/>
    <s v="Q"/>
    <s v="Knee"/>
    <m/>
    <x v="446"/>
    <s v="Darius Clark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60861"/>
    <x v="2"/>
    <s v="Damion"/>
    <s v="Damion Ratley"/>
    <s v="Ratley"/>
    <n v="1.38333336512247"/>
    <n v="6"/>
    <n v="4500"/>
    <s v="DEN@DAL"/>
    <s v="DAL"/>
    <s v="DEN"/>
    <m/>
    <m/>
    <m/>
    <x v="447"/>
    <s v="Damion Ratley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64962"/>
    <x v="0"/>
    <s v="LeVante"/>
    <s v="LeVante Bellamy"/>
    <s v="Bellamy"/>
    <n v="0.69999996821085597"/>
    <n v="3"/>
    <n v="4500"/>
    <s v="DEN@DAL"/>
    <s v="DEN"/>
    <s v="DAL"/>
    <s v="IR"/>
    <s v="Ankle"/>
    <m/>
    <x v="448"/>
    <s v="LeVante Bellamy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0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72135"/>
    <x v="2"/>
    <s v="T.J."/>
    <s v="T.J. Vasher"/>
    <s v="Vasher"/>
    <m/>
    <m/>
    <n v="4500"/>
    <s v="DEN@DAL"/>
    <s v="DAL"/>
    <s v="DEN"/>
    <s v="IR"/>
    <s v="Knee - meniscus"/>
    <m/>
    <x v="449"/>
    <s v="T.J. Vasher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0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26057"/>
    <x v="0"/>
    <s v="Michael"/>
    <s v="Michael Burton"/>
    <s v="Burton"/>
    <n v="0.625"/>
    <n v="4"/>
    <n v="4500"/>
    <s v="GB@KC"/>
    <s v="KC"/>
    <s v="GB"/>
    <m/>
    <m/>
    <m/>
    <x v="450"/>
    <s v="Michael Burton"/>
    <n v="6.3711340206185563"/>
    <n v="4.3797468354430382"/>
    <n v="9.3636363636363633"/>
    <n v="0"/>
    <n v="0"/>
    <n v="0"/>
    <n v="0"/>
    <n v="0.16666666666666666"/>
    <n v="0.16666666666666666"/>
    <n v="1.8333333333333333"/>
    <n v="11"/>
    <n v="0"/>
    <n v="1.8333333333333333"/>
    <n v="0.5"/>
    <n v="1.6"/>
    <n v="3"/>
    <n v="0"/>
    <n v="35.894621752555366"/>
    <n v="26.105378247444634"/>
    <n v="1"/>
    <n v="0"/>
    <n v="0"/>
    <n v="0"/>
    <n v="0"/>
    <n v="0.16666666666666666"/>
    <n v="38.357142857142847"/>
    <n v="0.15596669911104133"/>
    <n v="0.16666666666666666"/>
    <n v="0.15596669911104133"/>
    <n v="9.7965206177248394"/>
    <n v="1.5279309835198027"/>
    <n v="0.5"/>
    <n v="15.523809523809524"/>
    <n v="0.84081739754039464"/>
    <n v="3.1772004114588173"/>
    <n v="2.6714453814270738"/>
    <n v="0.503270969828021"/>
    <n v="0.11183799329511578"/>
    <n v="3.7037037037037035E-2"/>
  </r>
  <r>
    <s v="66282-86472"/>
    <x v="2"/>
    <s v="John"/>
    <s v="John Hightower"/>
    <s v="Hightower"/>
    <n v="2.3799999237060501"/>
    <n v="10"/>
    <n v="4500"/>
    <s v="LAC@PHI"/>
    <s v="PHI"/>
    <s v="LAC"/>
    <m/>
    <m/>
    <m/>
    <x v="451"/>
    <s v="John Hightower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96714"/>
    <x v="2"/>
    <s v="Travis"/>
    <s v="Travis Toivonen"/>
    <s v="Toivonen"/>
    <m/>
    <m/>
    <n v="4500"/>
    <s v="LV@NYG"/>
    <s v="NYG"/>
    <s v="LV"/>
    <m/>
    <m/>
    <m/>
    <x v="452"/>
    <s v="Travis Toivonen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88525"/>
    <x v="2"/>
    <s v="Kawaan"/>
    <s v="Kawaan Baker"/>
    <s v="Baker"/>
    <m/>
    <m/>
    <n v="4500"/>
    <s v="ATL@NO"/>
    <s v="NO"/>
    <s v="ATL"/>
    <m/>
    <m/>
    <m/>
    <x v="453"/>
    <s v="Kawaan Baker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64973"/>
    <x v="2"/>
    <s v="Micah"/>
    <s v="Micah Simon"/>
    <s v="Simon"/>
    <m/>
    <m/>
    <n v="4500"/>
    <s v="NE@CAR"/>
    <s v="CAR"/>
    <s v="NE"/>
    <m/>
    <m/>
    <m/>
    <x v="454"/>
    <s v="Micah Simon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69068"/>
    <x v="0"/>
    <s v="Jonathan"/>
    <s v="Jonathan Ward"/>
    <s v="Ward"/>
    <n v="1.04999995231628"/>
    <n v="2"/>
    <n v="4500"/>
    <s v="ARI@SF"/>
    <s v="ARI"/>
    <s v="SF"/>
    <s v="O"/>
    <s v="Concussion"/>
    <m/>
    <x v="455"/>
    <s v="Jonathan Ward"/>
    <n v="6.5263157894736841"/>
    <n v="4.7051282051282053"/>
    <n v="10.191780821917808"/>
    <n v="0"/>
    <n v="0"/>
    <n v="0"/>
    <n v="0"/>
    <n v="0"/>
    <n v="0"/>
    <n v="0"/>
    <n v="0"/>
    <n v="0"/>
    <n v="0"/>
    <n v="0.625"/>
    <n v="0"/>
    <n v="4.2"/>
    <n v="0"/>
    <e v="#N/A"/>
    <e v="#N/A"/>
    <n v="0"/>
    <n v="0"/>
    <n v="0"/>
    <n v="0"/>
    <n v="0"/>
    <n v="0"/>
    <n v="26.625"/>
    <e v="#N/A"/>
    <n v="0"/>
    <n v="0"/>
    <n v="0"/>
    <n v="0"/>
    <n v="0"/>
    <n v="32.208333333333329"/>
    <n v="0"/>
    <n v="4.7785386149842779"/>
    <n v="0"/>
    <n v="0"/>
    <n v="0"/>
    <n v="0"/>
  </r>
  <r>
    <s v="66282-64974"/>
    <x v="0"/>
    <s v="Francis"/>
    <s v="Francis Bernard"/>
    <s v="Bernard"/>
    <n v="0"/>
    <n v="1"/>
    <n v="4500"/>
    <s v="DEN@DAL"/>
    <s v="DAL"/>
    <s v="DEN"/>
    <m/>
    <m/>
    <m/>
    <x v="456"/>
    <s v="Francis Bernard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71120"/>
    <x v="2"/>
    <s v="Riley"/>
    <s v="Riley Lees"/>
    <s v="Lees"/>
    <m/>
    <m/>
    <n v="4500"/>
    <s v="CLE@CIN"/>
    <s v="CIN"/>
    <s v="CLE"/>
    <m/>
    <m/>
    <m/>
    <x v="457"/>
    <s v="Riley Lees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41430"/>
    <x v="2"/>
    <s v="Devin"/>
    <s v="Devin Ross"/>
    <s v="Ross"/>
    <n v="0"/>
    <n v="1"/>
    <n v="4500"/>
    <s v="NE@CAR"/>
    <s v="NE"/>
    <s v="CAR"/>
    <m/>
    <m/>
    <m/>
    <x v="458"/>
    <s v="Devin Ross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87515"/>
    <x v="2"/>
    <s v="Tylan"/>
    <s v="Tylan Wallace"/>
    <s v="Wallace"/>
    <m/>
    <m/>
    <n v="4500"/>
    <s v="MIN@BAL"/>
    <s v="BAL"/>
    <s v="MIN"/>
    <m/>
    <m/>
    <m/>
    <x v="459"/>
    <s v="Tylan Wallace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21980"/>
    <x v="2"/>
    <s v="Alshon"/>
    <s v="Alshon Jeffery"/>
    <s v="Jeffery"/>
    <n v="2.5625"/>
    <n v="8"/>
    <n v="4500"/>
    <s v="LAC@PHI"/>
    <s v="PHI"/>
    <s v="LAC"/>
    <m/>
    <m/>
    <m/>
    <x v="460"/>
    <s v="Alshon Jeffery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103901"/>
    <x v="2"/>
    <s v="Davion"/>
    <s v="Davion Davis"/>
    <s v="Davis"/>
    <m/>
    <m/>
    <n v="4500"/>
    <s v="HOU@MIA"/>
    <s v="HOU"/>
    <s v="MIA"/>
    <m/>
    <m/>
    <m/>
    <x v="461"/>
    <s v="Davion Davis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73180"/>
    <x v="2"/>
    <s v="Binjimen"/>
    <s v="Binjimen Victor"/>
    <s v="Victor"/>
    <n v="0"/>
    <n v="1"/>
    <n v="4500"/>
    <s v="MIN@BAL"/>
    <s v="BAL"/>
    <s v="MIN"/>
    <s v="Q"/>
    <s v="Head"/>
    <m/>
    <x v="462"/>
    <s v="Binjimen Victor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103902"/>
    <x v="2"/>
    <s v="Alexander"/>
    <s v="Alexander Hollins"/>
    <s v="Hollins"/>
    <m/>
    <m/>
    <n v="4500"/>
    <s v="CLE@CIN"/>
    <s v="CLE"/>
    <s v="CIN"/>
    <m/>
    <m/>
    <m/>
    <x v="463"/>
    <s v="Alexander Hollins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89613"/>
    <x v="2"/>
    <s v="Simi"/>
    <s v="Simi Fehoko"/>
    <s v="Fehoko"/>
    <m/>
    <m/>
    <n v="4500"/>
    <s v="DEN@DAL"/>
    <s v="DAL"/>
    <s v="DEN"/>
    <m/>
    <m/>
    <m/>
    <x v="464"/>
    <s v="Simi Fehoko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22035"/>
    <x v="2"/>
    <s v="Travis"/>
    <s v="Travis Benjamin"/>
    <s v="Benjamin"/>
    <n v="0"/>
    <n v="1"/>
    <n v="4500"/>
    <s v="ARI@SF"/>
    <s v="SF"/>
    <s v="ARI"/>
    <m/>
    <m/>
    <m/>
    <x v="465"/>
    <s v="Travis Benjamin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22037"/>
    <x v="0"/>
    <s v="Lamar"/>
    <s v="Lamar Miller"/>
    <s v="Miller"/>
    <n v="0.53333334128061904"/>
    <n v="3"/>
    <n v="4500"/>
    <s v="ATL@NO"/>
    <s v="NO"/>
    <s v="ATL"/>
    <m/>
    <m/>
    <m/>
    <x v="466"/>
    <s v="Lamar Miller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73247"/>
    <x v="0"/>
    <s v="Kene"/>
    <s v="Kene Nwangwu"/>
    <s v="Nwangwu"/>
    <m/>
    <m/>
    <n v="4500"/>
    <s v="MIN@BAL"/>
    <s v="MIN"/>
    <s v="BAL"/>
    <m/>
    <m/>
    <m/>
    <x v="467"/>
    <s v="Kene Nwangwu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69150"/>
    <x v="2"/>
    <s v="Jordan"/>
    <s v="Jordan Veasy"/>
    <s v="Veasy"/>
    <n v="0"/>
    <n v="1"/>
    <n v="4500"/>
    <s v="HOU@MIA"/>
    <s v="HOU"/>
    <s v="MIA"/>
    <m/>
    <m/>
    <m/>
    <x v="468"/>
    <s v="Jordan Veasy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54817"/>
    <x v="2"/>
    <s v="Diontae"/>
    <s v="Diontae Spencer"/>
    <s v="Spencer"/>
    <n v="2.8571428997176001E-2"/>
    <n v="7"/>
    <n v="4500"/>
    <s v="DEN@DAL"/>
    <s v="DEN"/>
    <s v="DAL"/>
    <m/>
    <m/>
    <m/>
    <x v="469"/>
    <s v="Diontae Spencer"/>
    <n v="7.6538461538461542"/>
    <n v="4.6888888888888891"/>
    <n v="11.306818181818182"/>
    <n v="0"/>
    <n v="0"/>
    <n v="0"/>
    <n v="0"/>
    <n v="0.42857142857142855"/>
    <n v="0.14285714285714285"/>
    <n v="-0.42857142857142855"/>
    <n v="-3"/>
    <n v="0"/>
    <n v="-0.42857142857142855"/>
    <n v="0"/>
    <n v="0"/>
    <n v="0"/>
    <n v="0"/>
    <n v="29.854056299344741"/>
    <n v="32.74594370065526"/>
    <n v="1"/>
    <n v="0"/>
    <n v="0"/>
    <n v="0"/>
    <n v="0"/>
    <n v="0.42857142857142855"/>
    <n v="31.547619047619044"/>
    <n v="0.40556453840619278"/>
    <n v="0.14285714285714285"/>
    <n v="0.13518817946873091"/>
    <n v="-3.2262372069625598"/>
    <n v="-0.43614913454355164"/>
    <n v="0"/>
    <n v="12.714285714285715"/>
    <n v="0"/>
    <n v="0"/>
    <n v="0"/>
    <n v="2.7813657974216262E-2"/>
    <n v="6.180812883159169E-3"/>
    <n v="9.5238095238095233E-2"/>
  </r>
  <r>
    <s v="66282-89632"/>
    <x v="2"/>
    <s v="Connor"/>
    <s v="Connor Wedington"/>
    <s v="Wedington"/>
    <m/>
    <m/>
    <n v="4500"/>
    <s v="ARI@SF"/>
    <s v="SF"/>
    <s v="ARI"/>
    <m/>
    <m/>
    <m/>
    <x v="470"/>
    <s v="Connor Wedington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72235"/>
    <x v="2"/>
    <s v="Damon"/>
    <s v="Damon Hazelton"/>
    <s v="Hazelton"/>
    <m/>
    <m/>
    <n v="4500"/>
    <s v="HOU@MIA"/>
    <s v="HOU"/>
    <s v="MIA"/>
    <m/>
    <m/>
    <m/>
    <x v="471"/>
    <s v="Damon Hazelton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38444"/>
    <x v="0"/>
    <s v="Tyler"/>
    <s v="Tyler Gaffney"/>
    <s v="Gaffney"/>
    <m/>
    <m/>
    <n v="4500"/>
    <s v="NE@CAR"/>
    <s v="NE"/>
    <s v="CAR"/>
    <m/>
    <m/>
    <m/>
    <x v="472"/>
    <s v="Tyler Gaffney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63025"/>
    <x v="0"/>
    <s v="Nathan"/>
    <s v="Nathan Cottrell"/>
    <s v="Cottrell"/>
    <n v="0"/>
    <n v="6"/>
    <n v="4500"/>
    <s v="BUF@JAC"/>
    <s v="JAC"/>
    <s v="BUF"/>
    <m/>
    <m/>
    <m/>
    <x v="473"/>
    <s v="Nathan Cottrell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60978"/>
    <x v="0"/>
    <s v="Carl"/>
    <s v="Carl Tucker"/>
    <s v="Tucker"/>
    <m/>
    <m/>
    <n v="4500"/>
    <s v="HOU@MIA"/>
    <s v="MIA"/>
    <s v="HOU"/>
    <m/>
    <m/>
    <m/>
    <x v="474"/>
    <s v="Carl Tucker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71228"/>
    <x v="2"/>
    <s v="Marquez"/>
    <s v="Marquez Stevenson"/>
    <s v="Stevenson"/>
    <m/>
    <m/>
    <n v="4500"/>
    <s v="BUF@JAC"/>
    <s v="BUF"/>
    <s v="JAC"/>
    <s v="IR"/>
    <s v="Head"/>
    <m/>
    <x v="475"/>
    <s v="Marquez Stevenson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0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70206"/>
    <x v="0"/>
    <s v="Jason"/>
    <s v="Jason Huntley"/>
    <s v="Huntley"/>
    <n v="0.480000019073486"/>
    <n v="5"/>
    <n v="4500"/>
    <s v="LAC@PHI"/>
    <s v="PHI"/>
    <s v="LAC"/>
    <m/>
    <m/>
    <m/>
    <x v="476"/>
    <s v="Jason Huntley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54863"/>
    <x v="2"/>
    <s v="C.J."/>
    <s v="C.J. Goodwin"/>
    <s v="Goodwin"/>
    <n v="0"/>
    <n v="5"/>
    <n v="4500"/>
    <s v="DEN@DAL"/>
    <s v="DAL"/>
    <s v="DEN"/>
    <m/>
    <m/>
    <m/>
    <x v="477"/>
    <s v="C.J. Goodwin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62042"/>
    <x v="2"/>
    <s v="Deon"/>
    <s v="Deon Cain"/>
    <s v="Cain"/>
    <n v="0"/>
    <n v="1"/>
    <n v="4500"/>
    <s v="LAC@PHI"/>
    <s v="PHI"/>
    <s v="LAC"/>
    <m/>
    <m/>
    <m/>
    <x v="478"/>
    <s v="Deon Cain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69215"/>
    <x v="2"/>
    <s v="Josh"/>
    <s v="Josh Imatorbhebhe"/>
    <s v="Imatorbhebhe"/>
    <m/>
    <m/>
    <n v="4500"/>
    <s v="BUF@JAC"/>
    <s v="JAC"/>
    <s v="BUF"/>
    <m/>
    <m/>
    <m/>
    <x v="479"/>
    <s v="Josh Imatorbhebhe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72297"/>
    <x v="0"/>
    <s v="Rico"/>
    <s v="Rico Dowdle"/>
    <s v="Dowdle"/>
    <n v="0.80000003178914303"/>
    <n v="3"/>
    <n v="4500"/>
    <s v="DEN@DAL"/>
    <s v="DAL"/>
    <s v="DEN"/>
    <s v="IR"/>
    <s v="Hip"/>
    <m/>
    <x v="480"/>
    <s v="Rico Dowdle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0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87657"/>
    <x v="2"/>
    <s v="Seth"/>
    <s v="Seth Williams"/>
    <s v="Williams"/>
    <m/>
    <m/>
    <n v="4500"/>
    <s v="DEN@DAL"/>
    <s v="DEN"/>
    <s v="DAL"/>
    <m/>
    <m/>
    <m/>
    <x v="481"/>
    <s v="Seth Williams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104041"/>
    <x v="2"/>
    <s v="Myron"/>
    <s v="Myron Mitchell"/>
    <s v="Mitchell"/>
    <m/>
    <m/>
    <n v="4500"/>
    <s v="MIN@BAL"/>
    <s v="MIN"/>
    <s v="BAL"/>
    <m/>
    <m/>
    <m/>
    <x v="482"/>
    <s v="Myron Mitchell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88685"/>
    <x v="2"/>
    <s v="Austin"/>
    <s v="Austin Trammell"/>
    <s v="Trammell"/>
    <m/>
    <m/>
    <n v="4500"/>
    <s v="ATL@NO"/>
    <s v="ATL"/>
    <s v="NO"/>
    <m/>
    <m/>
    <m/>
    <x v="483"/>
    <s v="Austin Trammell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56946"/>
    <x v="2"/>
    <s v="Ventell"/>
    <s v="Ventell Bryant"/>
    <s v="Bryant"/>
    <n v="0"/>
    <n v="1"/>
    <n v="4500"/>
    <s v="NE@CAR"/>
    <s v="CAR"/>
    <s v="NE"/>
    <m/>
    <m/>
    <m/>
    <x v="484"/>
    <s v="Ventell Bryant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33403"/>
    <x v="2"/>
    <s v="Tevin"/>
    <s v="Tevin Jones"/>
    <s v="Jones"/>
    <n v="0"/>
    <n v="1"/>
    <n v="4500"/>
    <s v="BUF@JAC"/>
    <s v="JAC"/>
    <s v="BUF"/>
    <m/>
    <m/>
    <m/>
    <x v="485"/>
    <s v="Tevin Jones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93824"/>
    <x v="2"/>
    <s v="Easop"/>
    <s v="Easop Winston Jr."/>
    <s v="Winston Jr."/>
    <n v="0"/>
    <n v="2"/>
    <n v="4500"/>
    <s v="ATL@NO"/>
    <s v="NO"/>
    <s v="ATL"/>
    <m/>
    <m/>
    <m/>
    <x v="486"/>
    <s v="Easop Winston Jr.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94850"/>
    <x v="2"/>
    <s v="Jhamon"/>
    <s v="Jhamon Ausbon"/>
    <s v="Ausbon"/>
    <m/>
    <m/>
    <n v="4500"/>
    <s v="LAC@PHI"/>
    <s v="PHI"/>
    <s v="LAC"/>
    <m/>
    <m/>
    <m/>
    <x v="487"/>
    <s v="Jhamon Ausbon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27273"/>
    <x v="0"/>
    <s v="Andy"/>
    <s v="Andy Janovich"/>
    <s v="Janovich"/>
    <n v="2.6666666666666599"/>
    <n v="3"/>
    <n v="4500"/>
    <s v="CLE@CIN"/>
    <s v="CLE"/>
    <s v="CIN"/>
    <m/>
    <m/>
    <m/>
    <x v="488"/>
    <s v="Andy Janovich"/>
    <n v="5.884615384615385"/>
    <n v="3.7029702970297032"/>
    <n v="8.5794392523364493"/>
    <n v="0"/>
    <n v="0"/>
    <n v="0"/>
    <n v="0"/>
    <n v="0"/>
    <n v="0"/>
    <n v="0"/>
    <n v="0"/>
    <n v="0"/>
    <n v="0"/>
    <n v="0.4"/>
    <n v="0"/>
    <n v="0"/>
    <n v="0.2"/>
    <n v="26.716825649263725"/>
    <n v="36.583174350736272"/>
    <n v="1"/>
    <n v="0"/>
    <n v="0"/>
    <n v="0"/>
    <n v="0"/>
    <n v="0"/>
    <n v="23.30952380952381"/>
    <n v="0"/>
    <n v="0"/>
    <n v="0"/>
    <n v="0"/>
    <n v="0"/>
    <n v="0.4"/>
    <n v="31.019047619047615"/>
    <n v="0.47175109693918443"/>
    <n v="0"/>
    <n v="0"/>
    <n v="0"/>
    <n v="0"/>
    <n v="0"/>
  </r>
  <r>
    <s v="66282-61072"/>
    <x v="2"/>
    <s v="Stanley"/>
    <s v="Stanley Morgan"/>
    <s v="Morgan"/>
    <n v="0"/>
    <n v="1"/>
    <n v="4500"/>
    <s v="CLE@CIN"/>
    <s v="CIN"/>
    <s v="CLE"/>
    <m/>
    <m/>
    <m/>
    <x v="489"/>
    <s v="Stanley Morgan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90777"/>
    <x v="2"/>
    <s v="Tre"/>
    <s v="Tre Walker"/>
    <s v="Walker"/>
    <m/>
    <m/>
    <n v="4500"/>
    <s v="BUF@JAC"/>
    <s v="BUF"/>
    <s v="JAC"/>
    <m/>
    <m/>
    <m/>
    <x v="490"/>
    <s v="Tre Walker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47780"/>
    <x v="2"/>
    <s v="Taywan"/>
    <s v="Taywan Taylor"/>
    <s v="Taylor"/>
    <n v="0"/>
    <n v="2"/>
    <n v="4500"/>
    <s v="HOU@MIA"/>
    <s v="HOU"/>
    <s v="MIA"/>
    <s v="Q"/>
    <s v="Undisclosed"/>
    <m/>
    <x v="491"/>
    <s v="Taywan Taylor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52902"/>
    <x v="2"/>
    <s v="Trey"/>
    <s v="Trey Quinn"/>
    <s v="Quinn"/>
    <n v="0"/>
    <n v="3"/>
    <n v="4500"/>
    <s v="LV@NYG"/>
    <s v="LV"/>
    <s v="NYG"/>
    <s v="Q"/>
    <s v="Undisclosed"/>
    <m/>
    <x v="492"/>
    <s v="Trey Quinn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64175"/>
    <x v="2"/>
    <s v="Hakeem"/>
    <s v="Hakeem Butler"/>
    <s v="Butler"/>
    <n v="0"/>
    <n v="2"/>
    <n v="4500"/>
    <s v="LAC@PHI"/>
    <s v="PHI"/>
    <s v="LAC"/>
    <m/>
    <m/>
    <m/>
    <x v="493"/>
    <s v="Hakeem Butler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96942"/>
    <x v="2"/>
    <s v="Keelan"/>
    <s v="Keelan Doss"/>
    <s v="Doss"/>
    <m/>
    <m/>
    <n v="4500"/>
    <s v="ATL@NO"/>
    <s v="ATL"/>
    <s v="NO"/>
    <m/>
    <m/>
    <m/>
    <x v="494"/>
    <s v="Keelan Doss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7856"/>
    <x v="2"/>
    <s v="Matthew"/>
    <s v="Matthew Slater"/>
    <s v="Slater"/>
    <n v="0"/>
    <n v="1"/>
    <n v="4500"/>
    <s v="NE@CAR"/>
    <s v="NE"/>
    <s v="CAR"/>
    <m/>
    <m/>
    <m/>
    <x v="495"/>
    <s v="Matthew Slater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52917"/>
    <x v="2"/>
    <s v="DJ"/>
    <s v="DJ Chark Jr."/>
    <s v="Chark Jr."/>
    <n v="10.299999872843401"/>
    <n v="3"/>
    <n v="4500"/>
    <s v="BUF@JAC"/>
    <s v="JAC"/>
    <s v="BUF"/>
    <s v="IR"/>
    <s v="Ankle"/>
    <m/>
    <x v="496"/>
    <s v="DJ Chark"/>
    <n v="5.34"/>
    <n v="3.393939393939394"/>
    <n v="9.3684210526315788"/>
    <n v="0"/>
    <n v="0"/>
    <n v="0"/>
    <n v="0"/>
    <n v="0"/>
    <n v="1.75"/>
    <n v="38.5"/>
    <n v="22"/>
    <n v="57"/>
    <n v="5.5"/>
    <n v="0"/>
    <n v="0"/>
    <n v="0"/>
    <n v="0"/>
    <n v="44.656477842721628"/>
    <n v="14.343522157278372"/>
    <n v="0"/>
    <n v="0"/>
    <n v="0"/>
    <n v="0"/>
    <n v="0"/>
    <n v="0"/>
    <n v="34.133333333333333"/>
    <n v="0"/>
    <n v="0"/>
    <n v="0"/>
    <n v="19.603053009203101"/>
    <n v="0"/>
    <n v="0"/>
    <n v="20.466666666666665"/>
    <n v="0"/>
    <n v="0"/>
    <n v="0"/>
    <n v="0"/>
    <n v="0"/>
    <n v="0"/>
  </r>
  <r>
    <s v="66282-89785"/>
    <x v="0"/>
    <s v="Spencer"/>
    <s v="Spencer Brown"/>
    <s v="Brown"/>
    <m/>
    <m/>
    <n v="4500"/>
    <s v="NE@CAR"/>
    <s v="CAR"/>
    <s v="NE"/>
    <m/>
    <m/>
    <m/>
    <x v="497"/>
    <s v="Spencer Brown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58041"/>
    <x v="0"/>
    <s v="Mike"/>
    <s v="Mike Boone"/>
    <s v="Boone"/>
    <n v="0.80000001192092896"/>
    <n v="1"/>
    <n v="4500"/>
    <s v="DEN@DAL"/>
    <s v="DEN"/>
    <s v="DAL"/>
    <m/>
    <m/>
    <m/>
    <x v="498"/>
    <s v="Mike Boone"/>
    <n v="7.6538461538461542"/>
    <n v="4.6888888888888891"/>
    <n v="11.306818181818182"/>
    <n v="0"/>
    <n v="0"/>
    <n v="0"/>
    <n v="0"/>
    <n v="1"/>
    <n v="1"/>
    <n v="3"/>
    <n v="3"/>
    <n v="0"/>
    <n v="3"/>
    <n v="0"/>
    <n v="0"/>
    <n v="0"/>
    <n v="0"/>
    <n v="29.854056299344741"/>
    <n v="32.74594370065526"/>
    <n v="1"/>
    <n v="0"/>
    <n v="0"/>
    <n v="0"/>
    <n v="0"/>
    <n v="1"/>
    <n v="31.547619047619044"/>
    <n v="0.9463172562811164"/>
    <n v="1"/>
    <n v="0.9463172562811164"/>
    <n v="3.2262372069625598"/>
    <n v="3.0530439418048618"/>
    <n v="0"/>
    <n v="12.714285714285715"/>
    <n v="0"/>
    <n v="0"/>
    <n v="0"/>
    <n v="0.80530439418048616"/>
    <n v="0.17895653204010803"/>
    <n v="0.22222222222222221"/>
  </r>
  <r>
    <s v="66282-71355"/>
    <x v="0"/>
    <s v="Elijah"/>
    <s v="Elijah Holyfield"/>
    <s v="Holyfield"/>
    <n v="0"/>
    <n v="1"/>
    <n v="4500"/>
    <s v="CLE@CIN"/>
    <s v="CIN"/>
    <s v="CLE"/>
    <m/>
    <m/>
    <m/>
    <x v="499"/>
    <s v="Elijah Holyfield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104124"/>
    <x v="2"/>
    <s v="Darrius"/>
    <s v="Darrius Shepherd"/>
    <s v="Shepherd"/>
    <n v="0.72857141494750899"/>
    <n v="7"/>
    <n v="4500"/>
    <s v="GB@KC"/>
    <s v="KC"/>
    <s v="GB"/>
    <m/>
    <m/>
    <m/>
    <x v="500"/>
    <s v="Darrius Shepherd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71359"/>
    <x v="2"/>
    <s v="Javon"/>
    <s v="Javon Wims"/>
    <s v="Wims"/>
    <n v="1.57272720336914"/>
    <n v="11"/>
    <n v="4500"/>
    <s v="LV@NYG"/>
    <s v="LV"/>
    <s v="NYG"/>
    <m/>
    <m/>
    <m/>
    <x v="501"/>
    <s v="Javon Wims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69310"/>
    <x v="2"/>
    <s v="Josh"/>
    <s v="Josh Hammond"/>
    <s v="Hammond"/>
    <n v="0"/>
    <n v="2"/>
    <n v="4500"/>
    <s v="BUF@JAC"/>
    <s v="JAC"/>
    <s v="BUF"/>
    <m/>
    <m/>
    <m/>
    <x v="502"/>
    <s v="Josh Hammond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72382"/>
    <x v="0"/>
    <s v="Gabe"/>
    <s v="Gabe Nabers"/>
    <s v="Nabers"/>
    <n v="1.13333336512247"/>
    <n v="3"/>
    <n v="4500"/>
    <s v="LAC@PHI"/>
    <s v="LAC"/>
    <s v="PHI"/>
    <m/>
    <m/>
    <m/>
    <x v="503"/>
    <s v="Gabe Nabers"/>
    <n v="5.9890109890109891"/>
    <n v="3.8190476190476192"/>
    <n v="8.515625"/>
    <n v="0"/>
    <n v="0"/>
    <n v="0"/>
    <n v="0"/>
    <n v="0.5"/>
    <n v="0.5"/>
    <n v="2.8333333333333335"/>
    <n v="5.7"/>
    <n v="0"/>
    <n v="0.95000000000000007"/>
    <n v="0.16666666666666666"/>
    <n v="1.21875"/>
    <n v="2"/>
    <n v="0"/>
    <n v="30.851495621477966"/>
    <n v="35.648504378522034"/>
    <n v="1"/>
    <n v="0"/>
    <n v="0"/>
    <n v="0"/>
    <n v="0"/>
    <n v="0.5"/>
    <n v="35.500000000000007"/>
    <n v="0.43452810734476"/>
    <n v="0.5"/>
    <n v="0.43452810734476"/>
    <n v="4.6166400635561606"/>
    <n v="2.006059869109051"/>
    <n v="0.16666666666666666"/>
    <n v="19.5"/>
    <n v="0.3046880716112994"/>
    <n v="1.8469681958822624"/>
    <n v="0.56274917793076717"/>
    <n v="0.50688090470398173"/>
    <n v="0.11264020104532928"/>
    <n v="0.1111111111111111"/>
  </r>
  <r>
    <s v="66282-73406"/>
    <x v="2"/>
    <s v="DeVontres"/>
    <s v="DeVontres Dukes"/>
    <s v="Dukes"/>
    <m/>
    <m/>
    <n v="4500"/>
    <s v="DEN@DAL"/>
    <s v="DEN"/>
    <s v="DAL"/>
    <s v="Q"/>
    <s v="Undisclosed"/>
    <m/>
    <x v="504"/>
    <s v="DeVontres Dukes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64205"/>
    <x v="2"/>
    <s v="Jalen"/>
    <s v="Jalen McCleskey"/>
    <s v="McCleskey"/>
    <n v="0"/>
    <n v="1"/>
    <n v="4500"/>
    <s v="ATL@NO"/>
    <s v="NO"/>
    <s v="ATL"/>
    <s v="Q"/>
    <s v="Hamstring"/>
    <m/>
    <x v="505"/>
    <s v="Jalen McCleskey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71372"/>
    <x v="2"/>
    <s v="Tyrie"/>
    <s v="Tyrie Cleveland"/>
    <s v="Cleveland"/>
    <n v="0"/>
    <n v="1"/>
    <n v="4500"/>
    <s v="DEN@DAL"/>
    <s v="DEN"/>
    <s v="DAL"/>
    <m/>
    <m/>
    <m/>
    <x v="506"/>
    <s v="Tyrie Cleveland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65231"/>
    <x v="0"/>
    <s v="Adam"/>
    <s v="Adam Prentice"/>
    <s v="Prentice"/>
    <m/>
    <m/>
    <n v="4500"/>
    <s v="ATL@NO"/>
    <s v="NO"/>
    <s v="ATL"/>
    <m/>
    <m/>
    <m/>
    <x v="507"/>
    <s v="Adam Prentice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71382"/>
    <x v="2"/>
    <s v="Osirus"/>
    <s v="Osirus Mitchell"/>
    <s v="Mitchell"/>
    <m/>
    <m/>
    <n v="4500"/>
    <s v="DEN@DAL"/>
    <s v="DAL"/>
    <s v="DEN"/>
    <s v="O"/>
    <s v="Foot"/>
    <m/>
    <x v="508"/>
    <s v="Osirus Mitchell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0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88793"/>
    <x v="0"/>
    <s v="Stevie"/>
    <s v="Stevie Scott III"/>
    <s v="Scott III"/>
    <m/>
    <m/>
    <n v="4500"/>
    <s v="DEN@DAL"/>
    <s v="DEN"/>
    <s v="DAL"/>
    <m/>
    <m/>
    <m/>
    <x v="509"/>
    <s v="Stevie Scott III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89817"/>
    <x v="2"/>
    <s v="Austin"/>
    <s v="Austin Watkins Jr."/>
    <s v="Watkins Jr."/>
    <m/>
    <m/>
    <n v="4500"/>
    <s v="ARI@SF"/>
    <s v="SF"/>
    <s v="ARI"/>
    <m/>
    <m/>
    <m/>
    <x v="510"/>
    <s v="Austin Watkins Jr.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147168"/>
    <x v="2"/>
    <s v="Chris"/>
    <s v="Chris Blair"/>
    <s v="Blair"/>
    <m/>
    <m/>
    <n v="4500"/>
    <s v="GB@KC"/>
    <s v="GB"/>
    <s v="KC"/>
    <m/>
    <m/>
    <m/>
    <x v="511"/>
    <s v="Chris Blair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38634"/>
    <x v="2"/>
    <s v="Ryan"/>
    <s v="Ryan Switzer"/>
    <s v="Switzer"/>
    <n v="0"/>
    <n v="1"/>
    <n v="4500"/>
    <s v="CLE@CIN"/>
    <s v="CLE"/>
    <s v="CIN"/>
    <s v="IR"/>
    <s v="Foot"/>
    <m/>
    <x v="512"/>
    <s v="Ryan Switzer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0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87787"/>
    <x v="0"/>
    <s v="J.K."/>
    <s v="J.K. Dobbins"/>
    <s v="Dobbins"/>
    <n v="10.617647058823501"/>
    <n v="17"/>
    <n v="4500"/>
    <s v="MIN@BAL"/>
    <s v="BAL"/>
    <s v="MIN"/>
    <s v="IR"/>
    <s v="Knee - acl"/>
    <m/>
    <x v="513"/>
    <s v="J.K. Dobbins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0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56051"/>
    <x v="2"/>
    <s v="Caleb"/>
    <s v="Caleb Scott"/>
    <s v="Scott"/>
    <m/>
    <m/>
    <n v="4500"/>
    <s v="LV@NYG"/>
    <s v="LV"/>
    <s v="NYG"/>
    <s v="Q"/>
    <s v="Undisclosed"/>
    <m/>
    <x v="514"/>
    <s v="Caleb Scott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88830"/>
    <x v="2"/>
    <s v="Whop"/>
    <s v="Whop Philyor"/>
    <s v="Philyor"/>
    <m/>
    <m/>
    <n v="4500"/>
    <s v="MIN@BAL"/>
    <s v="MIN"/>
    <s v="BAL"/>
    <m/>
    <m/>
    <m/>
    <x v="515"/>
    <s v="Whop Philyor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56064"/>
    <x v="0"/>
    <s v="Bo"/>
    <s v="Bo Scarbrough"/>
    <s v="Scarbrough"/>
    <n v="1.54999995231628"/>
    <n v="2"/>
    <n v="4500"/>
    <s v="LV@NYG"/>
    <s v="LV"/>
    <s v="NYG"/>
    <m/>
    <m/>
    <m/>
    <x v="516"/>
    <s v="Bo Scarbrough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85762"/>
    <x v="0"/>
    <s v="Eno"/>
    <s v="Eno Benjamin"/>
    <s v="Benjamin"/>
    <n v="0.69999998807907104"/>
    <n v="1"/>
    <n v="4500"/>
    <s v="ARI@SF"/>
    <s v="ARI"/>
    <s v="SF"/>
    <m/>
    <m/>
    <m/>
    <x v="517"/>
    <s v="Eno Benjamin"/>
    <n v="6.5263157894736841"/>
    <n v="4.7051282051282053"/>
    <n v="10.191780821917808"/>
    <n v="0"/>
    <n v="0"/>
    <n v="0"/>
    <n v="0"/>
    <n v="0"/>
    <n v="0"/>
    <n v="0"/>
    <n v="0"/>
    <n v="0"/>
    <n v="0"/>
    <n v="1"/>
    <n v="0"/>
    <n v="3.5"/>
    <n v="0"/>
    <e v="#N/A"/>
    <e v="#N/A"/>
    <n v="1"/>
    <n v="0"/>
    <n v="0"/>
    <n v="0"/>
    <n v="0"/>
    <n v="0"/>
    <n v="26.625"/>
    <e v="#N/A"/>
    <n v="0"/>
    <n v="0"/>
    <n v="0"/>
    <n v="0"/>
    <n v="1"/>
    <n v="32.208333333333329"/>
    <n v="0"/>
    <n v="3.9821155124868985"/>
    <n v="0"/>
    <n v="0"/>
    <n v="0"/>
    <n v="0"/>
  </r>
  <r>
    <s v="66282-41741"/>
    <x v="2"/>
    <s v="DaeSean"/>
    <s v="DaeSean Hamilton"/>
    <s v="Hamilton"/>
    <n v="4.2333332697550397"/>
    <n v="12"/>
    <n v="4500"/>
    <s v="DEN@DAL"/>
    <s v="DEN"/>
    <s v="DAL"/>
    <s v="IR"/>
    <s v="Knee - acl"/>
    <m/>
    <x v="518"/>
    <s v="DaeSean Hamilton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0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61200"/>
    <x v="2"/>
    <s v="Jaylinn"/>
    <s v="Jaylinn Hawkins"/>
    <s v="Hawkins"/>
    <n v="0"/>
    <n v="1"/>
    <n v="4500"/>
    <s v="ATL@NO"/>
    <s v="ATL"/>
    <s v="NO"/>
    <m/>
    <m/>
    <m/>
    <x v="519"/>
    <s v="Jaylinn Hawkins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94993"/>
    <x v="0"/>
    <s v="Pooka"/>
    <s v="Pooka Williams Jr."/>
    <s v="Williams Jr."/>
    <m/>
    <m/>
    <n v="4500"/>
    <s v="CLE@CIN"/>
    <s v="CIN"/>
    <s v="CLE"/>
    <m/>
    <m/>
    <m/>
    <x v="520"/>
    <s v="Pooka Williams Jr.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56099"/>
    <x v="0"/>
    <s v="Cullen"/>
    <s v="Cullen Gillaspia"/>
    <s v="Gillaspia"/>
    <n v="0.55000001192092896"/>
    <n v="2"/>
    <n v="4500"/>
    <s v="LV@NYG"/>
    <s v="NYG"/>
    <s v="LV"/>
    <m/>
    <m/>
    <m/>
    <x v="521"/>
    <s v="Cullen Gillaspia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72493"/>
    <x v="2"/>
    <s v="Trishton"/>
    <s v="Trishton Jackson"/>
    <s v="Jackson"/>
    <n v="0"/>
    <n v="2"/>
    <n v="4500"/>
    <s v="MIN@BAL"/>
    <s v="MIN"/>
    <s v="BAL"/>
    <m/>
    <m/>
    <m/>
    <x v="522"/>
    <s v="Trishton Jackson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55088"/>
    <x v="2"/>
    <s v="Malik"/>
    <s v="Malik Turner"/>
    <s v="Turner"/>
    <n v="0"/>
    <n v="1"/>
    <n v="4500"/>
    <s v="DEN@DAL"/>
    <s v="DAL"/>
    <s v="DEN"/>
    <m/>
    <m/>
    <m/>
    <x v="523"/>
    <s v="Malik Turner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43826"/>
    <x v="2"/>
    <s v="Tommylee"/>
    <s v="Tommylee Lewis"/>
    <s v="Lewis"/>
    <n v="0.480000019073486"/>
    <n v="5"/>
    <n v="4500"/>
    <s v="ATL@NO"/>
    <s v="NO"/>
    <s v="ATL"/>
    <s v="Q"/>
    <s v="Undisclosed"/>
    <m/>
    <x v="524"/>
    <s v="Tommylee Lewis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65331"/>
    <x v="0"/>
    <s v="Sutton"/>
    <s v="Sutton Smith"/>
    <s v="Smith"/>
    <n v="0"/>
    <n v="1"/>
    <n v="4500"/>
    <s v="ATL@NO"/>
    <s v="NO"/>
    <s v="ATL"/>
    <m/>
    <m/>
    <m/>
    <x v="525"/>
    <s v="Sutton Smith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32564"/>
    <x v="2"/>
    <s v="Josh"/>
    <s v="Josh Doctson"/>
    <s v="Doctson"/>
    <n v="0"/>
    <n v="1"/>
    <n v="4500"/>
    <s v="ARI@SF"/>
    <s v="ARI"/>
    <s v="SF"/>
    <m/>
    <m/>
    <m/>
    <x v="526"/>
    <s v="Josh Doctson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71477"/>
    <x v="2"/>
    <s v="Maurice"/>
    <s v="Maurice Ffrench"/>
    <s v="Ffrench"/>
    <m/>
    <m/>
    <n v="4500"/>
    <s v="LAC@PHI"/>
    <s v="LAC"/>
    <s v="PHI"/>
    <m/>
    <m/>
    <m/>
    <x v="527"/>
    <s v="Maurice Ffrench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38721"/>
    <x v="0"/>
    <s v="Johnny"/>
    <s v="Johnny Stanton IV"/>
    <s v="Stanton IV"/>
    <n v="4.0999999046325604"/>
    <n v="2"/>
    <n v="4500"/>
    <s v="CLE@CIN"/>
    <s v="CLE"/>
    <s v="CIN"/>
    <m/>
    <m/>
    <m/>
    <x v="528"/>
    <s v="Johnny Stanton IV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31561"/>
    <x v="2"/>
    <s v="Donte"/>
    <s v="Donte Moncrief"/>
    <s v="Moncrief"/>
    <n v="0.40000001589457101"/>
    <n v="6"/>
    <n v="4500"/>
    <s v="HOU@MIA"/>
    <s v="HOU"/>
    <s v="MIA"/>
    <s v="Q"/>
    <s v="Undisclosed"/>
    <m/>
    <x v="529"/>
    <s v="Donte Moncrief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41806"/>
    <x v="2"/>
    <s v="Laquon"/>
    <s v="Laquon Treadwell"/>
    <s v="Treadwell"/>
    <n v="0"/>
    <n v="2"/>
    <n v="4500"/>
    <s v="BUF@JAC"/>
    <s v="JAC"/>
    <s v="BUF"/>
    <m/>
    <m/>
    <m/>
    <x v="530"/>
    <s v="Laquon Treadwell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73551"/>
    <x v="2"/>
    <s v="Stantley"/>
    <s v="Stantley Thomas-Oliver III"/>
    <s v="Thomas-Oliver III"/>
    <n v="0"/>
    <n v="2"/>
    <n v="4500"/>
    <s v="NE@CAR"/>
    <s v="CAR"/>
    <s v="NE"/>
    <s v="Q"/>
    <s v="Toe"/>
    <m/>
    <x v="531"/>
    <s v="Stantley Thomas-Oliver III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28502"/>
    <x v="2"/>
    <s v="Devin"/>
    <s v="Devin Smith"/>
    <s v="Smith"/>
    <n v="0"/>
    <n v="1"/>
    <n v="4500"/>
    <s v="NE@CAR"/>
    <s v="CAR"/>
    <s v="NE"/>
    <m/>
    <m/>
    <m/>
    <x v="532"/>
    <s v="Devin Smith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63319"/>
    <x v="2"/>
    <s v="K.J."/>
    <s v="K.J. Hill"/>
    <s v="Hill"/>
    <n v="0.75"/>
    <n v="6"/>
    <n v="4500"/>
    <s v="LAC@PHI"/>
    <s v="LAC"/>
    <s v="PHI"/>
    <m/>
    <m/>
    <m/>
    <x v="533"/>
    <s v="K.J. Hill"/>
    <n v="5.9890109890109891"/>
    <n v="3.8190476190476192"/>
    <n v="8.515625"/>
    <n v="0"/>
    <n v="0"/>
    <n v="0"/>
    <n v="0"/>
    <n v="0.5"/>
    <n v="0.5"/>
    <n v="5"/>
    <n v="10"/>
    <n v="22"/>
    <n v="1.6666666666666667"/>
    <n v="0"/>
    <n v="0"/>
    <n v="0"/>
    <n v="0"/>
    <n v="30.851495621477966"/>
    <n v="35.648504378522034"/>
    <n v="1"/>
    <n v="0"/>
    <n v="0"/>
    <n v="0"/>
    <n v="0"/>
    <n v="0.5"/>
    <n v="35.500000000000007"/>
    <n v="0.43452810734476"/>
    <n v="0.5"/>
    <n v="0.43452810734476"/>
    <n v="8.0993685325546672"/>
    <n v="3.5194032791386856"/>
    <n v="0"/>
    <n v="19.5"/>
    <n v="0"/>
    <n v="0"/>
    <n v="0"/>
    <n v="0.60194032791386853"/>
    <n v="0.133764517314193"/>
    <n v="0.1111111111111111"/>
  </r>
  <r>
    <s v="66282-71519"/>
    <x v="2"/>
    <s v="Dillon"/>
    <s v="Dillon Stoner"/>
    <s v="Stoner"/>
    <m/>
    <m/>
    <n v="4500"/>
    <s v="LV@NYG"/>
    <s v="LV"/>
    <s v="NYG"/>
    <m/>
    <m/>
    <m/>
    <x v="534"/>
    <s v="Dillon Stoner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71521"/>
    <x v="0"/>
    <s v="Justice"/>
    <s v="Justice Hill"/>
    <s v="Hill"/>
    <n v="1.3125"/>
    <n v="8"/>
    <n v="4500"/>
    <s v="MIN@BAL"/>
    <s v="BAL"/>
    <s v="MIN"/>
    <s v="IR"/>
    <s v="Achilles"/>
    <m/>
    <x v="535"/>
    <s v="Justice Hill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0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63330"/>
    <x v="0"/>
    <s v="Mike"/>
    <s v="Mike Weber"/>
    <s v="Weber"/>
    <m/>
    <m/>
    <n v="4500"/>
    <s v="LV@NYG"/>
    <s v="NYG"/>
    <s v="LV"/>
    <s v="Q"/>
    <s v="Hip"/>
    <m/>
    <x v="536"/>
    <s v="Mike Weber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70501"/>
    <x v="0"/>
    <s v="C.J."/>
    <s v="C.J. Ham"/>
    <s v="Ham"/>
    <n v="1.5"/>
    <n v="6"/>
    <n v="4500"/>
    <s v="MIN@BAL"/>
    <s v="MIN"/>
    <s v="BAL"/>
    <m/>
    <m/>
    <m/>
    <x v="537"/>
    <s v="C.J. Ham"/>
    <n v="8"/>
    <n v="3.5909090909090908"/>
    <n v="11.8"/>
    <n v="0"/>
    <n v="0"/>
    <n v="0"/>
    <n v="0"/>
    <n v="0.5"/>
    <n v="0.5"/>
    <n v="3.8333333333333335"/>
    <n v="7.7"/>
    <n v="18"/>
    <n v="1.2833333333333334"/>
    <n v="0.83333333333333337"/>
    <n v="0"/>
    <n v="6.8"/>
    <n v="0"/>
    <n v="25.759493140243904"/>
    <n v="38.040506859756093"/>
    <n v="1"/>
    <n v="0"/>
    <n v="0"/>
    <n v="0"/>
    <n v="0"/>
    <n v="0.5"/>
    <n v="38.833333333333329"/>
    <n v="0.33166729365120912"/>
    <n v="0.5"/>
    <n v="0.33166729365120912"/>
    <n v="8.6418627507425132"/>
    <n v="2.8662232306439628"/>
    <n v="0.83333333333333337"/>
    <n v="33.833333333333336"/>
    <n v="0.93695829703832734"/>
    <n v="5.9045617806016137"/>
    <n v="5.5323281507100814"/>
    <n v="1.0898551381354045"/>
    <n v="0.24219003069675654"/>
    <n v="0.1111111111111111"/>
  </r>
  <r>
    <s v="66282-64357"/>
    <x v="2"/>
    <s v="Michael"/>
    <s v="Michael Walker"/>
    <s v="Walker"/>
    <n v="0"/>
    <n v="2"/>
    <n v="4500"/>
    <s v="LAC@PHI"/>
    <s v="PHI"/>
    <s v="LAC"/>
    <s v="Q"/>
    <s v="Undisclosed"/>
    <m/>
    <x v="538"/>
    <s v="Michael Walker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89956"/>
    <x v="0"/>
    <s v="Travis"/>
    <s v="Travis Etienne"/>
    <s v="Etienne"/>
    <m/>
    <m/>
    <n v="4500"/>
    <s v="BUF@JAC"/>
    <s v="JAC"/>
    <s v="BUF"/>
    <s v="IR"/>
    <s v="Foot"/>
    <m/>
    <x v="539"/>
    <s v="Travis Etienne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0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104297"/>
    <x v="2"/>
    <s v="Jason"/>
    <s v="Jason Moore Jr."/>
    <s v="Moore Jr."/>
    <n v="0"/>
    <n v="1"/>
    <n v="4500"/>
    <s v="LAC@PHI"/>
    <s v="LAC"/>
    <s v="PHI"/>
    <s v="Q"/>
    <s v="Undisclosed"/>
    <m/>
    <x v="540"/>
    <s v="Jason Moore Jr.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72552"/>
    <x v="2"/>
    <s v="Branden"/>
    <s v="Branden Mack"/>
    <s v="Mack"/>
    <m/>
    <m/>
    <n v="4500"/>
    <s v="DEN@DAL"/>
    <s v="DEN"/>
    <s v="DAL"/>
    <m/>
    <m/>
    <m/>
    <x v="541"/>
    <s v="Branden Mack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57208"/>
    <x v="2"/>
    <s v="KeeSean"/>
    <s v="KeeSean Johnson"/>
    <s v="Johnson"/>
    <n v="2.4799999237060502"/>
    <n v="10"/>
    <n v="4500"/>
    <s v="LAC@PHI"/>
    <s v="PHI"/>
    <s v="LAC"/>
    <m/>
    <m/>
    <m/>
    <x v="542"/>
    <s v="KeeSean Johnson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93055"/>
    <x v="2"/>
    <s v="Isaiah"/>
    <s v="Isaiah Hodgins"/>
    <s v="Hodgins"/>
    <m/>
    <m/>
    <n v="4500"/>
    <s v="BUF@JAC"/>
    <s v="BUF"/>
    <s v="JAC"/>
    <s v="Q"/>
    <s v="Knee"/>
    <m/>
    <x v="543"/>
    <s v="Isaiah Hodgins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63360"/>
    <x v="2"/>
    <s v="Antonio"/>
    <s v="Antonio Callaway"/>
    <s v="Callaway"/>
    <n v="0.75"/>
    <n v="4"/>
    <n v="4500"/>
    <s v="GB@KC"/>
    <s v="KC"/>
    <s v="GB"/>
    <s v="Q"/>
    <s v="Knee"/>
    <m/>
    <x v="544"/>
    <s v="Antonio Callaway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28545"/>
    <x v="0"/>
    <s v="Rod"/>
    <s v="Rod Smith"/>
    <s v="Smith"/>
    <n v="0"/>
    <n v="1"/>
    <n v="4500"/>
    <s v="NE@CAR"/>
    <s v="CAR"/>
    <s v="NE"/>
    <m/>
    <m/>
    <m/>
    <x v="545"/>
    <s v="Rod Smith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43912"/>
    <x v="2"/>
    <s v="Chad"/>
    <s v="Chad Beebe"/>
    <s v="Beebe"/>
    <n v="3.6454544067382799"/>
    <n v="11"/>
    <n v="4500"/>
    <s v="MIN@BAL"/>
    <s v="MIN"/>
    <s v="BAL"/>
    <s v="IR"/>
    <s v="Foot"/>
    <m/>
    <x v="546"/>
    <s v="Chad Beebe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0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64405"/>
    <x v="2"/>
    <s v="Dan"/>
    <s v="Dan Chisena"/>
    <s v="Chisena"/>
    <m/>
    <m/>
    <n v="4500"/>
    <s v="MIN@BAL"/>
    <s v="MIN"/>
    <s v="BAL"/>
    <m/>
    <m/>
    <m/>
    <x v="547"/>
    <s v="Dan Chisena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63383"/>
    <x v="0"/>
    <s v="Jordan"/>
    <s v="Jordan Scarlett"/>
    <s v="Scarlett"/>
    <n v="0"/>
    <n v="2"/>
    <n v="4500"/>
    <s v="HOU@MIA"/>
    <s v="MIA"/>
    <s v="HOU"/>
    <m/>
    <m/>
    <m/>
    <x v="548"/>
    <s v="Jordan Scarlett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40866"/>
    <x v="2"/>
    <s v="J'Mon"/>
    <s v="J'Mon Moore"/>
    <s v="Moore"/>
    <n v="0"/>
    <n v="1"/>
    <n v="4500"/>
    <s v="ATL@NO"/>
    <s v="ATL"/>
    <s v="NO"/>
    <s v="Q"/>
    <s v="Undisclosed"/>
    <m/>
    <x v="549"/>
    <s v="J'Mon Moore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63399"/>
    <x v="2"/>
    <s v="Terry"/>
    <s v="Terry Godwin"/>
    <s v="Godwin"/>
    <n v="1.25"/>
    <n v="4"/>
    <n v="4500"/>
    <s v="BUF@JAC"/>
    <s v="JAC"/>
    <s v="BUF"/>
    <s v="IR"/>
    <s v="Undisclosed"/>
    <m/>
    <x v="550"/>
    <s v="Terry Godwin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0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34729"/>
    <x v="0"/>
    <s v="Dwayne"/>
    <s v="Dwayne Washington"/>
    <s v="Washington"/>
    <n v="1.6000000238418499"/>
    <n v="1"/>
    <n v="4500"/>
    <s v="ATL@NO"/>
    <s v="NO"/>
    <s v="ATL"/>
    <m/>
    <m/>
    <m/>
    <x v="551"/>
    <s v="Dwayne Washington"/>
    <n v="7.2264150943396226"/>
    <n v="4.4936708860759493"/>
    <n v="10.213333333333333"/>
    <n v="0"/>
    <n v="0"/>
    <n v="0"/>
    <n v="0"/>
    <n v="0.2"/>
    <n v="0.2"/>
    <n v="1.2"/>
    <n v="6"/>
    <n v="0"/>
    <n v="1.2"/>
    <n v="0.2"/>
    <n v="0"/>
    <n v="5"/>
    <n v="0"/>
    <n v="40.544120654665065"/>
    <n v="22.955879345334939"/>
    <n v="1"/>
    <n v="0"/>
    <n v="0"/>
    <n v="0"/>
    <n v="0"/>
    <n v="0.2"/>
    <n v="24.533333333333335"/>
    <n v="0.33052272272824779"/>
    <n v="0.2"/>
    <n v="0.33052272272824779"/>
    <n v="5.8284542082929907"/>
    <n v="1.9264365542219131"/>
    <n v="0.2"/>
    <n v="23.45"/>
    <n v="0.19578575134614024"/>
    <n v="5.4330739213289023"/>
    <n v="1.0637184598064995"/>
    <n v="0.39901550140284126"/>
    <n v="8.8670111422853609E-2"/>
    <n v="4.4444444444444446E-2"/>
  </r>
  <r>
    <s v="66282-54186"/>
    <x v="2"/>
    <s v="A.J."/>
    <s v="A.J. Richardson"/>
    <s v="Richardson"/>
    <n v="0"/>
    <n v="2"/>
    <n v="4500"/>
    <s v="ARI@SF"/>
    <s v="ARI"/>
    <s v="SF"/>
    <m/>
    <m/>
    <m/>
    <x v="552"/>
    <s v="A.J. Richardson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72627"/>
    <x v="0"/>
    <s v="Patrick"/>
    <s v="Patrick Taylor"/>
    <s v="Taylor"/>
    <m/>
    <m/>
    <n v="4500"/>
    <s v="GB@KC"/>
    <s v="GB"/>
    <s v="KC"/>
    <m/>
    <m/>
    <m/>
    <x v="553"/>
    <s v="Patrick Taylor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69558"/>
    <x v="2"/>
    <s v="Greg"/>
    <s v="Greg Dortch"/>
    <s v="Dortch"/>
    <n v="0"/>
    <n v="2"/>
    <n v="4500"/>
    <s v="ARI@SF"/>
    <s v="ARI"/>
    <s v="SF"/>
    <m/>
    <m/>
    <m/>
    <x v="554"/>
    <s v="Greg Dortch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55224"/>
    <x v="0"/>
    <s v="Reggie"/>
    <s v="Reggie Bonnafon"/>
    <s v="Bonnafon"/>
    <n v="3.9249999523162802"/>
    <n v="4"/>
    <n v="4500"/>
    <s v="NE@CAR"/>
    <s v="CAR"/>
    <s v="NE"/>
    <m/>
    <m/>
    <m/>
    <x v="555"/>
    <s v="Reggie Bonnafon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103352"/>
    <x v="0"/>
    <s v="Christian"/>
    <s v="Christian Wade"/>
    <s v="Wade"/>
    <m/>
    <m/>
    <n v="4500"/>
    <s v="BUF@JAC"/>
    <s v="BUF"/>
    <s v="JAC"/>
    <s v="O"/>
    <s v="Shoulder"/>
    <m/>
    <x v="556"/>
    <s v="Christian Wade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0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63419"/>
    <x v="2"/>
    <s v="Andy"/>
    <s v="Andy Isabella"/>
    <s v="Isabella"/>
    <n v="4.0272726579145903"/>
    <n v="11"/>
    <n v="4500"/>
    <s v="ARI@SF"/>
    <s v="ARI"/>
    <s v="SF"/>
    <m/>
    <m/>
    <m/>
    <x v="557"/>
    <s v="Andy Isabella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61379"/>
    <x v="0"/>
    <s v="Kerrith"/>
    <s v="Kerrith Whyte Jr."/>
    <s v="Whyte Jr."/>
    <n v="0"/>
    <n v="1"/>
    <n v="4500"/>
    <s v="BUF@JAC"/>
    <s v="JAC"/>
    <s v="BUF"/>
    <m/>
    <m/>
    <m/>
    <x v="558"/>
    <s v="Kerrith Whyte Jr.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43973"/>
    <x v="0"/>
    <s v="Keith"/>
    <s v="Keith Smith"/>
    <s v="Smith"/>
    <n v="1.0333333015441799"/>
    <n v="6"/>
    <n v="4500"/>
    <s v="ATL@NO"/>
    <s v="ATL"/>
    <s v="NO"/>
    <m/>
    <m/>
    <m/>
    <x v="559"/>
    <s v="Keith Smith"/>
    <n v="5.895161290322581"/>
    <n v="2.7846153846153845"/>
    <n v="9.6184210526315788"/>
    <n v="0"/>
    <n v="0"/>
    <n v="0"/>
    <n v="0"/>
    <n v="0.83333333333333337"/>
    <n v="0.66666666666666663"/>
    <n v="4"/>
    <n v="6"/>
    <n v="11"/>
    <n v="1"/>
    <n v="0.83333333333333337"/>
    <n v="6.71875"/>
    <n v="3.6"/>
    <n v="0"/>
    <n v="37.013107313686163"/>
    <n v="26.586892686313835"/>
    <n v="1"/>
    <n v="0"/>
    <n v="0"/>
    <n v="0"/>
    <n v="0"/>
    <n v="0.83333333333333337"/>
    <n v="33.666666666666664"/>
    <n v="0.91616602261599422"/>
    <n v="0.66666666666666663"/>
    <n v="0.73293281809279531"/>
    <n v="5.4889549603144019"/>
    <n v="4.0230352274476617"/>
    <n v="0.83333333333333337"/>
    <n v="25.833333333333332"/>
    <n v="0.85764169955851099"/>
    <n v="2.4240527532298599"/>
    <n v="2.0789687230995448"/>
    <n v="0.94353372838805405"/>
    <n v="0.209674161864012"/>
    <n v="0.1851851851851852"/>
  </r>
  <r>
    <s v="66282-69577"/>
    <x v="0"/>
    <s v="Tre"/>
    <s v="Tre Harbison"/>
    <s v="Harbison"/>
    <m/>
    <m/>
    <n v="4500"/>
    <s v="CLE@CIN"/>
    <s v="CLE"/>
    <s v="CIN"/>
    <s v="IR"/>
    <s v="Concussion"/>
    <m/>
    <x v="560"/>
    <s v="Tre Harbison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0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91101"/>
    <x v="3"/>
    <s v="Tommy"/>
    <s v="Tommy Tremble"/>
    <s v="Tremble"/>
    <n v="3.6999999455043202"/>
    <n v="7"/>
    <n v="4500"/>
    <s v="NE@CAR"/>
    <s v="CAR"/>
    <s v="NE"/>
    <m/>
    <m/>
    <m/>
    <x v="561"/>
    <s v="Tommy Tremble"/>
    <n v="5.9135802469135799"/>
    <n v="4"/>
    <n v="9.9791666666666661"/>
    <n v="0"/>
    <n v="0"/>
    <n v="0"/>
    <n v="0"/>
    <n v="1.4285714285714286"/>
    <n v="0.7142857142857143"/>
    <n v="7.7142857142857144"/>
    <n v="10.8"/>
    <n v="0"/>
    <n v="1.5428571428571429"/>
    <n v="0.2857142857142857"/>
    <n v="0"/>
    <n v="3.5"/>
    <n v="0.14285714285714285"/>
    <n v="42.879374651732974"/>
    <n v="18.220625348267024"/>
    <n v="1"/>
    <n v="0"/>
    <n v="0"/>
    <n v="0"/>
    <n v="0"/>
    <n v="1.4285714285714286"/>
    <n v="45.690476190476197"/>
    <n v="1.3406787280375081"/>
    <n v="0.7142857142857143"/>
    <n v="0.67033936401875405"/>
    <n v="10.250679704614511"/>
    <n v="6.8714341139512403"/>
    <n v="0.2857142857142857"/>
    <n v="38.333333333333336"/>
    <n v="0.13580590321689706"/>
    <n v="3.3853407081632487"/>
    <n v="0.45974925256903992"/>
    <n v="1.0902611937948852"/>
    <n v="0.24228026528775226"/>
    <n v="0.31746031746031744"/>
  </r>
  <r>
    <s v="66282-40932"/>
    <x v="2"/>
    <s v="Pharoh"/>
    <s v="Pharoh Cooper"/>
    <s v="Cooper"/>
    <n v="0.65333334604898996"/>
    <n v="15"/>
    <n v="4500"/>
    <s v="LV@NYG"/>
    <s v="NYG"/>
    <s v="LV"/>
    <m/>
    <m/>
    <m/>
    <x v="562"/>
    <s v="Pharoh Cooper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71661"/>
    <x v="2"/>
    <s v="Tino"/>
    <s v="Tino Ellis"/>
    <s v="Ellis"/>
    <m/>
    <m/>
    <n v="4500"/>
    <s v="HOU@MIA"/>
    <s v="MIA"/>
    <s v="HOU"/>
    <m/>
    <m/>
    <m/>
    <x v="563"/>
    <s v="Tino Ellis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104429"/>
    <x v="2"/>
    <s v="Khalil"/>
    <s v="Khalil McClain"/>
    <s v="McClain"/>
    <m/>
    <m/>
    <n v="4500"/>
    <s v="HOU@MIA"/>
    <s v="MIA"/>
    <s v="HOU"/>
    <m/>
    <m/>
    <m/>
    <x v="564"/>
    <s v="Khalil McClain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14319"/>
    <x v="0"/>
    <s v="Taiwan"/>
    <s v="Taiwan Jones"/>
    <s v="Jones"/>
    <n v="0"/>
    <n v="3"/>
    <n v="4500"/>
    <s v="BUF@JAC"/>
    <s v="BUF"/>
    <s v="JAC"/>
    <m/>
    <m/>
    <m/>
    <x v="565"/>
    <s v="Taiwan Jones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71662"/>
    <x v="2"/>
    <s v="DJ"/>
    <s v="DJ Turner"/>
    <s v="Turner"/>
    <m/>
    <m/>
    <n v="4500"/>
    <s v="LV@NYG"/>
    <s v="LV"/>
    <s v="NYG"/>
    <m/>
    <m/>
    <m/>
    <x v="566"/>
    <s v="DJ Turner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31732"/>
    <x v="2"/>
    <s v="Corey"/>
    <s v="Corey Coleman"/>
    <s v="Coleman"/>
    <n v="0"/>
    <n v="1"/>
    <n v="4500"/>
    <s v="LV@NYG"/>
    <s v="NYG"/>
    <s v="LV"/>
    <m/>
    <m/>
    <m/>
    <x v="567"/>
    <s v="Corey Coleman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70645"/>
    <x v="2"/>
    <s v="Eli"/>
    <s v="Eli Stove"/>
    <s v="Stove"/>
    <m/>
    <m/>
    <n v="4500"/>
    <s v="LAC@PHI"/>
    <s v="LAC"/>
    <s v="PHI"/>
    <s v="Q"/>
    <s v="Knee - acl"/>
    <m/>
    <x v="568"/>
    <s v="Eli Stove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72693"/>
    <x v="0"/>
    <s v="Adrian"/>
    <s v="Adrian Killins"/>
    <s v="Killins"/>
    <n v="-0.25"/>
    <n v="2"/>
    <n v="4500"/>
    <s v="DEN@DAL"/>
    <s v="DEN"/>
    <s v="DAL"/>
    <s v="IR"/>
    <s v="Ankle"/>
    <m/>
    <x v="569"/>
    <s v="Adrian Killins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0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39930"/>
    <x v="2"/>
    <s v="Reggie"/>
    <s v="Reggie Davis"/>
    <s v="Davis"/>
    <n v="0"/>
    <n v="2"/>
    <n v="4500"/>
    <s v="DEN@DAL"/>
    <s v="DAL"/>
    <s v="DEN"/>
    <m/>
    <m/>
    <m/>
    <x v="570"/>
    <s v="Reggie Davis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79967"/>
    <x v="3"/>
    <s v="Adam"/>
    <s v="Adam Shaheen"/>
    <s v="Shaheen"/>
    <n v="2.0250000953674299"/>
    <n v="4"/>
    <n v="4400"/>
    <s v="HOU@MIA"/>
    <s v="MIA"/>
    <s v="HOU"/>
    <m/>
    <m/>
    <m/>
    <x v="571"/>
    <s v="Adam Shaheen"/>
    <n v="7.6226415094339623"/>
    <n v="4.2048192771084336"/>
    <n v="11.542857142857143"/>
    <n v="0"/>
    <n v="0"/>
    <n v="0"/>
    <n v="0"/>
    <n v="1.6"/>
    <n v="1.2"/>
    <n v="7.6"/>
    <n v="6.3"/>
    <n v="0"/>
    <n v="1.26"/>
    <n v="0"/>
    <n v="0"/>
    <n v="0"/>
    <n v="0"/>
    <n v="40.244550246190627"/>
    <n v="21.855449753809374"/>
    <n v="1"/>
    <n v="0"/>
    <n v="0"/>
    <n v="0"/>
    <n v="0"/>
    <n v="1.6"/>
    <n v="27.457142857142856"/>
    <n v="2.3451558936385801"/>
    <n v="1.2"/>
    <n v="1.7588669202289349"/>
    <n v="6.916533779815051"/>
    <n v="12.165262467962693"/>
    <n v="0"/>
    <n v="17.464285714285712"/>
    <n v="0"/>
    <n v="0"/>
    <n v="0"/>
    <n v="1.8165262467962693"/>
    <n v="0.41284687427187933"/>
    <n v="0.36363636363636365"/>
  </r>
  <r>
    <s v="66282-130270"/>
    <x v="3"/>
    <s v="Adam"/>
    <s v="Adam Trautman"/>
    <s v="Trautman"/>
    <n v="2.31666660308837"/>
    <n v="6"/>
    <n v="4400"/>
    <s v="ATL@NO"/>
    <s v="NO"/>
    <s v="ATL"/>
    <m/>
    <m/>
    <m/>
    <x v="572"/>
    <s v="Adam Trautman"/>
    <n v="7.2264150943396226"/>
    <n v="4.4936708860759493"/>
    <n v="10.213333333333333"/>
    <n v="0"/>
    <n v="0"/>
    <n v="0"/>
    <n v="0"/>
    <n v="2.1666666666666665"/>
    <n v="1.5"/>
    <n v="16.666666666666668"/>
    <n v="11.1"/>
    <n v="24.5"/>
    <n v="1.8499999999999999"/>
    <n v="0"/>
    <n v="0"/>
    <n v="0"/>
    <n v="0"/>
    <n v="40.544120654665065"/>
    <n v="22.955879345334939"/>
    <n v="1"/>
    <n v="0"/>
    <n v="0"/>
    <n v="0"/>
    <n v="0"/>
    <n v="2.1666666666666665"/>
    <n v="24.533333333333335"/>
    <n v="3.5806628295560174"/>
    <n v="1.5"/>
    <n v="2.4789204204618587"/>
    <n v="10.782640285342033"/>
    <n v="26.729307189829051"/>
    <n v="0"/>
    <n v="23.45"/>
    <n v="0"/>
    <n v="0"/>
    <n v="0"/>
    <n v="3.4229307189829052"/>
    <n v="0.77793879976884206"/>
    <n v="0.49242424242424238"/>
  </r>
  <r>
    <s v="66282-12546"/>
    <x v="4"/>
    <s v="Arizona"/>
    <s v="Arizona Cardinals"/>
    <s v="Cardinals"/>
    <n v="9.375"/>
    <n v="8"/>
    <n v="4400"/>
    <s v="ARI@SF"/>
    <s v="ARI"/>
    <s v="SF"/>
    <m/>
    <m/>
    <m/>
    <x v="573"/>
    <s v="ARI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61112"/>
    <x v="3"/>
    <s v="Josiah"/>
    <s v="Josiah Deguara"/>
    <s v="Deguara"/>
    <n v="1.6000000635782801"/>
    <n v="3"/>
    <n v="4400"/>
    <s v="GB@KC"/>
    <s v="GB"/>
    <s v="KC"/>
    <m/>
    <m/>
    <m/>
    <x v="574"/>
    <s v="Josiah Deguara"/>
    <n v="8.7934782608695645"/>
    <n v="5.404494382022472"/>
    <n v="12.446153846153846"/>
    <n v="0"/>
    <n v="0"/>
    <n v="0"/>
    <n v="0"/>
    <n v="0.5714285714285714"/>
    <n v="0.5714285714285714"/>
    <n v="4"/>
    <n v="7"/>
    <n v="0"/>
    <n v="1"/>
    <n v="0"/>
    <n v="0"/>
    <n v="0"/>
    <n v="0"/>
    <e v="#N/A"/>
    <e v="#N/A"/>
    <n v="1"/>
    <n v="0"/>
    <n v="0"/>
    <n v="0"/>
    <n v="0"/>
    <n v="0.5714285714285714"/>
    <n v="30.583333333333336"/>
    <e v="#N/A"/>
    <n v="0.5714285714285714"/>
    <n v="0"/>
    <n v="8.2864370811315542"/>
    <n v="0"/>
    <n v="0"/>
    <n v="14.916666666666666"/>
    <n v="0"/>
    <n v="0"/>
    <n v="0"/>
    <n v="0.2857142857142857"/>
    <n v="6.4935064935064929E-2"/>
    <n v="0.12987012987012986"/>
  </r>
  <r>
    <s v="66282-104278"/>
    <x v="3"/>
    <s v="Donald"/>
    <s v="Donald Parham Jr."/>
    <s v="Parham Jr."/>
    <n v="5"/>
    <n v="5"/>
    <n v="4400"/>
    <s v="LAC@PHI"/>
    <s v="LAC"/>
    <s v="PHI"/>
    <m/>
    <m/>
    <m/>
    <x v="575"/>
    <s v="Donald Parham Jr.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55336"/>
    <x v="3"/>
    <s v="Chris"/>
    <s v="Chris Herndon"/>
    <s v="Herndon"/>
    <n v="2.63333336512247"/>
    <n v="3"/>
    <n v="4300"/>
    <s v="MIN@BAL"/>
    <s v="MIN"/>
    <s v="BAL"/>
    <m/>
    <m/>
    <m/>
    <x v="576"/>
    <s v="Chris Herndon"/>
    <n v="8"/>
    <n v="3.5909090909090908"/>
    <n v="11.8"/>
    <n v="0"/>
    <n v="0"/>
    <n v="0"/>
    <n v="0"/>
    <n v="0.5"/>
    <n v="0.16666666666666666"/>
    <n v="0.33333333333333331"/>
    <n v="2"/>
    <n v="0"/>
    <n v="0.33333333333333331"/>
    <n v="0"/>
    <n v="0"/>
    <n v="0"/>
    <n v="0"/>
    <n v="25.759493140243904"/>
    <n v="38.040506859756093"/>
    <n v="1"/>
    <n v="0"/>
    <n v="0"/>
    <n v="0"/>
    <n v="0"/>
    <n v="0.5"/>
    <n v="38.833333333333329"/>
    <n v="0.33166729365120912"/>
    <n v="0.16666666666666666"/>
    <n v="0.11055576455040303"/>
    <n v="2.244639675517536"/>
    <n v="0.24815785546700977"/>
    <n v="0"/>
    <n v="33.833333333333336"/>
    <n v="0"/>
    <n v="0"/>
    <n v="0"/>
    <n v="0.10814911888003431"/>
    <n v="2.515095787907775E-2"/>
    <n v="0.11627906976744186"/>
  </r>
  <r>
    <s v="66282-12539"/>
    <x v="4"/>
    <s v="Miami"/>
    <s v="Miami Dolphins"/>
    <s v="Dolphins"/>
    <n v="3.375"/>
    <n v="8"/>
    <n v="4300"/>
    <s v="HOU@MIA"/>
    <s v="MIA"/>
    <s v="HOU"/>
    <m/>
    <m/>
    <m/>
    <x v="577"/>
    <s v="MIA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45472"/>
    <x v="3"/>
    <s v="Garrett"/>
    <s v="Garrett Griffin"/>
    <s v="Griffin"/>
    <n v="4.5"/>
    <n v="1"/>
    <n v="4300"/>
    <s v="ATL@NO"/>
    <s v="NO"/>
    <s v="ATL"/>
    <m/>
    <m/>
    <m/>
    <x v="578"/>
    <s v="Garrett Griffin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63907"/>
    <x v="3"/>
    <s v="Josh"/>
    <s v="Josh Oliver"/>
    <s v="Oliver"/>
    <n v="1.3428570883614599"/>
    <n v="7"/>
    <n v="4300"/>
    <s v="MIN@BAL"/>
    <s v="BAL"/>
    <s v="MIN"/>
    <m/>
    <m/>
    <m/>
    <x v="579"/>
    <s v="Josh Oliver"/>
    <n v="9.1684210526315795"/>
    <n v="4.7733333333333334"/>
    <n v="12.097222222222221"/>
    <n v="0"/>
    <n v="0"/>
    <n v="0"/>
    <n v="0"/>
    <n v="1.7142857142857142"/>
    <n v="1"/>
    <n v="8.4285714285714288"/>
    <n v="8.4"/>
    <n v="0"/>
    <n v="1.2"/>
    <n v="0"/>
    <n v="0"/>
    <n v="0"/>
    <n v="0"/>
    <e v="#N/A"/>
    <e v="#N/A"/>
    <n v="1"/>
    <n v="0"/>
    <n v="0"/>
    <n v="0"/>
    <n v="0"/>
    <n v="1.7142857142857142"/>
    <n v="39.43333333333333"/>
    <e v="#N/A"/>
    <n v="1"/>
    <n v="0"/>
    <n v="9.664949224315265"/>
    <n v="0"/>
    <n v="0"/>
    <n v="28.528571428571428"/>
    <n v="0"/>
    <n v="0"/>
    <n v="0"/>
    <n v="0.5"/>
    <n v="0.11627906976744186"/>
    <n v="0.39867109634551495"/>
  </r>
  <r>
    <s v="66282-73176"/>
    <x v="3"/>
    <s v="Luke"/>
    <s v="Luke Farrell"/>
    <s v="Farrell"/>
    <n v="1.3166666825612301"/>
    <n v="6"/>
    <n v="4300"/>
    <s v="BUF@JAC"/>
    <s v="JAC"/>
    <s v="BUF"/>
    <m/>
    <m/>
    <m/>
    <x v="580"/>
    <s v="Luke Farrell"/>
    <n v="5.34"/>
    <n v="3.393939393939394"/>
    <n v="9.3684210526315788"/>
    <n v="0"/>
    <n v="0"/>
    <n v="0"/>
    <n v="0"/>
    <n v="1"/>
    <n v="0.83333333333333337"/>
    <n v="7.666666666666667"/>
    <n v="9.1999999999999993"/>
    <n v="0"/>
    <n v="1.5333333333333332"/>
    <n v="0"/>
    <n v="0"/>
    <n v="0"/>
    <n v="0"/>
    <n v="44.656477842721628"/>
    <n v="14.343522157278372"/>
    <n v="1"/>
    <n v="0"/>
    <n v="0"/>
    <n v="0"/>
    <n v="0"/>
    <n v="1"/>
    <n v="34.133333333333333"/>
    <n v="1.3082952492984852"/>
    <n v="0.83333333333333337"/>
    <n v="1.0902460410820711"/>
    <n v="8.1976403493031142"/>
    <n v="8.9374449370423665"/>
    <n v="0"/>
    <n v="20.466666666666665"/>
    <n v="0"/>
    <n v="0"/>
    <n v="0"/>
    <n v="1.3104111603709034"/>
    <n v="0.30474678148160544"/>
    <n v="0.23255813953488372"/>
  </r>
  <r>
    <s v="66282-6672"/>
    <x v="3"/>
    <s v="Marcedes"/>
    <s v="Marcedes Lewis"/>
    <s v="Lewis"/>
    <n v="2.55000003178914"/>
    <n v="6"/>
    <n v="4300"/>
    <s v="GB@KC"/>
    <s v="GB"/>
    <s v="KC"/>
    <m/>
    <m/>
    <m/>
    <x v="581"/>
    <s v="Marcedes Lewis"/>
    <n v="8.7934782608695645"/>
    <n v="5.404494382022472"/>
    <n v="12.446153846153846"/>
    <n v="0"/>
    <n v="0"/>
    <n v="0"/>
    <n v="0"/>
    <n v="1.375"/>
    <n v="1.125"/>
    <n v="13.5"/>
    <n v="12"/>
    <n v="27.5"/>
    <n v="1.5"/>
    <n v="0"/>
    <n v="0"/>
    <n v="0"/>
    <n v="0"/>
    <e v="#N/A"/>
    <e v="#N/A"/>
    <n v="1"/>
    <n v="0"/>
    <n v="0"/>
    <n v="0"/>
    <n v="0"/>
    <n v="1.375"/>
    <n v="30.583333333333336"/>
    <e v="#N/A"/>
    <n v="1.125"/>
    <n v="0"/>
    <n v="14.205320710511236"/>
    <n v="0"/>
    <n v="0"/>
    <n v="14.916666666666666"/>
    <n v="0"/>
    <n v="0"/>
    <n v="0"/>
    <n v="0.5625"/>
    <n v="0.1308139534883721"/>
    <n v="0.31976744186046513"/>
  </r>
  <r>
    <s v="66282-29314"/>
    <x v="3"/>
    <s v="Richard"/>
    <s v="Richard Rodgers"/>
    <s v="Rodgers"/>
    <n v="7.3125"/>
    <n v="8"/>
    <n v="4300"/>
    <s v="LAC@PHI"/>
    <s v="PHI"/>
    <s v="LAC"/>
    <m/>
    <m/>
    <m/>
    <x v="582"/>
    <s v="Richard Rodgers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71351"/>
    <x v="3"/>
    <s v="Charlie"/>
    <s v="Charlie Woerner"/>
    <s v="Woerner"/>
    <n v="2.0333333015441801"/>
    <n v="3"/>
    <n v="4300"/>
    <s v="ARI@SF"/>
    <s v="SF"/>
    <s v="ARI"/>
    <m/>
    <m/>
    <m/>
    <x v="583"/>
    <s v="Charlie Woerner"/>
    <n v="5.9411764705882355"/>
    <n v="5.4102564102564106"/>
    <n v="9.1818181818181817"/>
    <n v="0"/>
    <n v="0"/>
    <n v="0"/>
    <n v="0"/>
    <n v="0.5"/>
    <n v="0.5"/>
    <n v="5.666666666666667"/>
    <n v="11.3"/>
    <n v="0"/>
    <n v="1.8833333333333335"/>
    <n v="0"/>
    <n v="0"/>
    <n v="0"/>
    <n v="0"/>
    <n v="33.198546563443358"/>
    <n v="30.201453436556637"/>
    <n v="1"/>
    <n v="0"/>
    <n v="0"/>
    <n v="0"/>
    <n v="0"/>
    <n v="0.5"/>
    <n v="34.266666666666673"/>
    <n v="0.48441458993351194"/>
    <n v="0.5"/>
    <n v="0.48441458993351194"/>
    <n v="9.8682868323118775"/>
    <n v="4.7803421192206335"/>
    <n v="0"/>
    <n v="23.6"/>
    <n v="0"/>
    <n v="0"/>
    <n v="0"/>
    <n v="0.7280342119220633"/>
    <n v="0.16931028184234032"/>
    <n v="0.11627906976744186"/>
  </r>
  <r>
    <s v="66282-29411"/>
    <x v="3"/>
    <s v="Pharaoh"/>
    <s v="Pharaoh Brown"/>
    <s v="Brown"/>
    <n v="2.8999999364217102"/>
    <n v="6"/>
    <n v="4300"/>
    <s v="HOU@MIA"/>
    <s v="HOU"/>
    <s v="MIA"/>
    <s v="O"/>
    <s v="Thigh"/>
    <m/>
    <x v="584"/>
    <s v="Pharaoh Brown"/>
    <n v="6.9217391304347826"/>
    <n v="4.2947368421052632"/>
    <n v="11.055555555555555"/>
    <n v="0"/>
    <n v="0"/>
    <n v="0"/>
    <n v="0"/>
    <n v="0"/>
    <n v="1.7142857142857142"/>
    <n v="16.285714285714285"/>
    <n v="9.5"/>
    <n v="29"/>
    <n v="1.3571428571428572"/>
    <n v="0"/>
    <n v="0"/>
    <n v="0"/>
    <n v="0"/>
    <n v="40.537201150458387"/>
    <n v="17.062798849541611"/>
    <n v="0"/>
    <n v="0"/>
    <n v="0"/>
    <n v="0"/>
    <n v="0"/>
    <n v="0"/>
    <n v="28.440476190476193"/>
    <n v="0"/>
    <n v="0"/>
    <n v="0"/>
    <n v="9.9893863148914814"/>
    <n v="0"/>
    <n v="0"/>
    <n v="13.404761904761903"/>
    <n v="0"/>
    <n v="0"/>
    <n v="0"/>
    <n v="0"/>
    <n v="0"/>
    <n v="0"/>
  </r>
  <r>
    <s v="66282-14237"/>
    <x v="3"/>
    <s v="Kyle"/>
    <s v="Kyle Rudolph"/>
    <s v="Rudolph"/>
    <n v="3.4142856597900302"/>
    <n v="7"/>
    <n v="4300"/>
    <s v="LV@NYG"/>
    <s v="NYG"/>
    <s v="LV"/>
    <m/>
    <m/>
    <m/>
    <x v="585"/>
    <s v="Kyle Rudolph"/>
    <n v="5.9327731092436977"/>
    <n v="4.8133333333333335"/>
    <n v="9.0512820512820511"/>
    <n v="0"/>
    <n v="0"/>
    <n v="0"/>
    <n v="0"/>
    <n v="2.1428571428571428"/>
    <n v="1.4285714285714286"/>
    <n v="12.428571428571429"/>
    <n v="8.6999999999999993"/>
    <n v="15.5"/>
    <n v="1.2428571428571427"/>
    <n v="0"/>
    <n v="0"/>
    <n v="0"/>
    <n v="0"/>
    <n v="35.232477994905381"/>
    <n v="23.167522005094618"/>
    <n v="1"/>
    <n v="0"/>
    <n v="0"/>
    <n v="0"/>
    <n v="0"/>
    <n v="2.1428571428571428"/>
    <n v="28.607142857142854"/>
    <n v="2.6391369284573321"/>
    <n v="1.4285714285714286"/>
    <n v="1.759424618971555"/>
    <n v="7.4896924244696912"/>
    <n v="13.177549240136729"/>
    <n v="0"/>
    <n v="8.5333333333333314"/>
    <n v="0"/>
    <n v="0"/>
    <n v="0"/>
    <n v="2.0320406382993874"/>
    <n v="0.47256759030218315"/>
    <n v="0.49833887043189368"/>
  </r>
  <r>
    <s v="66282-70601"/>
    <x v="3"/>
    <s v="Harrison"/>
    <s v="Harrison Bryant"/>
    <s v="Bryant"/>
    <n v="2.7000001271565699"/>
    <n v="6"/>
    <n v="4300"/>
    <s v="CLE@CIN"/>
    <s v="CLE"/>
    <s v="CIN"/>
    <s v="Q"/>
    <s v="Thigh"/>
    <m/>
    <x v="586"/>
    <s v="Harrison Bryant"/>
    <n v="5.884615384615385"/>
    <n v="3.7029702970297032"/>
    <n v="8.5794392523364493"/>
    <n v="0"/>
    <n v="0"/>
    <n v="0"/>
    <n v="0"/>
    <n v="1.7142857142857142"/>
    <n v="1"/>
    <n v="12"/>
    <n v="12"/>
    <n v="26"/>
    <n v="1.7142857142857142"/>
    <n v="0"/>
    <n v="0"/>
    <n v="0"/>
    <n v="0"/>
    <n v="26.716825649263725"/>
    <n v="36.583174350736272"/>
    <n v="1"/>
    <n v="0"/>
    <n v="0"/>
    <n v="0"/>
    <n v="0"/>
    <n v="1.7142857142857142"/>
    <n v="23.30952380952381"/>
    <n v="1.9648737964729195"/>
    <n v="1"/>
    <n v="1.1461763812758698"/>
    <n v="9.7920761387221518"/>
    <n v="11.223446393858348"/>
    <n v="0"/>
    <n v="31.019047619047615"/>
    <n v="0"/>
    <n v="0"/>
    <n v="0"/>
    <n v="1.6223446393858347"/>
    <n v="0.37728945101996159"/>
    <n v="0.39867109634551495"/>
  </r>
  <r>
    <s v="66282-14348"/>
    <x v="3"/>
    <s v="Lee"/>
    <s v="Lee Smith"/>
    <s v="Smith"/>
    <n v="3.82500004768371"/>
    <n v="4"/>
    <n v="4200"/>
    <s v="ATL@NO"/>
    <s v="ATL"/>
    <s v="NO"/>
    <m/>
    <m/>
    <m/>
    <x v="587"/>
    <s v="Lee Smith"/>
    <n v="5.895161290322581"/>
    <n v="2.7846153846153845"/>
    <n v="9.6184210526315788"/>
    <n v="0"/>
    <n v="0"/>
    <n v="0"/>
    <n v="0"/>
    <n v="1.5"/>
    <n v="1.3333333333333333"/>
    <n v="8.8333333333333339"/>
    <n v="6.6"/>
    <n v="0"/>
    <n v="1.0999999999999999"/>
    <n v="0"/>
    <n v="0"/>
    <n v="0"/>
    <n v="0"/>
    <n v="37.013107313686163"/>
    <n v="26.586892686313835"/>
    <n v="1"/>
    <n v="0"/>
    <n v="0"/>
    <n v="0"/>
    <n v="0"/>
    <n v="1.5"/>
    <n v="33.666666666666664"/>
    <n v="1.6490988407087896"/>
    <n v="1.3333333333333333"/>
    <n v="1.4658656361855906"/>
    <n v="6.0378504563458426"/>
    <n v="8.8506775003848581"/>
    <n v="0"/>
    <n v="25.833333333333332"/>
    <n v="0"/>
    <n v="0"/>
    <n v="0"/>
    <n v="1.5517344167051523"/>
    <n v="0.36946057540598864"/>
    <n v="0.35714285714285715"/>
  </r>
  <r>
    <s v="66282-79980"/>
    <x v="3"/>
    <s v="Eric"/>
    <s v="Eric Saubert"/>
    <s v="Saubert"/>
    <n v="1.75"/>
    <n v="4"/>
    <n v="4200"/>
    <s v="DEN@DAL"/>
    <s v="DEN"/>
    <s v="DAL"/>
    <m/>
    <m/>
    <m/>
    <x v="588"/>
    <s v="Eric Saubert"/>
    <n v="7.6538461538461542"/>
    <n v="4.6888888888888891"/>
    <n v="11.306818181818182"/>
    <n v="0"/>
    <n v="0"/>
    <n v="0"/>
    <n v="0"/>
    <n v="1.2857142857142858"/>
    <n v="0.8571428571428571"/>
    <n v="5.7142857142857144"/>
    <n v="6.7"/>
    <n v="8"/>
    <n v="0.95714285714285718"/>
    <n v="0"/>
    <n v="0"/>
    <n v="0"/>
    <n v="0"/>
    <n v="29.854056299344741"/>
    <n v="32.74594370065526"/>
    <n v="1"/>
    <n v="0"/>
    <n v="0"/>
    <n v="0"/>
    <n v="0"/>
    <n v="1.2857142857142858"/>
    <n v="31.547619047619044"/>
    <n v="1.2166936152185783"/>
    <n v="0.8571428571428571"/>
    <n v="0.81112907681238555"/>
    <n v="7.205263095549717"/>
    <n v="5.8443984028835931"/>
    <n v="0"/>
    <n v="12.714285714285715"/>
    <n v="0"/>
    <n v="0"/>
    <n v="0"/>
    <n v="1.0130112688597879"/>
    <n v="0.24119315925233042"/>
    <n v="0.30612244897959184"/>
  </r>
  <r>
    <s v="66282-12537"/>
    <x v="4"/>
    <s v="Las Vegas"/>
    <s v="Las Vegas Raiders"/>
    <s v="Raiders"/>
    <n v="5.5714285714285703"/>
    <n v="7"/>
    <n v="4200"/>
    <s v="LV@NYG"/>
    <s v="LV"/>
    <s v="NYG"/>
    <m/>
    <m/>
    <m/>
    <x v="589"/>
    <s v="LV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12553"/>
    <x v="4"/>
    <s v="Carolina"/>
    <s v="Carolina Panthers"/>
    <s v="Panthers"/>
    <n v="6.875"/>
    <n v="8"/>
    <n v="4200"/>
    <s v="NE@CAR"/>
    <s v="CAR"/>
    <s v="NE"/>
    <m/>
    <m/>
    <m/>
    <x v="590"/>
    <s v="CAR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54007"/>
    <x v="3"/>
    <s v="Jacob"/>
    <s v="Jacob Hollister"/>
    <s v="Hollister"/>
    <n v="2.5250000953674299"/>
    <n v="4"/>
    <n v="4200"/>
    <s v="BUF@JAC"/>
    <s v="JAC"/>
    <s v="BUF"/>
    <m/>
    <m/>
    <m/>
    <x v="591"/>
    <s v="Jacob Hollister"/>
    <n v="5.34"/>
    <n v="3.393939393939394"/>
    <n v="9.3684210526315788"/>
    <n v="0"/>
    <n v="0"/>
    <n v="0"/>
    <n v="0"/>
    <n v="2.25"/>
    <n v="1"/>
    <n v="5.25"/>
    <n v="5.3"/>
    <n v="0"/>
    <n v="1.325"/>
    <n v="0"/>
    <n v="0"/>
    <n v="0"/>
    <n v="0"/>
    <n v="44.656477842721628"/>
    <n v="14.343522157278372"/>
    <n v="1"/>
    <n v="0"/>
    <n v="0"/>
    <n v="0"/>
    <n v="0"/>
    <n v="2.25"/>
    <n v="34.133333333333333"/>
    <n v="2.9436643109215916"/>
    <n v="1"/>
    <n v="1.3082952492984852"/>
    <n v="4.7225536794898382"/>
    <n v="6.1784945434336365"/>
    <n v="0"/>
    <n v="20.466666666666665"/>
    <n v="0"/>
    <n v="0"/>
    <n v="0"/>
    <n v="1.1178494543433637"/>
    <n v="0.26615463198651518"/>
    <n v="0.5357142857142857"/>
  </r>
  <r>
    <s v="66282-27403"/>
    <x v="3"/>
    <s v="Blake"/>
    <s v="Blake Bell"/>
    <s v="Bell"/>
    <n v="1.1000000000000001"/>
    <n v="5"/>
    <n v="4200"/>
    <s v="GB@KC"/>
    <s v="KC"/>
    <s v="GB"/>
    <m/>
    <m/>
    <m/>
    <x v="592"/>
    <s v="Blake Bell"/>
    <n v="6.3711340206185563"/>
    <n v="4.3797468354430382"/>
    <n v="9.3636363636363633"/>
    <n v="0"/>
    <n v="0"/>
    <n v="0"/>
    <n v="0"/>
    <n v="0.66666666666666663"/>
    <n v="0.66666666666666663"/>
    <n v="5.5"/>
    <n v="8.3000000000000007"/>
    <n v="13.5"/>
    <n v="1.3833333333333335"/>
    <n v="0.16666666666666666"/>
    <n v="1.0625"/>
    <n v="2"/>
    <n v="0"/>
    <n v="35.894621752555366"/>
    <n v="26.105378247444634"/>
    <n v="1"/>
    <n v="0"/>
    <n v="0"/>
    <n v="0"/>
    <n v="0"/>
    <n v="0.66666666666666663"/>
    <n v="38.357142857142847"/>
    <n v="0.62386679644416532"/>
    <n v="0.66666666666666663"/>
    <n v="0.62386679644416532"/>
    <n v="7.3919201024651056"/>
    <n v="4.6115735138961318"/>
    <n v="0.16666666666666666"/>
    <n v="15.523809523809524"/>
    <n v="0.28027246584679816"/>
    <n v="2.1181336076392117"/>
    <n v="0.59365452920601636"/>
    <n v="0.85385613764354806"/>
    <n v="0.20329908039132097"/>
    <n v="0.15873015873015872"/>
  </r>
  <r>
    <s v="66282-72515"/>
    <x v="3"/>
    <s v="Ian"/>
    <s v="Ian Thomas"/>
    <s v="Thomas"/>
    <n v="2.6428571428571401"/>
    <n v="7"/>
    <n v="4200"/>
    <s v="NE@CAR"/>
    <s v="CAR"/>
    <s v="NE"/>
    <m/>
    <m/>
    <m/>
    <x v="593"/>
    <s v="Ian Thomas"/>
    <n v="5.9135802469135799"/>
    <n v="4"/>
    <n v="9.9791666666666661"/>
    <n v="0"/>
    <n v="0"/>
    <n v="0"/>
    <n v="0"/>
    <n v="2.2857142857142856"/>
    <n v="1.4285714285714286"/>
    <n v="17.142857142857142"/>
    <n v="12"/>
    <n v="19"/>
    <n v="1.7142857142857142"/>
    <n v="0"/>
    <n v="0"/>
    <n v="0"/>
    <n v="0"/>
    <n v="42.879374651732974"/>
    <n v="18.220625348267024"/>
    <n v="1"/>
    <n v="0"/>
    <n v="0"/>
    <n v="0"/>
    <n v="0"/>
    <n v="2.2857142857142856"/>
    <n v="45.690476190476197"/>
    <n v="2.1450859648600131"/>
    <n v="1.4285714285714286"/>
    <n v="1.3406787280375081"/>
    <n v="11.389644116238342"/>
    <n v="15.269853586558309"/>
    <n v="0"/>
    <n v="38.333333333333336"/>
    <n v="0"/>
    <n v="0"/>
    <n v="0"/>
    <n v="2.241271072941545"/>
    <n v="0.53363596974798688"/>
    <n v="0.54421768707482987"/>
  </r>
  <r>
    <s v="66282-71806"/>
    <x v="3"/>
    <s v="Kaden"/>
    <s v="Kaden Smith"/>
    <s v="Smith"/>
    <n v="2.4000000953674299"/>
    <n v="2"/>
    <n v="4100"/>
    <s v="LV@NYG"/>
    <s v="NYG"/>
    <s v="LV"/>
    <m/>
    <m/>
    <m/>
    <x v="594"/>
    <s v="Kaden Smith"/>
    <n v="5.9327731092436977"/>
    <n v="4.8133333333333335"/>
    <n v="9.0512820512820511"/>
    <n v="0"/>
    <n v="0"/>
    <n v="0"/>
    <n v="0"/>
    <n v="0.42857142857142855"/>
    <n v="0.42857142857142855"/>
    <n v="4.7142857142857144"/>
    <n v="11"/>
    <n v="0"/>
    <n v="1.5714285714285714"/>
    <n v="0"/>
    <n v="0"/>
    <n v="0"/>
    <n v="0"/>
    <n v="35.232477994905381"/>
    <n v="23.167522005094618"/>
    <n v="1"/>
    <n v="0"/>
    <n v="0"/>
    <n v="0"/>
    <n v="0"/>
    <n v="0.42857142857142855"/>
    <n v="28.607142857142854"/>
    <n v="0.52782738569146637"/>
    <n v="0.42857142857142855"/>
    <n v="0.52782738569146637"/>
    <n v="9.4697260539271966"/>
    <n v="4.9983807462587579"/>
    <n v="0"/>
    <n v="8.5333333333333314"/>
    <n v="0"/>
    <n v="0"/>
    <n v="0"/>
    <n v="0.71412378891159012"/>
    <n v="0.17417653388087564"/>
    <n v="0.10452961672473868"/>
  </r>
  <r>
    <s v="66282-80011"/>
    <x v="3"/>
    <s v="Antony"/>
    <s v="Antony Auclair"/>
    <s v="Auclair"/>
    <n v="7.5999999046325604"/>
    <n v="1"/>
    <n v="4100"/>
    <s v="HOU@MIA"/>
    <s v="HOU"/>
    <s v="MIA"/>
    <m/>
    <m/>
    <m/>
    <x v="595"/>
    <s v="Antony Auclair"/>
    <n v="6.9217391304347826"/>
    <n v="4.2947368421052632"/>
    <n v="11.055555555555555"/>
    <n v="0"/>
    <n v="0"/>
    <n v="0"/>
    <n v="0"/>
    <n v="0.14285714285714285"/>
    <n v="0.14285714285714285"/>
    <n v="1.5714285714285714"/>
    <n v="11"/>
    <n v="0"/>
    <n v="1.5714285714285714"/>
    <n v="0"/>
    <n v="0"/>
    <n v="0"/>
    <n v="0"/>
    <n v="40.537201150458387"/>
    <n v="17.062798849541611"/>
    <n v="1"/>
    <n v="0"/>
    <n v="0"/>
    <n v="0"/>
    <n v="0"/>
    <n v="0.14285714285714285"/>
    <n v="28.440476190476193"/>
    <n v="0.20361926069715386"/>
    <n v="0.14285714285714285"/>
    <n v="0.20361926069715386"/>
    <n v="11.5666578382954"/>
    <n v="2.3551943177706494"/>
    <n v="0"/>
    <n v="13.404761904761903"/>
    <n v="0"/>
    <n v="0"/>
    <n v="0"/>
    <n v="0.30694800320563637"/>
    <n v="7.4865366635521069E-2"/>
    <n v="3.484320557491289E-2"/>
  </r>
  <r>
    <s v="66282-83117"/>
    <x v="3"/>
    <s v="Tanner"/>
    <s v="Tanner Hudson"/>
    <s v="Hudson"/>
    <n v="1.11999998092651"/>
    <n v="5"/>
    <n v="4100"/>
    <s v="ARI@SF"/>
    <s v="SF"/>
    <s v="ARI"/>
    <m/>
    <m/>
    <m/>
    <x v="596"/>
    <s v="Tanner Hudson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12529"/>
    <x v="4"/>
    <s v="Cleveland"/>
    <s v="Cleveland Browns"/>
    <s v="Browns"/>
    <n v="4.75"/>
    <n v="8"/>
    <n v="4100"/>
    <s v="CLE@CIN"/>
    <s v="CLE"/>
    <s v="CIN"/>
    <m/>
    <m/>
    <m/>
    <x v="597"/>
    <s v="CLE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12555"/>
    <x v="4"/>
    <s v="Baltimore"/>
    <s v="Baltimore Ravens"/>
    <s v="Ravens"/>
    <n v="5.2857142857142803"/>
    <n v="7"/>
    <n v="4100"/>
    <s v="MIN@BAL"/>
    <s v="BAL"/>
    <s v="MIN"/>
    <m/>
    <m/>
    <m/>
    <x v="598"/>
    <s v="BAL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65839"/>
    <x v="3"/>
    <s v="Kahale"/>
    <s v="Kahale Warring"/>
    <s v="Warring"/>
    <n v="1.25"/>
    <n v="4"/>
    <n v="4100"/>
    <s v="BUF@JAC"/>
    <s v="BUF"/>
    <s v="JAC"/>
    <m/>
    <m/>
    <m/>
    <x v="599"/>
    <s v="Kahale Warring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73089"/>
    <x v="3"/>
    <s v="Devin"/>
    <s v="Devin Asiasi"/>
    <s v="Asiasi"/>
    <n v="2.1799999237060499"/>
    <n v="5"/>
    <n v="4100"/>
    <s v="NE@CAR"/>
    <s v="NE"/>
    <s v="CAR"/>
    <m/>
    <m/>
    <m/>
    <x v="600"/>
    <s v="Devin Asiasi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56711"/>
    <x v="3"/>
    <s v="Drew"/>
    <s v="Drew Sample"/>
    <s v="Sample"/>
    <n v="0.94999998807907104"/>
    <n v="2"/>
    <n v="4100"/>
    <s v="CLE@CIN"/>
    <s v="CIN"/>
    <s v="CLE"/>
    <m/>
    <m/>
    <m/>
    <x v="601"/>
    <s v="Drew Sample"/>
    <n v="6.4117647058823533"/>
    <n v="3.140625"/>
    <n v="10.686274509803921"/>
    <n v="0"/>
    <n v="0"/>
    <n v="0"/>
    <n v="0"/>
    <n v="0.7142857142857143"/>
    <n v="0.2857142857142857"/>
    <n v="1.2857142857142858"/>
    <n v="4.5"/>
    <n v="0"/>
    <n v="0.6428571428571429"/>
    <n v="0"/>
    <n v="0"/>
    <n v="0"/>
    <n v="0"/>
    <n v="35.249369534050182"/>
    <n v="23.950630465949821"/>
    <n v="1"/>
    <n v="0"/>
    <n v="0"/>
    <n v="0"/>
    <n v="0"/>
    <n v="0.7142857142857143"/>
    <n v="32.859523809523814"/>
    <n v="0.76623511776067343"/>
    <n v="0.2857142857142857"/>
    <n v="0.30649404710426936"/>
    <n v="4.5737610536779298"/>
    <n v="1.4018305358296361"/>
    <n v="0"/>
    <n v="33.523809523809533"/>
    <n v="0"/>
    <n v="0"/>
    <n v="0"/>
    <n v="0.28304019644010647"/>
    <n v="6.9034194253684511E-2"/>
    <n v="0.17421602787456447"/>
  </r>
  <r>
    <s v="66282-31169"/>
    <x v="3"/>
    <s v="Jeremy"/>
    <s v="Jeremy Sprinkle"/>
    <s v="Sprinkle"/>
    <n v="0.480000019073486"/>
    <n v="5"/>
    <n v="4100"/>
    <s v="DEN@DAL"/>
    <s v="DAL"/>
    <s v="DEN"/>
    <m/>
    <m/>
    <m/>
    <x v="602"/>
    <s v="Jeremy Sprinkle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41469"/>
    <x v="3"/>
    <s v="Darrell"/>
    <s v="Darrell Daniels"/>
    <s v="Daniels"/>
    <n v="0"/>
    <n v="1"/>
    <n v="4100"/>
    <s v="ARI@SF"/>
    <s v="ARI"/>
    <s v="SF"/>
    <m/>
    <m/>
    <m/>
    <x v="603"/>
    <s v="Darrell Daniels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18009"/>
    <x v="3"/>
    <s v="Chris"/>
    <s v="Chris Manhertz"/>
    <s v="Manhertz"/>
    <n v="2.875"/>
    <n v="4"/>
    <n v="4100"/>
    <s v="BUF@JAC"/>
    <s v="JAC"/>
    <s v="BUF"/>
    <m/>
    <m/>
    <m/>
    <x v="604"/>
    <s v="Chris Manhertz"/>
    <n v="5.34"/>
    <n v="3.393939393939394"/>
    <n v="9.3684210526315788"/>
    <n v="0"/>
    <n v="0"/>
    <n v="0"/>
    <n v="0"/>
    <n v="0.66666666666666663"/>
    <n v="0.5"/>
    <n v="6.666666666666667"/>
    <n v="13.3"/>
    <n v="19.5"/>
    <n v="2.2166666666666668"/>
    <n v="0"/>
    <n v="0"/>
    <n v="0"/>
    <n v="0"/>
    <n v="44.656477842721628"/>
    <n v="14.343522157278372"/>
    <n v="1"/>
    <n v="0"/>
    <n v="0"/>
    <n v="0"/>
    <n v="0"/>
    <n v="0.66666666666666663"/>
    <n v="34.133333333333333"/>
    <n v="0.87219683286565686"/>
    <n v="0.5"/>
    <n v="0.65414762464924259"/>
    <n v="11.850936591927329"/>
    <n v="7.7522620214780531"/>
    <n v="0"/>
    <n v="20.466666666666665"/>
    <n v="0"/>
    <n v="0"/>
    <n v="0"/>
    <n v="1.0252262021478054"/>
    <n v="0.25005517125556231"/>
    <n v="0.16260162601626016"/>
  </r>
  <r>
    <s v="66282-29277"/>
    <x v="3"/>
    <s v="Stephen"/>
    <s v="Stephen Anderson"/>
    <s v="Anderson"/>
    <n v="1.3600000381469699"/>
    <n v="5"/>
    <n v="4100"/>
    <s v="LAC@PHI"/>
    <s v="LAC"/>
    <s v="PHI"/>
    <m/>
    <m/>
    <m/>
    <x v="605"/>
    <s v="Stephen Anderson"/>
    <n v="5.9890109890109891"/>
    <n v="3.8190476190476192"/>
    <n v="8.515625"/>
    <n v="0"/>
    <n v="0"/>
    <n v="0"/>
    <n v="0"/>
    <n v="1.3333333333333333"/>
    <n v="0.83333333333333337"/>
    <n v="7.166666666666667"/>
    <n v="8.6"/>
    <n v="12"/>
    <n v="1.4333333333333333"/>
    <n v="0"/>
    <n v="0"/>
    <n v="0"/>
    <n v="0"/>
    <n v="30.851495621477966"/>
    <n v="35.648504378522034"/>
    <n v="1"/>
    <n v="0"/>
    <n v="0"/>
    <n v="0"/>
    <n v="0"/>
    <n v="1.3333333333333333"/>
    <n v="35.500000000000007"/>
    <n v="1.1587416195860265"/>
    <n v="0.83333333333333337"/>
    <n v="0.72421351224126673"/>
    <n v="6.9654569379970139"/>
    <n v="5.0444780334321164"/>
    <n v="0"/>
    <n v="19.5"/>
    <n v="0"/>
    <n v="0"/>
    <n v="0"/>
    <n v="0.92111447000987834"/>
    <n v="0.22466206585606791"/>
    <n v="0.32520325203252032"/>
  </r>
  <r>
    <s v="66282-38722"/>
    <x v="3"/>
    <s v="Cethan"/>
    <s v="Cethan Carter"/>
    <s v="Carter"/>
    <n v="1.29999995231628"/>
    <n v="2"/>
    <n v="4100"/>
    <s v="HOU@MIA"/>
    <s v="MIA"/>
    <s v="HOU"/>
    <m/>
    <m/>
    <m/>
    <x v="606"/>
    <s v="Cethan Carter"/>
    <n v="7.6226415094339623"/>
    <n v="4.2048192771084336"/>
    <n v="11.542857142857143"/>
    <n v="0"/>
    <n v="0"/>
    <n v="0"/>
    <n v="0"/>
    <n v="0.2857142857142857"/>
    <n v="0.2857142857142857"/>
    <n v="2.2857142857142856"/>
    <n v="8"/>
    <n v="0"/>
    <n v="1.1428571428571428"/>
    <n v="0"/>
    <n v="0"/>
    <n v="0"/>
    <n v="0"/>
    <n v="40.244550246190627"/>
    <n v="21.855449753809374"/>
    <n v="1"/>
    <n v="0"/>
    <n v="0"/>
    <n v="0"/>
    <n v="0"/>
    <n v="0.2857142857142857"/>
    <n v="27.457142857142856"/>
    <n v="0.4187778381497464"/>
    <n v="0.2857142857142857"/>
    <n v="0.4187778381497464"/>
    <n v="8.7829000378603812"/>
    <n v="3.678083890540496"/>
    <n v="0"/>
    <n v="17.464285714285712"/>
    <n v="0"/>
    <n v="0"/>
    <n v="0"/>
    <n v="0.51066553191119246"/>
    <n v="0.12455256875882743"/>
    <n v="6.968641114982578E-2"/>
  </r>
  <r>
    <s v="66282-69451"/>
    <x v="3"/>
    <s v="Jack"/>
    <s v="Jack Stoll"/>
    <s v="Stoll"/>
    <n v="0.69999998807907104"/>
    <n v="2"/>
    <n v="4100"/>
    <s v="LAC@PHI"/>
    <s v="PHI"/>
    <s v="LAC"/>
    <m/>
    <m/>
    <m/>
    <x v="607"/>
    <s v="Jack Stoll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19342"/>
    <x v="3"/>
    <s v="Demetrius"/>
    <s v="Demetrius Harris"/>
    <s v="Harris"/>
    <n v="0"/>
    <n v="3"/>
    <n v="4100"/>
    <s v="ARI@SF"/>
    <s v="ARI"/>
    <s v="SF"/>
    <s v="IR"/>
    <s v="Illness"/>
    <m/>
    <x v="608"/>
    <s v="Demetrius Harris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0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93143"/>
    <x v="3"/>
    <s v="Noah"/>
    <s v="Noah Gray"/>
    <s v="Gray"/>
    <n v="0.63333332538604703"/>
    <n v="3"/>
    <n v="4100"/>
    <s v="GB@KC"/>
    <s v="KC"/>
    <s v="GB"/>
    <m/>
    <m/>
    <m/>
    <x v="609"/>
    <s v="Noah Gray"/>
    <n v="6.3711340206185563"/>
    <n v="4.3797468354430382"/>
    <n v="9.3636363636363633"/>
    <n v="0"/>
    <n v="0"/>
    <n v="0"/>
    <n v="0"/>
    <n v="0.5"/>
    <n v="0.33333333333333331"/>
    <n v="1.5"/>
    <n v="4.5"/>
    <n v="0"/>
    <n v="0.75"/>
    <n v="0"/>
    <n v="0"/>
    <n v="0"/>
    <n v="0"/>
    <n v="35.894621752555366"/>
    <n v="26.105378247444634"/>
    <n v="1"/>
    <n v="0"/>
    <n v="0"/>
    <n v="0"/>
    <n v="0"/>
    <n v="0.5"/>
    <n v="38.357142857142847"/>
    <n v="0.4679000973331241"/>
    <n v="0.33333333333333331"/>
    <n v="0.31193339822208271"/>
    <n v="4.007667525432888"/>
    <n v="1.2501253501525658"/>
    <n v="0"/>
    <n v="15.523809523809524"/>
    <n v="0"/>
    <n v="0"/>
    <n v="0"/>
    <n v="0.29167920168192324"/>
    <n v="7.1141268702908114E-2"/>
    <n v="0.12195121951219513"/>
  </r>
  <r>
    <s v="66282-70658"/>
    <x v="3"/>
    <s v="Cary"/>
    <s v="Cary Angeline"/>
    <s v="Angeline"/>
    <m/>
    <m/>
    <n v="4000"/>
    <s v="LAC@PHI"/>
    <s v="PHI"/>
    <s v="LAC"/>
    <m/>
    <m/>
    <m/>
    <x v="610"/>
    <s v="Cary Angeline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90123"/>
    <x v="3"/>
    <s v="Quintin"/>
    <s v="Quintin Morris"/>
    <s v="Morris"/>
    <m/>
    <m/>
    <n v="4000"/>
    <s v="BUF@JAC"/>
    <s v="BUF"/>
    <s v="JAC"/>
    <m/>
    <m/>
    <m/>
    <x v="611"/>
    <s v="Quintin Morris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71697"/>
    <x v="3"/>
    <s v="Shaun"/>
    <s v="Shaun Beyer"/>
    <s v="Beyer"/>
    <m/>
    <m/>
    <n v="4000"/>
    <s v="DEN@DAL"/>
    <s v="DEN"/>
    <s v="DAL"/>
    <m/>
    <m/>
    <m/>
    <x v="612"/>
    <s v="Shaun Beyer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72725"/>
    <x v="3"/>
    <s v="Irv"/>
    <s v="Irv Smith Jr."/>
    <s v="Smith Jr."/>
    <n v="6.9583333333333304"/>
    <n v="12"/>
    <n v="4000"/>
    <s v="MIN@BAL"/>
    <s v="MIN"/>
    <s v="BAL"/>
    <s v="IR"/>
    <s v="Knee - meniscus"/>
    <m/>
    <x v="613"/>
    <s v="Irv Smith Jr.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0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27672"/>
    <x v="3"/>
    <s v="Matt"/>
    <s v="Matt LaCosse"/>
    <s v="LaCosse"/>
    <n v="0"/>
    <n v="1"/>
    <n v="4000"/>
    <s v="NE@CAR"/>
    <s v="NE"/>
    <s v="CAR"/>
    <m/>
    <m/>
    <m/>
    <x v="614"/>
    <s v="Matt LaCosse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1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29725"/>
    <x v="3"/>
    <s v="Levine"/>
    <s v="Levine Toilolo"/>
    <s v="Toilolo"/>
    <n v="1.1833333174387599"/>
    <n v="6"/>
    <n v="4000"/>
    <s v="LV@NYG"/>
    <s v="NYG"/>
    <s v="LV"/>
    <s v="IR"/>
    <s v="Achilles"/>
    <m/>
    <x v="615"/>
    <s v="Levine Toilolo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0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62508"/>
    <x v="3"/>
    <s v="James"/>
    <s v="James O'Shaughnessy"/>
    <s v="O'Shaughnessy"/>
    <n v="5.3499999046325604"/>
    <n v="2"/>
    <n v="4000"/>
    <s v="BUF@JAC"/>
    <s v="JAC"/>
    <s v="BUF"/>
    <s v="IR"/>
    <s v="Ankle"/>
    <m/>
    <x v="616"/>
    <s v="James O'Shaughnessy"/>
    <n v="5.34"/>
    <n v="3.393939393939394"/>
    <n v="9.3684210526315788"/>
    <n v="0"/>
    <n v="0"/>
    <n v="0"/>
    <n v="0"/>
    <n v="0"/>
    <n v="3.5"/>
    <n v="36"/>
    <n v="10.3"/>
    <n v="24"/>
    <n v="5.15"/>
    <n v="0"/>
    <n v="0"/>
    <n v="0"/>
    <n v="0"/>
    <n v="44.656477842721628"/>
    <n v="14.343522157278372"/>
    <n v="0"/>
    <n v="0"/>
    <n v="0"/>
    <n v="0"/>
    <n v="0"/>
    <n v="0"/>
    <n v="34.133333333333333"/>
    <n v="0"/>
    <n v="0"/>
    <n v="0"/>
    <n v="9.1777929997632715"/>
    <n v="0"/>
    <n v="0"/>
    <n v="20.466666666666665"/>
    <n v="0"/>
    <n v="0"/>
    <n v="0"/>
    <n v="0"/>
    <n v="0"/>
    <n v="0"/>
  </r>
  <r>
    <s v="66282-62510"/>
    <x v="3"/>
    <s v="Nick"/>
    <s v="Nick Boyle"/>
    <s v="Boyle"/>
    <n v="3.3666665818956099"/>
    <n v="9"/>
    <n v="4000"/>
    <s v="MIN@BAL"/>
    <s v="BAL"/>
    <s v="MIN"/>
    <s v="IR"/>
    <s v="Knee - mcl"/>
    <m/>
    <x v="617"/>
    <s v="Nick Boyle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0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30787"/>
    <x v="3"/>
    <s v="Alex"/>
    <s v="Alex Ellis"/>
    <s v="Ellis"/>
    <n v="0"/>
    <n v="1"/>
    <n v="4000"/>
    <s v="LV@NYG"/>
    <s v="LV"/>
    <s v="NYG"/>
    <m/>
    <m/>
    <m/>
    <x v="618"/>
    <s v="Alex Ellis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63565"/>
    <x v="3"/>
    <s v="Jake"/>
    <s v="Jake Breeland"/>
    <s v="Breeland"/>
    <n v="0"/>
    <n v="1"/>
    <n v="4000"/>
    <s v="MIN@BAL"/>
    <s v="BAL"/>
    <s v="MIN"/>
    <s v="Q"/>
    <s v="Knee - acl"/>
    <m/>
    <x v="619"/>
    <s v="Jake Breeland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30800"/>
    <x v="3"/>
    <s v="Jason"/>
    <s v="Jason Croom"/>
    <s v="Croom"/>
    <n v="6.8000001907348597"/>
    <n v="1"/>
    <n v="4000"/>
    <s v="LAC@PHI"/>
    <s v="PHI"/>
    <s v="LAC"/>
    <s v="IR"/>
    <s v="Knee"/>
    <m/>
    <x v="620"/>
    <s v="Jason Croom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0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42077"/>
    <x v="3"/>
    <s v="James"/>
    <s v="James Winchester"/>
    <s v="Winchester"/>
    <m/>
    <m/>
    <n v="4000"/>
    <s v="GB@KC"/>
    <s v="KC"/>
    <s v="GB"/>
    <m/>
    <m/>
    <m/>
    <x v="621"/>
    <s v="James Winchester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46177"/>
    <x v="3"/>
    <s v="David"/>
    <s v="David Wells"/>
    <s v="Wells"/>
    <m/>
    <m/>
    <n v="4000"/>
    <s v="ARI@SF"/>
    <s v="ARI"/>
    <s v="SF"/>
    <m/>
    <m/>
    <m/>
    <x v="622"/>
    <s v="David Wells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46200"/>
    <x v="3"/>
    <s v="Daniel"/>
    <s v="Daniel Brunskill"/>
    <s v="Brunskill"/>
    <n v="0"/>
    <n v="1"/>
    <n v="4000"/>
    <s v="ARI@SF"/>
    <s v="SF"/>
    <s v="ARI"/>
    <m/>
    <m/>
    <m/>
    <x v="623"/>
    <s v="Daniel Brunskill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68730"/>
    <x v="3"/>
    <s v="Sean"/>
    <s v="Sean McKeon"/>
    <s v="McKeon"/>
    <n v="0"/>
    <n v="1"/>
    <n v="4000"/>
    <s v="DEN@DAL"/>
    <s v="DAL"/>
    <s v="DEN"/>
    <m/>
    <m/>
    <m/>
    <x v="624"/>
    <s v="Sean McKeon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58499"/>
    <x v="3"/>
    <s v="Parker"/>
    <s v="Parker Hesse"/>
    <s v="Hesse"/>
    <n v="0"/>
    <n v="1"/>
    <n v="4000"/>
    <s v="ATL@NO"/>
    <s v="ATL"/>
    <s v="NO"/>
    <m/>
    <m/>
    <m/>
    <x v="625"/>
    <s v="Parker Hesse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54426"/>
    <x v="3"/>
    <s v="Andrew"/>
    <s v="Andrew Beck"/>
    <s v="Beck"/>
    <n v="0"/>
    <n v="1"/>
    <n v="4000"/>
    <s v="DEN@DAL"/>
    <s v="DEN"/>
    <s v="DAL"/>
    <m/>
    <m/>
    <m/>
    <x v="626"/>
    <s v="Andrew Beck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1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86178"/>
    <x v="3"/>
    <s v="Dominique"/>
    <s v="Dominique Dafney"/>
    <s v="Dafney"/>
    <n v="2.4000000953674299"/>
    <n v="4"/>
    <n v="4000"/>
    <s v="GB@KC"/>
    <s v="GB"/>
    <s v="KC"/>
    <m/>
    <m/>
    <m/>
    <x v="627"/>
    <s v="Dominique Dafney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32957"/>
    <x v="3"/>
    <s v="Eric"/>
    <s v="Eric Tomlinson"/>
    <s v="Tomlinson"/>
    <n v="0"/>
    <n v="2"/>
    <n v="4000"/>
    <s v="MIN@BAL"/>
    <s v="BAL"/>
    <s v="MIN"/>
    <m/>
    <m/>
    <m/>
    <x v="628"/>
    <s v="Eric Tomlinson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9409"/>
    <x v="3"/>
    <s v="Clark"/>
    <s v="Clark Harris"/>
    <s v="Harris"/>
    <n v="0"/>
    <n v="1"/>
    <n v="4000"/>
    <s v="CLE@CIN"/>
    <s v="CIN"/>
    <s v="CLE"/>
    <m/>
    <m/>
    <m/>
    <x v="629"/>
    <s v="Clark Harris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89283"/>
    <x v="3"/>
    <s v="Tre'"/>
    <s v="Tre' McKitty"/>
    <s v="McKitty"/>
    <m/>
    <m/>
    <n v="4000"/>
    <s v="LAC@PHI"/>
    <s v="LAC"/>
    <s v="PHI"/>
    <m/>
    <m/>
    <m/>
    <x v="630"/>
    <s v="Tre' McKitty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65737"/>
    <x v="3"/>
    <s v="Sam"/>
    <s v="Sam Tecklenburg"/>
    <s v="Tecklenburg"/>
    <n v="0"/>
    <n v="2"/>
    <n v="4000"/>
    <s v="NE@CAR"/>
    <s v="CAR"/>
    <s v="NE"/>
    <m/>
    <m/>
    <m/>
    <x v="631"/>
    <s v="Sam Tecklenburg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149708"/>
    <x v="3"/>
    <s v="Zach"/>
    <s v="Zach Davidson"/>
    <s v="Davidson"/>
    <m/>
    <m/>
    <n v="4000"/>
    <s v="MIN@BAL"/>
    <s v="MIN"/>
    <s v="BAL"/>
    <m/>
    <m/>
    <m/>
    <x v="632"/>
    <s v="Zach Davidson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149727"/>
    <x v="3"/>
    <s v="Bernhard"/>
    <s v="Bernhard Seikovits"/>
    <s v="Seikovits"/>
    <m/>
    <m/>
    <n v="4000"/>
    <s v="ARI@SF"/>
    <s v="ARI"/>
    <s v="SF"/>
    <m/>
    <m/>
    <m/>
    <x v="633"/>
    <s v="Bernhard Seikovits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52461"/>
    <x v="3"/>
    <s v="Carson"/>
    <s v="Carson Meier"/>
    <s v="Meier"/>
    <n v="0"/>
    <n v="1"/>
    <n v="4000"/>
    <s v="HOU@MIA"/>
    <s v="MIA"/>
    <s v="HOU"/>
    <m/>
    <m/>
    <m/>
    <x v="634"/>
    <s v="Carson Meier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52463"/>
    <x v="3"/>
    <s v="Daniel"/>
    <s v="Daniel Helm"/>
    <s v="Helm"/>
    <n v="0"/>
    <n v="1"/>
    <n v="4000"/>
    <s v="LV@NYG"/>
    <s v="LV"/>
    <s v="NYG"/>
    <m/>
    <m/>
    <m/>
    <x v="635"/>
    <s v="Daniel Helm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130286"/>
    <x v="3"/>
    <s v="Ben"/>
    <s v="Ben Ellefson"/>
    <s v="Ellefson"/>
    <n v="0"/>
    <n v="1"/>
    <n v="4000"/>
    <s v="MIN@BAL"/>
    <s v="MIN"/>
    <s v="BAL"/>
    <s v="IR"/>
    <s v="Knee"/>
    <m/>
    <x v="636"/>
    <s v="Ben Ellefson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0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52468"/>
    <x v="3"/>
    <s v="Ethan"/>
    <s v="Ethan Wolf"/>
    <s v="Wolf"/>
    <n v="0"/>
    <n v="1"/>
    <n v="4000"/>
    <s v="ATL@NO"/>
    <s v="NO"/>
    <s v="ATL"/>
    <m/>
    <m/>
    <m/>
    <x v="637"/>
    <s v="Ethan Wolf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64762"/>
    <x v="3"/>
    <s v="Nakia"/>
    <s v="Nakia Griffin-Stewart"/>
    <s v="Griffin-Stewart"/>
    <m/>
    <m/>
    <n v="4000"/>
    <s v="GB@KC"/>
    <s v="KC"/>
    <s v="GB"/>
    <m/>
    <m/>
    <m/>
    <x v="638"/>
    <s v="Nakia Griffin-Stewart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12545"/>
    <x v="4"/>
    <s v="Philadelphia"/>
    <s v="Philadelphia Eagles"/>
    <s v="Eagles"/>
    <n v="6.625"/>
    <n v="8"/>
    <n v="4000"/>
    <s v="LAC@PHI"/>
    <s v="PHI"/>
    <s v="LAC"/>
    <m/>
    <m/>
    <m/>
    <x v="639"/>
    <s v="PHI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29956"/>
    <x v="3"/>
    <s v="Joshua"/>
    <s v="Joshua Perkins"/>
    <s v="Perkins"/>
    <n v="0"/>
    <n v="1"/>
    <n v="4000"/>
    <s v="ARI@SF"/>
    <s v="SF"/>
    <s v="ARI"/>
    <m/>
    <m/>
    <m/>
    <x v="640"/>
    <s v="Joshua Perkins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1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69898"/>
    <x v="3"/>
    <s v="Artayvious"/>
    <s v="Artayvious Lynn"/>
    <s v="Lynn"/>
    <m/>
    <m/>
    <n v="4000"/>
    <s v="DEN@DAL"/>
    <s v="DAL"/>
    <s v="DEN"/>
    <m/>
    <m/>
    <m/>
    <x v="641"/>
    <s v="Artayvious Lynn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12556"/>
    <x v="4"/>
    <s v="Houston"/>
    <s v="Houston Texans"/>
    <s v="Texans"/>
    <n v="3"/>
    <n v="8"/>
    <n v="4000"/>
    <s v="HOU@MIA"/>
    <s v="HOU"/>
    <s v="MIA"/>
    <m/>
    <m/>
    <m/>
    <x v="642"/>
    <s v="HOU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60699"/>
    <x v="3"/>
    <s v="Kalif"/>
    <s v="Kalif Jackson"/>
    <s v="Jackson"/>
    <m/>
    <m/>
    <n v="4000"/>
    <s v="HOU@MIA"/>
    <s v="MIA"/>
    <s v="HOU"/>
    <m/>
    <m/>
    <m/>
    <x v="643"/>
    <s v="Kalif Jackson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68895"/>
    <x v="3"/>
    <s v="Bruno"/>
    <s v="Bruno Labelle"/>
    <s v="Labelle"/>
    <m/>
    <m/>
    <n v="4000"/>
    <s v="ARI@SF"/>
    <s v="ARI"/>
    <s v="SF"/>
    <s v="Q"/>
    <s v="Undisclosed"/>
    <m/>
    <x v="644"/>
    <s v="Bruno Labelle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90398"/>
    <x v="3"/>
    <s v="Matt"/>
    <s v="Matt Bushman"/>
    <s v="Bushman"/>
    <m/>
    <m/>
    <n v="4000"/>
    <s v="LV@NYG"/>
    <s v="LV"/>
    <s v="NYG"/>
    <m/>
    <m/>
    <m/>
    <x v="645"/>
    <s v="Matt Bushman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66857"/>
    <x v="3"/>
    <s v="Jibri"/>
    <s v="Jibri Blount"/>
    <s v="Blount"/>
    <m/>
    <m/>
    <n v="4000"/>
    <s v="HOU@MIA"/>
    <s v="MIA"/>
    <s v="HOU"/>
    <m/>
    <m/>
    <m/>
    <x v="646"/>
    <s v="Jibri Blount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138552"/>
    <x v="3"/>
    <s v="Connor"/>
    <s v="Connor Davis"/>
    <s v="Davis"/>
    <n v="0"/>
    <n v="1"/>
    <n v="4000"/>
    <s v="CLE@CIN"/>
    <s v="CLE"/>
    <s v="CIN"/>
    <s v="Q"/>
    <s v="Shoulder"/>
    <m/>
    <x v="647"/>
    <s v="Connor Davis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64864"/>
    <x v="3"/>
    <s v="Noah"/>
    <s v="Noah Togiai"/>
    <s v="Togiai"/>
    <n v="0"/>
    <n v="2"/>
    <n v="4000"/>
    <s v="LAC@PHI"/>
    <s v="PHI"/>
    <s v="LAC"/>
    <m/>
    <m/>
    <m/>
    <x v="648"/>
    <s v="Noah Togiai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63841"/>
    <x v="3"/>
    <s v="Matt"/>
    <s v="Matt Seybert"/>
    <s v="Seybert"/>
    <m/>
    <m/>
    <n v="4000"/>
    <s v="LAC@PHI"/>
    <s v="LAC"/>
    <s v="PHI"/>
    <m/>
    <m/>
    <m/>
    <x v="649"/>
    <s v="Matt Seybert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68975"/>
    <x v="3"/>
    <s v="Josh"/>
    <s v="Josh Pederson"/>
    <s v="Pederson"/>
    <m/>
    <m/>
    <n v="4000"/>
    <s v="ATL@NO"/>
    <s v="NO"/>
    <s v="ATL"/>
    <m/>
    <m/>
    <m/>
    <x v="650"/>
    <s v="Josh Pederson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1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60788"/>
    <x v="3"/>
    <s v="Nick"/>
    <s v="Nick Ralston"/>
    <s v="Ralston"/>
    <m/>
    <m/>
    <n v="4000"/>
    <s v="DEN@DAL"/>
    <s v="DAL"/>
    <s v="DEN"/>
    <m/>
    <m/>
    <m/>
    <x v="651"/>
    <s v="Nick Ralston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22920"/>
    <x v="3"/>
    <s v="Derek"/>
    <s v="Derek Carrier"/>
    <s v="Carrier"/>
    <n v="2.2999999523162802"/>
    <n v="1"/>
    <n v="4000"/>
    <s v="LV@NYG"/>
    <s v="LV"/>
    <s v="NYG"/>
    <s v="IR"/>
    <s v="Pectoral"/>
    <m/>
    <x v="652"/>
    <s v="Derek Carrier"/>
    <n v="6.7966101694915251"/>
    <n v="4.5857142857142854"/>
    <n v="9.0112359550561791"/>
    <n v="0"/>
    <n v="0"/>
    <n v="0"/>
    <n v="0"/>
    <n v="0"/>
    <n v="0.5"/>
    <n v="3.25"/>
    <n v="6.5"/>
    <n v="0"/>
    <n v="1.625"/>
    <n v="0"/>
    <n v="0"/>
    <n v="0"/>
    <n v="0"/>
    <e v="#N/A"/>
    <e v="#N/A"/>
    <n v="0"/>
    <n v="0"/>
    <n v="0"/>
    <n v="0"/>
    <n v="0"/>
    <n v="0"/>
    <n v="39.700000000000003"/>
    <e v="#N/A"/>
    <n v="0"/>
    <n v="0"/>
    <n v="5.5709896345805152"/>
    <n v="0"/>
    <n v="0"/>
    <n v="38.571428571428569"/>
    <n v="0"/>
    <n v="0"/>
    <n v="0"/>
    <n v="0"/>
    <n v="0"/>
    <n v="0"/>
  </r>
  <r>
    <s v="66282-71048"/>
    <x v="3"/>
    <s v="Thaddeus"/>
    <s v="Thaddeus Moss"/>
    <s v="Moss"/>
    <n v="0"/>
    <n v="1"/>
    <n v="4000"/>
    <s v="CLE@CIN"/>
    <s v="CIN"/>
    <s v="CLE"/>
    <m/>
    <m/>
    <m/>
    <x v="653"/>
    <s v="Thaddeus Moss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97672"/>
    <x v="3"/>
    <s v="Carson"/>
    <s v="Carson Williams"/>
    <s v="Williams"/>
    <m/>
    <m/>
    <n v="4000"/>
    <s v="LV@NYG"/>
    <s v="LV"/>
    <s v="NYG"/>
    <m/>
    <m/>
    <m/>
    <x v="654"/>
    <s v="Carson Williams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94609"/>
    <x v="3"/>
    <s v="Pro"/>
    <s v="Pro Wells"/>
    <s v="Wells"/>
    <m/>
    <m/>
    <n v="4000"/>
    <s v="CLE@CIN"/>
    <s v="CIN"/>
    <s v="CLE"/>
    <m/>
    <m/>
    <m/>
    <x v="655"/>
    <s v="Pro Wells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73147"/>
    <x v="3"/>
    <s v="Nick"/>
    <s v="Nick Eubanks"/>
    <s v="Eubanks"/>
    <m/>
    <m/>
    <n v="4000"/>
    <s v="LAC@PHI"/>
    <s v="PHI"/>
    <s v="LAC"/>
    <m/>
    <m/>
    <m/>
    <x v="656"/>
    <s v="Nick Eubanks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47551"/>
    <x v="3"/>
    <s v="Mason"/>
    <s v="Mason Schreck"/>
    <s v="Schreck"/>
    <n v="0"/>
    <n v="2"/>
    <n v="4000"/>
    <s v="CLE@CIN"/>
    <s v="CIN"/>
    <s v="CLE"/>
    <m/>
    <m/>
    <m/>
    <x v="657"/>
    <s v="Mason Schreck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69069"/>
    <x v="3"/>
    <s v="Tony"/>
    <s v="Tony Poljan"/>
    <s v="Poljan"/>
    <m/>
    <m/>
    <n v="4000"/>
    <s v="MIN@BAL"/>
    <s v="BAL"/>
    <s v="MIN"/>
    <m/>
    <m/>
    <m/>
    <x v="658"/>
    <s v="Tony Poljan"/>
    <n v="9.1684210526315795"/>
    <n v="4.7733333333333334"/>
    <n v="12.097222222222221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9.43333333333333"/>
    <e v="#N/A"/>
    <n v="0"/>
    <n v="0"/>
    <n v="0"/>
    <n v="0"/>
    <n v="0"/>
    <n v="28.528571428571428"/>
    <n v="0"/>
    <n v="0"/>
    <n v="0"/>
    <n v="0"/>
    <n v="0"/>
    <n v="0"/>
  </r>
  <r>
    <s v="66282-73172"/>
    <x v="3"/>
    <s v="Jake"/>
    <s v="Jake Hausmann"/>
    <s v="Hausmann"/>
    <m/>
    <m/>
    <n v="4000"/>
    <s v="LV@NYG"/>
    <s v="NYG"/>
    <s v="LV"/>
    <m/>
    <m/>
    <m/>
    <x v="659"/>
    <s v="Jake Hausmann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84440"/>
    <x v="3"/>
    <s v="Jaeden"/>
    <s v="Jaeden Graham"/>
    <s v="Graham"/>
    <n v="0.66666666666666596"/>
    <n v="6"/>
    <n v="4000"/>
    <s v="ATL@NO"/>
    <s v="ATL"/>
    <s v="NO"/>
    <s v="IR"/>
    <s v="Knee"/>
    <m/>
    <x v="660"/>
    <s v="Jaeden Graham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0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103900"/>
    <x v="3"/>
    <s v="Brandon"/>
    <s v="Brandon Dillon"/>
    <s v="Dillon"/>
    <n v="1.1000000238418499"/>
    <n v="1"/>
    <n v="4000"/>
    <s v="MIN@BAL"/>
    <s v="MIN"/>
    <s v="BAL"/>
    <m/>
    <m/>
    <m/>
    <x v="661"/>
    <s v="Brandon Dillon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80353"/>
    <x v="3"/>
    <s v="Robert"/>
    <s v="Robert Tonyan"/>
    <s v="Tonyan"/>
    <n v="5.1750001907348597"/>
    <n v="8"/>
    <n v="4000"/>
    <s v="GB@KC"/>
    <s v="GB"/>
    <s v="KC"/>
    <s v="IR"/>
    <s v="Knee - acl"/>
    <m/>
    <x v="662"/>
    <s v="Robert Tonyan"/>
    <n v="8.7934782608695645"/>
    <n v="5.404494382022472"/>
    <n v="12.446153846153846"/>
    <n v="0"/>
    <n v="0"/>
    <n v="0"/>
    <n v="0"/>
    <n v="0"/>
    <n v="2.25"/>
    <n v="25.5"/>
    <n v="11.3"/>
    <n v="25"/>
    <n v="1.4125000000000001"/>
    <n v="0"/>
    <n v="0"/>
    <n v="0"/>
    <n v="0"/>
    <e v="#N/A"/>
    <e v="#N/A"/>
    <n v="0"/>
    <n v="0"/>
    <n v="0"/>
    <n v="0"/>
    <n v="0"/>
    <n v="0"/>
    <n v="30.583333333333336"/>
    <e v="#N/A"/>
    <n v="0"/>
    <n v="0"/>
    <n v="13.376677002398083"/>
    <n v="0"/>
    <n v="0"/>
    <n v="14.916666666666666"/>
    <n v="0"/>
    <n v="0"/>
    <n v="0"/>
    <n v="0"/>
    <n v="0"/>
    <n v="0"/>
  </r>
  <r>
    <s v="66282-64023"/>
    <x v="3"/>
    <s v="Kyle"/>
    <s v="Kyle Markway"/>
    <s v="Markway"/>
    <n v="0"/>
    <n v="1"/>
    <n v="4000"/>
    <s v="CLE@CIN"/>
    <s v="CLE"/>
    <s v="CIN"/>
    <m/>
    <m/>
    <m/>
    <x v="663"/>
    <s v="Kyle Markway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73266"/>
    <x v="3"/>
    <s v="Dylan"/>
    <s v="Dylan Soehner"/>
    <s v="Soehner"/>
    <m/>
    <m/>
    <n v="4000"/>
    <s v="ATL@NO"/>
    <s v="NO"/>
    <s v="ATL"/>
    <s v="IR"/>
    <s v="Undisclosed"/>
    <m/>
    <x v="664"/>
    <s v="Dylan Soehner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0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46644"/>
    <x v="3"/>
    <s v="Paul"/>
    <s v="Paul Quessenberry"/>
    <s v="Quessenberry"/>
    <n v="0"/>
    <n v="1"/>
    <n v="4000"/>
    <s v="HOU@MIA"/>
    <s v="HOU"/>
    <s v="MIA"/>
    <m/>
    <m/>
    <m/>
    <x v="665"/>
    <s v="Paul Quessenberry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69173"/>
    <x v="3"/>
    <s v="Hunter"/>
    <s v="Hunter Kampmoyer"/>
    <s v="Kampmoyer"/>
    <m/>
    <m/>
    <n v="4000"/>
    <s v="LAC@PHI"/>
    <s v="LAC"/>
    <s v="PHI"/>
    <m/>
    <m/>
    <m/>
    <x v="666"/>
    <s v="Hunter Kampmoyer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1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60981"/>
    <x v="3"/>
    <s v="Charlie"/>
    <s v="Charlie Heck"/>
    <s v="Heck"/>
    <n v="0.80000001192092896"/>
    <n v="1"/>
    <n v="4000"/>
    <s v="HOU@MIA"/>
    <s v="HOU"/>
    <s v="MIA"/>
    <m/>
    <m/>
    <m/>
    <x v="667"/>
    <s v="Charlie Heck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60984"/>
    <x v="3"/>
    <s v="Jake"/>
    <s v="Jake Bargas"/>
    <s v="Bargas"/>
    <m/>
    <m/>
    <n v="4000"/>
    <s v="MIN@BAL"/>
    <s v="MIN"/>
    <s v="BAL"/>
    <m/>
    <m/>
    <m/>
    <x v="668"/>
    <s v="Jake Bargas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30272"/>
    <x v="3"/>
    <s v="Colin"/>
    <s v="Colin Thompson"/>
    <s v="Thompson"/>
    <n v="0"/>
    <n v="1"/>
    <n v="4000"/>
    <s v="NE@CAR"/>
    <s v="CAR"/>
    <s v="NE"/>
    <m/>
    <m/>
    <m/>
    <x v="669"/>
    <s v="Colin Thompson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104008"/>
    <x v="3"/>
    <s v="Stephen"/>
    <s v="Stephen Carlson"/>
    <s v="Carlson"/>
    <n v="0.44999998807907099"/>
    <n v="8"/>
    <n v="4000"/>
    <s v="CLE@CIN"/>
    <s v="CLE"/>
    <s v="CIN"/>
    <s v="IR"/>
    <s v="Knee"/>
    <m/>
    <x v="670"/>
    <s v="Stephen Carlson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0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64088"/>
    <x v="3"/>
    <s v="Cheyenne"/>
    <s v="Cheyenne O'Grady"/>
    <s v="O'Grady"/>
    <m/>
    <m/>
    <n v="4000"/>
    <s v="CLE@CIN"/>
    <s v="CIN"/>
    <s v="CLE"/>
    <m/>
    <m/>
    <m/>
    <x v="671"/>
    <s v="Cheyenne O'Grady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56947"/>
    <x v="3"/>
    <s v="Chris"/>
    <s v="Chris Myarick"/>
    <s v="Myarick"/>
    <n v="0"/>
    <n v="1"/>
    <n v="4000"/>
    <s v="LV@NYG"/>
    <s v="NYG"/>
    <s v="LV"/>
    <m/>
    <m/>
    <m/>
    <x v="672"/>
    <s v="Chris Myarick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87690"/>
    <x v="3"/>
    <s v="Sal"/>
    <s v="Sal Cannella"/>
    <s v="Cannella"/>
    <m/>
    <m/>
    <n v="4000"/>
    <s v="HOU@MIA"/>
    <s v="MIA"/>
    <s v="HOU"/>
    <m/>
    <m/>
    <m/>
    <x v="673"/>
    <s v="Sal Cannella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65182"/>
    <x v="3"/>
    <s v="Mitchell"/>
    <s v="Mitchell Wilcox"/>
    <s v="Wilcox"/>
    <n v="0"/>
    <n v="1"/>
    <n v="4000"/>
    <s v="CLE@CIN"/>
    <s v="CIN"/>
    <s v="CLE"/>
    <m/>
    <m/>
    <m/>
    <x v="674"/>
    <s v="Mitchell Wilcox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1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62127"/>
    <x v="3"/>
    <s v="Cole"/>
    <s v="Cole Hikutini"/>
    <s v="Hikutini"/>
    <n v="0"/>
    <n v="1"/>
    <n v="4000"/>
    <s v="LV@NYG"/>
    <s v="NYG"/>
    <s v="LV"/>
    <s v="Q"/>
    <s v="Hip"/>
    <m/>
    <x v="675"/>
    <s v="Cole Hikutini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1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28346"/>
    <x v="3"/>
    <s v="Maxx"/>
    <s v="Maxx Williams"/>
    <s v="Williams"/>
    <n v="6.6599998474120996"/>
    <n v="5"/>
    <n v="4000"/>
    <s v="ARI@SF"/>
    <s v="ARI"/>
    <s v="SF"/>
    <s v="IR"/>
    <s v="Knee"/>
    <m/>
    <x v="676"/>
    <s v="Maxx Williams"/>
    <n v="6.5263157894736841"/>
    <n v="4.7051282051282053"/>
    <n v="10.191780821917808"/>
    <n v="0"/>
    <n v="0"/>
    <n v="0"/>
    <n v="0"/>
    <n v="0"/>
    <n v="3.2"/>
    <n v="38.6"/>
    <n v="12.1"/>
    <n v="0"/>
    <n v="2.42"/>
    <n v="0"/>
    <n v="0"/>
    <n v="0"/>
    <n v="0"/>
    <e v="#N/A"/>
    <e v="#N/A"/>
    <n v="0"/>
    <n v="0"/>
    <n v="0"/>
    <n v="0"/>
    <n v="0"/>
    <n v="0"/>
    <n v="26.625"/>
    <e v="#N/A"/>
    <n v="0"/>
    <n v="0"/>
    <n v="11.729245539168252"/>
    <n v="0"/>
    <n v="0"/>
    <n v="32.208333333333329"/>
    <n v="0"/>
    <n v="0"/>
    <n v="0"/>
    <n v="0"/>
    <n v="0"/>
    <n v="0"/>
  </r>
  <r>
    <s v="66282-16078"/>
    <x v="3"/>
    <s v="Ross"/>
    <s v="Ross Travis"/>
    <s v="Travis"/>
    <n v="0"/>
    <n v="1"/>
    <n v="4000"/>
    <s v="ARI@SF"/>
    <s v="ARI"/>
    <s v="SF"/>
    <m/>
    <m/>
    <m/>
    <x v="677"/>
    <s v="Ross Travis"/>
    <n v="6.5263157894736841"/>
    <n v="4.7051282051282053"/>
    <n v="10.191780821917808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26.625"/>
    <e v="#N/A"/>
    <n v="0"/>
    <n v="0"/>
    <n v="0"/>
    <n v="0"/>
    <n v="0"/>
    <n v="32.208333333333329"/>
    <n v="0"/>
    <n v="0"/>
    <n v="0"/>
    <n v="0"/>
    <n v="0"/>
    <n v="0"/>
  </r>
  <r>
    <s v="66282-29390"/>
    <x v="3"/>
    <s v="Evan"/>
    <s v="Evan Baylis"/>
    <s v="Baylis"/>
    <n v="0"/>
    <n v="2"/>
    <n v="4000"/>
    <s v="GB@KC"/>
    <s v="KC"/>
    <s v="GB"/>
    <s v="Q"/>
    <s v="Ankle"/>
    <m/>
    <x v="678"/>
    <s v="Evan Baylis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1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69326"/>
    <x v="3"/>
    <s v="Isaac"/>
    <s v="Isaac Nauta"/>
    <s v="Nauta"/>
    <n v="0.26666667064030902"/>
    <n v="3"/>
    <n v="4000"/>
    <s v="GB@KC"/>
    <s v="GB"/>
    <s v="KC"/>
    <s v="Q"/>
    <s v="Undisclosed"/>
    <m/>
    <x v="679"/>
    <s v="Isaac Nauta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61172"/>
    <x v="3"/>
    <s v="Tyler"/>
    <s v="Tyler Davis"/>
    <s v="Davis"/>
    <n v="0"/>
    <n v="2"/>
    <n v="4000"/>
    <s v="GB@KC"/>
    <s v="GB"/>
    <s v="KC"/>
    <m/>
    <m/>
    <m/>
    <x v="680"/>
    <s v="Tyler Davis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70426"/>
    <x v="3"/>
    <s v="Reggie"/>
    <s v="Reggie Gilliam"/>
    <s v="Gilliam"/>
    <n v="0.53333334128061904"/>
    <n v="3"/>
    <n v="4000"/>
    <s v="BUF@JAC"/>
    <s v="BUF"/>
    <s v="JAC"/>
    <m/>
    <m/>
    <m/>
    <x v="681"/>
    <s v="Reggie Gilliam"/>
    <n v="9.3909774436090228"/>
    <n v="3.4552845528455283"/>
    <n v="12.49"/>
    <n v="0"/>
    <n v="0"/>
    <n v="0"/>
    <n v="0"/>
    <n v="0.33333333333333331"/>
    <n v="0.16666666666666666"/>
    <n v="1.3333333333333333"/>
    <n v="8"/>
    <n v="0"/>
    <n v="1.3333333333333333"/>
    <n v="0.5"/>
    <n v="0"/>
    <n v="1"/>
    <n v="0"/>
    <n v="33.734564753717166"/>
    <n v="28.965435246282837"/>
    <n v="1"/>
    <n v="0"/>
    <n v="0"/>
    <n v="0"/>
    <n v="0"/>
    <n v="0.33333333333333331"/>
    <n v="25.8"/>
    <n v="0.43584708984130704"/>
    <n v="0.16666666666666666"/>
    <n v="0.21792354492065352"/>
    <n v="9.5035761176996676"/>
    <n v="2.0710529969923734"/>
    <n v="0.5"/>
    <n v="31.133333333333333"/>
    <n v="0.46518364956557018"/>
    <n v="0.83552253250254394"/>
    <n v="0.38867142096380114"/>
    <n v="0.32930577512895082"/>
    <n v="8.2326443782237704E-2"/>
    <n v="8.3333333333333329E-2"/>
  </r>
  <r>
    <s v="66282-65318"/>
    <x v="3"/>
    <s v="Daniel"/>
    <s v="Daniel Crawford"/>
    <s v="Crawford"/>
    <m/>
    <m/>
    <n v="4000"/>
    <s v="GB@KC"/>
    <s v="GB"/>
    <s v="KC"/>
    <m/>
    <m/>
    <m/>
    <x v="682"/>
    <s v="Daniel Crawford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1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40746"/>
    <x v="3"/>
    <s v="Troy"/>
    <s v="Troy Fumagalli"/>
    <s v="Fumagalli"/>
    <n v="2.5714285714285698"/>
    <n v="7"/>
    <n v="4000"/>
    <s v="NE@CAR"/>
    <s v="NE"/>
    <s v="CAR"/>
    <s v="IR"/>
    <s v="Undisclosed"/>
    <m/>
    <x v="683"/>
    <s v="Troy Fumagalli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0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55099"/>
    <x v="3"/>
    <s v="Ian"/>
    <s v="Ian Bunting"/>
    <s v="Bunting"/>
    <n v="0"/>
    <n v="1"/>
    <n v="4000"/>
    <s v="DEN@DAL"/>
    <s v="DAL"/>
    <s v="DEN"/>
    <m/>
    <m/>
    <m/>
    <x v="684"/>
    <s v="Ian Bunting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1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58189"/>
    <x v="3"/>
    <s v="Mitchell"/>
    <s v="Mitchell Fraboni"/>
    <s v="Fraboni"/>
    <m/>
    <m/>
    <n v="4000"/>
    <s v="HOU@MIA"/>
    <s v="HOU"/>
    <s v="MIA"/>
    <m/>
    <m/>
    <m/>
    <x v="685"/>
    <s v="Mitchell Fraboni"/>
    <n v="6.9217391304347826"/>
    <n v="4.2947368421052632"/>
    <n v="11.055555555555555"/>
    <n v="0"/>
    <n v="0"/>
    <n v="0"/>
    <n v="0"/>
    <n v="0"/>
    <n v="0"/>
    <n v="0"/>
    <n v="0"/>
    <n v="0"/>
    <n v="0"/>
    <n v="0"/>
    <n v="0"/>
    <n v="0"/>
    <n v="0"/>
    <n v="40.537201150458387"/>
    <n v="17.062798849541611"/>
    <n v="1"/>
    <n v="0"/>
    <n v="0"/>
    <n v="0"/>
    <n v="0"/>
    <n v="0"/>
    <n v="28.440476190476193"/>
    <n v="0"/>
    <n v="0"/>
    <n v="0"/>
    <n v="0"/>
    <n v="0"/>
    <n v="0"/>
    <n v="13.404761904761903"/>
    <n v="0"/>
    <n v="0"/>
    <n v="0"/>
    <n v="0"/>
    <n v="0"/>
    <n v="0"/>
  </r>
  <r>
    <s v="66282-66402"/>
    <x v="3"/>
    <s v="Jack"/>
    <s v="Jack Driscoll"/>
    <s v="Driscoll"/>
    <n v="0"/>
    <n v="1"/>
    <n v="4000"/>
    <s v="LAC@PHI"/>
    <s v="PHI"/>
    <s v="LAC"/>
    <m/>
    <m/>
    <m/>
    <x v="686"/>
    <s v="Jack Driscoll"/>
    <n v="6.5760869565217392"/>
    <n v="5.7954545454545459"/>
    <n v="9.453125"/>
    <n v="0"/>
    <n v="0"/>
    <n v="0"/>
    <n v="0"/>
    <n v="0"/>
    <n v="0"/>
    <n v="0"/>
    <n v="0"/>
    <n v="0"/>
    <n v="0"/>
    <n v="0"/>
    <n v="0"/>
    <n v="0"/>
    <n v="0"/>
    <n v="35.928903458126896"/>
    <n v="25.271096541873106"/>
    <n v="1"/>
    <n v="0"/>
    <n v="0"/>
    <n v="0"/>
    <n v="0"/>
    <n v="0"/>
    <n v="24.999999999999996"/>
    <n v="0"/>
    <n v="0"/>
    <n v="0"/>
    <n v="0"/>
    <n v="0"/>
    <n v="0"/>
    <n v="14.428571428571431"/>
    <n v="0"/>
    <n v="0"/>
    <n v="0"/>
    <n v="0"/>
    <n v="0"/>
    <n v="0"/>
  </r>
  <r>
    <s v="66282-23435"/>
    <x v="3"/>
    <s v="Andrew"/>
    <s v="Andrew DePaola"/>
    <s v="DePaola"/>
    <m/>
    <m/>
    <n v="4000"/>
    <s v="MIN@BAL"/>
    <s v="MIN"/>
    <s v="BAL"/>
    <m/>
    <m/>
    <m/>
    <x v="687"/>
    <s v="Andrew DePaola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69516"/>
    <x v="3"/>
    <s v="Miller"/>
    <s v="Miller Forristall"/>
    <s v="Forristall"/>
    <m/>
    <m/>
    <n v="4000"/>
    <s v="CLE@CIN"/>
    <s v="CLE"/>
    <s v="CIN"/>
    <m/>
    <m/>
    <m/>
    <x v="688"/>
    <s v="Miller Forristall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93075"/>
    <x v="3"/>
    <s v="Hunter"/>
    <s v="Hunter Long"/>
    <s v="Long"/>
    <n v="0"/>
    <n v="1"/>
    <n v="4000"/>
    <s v="HOU@MIA"/>
    <s v="MIA"/>
    <s v="HOU"/>
    <m/>
    <m/>
    <m/>
    <x v="689"/>
    <s v="Hunter Long"/>
    <n v="7.6226415094339623"/>
    <n v="4.2048192771084336"/>
    <n v="11.542857142857143"/>
    <n v="0"/>
    <n v="0"/>
    <n v="0"/>
    <n v="0"/>
    <n v="0"/>
    <n v="0"/>
    <n v="0"/>
    <n v="0"/>
    <n v="0"/>
    <n v="0"/>
    <n v="0"/>
    <n v="0"/>
    <n v="0"/>
    <n v="0"/>
    <n v="40.244550246190627"/>
    <n v="21.855449753809374"/>
    <n v="1"/>
    <n v="0"/>
    <n v="0"/>
    <n v="0"/>
    <n v="0"/>
    <n v="0"/>
    <n v="27.457142857142856"/>
    <n v="0"/>
    <n v="0"/>
    <n v="0"/>
    <n v="0"/>
    <n v="0"/>
    <n v="0"/>
    <n v="17.464285714285712"/>
    <n v="0"/>
    <n v="0"/>
    <n v="0"/>
    <n v="0"/>
    <n v="0"/>
    <n v="0"/>
  </r>
  <r>
    <s v="66282-64408"/>
    <x v="3"/>
    <s v="Nick"/>
    <s v="Nick Bowers"/>
    <s v="Bowers"/>
    <m/>
    <m/>
    <n v="4000"/>
    <s v="LV@NYG"/>
    <s v="LV"/>
    <s v="NYG"/>
    <s v="IR"/>
    <s v="Neck"/>
    <m/>
    <x v="690"/>
    <s v="Nick Bowers"/>
    <n v="6.7966101694915251"/>
    <n v="4.5857142857142854"/>
    <n v="9.0112359550561791"/>
    <n v="0"/>
    <n v="0"/>
    <n v="0"/>
    <n v="0"/>
    <n v="0"/>
    <n v="0"/>
    <n v="0"/>
    <n v="0"/>
    <n v="0"/>
    <n v="0"/>
    <n v="0"/>
    <n v="0"/>
    <n v="0"/>
    <n v="0"/>
    <e v="#N/A"/>
    <e v="#N/A"/>
    <n v="0"/>
    <n v="0"/>
    <n v="0"/>
    <n v="0"/>
    <n v="0"/>
    <n v="0"/>
    <n v="39.700000000000003"/>
    <e v="#N/A"/>
    <n v="0"/>
    <n v="0"/>
    <n v="0"/>
    <n v="0"/>
    <n v="0"/>
    <n v="38.571428571428569"/>
    <n v="0"/>
    <n v="0"/>
    <n v="0"/>
    <n v="0"/>
    <n v="0"/>
    <n v="0"/>
  </r>
  <r>
    <s v="66282-28570"/>
    <x v="3"/>
    <s v="Nick"/>
    <s v="Nick Vannett"/>
    <s v="Vannett"/>
    <n v="2.0454545454545401"/>
    <n v="11"/>
    <n v="4000"/>
    <s v="ATL@NO"/>
    <s v="NO"/>
    <s v="ATL"/>
    <s v="IR"/>
    <s v="Knee"/>
    <m/>
    <x v="691"/>
    <s v="Nick Vannett"/>
    <n v="7.2264150943396226"/>
    <n v="4.4936708860759493"/>
    <n v="10.213333333333333"/>
    <n v="0"/>
    <n v="0"/>
    <n v="0"/>
    <n v="0"/>
    <n v="0"/>
    <n v="0"/>
    <n v="0"/>
    <n v="0"/>
    <n v="0"/>
    <n v="0"/>
    <n v="0"/>
    <n v="0"/>
    <n v="0"/>
    <n v="0"/>
    <n v="40.544120654665065"/>
    <n v="22.955879345334939"/>
    <n v="0"/>
    <n v="0"/>
    <n v="0"/>
    <n v="0"/>
    <n v="0"/>
    <n v="0"/>
    <n v="24.533333333333335"/>
    <n v="0"/>
    <n v="0"/>
    <n v="0"/>
    <n v="0"/>
    <n v="0"/>
    <n v="0"/>
    <n v="23.45"/>
    <n v="0"/>
    <n v="0"/>
    <n v="0"/>
    <n v="0"/>
    <n v="0"/>
    <n v="0"/>
  </r>
  <r>
    <s v="66282-55209"/>
    <x v="3"/>
    <s v="Nate"/>
    <s v="Nate Becker"/>
    <s v="Becker"/>
    <m/>
    <m/>
    <n v="4000"/>
    <s v="BUF@JAC"/>
    <s v="BUF"/>
    <s v="JAC"/>
    <m/>
    <m/>
    <m/>
    <x v="692"/>
    <s v="Nate Becker"/>
    <n v="9.3909774436090228"/>
    <n v="3.4552845528455283"/>
    <n v="12.49"/>
    <n v="0"/>
    <n v="0"/>
    <n v="0"/>
    <n v="0"/>
    <n v="0"/>
    <n v="0"/>
    <n v="0"/>
    <n v="0"/>
    <n v="0"/>
    <n v="0"/>
    <n v="0"/>
    <n v="0"/>
    <n v="0"/>
    <n v="0"/>
    <n v="33.734564753717166"/>
    <n v="28.965435246282837"/>
    <n v="1"/>
    <n v="0"/>
    <n v="0"/>
    <n v="0"/>
    <n v="0"/>
    <n v="0"/>
    <n v="25.8"/>
    <n v="0"/>
    <n v="0"/>
    <n v="0"/>
    <n v="0"/>
    <n v="0"/>
    <n v="0"/>
    <n v="31.133333333333333"/>
    <n v="0"/>
    <n v="0"/>
    <n v="0"/>
    <n v="0"/>
    <n v="0"/>
    <n v="0"/>
  </r>
  <r>
    <s v="66282-65477"/>
    <x v="3"/>
    <s v="Giovanni"/>
    <s v="Giovanni Ricci"/>
    <s v="Ricci"/>
    <n v="0"/>
    <n v="2"/>
    <n v="4000"/>
    <s v="NE@CAR"/>
    <s v="CAR"/>
    <s v="NE"/>
    <m/>
    <m/>
    <m/>
    <x v="693"/>
    <s v="Giovanni Ricci"/>
    <n v="5.9135802469135799"/>
    <n v="4"/>
    <n v="9.9791666666666661"/>
    <n v="0"/>
    <n v="0"/>
    <n v="0"/>
    <n v="0"/>
    <n v="0"/>
    <n v="0"/>
    <n v="0"/>
    <n v="0"/>
    <n v="0"/>
    <n v="0"/>
    <n v="0"/>
    <n v="0"/>
    <n v="0"/>
    <n v="0"/>
    <n v="42.879374651732974"/>
    <n v="18.220625348267024"/>
    <n v="1"/>
    <n v="0"/>
    <n v="0"/>
    <n v="0"/>
    <n v="0"/>
    <n v="0"/>
    <n v="45.690476190476197"/>
    <n v="0"/>
    <n v="0"/>
    <n v="0"/>
    <n v="0"/>
    <n v="0"/>
    <n v="0"/>
    <n v="38.333333333333336"/>
    <n v="0"/>
    <n v="0"/>
    <n v="0"/>
    <n v="0"/>
    <n v="0"/>
    <n v="0"/>
  </r>
  <r>
    <s v="66282-70604"/>
    <x v="3"/>
    <s v="John"/>
    <s v="John Raine"/>
    <s v="Raine"/>
    <m/>
    <m/>
    <n v="4000"/>
    <s v="ATL@NO"/>
    <s v="ATL"/>
    <s v="NO"/>
    <m/>
    <m/>
    <m/>
    <x v="694"/>
    <s v="John Raine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1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54239"/>
    <x v="3"/>
    <s v="Matt"/>
    <s v="Matt Sokol"/>
    <s v="Sokol"/>
    <n v="0"/>
    <n v="1"/>
    <n v="4000"/>
    <s v="BUF@JAC"/>
    <s v="JAC"/>
    <s v="BUF"/>
    <m/>
    <m/>
    <m/>
    <x v="695"/>
    <s v="Matt Sokol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1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s v="66282-14304"/>
    <x v="3"/>
    <s v="Luke"/>
    <s v="Luke Stocker"/>
    <s v="Stocker"/>
    <n v="1.20000004768371"/>
    <n v="1"/>
    <n v="4000"/>
    <s v="MIN@BAL"/>
    <s v="MIN"/>
    <s v="BAL"/>
    <m/>
    <m/>
    <m/>
    <x v="696"/>
    <s v="Luke Stocker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1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85994"/>
    <x v="3"/>
    <s v="Dalton"/>
    <s v="Dalton Keene"/>
    <s v="Keene"/>
    <n v="0.77499997615814198"/>
    <n v="4"/>
    <n v="4000"/>
    <s v="NE@CAR"/>
    <s v="NE"/>
    <s v="CAR"/>
    <s v="IR"/>
    <s v="Knee - meniscus"/>
    <m/>
    <x v="697"/>
    <s v="Dalton Keene"/>
    <n v="5.0344827586206895"/>
    <n v="2.6470588235294117"/>
    <n v="8.76"/>
    <n v="0"/>
    <n v="0"/>
    <n v="0"/>
    <n v="0"/>
    <n v="0"/>
    <n v="0"/>
    <n v="0"/>
    <n v="0"/>
    <n v="0"/>
    <n v="0"/>
    <n v="0"/>
    <n v="0"/>
    <n v="0"/>
    <n v="0"/>
    <n v="27.892429902449898"/>
    <n v="33.907570097550099"/>
    <n v="0"/>
    <n v="0"/>
    <n v="0"/>
    <n v="0"/>
    <n v="0"/>
    <n v="0"/>
    <n v="35.154761904761905"/>
    <n v="0"/>
    <n v="0"/>
    <n v="0"/>
    <n v="0"/>
    <n v="0"/>
    <n v="0"/>
    <n v="29.773809523809522"/>
    <n v="0"/>
    <n v="0"/>
    <n v="0"/>
    <n v="0"/>
    <n v="0"/>
    <n v="0"/>
  </r>
  <r>
    <s v="66282-57325"/>
    <x v="3"/>
    <s v="Jordan"/>
    <s v="Jordan Franks"/>
    <s v="Franks"/>
    <n v="0"/>
    <n v="1"/>
    <n v="4000"/>
    <s v="CLE@CIN"/>
    <s v="CLE"/>
    <s v="CIN"/>
    <m/>
    <m/>
    <m/>
    <x v="698"/>
    <s v="Jordan Franks"/>
    <n v="5.884615384615385"/>
    <n v="3.7029702970297032"/>
    <n v="8.5794392523364493"/>
    <n v="0"/>
    <n v="0"/>
    <n v="0"/>
    <n v="0"/>
    <n v="0"/>
    <n v="0"/>
    <n v="0"/>
    <n v="0"/>
    <n v="0"/>
    <n v="0"/>
    <n v="0"/>
    <n v="0"/>
    <n v="0"/>
    <n v="0"/>
    <n v="26.716825649263725"/>
    <n v="36.583174350736272"/>
    <n v="1"/>
    <n v="0"/>
    <n v="0"/>
    <n v="0"/>
    <n v="0"/>
    <n v="0"/>
    <n v="23.30952380952381"/>
    <n v="0"/>
    <n v="0"/>
    <n v="0"/>
    <n v="0"/>
    <n v="0"/>
    <n v="0"/>
    <n v="31.019047619047615"/>
    <n v="0"/>
    <n v="0"/>
    <n v="0"/>
    <n v="0"/>
    <n v="0"/>
    <n v="0"/>
  </r>
  <r>
    <s v="66282-104447"/>
    <x v="3"/>
    <s v="Jody"/>
    <s v="Jody Fortson"/>
    <s v="Fortson"/>
    <n v="4.8000001907348597"/>
    <n v="4"/>
    <n v="4000"/>
    <s v="GB@KC"/>
    <s v="KC"/>
    <s v="GB"/>
    <s v="IR"/>
    <s v="Achilles"/>
    <m/>
    <x v="699"/>
    <s v="Jody Fortson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0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12530"/>
    <x v="4"/>
    <s v="Dallas"/>
    <s v="Dallas Cowboys"/>
    <s v="Cowboys"/>
    <n v="8.71428571428571"/>
    <n v="7"/>
    <n v="3900"/>
    <s v="DEN@DAL"/>
    <s v="DAL"/>
    <s v="DEN"/>
    <m/>
    <m/>
    <m/>
    <x v="700"/>
    <s v="DAL"/>
    <n v="4.6380952380952385"/>
    <n v="3.6326530612244898"/>
    <n v="8.8545454545454554"/>
    <n v="0"/>
    <n v="0"/>
    <n v="0"/>
    <n v="0"/>
    <n v="0"/>
    <n v="0"/>
    <n v="0"/>
    <n v="0"/>
    <n v="0"/>
    <n v="0"/>
    <n v="0"/>
    <n v="0"/>
    <n v="0"/>
    <n v="0"/>
    <n v="40.215481891649205"/>
    <n v="26.284518108350792"/>
    <n v="0"/>
    <n v="0"/>
    <n v="0"/>
    <n v="0"/>
    <n v="0"/>
    <n v="0"/>
    <n v="28.733333333333334"/>
    <n v="0"/>
    <n v="0"/>
    <n v="0"/>
    <n v="0"/>
    <n v="0"/>
    <n v="0"/>
    <n v="32"/>
    <n v="0"/>
    <n v="0"/>
    <n v="0"/>
    <n v="0"/>
    <n v="0"/>
    <n v="0"/>
  </r>
  <r>
    <s v="66282-12528"/>
    <x v="4"/>
    <s v="Cincinnati"/>
    <s v="Cincinnati Bengals"/>
    <s v="Bengals"/>
    <n v="6"/>
    <n v="8"/>
    <n v="3800"/>
    <s v="CLE@CIN"/>
    <s v="CIN"/>
    <s v="CLE"/>
    <m/>
    <m/>
    <m/>
    <x v="701"/>
    <s v="CIN"/>
    <n v="6.4117647058823533"/>
    <n v="3.140625"/>
    <n v="10.686274509803921"/>
    <n v="0"/>
    <n v="0"/>
    <n v="0"/>
    <n v="0"/>
    <n v="0"/>
    <n v="0"/>
    <n v="0"/>
    <n v="0"/>
    <n v="0"/>
    <n v="0"/>
    <n v="0"/>
    <n v="0"/>
    <n v="0"/>
    <n v="0"/>
    <n v="35.249369534050182"/>
    <n v="23.950630465949821"/>
    <n v="0"/>
    <n v="0"/>
    <n v="0"/>
    <n v="0"/>
    <n v="0"/>
    <n v="0"/>
    <n v="32.859523809523814"/>
    <n v="0"/>
    <n v="0"/>
    <n v="0"/>
    <n v="0"/>
    <n v="0"/>
    <n v="0"/>
    <n v="33.523809523809533"/>
    <n v="0"/>
    <n v="0"/>
    <n v="0"/>
    <n v="0"/>
    <n v="0"/>
    <n v="0"/>
  </r>
  <r>
    <s v="66282-12540"/>
    <x v="4"/>
    <s v="Minnesota"/>
    <s v="Minnesota Vikings"/>
    <s v="Vikings"/>
    <n v="7.2857142857142803"/>
    <n v="7"/>
    <n v="3700"/>
    <s v="MIN@BAL"/>
    <s v="MIN"/>
    <s v="BAL"/>
    <m/>
    <m/>
    <m/>
    <x v="702"/>
    <s v="MIN"/>
    <n v="8"/>
    <n v="3.5909090909090908"/>
    <n v="11.8"/>
    <n v="0"/>
    <n v="0"/>
    <n v="0"/>
    <n v="0"/>
    <n v="0"/>
    <n v="0"/>
    <n v="0"/>
    <n v="0"/>
    <n v="0"/>
    <n v="0"/>
    <n v="0"/>
    <n v="0"/>
    <n v="0"/>
    <n v="0"/>
    <n v="25.759493140243904"/>
    <n v="38.040506859756093"/>
    <n v="0"/>
    <n v="0"/>
    <n v="0"/>
    <n v="0"/>
    <n v="0"/>
    <n v="0"/>
    <n v="38.833333333333329"/>
    <n v="0"/>
    <n v="0"/>
    <n v="0"/>
    <n v="0"/>
    <n v="0"/>
    <n v="0"/>
    <n v="33.833333333333336"/>
    <n v="0"/>
    <n v="0"/>
    <n v="0"/>
    <n v="0"/>
    <n v="0"/>
    <n v="0"/>
  </r>
  <r>
    <s v="66282-12548"/>
    <x v="4"/>
    <s v="Los Angeles"/>
    <s v="Los Angeles Chargers"/>
    <s v="Chargers"/>
    <n v="4.5714285714285703"/>
    <n v="7"/>
    <n v="3700"/>
    <s v="LAC@PHI"/>
    <s v="LAC"/>
    <s v="PHI"/>
    <m/>
    <m/>
    <m/>
    <x v="703"/>
    <s v="LAC"/>
    <n v="5.9890109890109891"/>
    <n v="3.8190476190476192"/>
    <n v="8.515625"/>
    <n v="0"/>
    <n v="0"/>
    <n v="0"/>
    <n v="0"/>
    <n v="0"/>
    <n v="0"/>
    <n v="0"/>
    <n v="0"/>
    <n v="0"/>
    <n v="0"/>
    <n v="0"/>
    <n v="0"/>
    <n v="0"/>
    <n v="0"/>
    <n v="30.851495621477966"/>
    <n v="35.648504378522034"/>
    <n v="0"/>
    <n v="0"/>
    <n v="0"/>
    <n v="0"/>
    <n v="0"/>
    <n v="0"/>
    <n v="35.500000000000007"/>
    <n v="0"/>
    <n v="0"/>
    <n v="0"/>
    <n v="0"/>
    <n v="0"/>
    <n v="0"/>
    <n v="19.5"/>
    <n v="0"/>
    <n v="0"/>
    <n v="0"/>
    <n v="0"/>
    <n v="0"/>
    <n v="0"/>
  </r>
  <r>
    <s v="66282-12533"/>
    <x v="4"/>
    <s v="Green Bay"/>
    <s v="Green Bay Packers"/>
    <s v="Packers"/>
    <n v="6.5"/>
    <n v="8"/>
    <n v="3600"/>
    <s v="GB@KC"/>
    <s v="GB"/>
    <s v="KC"/>
    <m/>
    <m/>
    <m/>
    <x v="704"/>
    <s v="GB"/>
    <n v="8.7934782608695645"/>
    <n v="5.404494382022472"/>
    <n v="12.446153846153846"/>
    <n v="0"/>
    <n v="0"/>
    <n v="0"/>
    <n v="0"/>
    <n v="0"/>
    <n v="0"/>
    <n v="0"/>
    <n v="0"/>
    <n v="0"/>
    <n v="0"/>
    <n v="0"/>
    <n v="0"/>
    <n v="0"/>
    <n v="0"/>
    <e v="#N/A"/>
    <e v="#N/A"/>
    <n v="0"/>
    <n v="0"/>
    <n v="0"/>
    <n v="0"/>
    <n v="0"/>
    <n v="0"/>
    <n v="30.583333333333336"/>
    <e v="#N/A"/>
    <n v="0"/>
    <n v="0"/>
    <n v="0"/>
    <n v="0"/>
    <n v="0"/>
    <n v="14.916666666666666"/>
    <n v="0"/>
    <n v="0"/>
    <n v="0"/>
    <n v="0"/>
    <n v="0"/>
    <n v="0"/>
  </r>
  <r>
    <s v="66282-12543"/>
    <x v="4"/>
    <s v="New York"/>
    <s v="New York Giants"/>
    <s v="Giants"/>
    <n v="5.25"/>
    <n v="8"/>
    <n v="3500"/>
    <s v="LV@NYG"/>
    <s v="NYG"/>
    <s v="LV"/>
    <m/>
    <m/>
    <m/>
    <x v="705"/>
    <s v="NYG"/>
    <n v="5.9327731092436977"/>
    <n v="4.8133333333333335"/>
    <n v="9.0512820512820511"/>
    <n v="0"/>
    <n v="0"/>
    <n v="0"/>
    <n v="0"/>
    <n v="0"/>
    <n v="0"/>
    <n v="0"/>
    <n v="0"/>
    <n v="0"/>
    <n v="0"/>
    <n v="0"/>
    <n v="0"/>
    <n v="0"/>
    <n v="0"/>
    <n v="35.232477994905381"/>
    <n v="23.167522005094618"/>
    <n v="0"/>
    <n v="0"/>
    <n v="0"/>
    <n v="0"/>
    <n v="0"/>
    <n v="0"/>
    <n v="28.607142857142854"/>
    <n v="0"/>
    <n v="0"/>
    <n v="0"/>
    <n v="0"/>
    <n v="0"/>
    <n v="0"/>
    <n v="8.5333333333333314"/>
    <n v="0"/>
    <n v="0"/>
    <n v="0"/>
    <n v="0"/>
    <n v="0"/>
    <n v="0"/>
  </r>
  <r>
    <s v="66282-12549"/>
    <x v="4"/>
    <s v="San Francisco"/>
    <s v="San Francisco 49ers"/>
    <s v="49ers"/>
    <n v="5"/>
    <n v="7"/>
    <n v="3500"/>
    <s v="ARI@SF"/>
    <s v="SF"/>
    <s v="ARI"/>
    <m/>
    <m/>
    <m/>
    <x v="706"/>
    <s v="SF"/>
    <n v="5.9411764705882355"/>
    <n v="5.4102564102564106"/>
    <n v="9.1818181818181817"/>
    <n v="0"/>
    <n v="0"/>
    <n v="0"/>
    <n v="0"/>
    <n v="0"/>
    <n v="0"/>
    <n v="0"/>
    <n v="0"/>
    <n v="0"/>
    <n v="0"/>
    <n v="0"/>
    <n v="0"/>
    <n v="0"/>
    <n v="0"/>
    <n v="33.198546563443358"/>
    <n v="30.201453436556637"/>
    <n v="0"/>
    <n v="0"/>
    <n v="0"/>
    <n v="0"/>
    <n v="0"/>
    <n v="0"/>
    <n v="34.266666666666673"/>
    <n v="0"/>
    <n v="0"/>
    <n v="0"/>
    <n v="0"/>
    <n v="0"/>
    <n v="0"/>
    <n v="23.6"/>
    <n v="0"/>
    <n v="0"/>
    <n v="0"/>
    <n v="0"/>
    <n v="0"/>
    <n v="0"/>
  </r>
  <r>
    <s v="66282-12531"/>
    <x v="4"/>
    <s v="Denver"/>
    <s v="Denver Broncos"/>
    <s v="Broncos"/>
    <n v="8"/>
    <n v="8"/>
    <n v="3400"/>
    <s v="DEN@DAL"/>
    <s v="DEN"/>
    <s v="DAL"/>
    <m/>
    <m/>
    <m/>
    <x v="707"/>
    <s v="DEN"/>
    <n v="7.6538461538461542"/>
    <n v="4.6888888888888891"/>
    <n v="11.306818181818182"/>
    <n v="0"/>
    <n v="0"/>
    <n v="0"/>
    <n v="0"/>
    <n v="0"/>
    <n v="0"/>
    <n v="0"/>
    <n v="0"/>
    <n v="0"/>
    <n v="0"/>
    <n v="0"/>
    <n v="0"/>
    <n v="0"/>
    <n v="0"/>
    <n v="29.854056299344741"/>
    <n v="32.74594370065526"/>
    <n v="0"/>
    <n v="0"/>
    <n v="0"/>
    <n v="0"/>
    <n v="0"/>
    <n v="0"/>
    <n v="31.547619047619044"/>
    <n v="0"/>
    <n v="0"/>
    <n v="0"/>
    <n v="0"/>
    <n v="0"/>
    <n v="0"/>
    <n v="12.714285714285715"/>
    <n v="0"/>
    <n v="0"/>
    <n v="0"/>
    <n v="0"/>
    <n v="0"/>
    <n v="0"/>
  </r>
  <r>
    <s v="66282-12536"/>
    <x v="4"/>
    <s v="Kansas City"/>
    <s v="Kansas City Chiefs"/>
    <s v="Chiefs"/>
    <n v="3.75"/>
    <n v="8"/>
    <n v="3300"/>
    <s v="GB@KC"/>
    <s v="KC"/>
    <s v="GB"/>
    <m/>
    <m/>
    <m/>
    <x v="708"/>
    <s v="KC"/>
    <n v="6.3711340206185563"/>
    <n v="4.3797468354430382"/>
    <n v="9.3636363636363633"/>
    <n v="0"/>
    <n v="0"/>
    <n v="0"/>
    <n v="0"/>
    <n v="0"/>
    <n v="0"/>
    <n v="0"/>
    <n v="0"/>
    <n v="0"/>
    <n v="0"/>
    <n v="0"/>
    <n v="0"/>
    <n v="0"/>
    <n v="0"/>
    <n v="35.894621752555366"/>
    <n v="26.105378247444634"/>
    <n v="0"/>
    <n v="0"/>
    <n v="0"/>
    <n v="0"/>
    <n v="0"/>
    <n v="0"/>
    <n v="38.357142857142847"/>
    <n v="0"/>
    <n v="0"/>
    <n v="0"/>
    <n v="0"/>
    <n v="0"/>
    <n v="0"/>
    <n v="15.523809523809524"/>
    <n v="0"/>
    <n v="0"/>
    <n v="0"/>
    <n v="0"/>
    <n v="0"/>
    <n v="0"/>
  </r>
  <r>
    <s v="66282-12525"/>
    <x v="4"/>
    <s v="Atlanta"/>
    <s v="Atlanta Falcons"/>
    <s v="Falcons"/>
    <n v="2.8571428571428501"/>
    <n v="7"/>
    <n v="3200"/>
    <s v="ATL@NO"/>
    <s v="ATL"/>
    <s v="NO"/>
    <m/>
    <m/>
    <m/>
    <x v="709"/>
    <s v="ATL"/>
    <n v="5.895161290322581"/>
    <n v="2.7846153846153845"/>
    <n v="9.6184210526315788"/>
    <n v="0"/>
    <n v="0"/>
    <n v="0"/>
    <n v="0"/>
    <n v="0"/>
    <n v="0"/>
    <n v="0"/>
    <n v="0"/>
    <n v="0"/>
    <n v="0"/>
    <n v="0"/>
    <n v="0"/>
    <n v="0"/>
    <n v="0"/>
    <n v="37.013107313686163"/>
    <n v="26.586892686313835"/>
    <n v="0"/>
    <n v="0"/>
    <n v="0"/>
    <n v="0"/>
    <n v="0"/>
    <n v="0"/>
    <n v="33.666666666666664"/>
    <n v="0"/>
    <n v="0"/>
    <n v="0"/>
    <n v="0"/>
    <n v="0"/>
    <n v="0"/>
    <n v="25.833333333333332"/>
    <n v="0"/>
    <n v="0"/>
    <n v="0"/>
    <n v="0"/>
    <n v="0"/>
    <n v="0"/>
  </r>
  <r>
    <s v="66282-12554"/>
    <x v="4"/>
    <s v="Jacksonville"/>
    <s v="Jacksonville Jaguars"/>
    <s v="Jaguars"/>
    <n v="2.4285714285714199"/>
    <n v="7"/>
    <n v="3000"/>
    <s v="BUF@JAC"/>
    <s v="JAC"/>
    <s v="BUF"/>
    <m/>
    <m/>
    <m/>
    <x v="710"/>
    <s v="JAC"/>
    <n v="5.34"/>
    <n v="3.393939393939394"/>
    <n v="9.3684210526315788"/>
    <n v="0"/>
    <n v="0"/>
    <n v="0"/>
    <n v="0"/>
    <n v="0"/>
    <n v="0"/>
    <n v="0"/>
    <n v="0"/>
    <n v="0"/>
    <n v="0"/>
    <n v="0"/>
    <n v="0"/>
    <n v="0"/>
    <n v="0"/>
    <n v="44.656477842721628"/>
    <n v="14.343522157278372"/>
    <n v="0"/>
    <n v="0"/>
    <n v="0"/>
    <n v="0"/>
    <n v="0"/>
    <n v="0"/>
    <n v="34.133333333333333"/>
    <n v="0"/>
    <n v="0"/>
    <n v="0"/>
    <n v="0"/>
    <n v="0"/>
    <n v="0"/>
    <n v="20.466666666666665"/>
    <n v="0"/>
    <n v="0"/>
    <n v="0"/>
    <n v="0"/>
    <n v="0"/>
    <n v="0"/>
  </r>
  <r>
    <m/>
    <x v="5"/>
    <m/>
    <m/>
    <m/>
    <m/>
    <m/>
    <m/>
    <m/>
    <m/>
    <m/>
    <m/>
    <m/>
    <m/>
    <x v="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3:C450" firstHeaderRow="0" firstDataRow="1" firstDataCol="1" rowPageCount="1" colPageCount="1"/>
  <pivotFields count="55">
    <pivotField showAll="0"/>
    <pivotField axis="axisPage" multipleItemSelectionAllowed="1" showAll="0">
      <items count="8">
        <item h="1" x="4"/>
        <item h="1" x="1"/>
        <item h="1" x="0"/>
        <item x="3"/>
        <item x="2"/>
        <item h="1" x="5"/>
        <item h="1"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714">
        <item x="43"/>
        <item x="165"/>
        <item x="576"/>
        <item x="390"/>
        <item x="224"/>
        <item x="42"/>
        <item x="243"/>
        <item x="281"/>
        <item x="496"/>
        <item x="313"/>
        <item x="87"/>
        <item x="505"/>
        <item x="24"/>
        <item x="364"/>
        <item x="559"/>
        <item x="530"/>
        <item x="182"/>
        <item x="357"/>
        <item x="56"/>
        <item x="92"/>
        <item x="215"/>
        <item x="294"/>
        <item x="153"/>
        <item x="485"/>
        <item x="110"/>
        <item x="168"/>
        <item m="1" x="712"/>
        <item x="230"/>
        <item x="276"/>
        <item x="19"/>
        <item x="21"/>
        <item x="47"/>
        <item x="61"/>
        <item x="28"/>
        <item x="104"/>
        <item x="40"/>
        <item x="2"/>
        <item x="166"/>
        <item x="88"/>
        <item x="84"/>
        <item x="107"/>
        <item x="146"/>
        <item x="70"/>
        <item x="161"/>
        <item x="79"/>
        <item x="147"/>
        <item x="130"/>
        <item x="93"/>
        <item x="200"/>
        <item x="101"/>
        <item x="102"/>
        <item x="114"/>
        <item x="315"/>
        <item x="23"/>
        <item x="318"/>
        <item x="238"/>
        <item x="62"/>
        <item x="33"/>
        <item x="301"/>
        <item x="164"/>
        <item x="159"/>
        <item x="274"/>
        <item x="292"/>
        <item x="361"/>
        <item x="151"/>
        <item x="244"/>
        <item x="251"/>
        <item x="586"/>
        <item x="196"/>
        <item x="385"/>
        <item x="216"/>
        <item x="282"/>
        <item x="296"/>
        <item x="601"/>
        <item x="241"/>
        <item x="562"/>
        <item x="173"/>
        <item x="374"/>
        <item x="518"/>
        <item x="533"/>
        <item x="55"/>
        <item x="348"/>
        <item x="354"/>
        <item x="371"/>
        <item x="382"/>
        <item x="306"/>
        <item x="310"/>
        <item x="178"/>
        <item x="488"/>
        <item x="503"/>
        <item x="284"/>
        <item x="5"/>
        <item x="1"/>
        <item x="20"/>
        <item x="36"/>
        <item x="3"/>
        <item x="22"/>
        <item x="30"/>
        <item x="11"/>
        <item x="29"/>
        <item x="134"/>
        <item x="68"/>
        <item x="32"/>
        <item x="86"/>
        <item x="111"/>
        <item x="89"/>
        <item x="46"/>
        <item x="126"/>
        <item x="136"/>
        <item x="45"/>
        <item x="64"/>
        <item x="80"/>
        <item x="121"/>
        <item x="125"/>
        <item x="129"/>
        <item x="96"/>
        <item x="109"/>
        <item x="131"/>
        <item x="138"/>
        <item x="139"/>
        <item x="106"/>
        <item x="118"/>
        <item x="119"/>
        <item x="48"/>
        <item x="69"/>
        <item x="75"/>
        <item x="193"/>
        <item x="59"/>
        <item x="209"/>
        <item x="171"/>
        <item x="201"/>
        <item x="145"/>
        <item x="386"/>
        <item x="113"/>
        <item x="246"/>
        <item x="211"/>
        <item x="291"/>
        <item x="71"/>
        <item x="228"/>
        <item x="63"/>
        <item x="188"/>
        <item x="160"/>
        <item x="305"/>
        <item x="162"/>
        <item x="338"/>
        <item x="252"/>
        <item x="236"/>
        <item x="293"/>
        <item x="316"/>
        <item x="242"/>
        <item x="144"/>
        <item x="303"/>
        <item x="219"/>
        <item x="204"/>
        <item x="432"/>
        <item x="258"/>
        <item x="498"/>
        <item x="546"/>
        <item x="325"/>
        <item x="328"/>
        <item x="272"/>
        <item x="210"/>
        <item x="557"/>
        <item x="340"/>
        <item x="352"/>
        <item x="353"/>
        <item x="365"/>
        <item x="407"/>
        <item x="175"/>
        <item x="217"/>
        <item x="425"/>
        <item x="434"/>
        <item x="177"/>
        <item x="247"/>
        <item x="524"/>
        <item x="537"/>
        <item x="543"/>
        <item x="547"/>
        <item x="552"/>
        <item x="556"/>
        <item x="322"/>
        <item x="267"/>
        <item x="339"/>
        <item x="342"/>
        <item x="358"/>
        <item x="363"/>
        <item x="298"/>
        <item x="372"/>
        <item x="72"/>
        <item x="65"/>
        <item x="60"/>
        <item x="124"/>
        <item x="117"/>
        <item x="128"/>
        <item x="143"/>
        <item x="150"/>
        <item x="14"/>
        <item x="539"/>
        <item x="85"/>
        <item x="304"/>
        <item x="195"/>
        <item x="187"/>
        <item x="255"/>
        <item x="343"/>
        <item x="260"/>
        <item x="250"/>
        <item x="266"/>
        <item x="616"/>
        <item x="572"/>
        <item x="403"/>
        <item x="309"/>
        <item x="469"/>
        <item x="314"/>
        <item x="517"/>
        <item x="411"/>
        <item x="421"/>
        <item x="430"/>
        <item x="452"/>
        <item x="453"/>
        <item x="458"/>
        <item x="483"/>
        <item x="256"/>
        <item x="490"/>
        <item x="509"/>
        <item x="515"/>
        <item x="520"/>
        <item x="541"/>
        <item x="568"/>
        <item x="569"/>
        <item x="327"/>
        <item x="331"/>
        <item x="369"/>
        <item x="300"/>
        <item x="384"/>
        <item x="391"/>
        <item x="404"/>
        <item x="406"/>
        <item x="415"/>
        <item x="417"/>
        <item x="418"/>
        <item x="422"/>
        <item x="428"/>
        <item x="431"/>
        <item x="308"/>
        <item x="438"/>
        <item x="439"/>
        <item x="445"/>
        <item x="448"/>
        <item x="455"/>
        <item x="457"/>
        <item x="461"/>
        <item x="463"/>
        <item x="467"/>
        <item x="470"/>
        <item x="472"/>
        <item x="473"/>
        <item x="474"/>
        <item x="475"/>
        <item x="479"/>
        <item x="481"/>
        <item x="482"/>
        <item x="280"/>
        <item x="486"/>
        <item x="489"/>
        <item x="495"/>
        <item x="502"/>
        <item x="504"/>
        <item x="506"/>
        <item x="507"/>
        <item x="512"/>
        <item x="519"/>
        <item x="525"/>
        <item x="532"/>
        <item x="540"/>
        <item x="548"/>
        <item x="549"/>
        <item x="550"/>
        <item x="551"/>
        <item x="554"/>
        <item x="560"/>
        <item x="563"/>
        <item x="565"/>
        <item x="321"/>
        <item x="203"/>
        <item x="587"/>
        <item x="676"/>
        <item x="575"/>
        <item x="571"/>
        <item x="368"/>
        <item x="600"/>
        <item x="604"/>
        <item x="588"/>
        <item x="707"/>
        <item x="599"/>
        <item x="289"/>
        <item x="611"/>
        <item x="612"/>
        <item x="632"/>
        <item x="633"/>
        <item x="649"/>
        <item x="53"/>
        <item x="26"/>
        <item x="34"/>
        <item x="91"/>
        <item x="81"/>
        <item x="108"/>
        <item x="116"/>
        <item x="78"/>
        <item x="156"/>
        <item x="163"/>
        <item x="183"/>
        <item x="198"/>
        <item x="437"/>
        <item x="416"/>
        <item x="337"/>
        <item x="346"/>
        <item x="373"/>
        <item x="377"/>
        <item x="381"/>
        <item x="398"/>
        <item x="254"/>
        <item x="427"/>
        <item x="433"/>
        <item x="440"/>
        <item x="494"/>
        <item x="514"/>
        <item x="516"/>
        <item x="262"/>
        <item x="522"/>
        <item x="378"/>
        <item x="396"/>
        <item x="405"/>
        <item x="492"/>
        <item x="501"/>
        <item x="526"/>
        <item x="285"/>
        <item x="534"/>
        <item x="558"/>
        <item x="564"/>
        <item x="566"/>
        <item x="573"/>
        <item x="271"/>
        <item x="226"/>
        <item x="597"/>
        <item x="618"/>
        <item x="645"/>
        <item x="652"/>
        <item x="6"/>
        <item x="7"/>
        <item x="16"/>
        <item x="9"/>
        <item x="31"/>
        <item x="18"/>
        <item x="58"/>
        <item x="67"/>
        <item x="197"/>
        <item x="83"/>
        <item x="95"/>
        <item x="98"/>
        <item x="105"/>
        <item x="112"/>
        <item x="122"/>
        <item x="27"/>
        <item x="140"/>
        <item x="100"/>
        <item x="38"/>
        <item x="90"/>
        <item x="135"/>
        <item x="169"/>
        <item x="141"/>
        <item x="158"/>
        <item x="149"/>
        <item x="189"/>
        <item x="74"/>
        <item x="222"/>
        <item x="174"/>
        <item x="233"/>
        <item x="57"/>
        <item x="229"/>
        <item x="180"/>
        <item x="207"/>
        <item x="191"/>
        <item x="154"/>
        <item x="223"/>
        <item x="307"/>
        <item x="232"/>
        <item x="259"/>
        <item x="344"/>
        <item x="347"/>
        <item x="366"/>
        <item x="269"/>
        <item x="379"/>
        <item x="388"/>
        <item x="420"/>
        <item x="426"/>
        <item x="441"/>
        <item x="478"/>
        <item x="521"/>
        <item x="288"/>
        <item x="332"/>
        <item x="295"/>
        <item x="350"/>
        <item x="297"/>
        <item x="360"/>
        <item x="375"/>
        <item x="376"/>
        <item x="397"/>
        <item x="400"/>
        <item x="401"/>
        <item x="402"/>
        <item x="408"/>
        <item x="409"/>
        <item x="273"/>
        <item x="412"/>
        <item x="414"/>
        <item x="206"/>
        <item x="176"/>
        <item x="436"/>
        <item x="450"/>
        <item x="459"/>
        <item x="462"/>
        <item x="466"/>
        <item x="279"/>
        <item x="500"/>
        <item x="190"/>
        <item x="513"/>
        <item x="527"/>
        <item x="535"/>
        <item x="536"/>
        <item x="544"/>
        <item x="585"/>
        <item x="598"/>
        <item x="594"/>
        <item x="617"/>
        <item x="205"/>
        <item x="579"/>
        <item x="592"/>
        <item x="619"/>
        <item x="628"/>
        <item x="589"/>
        <item x="0"/>
        <item x="4"/>
        <item x="8"/>
        <item x="10"/>
        <item x="12"/>
        <item x="13"/>
        <item x="15"/>
        <item x="17"/>
        <item x="25"/>
        <item x="35"/>
        <item x="37"/>
        <item x="39"/>
        <item x="41"/>
        <item x="44"/>
        <item x="49"/>
        <item x="50"/>
        <item x="51"/>
        <item x="52"/>
        <item x="54"/>
        <item x="66"/>
        <item x="73"/>
        <item x="76"/>
        <item x="77"/>
        <item x="82"/>
        <item x="94"/>
        <item x="97"/>
        <item x="99"/>
        <item x="103"/>
        <item x="115"/>
        <item x="120"/>
        <item x="123"/>
        <item x="127"/>
        <item x="132"/>
        <item x="133"/>
        <item x="137"/>
        <item x="142"/>
        <item x="148"/>
        <item x="152"/>
        <item x="155"/>
        <item x="157"/>
        <item x="167"/>
        <item x="170"/>
        <item x="172"/>
        <item x="179"/>
        <item x="181"/>
        <item x="184"/>
        <item x="185"/>
        <item x="186"/>
        <item x="192"/>
        <item x="194"/>
        <item x="199"/>
        <item x="202"/>
        <item x="208"/>
        <item x="212"/>
        <item x="213"/>
        <item x="214"/>
        <item x="218"/>
        <item x="220"/>
        <item x="221"/>
        <item x="225"/>
        <item x="227"/>
        <item x="231"/>
        <item x="234"/>
        <item x="235"/>
        <item x="237"/>
        <item x="239"/>
        <item x="240"/>
        <item x="245"/>
        <item x="248"/>
        <item x="249"/>
        <item x="253"/>
        <item x="257"/>
        <item x="261"/>
        <item x="263"/>
        <item x="264"/>
        <item x="265"/>
        <item x="268"/>
        <item x="270"/>
        <item x="275"/>
        <item x="277"/>
        <item x="278"/>
        <item x="283"/>
        <item x="286"/>
        <item x="287"/>
        <item x="290"/>
        <item x="299"/>
        <item x="302"/>
        <item x="311"/>
        <item x="312"/>
        <item x="317"/>
        <item x="319"/>
        <item x="320"/>
        <item x="323"/>
        <item x="324"/>
        <item x="326"/>
        <item x="329"/>
        <item x="330"/>
        <item x="333"/>
        <item x="334"/>
        <item x="335"/>
        <item x="336"/>
        <item x="341"/>
        <item x="345"/>
        <item x="349"/>
        <item x="351"/>
        <item x="355"/>
        <item x="356"/>
        <item x="359"/>
        <item x="362"/>
        <item x="367"/>
        <item x="370"/>
        <item x="380"/>
        <item x="383"/>
        <item x="387"/>
        <item x="389"/>
        <item x="392"/>
        <item x="393"/>
        <item x="394"/>
        <item x="395"/>
        <item x="399"/>
        <item x="410"/>
        <item x="413"/>
        <item x="419"/>
        <item x="423"/>
        <item x="424"/>
        <item x="429"/>
        <item x="435"/>
        <item x="442"/>
        <item x="443"/>
        <item x="444"/>
        <item x="446"/>
        <item x="447"/>
        <item x="449"/>
        <item x="451"/>
        <item x="454"/>
        <item x="456"/>
        <item x="460"/>
        <item x="464"/>
        <item x="465"/>
        <item x="468"/>
        <item x="471"/>
        <item x="476"/>
        <item x="477"/>
        <item x="480"/>
        <item x="484"/>
        <item x="487"/>
        <item x="491"/>
        <item x="493"/>
        <item x="497"/>
        <item x="499"/>
        <item x="508"/>
        <item x="510"/>
        <item x="511"/>
        <item x="523"/>
        <item x="528"/>
        <item x="529"/>
        <item x="531"/>
        <item x="538"/>
        <item x="542"/>
        <item x="545"/>
        <item x="553"/>
        <item x="555"/>
        <item x="561"/>
        <item x="567"/>
        <item x="570"/>
        <item x="574"/>
        <item x="577"/>
        <item x="578"/>
        <item x="580"/>
        <item x="581"/>
        <item x="582"/>
        <item x="583"/>
        <item x="584"/>
        <item x="590"/>
        <item x="591"/>
        <item x="593"/>
        <item x="595"/>
        <item x="596"/>
        <item x="602"/>
        <item x="603"/>
        <item x="605"/>
        <item x="606"/>
        <item x="607"/>
        <item x="608"/>
        <item x="609"/>
        <item x="610"/>
        <item x="613"/>
        <item x="614"/>
        <item x="615"/>
        <item x="620"/>
        <item x="621"/>
        <item x="622"/>
        <item x="623"/>
        <item x="624"/>
        <item x="625"/>
        <item x="626"/>
        <item x="627"/>
        <item x="629"/>
        <item x="630"/>
        <item x="631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6"/>
        <item x="647"/>
        <item x="648"/>
        <item x="650"/>
        <item x="651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8"/>
        <item x="709"/>
        <item x="710"/>
        <item x="71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dataField="1"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showAll="0"/>
    <pivotField showAll="0"/>
    <pivotField dataField="1" numFmtId="43" showAll="0"/>
  </pivotFields>
  <rowFields count="1">
    <field x="14"/>
  </rowFields>
  <rowItems count="447">
    <i>
      <x v="129"/>
    </i>
    <i>
      <x v="452"/>
    </i>
    <i>
      <x v="31"/>
    </i>
    <i>
      <x v="458"/>
    </i>
    <i>
      <x v="445"/>
    </i>
    <i>
      <x v="113"/>
    </i>
    <i>
      <x v="477"/>
    </i>
    <i>
      <x v="56"/>
    </i>
    <i>
      <x v="309"/>
    </i>
    <i>
      <x v="300"/>
    </i>
    <i>
      <x v="96"/>
    </i>
    <i>
      <x v="57"/>
    </i>
    <i>
      <x v="483"/>
    </i>
    <i>
      <x v="93"/>
    </i>
    <i>
      <x v="16"/>
    </i>
    <i>
      <x v="80"/>
    </i>
    <i>
      <x v="348"/>
    </i>
    <i>
      <x v="64"/>
    </i>
    <i>
      <x v="349"/>
    </i>
    <i>
      <x v="474"/>
    </i>
    <i>
      <x v="368"/>
    </i>
    <i>
      <x v="441"/>
    </i>
    <i>
      <x v="125"/>
    </i>
    <i>
      <x v="374"/>
    </i>
    <i>
      <x v="97"/>
    </i>
    <i>
      <x v="124"/>
    </i>
    <i>
      <x v="190"/>
    </i>
    <i>
      <x v="381"/>
    </i>
    <i>
      <x v="45"/>
    </i>
    <i>
      <x v="448"/>
    </i>
    <i>
      <x v="524"/>
    </i>
    <i>
      <x v="168"/>
    </i>
    <i>
      <x v="372"/>
    </i>
    <i>
      <x v="128"/>
    </i>
    <i>
      <x v="352"/>
    </i>
    <i>
      <x v="455"/>
    </i>
    <i>
      <x v="365"/>
    </i>
    <i>
      <x v="464"/>
    </i>
    <i>
      <x v="490"/>
    </i>
    <i>
      <x v="59"/>
    </i>
    <i>
      <x v="371"/>
    </i>
    <i>
      <x v="369"/>
    </i>
    <i>
      <x v="283"/>
    </i>
    <i>
      <x v="126"/>
    </i>
    <i>
      <x v="196"/>
    </i>
    <i>
      <x v="136"/>
    </i>
    <i>
      <x v="481"/>
    </i>
    <i>
      <x v="308"/>
    </i>
    <i>
      <x v="382"/>
    </i>
    <i>
      <x v="140"/>
    </i>
    <i>
      <x v="48"/>
    </i>
    <i>
      <x v="22"/>
    </i>
    <i>
      <x v="94"/>
    </i>
    <i>
      <x v="498"/>
    </i>
    <i>
      <x v="200"/>
    </i>
    <i>
      <x v="311"/>
    </i>
    <i>
      <x v="492"/>
    </i>
    <i>
      <x v="137"/>
    </i>
    <i>
      <x v="41"/>
    </i>
    <i>
      <x v="152"/>
    </i>
    <i>
      <x v="514"/>
    </i>
    <i>
      <x v="508"/>
    </i>
    <i>
      <x v="390"/>
    </i>
    <i>
      <x v="143"/>
    </i>
    <i>
      <x v="487"/>
    </i>
    <i>
      <x v="9"/>
    </i>
    <i>
      <x v="488"/>
    </i>
    <i>
      <x v="462"/>
    </i>
    <i>
      <x v="65"/>
    </i>
    <i>
      <x v="521"/>
    </i>
    <i>
      <x v="335"/>
    </i>
    <i>
      <x v="61"/>
    </i>
    <i>
      <x v="66"/>
    </i>
    <i>
      <x v="161"/>
    </i>
    <i>
      <x v="55"/>
    </i>
    <i>
      <x v="506"/>
    </i>
    <i>
      <x v="379"/>
    </i>
    <i>
      <x v="515"/>
    </i>
    <i>
      <x v="20"/>
    </i>
    <i>
      <x v="159"/>
    </i>
    <i>
      <x v="497"/>
    </i>
    <i>
      <x v="288"/>
    </i>
    <i>
      <x v="380"/>
    </i>
    <i>
      <x v="615"/>
    </i>
    <i>
      <x v="378"/>
    </i>
    <i>
      <x v="614"/>
    </i>
    <i>
      <x v="141"/>
    </i>
    <i>
      <x v="480"/>
    </i>
    <i>
      <x v="52"/>
    </i>
    <i>
      <x v="201"/>
    </i>
    <i>
      <x v="499"/>
    </i>
    <i>
      <x v="430"/>
    </i>
    <i>
      <x v="208"/>
    </i>
    <i>
      <x v="70"/>
    </i>
    <i>
      <x v="484"/>
    </i>
    <i>
      <x v="212"/>
    </i>
    <i>
      <x v="153"/>
    </i>
    <i>
      <x v="186"/>
    </i>
    <i>
      <x v="520"/>
    </i>
    <i>
      <x v="160"/>
    </i>
    <i>
      <x v="435"/>
    </i>
    <i>
      <x v="67"/>
    </i>
    <i>
      <x v="172"/>
    </i>
    <i>
      <x v="287"/>
    </i>
    <i>
      <x v="284"/>
    </i>
    <i>
      <x v="509"/>
    </i>
    <i>
      <x v="512"/>
    </i>
    <i>
      <x v="342"/>
    </i>
    <i>
      <x v="138"/>
    </i>
    <i>
      <x v="386"/>
    </i>
    <i>
      <x v="620"/>
    </i>
    <i>
      <x v="609"/>
    </i>
    <i>
      <x v="602"/>
    </i>
    <i>
      <x v="202"/>
    </i>
    <i>
      <x v="291"/>
    </i>
    <i>
      <x v="531"/>
    </i>
    <i>
      <x v="146"/>
    </i>
    <i>
      <x v="85"/>
    </i>
    <i>
      <x v="134"/>
    </i>
    <i>
      <x v="608"/>
    </i>
    <i>
      <x v="516"/>
    </i>
    <i>
      <x v="320"/>
    </i>
    <i>
      <x v="507"/>
    </i>
    <i>
      <x v="149"/>
    </i>
    <i>
      <x v="549"/>
    </i>
    <i>
      <x v="73"/>
    </i>
    <i>
      <x v="4"/>
    </i>
    <i>
      <x v="58"/>
    </i>
    <i>
      <x v="290"/>
    </i>
    <i>
      <x v="312"/>
    </i>
    <i>
      <x v="436"/>
    </i>
    <i>
      <x v="294"/>
    </i>
    <i>
      <x v="503"/>
    </i>
    <i>
      <x v="522"/>
    </i>
    <i>
      <x v="605"/>
    </i>
    <i>
      <x v="624"/>
    </i>
    <i>
      <x v="90"/>
    </i>
    <i>
      <x v="611"/>
    </i>
    <i>
      <x v="2"/>
    </i>
    <i>
      <x v="79"/>
    </i>
    <i>
      <x v="142"/>
    </i>
    <i>
      <x v="28"/>
    </i>
    <i>
      <x v="432"/>
    </i>
    <i>
      <x v="513"/>
    </i>
    <i>
      <x v="211"/>
    </i>
    <i>
      <x v="501"/>
    </i>
    <i>
      <x v="683"/>
    </i>
    <i>
      <x v="551"/>
    </i>
    <i>
      <x v="412"/>
    </i>
    <i>
      <x v="621"/>
    </i>
    <i>
      <x v="525"/>
    </i>
    <i>
      <x v="398"/>
    </i>
    <i>
      <x v="241"/>
    </i>
    <i>
      <x v="616"/>
    </i>
    <i>
      <x v="165"/>
    </i>
    <i>
      <x v="668"/>
    </i>
    <i>
      <x v="595"/>
    </i>
    <i>
      <x v="265"/>
    </i>
    <i>
      <x v="273"/>
    </i>
    <i>
      <x v="634"/>
    </i>
    <i>
      <x v="275"/>
    </i>
    <i>
      <x v="529"/>
    </i>
    <i>
      <x v="276"/>
    </i>
    <i>
      <x v="573"/>
    </i>
    <i>
      <x v="278"/>
    </i>
    <i>
      <x v="270"/>
    </i>
    <i>
      <x v="280"/>
    </i>
    <i>
      <x v="652"/>
    </i>
    <i>
      <x v="8"/>
    </i>
    <i>
      <x v="684"/>
    </i>
    <i>
      <x v="101"/>
    </i>
    <i>
      <x v="539"/>
    </i>
    <i>
      <x v="285"/>
    </i>
    <i>
      <x v="564"/>
    </i>
    <i>
      <x v="286"/>
    </i>
    <i>
      <x v="584"/>
    </i>
    <i>
      <x v="110"/>
    </i>
    <i>
      <x v="607"/>
    </i>
    <i>
      <x v="111"/>
    </i>
    <i>
      <x v="259"/>
    </i>
    <i>
      <x v="289"/>
    </i>
    <i>
      <x v="642"/>
    </i>
    <i>
      <x v="214"/>
    </i>
    <i>
      <x v="660"/>
    </i>
    <i>
      <x v="215"/>
    </i>
    <i>
      <x v="676"/>
    </i>
    <i>
      <x v="293"/>
    </i>
    <i>
      <x v="523"/>
    </i>
    <i>
      <x v="216"/>
    </i>
    <i>
      <x v="533"/>
    </i>
    <i>
      <x v="295"/>
    </i>
    <i>
      <x v="544"/>
    </i>
    <i>
      <x v="296"/>
    </i>
    <i>
      <x v="559"/>
    </i>
    <i>
      <x v="297"/>
    </i>
    <i>
      <x v="568"/>
    </i>
    <i>
      <x v="298"/>
    </i>
    <i>
      <x v="578"/>
    </i>
    <i>
      <x v="299"/>
    </i>
    <i>
      <x v="590"/>
    </i>
    <i>
      <x v="217"/>
    </i>
    <i>
      <x v="249"/>
    </i>
    <i>
      <x v="23"/>
    </i>
    <i>
      <x v="257"/>
    </i>
    <i>
      <x v="60"/>
    </i>
    <i>
      <x v="258"/>
    </i>
    <i>
      <x v="25"/>
    </i>
    <i>
      <x v="630"/>
    </i>
    <i>
      <x v="218"/>
    </i>
    <i>
      <x v="638"/>
    </i>
    <i>
      <x v="313"/>
    </i>
    <i>
      <x v="647"/>
    </i>
    <i>
      <x v="314"/>
    </i>
    <i>
      <x v="656"/>
    </i>
    <i>
      <x v="315"/>
    </i>
    <i>
      <x v="664"/>
    </i>
    <i>
      <x v="219"/>
    </i>
    <i>
      <x v="672"/>
    </i>
    <i>
      <x v="322"/>
    </i>
    <i>
      <x v="680"/>
    </i>
    <i>
      <x v="324"/>
    </i>
    <i>
      <x v="688"/>
    </i>
    <i>
      <x v="325"/>
    </i>
    <i>
      <x v="264"/>
    </i>
    <i>
      <x v="328"/>
    </i>
    <i>
      <x v="245"/>
    </i>
    <i>
      <x v="330"/>
    </i>
    <i>
      <x v="535"/>
    </i>
    <i>
      <x v="332"/>
    </i>
    <i>
      <x v="542"/>
    </i>
    <i>
      <x v="333"/>
    </i>
    <i>
      <x v="246"/>
    </i>
    <i>
      <x v="334"/>
    </i>
    <i>
      <x v="553"/>
    </i>
    <i>
      <x v="63"/>
    </i>
    <i>
      <x v="562"/>
    </i>
    <i>
      <x v="336"/>
    </i>
    <i>
      <x v="566"/>
    </i>
    <i>
      <x v="338"/>
    </i>
    <i>
      <x v="571"/>
    </i>
    <i>
      <x v="339"/>
    </i>
    <i>
      <x v="576"/>
    </i>
    <i>
      <x v="220"/>
    </i>
    <i>
      <x v="580"/>
    </i>
    <i>
      <x v="344"/>
    </i>
    <i>
      <x v="586"/>
    </i>
    <i>
      <x v="345"/>
    </i>
    <i>
      <x v="592"/>
    </i>
    <i>
      <x v="346"/>
    </i>
    <i>
      <x v="597"/>
    </i>
    <i>
      <x v="222"/>
    </i>
    <i>
      <x v="604"/>
    </i>
    <i>
      <x v="224"/>
    </i>
    <i>
      <x v="253"/>
    </i>
    <i>
      <x v="11"/>
    </i>
    <i>
      <x v="207"/>
    </i>
    <i>
      <x v="354"/>
    </i>
    <i>
      <x v="618"/>
    </i>
    <i>
      <x v="43"/>
    </i>
    <i>
      <x v="622"/>
    </i>
    <i>
      <x v="69"/>
    </i>
    <i>
      <x v="626"/>
    </i>
    <i>
      <x v="13"/>
    </i>
    <i>
      <x v="632"/>
    </i>
    <i>
      <x v="226"/>
    </i>
    <i>
      <x v="636"/>
    </i>
    <i>
      <x v="227"/>
    </i>
    <i>
      <x v="640"/>
    </i>
    <i>
      <x v="144"/>
    </i>
    <i>
      <x v="644"/>
    </i>
    <i>
      <x v="229"/>
    </i>
    <i>
      <x v="650"/>
    </i>
    <i>
      <x v="231"/>
    </i>
    <i>
      <x v="654"/>
    </i>
    <i>
      <x v="150"/>
    </i>
    <i>
      <x v="658"/>
    </i>
    <i>
      <x v="151"/>
    </i>
    <i>
      <x v="662"/>
    </i>
    <i>
      <x v="75"/>
    </i>
    <i>
      <x v="666"/>
    </i>
    <i>
      <x v="384"/>
    </i>
    <i>
      <x v="670"/>
    </i>
    <i>
      <x v="385"/>
    </i>
    <i>
      <x v="674"/>
    </i>
    <i>
      <x v="696"/>
    </i>
    <i>
      <x v="678"/>
    </i>
    <i>
      <x v="697"/>
    </i>
    <i>
      <x v="682"/>
    </i>
    <i>
      <x v="699"/>
    </i>
    <i>
      <x v="686"/>
    </i>
    <i>
      <x v="701"/>
    </i>
    <i>
      <x v="690"/>
    </i>
    <i>
      <x v="78"/>
    </i>
    <i>
      <x v="206"/>
    </i>
    <i>
      <x v="391"/>
    </i>
    <i>
      <x v="527"/>
    </i>
    <i>
      <x v="392"/>
    </i>
    <i>
      <x v="530"/>
    </i>
    <i>
      <x v="393"/>
    </i>
    <i>
      <x v="532"/>
    </i>
    <i>
      <x v="394"/>
    </i>
    <i>
      <x v="534"/>
    </i>
    <i>
      <x v="396"/>
    </i>
    <i>
      <x v="536"/>
    </i>
    <i>
      <x v="261"/>
    </i>
    <i>
      <x v="540"/>
    </i>
    <i>
      <x v="400"/>
    </i>
    <i>
      <x v="543"/>
    </i>
    <i>
      <x v="401"/>
    </i>
    <i>
      <x v="548"/>
    </i>
    <i>
      <x v="402"/>
    </i>
    <i>
      <x v="550"/>
    </i>
    <i>
      <x v="404"/>
    </i>
    <i>
      <x v="552"/>
    </i>
    <i>
      <x v="406"/>
    </i>
    <i>
      <x v="556"/>
    </i>
    <i>
      <x v="407"/>
    </i>
    <i>
      <x v="560"/>
    </i>
    <i>
      <x v="409"/>
    </i>
    <i>
      <x v="563"/>
    </i>
    <i>
      <x v="410"/>
    </i>
    <i>
      <x v="565"/>
    </i>
    <i>
      <x v="411"/>
    </i>
    <i>
      <x v="567"/>
    </i>
    <i>
      <x v="262"/>
    </i>
    <i>
      <x v="569"/>
    </i>
    <i>
      <x v="413"/>
    </i>
    <i>
      <x v="572"/>
    </i>
    <i>
      <x v="416"/>
    </i>
    <i>
      <x v="574"/>
    </i>
    <i>
      <x v="417"/>
    </i>
    <i>
      <x v="577"/>
    </i>
    <i>
      <x v="419"/>
    </i>
    <i>
      <x v="579"/>
    </i>
    <i>
      <x v="420"/>
    </i>
    <i>
      <x v="582"/>
    </i>
    <i>
      <x v="423"/>
    </i>
    <i>
      <x v="585"/>
    </i>
    <i>
      <x v="426"/>
    </i>
    <i>
      <x v="587"/>
    </i>
    <i>
      <x v="429"/>
    </i>
    <i>
      <x v="591"/>
    </i>
    <i>
      <x v="154"/>
    </i>
    <i>
      <x v="593"/>
    </i>
    <i>
      <x v="233"/>
    </i>
    <i>
      <x v="596"/>
    </i>
    <i>
      <x v="433"/>
    </i>
    <i>
      <x v="598"/>
    </i>
    <i>
      <x v="157"/>
    </i>
    <i>
      <x v="603"/>
    </i>
    <i>
      <x v="234"/>
    </i>
    <i>
      <x v="250"/>
    </i>
    <i>
      <x v="437"/>
    </i>
    <i>
      <x v="251"/>
    </i>
    <i>
      <x v="438"/>
    </i>
    <i>
      <x v="610"/>
    </i>
    <i>
      <x v="158"/>
    </i>
    <i>
      <x v="612"/>
    </i>
    <i>
      <x v="235"/>
    </i>
    <i>
      <x v="17"/>
    </i>
    <i>
      <x v="15"/>
    </i>
    <i>
      <x v="617"/>
    </i>
    <i>
      <x v="81"/>
    </i>
    <i>
      <x v="619"/>
    </i>
    <i>
      <x v="162"/>
    </i>
    <i>
      <x v="266"/>
    </i>
    <i>
      <x v="163"/>
    </i>
    <i>
      <x v="623"/>
    </i>
    <i>
      <x v="164"/>
    </i>
    <i>
      <x v="625"/>
    </i>
    <i>
      <x v="627"/>
    </i>
    <i>
      <x v="272"/>
    </i>
    <i>
      <x v="628"/>
    </i>
    <i>
      <x v="629"/>
    </i>
    <i>
      <x v="166"/>
    </i>
    <i>
      <x v="631"/>
    </i>
    <i>
      <x v="167"/>
    </i>
    <i>
      <x v="633"/>
    </i>
    <i>
      <x v="479"/>
    </i>
    <i>
      <x v="635"/>
    </i>
    <i>
      <x v="82"/>
    </i>
    <i>
      <x v="637"/>
    </i>
    <i>
      <x v="84"/>
    </i>
    <i>
      <x v="639"/>
    </i>
    <i>
      <x v="174"/>
    </i>
    <i>
      <x v="641"/>
    </i>
    <i>
      <x v="176"/>
    </i>
    <i>
      <x v="643"/>
    </i>
    <i>
      <x v="177"/>
    </i>
    <i>
      <x v="646"/>
    </i>
    <i>
      <x v="178"/>
    </i>
    <i>
      <x v="649"/>
    </i>
    <i>
      <x v="180"/>
    </i>
    <i>
      <x v="651"/>
    </i>
    <i>
      <x v="491"/>
    </i>
    <i>
      <x v="653"/>
    </i>
    <i>
      <x v="695"/>
    </i>
    <i>
      <x v="655"/>
    </i>
    <i>
      <x v="184"/>
    </i>
    <i>
      <x v="657"/>
    </i>
    <i>
      <x v="236"/>
    </i>
    <i>
      <x v="659"/>
    </i>
    <i>
      <x v="187"/>
    </i>
    <i>
      <x v="661"/>
    </i>
    <i>
      <x v="500"/>
    </i>
    <i>
      <x v="663"/>
    </i>
    <i>
      <x v="263"/>
    </i>
    <i>
      <x v="665"/>
    </i>
    <i>
      <x v="237"/>
    </i>
    <i>
      <x v="667"/>
    </i>
    <i>
      <x v="86"/>
    </i>
    <i>
      <x v="669"/>
    </i>
    <i>
      <x v="238"/>
    </i>
    <i>
      <x v="671"/>
    </i>
    <i>
      <x v="87"/>
    </i>
    <i>
      <x v="673"/>
    </i>
    <i>
      <x v="198"/>
    </i>
    <i>
      <x v="675"/>
    </i>
    <i>
      <x v="199"/>
    </i>
    <i>
      <x v="677"/>
    </i>
    <i>
      <x v="239"/>
    </i>
    <i>
      <x v="679"/>
    </i>
    <i>
      <x v="240"/>
    </i>
    <i>
      <x v="681"/>
    </i>
    <i>
      <x v="3"/>
    </i>
    <i>
      <x v="267"/>
    </i>
    <i>
      <x v="691"/>
    </i>
    <i>
      <x v="685"/>
    </i>
    <i>
      <x v="692"/>
    </i>
    <i>
      <x v="687"/>
    </i>
    <i>
      <x v="694"/>
    </i>
    <i>
      <x v="689"/>
    </i>
    <i>
      <x v="203"/>
    </i>
    <i>
      <x v="269"/>
    </i>
    <i>
      <x v="244"/>
    </i>
    <i>
      <x v="693"/>
    </i>
    <i>
      <x v="518"/>
    </i>
    <i>
      <x v="260"/>
    </i>
    <i>
      <x v="242"/>
    </i>
    <i>
      <x v="183"/>
    </i>
    <i>
      <x v="698"/>
    </i>
    <i>
      <x v="387"/>
    </i>
    <i>
      <x v="700"/>
    </i>
    <i>
      <x v="388"/>
    </i>
    <i>
      <x/>
    </i>
    <i>
      <x v="389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rgets per game " fld="23" baseField="14" baseItem="0" numFmtId="43"/>
    <dataField name="Targets per $1K " fld="54" baseField="14" baseItem="1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growShrinkType="overwriteClear" connectionId="5" xr16:uid="{00000000-0016-0000-0A00-000000000000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YPassing_1" refreshOnLoad="1" growShrinkType="overwriteClear" preserveFormatting="0" connectionId="1" xr16:uid="{671D8073-13B5-3743-913E-E78E35B1F44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0000000-0016-0000-0B00-000001000000}" autoFormatId="16" applyNumberFormats="0" applyBorderFormats="0" applyFontFormats="0" applyPatternFormats="0" applyAlignmentFormats="0" applyWidthHeightFormats="0">
  <queryTableRefresh nextId="32">
    <queryTableFields count="31">
      <queryTableField id="1" name="Rk" tableColumnId="1"/>
      <queryTableField id="2" name="Player" tableColumnId="2"/>
      <queryTableField id="3" name="Tm" tableColumnId="3"/>
      <queryTableField id="4" name="Age" tableColumnId="4"/>
      <queryTableField id="5" name="Pos" tableColumnId="5"/>
      <queryTableField id="6" name="G" tableColumnId="6"/>
      <queryTableField id="7" name="GS" tableColumnId="7"/>
      <queryTableField id="8" name="QBrec" tableColumnId="8"/>
      <queryTableField id="9" name="Cmp" tableColumnId="9"/>
      <queryTableField id="10" name="Att" tableColumnId="10"/>
      <queryTableField id="11" name="Cmp%" tableColumnId="11"/>
      <queryTableField id="12" name="Yds" tableColumnId="12"/>
      <queryTableField id="13" name="TD" tableColumnId="13"/>
      <queryTableField id="14" name="TD%" tableColumnId="14"/>
      <queryTableField id="15" name="Int" tableColumnId="15"/>
      <queryTableField id="16" name="Int%" tableColumnId="16"/>
      <queryTableField id="17" name="1D" tableColumnId="17"/>
      <queryTableField id="18" name="Lng" tableColumnId="18"/>
      <queryTableField id="19" name="Y/A" tableColumnId="19"/>
      <queryTableField id="20" name="AY/A" tableColumnId="20"/>
      <queryTableField id="21" name="Y/C" tableColumnId="21"/>
      <queryTableField id="22" name="Y/G" tableColumnId="22"/>
      <queryTableField id="23" name="Rate" tableColumnId="23"/>
      <queryTableField id="24" name="QBR" tableColumnId="24"/>
      <queryTableField id="25" name="Sk" tableColumnId="25"/>
      <queryTableField id="26" name="Yds2" tableColumnId="26"/>
      <queryTableField id="27" name="NY/A" tableColumnId="27"/>
      <queryTableField id="28" name="ANY/A" tableColumnId="28"/>
      <queryTableField id="29" name="Sk%" tableColumnId="29"/>
      <queryTableField id="30" name="4QC" tableColumnId="30"/>
      <queryTableField id="31" name="GWD" tableColumnId="3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Y Passing Query" refreshOnLoad="1" growShrinkType="overwriteClear" preserveFormatting="0" connectionId="2" xr16:uid="{FA1ADC39-6FDA-C74E-A3E3-695C5FA7D26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00000000-0016-0000-0C00-000002000000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Y Rushing Query" refreshOnLoad="1" growShrinkType="overwriteClear" preserveFormatting="0" connectionId="3" xr16:uid="{E8639BCB-5DA2-2040-A7AE-DCD6C722A096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00000000-0016-0000-0D00-000003000000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00000000-0016-0000-0E00-000004000000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Y Receiving Query" refreshOnLoad="1" growShrinkType="overwriteClear" preserveFormatting="0" connectionId="4" xr16:uid="{C69645C7-F109-B54C-950E-B42D8DCDC8E2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00000000-0016-0000-0F00-000005000000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00000000-0016-0000-1000-000006000000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00000000-0016-0000-1100-000007000000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1200-000008000000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00000000-0016-0000-1300-000009000000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0000000}" name="Passing_Table__CY" displayName="Passing_Table__CY" ref="A1:AF40" tableType="queryTable" totalsRowShown="0">
  <autoFilter ref="A1:AF40" xr:uid="{00000000-0009-0000-0100-000010000000}"/>
  <tableColumns count="32">
    <tableColumn id="1" xr3:uid="{00000000-0010-0000-0000-000001000000}" uniqueName="1" name="Rk" queryTableFieldId="1" dataDxfId="138"/>
    <tableColumn id="2" xr3:uid="{00000000-0010-0000-0000-000002000000}" uniqueName="2" name="Player" queryTableFieldId="2" dataDxfId="137"/>
    <tableColumn id="16" xr3:uid="{00000000-0010-0000-0000-000010000000}" uniqueName="16" name="Player Name" queryTableFieldId="16"/>
    <tableColumn id="3" xr3:uid="{00000000-0010-0000-0000-000003000000}" uniqueName="3" name="Team" queryTableFieldId="3" dataDxfId="136"/>
    <tableColumn id="4" xr3:uid="{00000000-0010-0000-0000-000004000000}" uniqueName="4" name="Age" queryTableFieldId="4" dataDxfId="135"/>
    <tableColumn id="5" xr3:uid="{00000000-0010-0000-0000-000005000000}" uniqueName="5" name="Pos" queryTableFieldId="5" dataDxfId="134"/>
    <tableColumn id="6" xr3:uid="{00000000-0010-0000-0000-000006000000}" uniqueName="6" name="Games" queryTableFieldId="6" dataDxfId="133"/>
    <tableColumn id="7" xr3:uid="{00000000-0010-0000-0000-000007000000}" uniqueName="7" name="Games Started" queryTableFieldId="7" dataDxfId="132"/>
    <tableColumn id="17" xr3:uid="{00000000-0010-0000-0000-000011000000}" uniqueName="17" name="QB Record" queryTableFieldId="18" dataDxfId="131"/>
    <tableColumn id="18" xr3:uid="{00000000-0010-0000-0000-000012000000}" uniqueName="18" name="Completion" queryTableFieldId="19" dataDxfId="130"/>
    <tableColumn id="19" xr3:uid="{00000000-0010-0000-0000-000013000000}" uniqueName="19" name="Attempts" queryTableFieldId="20" dataDxfId="129"/>
    <tableColumn id="20" xr3:uid="{00000000-0010-0000-0000-000014000000}" uniqueName="20" name="Comp %" queryTableFieldId="21" dataDxfId="128"/>
    <tableColumn id="21" xr3:uid="{00000000-0010-0000-0000-000015000000}" uniqueName="21" name="Yds" queryTableFieldId="22" dataDxfId="127"/>
    <tableColumn id="22" xr3:uid="{00000000-0010-0000-0000-000016000000}" uniqueName="22" name="TD" queryTableFieldId="23" dataDxfId="126"/>
    <tableColumn id="23" xr3:uid="{00000000-0010-0000-0000-000017000000}" uniqueName="23" name="TD%" queryTableFieldId="24" dataDxfId="125"/>
    <tableColumn id="24" xr3:uid="{00000000-0010-0000-0000-000018000000}" uniqueName="24" name="Int" queryTableFieldId="25" dataDxfId="124"/>
    <tableColumn id="25" xr3:uid="{00000000-0010-0000-0000-000019000000}" uniqueName="25" name="Int%" queryTableFieldId="26" dataDxfId="123"/>
    <tableColumn id="26" xr3:uid="{00000000-0010-0000-0000-00001A000000}" uniqueName="26" name="First Down" queryTableFieldId="27" dataDxfId="122"/>
    <tableColumn id="27" xr3:uid="{00000000-0010-0000-0000-00001B000000}" uniqueName="27" name="Lng" queryTableFieldId="28" dataDxfId="121"/>
    <tableColumn id="28" xr3:uid="{00000000-0010-0000-0000-00001C000000}" uniqueName="28" name="Yds/Att" queryTableFieldId="29" dataDxfId="120"/>
    <tableColumn id="29" xr3:uid="{00000000-0010-0000-0000-00001D000000}" uniqueName="29" name="Adj Yds/Att" queryTableFieldId="30" dataDxfId="119"/>
    <tableColumn id="30" xr3:uid="{00000000-0010-0000-0000-00001E000000}" uniqueName="30" name="Yds/Comp" queryTableFieldId="31" dataDxfId="118"/>
    <tableColumn id="31" xr3:uid="{00000000-0010-0000-0000-00001F000000}" uniqueName="31" name="Yds/Game" queryTableFieldId="32" dataDxfId="117"/>
    <tableColumn id="32" xr3:uid="{00000000-0010-0000-0000-000020000000}" uniqueName="32" name="QB Rating" queryTableFieldId="33" dataDxfId="116"/>
    <tableColumn id="33" xr3:uid="{00000000-0010-0000-0000-000021000000}" uniqueName="33" name="QBR" queryTableFieldId="34" dataDxfId="115"/>
    <tableColumn id="34" xr3:uid="{00000000-0010-0000-0000-000022000000}" uniqueName="34" name="Sacks" queryTableFieldId="35" dataDxfId="114"/>
    <tableColumn id="35" xr3:uid="{00000000-0010-0000-0000-000023000000}" uniqueName="35" name="Yds Lost to Sack" queryTableFieldId="36" dataDxfId="113"/>
    <tableColumn id="36" xr3:uid="{00000000-0010-0000-0000-000024000000}" uniqueName="36" name="Net Yds/Att" queryTableFieldId="37" dataDxfId="112"/>
    <tableColumn id="37" xr3:uid="{00000000-0010-0000-0000-000025000000}" uniqueName="37" name="Adj. Net Yds/Att" queryTableFieldId="38" dataDxfId="111"/>
    <tableColumn id="38" xr3:uid="{00000000-0010-0000-0000-000026000000}" uniqueName="38" name="Sk%" queryTableFieldId="39" dataDxfId="110"/>
    <tableColumn id="39" xr3:uid="{00000000-0010-0000-0000-000027000000}" uniqueName="39" name="4QC" queryTableFieldId="40" dataDxfId="109"/>
    <tableColumn id="40" xr3:uid="{00000000-0010-0000-0000-000028000000}" uniqueName="40" name="GWD" queryTableFieldId="41" dataDxfId="10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1000000}" name="Passing_Table__PY" displayName="Passing_Table__PY" ref="A1:AE113" tableType="queryTable" totalsRowShown="0">
  <autoFilter ref="A1:AE113" xr:uid="{00000000-0009-0000-0100-000015000000}"/>
  <tableColumns count="31">
    <tableColumn id="1" xr3:uid="{00000000-0010-0000-0100-000001000000}" uniqueName="1" name="Rk" queryTableFieldId="1"/>
    <tableColumn id="2" xr3:uid="{00000000-0010-0000-0100-000002000000}" uniqueName="2" name="Player" queryTableFieldId="2" dataDxfId="107"/>
    <tableColumn id="3" xr3:uid="{00000000-0010-0000-0100-000003000000}" uniqueName="3" name="Tm" queryTableFieldId="3" dataDxfId="106"/>
    <tableColumn id="4" xr3:uid="{00000000-0010-0000-0100-000004000000}" uniqueName="4" name="Age" queryTableFieldId="4"/>
    <tableColumn id="5" xr3:uid="{00000000-0010-0000-0100-000005000000}" uniqueName="5" name="Pos" queryTableFieldId="5" dataDxfId="105"/>
    <tableColumn id="6" xr3:uid="{00000000-0010-0000-0100-000006000000}" uniqueName="6" name="G" queryTableFieldId="6"/>
    <tableColumn id="7" xr3:uid="{00000000-0010-0000-0100-000007000000}" uniqueName="7" name="GS" queryTableFieldId="7"/>
    <tableColumn id="8" xr3:uid="{00000000-0010-0000-0100-000008000000}" uniqueName="8" name="QBrec" queryTableFieldId="8" dataDxfId="104"/>
    <tableColumn id="9" xr3:uid="{00000000-0010-0000-0100-000009000000}" uniqueName="9" name="Cmp" queryTableFieldId="9"/>
    <tableColumn id="10" xr3:uid="{00000000-0010-0000-0100-00000A000000}" uniqueName="10" name="Att" queryTableFieldId="10"/>
    <tableColumn id="11" xr3:uid="{00000000-0010-0000-0100-00000B000000}" uniqueName="11" name="Cmp%" queryTableFieldId="11"/>
    <tableColumn id="12" xr3:uid="{00000000-0010-0000-0100-00000C000000}" uniqueName="12" name="Yds" queryTableFieldId="12"/>
    <tableColumn id="13" xr3:uid="{00000000-0010-0000-0100-00000D000000}" uniqueName="13" name="TD" queryTableFieldId="13"/>
    <tableColumn id="14" xr3:uid="{00000000-0010-0000-0100-00000E000000}" uniqueName="14" name="TD%" queryTableFieldId="14"/>
    <tableColumn id="15" xr3:uid="{00000000-0010-0000-0100-00000F000000}" uniqueName="15" name="Int" queryTableFieldId="15"/>
    <tableColumn id="16" xr3:uid="{00000000-0010-0000-0100-000010000000}" uniqueName="16" name="Int%" queryTableFieldId="16"/>
    <tableColumn id="17" xr3:uid="{00000000-0010-0000-0100-000011000000}" uniqueName="17" name="1D" queryTableFieldId="17"/>
    <tableColumn id="18" xr3:uid="{00000000-0010-0000-0100-000012000000}" uniqueName="18" name="Lng" queryTableFieldId="18"/>
    <tableColumn id="19" xr3:uid="{00000000-0010-0000-0100-000013000000}" uniqueName="19" name="Y/A" queryTableFieldId="19"/>
    <tableColumn id="20" xr3:uid="{00000000-0010-0000-0100-000014000000}" uniqueName="20" name="AY/A" queryTableFieldId="20"/>
    <tableColumn id="21" xr3:uid="{00000000-0010-0000-0100-000015000000}" uniqueName="21" name="Y/C" queryTableFieldId="21"/>
    <tableColumn id="22" xr3:uid="{00000000-0010-0000-0100-000016000000}" uniqueName="22" name="Y/G" queryTableFieldId="22"/>
    <tableColumn id="23" xr3:uid="{00000000-0010-0000-0100-000017000000}" uniqueName="23" name="Rate" queryTableFieldId="23"/>
    <tableColumn id="24" xr3:uid="{00000000-0010-0000-0100-000018000000}" uniqueName="24" name="QBR" queryTableFieldId="24"/>
    <tableColumn id="25" xr3:uid="{00000000-0010-0000-0100-000019000000}" uniqueName="25" name="Sk" queryTableFieldId="25"/>
    <tableColumn id="26" xr3:uid="{00000000-0010-0000-0100-00001A000000}" uniqueName="26" name="Yds2" queryTableFieldId="26"/>
    <tableColumn id="27" xr3:uid="{00000000-0010-0000-0100-00001B000000}" uniqueName="27" name="NY/A" queryTableFieldId="27"/>
    <tableColumn id="28" xr3:uid="{00000000-0010-0000-0100-00001C000000}" uniqueName="28" name="ANY/A" queryTableFieldId="28"/>
    <tableColumn id="29" xr3:uid="{00000000-0010-0000-0100-00001D000000}" uniqueName="29" name="Sk%" queryTableFieldId="29"/>
    <tableColumn id="30" xr3:uid="{00000000-0010-0000-0100-00001E000000}" uniqueName="30" name="4QC" queryTableFieldId="30"/>
    <tableColumn id="31" xr3:uid="{00000000-0010-0000-0100-00001F000000}" uniqueName="31" name="GWD" queryTableFieldId="3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2000000}" name="Rushing_Table__CY" displayName="Rushing_Table__CY" ref="A1:P136" tableType="queryTable" totalsRowShown="0">
  <autoFilter ref="A1:P136" xr:uid="{00000000-0009-0000-0100-000011000000}"/>
  <tableColumns count="16">
    <tableColumn id="1" xr3:uid="{00000000-0010-0000-0200-000001000000}" uniqueName="1" name="Rk" queryTableFieldId="1" dataDxfId="103"/>
    <tableColumn id="2" xr3:uid="{00000000-0010-0000-0200-000002000000}" uniqueName="2" name="Player" queryTableFieldId="2" dataDxfId="102"/>
    <tableColumn id="16" xr3:uid="{00000000-0010-0000-0200-000010000000}" uniqueName="16" name="Player Name" queryTableFieldId="16"/>
    <tableColumn id="3" xr3:uid="{00000000-0010-0000-0200-000003000000}" uniqueName="3" name="Team" queryTableFieldId="3" dataDxfId="101"/>
    <tableColumn id="4" xr3:uid="{00000000-0010-0000-0200-000004000000}" uniqueName="4" name="Age" queryTableFieldId="4" dataDxfId="100"/>
    <tableColumn id="5" xr3:uid="{00000000-0010-0000-0200-000005000000}" uniqueName="5" name="Pos" queryTableFieldId="5" dataDxfId="99"/>
    <tableColumn id="6" xr3:uid="{00000000-0010-0000-0200-000006000000}" uniqueName="6" name="Games" queryTableFieldId="6" dataDxfId="98"/>
    <tableColumn id="7" xr3:uid="{00000000-0010-0000-0200-000007000000}" uniqueName="7" name="Games Started" queryTableFieldId="7" dataDxfId="97"/>
    <tableColumn id="8" xr3:uid="{00000000-0010-0000-0200-000008000000}" uniqueName="8" name="Rushing Att" queryTableFieldId="8" dataDxfId="96"/>
    <tableColumn id="9" xr3:uid="{00000000-0010-0000-0200-000009000000}" uniqueName="9" name="Rushing Yds" queryTableFieldId="9" dataDxfId="95"/>
    <tableColumn id="10" xr3:uid="{00000000-0010-0000-0200-00000A000000}" uniqueName="10" name="Rushing TD" queryTableFieldId="10" dataDxfId="94"/>
    <tableColumn id="11" xr3:uid="{00000000-0010-0000-0200-00000B000000}" uniqueName="11" name="Rushing 1D" queryTableFieldId="11" dataDxfId="93"/>
    <tableColumn id="12" xr3:uid="{00000000-0010-0000-0200-00000C000000}" uniqueName="12" name="Rushing Lng" queryTableFieldId="12" dataDxfId="92"/>
    <tableColumn id="13" xr3:uid="{00000000-0010-0000-0200-00000D000000}" uniqueName="13" name="Rushing Yds/Att" queryTableFieldId="13" dataDxfId="91"/>
    <tableColumn id="14" xr3:uid="{00000000-0010-0000-0200-00000E000000}" uniqueName="14" name="Rushing Yds/Gm" queryTableFieldId="14" dataDxfId="90"/>
    <tableColumn id="15" xr3:uid="{00000000-0010-0000-0200-00000F000000}" uniqueName="15" name="Fmb" queryTableFieldId="15" dataDxfId="8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Rushing_Table__PY" displayName="Rushing_Table__PY" ref="A1:P385" tableType="queryTable" totalsRowShown="0">
  <autoFilter ref="A1:P385" xr:uid="{00000000-0009-0000-0100-000006000000}"/>
  <tableColumns count="16">
    <tableColumn id="1" xr3:uid="{00000000-0010-0000-0300-000001000000}" uniqueName="1" name="Rk" queryTableFieldId="1" dataDxfId="88"/>
    <tableColumn id="2" xr3:uid="{00000000-0010-0000-0300-000002000000}" uniqueName="2" name="Player" queryTableFieldId="2" dataDxfId="87"/>
    <tableColumn id="16" xr3:uid="{00000000-0010-0000-0300-000010000000}" uniqueName="16" name="Player Name" queryTableFieldId="16"/>
    <tableColumn id="3" xr3:uid="{00000000-0010-0000-0300-000003000000}" uniqueName="3" name="Team" queryTableFieldId="3" dataDxfId="86"/>
    <tableColumn id="4" xr3:uid="{00000000-0010-0000-0300-000004000000}" uniqueName="4" name="Age" queryTableFieldId="4" dataDxfId="85"/>
    <tableColumn id="5" xr3:uid="{00000000-0010-0000-0300-000005000000}" uniqueName="5" name="Pos" queryTableFieldId="5" dataDxfId="84"/>
    <tableColumn id="6" xr3:uid="{00000000-0010-0000-0300-000006000000}" uniqueName="6" name="Games" queryTableFieldId="6" dataDxfId="83"/>
    <tableColumn id="7" xr3:uid="{00000000-0010-0000-0300-000007000000}" uniqueName="7" name="Games Started" queryTableFieldId="7" dataDxfId="82"/>
    <tableColumn id="8" xr3:uid="{00000000-0010-0000-0300-000008000000}" uniqueName="8" name="Rushing Att" queryTableFieldId="8" dataDxfId="81"/>
    <tableColumn id="9" xr3:uid="{00000000-0010-0000-0300-000009000000}" uniqueName="9" name="Rushing Yds" queryTableFieldId="9" dataDxfId="80"/>
    <tableColumn id="10" xr3:uid="{00000000-0010-0000-0300-00000A000000}" uniqueName="10" name="Rushing TD" queryTableFieldId="10" dataDxfId="79"/>
    <tableColumn id="11" xr3:uid="{00000000-0010-0000-0300-00000B000000}" uniqueName="11" name="Rushing 1D" queryTableFieldId="11" dataDxfId="78"/>
    <tableColumn id="12" xr3:uid="{00000000-0010-0000-0300-00000C000000}" uniqueName="12" name="Rushing Lng" queryTableFieldId="12" dataDxfId="77"/>
    <tableColumn id="13" xr3:uid="{00000000-0010-0000-0300-00000D000000}" uniqueName="13" name="Rushing Yds/Att" queryTableFieldId="13" dataDxfId="76"/>
    <tableColumn id="14" xr3:uid="{00000000-0010-0000-0300-00000E000000}" uniqueName="14" name="Rushing Yds/Gm" queryTableFieldId="14" dataDxfId="75"/>
    <tableColumn id="15" xr3:uid="{00000000-0010-0000-0300-00000F000000}" uniqueName="15" name="Fmb" queryTableFieldId="15" dataDxfId="7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4000000}" name="Receiving_Table__CY" displayName="Receiving_Table__CY" ref="A1:T237" tableType="queryTable" totalsRowShown="0">
  <autoFilter ref="A1:T237" xr:uid="{00000000-0009-0000-0100-000012000000}"/>
  <tableColumns count="20">
    <tableColumn id="1" xr3:uid="{00000000-0010-0000-0400-000001000000}" uniqueName="1" name="Rk" queryTableFieldId="1"/>
    <tableColumn id="2" xr3:uid="{00000000-0010-0000-0400-000002000000}" uniqueName="2" name="Player" queryTableFieldId="2" dataDxfId="73"/>
    <tableColumn id="20" xr3:uid="{00000000-0010-0000-0400-000014000000}" uniqueName="20" name="Lookup Name" queryTableFieldId="20"/>
    <tableColumn id="3" xr3:uid="{00000000-0010-0000-0400-000003000000}" uniqueName="3" name="Team" queryTableFieldId="3" dataDxfId="72"/>
    <tableColumn id="4" xr3:uid="{00000000-0010-0000-0400-000004000000}" uniqueName="4" name="Age" queryTableFieldId="4"/>
    <tableColumn id="5" xr3:uid="{00000000-0010-0000-0400-000005000000}" uniqueName="5" name="Pos" queryTableFieldId="5" dataDxfId="71"/>
    <tableColumn id="6" xr3:uid="{00000000-0010-0000-0400-000006000000}" uniqueName="6" name="Games" queryTableFieldId="6"/>
    <tableColumn id="7" xr3:uid="{00000000-0010-0000-0400-000007000000}" uniqueName="7" name="Games Started" queryTableFieldId="7"/>
    <tableColumn id="8" xr3:uid="{00000000-0010-0000-0400-000008000000}" uniqueName="8" name="Targets" queryTableFieldId="8"/>
    <tableColumn id="9" xr3:uid="{00000000-0010-0000-0400-000009000000}" uniqueName="9" name="Rec" queryTableFieldId="9"/>
    <tableColumn id="10" xr3:uid="{00000000-0010-0000-0400-00000A000000}" uniqueName="10" name="Ctch%" queryTableFieldId="10"/>
    <tableColumn id="11" xr3:uid="{00000000-0010-0000-0400-00000B000000}" uniqueName="11" name="Yds" queryTableFieldId="11"/>
    <tableColumn id="12" xr3:uid="{00000000-0010-0000-0400-00000C000000}" uniqueName="12" name="Yds/Rec" queryTableFieldId="12"/>
    <tableColumn id="13" xr3:uid="{00000000-0010-0000-0400-00000D000000}" uniqueName="13" name="TD" queryTableFieldId="13"/>
    <tableColumn id="14" xr3:uid="{00000000-0010-0000-0400-00000E000000}" uniqueName="14" name="1D" queryTableFieldId="14"/>
    <tableColumn id="15" xr3:uid="{00000000-0010-0000-0400-00000F000000}" uniqueName="15" name="Lng" queryTableFieldId="15"/>
    <tableColumn id="16" xr3:uid="{00000000-0010-0000-0400-000010000000}" uniqueName="16" name="Yds/Tgt" queryTableFieldId="16"/>
    <tableColumn id="17" xr3:uid="{00000000-0010-0000-0400-000011000000}" uniqueName="17" name="Rec/Gm" queryTableFieldId="17"/>
    <tableColumn id="18" xr3:uid="{00000000-0010-0000-0400-000012000000}" uniqueName="18" name="Yds/Gm" queryTableFieldId="18"/>
    <tableColumn id="19" xr3:uid="{00000000-0010-0000-0400-000013000000}" uniqueName="19" name="Fmb" queryTableFieldId="1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Receiving_Table__PY" displayName="Receiving_Table__PY" ref="A1:T500" tableType="queryTable" totalsRowShown="0">
  <autoFilter ref="A1:T500" xr:uid="{00000000-0009-0000-0100-00000B000000}"/>
  <tableColumns count="20">
    <tableColumn id="1" xr3:uid="{00000000-0010-0000-0500-000001000000}" uniqueName="1" name="Rk" queryTableFieldId="1"/>
    <tableColumn id="2" xr3:uid="{00000000-0010-0000-0500-000002000000}" uniqueName="2" name="Player" queryTableFieldId="2" dataDxfId="70"/>
    <tableColumn id="20" xr3:uid="{00000000-0010-0000-0500-000014000000}" uniqueName="20" name="Lookup Name" queryTableFieldId="20"/>
    <tableColumn id="3" xr3:uid="{00000000-0010-0000-0500-000003000000}" uniqueName="3" name="Team" queryTableFieldId="3" dataDxfId="69"/>
    <tableColumn id="4" xr3:uid="{00000000-0010-0000-0500-000004000000}" uniqueName="4" name="Age" queryTableFieldId="4"/>
    <tableColumn id="5" xr3:uid="{00000000-0010-0000-0500-000005000000}" uniqueName="5" name="Pos" queryTableFieldId="5" dataDxfId="68"/>
    <tableColumn id="6" xr3:uid="{00000000-0010-0000-0500-000006000000}" uniqueName="6" name="Games" queryTableFieldId="6"/>
    <tableColumn id="7" xr3:uid="{00000000-0010-0000-0500-000007000000}" uniqueName="7" name="Games Started" queryTableFieldId="7"/>
    <tableColumn id="8" xr3:uid="{00000000-0010-0000-0500-000008000000}" uniqueName="8" name="Targets" queryTableFieldId="8"/>
    <tableColumn id="9" xr3:uid="{00000000-0010-0000-0500-000009000000}" uniqueName="9" name="Rec" queryTableFieldId="9"/>
    <tableColumn id="10" xr3:uid="{00000000-0010-0000-0500-00000A000000}" uniqueName="10" name="Ctch%" queryTableFieldId="10"/>
    <tableColumn id="11" xr3:uid="{00000000-0010-0000-0500-00000B000000}" uniqueName="11" name="Yds" queryTableFieldId="11"/>
    <tableColumn id="12" xr3:uid="{00000000-0010-0000-0500-00000C000000}" uniqueName="12" name="Yds/Rec" queryTableFieldId="12"/>
    <tableColumn id="13" xr3:uid="{00000000-0010-0000-0500-00000D000000}" uniqueName="13" name="TD" queryTableFieldId="13"/>
    <tableColumn id="14" xr3:uid="{00000000-0010-0000-0500-00000E000000}" uniqueName="14" name="1D" queryTableFieldId="14"/>
    <tableColumn id="15" xr3:uid="{00000000-0010-0000-0500-00000F000000}" uniqueName="15" name="Lng" queryTableFieldId="15"/>
    <tableColumn id="16" xr3:uid="{00000000-0010-0000-0500-000010000000}" uniqueName="16" name="Yds/Tgt" queryTableFieldId="16"/>
    <tableColumn id="17" xr3:uid="{00000000-0010-0000-0500-000011000000}" uniqueName="17" name="Rec/Gm" queryTableFieldId="17"/>
    <tableColumn id="18" xr3:uid="{00000000-0010-0000-0500-000012000000}" uniqueName="18" name="Yds/Gm" queryTableFieldId="18"/>
    <tableColumn id="19" xr3:uid="{00000000-0010-0000-0500-000013000000}" uniqueName="19" name="Fmb" queryTableFieldId="1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6000000}" name="Team_Offense_Table__CY" displayName="Team_Offense_Table__CY" ref="A1:AJ34" tableType="queryTable" totalsRowCount="1" headerRowDxfId="67">
  <autoFilter ref="A1:AJ33" xr:uid="{00000000-0009-0000-0100-000013000000}"/>
  <tableColumns count="36">
    <tableColumn id="1" xr3:uid="{00000000-0010-0000-0600-000001000000}" uniqueName="1" name="Rk" totalsRowLabel="Total" queryTableFieldId="1"/>
    <tableColumn id="2" xr3:uid="{00000000-0010-0000-0600-000002000000}" uniqueName="2" name="Team" queryTableFieldId="2" dataDxfId="66" totalsRowDxfId="65"/>
    <tableColumn id="3" xr3:uid="{00000000-0010-0000-0600-000003000000}" uniqueName="3" name="Games" queryTableFieldId="3"/>
    <tableColumn id="4" xr3:uid="{00000000-0010-0000-0600-000004000000}" uniqueName="4" name="Points For" queryTableFieldId="4"/>
    <tableColumn id="5" xr3:uid="{00000000-0010-0000-0600-000005000000}" uniqueName="5" name="Yds" queryTableFieldId="5"/>
    <tableColumn id="6" xr3:uid="{00000000-0010-0000-0600-000006000000}" uniqueName="6" name="Plays" queryTableFieldId="6"/>
    <tableColumn id="7" xr3:uid="{00000000-0010-0000-0600-000007000000}" uniqueName="7" name="Yards per Play" queryTableFieldId="7"/>
    <tableColumn id="8" xr3:uid="{00000000-0010-0000-0600-000008000000}" uniqueName="8" name="Turnovers" queryTableFieldId="8"/>
    <tableColumn id="9" xr3:uid="{00000000-0010-0000-0600-000009000000}" uniqueName="9" name="Fumbles Lost" queryTableFieldId="9"/>
    <tableColumn id="10" xr3:uid="{00000000-0010-0000-0600-00000A000000}" uniqueName="10" name="First Downs" queryTableFieldId="10"/>
    <tableColumn id="11" xr3:uid="{00000000-0010-0000-0600-00000B000000}" uniqueName="11" name="Completions" queryTableFieldId="11"/>
    <tableColumn id="12" xr3:uid="{00000000-0010-0000-0600-00000C000000}" uniqueName="12" name="Attempts" queryTableFieldId="12"/>
    <tableColumn id="13" xr3:uid="{00000000-0010-0000-0600-00000D000000}" uniqueName="13" name="Passing Yds" queryTableFieldId="13"/>
    <tableColumn id="14" xr3:uid="{00000000-0010-0000-0600-00000E000000}" uniqueName="14" name="Passing TD" queryTableFieldId="14"/>
    <tableColumn id="15" xr3:uid="{00000000-0010-0000-0600-00000F000000}" uniqueName="15" name="Passing Int" queryTableFieldId="15"/>
    <tableColumn id="16" xr3:uid="{00000000-0010-0000-0600-000010000000}" uniqueName="16" name="Net Yds gained/att" queryTableFieldId="16"/>
    <tableColumn id="17" xr3:uid="{00000000-0010-0000-0600-000011000000}" uniqueName="17" name="Passing 1stD" queryTableFieldId="17"/>
    <tableColumn id="18" xr3:uid="{00000000-0010-0000-0600-000012000000}" uniqueName="18" name="Rushing Att" queryTableFieldId="18"/>
    <tableColumn id="19" xr3:uid="{00000000-0010-0000-0600-000013000000}" uniqueName="19" name="Rushing Yds" queryTableFieldId="19"/>
    <tableColumn id="20" xr3:uid="{00000000-0010-0000-0600-000014000000}" uniqueName="20" name="Rushing TD" queryTableFieldId="20"/>
    <tableColumn id="21" xr3:uid="{00000000-0010-0000-0600-000015000000}" uniqueName="21" name="Rushing Y/A" queryTableFieldId="21"/>
    <tableColumn id="22" xr3:uid="{00000000-0010-0000-0600-000016000000}" uniqueName="22" name="Rushing 1stD" queryTableFieldId="22"/>
    <tableColumn id="23" xr3:uid="{00000000-0010-0000-0600-000017000000}" uniqueName="23" name="Penalties" queryTableFieldId="23"/>
    <tableColumn id="24" xr3:uid="{00000000-0010-0000-0600-000018000000}" uniqueName="24" name="Penalties Yds" queryTableFieldId="24"/>
    <tableColumn id="25" xr3:uid="{00000000-0010-0000-0600-000019000000}" uniqueName="25" name="Penalties 1stPy" queryTableFieldId="25"/>
    <tableColumn id="26" xr3:uid="{00000000-0010-0000-0600-00001A000000}" uniqueName="26" name="Scoring %" queryTableFieldId="26"/>
    <tableColumn id="27" xr3:uid="{00000000-0010-0000-0600-00001B000000}" uniqueName="27" name="Turnover %" queryTableFieldId="27"/>
    <tableColumn id="28" xr3:uid="{00000000-0010-0000-0600-00001C000000}" uniqueName="28" name="Expected Points For" queryTableFieldId="28"/>
    <tableColumn id="29" xr3:uid="{00000000-0010-0000-0600-00001D000000}" uniqueName="29" name="Lookup Name" queryTableFieldId="29" dataDxfId="64" totalsRowDxfId="63">
      <calculatedColumnFormula>VLOOKUP(Team_Offense_Table__CY[[#This Row],[Team]],'Name Bridge'!$A$1:$B$410,2,FALSE)</calculatedColumnFormula>
    </tableColumn>
    <tableColumn id="30" xr3:uid="{00000000-0010-0000-0600-00001E000000}" uniqueName="30" name="Points/gm" totalsRowFunction="average" queryTableFieldId="30" dataDxfId="62" totalsRowDxfId="61" dataCellStyle="Comma">
      <calculatedColumnFormula>Team_Offense_Table__CY[[#This Row],[Points For]]/Team_Offense_Table__CY[[#This Row],[Games]]</calculatedColumnFormula>
    </tableColumn>
    <tableColumn id="31" xr3:uid="{00000000-0010-0000-0600-00001F000000}" uniqueName="31" name="Passing/Game" totalsRowFunction="average" queryTableFieldId="31" dataDxfId="60" totalsRowDxfId="59" dataCellStyle="Comma">
      <calculatedColumnFormula>Team_Offense_Table__CY[[#This Row],[Passing Yds]]/Team_Offense_Table__CY[[#This Row],[Games]]</calculatedColumnFormula>
    </tableColumn>
    <tableColumn id="32" xr3:uid="{00000000-0010-0000-0600-000020000000}" uniqueName="32" name="Rushing yds/Game" totalsRowFunction="average" queryTableFieldId="32" dataDxfId="58" totalsRowDxfId="57" dataCellStyle="Comma">
      <calculatedColumnFormula>Team_Offense_Table__CY[[#This Row],[Rushing Yds]]/Team_Offense_Table__CY[[#This Row],[Games]]</calculatedColumnFormula>
    </tableColumn>
    <tableColumn id="33" xr3:uid="{00000000-0010-0000-0600-000021000000}" uniqueName="33" name="Rushing att per gm" totalsRowFunction="average" queryTableFieldId="33" dataDxfId="56" totalsRowDxfId="55" dataCellStyle="Comma">
      <calculatedColumnFormula>Team_Offense_Table__CY[[#This Row],[Rushing Att]]/Team_Offense_Table__CY[[#This Row],[Games]]</calculatedColumnFormula>
    </tableColumn>
    <tableColumn id="34" xr3:uid="{00000000-0010-0000-0600-000022000000}" uniqueName="34" name="Passing att per gm" totalsRowFunction="average" queryTableFieldId="34" dataDxfId="54" totalsRowDxfId="53" dataCellStyle="Comma">
      <calculatedColumnFormula>Team_Offense_Table__CY[[#This Row],[Attempts]]/Team_Offense_Table__CY[[#This Row],[Games]]</calculatedColumnFormula>
    </tableColumn>
    <tableColumn id="35" xr3:uid="{00000000-0010-0000-0600-000023000000}" uniqueName="35" name="% Run" queryTableFieldId="35" dataDxfId="52" totalsRowDxfId="51" dataCellStyle="Percent">
      <calculatedColumnFormula>Team_Offense_Table__CY[[#This Row],[Rushing att per gm]]/(Team_Offense_Table__CY[[#This Row],[Rushing att per gm]]+Team_Offense_Table__CY[[#This Row],[Passing att per gm]])</calculatedColumnFormula>
    </tableColumn>
    <tableColumn id="36" xr3:uid="{00000000-0010-0000-0600-000024000000}" uniqueName="36" name="% Pass" queryTableFieldId="36" dataDxfId="50" totalsRowDxfId="49" dataCellStyle="Percent">
      <calculatedColumnFormula>1-Team_Offense_Table__CY[[#This Row],[% Run]]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eam_Offense_Table__PY" displayName="Team_Offense_Table__PY" ref="A1:AJ34" tableType="queryTable" totalsRowCount="1" headerRowDxfId="48">
  <autoFilter ref="A1:AJ33" xr:uid="{00000000-0009-0000-0100-00000C000000}"/>
  <tableColumns count="36">
    <tableColumn id="1" xr3:uid="{00000000-0010-0000-0700-000001000000}" uniqueName="1" name="Rk" totalsRowLabel="Total" queryTableFieldId="1"/>
    <tableColumn id="2" xr3:uid="{00000000-0010-0000-0700-000002000000}" uniqueName="2" name="Team" queryTableFieldId="2" dataDxfId="47" totalsRowDxfId="46"/>
    <tableColumn id="3" xr3:uid="{00000000-0010-0000-0700-000003000000}" uniqueName="3" name="Games" queryTableFieldId="3"/>
    <tableColumn id="4" xr3:uid="{00000000-0010-0000-0700-000004000000}" uniqueName="4" name="Points For" queryTableFieldId="4"/>
    <tableColumn id="5" xr3:uid="{00000000-0010-0000-0700-000005000000}" uniqueName="5" name="Yds" queryTableFieldId="5"/>
    <tableColumn id="6" xr3:uid="{00000000-0010-0000-0700-000006000000}" uniqueName="6" name="Plays" queryTableFieldId="6"/>
    <tableColumn id="7" xr3:uid="{00000000-0010-0000-0700-000007000000}" uniqueName="7" name="Yards per Play" queryTableFieldId="7"/>
    <tableColumn id="8" xr3:uid="{00000000-0010-0000-0700-000008000000}" uniqueName="8" name="Turnovers" queryTableFieldId="8"/>
    <tableColumn id="9" xr3:uid="{00000000-0010-0000-0700-000009000000}" uniqueName="9" name="Fumbles Lost" queryTableFieldId="9"/>
    <tableColumn id="10" xr3:uid="{00000000-0010-0000-0700-00000A000000}" uniqueName="10" name="First Downs" queryTableFieldId="10"/>
    <tableColumn id="11" xr3:uid="{00000000-0010-0000-0700-00000B000000}" uniqueName="11" name="Completions" queryTableFieldId="11"/>
    <tableColumn id="12" xr3:uid="{00000000-0010-0000-0700-00000C000000}" uniqueName="12" name="Attempts" queryTableFieldId="12"/>
    <tableColumn id="13" xr3:uid="{00000000-0010-0000-0700-00000D000000}" uniqueName="13" name="Passing Yds" queryTableFieldId="13"/>
    <tableColumn id="14" xr3:uid="{00000000-0010-0000-0700-00000E000000}" uniqueName="14" name="Passing TD" queryTableFieldId="14"/>
    <tableColumn id="15" xr3:uid="{00000000-0010-0000-0700-00000F000000}" uniqueName="15" name="Passing Int" queryTableFieldId="15"/>
    <tableColumn id="16" xr3:uid="{00000000-0010-0000-0700-000010000000}" uniqueName="16" name="Net Yds gained/att" queryTableFieldId="16"/>
    <tableColumn id="17" xr3:uid="{00000000-0010-0000-0700-000011000000}" uniqueName="17" name="Passing 1stD" queryTableFieldId="17"/>
    <tableColumn id="18" xr3:uid="{00000000-0010-0000-0700-000012000000}" uniqueName="18" name="Rushing Att" queryTableFieldId="18"/>
    <tableColumn id="19" xr3:uid="{00000000-0010-0000-0700-000013000000}" uniqueName="19" name="Rushing Yds" queryTableFieldId="19"/>
    <tableColumn id="20" xr3:uid="{00000000-0010-0000-0700-000014000000}" uniqueName="20" name="Rushing TD" queryTableFieldId="20"/>
    <tableColumn id="21" xr3:uid="{00000000-0010-0000-0700-000015000000}" uniqueName="21" name="Rushing Y/A" queryTableFieldId="21"/>
    <tableColumn id="22" xr3:uid="{00000000-0010-0000-0700-000016000000}" uniqueName="22" name="Rushing 1stD" queryTableFieldId="22"/>
    <tableColumn id="23" xr3:uid="{00000000-0010-0000-0700-000017000000}" uniqueName="23" name="Penalties" queryTableFieldId="23"/>
    <tableColumn id="24" xr3:uid="{00000000-0010-0000-0700-000018000000}" uniqueName="24" name="Penalties Yds" queryTableFieldId="24"/>
    <tableColumn id="25" xr3:uid="{00000000-0010-0000-0700-000019000000}" uniqueName="25" name="Penalties 1stPy" queryTableFieldId="25"/>
    <tableColumn id="26" xr3:uid="{00000000-0010-0000-0700-00001A000000}" uniqueName="26" name="Scoring %" queryTableFieldId="26"/>
    <tableColumn id="27" xr3:uid="{00000000-0010-0000-0700-00001B000000}" uniqueName="27" name="Turnover %" queryTableFieldId="27"/>
    <tableColumn id="28" xr3:uid="{00000000-0010-0000-0700-00001C000000}" uniqueName="28" name="Expected Points For" queryTableFieldId="28"/>
    <tableColumn id="29" xr3:uid="{00000000-0010-0000-0700-00001D000000}" uniqueName="29" name="Lookup Name" queryTableFieldId="29" dataDxfId="45" totalsRowDxfId="44">
      <calculatedColumnFormula>VLOOKUP(Team_Offense_Table__PY[[#This Row],[Team]],'Name Bridge'!$A$1:$B$410,2,FALSE)</calculatedColumnFormula>
    </tableColumn>
    <tableColumn id="30" xr3:uid="{00000000-0010-0000-0700-00001E000000}" uniqueName="30" name="Points/gm" totalsRowFunction="average" queryTableFieldId="30" dataDxfId="43" totalsRowDxfId="42" dataCellStyle="Comma">
      <calculatedColumnFormula>Team_Offense_Table__PY[[#This Row],[Points For]]/Team_Offense_Table__PY[[#This Row],[Games]]</calculatedColumnFormula>
    </tableColumn>
    <tableColumn id="31" xr3:uid="{00000000-0010-0000-0700-00001F000000}" uniqueName="31" name="Passing/Game" totalsRowFunction="average" queryTableFieldId="31" dataDxfId="41" totalsRowDxfId="40" dataCellStyle="Comma">
      <calculatedColumnFormula>Team_Offense_Table__PY[[#This Row],[Passing Yds]]/Team_Offense_Table__PY[[#This Row],[Games]]</calculatedColumnFormula>
    </tableColumn>
    <tableColumn id="32" xr3:uid="{00000000-0010-0000-0700-000020000000}" uniqueName="32" name="Rushing yds/Game" totalsRowFunction="average" queryTableFieldId="32" dataDxfId="39" totalsRowDxfId="38" dataCellStyle="Comma">
      <calculatedColumnFormula>Team_Offense_Table__PY[[#This Row],[Rushing Yds]]/Team_Offense_Table__PY[[#This Row],[Games]]</calculatedColumnFormula>
    </tableColumn>
    <tableColumn id="33" xr3:uid="{00000000-0010-0000-0700-000021000000}" uniqueName="33" name="Rushing att per gm" totalsRowFunction="average" queryTableFieldId="33" dataDxfId="37" totalsRowDxfId="36" dataCellStyle="Comma">
      <calculatedColumnFormula>Team_Offense_Table__PY[[#This Row],[Rushing Att]]/Team_Offense_Table__PY[[#This Row],[Games]]</calculatedColumnFormula>
    </tableColumn>
    <tableColumn id="34" xr3:uid="{00000000-0010-0000-0700-000022000000}" uniqueName="34" name="Passing att per gm" totalsRowFunction="average" queryTableFieldId="34" dataDxfId="35" totalsRowDxfId="34" dataCellStyle="Comma">
      <calculatedColumnFormula>Team_Offense_Table__PY[[#This Row],[Attempts]]/Team_Offense_Table__PY[[#This Row],[Games]]</calculatedColumnFormula>
    </tableColumn>
    <tableColumn id="35" xr3:uid="{00000000-0010-0000-0700-000023000000}" uniqueName="35" name="% Run" queryTableFieldId="35" dataDxfId="33" totalsRowDxfId="32" dataCellStyle="Percent">
      <calculatedColumnFormula>Team_Offense_Table__PY[[#This Row],[Rushing att per gm]]/(Team_Offense_Table__PY[[#This Row],[Rushing att per gm]]+Team_Offense_Table__PY[[#This Row],[Passing att per gm]])</calculatedColumnFormula>
    </tableColumn>
    <tableColumn id="36" xr3:uid="{00000000-0010-0000-0700-000024000000}" uniqueName="36" name="% Pass" queryTableFieldId="36" dataDxfId="31" totalsRowDxfId="30" dataCellStyle="Percent">
      <calculatedColumnFormula>1-Team_Offense_Table__PY[[#This Row],[% Run]]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8000000}" name="Team_Defense_Table__CY" displayName="Team_Defense_Table__CY" ref="A1:AH34" tableType="queryTable" totalsRowCount="1" headerRowDxfId="29">
  <autoFilter ref="A1:AH33" xr:uid="{00000000-0009-0000-0100-000014000000}"/>
  <sortState xmlns:xlrd2="http://schemas.microsoft.com/office/spreadsheetml/2017/richdata2" ref="A2:AH33">
    <sortCondition ref="A1:A33"/>
  </sortState>
  <tableColumns count="34">
    <tableColumn id="1" xr3:uid="{00000000-0010-0000-0800-000001000000}" uniqueName="1" name="Rk" queryTableFieldId="1"/>
    <tableColumn id="30" xr3:uid="{00000000-0010-0000-0800-00001E000000}" uniqueName="30" name="Team" queryTableFieldId="30" dataDxfId="28" totalsRowDxfId="27"/>
    <tableColumn id="31" xr3:uid="{00000000-0010-0000-0800-00001F000000}" uniqueName="31" name="Games Played" queryTableFieldId="31"/>
    <tableColumn id="32" xr3:uid="{00000000-0010-0000-0800-000020000000}" uniqueName="32" name="Points For" queryTableFieldId="32"/>
    <tableColumn id="5" xr3:uid="{00000000-0010-0000-0800-000005000000}" uniqueName="5" name="Yds" queryTableFieldId="5"/>
    <tableColumn id="33" xr3:uid="{00000000-0010-0000-0800-000021000000}" uniqueName="33" name="Plays" queryTableFieldId="33"/>
    <tableColumn id="34" xr3:uid="{00000000-0010-0000-0800-000022000000}" uniqueName="34" name="Yds per Off Play" queryTableFieldId="34"/>
    <tableColumn id="35" xr3:uid="{00000000-0010-0000-0800-000023000000}" uniqueName="35" name="Turnovers" queryTableFieldId="35"/>
    <tableColumn id="36" xr3:uid="{00000000-0010-0000-0800-000024000000}" uniqueName="36" name="Fumbles Lost" queryTableFieldId="36"/>
    <tableColumn id="37" xr3:uid="{00000000-0010-0000-0800-000025000000}" uniqueName="37" name="Total First Downs" queryTableFieldId="37"/>
    <tableColumn id="11" xr3:uid="{00000000-0010-0000-0800-00000B000000}" uniqueName="11" name="Passing Cmp" queryTableFieldId="11"/>
    <tableColumn id="12" xr3:uid="{00000000-0010-0000-0800-00000C000000}" uniqueName="12" name="Passing Att" queryTableFieldId="12"/>
    <tableColumn id="13" xr3:uid="{00000000-0010-0000-0800-00000D000000}" uniqueName="13" name="Passing Yds" queryTableFieldId="13"/>
    <tableColumn id="14" xr3:uid="{00000000-0010-0000-0800-00000E000000}" uniqueName="14" name="Passing TD" queryTableFieldId="14"/>
    <tableColumn id="15" xr3:uid="{00000000-0010-0000-0800-00000F000000}" uniqueName="15" name="Passing Int" queryTableFieldId="15"/>
    <tableColumn id="38" xr3:uid="{00000000-0010-0000-0800-000026000000}" uniqueName="38" name="Passing Net Gained Yds/Att" queryTableFieldId="38"/>
    <tableColumn id="17" xr3:uid="{00000000-0010-0000-0800-000011000000}" uniqueName="17" name="Passing 1stD" queryTableFieldId="17"/>
    <tableColumn id="18" xr3:uid="{00000000-0010-0000-0800-000012000000}" uniqueName="18" name="Rushing Att" queryTableFieldId="18"/>
    <tableColumn id="19" xr3:uid="{00000000-0010-0000-0800-000013000000}" uniqueName="19" name="Rushing Yds" queryTableFieldId="19"/>
    <tableColumn id="20" xr3:uid="{00000000-0010-0000-0800-000014000000}" uniqueName="20" name="Rushing TD" queryTableFieldId="20"/>
    <tableColumn id="21" xr3:uid="{00000000-0010-0000-0800-000015000000}" uniqueName="21" name="Rushing Y/A" totalsRowFunction="average" queryTableFieldId="21"/>
    <tableColumn id="22" xr3:uid="{00000000-0010-0000-0800-000016000000}" uniqueName="22" name="Rushing 1stD" queryTableFieldId="22"/>
    <tableColumn id="39" xr3:uid="{00000000-0010-0000-0800-000027000000}" uniqueName="39" name="Penalties" queryTableFieldId="39"/>
    <tableColumn id="24" xr3:uid="{00000000-0010-0000-0800-000018000000}" uniqueName="24" name="Penalties Yds" queryTableFieldId="24"/>
    <tableColumn id="40" xr3:uid="{00000000-0010-0000-0800-000028000000}" uniqueName="40" name="First Downs by Pens" queryTableFieldId="40"/>
    <tableColumn id="41" xr3:uid="{00000000-0010-0000-0800-000029000000}" uniqueName="41" name="Scoring %" queryTableFieldId="41"/>
    <tableColumn id="42" xr3:uid="{00000000-0010-0000-0800-00002A000000}" uniqueName="42" name="Turnover %" queryTableFieldId="42"/>
    <tableColumn id="43" xr3:uid="{00000000-0010-0000-0800-00002B000000}" uniqueName="43" name="EXP PTS CONTRIBUTED" queryTableFieldId="43"/>
    <tableColumn id="29" xr3:uid="{00000000-0010-0000-0800-00001D000000}" uniqueName="29" name="Lookup" queryTableFieldId="29" dataDxfId="26" totalsRowDxfId="25">
      <calculatedColumnFormula>VLOOKUP(B:B,'Name Bridge'!A:B,2,FALSE)</calculatedColumnFormula>
    </tableColumn>
    <tableColumn id="44" xr3:uid="{00000000-0010-0000-0800-00002C000000}" uniqueName="44" name="Passing yds/att" totalsRowFunction="average" queryTableFieldId="54" dataDxfId="24" totalsRowDxfId="23">
      <calculatedColumnFormula>Team_Defense_Table__CY[[#This Row],[Passing Yds]]/Team_Defense_Table__CY[[#This Row],[Passing Att]]</calculatedColumnFormula>
    </tableColumn>
    <tableColumn id="45" xr3:uid="{00000000-0010-0000-0800-00002D000000}" uniqueName="45" name="Passing Rank" queryTableFieldId="55" dataDxfId="22" totalsRowDxfId="21">
      <calculatedColumnFormula>_xlfn.RANK.EQ(Team_Defense_Table__CY[[#This Row],[Passing Yds]],Team_Defense_Table__CY[Passing Yds],1)</calculatedColumnFormula>
    </tableColumn>
    <tableColumn id="46" xr3:uid="{00000000-0010-0000-0800-00002E000000}" uniqueName="46" name="Rushing Yds/att" totalsRowFunction="average" queryTableFieldId="56" dataDxfId="20" totalsRowDxfId="19">
      <calculatedColumnFormula>Team_Defense_Table__CY[[#This Row],[Rushing Yds]]/Team_Defense_Table__CY[[#This Row],[Rushing Att]]</calculatedColumnFormula>
    </tableColumn>
    <tableColumn id="47" xr3:uid="{00000000-0010-0000-0800-00002F000000}" uniqueName="47" name="Rushing Rank" queryTableFieldId="57" dataDxfId="18" totalsRowDxfId="17">
      <calculatedColumnFormula>_xlfn.RANK.EQ(Team_Defense_Table__CY[[#This Row],[Rushing Yds]],Team_Defense_Table__CY[Rushing Yds],1)</calculatedColumnFormula>
    </tableColumn>
    <tableColumn id="48" xr3:uid="{00000000-0010-0000-0800-000030000000}" uniqueName="48" name="Yards per completion" totalsRowFunction="average" queryTableFieldId="58" dataDxfId="16" totalsRowDxfId="15">
      <calculatedColumnFormula>Team_Defense_Table__CY[[#This Row],[Passing Yds]]/Team_Defense_Table__CY[[#This Row],[Passing Cmp]]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eam_Defense_Table__PY" displayName="Team_Defense_Table__PY" ref="A1:AH34" tableType="queryTable" totalsRowCount="1" headerRowDxfId="14">
  <autoFilter ref="A1:AH33" xr:uid="{00000000-0009-0000-0100-00000D000000}"/>
  <sortState xmlns:xlrd2="http://schemas.microsoft.com/office/spreadsheetml/2017/richdata2" ref="A2:AH33">
    <sortCondition ref="A1:A33"/>
  </sortState>
  <tableColumns count="34">
    <tableColumn id="1" xr3:uid="{00000000-0010-0000-0900-000001000000}" uniqueName="1" name="Rk" queryTableFieldId="1"/>
    <tableColumn id="30" xr3:uid="{00000000-0010-0000-0900-00001E000000}" uniqueName="30" name="Team" queryTableFieldId="30" dataDxfId="13" totalsRowDxfId="12"/>
    <tableColumn id="31" xr3:uid="{00000000-0010-0000-0900-00001F000000}" uniqueName="31" name="Games Played" queryTableFieldId="31"/>
    <tableColumn id="32" xr3:uid="{00000000-0010-0000-0900-000020000000}" uniqueName="32" name="Points For" queryTableFieldId="32"/>
    <tableColumn id="5" xr3:uid="{00000000-0010-0000-0900-000005000000}" uniqueName="5" name="Yds" queryTableFieldId="5"/>
    <tableColumn id="33" xr3:uid="{00000000-0010-0000-0900-000021000000}" uniqueName="33" name="Plays" queryTableFieldId="33"/>
    <tableColumn id="34" xr3:uid="{00000000-0010-0000-0900-000022000000}" uniqueName="34" name="Yds per Off Play" queryTableFieldId="34"/>
    <tableColumn id="35" xr3:uid="{00000000-0010-0000-0900-000023000000}" uniqueName="35" name="Turnovers" queryTableFieldId="35"/>
    <tableColumn id="36" xr3:uid="{00000000-0010-0000-0900-000024000000}" uniqueName="36" name="Fumbles Lost" queryTableFieldId="36"/>
    <tableColumn id="37" xr3:uid="{00000000-0010-0000-0900-000025000000}" uniqueName="37" name="Total First Downs" queryTableFieldId="37"/>
    <tableColumn id="11" xr3:uid="{00000000-0010-0000-0900-00000B000000}" uniqueName="11" name="Passing Cmp" queryTableFieldId="11"/>
    <tableColumn id="12" xr3:uid="{00000000-0010-0000-0900-00000C000000}" uniqueName="12" name="Passing Att" queryTableFieldId="12"/>
    <tableColumn id="13" xr3:uid="{00000000-0010-0000-0900-00000D000000}" uniqueName="13" name="Passing Yds" queryTableFieldId="13"/>
    <tableColumn id="14" xr3:uid="{00000000-0010-0000-0900-00000E000000}" uniqueName="14" name="Passing TD" queryTableFieldId="14"/>
    <tableColumn id="15" xr3:uid="{00000000-0010-0000-0900-00000F000000}" uniqueName="15" name="Passing Int" queryTableFieldId="15"/>
    <tableColumn id="38" xr3:uid="{00000000-0010-0000-0900-000026000000}" uniqueName="38" name="Passing Net Gained Yds/Att" queryTableFieldId="38"/>
    <tableColumn id="17" xr3:uid="{00000000-0010-0000-0900-000011000000}" uniqueName="17" name="Passing 1stD" queryTableFieldId="17"/>
    <tableColumn id="18" xr3:uid="{00000000-0010-0000-0900-000012000000}" uniqueName="18" name="Rushing Att" queryTableFieldId="18"/>
    <tableColumn id="19" xr3:uid="{00000000-0010-0000-0900-000013000000}" uniqueName="19" name="Rushing Yds" queryTableFieldId="19"/>
    <tableColumn id="20" xr3:uid="{00000000-0010-0000-0900-000014000000}" uniqueName="20" name="Rushing TD" queryTableFieldId="20"/>
    <tableColumn id="21" xr3:uid="{00000000-0010-0000-0900-000015000000}" uniqueName="21" name="Rushing Y/A" totalsRowFunction="average" queryTableFieldId="21"/>
    <tableColumn id="22" xr3:uid="{00000000-0010-0000-0900-000016000000}" uniqueName="22" name="Rushing 1stD" queryTableFieldId="22"/>
    <tableColumn id="39" xr3:uid="{00000000-0010-0000-0900-000027000000}" uniqueName="39" name="Penalties" queryTableFieldId="39"/>
    <tableColumn id="24" xr3:uid="{00000000-0010-0000-0900-000018000000}" uniqueName="24" name="Penalties Yds" queryTableFieldId="24"/>
    <tableColumn id="40" xr3:uid="{00000000-0010-0000-0900-000028000000}" uniqueName="40" name="First Downs by Pens" queryTableFieldId="40"/>
    <tableColumn id="41" xr3:uid="{00000000-0010-0000-0900-000029000000}" uniqueName="41" name="Scoring %" queryTableFieldId="41"/>
    <tableColumn id="42" xr3:uid="{00000000-0010-0000-0900-00002A000000}" uniqueName="42" name="Turnover %" queryTableFieldId="42"/>
    <tableColumn id="43" xr3:uid="{00000000-0010-0000-0900-00002B000000}" uniqueName="43" name="EXP PTS CONTRIBUTED" queryTableFieldId="43"/>
    <tableColumn id="29" xr3:uid="{00000000-0010-0000-0900-00001D000000}" uniqueName="29" name="Lookup" queryTableFieldId="29" dataDxfId="11" totalsRowDxfId="10">
      <calculatedColumnFormula>VLOOKUP(B:B,'Name Bridge'!A:B,2,FALSE)</calculatedColumnFormula>
    </tableColumn>
    <tableColumn id="44" xr3:uid="{00000000-0010-0000-0900-00002C000000}" uniqueName="44" name="Passing yds/att" totalsRowFunction="average" queryTableFieldId="54" dataDxfId="9" totalsRowDxfId="8">
      <calculatedColumnFormula>Team_Defense_Table__PY[[#This Row],[Passing Yds]]/Team_Defense_Table__PY[[#This Row],[Passing Att]]</calculatedColumnFormula>
    </tableColumn>
    <tableColumn id="45" xr3:uid="{00000000-0010-0000-0900-00002D000000}" uniqueName="45" name="Passing Rank" queryTableFieldId="55" dataDxfId="7" totalsRowDxfId="6">
      <calculatedColumnFormula>_xlfn.RANK.EQ(Team_Defense_Table__PY[[#This Row],[Passing Yds]],Team_Defense_Table__PY[Passing Yds],1)</calculatedColumnFormula>
    </tableColumn>
    <tableColumn id="46" xr3:uid="{00000000-0010-0000-0900-00002E000000}" uniqueName="46" name="Rushing Yds/att" totalsRowFunction="average" queryTableFieldId="56" dataDxfId="5" totalsRowDxfId="4">
      <calculatedColumnFormula>Team_Defense_Table__PY[[#This Row],[Rushing Yds]]/Team_Defense_Table__PY[[#This Row],[Rushing Att]]</calculatedColumnFormula>
    </tableColumn>
    <tableColumn id="47" xr3:uid="{00000000-0010-0000-0900-00002F000000}" uniqueName="47" name="Rushing Rank" queryTableFieldId="57" dataDxfId="3" totalsRowDxfId="2">
      <calculatedColumnFormula>_xlfn.RANK.EQ(Team_Defense_Table__PY[[#This Row],[Rushing Yds]],Team_Defense_Table__PY[Rushing Yds],1)</calculatedColumnFormula>
    </tableColumn>
    <tableColumn id="48" xr3:uid="{00000000-0010-0000-0900-000030000000}" uniqueName="48" name="Yards per completion" totalsRowFunction="average" queryTableFieldId="58" dataDxfId="1" totalsRowDxfId="0">
      <calculatedColumnFormula>Team_Defense_Table__PY[[#This Row],[Passing Yds]]/Team_Defense_Table__PY[[#This Row],[Passing Cmp]]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9107124-6044-8F43-B76C-5C72F8E5C4CB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iis2.donbest.com/nfl/odds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file:///teams/min/2021.htm" TargetMode="External"/><Relationship Id="rId21" Type="http://schemas.openxmlformats.org/officeDocument/2006/relationships/hyperlink" Target="file:///players/R/RyanMa00.htm" TargetMode="External"/><Relationship Id="rId42" Type="http://schemas.openxmlformats.org/officeDocument/2006/relationships/hyperlink" Target="file:///teams/phi/2021.htm" TargetMode="External"/><Relationship Id="rId63" Type="http://schemas.openxmlformats.org/officeDocument/2006/relationships/hyperlink" Target="file:///players/D/DaltAn00.htm" TargetMode="External"/><Relationship Id="rId84" Type="http://schemas.openxmlformats.org/officeDocument/2006/relationships/hyperlink" Target="file:///teams/crd/2021.htm" TargetMode="External"/><Relationship Id="rId138" Type="http://schemas.openxmlformats.org/officeDocument/2006/relationships/hyperlink" Target="file:///players/T/TrubMi00.htm" TargetMode="External"/><Relationship Id="rId159" Type="http://schemas.openxmlformats.org/officeDocument/2006/relationships/hyperlink" Target="file:///teams/atl/2021.htm" TargetMode="External"/><Relationship Id="rId170" Type="http://schemas.openxmlformats.org/officeDocument/2006/relationships/hyperlink" Target="file:///players/F/FarlMa00.htm" TargetMode="External"/><Relationship Id="rId191" Type="http://schemas.openxmlformats.org/officeDocument/2006/relationships/hyperlink" Target="file:///teams/htx/2021.htm" TargetMode="External"/><Relationship Id="rId205" Type="http://schemas.openxmlformats.org/officeDocument/2006/relationships/hyperlink" Target="file:///teams/tam/2021.htm" TargetMode="External"/><Relationship Id="rId226" Type="http://schemas.openxmlformats.org/officeDocument/2006/relationships/hyperlink" Target="file:///players/W/WilsAl02.htm" TargetMode="External"/><Relationship Id="rId107" Type="http://schemas.openxmlformats.org/officeDocument/2006/relationships/hyperlink" Target="file:///teams/pit/2021.htm" TargetMode="External"/><Relationship Id="rId11" Type="http://schemas.openxmlformats.org/officeDocument/2006/relationships/hyperlink" Target="file:///players/B/BurrJo01.htm" TargetMode="External"/><Relationship Id="rId32" Type="http://schemas.openxmlformats.org/officeDocument/2006/relationships/hyperlink" Target="file:///teams/oti/2021.htm" TargetMode="External"/><Relationship Id="rId53" Type="http://schemas.openxmlformats.org/officeDocument/2006/relationships/hyperlink" Target="file:///players/T/TagoTu00.htm" TargetMode="External"/><Relationship Id="rId74" Type="http://schemas.openxmlformats.org/officeDocument/2006/relationships/hyperlink" Target="file:///teams/nor/2021.htm" TargetMode="External"/><Relationship Id="rId128" Type="http://schemas.openxmlformats.org/officeDocument/2006/relationships/hyperlink" Target="file:///players/H/HennCh01.htm" TargetMode="External"/><Relationship Id="rId149" Type="http://schemas.openxmlformats.org/officeDocument/2006/relationships/hyperlink" Target="file:///teams/crd/2021.htm" TargetMode="External"/><Relationship Id="rId5" Type="http://schemas.openxmlformats.org/officeDocument/2006/relationships/hyperlink" Target="file:///players/S/StafMa00.htm" TargetMode="External"/><Relationship Id="rId95" Type="http://schemas.openxmlformats.org/officeDocument/2006/relationships/hyperlink" Target="file:///teams/cle/2021.htm" TargetMode="External"/><Relationship Id="rId160" Type="http://schemas.openxmlformats.org/officeDocument/2006/relationships/hyperlink" Target="file:///players/T/ToneKa00.htm" TargetMode="External"/><Relationship Id="rId181" Type="http://schemas.openxmlformats.org/officeDocument/2006/relationships/hyperlink" Target="file:///teams/rai/2021.htm" TargetMode="External"/><Relationship Id="rId216" Type="http://schemas.openxmlformats.org/officeDocument/2006/relationships/hyperlink" Target="file:///players/L/LongTy00.htm" TargetMode="External"/><Relationship Id="rId22" Type="http://schemas.openxmlformats.org/officeDocument/2006/relationships/hyperlink" Target="file:///teams/atl/2021.htm" TargetMode="External"/><Relationship Id="rId43" Type="http://schemas.openxmlformats.org/officeDocument/2006/relationships/hyperlink" Target="file:///players/W/WilsRu00.htm" TargetMode="External"/><Relationship Id="rId64" Type="http://schemas.openxmlformats.org/officeDocument/2006/relationships/hyperlink" Target="file:///teams/chi/2021.htm" TargetMode="External"/><Relationship Id="rId118" Type="http://schemas.openxmlformats.org/officeDocument/2006/relationships/hyperlink" Target="file:///players/A/AlleBr00.htm" TargetMode="External"/><Relationship Id="rId139" Type="http://schemas.openxmlformats.org/officeDocument/2006/relationships/hyperlink" Target="file:///teams/buf/2021.htm" TargetMode="External"/><Relationship Id="rId85" Type="http://schemas.openxmlformats.org/officeDocument/2006/relationships/hyperlink" Target="file:///players/S/SmitGe00.htm" TargetMode="External"/><Relationship Id="rId150" Type="http://schemas.openxmlformats.org/officeDocument/2006/relationships/hyperlink" Target="file:///players/B/BourKe00.htm" TargetMode="External"/><Relationship Id="rId171" Type="http://schemas.openxmlformats.org/officeDocument/2006/relationships/hyperlink" Target="file:///teams/oti/2021.htm" TargetMode="External"/><Relationship Id="rId192" Type="http://schemas.openxmlformats.org/officeDocument/2006/relationships/hyperlink" Target="file:///players/B/BeasCo00.htm" TargetMode="External"/><Relationship Id="rId206" Type="http://schemas.openxmlformats.org/officeDocument/2006/relationships/hyperlink" Target="file:///players/F/FranFe00.htm" TargetMode="External"/><Relationship Id="rId227" Type="http://schemas.openxmlformats.org/officeDocument/2006/relationships/hyperlink" Target="file:///teams/mia/2021.htm" TargetMode="External"/><Relationship Id="rId12" Type="http://schemas.openxmlformats.org/officeDocument/2006/relationships/hyperlink" Target="file:///teams/cin/2021.htm" TargetMode="External"/><Relationship Id="rId33" Type="http://schemas.openxmlformats.org/officeDocument/2006/relationships/hyperlink" Target="file:///players/L/LawrTr00.htm" TargetMode="External"/><Relationship Id="rId108" Type="http://schemas.openxmlformats.org/officeDocument/2006/relationships/hyperlink" Target="file:///players/F/FoleNi00.htm" TargetMode="External"/><Relationship Id="rId129" Type="http://schemas.openxmlformats.org/officeDocument/2006/relationships/hyperlink" Target="file:///teams/kan/2021.htm" TargetMode="External"/><Relationship Id="rId54" Type="http://schemas.openxmlformats.org/officeDocument/2006/relationships/hyperlink" Target="file:///teams/mia/2021.htm" TargetMode="External"/><Relationship Id="rId75" Type="http://schemas.openxmlformats.org/officeDocument/2006/relationships/hyperlink" Target="file:///players/T/TaylTy00.htm" TargetMode="External"/><Relationship Id="rId96" Type="http://schemas.openxmlformats.org/officeDocument/2006/relationships/hyperlink" Target="file:///players/M/MinsGa00.htm" TargetMode="External"/><Relationship Id="rId140" Type="http://schemas.openxmlformats.org/officeDocument/2006/relationships/hyperlink" Target="file:///players/F/FoxxJa01.htm" TargetMode="External"/><Relationship Id="rId161" Type="http://schemas.openxmlformats.org/officeDocument/2006/relationships/hyperlink" Target="file:///teams/nyg/2021.htm" TargetMode="External"/><Relationship Id="rId182" Type="http://schemas.openxmlformats.org/officeDocument/2006/relationships/hyperlink" Target="file:///players/H/HekkJo00.htm" TargetMode="External"/><Relationship Id="rId217" Type="http://schemas.openxmlformats.org/officeDocument/2006/relationships/hyperlink" Target="file:///teams/sdg/2021.htm" TargetMode="External"/><Relationship Id="rId6" Type="http://schemas.openxmlformats.org/officeDocument/2006/relationships/hyperlink" Target="file:///teams/ram/2021.htm" TargetMode="External"/><Relationship Id="rId23" Type="http://schemas.openxmlformats.org/officeDocument/2006/relationships/hyperlink" Target="file:///players/G/GaroJi00.htm" TargetMode="External"/><Relationship Id="rId119" Type="http://schemas.openxmlformats.org/officeDocument/2006/relationships/hyperlink" Target="file:///teams/cin/2021.htm" TargetMode="External"/><Relationship Id="rId44" Type="http://schemas.openxmlformats.org/officeDocument/2006/relationships/hyperlink" Target="file:///teams/sea/2021.htm" TargetMode="External"/><Relationship Id="rId65" Type="http://schemas.openxmlformats.org/officeDocument/2006/relationships/hyperlink" Target="file:///players/B/BrisJa00.htm" TargetMode="External"/><Relationship Id="rId86" Type="http://schemas.openxmlformats.org/officeDocument/2006/relationships/hyperlink" Target="file:///teams/sea/2021.htm" TargetMode="External"/><Relationship Id="rId130" Type="http://schemas.openxmlformats.org/officeDocument/2006/relationships/hyperlink" Target="file:///players/K/KennTo01.htm" TargetMode="External"/><Relationship Id="rId151" Type="http://schemas.openxmlformats.org/officeDocument/2006/relationships/hyperlink" Target="file:///teams/nwe/2021.htm" TargetMode="External"/><Relationship Id="rId172" Type="http://schemas.openxmlformats.org/officeDocument/2006/relationships/hyperlink" Target="file:///players/H/HenrDe00.htm" TargetMode="External"/><Relationship Id="rId193" Type="http://schemas.openxmlformats.org/officeDocument/2006/relationships/hyperlink" Target="file:///teams/buf/2021.htm" TargetMode="External"/><Relationship Id="rId207" Type="http://schemas.openxmlformats.org/officeDocument/2006/relationships/hyperlink" Target="file:///teams/atl/2021.htm" TargetMode="External"/><Relationship Id="rId228" Type="http://schemas.openxmlformats.org/officeDocument/2006/relationships/hyperlink" Target="file:///players/Z/ZylsBr00.htm" TargetMode="External"/><Relationship Id="rId13" Type="http://schemas.openxmlformats.org/officeDocument/2006/relationships/hyperlink" Target="file:///players/P/PresDa01.htm" TargetMode="External"/><Relationship Id="rId109" Type="http://schemas.openxmlformats.org/officeDocument/2006/relationships/hyperlink" Target="file:///teams/chi/2021.htm" TargetMode="External"/><Relationship Id="rId34" Type="http://schemas.openxmlformats.org/officeDocument/2006/relationships/hyperlink" Target="file:///teams/jax/2021.htm" TargetMode="External"/><Relationship Id="rId55" Type="http://schemas.openxmlformats.org/officeDocument/2006/relationships/hyperlink" Target="file:///players/D/DarnSa00.htm" TargetMode="External"/><Relationship Id="rId76" Type="http://schemas.openxmlformats.org/officeDocument/2006/relationships/hyperlink" Target="file:///teams/htx/2021.htm" TargetMode="External"/><Relationship Id="rId97" Type="http://schemas.openxmlformats.org/officeDocument/2006/relationships/hyperlink" Target="file:///teams/phi/2021.htm" TargetMode="External"/><Relationship Id="rId120" Type="http://schemas.openxmlformats.org/officeDocument/2006/relationships/hyperlink" Target="file:///players/M/MullNi00.htm" TargetMode="External"/><Relationship Id="rId141" Type="http://schemas.openxmlformats.org/officeDocument/2006/relationships/hyperlink" Target="file:///teams/det/2021.htm" TargetMode="External"/><Relationship Id="rId7" Type="http://schemas.openxmlformats.org/officeDocument/2006/relationships/hyperlink" Target="file:///players/M/MahoPa00.htm" TargetMode="External"/><Relationship Id="rId162" Type="http://schemas.openxmlformats.org/officeDocument/2006/relationships/hyperlink" Target="file:///players/P/PettDa00.htm" TargetMode="External"/><Relationship Id="rId183" Type="http://schemas.openxmlformats.org/officeDocument/2006/relationships/hyperlink" Target="file:///teams/ram/2021.htm" TargetMode="External"/><Relationship Id="rId218" Type="http://schemas.openxmlformats.org/officeDocument/2006/relationships/hyperlink" Target="file:///players/M/MontDa01.htm" TargetMode="External"/><Relationship Id="rId24" Type="http://schemas.openxmlformats.org/officeDocument/2006/relationships/hyperlink" Target="file:///teams/sfo/2021.htm" TargetMode="External"/><Relationship Id="rId45" Type="http://schemas.openxmlformats.org/officeDocument/2006/relationships/hyperlink" Target="file:///players/B/BridTe00.htm" TargetMode="External"/><Relationship Id="rId66" Type="http://schemas.openxmlformats.org/officeDocument/2006/relationships/hyperlink" Target="file:///teams/mia/2021.htm" TargetMode="External"/><Relationship Id="rId87" Type="http://schemas.openxmlformats.org/officeDocument/2006/relationships/hyperlink" Target="file:///players/N/NewtCa00.htm" TargetMode="External"/><Relationship Id="rId110" Type="http://schemas.openxmlformats.org/officeDocument/2006/relationships/hyperlink" Target="file:///players/H/HoyeBr00.htm" TargetMode="External"/><Relationship Id="rId131" Type="http://schemas.openxmlformats.org/officeDocument/2006/relationships/hyperlink" Target="file:///teams/det/2021.htm" TargetMode="External"/><Relationship Id="rId152" Type="http://schemas.openxmlformats.org/officeDocument/2006/relationships/hyperlink" Target="file:///players/E/EasoJa00.htm" TargetMode="External"/><Relationship Id="rId173" Type="http://schemas.openxmlformats.org/officeDocument/2006/relationships/hyperlink" Target="file:///teams/oti/2021.htm" TargetMode="External"/><Relationship Id="rId194" Type="http://schemas.openxmlformats.org/officeDocument/2006/relationships/hyperlink" Target="file:///players/B/BoswCh00.htm" TargetMode="External"/><Relationship Id="rId208" Type="http://schemas.openxmlformats.org/officeDocument/2006/relationships/hyperlink" Target="file:///players/G/GesiMi00.htm" TargetMode="External"/><Relationship Id="rId229" Type="http://schemas.openxmlformats.org/officeDocument/2006/relationships/hyperlink" Target="file:///teams/car/2021.htm" TargetMode="External"/><Relationship Id="rId14" Type="http://schemas.openxmlformats.org/officeDocument/2006/relationships/hyperlink" Target="file:///teams/dal/2021.htm" TargetMode="External"/><Relationship Id="rId35" Type="http://schemas.openxmlformats.org/officeDocument/2006/relationships/hyperlink" Target="file:///players/W/WentCa00.htm" TargetMode="External"/><Relationship Id="rId56" Type="http://schemas.openxmlformats.org/officeDocument/2006/relationships/hyperlink" Target="file:///teams/car/2021.htm" TargetMode="External"/><Relationship Id="rId77" Type="http://schemas.openxmlformats.org/officeDocument/2006/relationships/hyperlink" Target="file:///players/W/WhitMi01.htm" TargetMode="External"/><Relationship Id="rId100" Type="http://schemas.openxmlformats.org/officeDocument/2006/relationships/hyperlink" Target="file:///players/L/LoveJo03.htm" TargetMode="External"/><Relationship Id="rId8" Type="http://schemas.openxmlformats.org/officeDocument/2006/relationships/hyperlink" Target="file:///teams/kan/2021.htm" TargetMode="External"/><Relationship Id="rId98" Type="http://schemas.openxmlformats.org/officeDocument/2006/relationships/hyperlink" Target="file:///players/R/RushCo00.htm" TargetMode="External"/><Relationship Id="rId121" Type="http://schemas.openxmlformats.org/officeDocument/2006/relationships/hyperlink" Target="file:///teams/cle/2021.htm" TargetMode="External"/><Relationship Id="rId142" Type="http://schemas.openxmlformats.org/officeDocument/2006/relationships/hyperlink" Target="file:///players/S/StreCh00.htm" TargetMode="External"/><Relationship Id="rId163" Type="http://schemas.openxmlformats.org/officeDocument/2006/relationships/hyperlink" Target="file:///teams/nyg/2021.htm" TargetMode="External"/><Relationship Id="rId184" Type="http://schemas.openxmlformats.org/officeDocument/2006/relationships/hyperlink" Target="file:///players/W/WardGr02.htm" TargetMode="External"/><Relationship Id="rId219" Type="http://schemas.openxmlformats.org/officeDocument/2006/relationships/hyperlink" Target="file:///teams/chi/2021.htm" TargetMode="External"/><Relationship Id="rId230" Type="http://schemas.openxmlformats.org/officeDocument/2006/relationships/queryTable" Target="../queryTables/queryTable2.xml"/><Relationship Id="rId25" Type="http://schemas.openxmlformats.org/officeDocument/2006/relationships/hyperlink" Target="file:///players/J/JoneMa05.htm" TargetMode="External"/><Relationship Id="rId46" Type="http://schemas.openxmlformats.org/officeDocument/2006/relationships/hyperlink" Target="file:///teams/den/2021.htm" TargetMode="External"/><Relationship Id="rId67" Type="http://schemas.openxmlformats.org/officeDocument/2006/relationships/hyperlink" Target="file:///players/W/WinsJa00.htm" TargetMode="External"/><Relationship Id="rId116" Type="http://schemas.openxmlformats.org/officeDocument/2006/relationships/hyperlink" Target="file:///players/M/MannSe00.htm" TargetMode="External"/><Relationship Id="rId137" Type="http://schemas.openxmlformats.org/officeDocument/2006/relationships/hyperlink" Target="file:///teams/nwe/2021.htm" TargetMode="External"/><Relationship Id="rId158" Type="http://schemas.openxmlformats.org/officeDocument/2006/relationships/hyperlink" Target="file:///players/R/RoseJo01.htm" TargetMode="External"/><Relationship Id="rId20" Type="http://schemas.openxmlformats.org/officeDocument/2006/relationships/hyperlink" Target="file:///teams/gnb/2021.htm" TargetMode="External"/><Relationship Id="rId41" Type="http://schemas.openxmlformats.org/officeDocument/2006/relationships/hyperlink" Target="file:///players/H/HurtJa00.htm" TargetMode="External"/><Relationship Id="rId62" Type="http://schemas.openxmlformats.org/officeDocument/2006/relationships/hyperlink" Target="file:///teams/chi/2021.htm" TargetMode="External"/><Relationship Id="rId83" Type="http://schemas.openxmlformats.org/officeDocument/2006/relationships/hyperlink" Target="file:///players/M/McCoCo00.htm" TargetMode="External"/><Relationship Id="rId88" Type="http://schemas.openxmlformats.org/officeDocument/2006/relationships/hyperlink" Target="file:///teams/car/2021.htm" TargetMode="External"/><Relationship Id="rId111" Type="http://schemas.openxmlformats.org/officeDocument/2006/relationships/hyperlink" Target="file:///teams/nwe/2021.htm" TargetMode="External"/><Relationship Id="rId132" Type="http://schemas.openxmlformats.org/officeDocument/2006/relationships/hyperlink" Target="file:///players/G/GabbBl00.htm" TargetMode="External"/><Relationship Id="rId153" Type="http://schemas.openxmlformats.org/officeDocument/2006/relationships/hyperlink" Target="file:///teams/clt/2021.htm" TargetMode="External"/><Relationship Id="rId174" Type="http://schemas.openxmlformats.org/officeDocument/2006/relationships/hyperlink" Target="file:///players/M/MondKe00.htm" TargetMode="External"/><Relationship Id="rId179" Type="http://schemas.openxmlformats.org/officeDocument/2006/relationships/hyperlink" Target="file:///teams/dal/2021.htm" TargetMode="External"/><Relationship Id="rId195" Type="http://schemas.openxmlformats.org/officeDocument/2006/relationships/hyperlink" Target="file:///teams/pit/2021.htm" TargetMode="External"/><Relationship Id="rId209" Type="http://schemas.openxmlformats.org/officeDocument/2006/relationships/hyperlink" Target="file:///teams/mia/2021.htm" TargetMode="External"/><Relationship Id="rId190" Type="http://schemas.openxmlformats.org/officeDocument/2006/relationships/hyperlink" Target="file:///players/A/AmenDa00.htm" TargetMode="External"/><Relationship Id="rId204" Type="http://schemas.openxmlformats.org/officeDocument/2006/relationships/hyperlink" Target="file:///players/F/FourLe00.htm" TargetMode="External"/><Relationship Id="rId220" Type="http://schemas.openxmlformats.org/officeDocument/2006/relationships/hyperlink" Target="file:///players/P/PattCo00.htm" TargetMode="External"/><Relationship Id="rId225" Type="http://schemas.openxmlformats.org/officeDocument/2006/relationships/hyperlink" Target="file:///teams/det/2021.htm" TargetMode="External"/><Relationship Id="rId15" Type="http://schemas.openxmlformats.org/officeDocument/2006/relationships/hyperlink" Target="file:///players/A/AlleJo02.htm" TargetMode="External"/><Relationship Id="rId36" Type="http://schemas.openxmlformats.org/officeDocument/2006/relationships/hyperlink" Target="file:///teams/clt/2021.htm" TargetMode="External"/><Relationship Id="rId57" Type="http://schemas.openxmlformats.org/officeDocument/2006/relationships/hyperlink" Target="file:///players/J/JoneDa05.htm" TargetMode="External"/><Relationship Id="rId106" Type="http://schemas.openxmlformats.org/officeDocument/2006/relationships/hyperlink" Target="file:///players/R/RudoMa00.htm" TargetMode="External"/><Relationship Id="rId127" Type="http://schemas.openxmlformats.org/officeDocument/2006/relationships/hyperlink" Target="file:///teams/dal/2021.htm" TargetMode="External"/><Relationship Id="rId10" Type="http://schemas.openxmlformats.org/officeDocument/2006/relationships/hyperlink" Target="file:///teams/rai/2021.htm" TargetMode="External"/><Relationship Id="rId31" Type="http://schemas.openxmlformats.org/officeDocument/2006/relationships/hyperlink" Target="file:///players/T/TannRy00.htm" TargetMode="External"/><Relationship Id="rId52" Type="http://schemas.openxmlformats.org/officeDocument/2006/relationships/hyperlink" Target="file:///teams/htx/2021.htm" TargetMode="External"/><Relationship Id="rId73" Type="http://schemas.openxmlformats.org/officeDocument/2006/relationships/hyperlink" Target="file:///players/H/HillTa00.htm" TargetMode="External"/><Relationship Id="rId78" Type="http://schemas.openxmlformats.org/officeDocument/2006/relationships/hyperlink" Target="file:///teams/nyj/2021.htm" TargetMode="External"/><Relationship Id="rId94" Type="http://schemas.openxmlformats.org/officeDocument/2006/relationships/hyperlink" Target="file:///players/K/KeenCa00.htm" TargetMode="External"/><Relationship Id="rId99" Type="http://schemas.openxmlformats.org/officeDocument/2006/relationships/hyperlink" Target="file:///teams/dal/2021.htm" TargetMode="External"/><Relationship Id="rId101" Type="http://schemas.openxmlformats.org/officeDocument/2006/relationships/hyperlink" Target="file:///teams/gnb/2021.htm" TargetMode="External"/><Relationship Id="rId122" Type="http://schemas.openxmlformats.org/officeDocument/2006/relationships/hyperlink" Target="file:///players/B/BookIa00.htm" TargetMode="External"/><Relationship Id="rId143" Type="http://schemas.openxmlformats.org/officeDocument/2006/relationships/hyperlink" Target="file:///teams/crd/2021.htm" TargetMode="External"/><Relationship Id="rId148" Type="http://schemas.openxmlformats.org/officeDocument/2006/relationships/hyperlink" Target="file:///players/K/KirkCh01.htm" TargetMode="External"/><Relationship Id="rId164" Type="http://schemas.openxmlformats.org/officeDocument/2006/relationships/hyperlink" Target="file:///players/S/SuttCo00.htm" TargetMode="External"/><Relationship Id="rId169" Type="http://schemas.openxmlformats.org/officeDocument/2006/relationships/hyperlink" Target="file:///teams/was/2021.htm" TargetMode="External"/><Relationship Id="rId185" Type="http://schemas.openxmlformats.org/officeDocument/2006/relationships/hyperlink" Target="file:///teams/phi/2021.htm" TargetMode="External"/><Relationship Id="rId4" Type="http://schemas.openxmlformats.org/officeDocument/2006/relationships/hyperlink" Target="file:///teams/sdg/2021.htm" TargetMode="External"/><Relationship Id="rId9" Type="http://schemas.openxmlformats.org/officeDocument/2006/relationships/hyperlink" Target="file:///players/C/CarrDe02.htm" TargetMode="External"/><Relationship Id="rId180" Type="http://schemas.openxmlformats.org/officeDocument/2006/relationships/hyperlink" Target="file:///players/M/MariMa01.htm" TargetMode="External"/><Relationship Id="rId210" Type="http://schemas.openxmlformats.org/officeDocument/2006/relationships/hyperlink" Target="file:///players/G/GillBl00.htm" TargetMode="External"/><Relationship Id="rId215" Type="http://schemas.openxmlformats.org/officeDocument/2006/relationships/hyperlink" Target="file:///teams/ram/2021.htm" TargetMode="External"/><Relationship Id="rId26" Type="http://schemas.openxmlformats.org/officeDocument/2006/relationships/hyperlink" Target="file:///teams/nwe/2021.htm" TargetMode="External"/><Relationship Id="rId47" Type="http://schemas.openxmlformats.org/officeDocument/2006/relationships/hyperlink" Target="file:///players/M/MayfBa00.htm" TargetMode="External"/><Relationship Id="rId68" Type="http://schemas.openxmlformats.org/officeDocument/2006/relationships/hyperlink" Target="file:///teams/nor/2021.htm" TargetMode="External"/><Relationship Id="rId89" Type="http://schemas.openxmlformats.org/officeDocument/2006/relationships/hyperlink" Target="file:///players/J/JohnJo05.htm" TargetMode="External"/><Relationship Id="rId112" Type="http://schemas.openxmlformats.org/officeDocument/2006/relationships/hyperlink" Target="file:///players/F/FromJa00.htm" TargetMode="External"/><Relationship Id="rId133" Type="http://schemas.openxmlformats.org/officeDocument/2006/relationships/hyperlink" Target="file:///teams/tam/2021.htm" TargetMode="External"/><Relationship Id="rId154" Type="http://schemas.openxmlformats.org/officeDocument/2006/relationships/hyperlink" Target="file:///players/S/SamuDe00.htm" TargetMode="External"/><Relationship Id="rId175" Type="http://schemas.openxmlformats.org/officeDocument/2006/relationships/hyperlink" Target="file:///teams/min/2021.htm" TargetMode="External"/><Relationship Id="rId196" Type="http://schemas.openxmlformats.org/officeDocument/2006/relationships/hyperlink" Target="file:///players/B/BrowAJ00.htm" TargetMode="External"/><Relationship Id="rId200" Type="http://schemas.openxmlformats.org/officeDocument/2006/relationships/hyperlink" Target="file:///players/C/ColeKe00.htm" TargetMode="External"/><Relationship Id="rId16" Type="http://schemas.openxmlformats.org/officeDocument/2006/relationships/hyperlink" Target="file:///teams/buf/2021.htm" TargetMode="External"/><Relationship Id="rId221" Type="http://schemas.openxmlformats.org/officeDocument/2006/relationships/hyperlink" Target="file:///teams/atl/2021.htm" TargetMode="External"/><Relationship Id="rId37" Type="http://schemas.openxmlformats.org/officeDocument/2006/relationships/hyperlink" Target="file:///players/H/HeinTa00.htm" TargetMode="External"/><Relationship Id="rId58" Type="http://schemas.openxmlformats.org/officeDocument/2006/relationships/hyperlink" Target="file:///teams/nyg/2021.htm" TargetMode="External"/><Relationship Id="rId79" Type="http://schemas.openxmlformats.org/officeDocument/2006/relationships/hyperlink" Target="file:///players/G/GlenMi00.htm" TargetMode="External"/><Relationship Id="rId102" Type="http://schemas.openxmlformats.org/officeDocument/2006/relationships/hyperlink" Target="file:///players/W/WalkPh00.htm" TargetMode="External"/><Relationship Id="rId123" Type="http://schemas.openxmlformats.org/officeDocument/2006/relationships/hyperlink" Target="file:///teams/nor/2021.htm" TargetMode="External"/><Relationship Id="rId144" Type="http://schemas.openxmlformats.org/officeDocument/2006/relationships/hyperlink" Target="file:///players/J/JeffJu00.htm" TargetMode="External"/><Relationship Id="rId90" Type="http://schemas.openxmlformats.org/officeDocument/2006/relationships/hyperlink" Target="file:///players/L/LancTr00.htm" TargetMode="External"/><Relationship Id="rId165" Type="http://schemas.openxmlformats.org/officeDocument/2006/relationships/hyperlink" Target="file:///teams/den/2021.htm" TargetMode="External"/><Relationship Id="rId186" Type="http://schemas.openxmlformats.org/officeDocument/2006/relationships/hyperlink" Target="file:///players/H/HintKe00.htm" TargetMode="External"/><Relationship Id="rId211" Type="http://schemas.openxmlformats.org/officeDocument/2006/relationships/hyperlink" Target="file:///teams/nor/2021.htm" TargetMode="External"/><Relationship Id="rId27" Type="http://schemas.openxmlformats.org/officeDocument/2006/relationships/hyperlink" Target="file:///players/M/MurrKy00.htm" TargetMode="External"/><Relationship Id="rId48" Type="http://schemas.openxmlformats.org/officeDocument/2006/relationships/hyperlink" Target="file:///teams/cle/2021.htm" TargetMode="External"/><Relationship Id="rId69" Type="http://schemas.openxmlformats.org/officeDocument/2006/relationships/hyperlink" Target="file:///players/S/SiemTr00.htm" TargetMode="External"/><Relationship Id="rId113" Type="http://schemas.openxmlformats.org/officeDocument/2006/relationships/hyperlink" Target="file:///teams/nyg/2021.htm" TargetMode="External"/><Relationship Id="rId134" Type="http://schemas.openxmlformats.org/officeDocument/2006/relationships/hyperlink" Target="file:///players/B/BoydTy00.htm" TargetMode="External"/><Relationship Id="rId80" Type="http://schemas.openxmlformats.org/officeDocument/2006/relationships/hyperlink" Target="file:///teams/nyg/2021.htm" TargetMode="External"/><Relationship Id="rId155" Type="http://schemas.openxmlformats.org/officeDocument/2006/relationships/hyperlink" Target="file:///teams/sfo/2021.htm" TargetMode="External"/><Relationship Id="rId176" Type="http://schemas.openxmlformats.org/officeDocument/2006/relationships/hyperlink" Target="file:///players/W/WolfJo00.htm" TargetMode="External"/><Relationship Id="rId197" Type="http://schemas.openxmlformats.org/officeDocument/2006/relationships/hyperlink" Target="file:///teams/oti/2021.htm" TargetMode="External"/><Relationship Id="rId201" Type="http://schemas.openxmlformats.org/officeDocument/2006/relationships/hyperlink" Target="file:///teams/nyj/2021.htm" TargetMode="External"/><Relationship Id="rId222" Type="http://schemas.openxmlformats.org/officeDocument/2006/relationships/hyperlink" Target="file:///players/R/RypiBr00.htm" TargetMode="External"/><Relationship Id="rId17" Type="http://schemas.openxmlformats.org/officeDocument/2006/relationships/hyperlink" Target="file:///players/C/CousKi00.htm" TargetMode="External"/><Relationship Id="rId38" Type="http://schemas.openxmlformats.org/officeDocument/2006/relationships/hyperlink" Target="file:///teams/was/2021.htm" TargetMode="External"/><Relationship Id="rId59" Type="http://schemas.openxmlformats.org/officeDocument/2006/relationships/hyperlink" Target="file:///players/W/WilsZa00.htm" TargetMode="External"/><Relationship Id="rId103" Type="http://schemas.openxmlformats.org/officeDocument/2006/relationships/hyperlink" Target="file:///teams/car/2021.htm" TargetMode="External"/><Relationship Id="rId124" Type="http://schemas.openxmlformats.org/officeDocument/2006/relationships/hyperlink" Target="file:///players/A/AlleKy00.htm" TargetMode="External"/><Relationship Id="rId70" Type="http://schemas.openxmlformats.org/officeDocument/2006/relationships/hyperlink" Target="file:///teams/nor/2021.htm" TargetMode="External"/><Relationship Id="rId91" Type="http://schemas.openxmlformats.org/officeDocument/2006/relationships/hyperlink" Target="file:///teams/sfo/2021.htm" TargetMode="External"/><Relationship Id="rId145" Type="http://schemas.openxmlformats.org/officeDocument/2006/relationships/hyperlink" Target="file:///teams/min/2021.htm" TargetMode="External"/><Relationship Id="rId166" Type="http://schemas.openxmlformats.org/officeDocument/2006/relationships/hyperlink" Target="file:///players/T/TownTo01.htm" TargetMode="External"/><Relationship Id="rId187" Type="http://schemas.openxmlformats.org/officeDocument/2006/relationships/hyperlink" Target="file:///teams/den/2021.htm" TargetMode="External"/><Relationship Id="rId1" Type="http://schemas.openxmlformats.org/officeDocument/2006/relationships/hyperlink" Target="file:///players/B/BradTo00.htm" TargetMode="External"/><Relationship Id="rId212" Type="http://schemas.openxmlformats.org/officeDocument/2006/relationships/hyperlink" Target="file:///players/K/KochSa20.htm" TargetMode="External"/><Relationship Id="rId28" Type="http://schemas.openxmlformats.org/officeDocument/2006/relationships/hyperlink" Target="file:///teams/crd/2021.htm" TargetMode="External"/><Relationship Id="rId49" Type="http://schemas.openxmlformats.org/officeDocument/2006/relationships/hyperlink" Target="file:///players/J/JackLa00.htm" TargetMode="External"/><Relationship Id="rId114" Type="http://schemas.openxmlformats.org/officeDocument/2006/relationships/hyperlink" Target="file:///players/G/GilbGa01.htm" TargetMode="External"/><Relationship Id="rId60" Type="http://schemas.openxmlformats.org/officeDocument/2006/relationships/hyperlink" Target="file:///teams/nyj/2021.htm" TargetMode="External"/><Relationship Id="rId81" Type="http://schemas.openxmlformats.org/officeDocument/2006/relationships/hyperlink" Target="file:///players/L/LockDr00.htm" TargetMode="External"/><Relationship Id="rId135" Type="http://schemas.openxmlformats.org/officeDocument/2006/relationships/hyperlink" Target="file:///teams/cin/2021.htm" TargetMode="External"/><Relationship Id="rId156" Type="http://schemas.openxmlformats.org/officeDocument/2006/relationships/hyperlink" Target="file:///players/B/BanjCh00.htm" TargetMode="External"/><Relationship Id="rId177" Type="http://schemas.openxmlformats.org/officeDocument/2006/relationships/hyperlink" Target="file:///teams/ram/2021.htm" TargetMode="External"/><Relationship Id="rId198" Type="http://schemas.openxmlformats.org/officeDocument/2006/relationships/hyperlink" Target="file:///players/B/BurkRe00.htm" TargetMode="External"/><Relationship Id="rId202" Type="http://schemas.openxmlformats.org/officeDocument/2006/relationships/hyperlink" Target="file:///players/D/DixoRi00.htm" TargetMode="External"/><Relationship Id="rId223" Type="http://schemas.openxmlformats.org/officeDocument/2006/relationships/hyperlink" Target="file:///teams/den/2021.htm" TargetMode="External"/><Relationship Id="rId18" Type="http://schemas.openxmlformats.org/officeDocument/2006/relationships/hyperlink" Target="file:///teams/min/2021.htm" TargetMode="External"/><Relationship Id="rId39" Type="http://schemas.openxmlformats.org/officeDocument/2006/relationships/hyperlink" Target="file:///players/G/GoffJa00.htm" TargetMode="External"/><Relationship Id="rId50" Type="http://schemas.openxmlformats.org/officeDocument/2006/relationships/hyperlink" Target="file:///teams/rav/2021.htm" TargetMode="External"/><Relationship Id="rId104" Type="http://schemas.openxmlformats.org/officeDocument/2006/relationships/hyperlink" Target="file:///players/F/FlacJo00.htm" TargetMode="External"/><Relationship Id="rId125" Type="http://schemas.openxmlformats.org/officeDocument/2006/relationships/hyperlink" Target="file:///teams/was/2021.htm" TargetMode="External"/><Relationship Id="rId146" Type="http://schemas.openxmlformats.org/officeDocument/2006/relationships/hyperlink" Target="file:///players/B/BeatC.00.htm" TargetMode="External"/><Relationship Id="rId167" Type="http://schemas.openxmlformats.org/officeDocument/2006/relationships/hyperlink" Target="file:///teams/kan/2021.htm" TargetMode="External"/><Relationship Id="rId188" Type="http://schemas.openxmlformats.org/officeDocument/2006/relationships/hyperlink" Target="file:///players/A/AlleKe00.htm" TargetMode="External"/><Relationship Id="rId71" Type="http://schemas.openxmlformats.org/officeDocument/2006/relationships/hyperlink" Target="file:///players/H/HuntTy01.htm" TargetMode="External"/><Relationship Id="rId92" Type="http://schemas.openxmlformats.org/officeDocument/2006/relationships/hyperlink" Target="file:///players/B/BoylTi00.htm" TargetMode="External"/><Relationship Id="rId213" Type="http://schemas.openxmlformats.org/officeDocument/2006/relationships/hyperlink" Target="file:///teams/rav/2021.htm" TargetMode="External"/><Relationship Id="rId2" Type="http://schemas.openxmlformats.org/officeDocument/2006/relationships/hyperlink" Target="file:///teams/tam/2021.htm" TargetMode="External"/><Relationship Id="rId29" Type="http://schemas.openxmlformats.org/officeDocument/2006/relationships/hyperlink" Target="file:///players/R/RoetBe00.htm" TargetMode="External"/><Relationship Id="rId40" Type="http://schemas.openxmlformats.org/officeDocument/2006/relationships/hyperlink" Target="file:///teams/det/2021.htm" TargetMode="External"/><Relationship Id="rId115" Type="http://schemas.openxmlformats.org/officeDocument/2006/relationships/hyperlink" Target="file:///teams/was/2021.htm" TargetMode="External"/><Relationship Id="rId136" Type="http://schemas.openxmlformats.org/officeDocument/2006/relationships/hyperlink" Target="file:///players/M/MeyeJa01.htm" TargetMode="External"/><Relationship Id="rId157" Type="http://schemas.openxmlformats.org/officeDocument/2006/relationships/hyperlink" Target="file:///teams/crd/2021.htm" TargetMode="External"/><Relationship Id="rId178" Type="http://schemas.openxmlformats.org/officeDocument/2006/relationships/hyperlink" Target="file:///players/E/ElliEz00.htm" TargetMode="External"/><Relationship Id="rId61" Type="http://schemas.openxmlformats.org/officeDocument/2006/relationships/hyperlink" Target="file:///players/F/FielJu00.htm" TargetMode="External"/><Relationship Id="rId82" Type="http://schemas.openxmlformats.org/officeDocument/2006/relationships/hyperlink" Target="file:///teams/den/2021.htm" TargetMode="External"/><Relationship Id="rId199" Type="http://schemas.openxmlformats.org/officeDocument/2006/relationships/hyperlink" Target="file:///teams/htx/2021.htm" TargetMode="External"/><Relationship Id="rId203" Type="http://schemas.openxmlformats.org/officeDocument/2006/relationships/hyperlink" Target="file:///teams/nyg/2021.htm" TargetMode="External"/><Relationship Id="rId19" Type="http://schemas.openxmlformats.org/officeDocument/2006/relationships/hyperlink" Target="file:///players/R/RodgAa00.htm" TargetMode="External"/><Relationship Id="rId224" Type="http://schemas.openxmlformats.org/officeDocument/2006/relationships/hyperlink" Target="file:///players/S/SwifDA00.htm" TargetMode="External"/><Relationship Id="rId30" Type="http://schemas.openxmlformats.org/officeDocument/2006/relationships/hyperlink" Target="file:///teams/pit/2021.htm" TargetMode="External"/><Relationship Id="rId105" Type="http://schemas.openxmlformats.org/officeDocument/2006/relationships/hyperlink" Target="file:///teams/nyj/2021.htm" TargetMode="External"/><Relationship Id="rId126" Type="http://schemas.openxmlformats.org/officeDocument/2006/relationships/hyperlink" Target="file:///players/W/WilsCe01.htm" TargetMode="External"/><Relationship Id="rId147" Type="http://schemas.openxmlformats.org/officeDocument/2006/relationships/hyperlink" Target="file:///teams/jax/2021.htm" TargetMode="External"/><Relationship Id="rId168" Type="http://schemas.openxmlformats.org/officeDocument/2006/relationships/hyperlink" Target="file:///players/F/FitzRy00.htm" TargetMode="External"/><Relationship Id="rId51" Type="http://schemas.openxmlformats.org/officeDocument/2006/relationships/hyperlink" Target="file:///players/M/MillDa02.htm" TargetMode="External"/><Relationship Id="rId72" Type="http://schemas.openxmlformats.org/officeDocument/2006/relationships/hyperlink" Target="file:///teams/rav/2021.htm" TargetMode="External"/><Relationship Id="rId93" Type="http://schemas.openxmlformats.org/officeDocument/2006/relationships/hyperlink" Target="file:///teams/det/2021.htm" TargetMode="External"/><Relationship Id="rId189" Type="http://schemas.openxmlformats.org/officeDocument/2006/relationships/hyperlink" Target="file:///teams/sdg/2021.htm" TargetMode="External"/><Relationship Id="rId3" Type="http://schemas.openxmlformats.org/officeDocument/2006/relationships/hyperlink" Target="file:///players/H/HerbJu00.htm" TargetMode="External"/><Relationship Id="rId214" Type="http://schemas.openxmlformats.org/officeDocument/2006/relationships/hyperlink" Target="file:///players/K/KuppCo00.htm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hyperlink" Target="file:///players/B/BarkMa00.htm" TargetMode="External"/><Relationship Id="rId21" Type="http://schemas.openxmlformats.org/officeDocument/2006/relationships/hyperlink" Target="file:///players/C/CarrDe02.htm" TargetMode="External"/><Relationship Id="rId42" Type="http://schemas.openxmlformats.org/officeDocument/2006/relationships/hyperlink" Target="file:///teams/den/2020.htm" TargetMode="External"/><Relationship Id="rId63" Type="http://schemas.openxmlformats.org/officeDocument/2006/relationships/hyperlink" Target="file:///players/P/PresDa01.htm" TargetMode="External"/><Relationship Id="rId84" Type="http://schemas.openxmlformats.org/officeDocument/2006/relationships/hyperlink" Target="file:///teams/nyj/2020.htm" TargetMode="External"/><Relationship Id="rId138" Type="http://schemas.openxmlformats.org/officeDocument/2006/relationships/hyperlink" Target="file:///teams/cle/2020.htm" TargetMode="External"/><Relationship Id="rId159" Type="http://schemas.openxmlformats.org/officeDocument/2006/relationships/hyperlink" Target="file:///players/T/ThomLo00.htm" TargetMode="External"/><Relationship Id="rId170" Type="http://schemas.openxmlformats.org/officeDocument/2006/relationships/hyperlink" Target="file:///teams/htx/2020.htm" TargetMode="External"/><Relationship Id="rId191" Type="http://schemas.openxmlformats.org/officeDocument/2006/relationships/hyperlink" Target="file:///players/T/TownTo01.htm" TargetMode="External"/><Relationship Id="rId205" Type="http://schemas.openxmlformats.org/officeDocument/2006/relationships/hyperlink" Target="file:///players/A/AlleKe00.htm" TargetMode="External"/><Relationship Id="rId107" Type="http://schemas.openxmlformats.org/officeDocument/2006/relationships/hyperlink" Target="file:///players/G/GilbGa01.htm" TargetMode="External"/><Relationship Id="rId11" Type="http://schemas.openxmlformats.org/officeDocument/2006/relationships/hyperlink" Target="file:///players/H/HerbJu00.htm" TargetMode="External"/><Relationship Id="rId32" Type="http://schemas.openxmlformats.org/officeDocument/2006/relationships/hyperlink" Target="file:///teams/pit/2020.htm" TargetMode="External"/><Relationship Id="rId53" Type="http://schemas.openxmlformats.org/officeDocument/2006/relationships/hyperlink" Target="file:///players/M/MinsGa00.htm" TargetMode="External"/><Relationship Id="rId74" Type="http://schemas.openxmlformats.org/officeDocument/2006/relationships/hyperlink" Target="file:///teams/sfo/2020.htm" TargetMode="External"/><Relationship Id="rId128" Type="http://schemas.openxmlformats.org/officeDocument/2006/relationships/hyperlink" Target="file:///teams/crd/2020.htm" TargetMode="External"/><Relationship Id="rId149" Type="http://schemas.openxmlformats.org/officeDocument/2006/relationships/hyperlink" Target="file:///players/S/SmitGe00.htm" TargetMode="External"/><Relationship Id="rId5" Type="http://schemas.openxmlformats.org/officeDocument/2006/relationships/hyperlink" Target="file:///players/B/BradTo00.htm" TargetMode="External"/><Relationship Id="rId95" Type="http://schemas.openxmlformats.org/officeDocument/2006/relationships/hyperlink" Target="file:///players/W/WalkPh00.htm" TargetMode="External"/><Relationship Id="rId160" Type="http://schemas.openxmlformats.org/officeDocument/2006/relationships/hyperlink" Target="file:///teams/was/2020.htm" TargetMode="External"/><Relationship Id="rId181" Type="http://schemas.openxmlformats.org/officeDocument/2006/relationships/hyperlink" Target="file:///players/H/HuntTy01.htm" TargetMode="External"/><Relationship Id="rId216" Type="http://schemas.openxmlformats.org/officeDocument/2006/relationships/hyperlink" Target="file:///teams/oti/2020.htm" TargetMode="External"/><Relationship Id="rId22" Type="http://schemas.openxmlformats.org/officeDocument/2006/relationships/hyperlink" Target="file:///teams/rai/2020.htm" TargetMode="External"/><Relationship Id="rId43" Type="http://schemas.openxmlformats.org/officeDocument/2006/relationships/hyperlink" Target="file:///players/J/JackLa00.htm" TargetMode="External"/><Relationship Id="rId64" Type="http://schemas.openxmlformats.org/officeDocument/2006/relationships/hyperlink" Target="file:///teams/dal/2020.htm" TargetMode="External"/><Relationship Id="rId118" Type="http://schemas.openxmlformats.org/officeDocument/2006/relationships/hyperlink" Target="file:///teams/buf/2020.htm" TargetMode="External"/><Relationship Id="rId139" Type="http://schemas.openxmlformats.org/officeDocument/2006/relationships/hyperlink" Target="file:///players/C/CrowJa00.htm" TargetMode="External"/><Relationship Id="rId85" Type="http://schemas.openxmlformats.org/officeDocument/2006/relationships/hyperlink" Target="file:///players/B/BeatC.00.htm" TargetMode="External"/><Relationship Id="rId150" Type="http://schemas.openxmlformats.org/officeDocument/2006/relationships/hyperlink" Target="file:///teams/sea/2020.htm" TargetMode="External"/><Relationship Id="rId171" Type="http://schemas.openxmlformats.org/officeDocument/2006/relationships/hyperlink" Target="file:///players/B/BeckOd00.htm" TargetMode="External"/><Relationship Id="rId192" Type="http://schemas.openxmlformats.org/officeDocument/2006/relationships/hyperlink" Target="file:///teams/kan/2020.htm" TargetMode="External"/><Relationship Id="rId206" Type="http://schemas.openxmlformats.org/officeDocument/2006/relationships/hyperlink" Target="file:///teams/sdg/2020.htm" TargetMode="External"/><Relationship Id="rId12" Type="http://schemas.openxmlformats.org/officeDocument/2006/relationships/hyperlink" Target="file:///teams/sdg/2020.htm" TargetMode="External"/><Relationship Id="rId33" Type="http://schemas.openxmlformats.org/officeDocument/2006/relationships/hyperlink" Target="file:///players/B/BridTe00.htm" TargetMode="External"/><Relationship Id="rId108" Type="http://schemas.openxmlformats.org/officeDocument/2006/relationships/hyperlink" Target="file:///teams/dal/2020.htm" TargetMode="External"/><Relationship Id="rId129" Type="http://schemas.openxmlformats.org/officeDocument/2006/relationships/hyperlink" Target="file:///players/M/McSoTr00.htm" TargetMode="External"/><Relationship Id="rId54" Type="http://schemas.openxmlformats.org/officeDocument/2006/relationships/hyperlink" Target="file:///teams/jax/2020.htm" TargetMode="External"/><Relationship Id="rId75" Type="http://schemas.openxmlformats.org/officeDocument/2006/relationships/hyperlink" Target="file:///players/G/GlenMi00.htm" TargetMode="External"/><Relationship Id="rId96" Type="http://schemas.openxmlformats.org/officeDocument/2006/relationships/hyperlink" Target="file:///teams/car/2020.htm" TargetMode="External"/><Relationship Id="rId140" Type="http://schemas.openxmlformats.org/officeDocument/2006/relationships/hyperlink" Target="file:///teams/nyj/2020.htm" TargetMode="External"/><Relationship Id="rId161" Type="http://schemas.openxmlformats.org/officeDocument/2006/relationships/hyperlink" Target="file:///players/L/LeexAn20.htm" TargetMode="External"/><Relationship Id="rId182" Type="http://schemas.openxmlformats.org/officeDocument/2006/relationships/hyperlink" Target="file:///teams/rav/2020.htm" TargetMode="External"/><Relationship Id="rId217" Type="http://schemas.openxmlformats.org/officeDocument/2006/relationships/hyperlink" Target="file:///players/M/MoorD.00.htm" TargetMode="External"/><Relationship Id="rId6" Type="http://schemas.openxmlformats.org/officeDocument/2006/relationships/hyperlink" Target="file:///teams/tam/2020.htm" TargetMode="External"/><Relationship Id="rId23" Type="http://schemas.openxmlformats.org/officeDocument/2006/relationships/hyperlink" Target="file:///players/S/StafMa00.htm" TargetMode="External"/><Relationship Id="rId119" Type="http://schemas.openxmlformats.org/officeDocument/2006/relationships/hyperlink" Target="file:///players/F/FinlRy00.htm" TargetMode="External"/><Relationship Id="rId44" Type="http://schemas.openxmlformats.org/officeDocument/2006/relationships/hyperlink" Target="file:///teams/rav/2020.htm" TargetMode="External"/><Relationship Id="rId65" Type="http://schemas.openxmlformats.org/officeDocument/2006/relationships/hyperlink" Target="file:///players/F/FoleNi00.htm" TargetMode="External"/><Relationship Id="rId86" Type="http://schemas.openxmlformats.org/officeDocument/2006/relationships/hyperlink" Target="file:///teams/sfo/2020.htm" TargetMode="External"/><Relationship Id="rId130" Type="http://schemas.openxmlformats.org/officeDocument/2006/relationships/hyperlink" Target="file:///teams/rav/2020.htm" TargetMode="External"/><Relationship Id="rId151" Type="http://schemas.openxmlformats.org/officeDocument/2006/relationships/hyperlink" Target="file:///players/B/BowdLy00.htm" TargetMode="External"/><Relationship Id="rId172" Type="http://schemas.openxmlformats.org/officeDocument/2006/relationships/hyperlink" Target="file:///teams/cle/2020.htm" TargetMode="External"/><Relationship Id="rId193" Type="http://schemas.openxmlformats.org/officeDocument/2006/relationships/hyperlink" Target="file:///players/M/McKeIs00.htm" TargetMode="External"/><Relationship Id="rId207" Type="http://schemas.openxmlformats.org/officeDocument/2006/relationships/hyperlink" Target="file:///players/C/CobbRa00.htm" TargetMode="External"/><Relationship Id="rId13" Type="http://schemas.openxmlformats.org/officeDocument/2006/relationships/hyperlink" Target="file:///players/R/RodgAa00.htm" TargetMode="External"/><Relationship Id="rId109" Type="http://schemas.openxmlformats.org/officeDocument/2006/relationships/hyperlink" Target="file:///players/W/WolfJo00.htm" TargetMode="External"/><Relationship Id="rId34" Type="http://schemas.openxmlformats.org/officeDocument/2006/relationships/hyperlink" Target="file:///teams/car/2020.htm" TargetMode="External"/><Relationship Id="rId55" Type="http://schemas.openxmlformats.org/officeDocument/2006/relationships/hyperlink" Target="file:///players/D/DarnSa00.htm" TargetMode="External"/><Relationship Id="rId76" Type="http://schemas.openxmlformats.org/officeDocument/2006/relationships/hyperlink" Target="file:///teams/jax/2020.htm" TargetMode="External"/><Relationship Id="rId97" Type="http://schemas.openxmlformats.org/officeDocument/2006/relationships/hyperlink" Target="file:///players/R/RudoMa00.htm" TargetMode="External"/><Relationship Id="rId120" Type="http://schemas.openxmlformats.org/officeDocument/2006/relationships/hyperlink" Target="file:///teams/cin/2020.htm" TargetMode="External"/><Relationship Id="rId141" Type="http://schemas.openxmlformats.org/officeDocument/2006/relationships/hyperlink" Target="file:///players/M/MeyeJa01.htm" TargetMode="External"/><Relationship Id="rId7" Type="http://schemas.openxmlformats.org/officeDocument/2006/relationships/hyperlink" Target="file:///players/R/RyanMa00.htm" TargetMode="External"/><Relationship Id="rId162" Type="http://schemas.openxmlformats.org/officeDocument/2006/relationships/hyperlink" Target="file:///teams/crd/2020.htm" TargetMode="External"/><Relationship Id="rId183" Type="http://schemas.openxmlformats.org/officeDocument/2006/relationships/hyperlink" Target="file:///players/K/KochSa20.htm" TargetMode="External"/><Relationship Id="rId218" Type="http://schemas.openxmlformats.org/officeDocument/2006/relationships/hyperlink" Target="file:///teams/car/2020.htm" TargetMode="External"/><Relationship Id="rId24" Type="http://schemas.openxmlformats.org/officeDocument/2006/relationships/hyperlink" Target="file:///teams/det/2020.htm" TargetMode="External"/><Relationship Id="rId45" Type="http://schemas.openxmlformats.org/officeDocument/2006/relationships/hyperlink" Target="file:///players/B/BurrJo01.htm" TargetMode="External"/><Relationship Id="rId66" Type="http://schemas.openxmlformats.org/officeDocument/2006/relationships/hyperlink" Target="file:///teams/chi/2020.htm" TargetMode="External"/><Relationship Id="rId87" Type="http://schemas.openxmlformats.org/officeDocument/2006/relationships/hyperlink" Target="file:///players/L/LutoJa00.htm" TargetMode="External"/><Relationship Id="rId110" Type="http://schemas.openxmlformats.org/officeDocument/2006/relationships/hyperlink" Target="file:///teams/ram/2020.htm" TargetMode="External"/><Relationship Id="rId131" Type="http://schemas.openxmlformats.org/officeDocument/2006/relationships/hyperlink" Target="file:///players/W/WinsJa00.htm" TargetMode="External"/><Relationship Id="rId152" Type="http://schemas.openxmlformats.org/officeDocument/2006/relationships/hyperlink" Target="file:///teams/mia/2020.htm" TargetMode="External"/><Relationship Id="rId173" Type="http://schemas.openxmlformats.org/officeDocument/2006/relationships/hyperlink" Target="file:///players/B/BrayTy00.htm" TargetMode="External"/><Relationship Id="rId194" Type="http://schemas.openxmlformats.org/officeDocument/2006/relationships/hyperlink" Target="file:///teams/buf/2020.htm" TargetMode="External"/><Relationship Id="rId208" Type="http://schemas.openxmlformats.org/officeDocument/2006/relationships/hyperlink" Target="file:///teams/htx/2020.htm" TargetMode="External"/><Relationship Id="rId14" Type="http://schemas.openxmlformats.org/officeDocument/2006/relationships/hyperlink" Target="file:///teams/gnb/2020.htm" TargetMode="External"/><Relationship Id="rId35" Type="http://schemas.openxmlformats.org/officeDocument/2006/relationships/hyperlink" Target="file:///players/M/MayfBa00.htm" TargetMode="External"/><Relationship Id="rId56" Type="http://schemas.openxmlformats.org/officeDocument/2006/relationships/hyperlink" Target="file:///teams/nyj/2020.htm" TargetMode="External"/><Relationship Id="rId77" Type="http://schemas.openxmlformats.org/officeDocument/2006/relationships/hyperlink" Target="file:///players/H/HurtJa00.htm" TargetMode="External"/><Relationship Id="rId100" Type="http://schemas.openxmlformats.org/officeDocument/2006/relationships/hyperlink" Target="file:///teams/den/2020.htm" TargetMode="External"/><Relationship Id="rId8" Type="http://schemas.openxmlformats.org/officeDocument/2006/relationships/hyperlink" Target="file:///teams/atl/2020.htm" TargetMode="External"/><Relationship Id="rId98" Type="http://schemas.openxmlformats.org/officeDocument/2006/relationships/hyperlink" Target="file:///teams/pit/2020.htm" TargetMode="External"/><Relationship Id="rId121" Type="http://schemas.openxmlformats.org/officeDocument/2006/relationships/hyperlink" Target="file:///players/G/GabbBl00.htm" TargetMode="External"/><Relationship Id="rId142" Type="http://schemas.openxmlformats.org/officeDocument/2006/relationships/hyperlink" Target="file:///teams/nwe/2020.htm" TargetMode="External"/><Relationship Id="rId163" Type="http://schemas.openxmlformats.org/officeDocument/2006/relationships/hyperlink" Target="file:///players/P/PeteNa00.htm" TargetMode="External"/><Relationship Id="rId184" Type="http://schemas.openxmlformats.org/officeDocument/2006/relationships/hyperlink" Target="file:///teams/rav/2020.htm" TargetMode="External"/><Relationship Id="rId219" Type="http://schemas.openxmlformats.org/officeDocument/2006/relationships/hyperlink" Target="file:///players/P/PascZa00.htm" TargetMode="External"/><Relationship Id="rId3" Type="http://schemas.openxmlformats.org/officeDocument/2006/relationships/hyperlink" Target="file:///players/M/MahoPa00.htm" TargetMode="External"/><Relationship Id="rId214" Type="http://schemas.openxmlformats.org/officeDocument/2006/relationships/hyperlink" Target="file:///teams/dal/2020.htm" TargetMode="External"/><Relationship Id="rId25" Type="http://schemas.openxmlformats.org/officeDocument/2006/relationships/hyperlink" Target="file:///players/M/MurrKy00.htm" TargetMode="External"/><Relationship Id="rId46" Type="http://schemas.openxmlformats.org/officeDocument/2006/relationships/hyperlink" Target="file:///teams/cin/2020.htm" TargetMode="External"/><Relationship Id="rId67" Type="http://schemas.openxmlformats.org/officeDocument/2006/relationships/hyperlink" Target="file:///players/T/TagoTu00.htm" TargetMode="External"/><Relationship Id="rId116" Type="http://schemas.openxmlformats.org/officeDocument/2006/relationships/hyperlink" Target="file:///teams/sdg/2020.htm" TargetMode="External"/><Relationship Id="rId137" Type="http://schemas.openxmlformats.org/officeDocument/2006/relationships/hyperlink" Target="file:///players/K/KeenCa00.htm" TargetMode="External"/><Relationship Id="rId158" Type="http://schemas.openxmlformats.org/officeDocument/2006/relationships/hyperlink" Target="file:///teams/car/2020.htm" TargetMode="External"/><Relationship Id="rId20" Type="http://schemas.openxmlformats.org/officeDocument/2006/relationships/hyperlink" Target="file:///teams/clt/2020.htm" TargetMode="External"/><Relationship Id="rId41" Type="http://schemas.openxmlformats.org/officeDocument/2006/relationships/hyperlink" Target="file:///players/L/LockDr00.htm" TargetMode="External"/><Relationship Id="rId62" Type="http://schemas.openxmlformats.org/officeDocument/2006/relationships/hyperlink" Target="file:///teams/chi/2020.htm" TargetMode="External"/><Relationship Id="rId83" Type="http://schemas.openxmlformats.org/officeDocument/2006/relationships/hyperlink" Target="file:///players/F/FlacJo00.htm" TargetMode="External"/><Relationship Id="rId88" Type="http://schemas.openxmlformats.org/officeDocument/2006/relationships/hyperlink" Target="file:///teams/jax/2020.htm" TargetMode="External"/><Relationship Id="rId111" Type="http://schemas.openxmlformats.org/officeDocument/2006/relationships/hyperlink" Target="file:///players/M/MariMa01.htm" TargetMode="External"/><Relationship Id="rId132" Type="http://schemas.openxmlformats.org/officeDocument/2006/relationships/hyperlink" Target="file:///teams/nor/2020.htm" TargetMode="External"/><Relationship Id="rId153" Type="http://schemas.openxmlformats.org/officeDocument/2006/relationships/hyperlink" Target="file:///players/S/SudfNa00.htm" TargetMode="External"/><Relationship Id="rId174" Type="http://schemas.openxmlformats.org/officeDocument/2006/relationships/hyperlink" Target="file:///teams/chi/2020.htm" TargetMode="External"/><Relationship Id="rId179" Type="http://schemas.openxmlformats.org/officeDocument/2006/relationships/hyperlink" Target="file:///players/B/BoydTy00.htm" TargetMode="External"/><Relationship Id="rId195" Type="http://schemas.openxmlformats.org/officeDocument/2006/relationships/hyperlink" Target="file:///players/W/WoodLo00.htm" TargetMode="External"/><Relationship Id="rId209" Type="http://schemas.openxmlformats.org/officeDocument/2006/relationships/hyperlink" Target="file:///players/D/DixoRi00.htm" TargetMode="External"/><Relationship Id="rId190" Type="http://schemas.openxmlformats.org/officeDocument/2006/relationships/hyperlink" Target="file:///teams/buf/2020.htm" TargetMode="External"/><Relationship Id="rId204" Type="http://schemas.openxmlformats.org/officeDocument/2006/relationships/hyperlink" Target="file:///teams/det/2020.htm" TargetMode="External"/><Relationship Id="rId220" Type="http://schemas.openxmlformats.org/officeDocument/2006/relationships/hyperlink" Target="file:///teams/clt/2020.htm" TargetMode="External"/><Relationship Id="rId225" Type="http://schemas.openxmlformats.org/officeDocument/2006/relationships/queryTable" Target="../queryTables/queryTable4.xml"/><Relationship Id="rId15" Type="http://schemas.openxmlformats.org/officeDocument/2006/relationships/hyperlink" Target="file:///players/C/CousKi00.htm" TargetMode="External"/><Relationship Id="rId36" Type="http://schemas.openxmlformats.org/officeDocument/2006/relationships/hyperlink" Target="file:///teams/cle/2020.htm" TargetMode="External"/><Relationship Id="rId57" Type="http://schemas.openxmlformats.org/officeDocument/2006/relationships/hyperlink" Target="file:///players/D/DaltAn00.htm" TargetMode="External"/><Relationship Id="rId106" Type="http://schemas.openxmlformats.org/officeDocument/2006/relationships/hyperlink" Target="file:///teams/kan/2020.htm" TargetMode="External"/><Relationship Id="rId127" Type="http://schemas.openxmlformats.org/officeDocument/2006/relationships/hyperlink" Target="file:///players/S/StreCh00.htm" TargetMode="External"/><Relationship Id="rId10" Type="http://schemas.openxmlformats.org/officeDocument/2006/relationships/hyperlink" Target="file:///teams/buf/2020.htm" TargetMode="External"/><Relationship Id="rId31" Type="http://schemas.openxmlformats.org/officeDocument/2006/relationships/hyperlink" Target="file:///players/R/RoetBe00.htm" TargetMode="External"/><Relationship Id="rId52" Type="http://schemas.openxmlformats.org/officeDocument/2006/relationships/hyperlink" Target="file:///teams/sfo/2020.htm" TargetMode="External"/><Relationship Id="rId73" Type="http://schemas.openxmlformats.org/officeDocument/2006/relationships/hyperlink" Target="file:///players/G/GaroJi00.htm" TargetMode="External"/><Relationship Id="rId78" Type="http://schemas.openxmlformats.org/officeDocument/2006/relationships/hyperlink" Target="file:///teams/phi/2020.htm" TargetMode="External"/><Relationship Id="rId94" Type="http://schemas.openxmlformats.org/officeDocument/2006/relationships/hyperlink" Target="file:///teams/nyg/2020.htm" TargetMode="External"/><Relationship Id="rId99" Type="http://schemas.openxmlformats.org/officeDocument/2006/relationships/hyperlink" Target="file:///players/R/RypiBr00.htm" TargetMode="External"/><Relationship Id="rId101" Type="http://schemas.openxmlformats.org/officeDocument/2006/relationships/hyperlink" Target="file:///players/D/DaniCh00.htm" TargetMode="External"/><Relationship Id="rId122" Type="http://schemas.openxmlformats.org/officeDocument/2006/relationships/hyperlink" Target="file:///teams/tam/2020.htm" TargetMode="External"/><Relationship Id="rId143" Type="http://schemas.openxmlformats.org/officeDocument/2006/relationships/hyperlink" Target="file:///players/G/GrifRo01.htm" TargetMode="External"/><Relationship Id="rId148" Type="http://schemas.openxmlformats.org/officeDocument/2006/relationships/hyperlink" Target="file:///teams/nwe/2020.htm" TargetMode="External"/><Relationship Id="rId164" Type="http://schemas.openxmlformats.org/officeDocument/2006/relationships/hyperlink" Target="file:///teams/rai/2020.htm" TargetMode="External"/><Relationship Id="rId169" Type="http://schemas.openxmlformats.org/officeDocument/2006/relationships/hyperlink" Target="file:///players/M/McCaA.00.htm" TargetMode="External"/><Relationship Id="rId185" Type="http://schemas.openxmlformats.org/officeDocument/2006/relationships/hyperlink" Target="file:///players/W/WardGr02.htm" TargetMode="External"/><Relationship Id="rId4" Type="http://schemas.openxmlformats.org/officeDocument/2006/relationships/hyperlink" Target="file:///teams/kan/2020.htm" TargetMode="External"/><Relationship Id="rId9" Type="http://schemas.openxmlformats.org/officeDocument/2006/relationships/hyperlink" Target="file:///players/A/AlleJo02.htm" TargetMode="External"/><Relationship Id="rId180" Type="http://schemas.openxmlformats.org/officeDocument/2006/relationships/hyperlink" Target="file:///teams/cin/2020.htm" TargetMode="External"/><Relationship Id="rId210" Type="http://schemas.openxmlformats.org/officeDocument/2006/relationships/hyperlink" Target="file:///teams/nyg/2020.htm" TargetMode="External"/><Relationship Id="rId215" Type="http://schemas.openxmlformats.org/officeDocument/2006/relationships/hyperlink" Target="file:///players/K/KernBr20.htm" TargetMode="External"/><Relationship Id="rId26" Type="http://schemas.openxmlformats.org/officeDocument/2006/relationships/hyperlink" Target="file:///teams/crd/2020.htm" TargetMode="External"/><Relationship Id="rId47" Type="http://schemas.openxmlformats.org/officeDocument/2006/relationships/hyperlink" Target="file:///players/N/NewtCa00.htm" TargetMode="External"/><Relationship Id="rId68" Type="http://schemas.openxmlformats.org/officeDocument/2006/relationships/hyperlink" Target="file:///teams/mia/2020.htm" TargetMode="External"/><Relationship Id="rId89" Type="http://schemas.openxmlformats.org/officeDocument/2006/relationships/hyperlink" Target="file:///players/A/AlleKy00.htm" TargetMode="External"/><Relationship Id="rId112" Type="http://schemas.openxmlformats.org/officeDocument/2006/relationships/hyperlink" Target="file:///teams/rai/2020.htm" TargetMode="External"/><Relationship Id="rId133" Type="http://schemas.openxmlformats.org/officeDocument/2006/relationships/hyperlink" Target="file:///players/L/LandJa00.htm" TargetMode="External"/><Relationship Id="rId154" Type="http://schemas.openxmlformats.org/officeDocument/2006/relationships/hyperlink" Target="file:///teams/phi/2020.htm" TargetMode="External"/><Relationship Id="rId175" Type="http://schemas.openxmlformats.org/officeDocument/2006/relationships/hyperlink" Target="file:///players/T/TateGo00.htm" TargetMode="External"/><Relationship Id="rId196" Type="http://schemas.openxmlformats.org/officeDocument/2006/relationships/hyperlink" Target="file:///teams/oti/2020.htm" TargetMode="External"/><Relationship Id="rId200" Type="http://schemas.openxmlformats.org/officeDocument/2006/relationships/hyperlink" Target="file:///teams/sdg/2020.htm" TargetMode="External"/><Relationship Id="rId16" Type="http://schemas.openxmlformats.org/officeDocument/2006/relationships/hyperlink" Target="file:///teams/min/2020.htm" TargetMode="External"/><Relationship Id="rId221" Type="http://schemas.openxmlformats.org/officeDocument/2006/relationships/hyperlink" Target="file:///players/W/WatkSa00.htm" TargetMode="External"/><Relationship Id="rId37" Type="http://schemas.openxmlformats.org/officeDocument/2006/relationships/hyperlink" Target="file:///players/J/JoneDa05.htm" TargetMode="External"/><Relationship Id="rId58" Type="http://schemas.openxmlformats.org/officeDocument/2006/relationships/hyperlink" Target="file:///teams/dal/2020.htm" TargetMode="External"/><Relationship Id="rId79" Type="http://schemas.openxmlformats.org/officeDocument/2006/relationships/hyperlink" Target="file:///players/H/HillTa00.htm" TargetMode="External"/><Relationship Id="rId102" Type="http://schemas.openxmlformats.org/officeDocument/2006/relationships/hyperlink" Target="file:///teams/det/2020.htm" TargetMode="External"/><Relationship Id="rId123" Type="http://schemas.openxmlformats.org/officeDocument/2006/relationships/hyperlink" Target="file:///players/H/HeinTa00.htm" TargetMode="External"/><Relationship Id="rId144" Type="http://schemas.openxmlformats.org/officeDocument/2006/relationships/hyperlink" Target="file:///teams/rav/2020.htm" TargetMode="External"/><Relationship Id="rId90" Type="http://schemas.openxmlformats.org/officeDocument/2006/relationships/hyperlink" Target="file:///teams/was/2020.htm" TargetMode="External"/><Relationship Id="rId165" Type="http://schemas.openxmlformats.org/officeDocument/2006/relationships/hyperlink" Target="file:///players/W/WilsCe01.htm" TargetMode="External"/><Relationship Id="rId186" Type="http://schemas.openxmlformats.org/officeDocument/2006/relationships/hyperlink" Target="file:///teams/phi/2020.htm" TargetMode="External"/><Relationship Id="rId211" Type="http://schemas.openxmlformats.org/officeDocument/2006/relationships/hyperlink" Target="file:///players/E/EricAl01.htm" TargetMode="External"/><Relationship Id="rId27" Type="http://schemas.openxmlformats.org/officeDocument/2006/relationships/hyperlink" Target="file:///players/G/GoffJa00.htm" TargetMode="External"/><Relationship Id="rId48" Type="http://schemas.openxmlformats.org/officeDocument/2006/relationships/hyperlink" Target="file:///teams/nwe/2020.htm" TargetMode="External"/><Relationship Id="rId69" Type="http://schemas.openxmlformats.org/officeDocument/2006/relationships/hyperlink" Target="file:///players/S/SmitAl03.htm" TargetMode="External"/><Relationship Id="rId113" Type="http://schemas.openxmlformats.org/officeDocument/2006/relationships/hyperlink" Target="file:///players/D/DiNuBe00.htm" TargetMode="External"/><Relationship Id="rId134" Type="http://schemas.openxmlformats.org/officeDocument/2006/relationships/hyperlink" Target="file:///teams/cle/2020.htm" TargetMode="External"/><Relationship Id="rId80" Type="http://schemas.openxmlformats.org/officeDocument/2006/relationships/hyperlink" Target="file:///teams/nor/2020.htm" TargetMode="External"/><Relationship Id="rId155" Type="http://schemas.openxmlformats.org/officeDocument/2006/relationships/hyperlink" Target="file:///players/J/JoneZa00.htm" TargetMode="External"/><Relationship Id="rId176" Type="http://schemas.openxmlformats.org/officeDocument/2006/relationships/hyperlink" Target="file:///teams/nyg/2020.htm" TargetMode="External"/><Relationship Id="rId197" Type="http://schemas.openxmlformats.org/officeDocument/2006/relationships/hyperlink" Target="file:///players/K/KelcTr00.htm" TargetMode="External"/><Relationship Id="rId201" Type="http://schemas.openxmlformats.org/officeDocument/2006/relationships/hyperlink" Target="file:///players/D/DobbJo00.htm" TargetMode="External"/><Relationship Id="rId222" Type="http://schemas.openxmlformats.org/officeDocument/2006/relationships/hyperlink" Target="file:///teams/kan/2020.htm" TargetMode="External"/><Relationship Id="rId17" Type="http://schemas.openxmlformats.org/officeDocument/2006/relationships/hyperlink" Target="file:///players/W/WilsRu00.htm" TargetMode="External"/><Relationship Id="rId38" Type="http://schemas.openxmlformats.org/officeDocument/2006/relationships/hyperlink" Target="file:///teams/nyg/2020.htm" TargetMode="External"/><Relationship Id="rId59" Type="http://schemas.openxmlformats.org/officeDocument/2006/relationships/hyperlink" Target="file:///players/F/FitzRy00.htm" TargetMode="External"/><Relationship Id="rId103" Type="http://schemas.openxmlformats.org/officeDocument/2006/relationships/hyperlink" Target="file:///players/S/StidJa00.htm" TargetMode="External"/><Relationship Id="rId124" Type="http://schemas.openxmlformats.org/officeDocument/2006/relationships/hyperlink" Target="file:///teams/was/2020.htm" TargetMode="External"/><Relationship Id="rId70" Type="http://schemas.openxmlformats.org/officeDocument/2006/relationships/hyperlink" Target="file:///teams/was/2020.htm" TargetMode="External"/><Relationship Id="rId91" Type="http://schemas.openxmlformats.org/officeDocument/2006/relationships/hyperlink" Target="file:///players/D/DrisJe00.htm" TargetMode="External"/><Relationship Id="rId145" Type="http://schemas.openxmlformats.org/officeDocument/2006/relationships/hyperlink" Target="file:///players/G/GageRu00.htm" TargetMode="External"/><Relationship Id="rId166" Type="http://schemas.openxmlformats.org/officeDocument/2006/relationships/hyperlink" Target="file:///teams/dal/2020.htm" TargetMode="External"/><Relationship Id="rId187" Type="http://schemas.openxmlformats.org/officeDocument/2006/relationships/hyperlink" Target="file:///players/H/HintKe00.htm" TargetMode="External"/><Relationship Id="rId1" Type="http://schemas.openxmlformats.org/officeDocument/2006/relationships/hyperlink" Target="file:///players/W/WatsDe00.htm" TargetMode="External"/><Relationship Id="rId212" Type="http://schemas.openxmlformats.org/officeDocument/2006/relationships/hyperlink" Target="file:///teams/cin/2020.htm" TargetMode="External"/><Relationship Id="rId28" Type="http://schemas.openxmlformats.org/officeDocument/2006/relationships/hyperlink" Target="file:///teams/ram/2020.htm" TargetMode="External"/><Relationship Id="rId49" Type="http://schemas.openxmlformats.org/officeDocument/2006/relationships/hyperlink" Target="file:///players/W/WentCa00.htm" TargetMode="External"/><Relationship Id="rId114" Type="http://schemas.openxmlformats.org/officeDocument/2006/relationships/hyperlink" Target="file:///teams/dal/2020.htm" TargetMode="External"/><Relationship Id="rId60" Type="http://schemas.openxmlformats.org/officeDocument/2006/relationships/hyperlink" Target="file:///teams/mia/2020.htm" TargetMode="External"/><Relationship Id="rId81" Type="http://schemas.openxmlformats.org/officeDocument/2006/relationships/hyperlink" Target="file:///players/A/AlleBr00.htm" TargetMode="External"/><Relationship Id="rId135" Type="http://schemas.openxmlformats.org/officeDocument/2006/relationships/hyperlink" Target="file:///players/B/BlouDa00.htm" TargetMode="External"/><Relationship Id="rId156" Type="http://schemas.openxmlformats.org/officeDocument/2006/relationships/hyperlink" Target="file:///teams/rai/2020.htm" TargetMode="External"/><Relationship Id="rId177" Type="http://schemas.openxmlformats.org/officeDocument/2006/relationships/hyperlink" Target="file:///players/B/BrisJa00.htm" TargetMode="External"/><Relationship Id="rId198" Type="http://schemas.openxmlformats.org/officeDocument/2006/relationships/hyperlink" Target="file:///teams/kan/2020.htm" TargetMode="External"/><Relationship Id="rId202" Type="http://schemas.openxmlformats.org/officeDocument/2006/relationships/hyperlink" Target="file:///teams/pit/2020.htm" TargetMode="External"/><Relationship Id="rId223" Type="http://schemas.openxmlformats.org/officeDocument/2006/relationships/hyperlink" Target="file:///players/W/WrigIs01.htm" TargetMode="External"/><Relationship Id="rId18" Type="http://schemas.openxmlformats.org/officeDocument/2006/relationships/hyperlink" Target="file:///teams/sea/2020.htm" TargetMode="External"/><Relationship Id="rId39" Type="http://schemas.openxmlformats.org/officeDocument/2006/relationships/hyperlink" Target="file:///players/B/BreeDr00.htm" TargetMode="External"/><Relationship Id="rId50" Type="http://schemas.openxmlformats.org/officeDocument/2006/relationships/hyperlink" Target="file:///teams/phi/2020.htm" TargetMode="External"/><Relationship Id="rId104" Type="http://schemas.openxmlformats.org/officeDocument/2006/relationships/hyperlink" Target="file:///teams/nwe/2020.htm" TargetMode="External"/><Relationship Id="rId125" Type="http://schemas.openxmlformats.org/officeDocument/2006/relationships/hyperlink" Target="file:///players/H/HoyeBr00.htm" TargetMode="External"/><Relationship Id="rId146" Type="http://schemas.openxmlformats.org/officeDocument/2006/relationships/hyperlink" Target="file:///teams/atl/2020.htm" TargetMode="External"/><Relationship Id="rId167" Type="http://schemas.openxmlformats.org/officeDocument/2006/relationships/hyperlink" Target="file:///players/B/BeasCo00.htm" TargetMode="External"/><Relationship Id="rId188" Type="http://schemas.openxmlformats.org/officeDocument/2006/relationships/hyperlink" Target="file:///teams/den/2020.htm" TargetMode="External"/><Relationship Id="rId71" Type="http://schemas.openxmlformats.org/officeDocument/2006/relationships/hyperlink" Target="file:///players/H/HaskDw00.htm" TargetMode="External"/><Relationship Id="rId92" Type="http://schemas.openxmlformats.org/officeDocument/2006/relationships/hyperlink" Target="file:///teams/den/2020.htm" TargetMode="External"/><Relationship Id="rId213" Type="http://schemas.openxmlformats.org/officeDocument/2006/relationships/hyperlink" Target="file:///players/J/JoneCh02.htm" TargetMode="External"/><Relationship Id="rId2" Type="http://schemas.openxmlformats.org/officeDocument/2006/relationships/hyperlink" Target="file:///teams/htx/2020.htm" TargetMode="External"/><Relationship Id="rId29" Type="http://schemas.openxmlformats.org/officeDocument/2006/relationships/hyperlink" Target="file:///players/T/TannRy00.htm" TargetMode="External"/><Relationship Id="rId40" Type="http://schemas.openxmlformats.org/officeDocument/2006/relationships/hyperlink" Target="file:///teams/nor/2020.htm" TargetMode="External"/><Relationship Id="rId115" Type="http://schemas.openxmlformats.org/officeDocument/2006/relationships/hyperlink" Target="file:///players/T/TaylTy00.htm" TargetMode="External"/><Relationship Id="rId136" Type="http://schemas.openxmlformats.org/officeDocument/2006/relationships/hyperlink" Target="file:///teams/det/2020.htm" TargetMode="External"/><Relationship Id="rId157" Type="http://schemas.openxmlformats.org/officeDocument/2006/relationships/hyperlink" Target="file:///players/C/CharJo01.htm" TargetMode="External"/><Relationship Id="rId178" Type="http://schemas.openxmlformats.org/officeDocument/2006/relationships/hyperlink" Target="file:///teams/clt/2020.htm" TargetMode="External"/><Relationship Id="rId61" Type="http://schemas.openxmlformats.org/officeDocument/2006/relationships/hyperlink" Target="file:///players/T/TrubMi00.htm" TargetMode="External"/><Relationship Id="rId82" Type="http://schemas.openxmlformats.org/officeDocument/2006/relationships/hyperlink" Target="file:///teams/cin/2020.htm" TargetMode="External"/><Relationship Id="rId199" Type="http://schemas.openxmlformats.org/officeDocument/2006/relationships/hyperlink" Target="file:///players/S/SticEa00.htm" TargetMode="External"/><Relationship Id="rId203" Type="http://schemas.openxmlformats.org/officeDocument/2006/relationships/hyperlink" Target="file:///players/A/AgneJa00.htm" TargetMode="External"/><Relationship Id="rId19" Type="http://schemas.openxmlformats.org/officeDocument/2006/relationships/hyperlink" Target="file:///players/R/RivePh00.htm" TargetMode="External"/><Relationship Id="rId224" Type="http://schemas.openxmlformats.org/officeDocument/2006/relationships/hyperlink" Target="file:///teams/was/2020.htm" TargetMode="External"/><Relationship Id="rId30" Type="http://schemas.openxmlformats.org/officeDocument/2006/relationships/hyperlink" Target="file:///teams/oti/2020.htm" TargetMode="External"/><Relationship Id="rId105" Type="http://schemas.openxmlformats.org/officeDocument/2006/relationships/hyperlink" Target="file:///players/H/HennCh01.htm" TargetMode="External"/><Relationship Id="rId126" Type="http://schemas.openxmlformats.org/officeDocument/2006/relationships/hyperlink" Target="file:///teams/nwe/2020.htm" TargetMode="External"/><Relationship Id="rId147" Type="http://schemas.openxmlformats.org/officeDocument/2006/relationships/hyperlink" Target="file:///players/E/EdelJu00.htm" TargetMode="External"/><Relationship Id="rId168" Type="http://schemas.openxmlformats.org/officeDocument/2006/relationships/hyperlink" Target="file:///teams/buf/2020.htm" TargetMode="External"/><Relationship Id="rId51" Type="http://schemas.openxmlformats.org/officeDocument/2006/relationships/hyperlink" Target="file:///players/M/MullNi00.htm" TargetMode="External"/><Relationship Id="rId72" Type="http://schemas.openxmlformats.org/officeDocument/2006/relationships/hyperlink" Target="file:///teams/was/2020.htm" TargetMode="External"/><Relationship Id="rId93" Type="http://schemas.openxmlformats.org/officeDocument/2006/relationships/hyperlink" Target="file:///players/M/McCoCo00.htm" TargetMode="External"/><Relationship Id="rId189" Type="http://schemas.openxmlformats.org/officeDocument/2006/relationships/hyperlink" Target="file:///players/J/JohnJa11.ht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hyperlink" Target="file:///players/C/ColeTe01.htm" TargetMode="External"/><Relationship Id="rId671" Type="http://schemas.openxmlformats.org/officeDocument/2006/relationships/hyperlink" Target="file:///teams/det/2021.htm" TargetMode="External"/><Relationship Id="rId21" Type="http://schemas.openxmlformats.org/officeDocument/2006/relationships/hyperlink" Target="file:///players/J/JacoJo01.htm" TargetMode="External"/><Relationship Id="rId324" Type="http://schemas.openxmlformats.org/officeDocument/2006/relationships/hyperlink" Target="file:///players/S/ShenLa00.htm" TargetMode="External"/><Relationship Id="rId531" Type="http://schemas.openxmlformats.org/officeDocument/2006/relationships/hyperlink" Target="file:///players/D/DaniCh00.htm" TargetMode="External"/><Relationship Id="rId629" Type="http://schemas.openxmlformats.org/officeDocument/2006/relationships/hyperlink" Target="file:///teams/pit/2021.htm" TargetMode="External"/><Relationship Id="rId170" Type="http://schemas.openxmlformats.org/officeDocument/2006/relationships/hyperlink" Target="file:///players/A/AhmeSa01.htm" TargetMode="External"/><Relationship Id="rId268" Type="http://schemas.openxmlformats.org/officeDocument/2006/relationships/hyperlink" Target="file:///players/R/RoetBe00.htm" TargetMode="External"/><Relationship Id="rId475" Type="http://schemas.openxmlformats.org/officeDocument/2006/relationships/hyperlink" Target="file:///teams/det/2021.htm" TargetMode="External"/><Relationship Id="rId682" Type="http://schemas.openxmlformats.org/officeDocument/2006/relationships/hyperlink" Target="file:///players/O/OzigDe01.htm" TargetMode="External"/><Relationship Id="rId32" Type="http://schemas.openxmlformats.org/officeDocument/2006/relationships/hyperlink" Target="file:///teams/den/2021.htm" TargetMode="External"/><Relationship Id="rId128" Type="http://schemas.openxmlformats.org/officeDocument/2006/relationships/hyperlink" Target="file:///teams/jax/2021.htm" TargetMode="External"/><Relationship Id="rId335" Type="http://schemas.openxmlformats.org/officeDocument/2006/relationships/hyperlink" Target="file:///teams/nwe/2021.htm" TargetMode="External"/><Relationship Id="rId542" Type="http://schemas.openxmlformats.org/officeDocument/2006/relationships/hyperlink" Target="file:///teams/rai/2021.htm" TargetMode="External"/><Relationship Id="rId181" Type="http://schemas.openxmlformats.org/officeDocument/2006/relationships/hyperlink" Target="file:///players/M/McKiJ.00.htm" TargetMode="External"/><Relationship Id="rId402" Type="http://schemas.openxmlformats.org/officeDocument/2006/relationships/hyperlink" Target="file:///teams/min/2021.htm" TargetMode="External"/><Relationship Id="rId279" Type="http://schemas.openxmlformats.org/officeDocument/2006/relationships/hyperlink" Target="file:///teams/htx/2021.htm" TargetMode="External"/><Relationship Id="rId486" Type="http://schemas.openxmlformats.org/officeDocument/2006/relationships/hyperlink" Target="file:///teams/atl/2021.htm" TargetMode="External"/><Relationship Id="rId693" Type="http://schemas.openxmlformats.org/officeDocument/2006/relationships/hyperlink" Target="file:///players/R/RogeCh02.htm" TargetMode="External"/><Relationship Id="rId707" Type="http://schemas.openxmlformats.org/officeDocument/2006/relationships/hyperlink" Target="file:///players/S/SmitSh03.htm" TargetMode="External"/><Relationship Id="rId43" Type="http://schemas.openxmlformats.org/officeDocument/2006/relationships/hyperlink" Target="file:///players/G/GaskMy00.htm" TargetMode="External"/><Relationship Id="rId139" Type="http://schemas.openxmlformats.org/officeDocument/2006/relationships/hyperlink" Target="file:///players/J/JohnDa08.htm" TargetMode="External"/><Relationship Id="rId346" Type="http://schemas.openxmlformats.org/officeDocument/2006/relationships/hyperlink" Target="file:///teams/phi/2021.htm" TargetMode="External"/><Relationship Id="rId553" Type="http://schemas.openxmlformats.org/officeDocument/2006/relationships/hyperlink" Target="file:///players/K/KelcTr00.htm" TargetMode="External"/><Relationship Id="rId192" Type="http://schemas.openxmlformats.org/officeDocument/2006/relationships/hyperlink" Target="file:///teams/nwe/2021.htm" TargetMode="External"/><Relationship Id="rId206" Type="http://schemas.openxmlformats.org/officeDocument/2006/relationships/hyperlink" Target="file:///teams/rai/2021.htm" TargetMode="External"/><Relationship Id="rId413" Type="http://schemas.openxmlformats.org/officeDocument/2006/relationships/hyperlink" Target="file:///players/A/AiyuBr00.htm" TargetMode="External"/><Relationship Id="rId497" Type="http://schemas.openxmlformats.org/officeDocument/2006/relationships/hyperlink" Target="file:///players/P/PrenAd00.htm" TargetMode="External"/><Relationship Id="rId620" Type="http://schemas.openxmlformats.org/officeDocument/2006/relationships/hyperlink" Target="file:///teams/nyg/2021.htm" TargetMode="External"/><Relationship Id="rId718" Type="http://schemas.openxmlformats.org/officeDocument/2006/relationships/hyperlink" Target="file:///teams/pit/2021.htm" TargetMode="External"/><Relationship Id="rId357" Type="http://schemas.openxmlformats.org/officeDocument/2006/relationships/hyperlink" Target="file:///players/S/SmitKe03.htm" TargetMode="External"/><Relationship Id="rId54" Type="http://schemas.openxmlformats.org/officeDocument/2006/relationships/hyperlink" Target="file:///players/P/PattCo00.htm" TargetMode="External"/><Relationship Id="rId217" Type="http://schemas.openxmlformats.org/officeDocument/2006/relationships/hyperlink" Target="file:///players/M/MayfBa00.htm" TargetMode="External"/><Relationship Id="rId564" Type="http://schemas.openxmlformats.org/officeDocument/2006/relationships/hyperlink" Target="file:///teams/pit/2021.htm" TargetMode="External"/><Relationship Id="rId424" Type="http://schemas.openxmlformats.org/officeDocument/2006/relationships/hyperlink" Target="file:///teams/pit/2021.htm" TargetMode="External"/><Relationship Id="rId631" Type="http://schemas.openxmlformats.org/officeDocument/2006/relationships/hyperlink" Target="file:///teams/rai/2021.htm" TargetMode="External"/><Relationship Id="rId270" Type="http://schemas.openxmlformats.org/officeDocument/2006/relationships/hyperlink" Target="file:///players/B/BrisJa00.htm" TargetMode="External"/><Relationship Id="rId65" Type="http://schemas.openxmlformats.org/officeDocument/2006/relationships/hyperlink" Target="file:///teams/nyg/2021.htm" TargetMode="External"/><Relationship Id="rId130" Type="http://schemas.openxmlformats.org/officeDocument/2006/relationships/hyperlink" Target="file:///teams/mia/2021.htm" TargetMode="External"/><Relationship Id="rId368" Type="http://schemas.openxmlformats.org/officeDocument/2006/relationships/hyperlink" Target="file:///teams/kan/2021.htm" TargetMode="External"/><Relationship Id="rId575" Type="http://schemas.openxmlformats.org/officeDocument/2006/relationships/hyperlink" Target="file:///players/R/RicaPa00.htm" TargetMode="External"/><Relationship Id="rId228" Type="http://schemas.openxmlformats.org/officeDocument/2006/relationships/hyperlink" Target="file:///teams/crd/2021.htm" TargetMode="External"/><Relationship Id="rId435" Type="http://schemas.openxmlformats.org/officeDocument/2006/relationships/hyperlink" Target="file:///teams/was/2021.htm" TargetMode="External"/><Relationship Id="rId642" Type="http://schemas.openxmlformats.org/officeDocument/2006/relationships/hyperlink" Target="file:///teams/was/2021.htm" TargetMode="External"/><Relationship Id="rId281" Type="http://schemas.openxmlformats.org/officeDocument/2006/relationships/hyperlink" Target="file:///teams/crd/2021.htm" TargetMode="External"/><Relationship Id="rId502" Type="http://schemas.openxmlformats.org/officeDocument/2006/relationships/hyperlink" Target="file:///players/R/RuggHe00.htm" TargetMode="External"/><Relationship Id="rId76" Type="http://schemas.openxmlformats.org/officeDocument/2006/relationships/hyperlink" Target="file:///players/F/ForeDO00.htm" TargetMode="External"/><Relationship Id="rId141" Type="http://schemas.openxmlformats.org/officeDocument/2006/relationships/hyperlink" Target="file:///players/M/MahoPa00.htm" TargetMode="External"/><Relationship Id="rId379" Type="http://schemas.openxmlformats.org/officeDocument/2006/relationships/hyperlink" Target="file:///players/A/AgneJa00.htm" TargetMode="External"/><Relationship Id="rId586" Type="http://schemas.openxmlformats.org/officeDocument/2006/relationships/hyperlink" Target="file:///teams/buf/2021.htm" TargetMode="External"/><Relationship Id="rId7" Type="http://schemas.openxmlformats.org/officeDocument/2006/relationships/hyperlink" Target="file:///players/G/GibsAn00.htm" TargetMode="External"/><Relationship Id="rId239" Type="http://schemas.openxmlformats.org/officeDocument/2006/relationships/hyperlink" Target="file:///players/S/StafMa00.htm" TargetMode="External"/><Relationship Id="rId446" Type="http://schemas.openxmlformats.org/officeDocument/2006/relationships/hyperlink" Target="file:///players/E/EskrDW00.htm" TargetMode="External"/><Relationship Id="rId653" Type="http://schemas.openxmlformats.org/officeDocument/2006/relationships/hyperlink" Target="file:///teams/chi/2021.htm" TargetMode="External"/><Relationship Id="rId292" Type="http://schemas.openxmlformats.org/officeDocument/2006/relationships/hyperlink" Target="file:///players/A/ArmsRy00.htm" TargetMode="External"/><Relationship Id="rId306" Type="http://schemas.openxmlformats.org/officeDocument/2006/relationships/hyperlink" Target="file:///players/M/MariMa01.htm" TargetMode="External"/><Relationship Id="rId87" Type="http://schemas.openxmlformats.org/officeDocument/2006/relationships/hyperlink" Target="file:///teams/buf/2021.htm" TargetMode="External"/><Relationship Id="rId513" Type="http://schemas.openxmlformats.org/officeDocument/2006/relationships/hyperlink" Target="file:///teams/nyg/2021.htm" TargetMode="External"/><Relationship Id="rId597" Type="http://schemas.openxmlformats.org/officeDocument/2006/relationships/hyperlink" Target="file:///players/B/BeatC.00.htm" TargetMode="External"/><Relationship Id="rId720" Type="http://schemas.openxmlformats.org/officeDocument/2006/relationships/hyperlink" Target="file:///teams/mia/2021.htm" TargetMode="External"/><Relationship Id="rId152" Type="http://schemas.openxmlformats.org/officeDocument/2006/relationships/hyperlink" Target="file:///teams/was/2021.htm" TargetMode="External"/><Relationship Id="rId457" Type="http://schemas.openxmlformats.org/officeDocument/2006/relationships/hyperlink" Target="file:///teams/det/2021.htm" TargetMode="External"/><Relationship Id="rId664" Type="http://schemas.openxmlformats.org/officeDocument/2006/relationships/hyperlink" Target="file:///players/M/MetcDK00.htm" TargetMode="External"/><Relationship Id="rId14" Type="http://schemas.openxmlformats.org/officeDocument/2006/relationships/hyperlink" Target="file:///teams/dal/2021.htm" TargetMode="External"/><Relationship Id="rId317" Type="http://schemas.openxmlformats.org/officeDocument/2006/relationships/hyperlink" Target="file:///teams/cle/2021.htm" TargetMode="External"/><Relationship Id="rId524" Type="http://schemas.openxmlformats.org/officeDocument/2006/relationships/hyperlink" Target="file:///teams/cin/2021.htm" TargetMode="External"/><Relationship Id="rId98" Type="http://schemas.openxmlformats.org/officeDocument/2006/relationships/hyperlink" Target="file:///players/C/CollAl00.htm" TargetMode="External"/><Relationship Id="rId163" Type="http://schemas.openxmlformats.org/officeDocument/2006/relationships/hyperlink" Target="file:///teams/rai/2021.htm" TargetMode="External"/><Relationship Id="rId370" Type="http://schemas.openxmlformats.org/officeDocument/2006/relationships/hyperlink" Target="file:///teams/kan/2021.htm" TargetMode="External"/><Relationship Id="rId230" Type="http://schemas.openxmlformats.org/officeDocument/2006/relationships/hyperlink" Target="file:///teams/mia/2021.htm" TargetMode="External"/><Relationship Id="rId468" Type="http://schemas.openxmlformats.org/officeDocument/2006/relationships/hyperlink" Target="file:///players/A/AustTa00.htm" TargetMode="External"/><Relationship Id="rId675" Type="http://schemas.openxmlformats.org/officeDocument/2006/relationships/hyperlink" Target="file:///teams/chi/2021.htm" TargetMode="External"/><Relationship Id="rId25" Type="http://schemas.openxmlformats.org/officeDocument/2006/relationships/hyperlink" Target="file:///players/M/MitcEl00.htm" TargetMode="External"/><Relationship Id="rId328" Type="http://schemas.openxmlformats.org/officeDocument/2006/relationships/hyperlink" Target="file:///players/H/HillKy00.htm" TargetMode="External"/><Relationship Id="rId535" Type="http://schemas.openxmlformats.org/officeDocument/2006/relationships/hyperlink" Target="file:///players/F/FlacJo00.htm" TargetMode="External"/><Relationship Id="rId174" Type="http://schemas.openxmlformats.org/officeDocument/2006/relationships/hyperlink" Target="file:///players/J/JoneTo04.htm" TargetMode="External"/><Relationship Id="rId381" Type="http://schemas.openxmlformats.org/officeDocument/2006/relationships/hyperlink" Target="file:///players/A/AlleBr00.htm" TargetMode="External"/><Relationship Id="rId602" Type="http://schemas.openxmlformats.org/officeDocument/2006/relationships/hyperlink" Target="file:///teams/nyg/2021.htm" TargetMode="External"/><Relationship Id="rId241" Type="http://schemas.openxmlformats.org/officeDocument/2006/relationships/hyperlink" Target="file:///players/W/WinsJa00.htm" TargetMode="External"/><Relationship Id="rId479" Type="http://schemas.openxmlformats.org/officeDocument/2006/relationships/hyperlink" Target="file:///players/D/DuliAs00.htm" TargetMode="External"/><Relationship Id="rId686" Type="http://schemas.openxmlformats.org/officeDocument/2006/relationships/hyperlink" Target="file:///teams/sdg/2021.htm" TargetMode="External"/><Relationship Id="rId36" Type="http://schemas.openxmlformats.org/officeDocument/2006/relationships/hyperlink" Target="file:///teams/nwe/2021.htm" TargetMode="External"/><Relationship Id="rId339" Type="http://schemas.openxmlformats.org/officeDocument/2006/relationships/hyperlink" Target="file:///teams/kan/2021.htm" TargetMode="External"/><Relationship Id="rId546" Type="http://schemas.openxmlformats.org/officeDocument/2006/relationships/hyperlink" Target="file:///teams/ram/2021.htm" TargetMode="External"/><Relationship Id="rId101" Type="http://schemas.openxmlformats.org/officeDocument/2006/relationships/hyperlink" Target="file:///teams/chi/2021.htm" TargetMode="External"/><Relationship Id="rId185" Type="http://schemas.openxmlformats.org/officeDocument/2006/relationships/hyperlink" Target="file:///players/H/HuntTy01.htm" TargetMode="External"/><Relationship Id="rId406" Type="http://schemas.openxmlformats.org/officeDocument/2006/relationships/hyperlink" Target="file:///teams/chi/2021.htm" TargetMode="External"/><Relationship Id="rId392" Type="http://schemas.openxmlformats.org/officeDocument/2006/relationships/hyperlink" Target="file:///teams/nyg/2021.htm" TargetMode="External"/><Relationship Id="rId613" Type="http://schemas.openxmlformats.org/officeDocument/2006/relationships/hyperlink" Target="file:///players/C/ChanSe00.htm" TargetMode="External"/><Relationship Id="rId697" Type="http://schemas.openxmlformats.org/officeDocument/2006/relationships/hyperlink" Target="file:///players/S/ShepSt00.htm" TargetMode="External"/><Relationship Id="rId252" Type="http://schemas.openxmlformats.org/officeDocument/2006/relationships/hyperlink" Target="file:///players/M/MackMa00.htm" TargetMode="External"/><Relationship Id="rId47" Type="http://schemas.openxmlformats.org/officeDocument/2006/relationships/hyperlink" Target="file:///players/J/JoneAa00.htm" TargetMode="External"/><Relationship Id="rId112" Type="http://schemas.openxmlformats.org/officeDocument/2006/relationships/hyperlink" Target="file:///teams/crd/2021.htm" TargetMode="External"/><Relationship Id="rId557" Type="http://schemas.openxmlformats.org/officeDocument/2006/relationships/hyperlink" Target="file:///players/L/LeavDa00.htm" TargetMode="External"/><Relationship Id="rId196" Type="http://schemas.openxmlformats.org/officeDocument/2006/relationships/hyperlink" Target="file:///teams/sea/2021.htm" TargetMode="External"/><Relationship Id="rId417" Type="http://schemas.openxmlformats.org/officeDocument/2006/relationships/hyperlink" Target="file:///players/A/ArmaAl00.htm" TargetMode="External"/><Relationship Id="rId624" Type="http://schemas.openxmlformats.org/officeDocument/2006/relationships/hyperlink" Target="file:///teams/tam/2021.htm" TargetMode="External"/><Relationship Id="rId263" Type="http://schemas.openxmlformats.org/officeDocument/2006/relationships/hyperlink" Target="file:///teams/crd/2021.htm" TargetMode="External"/><Relationship Id="rId470" Type="http://schemas.openxmlformats.org/officeDocument/2006/relationships/hyperlink" Target="file:///players/B/BlasKh00.htm" TargetMode="External"/><Relationship Id="rId58" Type="http://schemas.openxmlformats.org/officeDocument/2006/relationships/hyperlink" Target="file:///players/S/SwifDA00.htm" TargetMode="External"/><Relationship Id="rId123" Type="http://schemas.openxmlformats.org/officeDocument/2006/relationships/hyperlink" Target="file:///players/L/LawrTr00.htm" TargetMode="External"/><Relationship Id="rId330" Type="http://schemas.openxmlformats.org/officeDocument/2006/relationships/hyperlink" Target="file:///players/L/LockDr00.htm" TargetMode="External"/><Relationship Id="rId568" Type="http://schemas.openxmlformats.org/officeDocument/2006/relationships/hyperlink" Target="file:///teams/sfo/2021.htm" TargetMode="External"/><Relationship Id="rId428" Type="http://schemas.openxmlformats.org/officeDocument/2006/relationships/hyperlink" Target="file:///teams/clt/2021.htm" TargetMode="External"/><Relationship Id="rId635" Type="http://schemas.openxmlformats.org/officeDocument/2006/relationships/hyperlink" Target="file:///players/E/EvanMi00.htm" TargetMode="External"/><Relationship Id="rId274" Type="http://schemas.openxmlformats.org/officeDocument/2006/relationships/hyperlink" Target="file:///players/T/TaylTy00.htm" TargetMode="External"/><Relationship Id="rId481" Type="http://schemas.openxmlformats.org/officeDocument/2006/relationships/hyperlink" Target="file:///players/E/EhliSa00.htm" TargetMode="External"/><Relationship Id="rId702" Type="http://schemas.openxmlformats.org/officeDocument/2006/relationships/hyperlink" Target="file:///teams/nyg/2021.htm" TargetMode="External"/><Relationship Id="rId69" Type="http://schemas.openxmlformats.org/officeDocument/2006/relationships/hyperlink" Target="file:///teams/phi/2021.htm" TargetMode="External"/><Relationship Id="rId134" Type="http://schemas.openxmlformats.org/officeDocument/2006/relationships/hyperlink" Target="file:///teams/phi/2021.htm" TargetMode="External"/><Relationship Id="rId579" Type="http://schemas.openxmlformats.org/officeDocument/2006/relationships/hyperlink" Target="file:///players/S/SmytDu00.htm" TargetMode="External"/><Relationship Id="rId341" Type="http://schemas.openxmlformats.org/officeDocument/2006/relationships/hyperlink" Target="file:///players/L/LambCe00.htm" TargetMode="External"/><Relationship Id="rId439" Type="http://schemas.openxmlformats.org/officeDocument/2006/relationships/hyperlink" Target="file:///teams/nyj/2021.htm" TargetMode="External"/><Relationship Id="rId646" Type="http://schemas.openxmlformats.org/officeDocument/2006/relationships/hyperlink" Target="file:///teams/tam/2021.htm" TargetMode="External"/><Relationship Id="rId201" Type="http://schemas.openxmlformats.org/officeDocument/2006/relationships/hyperlink" Target="file:///players/S/SermTr00.htm" TargetMode="External"/><Relationship Id="rId285" Type="http://schemas.openxmlformats.org/officeDocument/2006/relationships/hyperlink" Target="file:///teams/det/2021.htm" TargetMode="External"/><Relationship Id="rId506" Type="http://schemas.openxmlformats.org/officeDocument/2006/relationships/hyperlink" Target="file:///players/S/St.BEq00.htm" TargetMode="External"/><Relationship Id="rId492" Type="http://schemas.openxmlformats.org/officeDocument/2006/relationships/hyperlink" Target="file:///teams/gnb/2021.htm" TargetMode="External"/><Relationship Id="rId713" Type="http://schemas.openxmlformats.org/officeDocument/2006/relationships/hyperlink" Target="file:///players/T/ThieAd00.htm" TargetMode="External"/><Relationship Id="rId145" Type="http://schemas.openxmlformats.org/officeDocument/2006/relationships/hyperlink" Target="file:///players/H/HerbJu00.htm" TargetMode="External"/><Relationship Id="rId352" Type="http://schemas.openxmlformats.org/officeDocument/2006/relationships/hyperlink" Target="file:///teams/nor/2021.htm" TargetMode="External"/><Relationship Id="rId212" Type="http://schemas.openxmlformats.org/officeDocument/2006/relationships/hyperlink" Target="file:///players/G/GaroJi00.htm" TargetMode="External"/><Relationship Id="rId657" Type="http://schemas.openxmlformats.org/officeDocument/2006/relationships/hyperlink" Target="file:///teams/crd/2021.htm" TargetMode="External"/><Relationship Id="rId296" Type="http://schemas.openxmlformats.org/officeDocument/2006/relationships/hyperlink" Target="file:///players/M/MontTy01.htm" TargetMode="External"/><Relationship Id="rId517" Type="http://schemas.openxmlformats.org/officeDocument/2006/relationships/hyperlink" Target="file:///teams/was/2021.htm" TargetMode="External"/><Relationship Id="rId724" Type="http://schemas.openxmlformats.org/officeDocument/2006/relationships/hyperlink" Target="file:///teams/atl/2021.htm" TargetMode="External"/><Relationship Id="rId60" Type="http://schemas.openxmlformats.org/officeDocument/2006/relationships/hyperlink" Target="file:///players/H/HendDa00.htm" TargetMode="External"/><Relationship Id="rId156" Type="http://schemas.openxmlformats.org/officeDocument/2006/relationships/hyperlink" Target="file:///teams/clt/2021.htm" TargetMode="External"/><Relationship Id="rId363" Type="http://schemas.openxmlformats.org/officeDocument/2006/relationships/hyperlink" Target="file:///players/B/BurtMi00.htm" TargetMode="External"/><Relationship Id="rId570" Type="http://schemas.openxmlformats.org/officeDocument/2006/relationships/hyperlink" Target="file:///teams/clt/2021.htm" TargetMode="External"/><Relationship Id="rId223" Type="http://schemas.openxmlformats.org/officeDocument/2006/relationships/hyperlink" Target="file:///players/V/VaugKe00.htm" TargetMode="External"/><Relationship Id="rId430" Type="http://schemas.openxmlformats.org/officeDocument/2006/relationships/hyperlink" Target="file:///teams/pit/2021.htm" TargetMode="External"/><Relationship Id="rId668" Type="http://schemas.openxmlformats.org/officeDocument/2006/relationships/hyperlink" Target="file:///players/M/MilnDa00.htm" TargetMode="External"/><Relationship Id="rId18" Type="http://schemas.openxmlformats.org/officeDocument/2006/relationships/hyperlink" Target="file:///teams/chi/2021.htm" TargetMode="External"/><Relationship Id="rId528" Type="http://schemas.openxmlformats.org/officeDocument/2006/relationships/hyperlink" Target="file:///teams/oti/2021.htm" TargetMode="External"/><Relationship Id="rId167" Type="http://schemas.openxmlformats.org/officeDocument/2006/relationships/hyperlink" Target="file:///teams/det/2021.htm" TargetMode="External"/><Relationship Id="rId374" Type="http://schemas.openxmlformats.org/officeDocument/2006/relationships/hyperlink" Target="file:///teams/car/2021.htm" TargetMode="External"/><Relationship Id="rId581" Type="http://schemas.openxmlformats.org/officeDocument/2006/relationships/hyperlink" Target="file:///players/W/WaddJa00.htm" TargetMode="External"/><Relationship Id="rId71" Type="http://schemas.openxmlformats.org/officeDocument/2006/relationships/hyperlink" Target="file:///teams/atl/2021.htm" TargetMode="External"/><Relationship Id="rId234" Type="http://schemas.openxmlformats.org/officeDocument/2006/relationships/hyperlink" Target="file:///teams/sea/2021.htm" TargetMode="External"/><Relationship Id="rId679" Type="http://schemas.openxmlformats.org/officeDocument/2006/relationships/hyperlink" Target="file:///teams/nwe/2021.htm" TargetMode="External"/><Relationship Id="rId2" Type="http://schemas.openxmlformats.org/officeDocument/2006/relationships/hyperlink" Target="file:///teams/clt/2021.htm" TargetMode="External"/><Relationship Id="rId29" Type="http://schemas.openxmlformats.org/officeDocument/2006/relationships/hyperlink" Target="file:///players/G/GordMe00.htm" TargetMode="External"/><Relationship Id="rId441" Type="http://schemas.openxmlformats.org/officeDocument/2006/relationships/hyperlink" Target="file:///teams/tam/2021.htm" TargetMode="External"/><Relationship Id="rId539" Type="http://schemas.openxmlformats.org/officeDocument/2006/relationships/hyperlink" Target="file:///players/G/GoodMa00.htm" TargetMode="External"/><Relationship Id="rId178" Type="http://schemas.openxmlformats.org/officeDocument/2006/relationships/hyperlink" Target="file:///teams/kan/2021.htm" TargetMode="External"/><Relationship Id="rId301" Type="http://schemas.openxmlformats.org/officeDocument/2006/relationships/hyperlink" Target="file:///teams/pit/2021.htm" TargetMode="External"/><Relationship Id="rId82" Type="http://schemas.openxmlformats.org/officeDocument/2006/relationships/hyperlink" Target="file:///players/S/StevRh00.htm" TargetMode="External"/><Relationship Id="rId385" Type="http://schemas.openxmlformats.org/officeDocument/2006/relationships/hyperlink" Target="file:///players/C/ChasJa00.htm" TargetMode="External"/><Relationship Id="rId592" Type="http://schemas.openxmlformats.org/officeDocument/2006/relationships/hyperlink" Target="file:///teams/htx/2021.htm" TargetMode="External"/><Relationship Id="rId606" Type="http://schemas.openxmlformats.org/officeDocument/2006/relationships/hyperlink" Target="file:///teams/nyg/2021.htm" TargetMode="External"/><Relationship Id="rId245" Type="http://schemas.openxmlformats.org/officeDocument/2006/relationships/hyperlink" Target="file:///players/C/CousKi00.htm" TargetMode="External"/><Relationship Id="rId287" Type="http://schemas.openxmlformats.org/officeDocument/2006/relationships/hyperlink" Target="file:///teams/was/2021.htm" TargetMode="External"/><Relationship Id="rId410" Type="http://schemas.openxmlformats.org/officeDocument/2006/relationships/hyperlink" Target="file:///teams/cle/2021.htm" TargetMode="External"/><Relationship Id="rId452" Type="http://schemas.openxmlformats.org/officeDocument/2006/relationships/hyperlink" Target="file:///players/H/HardJa01.htm" TargetMode="External"/><Relationship Id="rId494" Type="http://schemas.openxmlformats.org/officeDocument/2006/relationships/hyperlink" Target="file:///teams/pit/2021.htm" TargetMode="External"/><Relationship Id="rId508" Type="http://schemas.openxmlformats.org/officeDocument/2006/relationships/hyperlink" Target="file:///players/S/StanJo02.htm" TargetMode="External"/><Relationship Id="rId715" Type="http://schemas.openxmlformats.org/officeDocument/2006/relationships/hyperlink" Target="file:///players/W/WatkQu00.htm" TargetMode="External"/><Relationship Id="rId105" Type="http://schemas.openxmlformats.org/officeDocument/2006/relationships/hyperlink" Target="file:///teams/cle/2021.htm" TargetMode="External"/><Relationship Id="rId147" Type="http://schemas.openxmlformats.org/officeDocument/2006/relationships/hyperlink" Target="file:///players/J/JoneDa05.htm" TargetMode="External"/><Relationship Id="rId312" Type="http://schemas.openxmlformats.org/officeDocument/2006/relationships/hyperlink" Target="file:///players/B/BallKa00.htm" TargetMode="External"/><Relationship Id="rId354" Type="http://schemas.openxmlformats.org/officeDocument/2006/relationships/hyperlink" Target="file:///teams/sea/2021.htm" TargetMode="External"/><Relationship Id="rId51" Type="http://schemas.openxmlformats.org/officeDocument/2006/relationships/hyperlink" Target="file:///players/B/BarkSa00.htm" TargetMode="External"/><Relationship Id="rId93" Type="http://schemas.openxmlformats.org/officeDocument/2006/relationships/hyperlink" Target="file:///teams/rav/2021.htm" TargetMode="External"/><Relationship Id="rId189" Type="http://schemas.openxmlformats.org/officeDocument/2006/relationships/hyperlink" Target="file:///players/B/BoldBr00.htm" TargetMode="External"/><Relationship Id="rId396" Type="http://schemas.openxmlformats.org/officeDocument/2006/relationships/hyperlink" Target="file:///teams/min/2021.htm" TargetMode="External"/><Relationship Id="rId561" Type="http://schemas.openxmlformats.org/officeDocument/2006/relationships/hyperlink" Target="file:///players/M/MannSe00.htm" TargetMode="External"/><Relationship Id="rId617" Type="http://schemas.openxmlformats.org/officeDocument/2006/relationships/hyperlink" Target="file:///players/C/ConlCh00.htm" TargetMode="External"/><Relationship Id="rId659" Type="http://schemas.openxmlformats.org/officeDocument/2006/relationships/hyperlink" Target="file:///teams/nyj/2021.htm" TargetMode="External"/><Relationship Id="rId214" Type="http://schemas.openxmlformats.org/officeDocument/2006/relationships/hyperlink" Target="file:///players/L/LancTr00.htm" TargetMode="External"/><Relationship Id="rId256" Type="http://schemas.openxmlformats.org/officeDocument/2006/relationships/hyperlink" Target="file:///players/W/WaltAu00.htm" TargetMode="External"/><Relationship Id="rId298" Type="http://schemas.openxmlformats.org/officeDocument/2006/relationships/hyperlink" Target="file:///players/W/WillTr06.htm" TargetMode="External"/><Relationship Id="rId421" Type="http://schemas.openxmlformats.org/officeDocument/2006/relationships/hyperlink" Target="file:///players/H/HoweGr00.htm" TargetMode="External"/><Relationship Id="rId463" Type="http://schemas.openxmlformats.org/officeDocument/2006/relationships/hyperlink" Target="file:///teams/mia/2021.htm" TargetMode="External"/><Relationship Id="rId519" Type="http://schemas.openxmlformats.org/officeDocument/2006/relationships/hyperlink" Target="file:///teams/oti/2021.htm" TargetMode="External"/><Relationship Id="rId670" Type="http://schemas.openxmlformats.org/officeDocument/2006/relationships/hyperlink" Target="file:///players/M/MoorCJ01.htm" TargetMode="External"/><Relationship Id="rId116" Type="http://schemas.openxmlformats.org/officeDocument/2006/relationships/hyperlink" Target="file:///teams/phi/2021.htm" TargetMode="External"/><Relationship Id="rId158" Type="http://schemas.openxmlformats.org/officeDocument/2006/relationships/hyperlink" Target="file:///players/H/HillDo00.htm" TargetMode="External"/><Relationship Id="rId323" Type="http://schemas.openxmlformats.org/officeDocument/2006/relationships/hyperlink" Target="file:///teams/nwe/2021.htm" TargetMode="External"/><Relationship Id="rId530" Type="http://schemas.openxmlformats.org/officeDocument/2006/relationships/hyperlink" Target="file:///teams/htx/2021.htm" TargetMode="External"/><Relationship Id="rId20" Type="http://schemas.openxmlformats.org/officeDocument/2006/relationships/hyperlink" Target="file:///teams/oti/2021.htm" TargetMode="External"/><Relationship Id="rId62" Type="http://schemas.openxmlformats.org/officeDocument/2006/relationships/hyperlink" Target="file:///players/C/CartMi03.htm" TargetMode="External"/><Relationship Id="rId365" Type="http://schemas.openxmlformats.org/officeDocument/2006/relationships/hyperlink" Target="file:///players/F/FromJa00.htm" TargetMode="External"/><Relationship Id="rId572" Type="http://schemas.openxmlformats.org/officeDocument/2006/relationships/hyperlink" Target="file:///teams/sfo/2021.htm" TargetMode="External"/><Relationship Id="rId628" Type="http://schemas.openxmlformats.org/officeDocument/2006/relationships/hyperlink" Target="file:///players/E/EbroEr00.htm" TargetMode="External"/><Relationship Id="rId225" Type="http://schemas.openxmlformats.org/officeDocument/2006/relationships/hyperlink" Target="file:///players/W/WillTy01.htm" TargetMode="External"/><Relationship Id="rId267" Type="http://schemas.openxmlformats.org/officeDocument/2006/relationships/hyperlink" Target="file:///teams/atl/2021.htm" TargetMode="External"/><Relationship Id="rId432" Type="http://schemas.openxmlformats.org/officeDocument/2006/relationships/hyperlink" Target="file:///teams/htx/2021.htm" TargetMode="External"/><Relationship Id="rId474" Type="http://schemas.openxmlformats.org/officeDocument/2006/relationships/hyperlink" Target="file:///players/C/CabiJa00.htm" TargetMode="External"/><Relationship Id="rId127" Type="http://schemas.openxmlformats.org/officeDocument/2006/relationships/hyperlink" Target="file:///players/H/HydeCa00.htm" TargetMode="External"/><Relationship Id="rId681" Type="http://schemas.openxmlformats.org/officeDocument/2006/relationships/hyperlink" Target="file:///teams/min/2021.htm" TargetMode="External"/><Relationship Id="rId31" Type="http://schemas.openxmlformats.org/officeDocument/2006/relationships/hyperlink" Target="file:///players/W/WillJa10.htm" TargetMode="External"/><Relationship Id="rId73" Type="http://schemas.openxmlformats.org/officeDocument/2006/relationships/hyperlink" Target="file:///teams/phi/2021.htm" TargetMode="External"/><Relationship Id="rId169" Type="http://schemas.openxmlformats.org/officeDocument/2006/relationships/hyperlink" Target="file:///teams/oti/2021.htm" TargetMode="External"/><Relationship Id="rId334" Type="http://schemas.openxmlformats.org/officeDocument/2006/relationships/hyperlink" Target="file:///players/W/WhitJa02.htm" TargetMode="External"/><Relationship Id="rId376" Type="http://schemas.openxmlformats.org/officeDocument/2006/relationships/hyperlink" Target="file:///teams/nyj/2021.htm" TargetMode="External"/><Relationship Id="rId541" Type="http://schemas.openxmlformats.org/officeDocument/2006/relationships/hyperlink" Target="file:///players/I/IngoAl01.htm" TargetMode="External"/><Relationship Id="rId583" Type="http://schemas.openxmlformats.org/officeDocument/2006/relationships/hyperlink" Target="file:///players/W/WashJa00.htm" TargetMode="External"/><Relationship Id="rId639" Type="http://schemas.openxmlformats.org/officeDocument/2006/relationships/hyperlink" Target="file:///players/F/FfreMa00.htm" TargetMode="External"/><Relationship Id="rId4" Type="http://schemas.openxmlformats.org/officeDocument/2006/relationships/hyperlink" Target="file:///teams/pit/2021.htm" TargetMode="External"/><Relationship Id="rId180" Type="http://schemas.openxmlformats.org/officeDocument/2006/relationships/hyperlink" Target="file:///teams/car/2021.htm" TargetMode="External"/><Relationship Id="rId236" Type="http://schemas.openxmlformats.org/officeDocument/2006/relationships/hyperlink" Target="file:///teams/sdg/2021.htm" TargetMode="External"/><Relationship Id="rId278" Type="http://schemas.openxmlformats.org/officeDocument/2006/relationships/hyperlink" Target="file:///players/M/MillDa02.htm" TargetMode="External"/><Relationship Id="rId401" Type="http://schemas.openxmlformats.org/officeDocument/2006/relationships/hyperlink" Target="file:///players/J/JeffJu00.htm" TargetMode="External"/><Relationship Id="rId443" Type="http://schemas.openxmlformats.org/officeDocument/2006/relationships/hyperlink" Target="file:///teams/kan/2021.htm" TargetMode="External"/><Relationship Id="rId650" Type="http://schemas.openxmlformats.org/officeDocument/2006/relationships/hyperlink" Target="file:///players/K/KirkCh01.htm" TargetMode="External"/><Relationship Id="rId303" Type="http://schemas.openxmlformats.org/officeDocument/2006/relationships/hyperlink" Target="file:///teams/phi/2021.htm" TargetMode="External"/><Relationship Id="rId485" Type="http://schemas.openxmlformats.org/officeDocument/2006/relationships/hyperlink" Target="file:///players/F/FranFe00.htm" TargetMode="External"/><Relationship Id="rId692" Type="http://schemas.openxmlformats.org/officeDocument/2006/relationships/hyperlink" Target="file:///teams/gnb/2021.htm" TargetMode="External"/><Relationship Id="rId706" Type="http://schemas.openxmlformats.org/officeDocument/2006/relationships/hyperlink" Target="file:///teams/nyj/2021.htm" TargetMode="External"/><Relationship Id="rId42" Type="http://schemas.openxmlformats.org/officeDocument/2006/relationships/hyperlink" Target="file:///teams/tam/2021.htm" TargetMode="External"/><Relationship Id="rId84" Type="http://schemas.openxmlformats.org/officeDocument/2006/relationships/hyperlink" Target="file:///players/P/PollTo00.htm" TargetMode="External"/><Relationship Id="rId138" Type="http://schemas.openxmlformats.org/officeDocument/2006/relationships/hyperlink" Target="file:///teams/was/2021.htm" TargetMode="External"/><Relationship Id="rId345" Type="http://schemas.openxmlformats.org/officeDocument/2006/relationships/hyperlink" Target="file:///players/M/MinsGa00.htm" TargetMode="External"/><Relationship Id="rId387" Type="http://schemas.openxmlformats.org/officeDocument/2006/relationships/hyperlink" Target="file:///players/D/DuveDe00.htm" TargetMode="External"/><Relationship Id="rId510" Type="http://schemas.openxmlformats.org/officeDocument/2006/relationships/hyperlink" Target="file:///players/S/StreCh00.htm" TargetMode="External"/><Relationship Id="rId552" Type="http://schemas.openxmlformats.org/officeDocument/2006/relationships/hyperlink" Target="file:///teams/rai/2021.htm" TargetMode="External"/><Relationship Id="rId594" Type="http://schemas.openxmlformats.org/officeDocument/2006/relationships/hyperlink" Target="file:///teams/rav/2021.htm" TargetMode="External"/><Relationship Id="rId608" Type="http://schemas.openxmlformats.org/officeDocument/2006/relationships/hyperlink" Target="file:///teams/tam/2021.htm" TargetMode="External"/><Relationship Id="rId191" Type="http://schemas.openxmlformats.org/officeDocument/2006/relationships/hyperlink" Target="file:///players/J/JoneMa05.htm" TargetMode="External"/><Relationship Id="rId205" Type="http://schemas.openxmlformats.org/officeDocument/2006/relationships/hyperlink" Target="file:///players/C/CarrDe02.htm" TargetMode="External"/><Relationship Id="rId247" Type="http://schemas.openxmlformats.org/officeDocument/2006/relationships/hyperlink" Target="file:///players/W/WilsZa00.htm" TargetMode="External"/><Relationship Id="rId412" Type="http://schemas.openxmlformats.org/officeDocument/2006/relationships/hyperlink" Target="file:///teams/oti/2021.htm" TargetMode="External"/><Relationship Id="rId107" Type="http://schemas.openxmlformats.org/officeDocument/2006/relationships/hyperlink" Target="file:///teams/car/2021.htm" TargetMode="External"/><Relationship Id="rId289" Type="http://schemas.openxmlformats.org/officeDocument/2006/relationships/hyperlink" Target="file:///teams/chi/2021.htm" TargetMode="External"/><Relationship Id="rId454" Type="http://schemas.openxmlformats.org/officeDocument/2006/relationships/hyperlink" Target="file:///players/K/KuppCo00.htm" TargetMode="External"/><Relationship Id="rId496" Type="http://schemas.openxmlformats.org/officeDocument/2006/relationships/hyperlink" Target="file:///teams/sdg/2021.htm" TargetMode="External"/><Relationship Id="rId661" Type="http://schemas.openxmlformats.org/officeDocument/2006/relationships/hyperlink" Target="file:///teams/rav/2021.htm" TargetMode="External"/><Relationship Id="rId717" Type="http://schemas.openxmlformats.org/officeDocument/2006/relationships/hyperlink" Target="file:///players/W/WattDe00.htm" TargetMode="External"/><Relationship Id="rId11" Type="http://schemas.openxmlformats.org/officeDocument/2006/relationships/hyperlink" Target="file:///players/K/KamaAl00.htm" TargetMode="External"/><Relationship Id="rId53" Type="http://schemas.openxmlformats.org/officeDocument/2006/relationships/hyperlink" Target="file:///players/I/IngrMa01.htm" TargetMode="External"/><Relationship Id="rId149" Type="http://schemas.openxmlformats.org/officeDocument/2006/relationships/hyperlink" Target="file:///players/J/JohnTy02.htm" TargetMode="External"/><Relationship Id="rId314" Type="http://schemas.openxmlformats.org/officeDocument/2006/relationships/hyperlink" Target="file:///players/B/BourKe00.htm" TargetMode="External"/><Relationship Id="rId356" Type="http://schemas.openxmlformats.org/officeDocument/2006/relationships/hyperlink" Target="file:///teams/nwe/2021.htm" TargetMode="External"/><Relationship Id="rId398" Type="http://schemas.openxmlformats.org/officeDocument/2006/relationships/hyperlink" Target="file:///teams/det/2021.htm" TargetMode="External"/><Relationship Id="rId521" Type="http://schemas.openxmlformats.org/officeDocument/2006/relationships/hyperlink" Target="file:///players/B/BenkKu01.htm" TargetMode="External"/><Relationship Id="rId563" Type="http://schemas.openxmlformats.org/officeDocument/2006/relationships/hyperlink" Target="file:///players/M/McClRa00.htm" TargetMode="External"/><Relationship Id="rId619" Type="http://schemas.openxmlformats.org/officeDocument/2006/relationships/hyperlink" Target="file:///players/C/CoopPh00.htm" TargetMode="External"/><Relationship Id="rId95" Type="http://schemas.openxmlformats.org/officeDocument/2006/relationships/hyperlink" Target="file:///teams/sea/2021.htm" TargetMode="External"/><Relationship Id="rId160" Type="http://schemas.openxmlformats.org/officeDocument/2006/relationships/hyperlink" Target="file:///players/H/HineNy00.htm" TargetMode="External"/><Relationship Id="rId216" Type="http://schemas.openxmlformats.org/officeDocument/2006/relationships/hyperlink" Target="file:///players/P/PeteAd01.htm" TargetMode="External"/><Relationship Id="rId423" Type="http://schemas.openxmlformats.org/officeDocument/2006/relationships/hyperlink" Target="file:///players/J/JohnDi01.htm" TargetMode="External"/><Relationship Id="rId258" Type="http://schemas.openxmlformats.org/officeDocument/2006/relationships/hyperlink" Target="file:///players/P/PennEl00.htm" TargetMode="External"/><Relationship Id="rId465" Type="http://schemas.openxmlformats.org/officeDocument/2006/relationships/hyperlink" Target="file:///teams/nwe/2021.htm" TargetMode="External"/><Relationship Id="rId630" Type="http://schemas.openxmlformats.org/officeDocument/2006/relationships/hyperlink" Target="file:///players/E/EdwaBr01.htm" TargetMode="External"/><Relationship Id="rId672" Type="http://schemas.openxmlformats.org/officeDocument/2006/relationships/hyperlink" Target="file:///players/M/MorgSt02.htm" TargetMode="External"/><Relationship Id="rId22" Type="http://schemas.openxmlformats.org/officeDocument/2006/relationships/hyperlink" Target="file:///teams/rai/2021.htm" TargetMode="External"/><Relationship Id="rId64" Type="http://schemas.openxmlformats.org/officeDocument/2006/relationships/hyperlink" Target="file:///players/B/BookDe00.htm" TargetMode="External"/><Relationship Id="rId118" Type="http://schemas.openxmlformats.org/officeDocument/2006/relationships/hyperlink" Target="file:///teams/nyj/2021.htm" TargetMode="External"/><Relationship Id="rId325" Type="http://schemas.openxmlformats.org/officeDocument/2006/relationships/hyperlink" Target="file:///teams/jax/2021.htm" TargetMode="External"/><Relationship Id="rId367" Type="http://schemas.openxmlformats.org/officeDocument/2006/relationships/hyperlink" Target="file:///players/H/HardMe00.htm" TargetMode="External"/><Relationship Id="rId532" Type="http://schemas.openxmlformats.org/officeDocument/2006/relationships/hyperlink" Target="file:///teams/sdg/2021.htm" TargetMode="External"/><Relationship Id="rId574" Type="http://schemas.openxmlformats.org/officeDocument/2006/relationships/hyperlink" Target="file:///teams/rai/2021.htm" TargetMode="External"/><Relationship Id="rId171" Type="http://schemas.openxmlformats.org/officeDocument/2006/relationships/hyperlink" Target="file:///teams/mia/2021.htm" TargetMode="External"/><Relationship Id="rId227" Type="http://schemas.openxmlformats.org/officeDocument/2006/relationships/hyperlink" Target="file:///players/B/BenjEn00.htm" TargetMode="External"/><Relationship Id="rId269" Type="http://schemas.openxmlformats.org/officeDocument/2006/relationships/hyperlink" Target="file:///teams/pit/2021.htm" TargetMode="External"/><Relationship Id="rId434" Type="http://schemas.openxmlformats.org/officeDocument/2006/relationships/hyperlink" Target="file:///players/S/SmalWe00.htm" TargetMode="External"/><Relationship Id="rId476" Type="http://schemas.openxmlformats.org/officeDocument/2006/relationships/hyperlink" Target="file:///players/C/CannTr00.htm" TargetMode="External"/><Relationship Id="rId641" Type="http://schemas.openxmlformats.org/officeDocument/2006/relationships/hyperlink" Target="file:///players/F/FitzRy00.htm" TargetMode="External"/><Relationship Id="rId683" Type="http://schemas.openxmlformats.org/officeDocument/2006/relationships/hyperlink" Target="file:///players/P/PalaMi00.htm" TargetMode="External"/><Relationship Id="rId33" Type="http://schemas.openxmlformats.org/officeDocument/2006/relationships/hyperlink" Target="file:///players/C/ConnJa00.htm" TargetMode="External"/><Relationship Id="rId129" Type="http://schemas.openxmlformats.org/officeDocument/2006/relationships/hyperlink" Target="file:///players/J/JohnDu00.htm" TargetMode="External"/><Relationship Id="rId280" Type="http://schemas.openxmlformats.org/officeDocument/2006/relationships/hyperlink" Target="file:///players/M/MoorRo02.htm" TargetMode="External"/><Relationship Id="rId336" Type="http://schemas.openxmlformats.org/officeDocument/2006/relationships/hyperlink" Target="file:///players/G/GabbBl00.htm" TargetMode="External"/><Relationship Id="rId501" Type="http://schemas.openxmlformats.org/officeDocument/2006/relationships/hyperlink" Target="file:///players/R/RobeAn00.htm" TargetMode="External"/><Relationship Id="rId543" Type="http://schemas.openxmlformats.org/officeDocument/2006/relationships/hyperlink" Target="file:///players/J/JanoAn00.htm" TargetMode="External"/><Relationship Id="rId75" Type="http://schemas.openxmlformats.org/officeDocument/2006/relationships/hyperlink" Target="file:///teams/min/2021.htm" TargetMode="External"/><Relationship Id="rId140" Type="http://schemas.openxmlformats.org/officeDocument/2006/relationships/hyperlink" Target="file:///teams/htx/2021.htm" TargetMode="External"/><Relationship Id="rId182" Type="http://schemas.openxmlformats.org/officeDocument/2006/relationships/hyperlink" Target="file:///teams/was/2021.htm" TargetMode="External"/><Relationship Id="rId378" Type="http://schemas.openxmlformats.org/officeDocument/2006/relationships/hyperlink" Target="file:///teams/ram/2021.htm" TargetMode="External"/><Relationship Id="rId403" Type="http://schemas.openxmlformats.org/officeDocument/2006/relationships/hyperlink" Target="file:///players/L/LandJa00.htm" TargetMode="External"/><Relationship Id="rId585" Type="http://schemas.openxmlformats.org/officeDocument/2006/relationships/hyperlink" Target="file:///players/W/WebbDa00.htm" TargetMode="External"/><Relationship Id="rId6" Type="http://schemas.openxmlformats.org/officeDocument/2006/relationships/hyperlink" Target="file:///teams/cin/2021.htm" TargetMode="External"/><Relationship Id="rId238" Type="http://schemas.openxmlformats.org/officeDocument/2006/relationships/hyperlink" Target="file:///teams/gnb/2021.htm" TargetMode="External"/><Relationship Id="rId445" Type="http://schemas.openxmlformats.org/officeDocument/2006/relationships/hyperlink" Target="file:///teams/den/2021.htm" TargetMode="External"/><Relationship Id="rId487" Type="http://schemas.openxmlformats.org/officeDocument/2006/relationships/hyperlink" Target="file:///players/G/GillRe00.htm" TargetMode="External"/><Relationship Id="rId610" Type="http://schemas.openxmlformats.org/officeDocument/2006/relationships/hyperlink" Target="file:///teams/was/2021.htm" TargetMode="External"/><Relationship Id="rId652" Type="http://schemas.openxmlformats.org/officeDocument/2006/relationships/hyperlink" Target="file:///players/K/KmetCo00.htm" TargetMode="External"/><Relationship Id="rId694" Type="http://schemas.openxmlformats.org/officeDocument/2006/relationships/hyperlink" Target="file:///teams/oti/2021.htm" TargetMode="External"/><Relationship Id="rId708" Type="http://schemas.openxmlformats.org/officeDocument/2006/relationships/hyperlink" Target="file:///teams/car/2021.htm" TargetMode="External"/><Relationship Id="rId291" Type="http://schemas.openxmlformats.org/officeDocument/2006/relationships/hyperlink" Target="file:///teams/sfo/2021.htm" TargetMode="External"/><Relationship Id="rId305" Type="http://schemas.openxmlformats.org/officeDocument/2006/relationships/hyperlink" Target="file:///teams/clt/2021.htm" TargetMode="External"/><Relationship Id="rId347" Type="http://schemas.openxmlformats.org/officeDocument/2006/relationships/hyperlink" Target="file:///players/R/RichJa01.htm" TargetMode="External"/><Relationship Id="rId512" Type="http://schemas.openxmlformats.org/officeDocument/2006/relationships/hyperlink" Target="file:///players/T/ToneKa00.htm" TargetMode="External"/><Relationship Id="rId44" Type="http://schemas.openxmlformats.org/officeDocument/2006/relationships/hyperlink" Target="file:///teams/mia/2021.htm" TargetMode="External"/><Relationship Id="rId86" Type="http://schemas.openxmlformats.org/officeDocument/2006/relationships/hyperlink" Target="file:///players/A/AlleJo02.htm" TargetMode="External"/><Relationship Id="rId151" Type="http://schemas.openxmlformats.org/officeDocument/2006/relationships/hyperlink" Target="file:///players/H/HeinTa00.htm" TargetMode="External"/><Relationship Id="rId389" Type="http://schemas.openxmlformats.org/officeDocument/2006/relationships/hyperlink" Target="file:///players/F/FeltDe00.htm" TargetMode="External"/><Relationship Id="rId554" Type="http://schemas.openxmlformats.org/officeDocument/2006/relationships/hyperlink" Target="file:///teams/kan/2021.htm" TargetMode="External"/><Relationship Id="rId596" Type="http://schemas.openxmlformats.org/officeDocument/2006/relationships/hyperlink" Target="file:///teams/nyg/2021.htm" TargetMode="External"/><Relationship Id="rId193" Type="http://schemas.openxmlformats.org/officeDocument/2006/relationships/hyperlink" Target="file:///players/O/OgunDa00.htm" TargetMode="External"/><Relationship Id="rId207" Type="http://schemas.openxmlformats.org/officeDocument/2006/relationships/hyperlink" Target="file:///players/R/RyanMa00.htm" TargetMode="External"/><Relationship Id="rId249" Type="http://schemas.openxmlformats.org/officeDocument/2006/relationships/hyperlink" Target="file:///players/B/BradTo00.htm" TargetMode="External"/><Relationship Id="rId414" Type="http://schemas.openxmlformats.org/officeDocument/2006/relationships/hyperlink" Target="file:///teams/sfo/2021.htm" TargetMode="External"/><Relationship Id="rId456" Type="http://schemas.openxmlformats.org/officeDocument/2006/relationships/hyperlink" Target="file:///players/R/RaymKa00.htm" TargetMode="External"/><Relationship Id="rId498" Type="http://schemas.openxmlformats.org/officeDocument/2006/relationships/hyperlink" Target="file:///teams/nor/2021.htm" TargetMode="External"/><Relationship Id="rId621" Type="http://schemas.openxmlformats.org/officeDocument/2006/relationships/hyperlink" Target="file:///players/C/CottNa00.htm" TargetMode="External"/><Relationship Id="rId663" Type="http://schemas.openxmlformats.org/officeDocument/2006/relationships/hyperlink" Target="file:///teams/was/2021.htm" TargetMode="External"/><Relationship Id="rId13" Type="http://schemas.openxmlformats.org/officeDocument/2006/relationships/hyperlink" Target="file:///players/E/ElliEz00.htm" TargetMode="External"/><Relationship Id="rId109" Type="http://schemas.openxmlformats.org/officeDocument/2006/relationships/hyperlink" Target="file:///teams/buf/2021.htm" TargetMode="External"/><Relationship Id="rId260" Type="http://schemas.openxmlformats.org/officeDocument/2006/relationships/hyperlink" Target="file:///players/T/TaylPa01.htm" TargetMode="External"/><Relationship Id="rId316" Type="http://schemas.openxmlformats.org/officeDocument/2006/relationships/hyperlink" Target="file:///players/K/KeenCa00.htm" TargetMode="External"/><Relationship Id="rId523" Type="http://schemas.openxmlformats.org/officeDocument/2006/relationships/hyperlink" Target="file:///players/B/BoydTy00.htm" TargetMode="External"/><Relationship Id="rId719" Type="http://schemas.openxmlformats.org/officeDocument/2006/relationships/hyperlink" Target="file:///players/W/WillPr01.htm" TargetMode="External"/><Relationship Id="rId55" Type="http://schemas.openxmlformats.org/officeDocument/2006/relationships/hyperlink" Target="file:///teams/atl/2021.htm" TargetMode="External"/><Relationship Id="rId97" Type="http://schemas.openxmlformats.org/officeDocument/2006/relationships/hyperlink" Target="file:///teams/crd/2021.htm" TargetMode="External"/><Relationship Id="rId120" Type="http://schemas.openxmlformats.org/officeDocument/2006/relationships/hyperlink" Target="file:///teams/sfo/2021.htm" TargetMode="External"/><Relationship Id="rId358" Type="http://schemas.openxmlformats.org/officeDocument/2006/relationships/hyperlink" Target="file:///teams/atl/2021.htm" TargetMode="External"/><Relationship Id="rId565" Type="http://schemas.openxmlformats.org/officeDocument/2006/relationships/hyperlink" Target="file:///players/M/MillSc01.htm" TargetMode="External"/><Relationship Id="rId162" Type="http://schemas.openxmlformats.org/officeDocument/2006/relationships/hyperlink" Target="file:///players/B/BarbPe01.htm" TargetMode="External"/><Relationship Id="rId218" Type="http://schemas.openxmlformats.org/officeDocument/2006/relationships/hyperlink" Target="file:///teams/cle/2021.htm" TargetMode="External"/><Relationship Id="rId425" Type="http://schemas.openxmlformats.org/officeDocument/2006/relationships/hyperlink" Target="file:///players/M/MoorEl00.htm" TargetMode="External"/><Relationship Id="rId467" Type="http://schemas.openxmlformats.org/officeDocument/2006/relationships/hyperlink" Target="file:///teams/car/2021.htm" TargetMode="External"/><Relationship Id="rId632" Type="http://schemas.openxmlformats.org/officeDocument/2006/relationships/hyperlink" Target="file:///players/E/EngrEv00.htm" TargetMode="External"/><Relationship Id="rId271" Type="http://schemas.openxmlformats.org/officeDocument/2006/relationships/hyperlink" Target="file:///teams/mia/2021.htm" TargetMode="External"/><Relationship Id="rId674" Type="http://schemas.openxmlformats.org/officeDocument/2006/relationships/hyperlink" Target="file:///players/N/NallRy00.htm" TargetMode="External"/><Relationship Id="rId24" Type="http://schemas.openxmlformats.org/officeDocument/2006/relationships/hyperlink" Target="file:///teams/ram/2021.htm" TargetMode="External"/><Relationship Id="rId66" Type="http://schemas.openxmlformats.org/officeDocument/2006/relationships/hyperlink" Target="file:///players/W/WillDa10.htm" TargetMode="External"/><Relationship Id="rId131" Type="http://schemas.openxmlformats.org/officeDocument/2006/relationships/hyperlink" Target="file:///players/H/HillTa00.htm" TargetMode="External"/><Relationship Id="rId327" Type="http://schemas.openxmlformats.org/officeDocument/2006/relationships/hyperlink" Target="file:///teams/was/2021.htm" TargetMode="External"/><Relationship Id="rId369" Type="http://schemas.openxmlformats.org/officeDocument/2006/relationships/hyperlink" Target="file:///players/H/HennCh01.htm" TargetMode="External"/><Relationship Id="rId534" Type="http://schemas.openxmlformats.org/officeDocument/2006/relationships/hyperlink" Target="file:///teams/oti/2021.htm" TargetMode="External"/><Relationship Id="rId576" Type="http://schemas.openxmlformats.org/officeDocument/2006/relationships/hyperlink" Target="file:///teams/rav/2021.htm" TargetMode="External"/><Relationship Id="rId173" Type="http://schemas.openxmlformats.org/officeDocument/2006/relationships/hyperlink" Target="file:///teams/sea/2021.htm" TargetMode="External"/><Relationship Id="rId229" Type="http://schemas.openxmlformats.org/officeDocument/2006/relationships/hyperlink" Target="file:///players/B/BrowMa03.htm" TargetMode="External"/><Relationship Id="rId380" Type="http://schemas.openxmlformats.org/officeDocument/2006/relationships/hyperlink" Target="file:///teams/jax/2021.htm" TargetMode="External"/><Relationship Id="rId436" Type="http://schemas.openxmlformats.org/officeDocument/2006/relationships/hyperlink" Target="file:///players/S/SwaiFr00.htm" TargetMode="External"/><Relationship Id="rId601" Type="http://schemas.openxmlformats.org/officeDocument/2006/relationships/hyperlink" Target="file:///players/B/BoarC.00.htm" TargetMode="External"/><Relationship Id="rId643" Type="http://schemas.openxmlformats.org/officeDocument/2006/relationships/hyperlink" Target="file:///players/G/GillJa00.htm" TargetMode="External"/><Relationship Id="rId240" Type="http://schemas.openxmlformats.org/officeDocument/2006/relationships/hyperlink" Target="file:///teams/ram/2021.htm" TargetMode="External"/><Relationship Id="rId478" Type="http://schemas.openxmlformats.org/officeDocument/2006/relationships/hyperlink" Target="file:///teams/den/2021.htm" TargetMode="External"/><Relationship Id="rId685" Type="http://schemas.openxmlformats.org/officeDocument/2006/relationships/hyperlink" Target="file:///players/P/PalmJo00.htm" TargetMode="External"/><Relationship Id="rId35" Type="http://schemas.openxmlformats.org/officeDocument/2006/relationships/hyperlink" Target="file:///players/H/HarrDa06.htm" TargetMode="External"/><Relationship Id="rId77" Type="http://schemas.openxmlformats.org/officeDocument/2006/relationships/hyperlink" Target="file:///teams/oti/2021.htm" TargetMode="External"/><Relationship Id="rId100" Type="http://schemas.openxmlformats.org/officeDocument/2006/relationships/hyperlink" Target="file:///players/H/HerbKh00.htm" TargetMode="External"/><Relationship Id="rId282" Type="http://schemas.openxmlformats.org/officeDocument/2006/relationships/hyperlink" Target="file:///players/E/EvanCh02.htm" TargetMode="External"/><Relationship Id="rId338" Type="http://schemas.openxmlformats.org/officeDocument/2006/relationships/hyperlink" Target="file:///players/H/HillTy00.htm" TargetMode="External"/><Relationship Id="rId503" Type="http://schemas.openxmlformats.org/officeDocument/2006/relationships/hyperlink" Target="file:///teams/rai/2021.htm" TargetMode="External"/><Relationship Id="rId545" Type="http://schemas.openxmlformats.org/officeDocument/2006/relationships/hyperlink" Target="file:///players/J/JeffVa00.htm" TargetMode="External"/><Relationship Id="rId587" Type="http://schemas.openxmlformats.org/officeDocument/2006/relationships/hyperlink" Target="file:///players/W/WilsCe01.htm" TargetMode="External"/><Relationship Id="rId710" Type="http://schemas.openxmlformats.org/officeDocument/2006/relationships/hyperlink" Target="file:///teams/htx/2021.htm" TargetMode="External"/><Relationship Id="rId8" Type="http://schemas.openxmlformats.org/officeDocument/2006/relationships/hyperlink" Target="file:///teams/was/2021.htm" TargetMode="External"/><Relationship Id="rId142" Type="http://schemas.openxmlformats.org/officeDocument/2006/relationships/hyperlink" Target="file:///teams/kan/2021.htm" TargetMode="External"/><Relationship Id="rId184" Type="http://schemas.openxmlformats.org/officeDocument/2006/relationships/hyperlink" Target="file:///teams/dal/2021.htm" TargetMode="External"/><Relationship Id="rId391" Type="http://schemas.openxmlformats.org/officeDocument/2006/relationships/hyperlink" Target="file:///players/G/GlenMi00.htm" TargetMode="External"/><Relationship Id="rId405" Type="http://schemas.openxmlformats.org/officeDocument/2006/relationships/hyperlink" Target="file:///players/M/MoonDa00.htm" TargetMode="External"/><Relationship Id="rId447" Type="http://schemas.openxmlformats.org/officeDocument/2006/relationships/hyperlink" Target="file:///teams/sea/2021.htm" TargetMode="External"/><Relationship Id="rId612" Type="http://schemas.openxmlformats.org/officeDocument/2006/relationships/hyperlink" Target="file:///teams/rav/2021.htm" TargetMode="External"/><Relationship Id="rId251" Type="http://schemas.openxmlformats.org/officeDocument/2006/relationships/hyperlink" Target="file:///players/G/GallWa00.htm" TargetMode="External"/><Relationship Id="rId489" Type="http://schemas.openxmlformats.org/officeDocument/2006/relationships/hyperlink" Target="file:///players/K/KittGe00.htm" TargetMode="External"/><Relationship Id="rId654" Type="http://schemas.openxmlformats.org/officeDocument/2006/relationships/hyperlink" Target="file:///players/L/LairPa00.htm" TargetMode="External"/><Relationship Id="rId696" Type="http://schemas.openxmlformats.org/officeDocument/2006/relationships/hyperlink" Target="file:///teams/nyg/2021.htm" TargetMode="External"/><Relationship Id="rId46" Type="http://schemas.openxmlformats.org/officeDocument/2006/relationships/hyperlink" Target="file:///teams/car/2021.htm" TargetMode="External"/><Relationship Id="rId293" Type="http://schemas.openxmlformats.org/officeDocument/2006/relationships/hyperlink" Target="file:///teams/jax/2021.htm" TargetMode="External"/><Relationship Id="rId307" Type="http://schemas.openxmlformats.org/officeDocument/2006/relationships/hyperlink" Target="file:///teams/rai/2021.htm" TargetMode="External"/><Relationship Id="rId349" Type="http://schemas.openxmlformats.org/officeDocument/2006/relationships/hyperlink" Target="file:///players/R/RushCo00.htm" TargetMode="External"/><Relationship Id="rId514" Type="http://schemas.openxmlformats.org/officeDocument/2006/relationships/hyperlink" Target="file:///players/T/TremTo00.htm" TargetMode="External"/><Relationship Id="rId556" Type="http://schemas.openxmlformats.org/officeDocument/2006/relationships/hyperlink" Target="file:///teams/cle/2021.htm" TargetMode="External"/><Relationship Id="rId721" Type="http://schemas.openxmlformats.org/officeDocument/2006/relationships/hyperlink" Target="file:///players/W/WingAn01.htm" TargetMode="External"/><Relationship Id="rId88" Type="http://schemas.openxmlformats.org/officeDocument/2006/relationships/hyperlink" Target="file:///players/B/BurkRe00.htm" TargetMode="External"/><Relationship Id="rId111" Type="http://schemas.openxmlformats.org/officeDocument/2006/relationships/hyperlink" Target="file:///players/M/MurrKy00.htm" TargetMode="External"/><Relationship Id="rId153" Type="http://schemas.openxmlformats.org/officeDocument/2006/relationships/hyperlink" Target="file:///players/S/SamuDe00.htm" TargetMode="External"/><Relationship Id="rId195" Type="http://schemas.openxmlformats.org/officeDocument/2006/relationships/hyperlink" Target="file:///players/W/WilsRu00.htm" TargetMode="External"/><Relationship Id="rId209" Type="http://schemas.openxmlformats.org/officeDocument/2006/relationships/hyperlink" Target="file:///players/W/WillDa05.htm" TargetMode="External"/><Relationship Id="rId360" Type="http://schemas.openxmlformats.org/officeDocument/2006/relationships/hyperlink" Target="file:///teams/crd/2021.htm" TargetMode="External"/><Relationship Id="rId416" Type="http://schemas.openxmlformats.org/officeDocument/2006/relationships/hyperlink" Target="file:///teams/ram/2021.htm" TargetMode="External"/><Relationship Id="rId598" Type="http://schemas.openxmlformats.org/officeDocument/2006/relationships/hyperlink" Target="file:///teams/jax/2021.htm" TargetMode="External"/><Relationship Id="rId220" Type="http://schemas.openxmlformats.org/officeDocument/2006/relationships/hyperlink" Target="file:///teams/sdg/2021.htm" TargetMode="External"/><Relationship Id="rId458" Type="http://schemas.openxmlformats.org/officeDocument/2006/relationships/hyperlink" Target="file:///players/S/SamuCu00.htm" TargetMode="External"/><Relationship Id="rId623" Type="http://schemas.openxmlformats.org/officeDocument/2006/relationships/hyperlink" Target="file:///players/D/DardJa00.htm" TargetMode="External"/><Relationship Id="rId665" Type="http://schemas.openxmlformats.org/officeDocument/2006/relationships/hyperlink" Target="file:///teams/sea/2021.htm" TargetMode="External"/><Relationship Id="rId15" Type="http://schemas.openxmlformats.org/officeDocument/2006/relationships/hyperlink" Target="file:///players/C/ChubNi00.htm" TargetMode="External"/><Relationship Id="rId57" Type="http://schemas.openxmlformats.org/officeDocument/2006/relationships/hyperlink" Target="file:///teams/det/2021.htm" TargetMode="External"/><Relationship Id="rId262" Type="http://schemas.openxmlformats.org/officeDocument/2006/relationships/hyperlink" Target="file:///players/M/McCoCo00.htm" TargetMode="External"/><Relationship Id="rId318" Type="http://schemas.openxmlformats.org/officeDocument/2006/relationships/hyperlink" Target="file:///players/L/LoveJo03.htm" TargetMode="External"/><Relationship Id="rId525" Type="http://schemas.openxmlformats.org/officeDocument/2006/relationships/hyperlink" Target="file:///players/B/BoylTi00.htm" TargetMode="External"/><Relationship Id="rId567" Type="http://schemas.openxmlformats.org/officeDocument/2006/relationships/hyperlink" Target="file:///players/M/MostRa00.htm" TargetMode="External"/><Relationship Id="rId99" Type="http://schemas.openxmlformats.org/officeDocument/2006/relationships/hyperlink" Target="file:///teams/sea/2021.htm" TargetMode="External"/><Relationship Id="rId122" Type="http://schemas.openxmlformats.org/officeDocument/2006/relationships/hyperlink" Target="file:///teams/cle/2021.htm" TargetMode="External"/><Relationship Id="rId164" Type="http://schemas.openxmlformats.org/officeDocument/2006/relationships/hyperlink" Target="file:///players/P/PeriSa00.htm" TargetMode="External"/><Relationship Id="rId371" Type="http://schemas.openxmlformats.org/officeDocument/2006/relationships/hyperlink" Target="file:///players/J/JuszKy00.htm" TargetMode="External"/><Relationship Id="rId427" Type="http://schemas.openxmlformats.org/officeDocument/2006/relationships/hyperlink" Target="file:///players/P/PittMi01.htm" TargetMode="External"/><Relationship Id="rId469" Type="http://schemas.openxmlformats.org/officeDocument/2006/relationships/hyperlink" Target="file:///teams/jax/2021.htm" TargetMode="External"/><Relationship Id="rId634" Type="http://schemas.openxmlformats.org/officeDocument/2006/relationships/hyperlink" Target="file:///players/E/ErtzZa00.htm" TargetMode="External"/><Relationship Id="rId676" Type="http://schemas.openxmlformats.org/officeDocument/2006/relationships/hyperlink" Target="file:///players/N/NjokDa00.htm" TargetMode="External"/><Relationship Id="rId26" Type="http://schemas.openxmlformats.org/officeDocument/2006/relationships/hyperlink" Target="file:///teams/sfo/2021.htm" TargetMode="External"/><Relationship Id="rId231" Type="http://schemas.openxmlformats.org/officeDocument/2006/relationships/hyperlink" Target="file:///players/C/ClemCo00.htm" TargetMode="External"/><Relationship Id="rId273" Type="http://schemas.openxmlformats.org/officeDocument/2006/relationships/hyperlink" Target="file:///teams/nwe/2021.htm" TargetMode="External"/><Relationship Id="rId329" Type="http://schemas.openxmlformats.org/officeDocument/2006/relationships/hyperlink" Target="file:///teams/gnb/2021.htm" TargetMode="External"/><Relationship Id="rId480" Type="http://schemas.openxmlformats.org/officeDocument/2006/relationships/hyperlink" Target="file:///teams/clt/2021.htm" TargetMode="External"/><Relationship Id="rId536" Type="http://schemas.openxmlformats.org/officeDocument/2006/relationships/hyperlink" Target="file:///teams/nyj/2021.htm" TargetMode="External"/><Relationship Id="rId701" Type="http://schemas.openxmlformats.org/officeDocument/2006/relationships/hyperlink" Target="file:///players/S/SlayDa01.htm" TargetMode="External"/><Relationship Id="rId68" Type="http://schemas.openxmlformats.org/officeDocument/2006/relationships/hyperlink" Target="file:///players/H/HurtJa00.htm" TargetMode="External"/><Relationship Id="rId133" Type="http://schemas.openxmlformats.org/officeDocument/2006/relationships/hyperlink" Target="file:///players/G/GainKe00.htm" TargetMode="External"/><Relationship Id="rId175" Type="http://schemas.openxmlformats.org/officeDocument/2006/relationships/hyperlink" Target="file:///teams/nor/2021.htm" TargetMode="External"/><Relationship Id="rId340" Type="http://schemas.openxmlformats.org/officeDocument/2006/relationships/hyperlink" Target="file:///players/J/JohnJo05.htm" TargetMode="External"/><Relationship Id="rId578" Type="http://schemas.openxmlformats.org/officeDocument/2006/relationships/hyperlink" Target="file:///teams/buf/2021.htm" TargetMode="External"/><Relationship Id="rId200" Type="http://schemas.openxmlformats.org/officeDocument/2006/relationships/hyperlink" Target="file:///teams/oti/2021.htm" TargetMode="External"/><Relationship Id="rId382" Type="http://schemas.openxmlformats.org/officeDocument/2006/relationships/hyperlink" Target="file:///teams/cin/2021.htm" TargetMode="External"/><Relationship Id="rId438" Type="http://schemas.openxmlformats.org/officeDocument/2006/relationships/hyperlink" Target="file:///players/W/WhitMi01.htm" TargetMode="External"/><Relationship Id="rId603" Type="http://schemas.openxmlformats.org/officeDocument/2006/relationships/hyperlink" Target="file:///players/B/BonnRe00.htm" TargetMode="External"/><Relationship Id="rId645" Type="http://schemas.openxmlformats.org/officeDocument/2006/relationships/hyperlink" Target="file:///players/G/GrayCy01.htm" TargetMode="External"/><Relationship Id="rId687" Type="http://schemas.openxmlformats.org/officeDocument/2006/relationships/hyperlink" Target="file:///players/P/PerrBr02.htm" TargetMode="External"/><Relationship Id="rId242" Type="http://schemas.openxmlformats.org/officeDocument/2006/relationships/hyperlink" Target="file:///teams/nor/2021.htm" TargetMode="External"/><Relationship Id="rId284" Type="http://schemas.openxmlformats.org/officeDocument/2006/relationships/hyperlink" Target="file:///players/G/GoffJa00.htm" TargetMode="External"/><Relationship Id="rId491" Type="http://schemas.openxmlformats.org/officeDocument/2006/relationships/hyperlink" Target="file:///players/L/LazaAl00.htm" TargetMode="External"/><Relationship Id="rId505" Type="http://schemas.openxmlformats.org/officeDocument/2006/relationships/hyperlink" Target="file:///teams/pit/2021.htm" TargetMode="External"/><Relationship Id="rId712" Type="http://schemas.openxmlformats.org/officeDocument/2006/relationships/hyperlink" Target="file:///teams/nor/2021.htm" TargetMode="External"/><Relationship Id="rId37" Type="http://schemas.openxmlformats.org/officeDocument/2006/relationships/hyperlink" Target="file:///players/S/SingDe00.htm" TargetMode="External"/><Relationship Id="rId79" Type="http://schemas.openxmlformats.org/officeDocument/2006/relationships/hyperlink" Target="file:///teams/rav/2021.htm" TargetMode="External"/><Relationship Id="rId102" Type="http://schemas.openxmlformats.org/officeDocument/2006/relationships/hyperlink" Target="file:///players/J/JoneRo01.htm" TargetMode="External"/><Relationship Id="rId144" Type="http://schemas.openxmlformats.org/officeDocument/2006/relationships/hyperlink" Target="file:///teams/rai/2021.htm" TargetMode="External"/><Relationship Id="rId547" Type="http://schemas.openxmlformats.org/officeDocument/2006/relationships/hyperlink" Target="file:///players/J/JeudJe00.htm" TargetMode="External"/><Relationship Id="rId589" Type="http://schemas.openxmlformats.org/officeDocument/2006/relationships/hyperlink" Target="file:///players/W/WolfJo00.htm" TargetMode="External"/><Relationship Id="rId90" Type="http://schemas.openxmlformats.org/officeDocument/2006/relationships/hyperlink" Target="file:///players/E/EdwaCl00.htm" TargetMode="External"/><Relationship Id="rId186" Type="http://schemas.openxmlformats.org/officeDocument/2006/relationships/hyperlink" Target="file:///teams/rav/2021.htm" TargetMode="External"/><Relationship Id="rId351" Type="http://schemas.openxmlformats.org/officeDocument/2006/relationships/hyperlink" Target="file:///players/S/SiemTr00.htm" TargetMode="External"/><Relationship Id="rId393" Type="http://schemas.openxmlformats.org/officeDocument/2006/relationships/hyperlink" Target="file:///players/G/GuytJa01.htm" TargetMode="External"/><Relationship Id="rId407" Type="http://schemas.openxmlformats.org/officeDocument/2006/relationships/hyperlink" Target="file:///players/P/PhilSc01.htm" TargetMode="External"/><Relationship Id="rId449" Type="http://schemas.openxmlformats.org/officeDocument/2006/relationships/hyperlink" Target="file:///teams/chi/2021.htm" TargetMode="External"/><Relationship Id="rId614" Type="http://schemas.openxmlformats.org/officeDocument/2006/relationships/hyperlink" Target="file:///teams/car/2021.htm" TargetMode="External"/><Relationship Id="rId656" Type="http://schemas.openxmlformats.org/officeDocument/2006/relationships/hyperlink" Target="file:///players/L/LeexAn20.htm" TargetMode="External"/><Relationship Id="rId211" Type="http://schemas.openxmlformats.org/officeDocument/2006/relationships/hyperlink" Target="file:///players/B/BellLe00.htm" TargetMode="External"/><Relationship Id="rId253" Type="http://schemas.openxmlformats.org/officeDocument/2006/relationships/hyperlink" Target="file:///teams/clt/2021.htm" TargetMode="External"/><Relationship Id="rId295" Type="http://schemas.openxmlformats.org/officeDocument/2006/relationships/hyperlink" Target="file:///teams/det/2021.htm" TargetMode="External"/><Relationship Id="rId309" Type="http://schemas.openxmlformats.org/officeDocument/2006/relationships/hyperlink" Target="file:///teams/min/2021.htm" TargetMode="External"/><Relationship Id="rId460" Type="http://schemas.openxmlformats.org/officeDocument/2006/relationships/hyperlink" Target="file:///players/W/WashDw00.htm" TargetMode="External"/><Relationship Id="rId516" Type="http://schemas.openxmlformats.org/officeDocument/2006/relationships/hyperlink" Target="file:///players/A/AlleKy00.htm" TargetMode="External"/><Relationship Id="rId698" Type="http://schemas.openxmlformats.org/officeDocument/2006/relationships/hyperlink" Target="file:///teams/nyg/2021.htm" TargetMode="External"/><Relationship Id="rId48" Type="http://schemas.openxmlformats.org/officeDocument/2006/relationships/hyperlink" Target="file:///teams/gnb/2021.htm" TargetMode="External"/><Relationship Id="rId113" Type="http://schemas.openxmlformats.org/officeDocument/2006/relationships/hyperlink" Target="file:///players/S/ScotBo02.htm" TargetMode="External"/><Relationship Id="rId320" Type="http://schemas.openxmlformats.org/officeDocument/2006/relationships/hyperlink" Target="file:///players/M/McKiJe00.htm" TargetMode="External"/><Relationship Id="rId558" Type="http://schemas.openxmlformats.org/officeDocument/2006/relationships/hyperlink" Target="file:///teams/rai/2021.htm" TargetMode="External"/><Relationship Id="rId723" Type="http://schemas.openxmlformats.org/officeDocument/2006/relationships/hyperlink" Target="file:///players/Z/ZaccOl01.htm" TargetMode="External"/><Relationship Id="rId155" Type="http://schemas.openxmlformats.org/officeDocument/2006/relationships/hyperlink" Target="file:///players/W/WentCa00.htm" TargetMode="External"/><Relationship Id="rId197" Type="http://schemas.openxmlformats.org/officeDocument/2006/relationships/hyperlink" Target="file:///players/T/TagoTu00.htm" TargetMode="External"/><Relationship Id="rId362" Type="http://schemas.openxmlformats.org/officeDocument/2006/relationships/hyperlink" Target="file:///teams/tam/2021.htm" TargetMode="External"/><Relationship Id="rId418" Type="http://schemas.openxmlformats.org/officeDocument/2006/relationships/hyperlink" Target="file:///players/G/GranJa00.htm" TargetMode="External"/><Relationship Id="rId625" Type="http://schemas.openxmlformats.org/officeDocument/2006/relationships/hyperlink" Target="file:///players/D/DorsPh00.htm" TargetMode="External"/><Relationship Id="rId222" Type="http://schemas.openxmlformats.org/officeDocument/2006/relationships/hyperlink" Target="file:///teams/pit/2021.htm" TargetMode="External"/><Relationship Id="rId264" Type="http://schemas.openxmlformats.org/officeDocument/2006/relationships/hyperlink" Target="file:///players/H/HomeTr00.htm" TargetMode="External"/><Relationship Id="rId471" Type="http://schemas.openxmlformats.org/officeDocument/2006/relationships/hyperlink" Target="file:///teams/oti/2021.htm" TargetMode="External"/><Relationship Id="rId667" Type="http://schemas.openxmlformats.org/officeDocument/2006/relationships/hyperlink" Target="file:///teams/nwe/2021.htm" TargetMode="External"/><Relationship Id="rId17" Type="http://schemas.openxmlformats.org/officeDocument/2006/relationships/hyperlink" Target="file:///players/M/MontDa01.htm" TargetMode="External"/><Relationship Id="rId59" Type="http://schemas.openxmlformats.org/officeDocument/2006/relationships/hyperlink" Target="file:///teams/det/2021.htm" TargetMode="External"/><Relationship Id="rId124" Type="http://schemas.openxmlformats.org/officeDocument/2006/relationships/hyperlink" Target="file:///teams/jax/2021.htm" TargetMode="External"/><Relationship Id="rId527" Type="http://schemas.openxmlformats.org/officeDocument/2006/relationships/hyperlink" Target="file:///players/B/BrowAJ00.htm" TargetMode="External"/><Relationship Id="rId569" Type="http://schemas.openxmlformats.org/officeDocument/2006/relationships/hyperlink" Target="file:///players/P/PascZa00.htm" TargetMode="External"/><Relationship Id="rId70" Type="http://schemas.openxmlformats.org/officeDocument/2006/relationships/hyperlink" Target="file:///players/D/DaviMi01.htm" TargetMode="External"/><Relationship Id="rId166" Type="http://schemas.openxmlformats.org/officeDocument/2006/relationships/hyperlink" Target="file:///players/R/ReynCr00.htm" TargetMode="External"/><Relationship Id="rId331" Type="http://schemas.openxmlformats.org/officeDocument/2006/relationships/hyperlink" Target="file:///teams/den/2021.htm" TargetMode="External"/><Relationship Id="rId373" Type="http://schemas.openxmlformats.org/officeDocument/2006/relationships/hyperlink" Target="file:///players/M/MoorD.00.htm" TargetMode="External"/><Relationship Id="rId429" Type="http://schemas.openxmlformats.org/officeDocument/2006/relationships/hyperlink" Target="file:///players/R/RudoMa00.htm" TargetMode="External"/><Relationship Id="rId580" Type="http://schemas.openxmlformats.org/officeDocument/2006/relationships/hyperlink" Target="file:///teams/mia/2021.htm" TargetMode="External"/><Relationship Id="rId636" Type="http://schemas.openxmlformats.org/officeDocument/2006/relationships/hyperlink" Target="file:///teams/tam/2021.htm" TargetMode="External"/><Relationship Id="rId1" Type="http://schemas.openxmlformats.org/officeDocument/2006/relationships/hyperlink" Target="file:///players/T/TaylJo02.htm" TargetMode="External"/><Relationship Id="rId233" Type="http://schemas.openxmlformats.org/officeDocument/2006/relationships/hyperlink" Target="file:///players/D/DallDe00.htm" TargetMode="External"/><Relationship Id="rId440" Type="http://schemas.openxmlformats.org/officeDocument/2006/relationships/hyperlink" Target="file:///players/B/BarnKe00.htm" TargetMode="External"/><Relationship Id="rId678" Type="http://schemas.openxmlformats.org/officeDocument/2006/relationships/hyperlink" Target="file:///players/O/OlszGu00.htm" TargetMode="External"/><Relationship Id="rId28" Type="http://schemas.openxmlformats.org/officeDocument/2006/relationships/hyperlink" Target="file:///teams/sdg/2021.htm" TargetMode="External"/><Relationship Id="rId275" Type="http://schemas.openxmlformats.org/officeDocument/2006/relationships/hyperlink" Target="file:///teams/htx/2021.htm" TargetMode="External"/><Relationship Id="rId300" Type="http://schemas.openxmlformats.org/officeDocument/2006/relationships/hyperlink" Target="file:///players/C/ClayCh01.htm" TargetMode="External"/><Relationship Id="rId482" Type="http://schemas.openxmlformats.org/officeDocument/2006/relationships/hyperlink" Target="file:///teams/clt/2021.htm" TargetMode="External"/><Relationship Id="rId538" Type="http://schemas.openxmlformats.org/officeDocument/2006/relationships/hyperlink" Target="file:///teams/ram/2021.htm" TargetMode="External"/><Relationship Id="rId703" Type="http://schemas.openxmlformats.org/officeDocument/2006/relationships/hyperlink" Target="file:///players/S/SmitIt00.htm" TargetMode="External"/><Relationship Id="rId81" Type="http://schemas.openxmlformats.org/officeDocument/2006/relationships/hyperlink" Target="file:///teams/rav/2021.htm" TargetMode="External"/><Relationship Id="rId135" Type="http://schemas.openxmlformats.org/officeDocument/2006/relationships/hyperlink" Target="file:///players/J/JackJu01.htm" TargetMode="External"/><Relationship Id="rId177" Type="http://schemas.openxmlformats.org/officeDocument/2006/relationships/hyperlink" Target="file:///players/G/GoreDe00.htm" TargetMode="External"/><Relationship Id="rId342" Type="http://schemas.openxmlformats.org/officeDocument/2006/relationships/hyperlink" Target="file:///teams/dal/2021.htm" TargetMode="External"/><Relationship Id="rId384" Type="http://schemas.openxmlformats.org/officeDocument/2006/relationships/hyperlink" Target="file:///teams/nyj/2021.htm" TargetMode="External"/><Relationship Id="rId591" Type="http://schemas.openxmlformats.org/officeDocument/2006/relationships/hyperlink" Target="file:///players/A/AkinJo00.htm" TargetMode="External"/><Relationship Id="rId605" Type="http://schemas.openxmlformats.org/officeDocument/2006/relationships/hyperlink" Target="file:///players/B/BrigGa00.htm" TargetMode="External"/><Relationship Id="rId202" Type="http://schemas.openxmlformats.org/officeDocument/2006/relationships/hyperlink" Target="file:///teams/sfo/2021.htm" TargetMode="External"/><Relationship Id="rId244" Type="http://schemas.openxmlformats.org/officeDocument/2006/relationships/hyperlink" Target="file:///teams/den/2021.htm" TargetMode="External"/><Relationship Id="rId647" Type="http://schemas.openxmlformats.org/officeDocument/2006/relationships/hyperlink" Target="file:///players/H/HekkJo00.htm" TargetMode="External"/><Relationship Id="rId689" Type="http://schemas.openxmlformats.org/officeDocument/2006/relationships/hyperlink" Target="file:///players/R/RagaTr00.htm" TargetMode="External"/><Relationship Id="rId39" Type="http://schemas.openxmlformats.org/officeDocument/2006/relationships/hyperlink" Target="file:///players/D/DillAJ00.htm" TargetMode="External"/><Relationship Id="rId286" Type="http://schemas.openxmlformats.org/officeDocument/2006/relationships/hyperlink" Target="file:///players/W/WillJo07.htm" TargetMode="External"/><Relationship Id="rId451" Type="http://schemas.openxmlformats.org/officeDocument/2006/relationships/hyperlink" Target="file:///teams/tam/2021.htm" TargetMode="External"/><Relationship Id="rId493" Type="http://schemas.openxmlformats.org/officeDocument/2006/relationships/hyperlink" Target="file:///players/M/McFaAn00.htm" TargetMode="External"/><Relationship Id="rId507" Type="http://schemas.openxmlformats.org/officeDocument/2006/relationships/hyperlink" Target="file:///teams/gnb/2021.htm" TargetMode="External"/><Relationship Id="rId549" Type="http://schemas.openxmlformats.org/officeDocument/2006/relationships/hyperlink" Target="file:///players/J/JohnMa07.htm" TargetMode="External"/><Relationship Id="rId714" Type="http://schemas.openxmlformats.org/officeDocument/2006/relationships/hyperlink" Target="file:///teams/min/2021.htm" TargetMode="External"/><Relationship Id="rId50" Type="http://schemas.openxmlformats.org/officeDocument/2006/relationships/hyperlink" Target="file:///teams/jax/2021.htm" TargetMode="External"/><Relationship Id="rId104" Type="http://schemas.openxmlformats.org/officeDocument/2006/relationships/hyperlink" Target="file:///players/J/JohnDE04.htm" TargetMode="External"/><Relationship Id="rId146" Type="http://schemas.openxmlformats.org/officeDocument/2006/relationships/hyperlink" Target="file:///teams/sdg/2021.htm" TargetMode="External"/><Relationship Id="rId188" Type="http://schemas.openxmlformats.org/officeDocument/2006/relationships/hyperlink" Target="file:///teams/car/2021.htm" TargetMode="External"/><Relationship Id="rId311" Type="http://schemas.openxmlformats.org/officeDocument/2006/relationships/hyperlink" Target="file:///teams/buf/2021.htm" TargetMode="External"/><Relationship Id="rId353" Type="http://schemas.openxmlformats.org/officeDocument/2006/relationships/hyperlink" Target="file:///players/S/SmitGe00.htm" TargetMode="External"/><Relationship Id="rId395" Type="http://schemas.openxmlformats.org/officeDocument/2006/relationships/hyperlink" Target="file:///players/H/HamxC.00.htm" TargetMode="External"/><Relationship Id="rId409" Type="http://schemas.openxmlformats.org/officeDocument/2006/relationships/hyperlink" Target="file:///players/S/SchwAn00.htm" TargetMode="External"/><Relationship Id="rId560" Type="http://schemas.openxmlformats.org/officeDocument/2006/relationships/hyperlink" Target="file:///teams/sea/2021.htm" TargetMode="External"/><Relationship Id="rId92" Type="http://schemas.openxmlformats.org/officeDocument/2006/relationships/hyperlink" Target="file:///players/M/MurrLa00.htm" TargetMode="External"/><Relationship Id="rId213" Type="http://schemas.openxmlformats.org/officeDocument/2006/relationships/hyperlink" Target="file:///teams/sfo/2021.htm" TargetMode="External"/><Relationship Id="rId420" Type="http://schemas.openxmlformats.org/officeDocument/2006/relationships/hyperlink" Target="file:///teams/nor/2021.htm" TargetMode="External"/><Relationship Id="rId616" Type="http://schemas.openxmlformats.org/officeDocument/2006/relationships/hyperlink" Target="file:///teams/gnb/2021.htm" TargetMode="External"/><Relationship Id="rId658" Type="http://schemas.openxmlformats.org/officeDocument/2006/relationships/hyperlink" Target="file:///players/M/MannBr01.htm" TargetMode="External"/><Relationship Id="rId255" Type="http://schemas.openxmlformats.org/officeDocument/2006/relationships/hyperlink" Target="file:///teams/buf/2021.htm" TargetMode="External"/><Relationship Id="rId297" Type="http://schemas.openxmlformats.org/officeDocument/2006/relationships/hyperlink" Target="file:///teams/nor/2021.htm" TargetMode="External"/><Relationship Id="rId462" Type="http://schemas.openxmlformats.org/officeDocument/2006/relationships/hyperlink" Target="file:///players/W/WilsAl02.htm" TargetMode="External"/><Relationship Id="rId518" Type="http://schemas.openxmlformats.org/officeDocument/2006/relationships/hyperlink" Target="file:///players/B/BatsCa00.htm" TargetMode="External"/><Relationship Id="rId725" Type="http://schemas.openxmlformats.org/officeDocument/2006/relationships/queryTable" Target="../queryTables/queryTable6.xml"/><Relationship Id="rId115" Type="http://schemas.openxmlformats.org/officeDocument/2006/relationships/hyperlink" Target="file:///players/H/HowaJo00.htm" TargetMode="External"/><Relationship Id="rId157" Type="http://schemas.openxmlformats.org/officeDocument/2006/relationships/hyperlink" Target="file:///players/F/FreeRo00.htm" TargetMode="External"/><Relationship Id="rId322" Type="http://schemas.openxmlformats.org/officeDocument/2006/relationships/hyperlink" Target="file:///players/H/HoyeBr00.htm" TargetMode="External"/><Relationship Id="rId364" Type="http://schemas.openxmlformats.org/officeDocument/2006/relationships/hyperlink" Target="file:///teams/kan/2021.htm" TargetMode="External"/><Relationship Id="rId61" Type="http://schemas.openxmlformats.org/officeDocument/2006/relationships/hyperlink" Target="file:///teams/ram/2021.htm" TargetMode="External"/><Relationship Id="rId199" Type="http://schemas.openxmlformats.org/officeDocument/2006/relationships/hyperlink" Target="file:///players/M/McNiJe00.htm" TargetMode="External"/><Relationship Id="rId571" Type="http://schemas.openxmlformats.org/officeDocument/2006/relationships/hyperlink" Target="file:///players/P/PatrJa01.htm" TargetMode="External"/><Relationship Id="rId627" Type="http://schemas.openxmlformats.org/officeDocument/2006/relationships/hyperlink" Target="file:///teams/crd/2021.htm" TargetMode="External"/><Relationship Id="rId669" Type="http://schemas.openxmlformats.org/officeDocument/2006/relationships/hyperlink" Target="file:///teams/was/2021.htm" TargetMode="External"/><Relationship Id="rId19" Type="http://schemas.openxmlformats.org/officeDocument/2006/relationships/hyperlink" Target="file:///players/H/HenrDe00.htm" TargetMode="External"/><Relationship Id="rId224" Type="http://schemas.openxmlformats.org/officeDocument/2006/relationships/hyperlink" Target="file:///teams/tam/2021.htm" TargetMode="External"/><Relationship Id="rId266" Type="http://schemas.openxmlformats.org/officeDocument/2006/relationships/hyperlink" Target="file:///players/O/OlliQa00.htm" TargetMode="External"/><Relationship Id="rId431" Type="http://schemas.openxmlformats.org/officeDocument/2006/relationships/hyperlink" Target="file:///players/S/SamuJa00.htm" TargetMode="External"/><Relationship Id="rId473" Type="http://schemas.openxmlformats.org/officeDocument/2006/relationships/hyperlink" Target="file:///teams/nor/2021.htm" TargetMode="External"/><Relationship Id="rId529" Type="http://schemas.openxmlformats.org/officeDocument/2006/relationships/hyperlink" Target="file:///players/C/CookBr00.htm" TargetMode="External"/><Relationship Id="rId680" Type="http://schemas.openxmlformats.org/officeDocument/2006/relationships/hyperlink" Target="file:///players/O/OsboKJ00.htm" TargetMode="External"/><Relationship Id="rId30" Type="http://schemas.openxmlformats.org/officeDocument/2006/relationships/hyperlink" Target="file:///teams/den/2021.htm" TargetMode="External"/><Relationship Id="rId126" Type="http://schemas.openxmlformats.org/officeDocument/2006/relationships/hyperlink" Target="file:///teams/chi/2021.htm" TargetMode="External"/><Relationship Id="rId168" Type="http://schemas.openxmlformats.org/officeDocument/2006/relationships/hyperlink" Target="file:///players/T/TannRy00.htm" TargetMode="External"/><Relationship Id="rId333" Type="http://schemas.openxmlformats.org/officeDocument/2006/relationships/hyperlink" Target="file:///teams/phi/2021.htm" TargetMode="External"/><Relationship Id="rId540" Type="http://schemas.openxmlformats.org/officeDocument/2006/relationships/hyperlink" Target="file:///teams/chi/2021.htm" TargetMode="External"/><Relationship Id="rId72" Type="http://schemas.openxmlformats.org/officeDocument/2006/relationships/hyperlink" Target="file:///players/S/SandMi01.htm" TargetMode="External"/><Relationship Id="rId375" Type="http://schemas.openxmlformats.org/officeDocument/2006/relationships/hyperlink" Target="file:///players/P/PeriLa00.htm" TargetMode="External"/><Relationship Id="rId582" Type="http://schemas.openxmlformats.org/officeDocument/2006/relationships/hyperlink" Target="file:///teams/mia/2021.htm" TargetMode="External"/><Relationship Id="rId638" Type="http://schemas.openxmlformats.org/officeDocument/2006/relationships/hyperlink" Target="file:///teams/mia/2021.htm" TargetMode="External"/><Relationship Id="rId3" Type="http://schemas.openxmlformats.org/officeDocument/2006/relationships/hyperlink" Target="file:///players/H/HarrNa00.htm" TargetMode="External"/><Relationship Id="rId235" Type="http://schemas.openxmlformats.org/officeDocument/2006/relationships/hyperlink" Target="file:///players/K/KellJo01.htm" TargetMode="External"/><Relationship Id="rId277" Type="http://schemas.openxmlformats.org/officeDocument/2006/relationships/hyperlink" Target="file:///teams/det/2021.htm" TargetMode="External"/><Relationship Id="rId400" Type="http://schemas.openxmlformats.org/officeDocument/2006/relationships/hyperlink" Target="file:///teams/car/2021.htm" TargetMode="External"/><Relationship Id="rId442" Type="http://schemas.openxmlformats.org/officeDocument/2006/relationships/hyperlink" Target="file:///players/B/BellBl00.htm" TargetMode="External"/><Relationship Id="rId484" Type="http://schemas.openxmlformats.org/officeDocument/2006/relationships/hyperlink" Target="file:///teams/sea/2021.htm" TargetMode="External"/><Relationship Id="rId705" Type="http://schemas.openxmlformats.org/officeDocument/2006/relationships/hyperlink" Target="file:///players/S/SmitJe03.htm" TargetMode="External"/><Relationship Id="rId137" Type="http://schemas.openxmlformats.org/officeDocument/2006/relationships/hyperlink" Target="file:///players/P/PattJa01.htm" TargetMode="External"/><Relationship Id="rId302" Type="http://schemas.openxmlformats.org/officeDocument/2006/relationships/hyperlink" Target="file:///players/H/HuntJa01.htm" TargetMode="External"/><Relationship Id="rId344" Type="http://schemas.openxmlformats.org/officeDocument/2006/relationships/hyperlink" Target="file:///teams/buf/2021.htm" TargetMode="External"/><Relationship Id="rId691" Type="http://schemas.openxmlformats.org/officeDocument/2006/relationships/hyperlink" Target="file:///players/R/RodgAm00.htm" TargetMode="External"/><Relationship Id="rId41" Type="http://schemas.openxmlformats.org/officeDocument/2006/relationships/hyperlink" Target="file:///players/F/FourLe00.htm" TargetMode="External"/><Relationship Id="rId83" Type="http://schemas.openxmlformats.org/officeDocument/2006/relationships/hyperlink" Target="file:///teams/nwe/2021.htm" TargetMode="External"/><Relationship Id="rId179" Type="http://schemas.openxmlformats.org/officeDocument/2006/relationships/hyperlink" Target="file:///players/D/DarnSa00.htm" TargetMode="External"/><Relationship Id="rId386" Type="http://schemas.openxmlformats.org/officeDocument/2006/relationships/hyperlink" Target="file:///teams/cin/2021.htm" TargetMode="External"/><Relationship Id="rId551" Type="http://schemas.openxmlformats.org/officeDocument/2006/relationships/hyperlink" Target="file:///players/J/JoneZa00.htm" TargetMode="External"/><Relationship Id="rId593" Type="http://schemas.openxmlformats.org/officeDocument/2006/relationships/hyperlink" Target="file:///players/A/AndrMa00.htm" TargetMode="External"/><Relationship Id="rId607" Type="http://schemas.openxmlformats.org/officeDocument/2006/relationships/hyperlink" Target="file:///players/B/BrowAn04.htm" TargetMode="External"/><Relationship Id="rId649" Type="http://schemas.openxmlformats.org/officeDocument/2006/relationships/hyperlink" Target="file:///players/J/JackDe00.htm" TargetMode="External"/><Relationship Id="rId190" Type="http://schemas.openxmlformats.org/officeDocument/2006/relationships/hyperlink" Target="file:///teams/nwe/2021.htm" TargetMode="External"/><Relationship Id="rId204" Type="http://schemas.openxmlformats.org/officeDocument/2006/relationships/hyperlink" Target="file:///teams/cin/2021.htm" TargetMode="External"/><Relationship Id="rId246" Type="http://schemas.openxmlformats.org/officeDocument/2006/relationships/hyperlink" Target="file:///teams/min/2021.htm" TargetMode="External"/><Relationship Id="rId288" Type="http://schemas.openxmlformats.org/officeDocument/2006/relationships/hyperlink" Target="file:///players/D/DaltAn00.htm" TargetMode="External"/><Relationship Id="rId411" Type="http://schemas.openxmlformats.org/officeDocument/2006/relationships/hyperlink" Target="file:///players/W/WoodLo00.htm" TargetMode="External"/><Relationship Id="rId453" Type="http://schemas.openxmlformats.org/officeDocument/2006/relationships/hyperlink" Target="file:///teams/dal/2021.htm" TargetMode="External"/><Relationship Id="rId509" Type="http://schemas.openxmlformats.org/officeDocument/2006/relationships/hyperlink" Target="file:///teams/cle/2021.htm" TargetMode="External"/><Relationship Id="rId660" Type="http://schemas.openxmlformats.org/officeDocument/2006/relationships/hyperlink" Target="file:///players/M/McCrNa00.htm" TargetMode="External"/><Relationship Id="rId106" Type="http://schemas.openxmlformats.org/officeDocument/2006/relationships/hyperlink" Target="file:///players/M/McCaCh01.htm" TargetMode="External"/><Relationship Id="rId313" Type="http://schemas.openxmlformats.org/officeDocument/2006/relationships/hyperlink" Target="file:///teams/pit/2021.htm" TargetMode="External"/><Relationship Id="rId495" Type="http://schemas.openxmlformats.org/officeDocument/2006/relationships/hyperlink" Target="file:///players/N/NabeGa00.htm" TargetMode="External"/><Relationship Id="rId716" Type="http://schemas.openxmlformats.org/officeDocument/2006/relationships/hyperlink" Target="file:///teams/phi/2021.htm" TargetMode="External"/><Relationship Id="rId10" Type="http://schemas.openxmlformats.org/officeDocument/2006/relationships/hyperlink" Target="file:///teams/min/2021.htm" TargetMode="External"/><Relationship Id="rId52" Type="http://schemas.openxmlformats.org/officeDocument/2006/relationships/hyperlink" Target="file:///teams/nyg/2021.htm" TargetMode="External"/><Relationship Id="rId94" Type="http://schemas.openxmlformats.org/officeDocument/2006/relationships/hyperlink" Target="file:///players/P/PennRa00.htm" TargetMode="External"/><Relationship Id="rId148" Type="http://schemas.openxmlformats.org/officeDocument/2006/relationships/hyperlink" Target="file:///teams/nyg/2021.htm" TargetMode="External"/><Relationship Id="rId355" Type="http://schemas.openxmlformats.org/officeDocument/2006/relationships/hyperlink" Target="file:///players/S/SmitJo01.htm" TargetMode="External"/><Relationship Id="rId397" Type="http://schemas.openxmlformats.org/officeDocument/2006/relationships/hyperlink" Target="file:///players/S/StxxAm00.htm" TargetMode="External"/><Relationship Id="rId520" Type="http://schemas.openxmlformats.org/officeDocument/2006/relationships/hyperlink" Target="file:///players/B/BeckOd00.htm" TargetMode="External"/><Relationship Id="rId562" Type="http://schemas.openxmlformats.org/officeDocument/2006/relationships/hyperlink" Target="file:///teams/min/2021.htm" TargetMode="External"/><Relationship Id="rId618" Type="http://schemas.openxmlformats.org/officeDocument/2006/relationships/hyperlink" Target="file:///teams/htx/2021.htm" TargetMode="External"/><Relationship Id="rId215" Type="http://schemas.openxmlformats.org/officeDocument/2006/relationships/hyperlink" Target="file:///teams/sfo/2021.htm" TargetMode="External"/><Relationship Id="rId257" Type="http://schemas.openxmlformats.org/officeDocument/2006/relationships/hyperlink" Target="file:///teams/nyj/2021.htm" TargetMode="External"/><Relationship Id="rId422" Type="http://schemas.openxmlformats.org/officeDocument/2006/relationships/hyperlink" Target="file:///teams/ram/2021.htm" TargetMode="External"/><Relationship Id="rId464" Type="http://schemas.openxmlformats.org/officeDocument/2006/relationships/hyperlink" Target="file:///players/A/AghoNe00.htm" TargetMode="External"/><Relationship Id="rId299" Type="http://schemas.openxmlformats.org/officeDocument/2006/relationships/hyperlink" Target="file:///teams/cin/2021.htm" TargetMode="External"/><Relationship Id="rId63" Type="http://schemas.openxmlformats.org/officeDocument/2006/relationships/hyperlink" Target="file:///teams/nyj/2021.htm" TargetMode="External"/><Relationship Id="rId159" Type="http://schemas.openxmlformats.org/officeDocument/2006/relationships/hyperlink" Target="file:///teams/oti/2021.htm" TargetMode="External"/><Relationship Id="rId366" Type="http://schemas.openxmlformats.org/officeDocument/2006/relationships/hyperlink" Target="file:///teams/nyg/2021.htm" TargetMode="External"/><Relationship Id="rId573" Type="http://schemas.openxmlformats.org/officeDocument/2006/relationships/hyperlink" Target="file:///players/P/PeteNa00.htm" TargetMode="External"/><Relationship Id="rId226" Type="http://schemas.openxmlformats.org/officeDocument/2006/relationships/hyperlink" Target="file:///teams/rav/2021.htm" TargetMode="External"/><Relationship Id="rId433" Type="http://schemas.openxmlformats.org/officeDocument/2006/relationships/hyperlink" Target="file:///players/S/SargMe00.htm" TargetMode="External"/><Relationship Id="rId640" Type="http://schemas.openxmlformats.org/officeDocument/2006/relationships/hyperlink" Target="file:///teams/sdg/2021.htm" TargetMode="External"/><Relationship Id="rId74" Type="http://schemas.openxmlformats.org/officeDocument/2006/relationships/hyperlink" Target="file:///players/M/MattAl01.htm" TargetMode="External"/><Relationship Id="rId377" Type="http://schemas.openxmlformats.org/officeDocument/2006/relationships/hyperlink" Target="file:///players/W/WoodRo02.htm" TargetMode="External"/><Relationship Id="rId500" Type="http://schemas.openxmlformats.org/officeDocument/2006/relationships/hyperlink" Target="file:///teams/rai/2021.htm" TargetMode="External"/><Relationship Id="rId584" Type="http://schemas.openxmlformats.org/officeDocument/2006/relationships/hyperlink" Target="file:///teams/pit/2021.htm" TargetMode="External"/><Relationship Id="rId5" Type="http://schemas.openxmlformats.org/officeDocument/2006/relationships/hyperlink" Target="file:///players/M/MixoJo00.htm" TargetMode="External"/><Relationship Id="rId237" Type="http://schemas.openxmlformats.org/officeDocument/2006/relationships/hyperlink" Target="file:///players/R/RodgAa00.htm" TargetMode="External"/><Relationship Id="rId444" Type="http://schemas.openxmlformats.org/officeDocument/2006/relationships/hyperlink" Target="file:///players/B/BoonMi00.htm" TargetMode="External"/><Relationship Id="rId651" Type="http://schemas.openxmlformats.org/officeDocument/2006/relationships/hyperlink" Target="file:///teams/crd/2021.htm" TargetMode="External"/><Relationship Id="rId290" Type="http://schemas.openxmlformats.org/officeDocument/2006/relationships/hyperlink" Target="file:///players/H/HastJa02.htm" TargetMode="External"/><Relationship Id="rId304" Type="http://schemas.openxmlformats.org/officeDocument/2006/relationships/hyperlink" Target="file:///players/J/JackDe02.htm" TargetMode="External"/><Relationship Id="rId388" Type="http://schemas.openxmlformats.org/officeDocument/2006/relationships/hyperlink" Target="file:///teams/rav/2021.htm" TargetMode="External"/><Relationship Id="rId511" Type="http://schemas.openxmlformats.org/officeDocument/2006/relationships/hyperlink" Target="file:///teams/crd/2021.htm" TargetMode="External"/><Relationship Id="rId609" Type="http://schemas.openxmlformats.org/officeDocument/2006/relationships/hyperlink" Target="file:///players/B/BrowDy00.htm" TargetMode="External"/><Relationship Id="rId85" Type="http://schemas.openxmlformats.org/officeDocument/2006/relationships/hyperlink" Target="file:///teams/dal/2021.htm" TargetMode="External"/><Relationship Id="rId150" Type="http://schemas.openxmlformats.org/officeDocument/2006/relationships/hyperlink" Target="file:///teams/nyj/2021.htm" TargetMode="External"/><Relationship Id="rId595" Type="http://schemas.openxmlformats.org/officeDocument/2006/relationships/hyperlink" Target="file:///players/B/BachAl00.htm" TargetMode="External"/><Relationship Id="rId248" Type="http://schemas.openxmlformats.org/officeDocument/2006/relationships/hyperlink" Target="file:///teams/nyj/2021.htm" TargetMode="External"/><Relationship Id="rId455" Type="http://schemas.openxmlformats.org/officeDocument/2006/relationships/hyperlink" Target="file:///teams/ram/2021.htm" TargetMode="External"/><Relationship Id="rId662" Type="http://schemas.openxmlformats.org/officeDocument/2006/relationships/hyperlink" Target="file:///players/M/McLaTe00.htm" TargetMode="External"/><Relationship Id="rId12" Type="http://schemas.openxmlformats.org/officeDocument/2006/relationships/hyperlink" Target="file:///teams/nor/2021.htm" TargetMode="External"/><Relationship Id="rId108" Type="http://schemas.openxmlformats.org/officeDocument/2006/relationships/hyperlink" Target="file:///players/M/MossZa00.htm" TargetMode="External"/><Relationship Id="rId315" Type="http://schemas.openxmlformats.org/officeDocument/2006/relationships/hyperlink" Target="file:///teams/nwe/2021.htm" TargetMode="External"/><Relationship Id="rId522" Type="http://schemas.openxmlformats.org/officeDocument/2006/relationships/hyperlink" Target="file:///teams/gnb/2021.htm" TargetMode="External"/><Relationship Id="rId96" Type="http://schemas.openxmlformats.org/officeDocument/2006/relationships/hyperlink" Target="file:///players/E/EdmoCh00.htm" TargetMode="External"/><Relationship Id="rId161" Type="http://schemas.openxmlformats.org/officeDocument/2006/relationships/hyperlink" Target="file:///teams/clt/2021.htm" TargetMode="External"/><Relationship Id="rId399" Type="http://schemas.openxmlformats.org/officeDocument/2006/relationships/hyperlink" Target="file:///players/W/WalkPh00.htm" TargetMode="External"/><Relationship Id="rId259" Type="http://schemas.openxmlformats.org/officeDocument/2006/relationships/hyperlink" Target="file:///teams/nyg/2021.htm" TargetMode="External"/><Relationship Id="rId466" Type="http://schemas.openxmlformats.org/officeDocument/2006/relationships/hyperlink" Target="file:///players/A/AndeRo04.htm" TargetMode="External"/><Relationship Id="rId673" Type="http://schemas.openxmlformats.org/officeDocument/2006/relationships/hyperlink" Target="file:///teams/cin/2021.htm" TargetMode="External"/><Relationship Id="rId23" Type="http://schemas.openxmlformats.org/officeDocument/2006/relationships/hyperlink" Target="file:///players/M/MichSo00.htm" TargetMode="External"/><Relationship Id="rId119" Type="http://schemas.openxmlformats.org/officeDocument/2006/relationships/hyperlink" Target="file:///players/W/WilsJe01.htm" TargetMode="External"/><Relationship Id="rId326" Type="http://schemas.openxmlformats.org/officeDocument/2006/relationships/hyperlink" Target="file:///players/C/CartDe02.htm" TargetMode="External"/><Relationship Id="rId533" Type="http://schemas.openxmlformats.org/officeDocument/2006/relationships/hyperlink" Target="file:///players/E/EvanDa02.htm" TargetMode="External"/><Relationship Id="rId172" Type="http://schemas.openxmlformats.org/officeDocument/2006/relationships/hyperlink" Target="file:///players/C/CarsCh00.htm" TargetMode="External"/><Relationship Id="rId477" Type="http://schemas.openxmlformats.org/officeDocument/2006/relationships/hyperlink" Target="file:///players/C/CrocDa01.htm" TargetMode="External"/><Relationship Id="rId600" Type="http://schemas.openxmlformats.org/officeDocument/2006/relationships/hyperlink" Target="file:///teams/det/2021.htm" TargetMode="External"/><Relationship Id="rId684" Type="http://schemas.openxmlformats.org/officeDocument/2006/relationships/hyperlink" Target="file:///teams/mia/2021.htm" TargetMode="External"/><Relationship Id="rId337" Type="http://schemas.openxmlformats.org/officeDocument/2006/relationships/hyperlink" Target="file:///teams/tam/2021.htm" TargetMode="External"/><Relationship Id="rId34" Type="http://schemas.openxmlformats.org/officeDocument/2006/relationships/hyperlink" Target="file:///teams/crd/2021.htm" TargetMode="External"/><Relationship Id="rId544" Type="http://schemas.openxmlformats.org/officeDocument/2006/relationships/hyperlink" Target="file:///teams/cle/2021.htm" TargetMode="External"/><Relationship Id="rId183" Type="http://schemas.openxmlformats.org/officeDocument/2006/relationships/hyperlink" Target="file:///players/P/PresDa01.htm" TargetMode="External"/><Relationship Id="rId390" Type="http://schemas.openxmlformats.org/officeDocument/2006/relationships/hyperlink" Target="file:///teams/cle/2021.htm" TargetMode="External"/><Relationship Id="rId404" Type="http://schemas.openxmlformats.org/officeDocument/2006/relationships/hyperlink" Target="file:///teams/cle/2021.htm" TargetMode="External"/><Relationship Id="rId611" Type="http://schemas.openxmlformats.org/officeDocument/2006/relationships/hyperlink" Target="file:///players/B/BrowMa04.htm" TargetMode="External"/><Relationship Id="rId250" Type="http://schemas.openxmlformats.org/officeDocument/2006/relationships/hyperlink" Target="file:///teams/tam/2021.htm" TargetMode="External"/><Relationship Id="rId488" Type="http://schemas.openxmlformats.org/officeDocument/2006/relationships/hyperlink" Target="file:///teams/buf/2021.htm" TargetMode="External"/><Relationship Id="rId695" Type="http://schemas.openxmlformats.org/officeDocument/2006/relationships/hyperlink" Target="file:///players/R/RossJo00.htm" TargetMode="External"/><Relationship Id="rId709" Type="http://schemas.openxmlformats.org/officeDocument/2006/relationships/hyperlink" Target="file:///players/S/SmitTr04.htm" TargetMode="External"/><Relationship Id="rId45" Type="http://schemas.openxmlformats.org/officeDocument/2006/relationships/hyperlink" Target="file:///players/H/HubbCh01.htm" TargetMode="External"/><Relationship Id="rId110" Type="http://schemas.openxmlformats.org/officeDocument/2006/relationships/hyperlink" Target="file:///players/L/LindPh00.htm" TargetMode="External"/><Relationship Id="rId348" Type="http://schemas.openxmlformats.org/officeDocument/2006/relationships/hyperlink" Target="file:///teams/rai/2021.htm" TargetMode="External"/><Relationship Id="rId555" Type="http://schemas.openxmlformats.org/officeDocument/2006/relationships/hyperlink" Target="file:///players/K/KellJo00.htm" TargetMode="External"/><Relationship Id="rId194" Type="http://schemas.openxmlformats.org/officeDocument/2006/relationships/hyperlink" Target="file:///teams/jax/2021.htm" TargetMode="External"/><Relationship Id="rId208" Type="http://schemas.openxmlformats.org/officeDocument/2006/relationships/hyperlink" Target="file:///teams/atl/2021.htm" TargetMode="External"/><Relationship Id="rId415" Type="http://schemas.openxmlformats.org/officeDocument/2006/relationships/hyperlink" Target="file:///players/A/AkerCa00.htm" TargetMode="External"/><Relationship Id="rId622" Type="http://schemas.openxmlformats.org/officeDocument/2006/relationships/hyperlink" Target="file:///teams/jax/2021.htm" TargetMode="External"/><Relationship Id="rId261" Type="http://schemas.openxmlformats.org/officeDocument/2006/relationships/hyperlink" Target="file:///teams/gnb/2021.htm" TargetMode="External"/><Relationship Id="rId499" Type="http://schemas.openxmlformats.org/officeDocument/2006/relationships/hyperlink" Target="file:///players/R/RenfHu00.htm" TargetMode="External"/><Relationship Id="rId56" Type="http://schemas.openxmlformats.org/officeDocument/2006/relationships/hyperlink" Target="file:///players/W/WillJa06.htm" TargetMode="External"/><Relationship Id="rId359" Type="http://schemas.openxmlformats.org/officeDocument/2006/relationships/hyperlink" Target="file:///players/W/WardJo00.htm" TargetMode="External"/><Relationship Id="rId566" Type="http://schemas.openxmlformats.org/officeDocument/2006/relationships/hyperlink" Target="file:///teams/tam/2021.htm" TargetMode="External"/><Relationship Id="rId121" Type="http://schemas.openxmlformats.org/officeDocument/2006/relationships/hyperlink" Target="file:///players/H/HuntKa00.htm" TargetMode="External"/><Relationship Id="rId219" Type="http://schemas.openxmlformats.org/officeDocument/2006/relationships/hyperlink" Target="file:///players/R/RounLa00.htm" TargetMode="External"/><Relationship Id="rId426" Type="http://schemas.openxmlformats.org/officeDocument/2006/relationships/hyperlink" Target="file:///teams/nyj/2021.htm" TargetMode="External"/><Relationship Id="rId633" Type="http://schemas.openxmlformats.org/officeDocument/2006/relationships/hyperlink" Target="file:///teams/nyg/2021.htm" TargetMode="External"/><Relationship Id="rId67" Type="http://schemas.openxmlformats.org/officeDocument/2006/relationships/hyperlink" Target="file:///teams/kan/2021.htm" TargetMode="External"/><Relationship Id="rId272" Type="http://schemas.openxmlformats.org/officeDocument/2006/relationships/hyperlink" Target="file:///players/T/TaylJJ01.htm" TargetMode="External"/><Relationship Id="rId577" Type="http://schemas.openxmlformats.org/officeDocument/2006/relationships/hyperlink" Target="file:///players/S/SandEm00.htm" TargetMode="External"/><Relationship Id="rId700" Type="http://schemas.openxmlformats.org/officeDocument/2006/relationships/hyperlink" Target="file:///teams/was/2021.htm" TargetMode="External"/><Relationship Id="rId132" Type="http://schemas.openxmlformats.org/officeDocument/2006/relationships/hyperlink" Target="file:///teams/nor/2021.htm" TargetMode="External"/><Relationship Id="rId437" Type="http://schemas.openxmlformats.org/officeDocument/2006/relationships/hyperlink" Target="file:///teams/sea/2021.htm" TargetMode="External"/><Relationship Id="rId644" Type="http://schemas.openxmlformats.org/officeDocument/2006/relationships/hyperlink" Target="file:///teams/cle/2021.htm" TargetMode="External"/><Relationship Id="rId283" Type="http://schemas.openxmlformats.org/officeDocument/2006/relationships/hyperlink" Target="file:///teams/cin/2021.htm" TargetMode="External"/><Relationship Id="rId490" Type="http://schemas.openxmlformats.org/officeDocument/2006/relationships/hyperlink" Target="file:///teams/sfo/2021.htm" TargetMode="External"/><Relationship Id="rId504" Type="http://schemas.openxmlformats.org/officeDocument/2006/relationships/hyperlink" Target="file:///players/S/SmitJu00.htm" TargetMode="External"/><Relationship Id="rId711" Type="http://schemas.openxmlformats.org/officeDocument/2006/relationships/hyperlink" Target="file:///players/S/StilKe00.htm" TargetMode="External"/><Relationship Id="rId78" Type="http://schemas.openxmlformats.org/officeDocument/2006/relationships/hyperlink" Target="file:///players/F/FreeDe00.htm" TargetMode="External"/><Relationship Id="rId143" Type="http://schemas.openxmlformats.org/officeDocument/2006/relationships/hyperlink" Target="file:///players/D/DrakKe00.htm" TargetMode="External"/><Relationship Id="rId350" Type="http://schemas.openxmlformats.org/officeDocument/2006/relationships/hyperlink" Target="file:///teams/dal/2021.htm" TargetMode="External"/><Relationship Id="rId588" Type="http://schemas.openxmlformats.org/officeDocument/2006/relationships/hyperlink" Target="file:///teams/dal/2021.htm" TargetMode="External"/><Relationship Id="rId9" Type="http://schemas.openxmlformats.org/officeDocument/2006/relationships/hyperlink" Target="file:///players/C/CookDa01.htm" TargetMode="External"/><Relationship Id="rId210" Type="http://schemas.openxmlformats.org/officeDocument/2006/relationships/hyperlink" Target="file:///teams/chi/2021.htm" TargetMode="External"/><Relationship Id="rId448" Type="http://schemas.openxmlformats.org/officeDocument/2006/relationships/hyperlink" Target="file:///players/F/FoleNi00.htm" TargetMode="External"/><Relationship Id="rId655" Type="http://schemas.openxmlformats.org/officeDocument/2006/relationships/hyperlink" Target="file:///teams/mia/2021.htm" TargetMode="External"/><Relationship Id="rId294" Type="http://schemas.openxmlformats.org/officeDocument/2006/relationships/hyperlink" Target="file:///players/J/JeffJe00.htm" TargetMode="External"/><Relationship Id="rId308" Type="http://schemas.openxmlformats.org/officeDocument/2006/relationships/hyperlink" Target="file:///players/N/NwanKe00.htm" TargetMode="External"/><Relationship Id="rId515" Type="http://schemas.openxmlformats.org/officeDocument/2006/relationships/hyperlink" Target="file:///teams/car/2021.htm" TargetMode="External"/><Relationship Id="rId722" Type="http://schemas.openxmlformats.org/officeDocument/2006/relationships/hyperlink" Target="file:///teams/jax/2021.htm" TargetMode="External"/><Relationship Id="rId89" Type="http://schemas.openxmlformats.org/officeDocument/2006/relationships/hyperlink" Target="file:///teams/htx/2021.htm" TargetMode="External"/><Relationship Id="rId154" Type="http://schemas.openxmlformats.org/officeDocument/2006/relationships/hyperlink" Target="file:///teams/sfo/2021.htm" TargetMode="External"/><Relationship Id="rId361" Type="http://schemas.openxmlformats.org/officeDocument/2006/relationships/hyperlink" Target="file:///players/B/BernGi00.htm" TargetMode="External"/><Relationship Id="rId599" Type="http://schemas.openxmlformats.org/officeDocument/2006/relationships/hyperlink" Target="file:///players/B/BlouDa00.htm" TargetMode="External"/><Relationship Id="rId459" Type="http://schemas.openxmlformats.org/officeDocument/2006/relationships/hyperlink" Target="file:///teams/was/2021.htm" TargetMode="External"/><Relationship Id="rId666" Type="http://schemas.openxmlformats.org/officeDocument/2006/relationships/hyperlink" Target="file:///players/M/MeyeJa01.htm" TargetMode="External"/><Relationship Id="rId16" Type="http://schemas.openxmlformats.org/officeDocument/2006/relationships/hyperlink" Target="file:///teams/cle/2021.htm" TargetMode="External"/><Relationship Id="rId221" Type="http://schemas.openxmlformats.org/officeDocument/2006/relationships/hyperlink" Target="file:///players/S/SnelBe00.htm" TargetMode="External"/><Relationship Id="rId319" Type="http://schemas.openxmlformats.org/officeDocument/2006/relationships/hyperlink" Target="file:///teams/gnb/2021.htm" TargetMode="External"/><Relationship Id="rId526" Type="http://schemas.openxmlformats.org/officeDocument/2006/relationships/hyperlink" Target="file:///teams/det/2021.htm" TargetMode="External"/><Relationship Id="rId165" Type="http://schemas.openxmlformats.org/officeDocument/2006/relationships/hyperlink" Target="file:///teams/cin/2021.htm" TargetMode="External"/><Relationship Id="rId372" Type="http://schemas.openxmlformats.org/officeDocument/2006/relationships/hyperlink" Target="file:///teams/sfo/2021.htm" TargetMode="External"/><Relationship Id="rId677" Type="http://schemas.openxmlformats.org/officeDocument/2006/relationships/hyperlink" Target="file:///teams/cle/2021.htm" TargetMode="External"/><Relationship Id="rId232" Type="http://schemas.openxmlformats.org/officeDocument/2006/relationships/hyperlink" Target="file:///teams/dal/2021.htm" TargetMode="External"/><Relationship Id="rId27" Type="http://schemas.openxmlformats.org/officeDocument/2006/relationships/hyperlink" Target="file:///players/E/EkelAu00.htm" TargetMode="External"/><Relationship Id="rId537" Type="http://schemas.openxmlformats.org/officeDocument/2006/relationships/hyperlink" Target="file:///players/F/FunkJa00.htm" TargetMode="External"/><Relationship Id="rId80" Type="http://schemas.openxmlformats.org/officeDocument/2006/relationships/hyperlink" Target="file:///players/J/JackLa00.htm" TargetMode="External"/><Relationship Id="rId176" Type="http://schemas.openxmlformats.org/officeDocument/2006/relationships/hyperlink" Target="file:///players/A/AbduAm00.htm" TargetMode="External"/><Relationship Id="rId383" Type="http://schemas.openxmlformats.org/officeDocument/2006/relationships/hyperlink" Target="file:///players/B/BerrBr00.htm" TargetMode="External"/><Relationship Id="rId590" Type="http://schemas.openxmlformats.org/officeDocument/2006/relationships/hyperlink" Target="file:///teams/ram/2021.htm" TargetMode="External"/><Relationship Id="rId604" Type="http://schemas.openxmlformats.org/officeDocument/2006/relationships/hyperlink" Target="file:///teams/car/2021.htm" TargetMode="External"/><Relationship Id="rId243" Type="http://schemas.openxmlformats.org/officeDocument/2006/relationships/hyperlink" Target="file:///players/B/BridTe00.htm" TargetMode="External"/><Relationship Id="rId450" Type="http://schemas.openxmlformats.org/officeDocument/2006/relationships/hyperlink" Target="file:///players/G/GodwCh00.htm" TargetMode="External"/><Relationship Id="rId688" Type="http://schemas.openxmlformats.org/officeDocument/2006/relationships/hyperlink" Target="file:///teams/tam/2021.htm" TargetMode="External"/><Relationship Id="rId38" Type="http://schemas.openxmlformats.org/officeDocument/2006/relationships/hyperlink" Target="file:///teams/buf/2021.htm" TargetMode="External"/><Relationship Id="rId103" Type="http://schemas.openxmlformats.org/officeDocument/2006/relationships/hyperlink" Target="file:///teams/tam/2021.htm" TargetMode="External"/><Relationship Id="rId310" Type="http://schemas.openxmlformats.org/officeDocument/2006/relationships/hyperlink" Target="file:///players/T/TrubMi00.htm" TargetMode="External"/><Relationship Id="rId548" Type="http://schemas.openxmlformats.org/officeDocument/2006/relationships/hyperlink" Target="file:///teams/den/2021.htm" TargetMode="External"/><Relationship Id="rId91" Type="http://schemas.openxmlformats.org/officeDocument/2006/relationships/hyperlink" Target="file:///teams/kan/2021.htm" TargetMode="External"/><Relationship Id="rId187" Type="http://schemas.openxmlformats.org/officeDocument/2006/relationships/hyperlink" Target="file:///players/N/NewtCa00.htm" TargetMode="External"/><Relationship Id="rId394" Type="http://schemas.openxmlformats.org/officeDocument/2006/relationships/hyperlink" Target="file:///teams/sdg/2021.htm" TargetMode="External"/><Relationship Id="rId408" Type="http://schemas.openxmlformats.org/officeDocument/2006/relationships/hyperlink" Target="file:///teams/htx/2021.htm" TargetMode="External"/><Relationship Id="rId615" Type="http://schemas.openxmlformats.org/officeDocument/2006/relationships/hyperlink" Target="file:///players/C/CobbRa00.htm" TargetMode="External"/><Relationship Id="rId254" Type="http://schemas.openxmlformats.org/officeDocument/2006/relationships/hyperlink" Target="file:///players/B/BreiMa00.htm" TargetMode="External"/><Relationship Id="rId699" Type="http://schemas.openxmlformats.org/officeDocument/2006/relationships/hyperlink" Target="file:///players/S/SimsCa00.htm" TargetMode="External"/><Relationship Id="rId49" Type="http://schemas.openxmlformats.org/officeDocument/2006/relationships/hyperlink" Target="file:///players/R/RobiJa00.htm" TargetMode="External"/><Relationship Id="rId114" Type="http://schemas.openxmlformats.org/officeDocument/2006/relationships/hyperlink" Target="file:///teams/phi/2021.htm" TargetMode="External"/><Relationship Id="rId461" Type="http://schemas.openxmlformats.org/officeDocument/2006/relationships/hyperlink" Target="file:///teams/nor/2021.htm" TargetMode="External"/><Relationship Id="rId559" Type="http://schemas.openxmlformats.org/officeDocument/2006/relationships/hyperlink" Target="file:///players/L/LockTy00.htm" TargetMode="External"/><Relationship Id="rId198" Type="http://schemas.openxmlformats.org/officeDocument/2006/relationships/hyperlink" Target="file:///teams/mia/2021.htm" TargetMode="External"/><Relationship Id="rId321" Type="http://schemas.openxmlformats.org/officeDocument/2006/relationships/hyperlink" Target="file:///teams/kan/2021.htm" TargetMode="External"/><Relationship Id="rId419" Type="http://schemas.openxmlformats.org/officeDocument/2006/relationships/hyperlink" Target="file:///players/H/HarrDe07.htm" TargetMode="External"/><Relationship Id="rId626" Type="http://schemas.openxmlformats.org/officeDocument/2006/relationships/hyperlink" Target="file:///players/D/DortGr01.htm" TargetMode="External"/><Relationship Id="rId265" Type="http://schemas.openxmlformats.org/officeDocument/2006/relationships/hyperlink" Target="file:///teams/sea/2021.htm" TargetMode="External"/><Relationship Id="rId472" Type="http://schemas.openxmlformats.org/officeDocument/2006/relationships/hyperlink" Target="file:///players/B/BookIa00.htm" TargetMode="External"/><Relationship Id="rId125" Type="http://schemas.openxmlformats.org/officeDocument/2006/relationships/hyperlink" Target="file:///players/F/FielJu00.htm" TargetMode="External"/><Relationship Id="rId332" Type="http://schemas.openxmlformats.org/officeDocument/2006/relationships/hyperlink" Target="file:///players/R/ReagJa00.htm" TargetMode="External"/><Relationship Id="rId637" Type="http://schemas.openxmlformats.org/officeDocument/2006/relationships/hyperlink" Target="file:///players/F/FejeCl00.htm" TargetMode="External"/><Relationship Id="rId276" Type="http://schemas.openxmlformats.org/officeDocument/2006/relationships/hyperlink" Target="file:///players/I/IgweGo00.htm" TargetMode="External"/><Relationship Id="rId483" Type="http://schemas.openxmlformats.org/officeDocument/2006/relationships/hyperlink" Target="file:///players/E/EverGe00.htm" TargetMode="External"/><Relationship Id="rId690" Type="http://schemas.openxmlformats.org/officeDocument/2006/relationships/hyperlink" Target="file:///teams/rai/2021.htm" TargetMode="External"/><Relationship Id="rId704" Type="http://schemas.openxmlformats.org/officeDocument/2006/relationships/hyperlink" Target="file:///teams/dal/2021.htm" TargetMode="External"/><Relationship Id="rId40" Type="http://schemas.openxmlformats.org/officeDocument/2006/relationships/hyperlink" Target="file:///teams/gnb/2021.htm" TargetMode="External"/><Relationship Id="rId136" Type="http://schemas.openxmlformats.org/officeDocument/2006/relationships/hyperlink" Target="file:///teams/sdg/2021.htm" TargetMode="External"/><Relationship Id="rId343" Type="http://schemas.openxmlformats.org/officeDocument/2006/relationships/hyperlink" Target="file:///players/M/McKeIs00.htm" TargetMode="External"/><Relationship Id="rId550" Type="http://schemas.openxmlformats.org/officeDocument/2006/relationships/hyperlink" Target="file:///teams/oti/2021.htm" TargetMode="External"/><Relationship Id="rId203" Type="http://schemas.openxmlformats.org/officeDocument/2006/relationships/hyperlink" Target="file:///players/B/BurrJo01.htm" TargetMode="External"/><Relationship Id="rId648" Type="http://schemas.openxmlformats.org/officeDocument/2006/relationships/hyperlink" Target="file:///teams/ram/2021.ht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0.xml.rels><?xml version="1.0" encoding="UTF-8" standalone="yes"?>
<Relationships xmlns="http://schemas.openxmlformats.org/package/2006/relationships"><Relationship Id="rId21" Type="http://schemas.openxmlformats.org/officeDocument/2006/relationships/hyperlink" Target="file:///players/G/GodwCh00.htm" TargetMode="External"/><Relationship Id="rId170" Type="http://schemas.openxmlformats.org/officeDocument/2006/relationships/hyperlink" Target="file:///players/C/CallMa01.htm" TargetMode="External"/><Relationship Id="rId268" Type="http://schemas.openxmlformats.org/officeDocument/2006/relationships/hyperlink" Target="file:///teams/gnb/2021.htm" TargetMode="External"/><Relationship Id="rId475" Type="http://schemas.openxmlformats.org/officeDocument/2006/relationships/hyperlink" Target="file:///teams/dal/2021.htm" TargetMode="External"/><Relationship Id="rId682" Type="http://schemas.openxmlformats.org/officeDocument/2006/relationships/hyperlink" Target="file:///teams/oti/2021.htm" TargetMode="External"/><Relationship Id="rId128" Type="http://schemas.openxmlformats.org/officeDocument/2006/relationships/hyperlink" Target="file:///players/A/AndeRo04.htm" TargetMode="External"/><Relationship Id="rId335" Type="http://schemas.openxmlformats.org/officeDocument/2006/relationships/hyperlink" Target="file:///teams/den/2021.htm" TargetMode="External"/><Relationship Id="rId542" Type="http://schemas.openxmlformats.org/officeDocument/2006/relationships/hyperlink" Target="file:///players/T/TurnMa00.htm" TargetMode="External"/><Relationship Id="rId987" Type="http://schemas.openxmlformats.org/officeDocument/2006/relationships/hyperlink" Target="file:///players/T/TomlEr01.htm" TargetMode="External"/><Relationship Id="rId402" Type="http://schemas.openxmlformats.org/officeDocument/2006/relationships/hyperlink" Target="file:///teams/htx/2021.htm" TargetMode="External"/><Relationship Id="rId847" Type="http://schemas.openxmlformats.org/officeDocument/2006/relationships/hyperlink" Target="file:///players/E/EvanDa02.htm" TargetMode="External"/><Relationship Id="rId1032" Type="http://schemas.openxmlformats.org/officeDocument/2006/relationships/hyperlink" Target="file:///teams/car/2021.htm" TargetMode="External"/><Relationship Id="rId279" Type="http://schemas.openxmlformats.org/officeDocument/2006/relationships/hyperlink" Target="file:///players/S/SmytDu00.htm" TargetMode="External"/><Relationship Id="rId486" Type="http://schemas.openxmlformats.org/officeDocument/2006/relationships/hyperlink" Target="file:///players/W/WillMa04.htm" TargetMode="External"/><Relationship Id="rId693" Type="http://schemas.openxmlformats.org/officeDocument/2006/relationships/hyperlink" Target="file:///players/K/KellJo01.htm" TargetMode="External"/><Relationship Id="rId707" Type="http://schemas.openxmlformats.org/officeDocument/2006/relationships/hyperlink" Target="file:///players/W/WoerCh00.htm" TargetMode="External"/><Relationship Id="rId914" Type="http://schemas.openxmlformats.org/officeDocument/2006/relationships/hyperlink" Target="file:///players/B/BellNi01.htm" TargetMode="External"/><Relationship Id="rId43" Type="http://schemas.openxmlformats.org/officeDocument/2006/relationships/hyperlink" Target="file:///players/L/LambCe00.htm" TargetMode="External"/><Relationship Id="rId139" Type="http://schemas.openxmlformats.org/officeDocument/2006/relationships/hyperlink" Target="file:///teams/nyj/2021.htm" TargetMode="External"/><Relationship Id="rId346" Type="http://schemas.openxmlformats.org/officeDocument/2006/relationships/hyperlink" Target="file:///teams/nor/2021.htm" TargetMode="External"/><Relationship Id="rId553" Type="http://schemas.openxmlformats.org/officeDocument/2006/relationships/hyperlink" Target="file:///players/J/JarwBl00.htm" TargetMode="External"/><Relationship Id="rId760" Type="http://schemas.openxmlformats.org/officeDocument/2006/relationships/hyperlink" Target="file:///teams/nwe/2021.htm" TargetMode="External"/><Relationship Id="rId998" Type="http://schemas.openxmlformats.org/officeDocument/2006/relationships/hyperlink" Target="file:///teams/nor/2021.htm" TargetMode="External"/><Relationship Id="rId192" Type="http://schemas.openxmlformats.org/officeDocument/2006/relationships/hyperlink" Target="file:///teams/tam/2021.htm" TargetMode="External"/><Relationship Id="rId206" Type="http://schemas.openxmlformats.org/officeDocument/2006/relationships/hyperlink" Target="file:///teams/nyg/2021.htm" TargetMode="External"/><Relationship Id="rId413" Type="http://schemas.openxmlformats.org/officeDocument/2006/relationships/hyperlink" Target="file:///players/H/HuntKa00.htm" TargetMode="External"/><Relationship Id="rId858" Type="http://schemas.openxmlformats.org/officeDocument/2006/relationships/hyperlink" Target="file:///players/K/KumeJa00.htm" TargetMode="External"/><Relationship Id="rId1043" Type="http://schemas.openxmlformats.org/officeDocument/2006/relationships/hyperlink" Target="file:///teams/sfo/2021.htm" TargetMode="External"/><Relationship Id="rId497" Type="http://schemas.openxmlformats.org/officeDocument/2006/relationships/hyperlink" Target="file:///teams/was/2021.htm" TargetMode="External"/><Relationship Id="rId620" Type="http://schemas.openxmlformats.org/officeDocument/2006/relationships/hyperlink" Target="file:///players/G/GoreDe00.htm" TargetMode="External"/><Relationship Id="rId718" Type="http://schemas.openxmlformats.org/officeDocument/2006/relationships/hyperlink" Target="file:///teams/det/2021.htm" TargetMode="External"/><Relationship Id="rId925" Type="http://schemas.openxmlformats.org/officeDocument/2006/relationships/hyperlink" Target="file:///teams/nyg/2021.htm" TargetMode="External"/><Relationship Id="rId357" Type="http://schemas.openxmlformats.org/officeDocument/2006/relationships/hyperlink" Target="file:///players/S/SlayDa01.htm" TargetMode="External"/><Relationship Id="rId54" Type="http://schemas.openxmlformats.org/officeDocument/2006/relationships/hyperlink" Target="file:///teams/sdg/2021.htm" TargetMode="External"/><Relationship Id="rId217" Type="http://schemas.openxmlformats.org/officeDocument/2006/relationships/hyperlink" Target="file:///players/P/ParkDe01.htm" TargetMode="External"/><Relationship Id="rId564" Type="http://schemas.openxmlformats.org/officeDocument/2006/relationships/hyperlink" Target="file:///teams/ram/2021.htm" TargetMode="External"/><Relationship Id="rId771" Type="http://schemas.openxmlformats.org/officeDocument/2006/relationships/hyperlink" Target="file:///players/B/BrowMa03.htm" TargetMode="External"/><Relationship Id="rId869" Type="http://schemas.openxmlformats.org/officeDocument/2006/relationships/hyperlink" Target="file:///players/O/OlszGu00.htm" TargetMode="External"/><Relationship Id="rId424" Type="http://schemas.openxmlformats.org/officeDocument/2006/relationships/hyperlink" Target="file:///teams/ram/2021.htm" TargetMode="External"/><Relationship Id="rId631" Type="http://schemas.openxmlformats.org/officeDocument/2006/relationships/hyperlink" Target="file:///teams/gnb/2021.htm" TargetMode="External"/><Relationship Id="rId729" Type="http://schemas.openxmlformats.org/officeDocument/2006/relationships/hyperlink" Target="file:///teams/nor/2021.htm" TargetMode="External"/><Relationship Id="rId270" Type="http://schemas.openxmlformats.org/officeDocument/2006/relationships/hyperlink" Target="file:///teams/rai/2021.htm" TargetMode="External"/><Relationship Id="rId936" Type="http://schemas.openxmlformats.org/officeDocument/2006/relationships/hyperlink" Target="file:///teams/atl/2021.htm" TargetMode="External"/><Relationship Id="rId65" Type="http://schemas.openxmlformats.org/officeDocument/2006/relationships/hyperlink" Target="file:///teams/mia/2021.htm" TargetMode="External"/><Relationship Id="rId130" Type="http://schemas.openxmlformats.org/officeDocument/2006/relationships/hyperlink" Target="file:///players/P/PatrTi00.htm" TargetMode="External"/><Relationship Id="rId368" Type="http://schemas.openxmlformats.org/officeDocument/2006/relationships/hyperlink" Target="file:///teams/car/2021.htm" TargetMode="External"/><Relationship Id="rId575" Type="http://schemas.openxmlformats.org/officeDocument/2006/relationships/hyperlink" Target="file:///teams/tam/2021.htm" TargetMode="External"/><Relationship Id="rId782" Type="http://schemas.openxmlformats.org/officeDocument/2006/relationships/hyperlink" Target="file:///teams/crd/2021.htm" TargetMode="External"/><Relationship Id="rId228" Type="http://schemas.openxmlformats.org/officeDocument/2006/relationships/hyperlink" Target="file:///teams/nyg/2021.htm" TargetMode="External"/><Relationship Id="rId435" Type="http://schemas.openxmlformats.org/officeDocument/2006/relationships/hyperlink" Target="file:///teams/htx/2021.htm" TargetMode="External"/><Relationship Id="rId642" Type="http://schemas.openxmlformats.org/officeDocument/2006/relationships/hyperlink" Target="file:///teams/sea/2021.htm" TargetMode="External"/><Relationship Id="rId281" Type="http://schemas.openxmlformats.org/officeDocument/2006/relationships/hyperlink" Target="file:///players/C/CollNi00.htm" TargetMode="External"/><Relationship Id="rId502" Type="http://schemas.openxmlformats.org/officeDocument/2006/relationships/hyperlink" Target="file:///players/H/HerbKh00.htm" TargetMode="External"/><Relationship Id="rId947" Type="http://schemas.openxmlformats.org/officeDocument/2006/relationships/hyperlink" Target="file:///players/I/IsabAn00.htm" TargetMode="External"/><Relationship Id="rId76" Type="http://schemas.openxmlformats.org/officeDocument/2006/relationships/hyperlink" Target="file:///players/C/CoopAm00.htm" TargetMode="External"/><Relationship Id="rId141" Type="http://schemas.openxmlformats.org/officeDocument/2006/relationships/hyperlink" Target="file:///teams/nwe/2021.htm" TargetMode="External"/><Relationship Id="rId379" Type="http://schemas.openxmlformats.org/officeDocument/2006/relationships/hyperlink" Target="file:///players/A/AkinJo00.htm" TargetMode="External"/><Relationship Id="rId586" Type="http://schemas.openxmlformats.org/officeDocument/2006/relationships/hyperlink" Target="file:///players/S/SchwAn00.htm" TargetMode="External"/><Relationship Id="rId793" Type="http://schemas.openxmlformats.org/officeDocument/2006/relationships/hyperlink" Target="file:///players/L/LairPa00.htm" TargetMode="External"/><Relationship Id="rId807" Type="http://schemas.openxmlformats.org/officeDocument/2006/relationships/hyperlink" Target="file:///players/S/SermTr00.htm" TargetMode="External"/><Relationship Id="rId7" Type="http://schemas.openxmlformats.org/officeDocument/2006/relationships/hyperlink" Target="file:///players/J/JeffJu00.htm" TargetMode="External"/><Relationship Id="rId239" Type="http://schemas.openxmlformats.org/officeDocument/2006/relationships/hyperlink" Target="file:///teams/oti/2021.htm" TargetMode="External"/><Relationship Id="rId446" Type="http://schemas.openxmlformats.org/officeDocument/2006/relationships/hyperlink" Target="file:///players/H/HillDo00.htm" TargetMode="External"/><Relationship Id="rId653" Type="http://schemas.openxmlformats.org/officeDocument/2006/relationships/hyperlink" Target="file:///players/B/BenjEn00.htm" TargetMode="External"/><Relationship Id="rId292" Type="http://schemas.openxmlformats.org/officeDocument/2006/relationships/hyperlink" Target="file:///teams/phi/2021.htm" TargetMode="External"/><Relationship Id="rId306" Type="http://schemas.openxmlformats.org/officeDocument/2006/relationships/hyperlink" Target="file:///teams/atl/2021.htm" TargetMode="External"/><Relationship Id="rId860" Type="http://schemas.openxmlformats.org/officeDocument/2006/relationships/hyperlink" Target="file:///players/M/MackMa00.htm" TargetMode="External"/><Relationship Id="rId958" Type="http://schemas.openxmlformats.org/officeDocument/2006/relationships/hyperlink" Target="file:///teams/mia/2021.htm" TargetMode="External"/><Relationship Id="rId87" Type="http://schemas.openxmlformats.org/officeDocument/2006/relationships/hyperlink" Target="file:///teams/atl/2021.htm" TargetMode="External"/><Relationship Id="rId513" Type="http://schemas.openxmlformats.org/officeDocument/2006/relationships/hyperlink" Target="file:///teams/clt/2021.htm" TargetMode="External"/><Relationship Id="rId597" Type="http://schemas.openxmlformats.org/officeDocument/2006/relationships/hyperlink" Target="file:///teams/jax/2021.htm" TargetMode="External"/><Relationship Id="rId720" Type="http://schemas.openxmlformats.org/officeDocument/2006/relationships/hyperlink" Target="file:///teams/nyg/2021.htm" TargetMode="External"/><Relationship Id="rId818" Type="http://schemas.openxmlformats.org/officeDocument/2006/relationships/hyperlink" Target="file:///teams/pit/2021.htm" TargetMode="External"/><Relationship Id="rId152" Type="http://schemas.openxmlformats.org/officeDocument/2006/relationships/hyperlink" Target="file:///players/C/CookJa02.htm" TargetMode="External"/><Relationship Id="rId457" Type="http://schemas.openxmlformats.org/officeDocument/2006/relationships/hyperlink" Target="file:///teams/nwe/2021.htm" TargetMode="External"/><Relationship Id="rId1003" Type="http://schemas.openxmlformats.org/officeDocument/2006/relationships/hyperlink" Target="file:///players/A/AlliGe01.htm" TargetMode="External"/><Relationship Id="rId664" Type="http://schemas.openxmlformats.org/officeDocument/2006/relationships/hyperlink" Target="file:///teams/jax/2021.htm" TargetMode="External"/><Relationship Id="rId871" Type="http://schemas.openxmlformats.org/officeDocument/2006/relationships/hyperlink" Target="file:///players/P/PatmDe00.htm" TargetMode="External"/><Relationship Id="rId969" Type="http://schemas.openxmlformats.org/officeDocument/2006/relationships/hyperlink" Target="file:///players/O/OzigDe01.htm" TargetMode="External"/><Relationship Id="rId14" Type="http://schemas.openxmlformats.org/officeDocument/2006/relationships/hyperlink" Target="file:///teams/sdg/2021.htm" TargetMode="External"/><Relationship Id="rId317" Type="http://schemas.openxmlformats.org/officeDocument/2006/relationships/hyperlink" Target="file:///players/J/JuszKy00.htm" TargetMode="External"/><Relationship Id="rId524" Type="http://schemas.openxmlformats.org/officeDocument/2006/relationships/hyperlink" Target="file:///players/S/ScotBo02.htm" TargetMode="External"/><Relationship Id="rId731" Type="http://schemas.openxmlformats.org/officeDocument/2006/relationships/hyperlink" Target="file:///teams/min/2021.htm" TargetMode="External"/><Relationship Id="rId98" Type="http://schemas.openxmlformats.org/officeDocument/2006/relationships/hyperlink" Target="file:///players/H/HigbTy00.htm" TargetMode="External"/><Relationship Id="rId163" Type="http://schemas.openxmlformats.org/officeDocument/2006/relationships/hyperlink" Target="file:///teams/nor/2021.htm" TargetMode="External"/><Relationship Id="rId370" Type="http://schemas.openxmlformats.org/officeDocument/2006/relationships/hyperlink" Target="file:///teams/kan/2021.htm" TargetMode="External"/><Relationship Id="rId829" Type="http://schemas.openxmlformats.org/officeDocument/2006/relationships/hyperlink" Target="file:///players/B/BatsCa00.htm" TargetMode="External"/><Relationship Id="rId1014" Type="http://schemas.openxmlformats.org/officeDocument/2006/relationships/hyperlink" Target="file:///players/C/CoulIs00.htm" TargetMode="External"/><Relationship Id="rId230" Type="http://schemas.openxmlformats.org/officeDocument/2006/relationships/hyperlink" Target="file:///players/H/HoopAu00.htm" TargetMode="External"/><Relationship Id="rId468" Type="http://schemas.openxmlformats.org/officeDocument/2006/relationships/hyperlink" Target="file:///players/H/HamxC.00.htm" TargetMode="External"/><Relationship Id="rId675" Type="http://schemas.openxmlformats.org/officeDocument/2006/relationships/hyperlink" Target="file:///teams/nor/2021.htm" TargetMode="External"/><Relationship Id="rId882" Type="http://schemas.openxmlformats.org/officeDocument/2006/relationships/hyperlink" Target="file:///teams/car/2021.htm" TargetMode="External"/><Relationship Id="rId25" Type="http://schemas.openxmlformats.org/officeDocument/2006/relationships/hyperlink" Target="file:///players/K/KelcTr00.htm" TargetMode="External"/><Relationship Id="rId328" Type="http://schemas.openxmlformats.org/officeDocument/2006/relationships/hyperlink" Target="file:///teams/ram/2021.htm" TargetMode="External"/><Relationship Id="rId535" Type="http://schemas.openxmlformats.org/officeDocument/2006/relationships/hyperlink" Target="file:///teams/nwe/2021.htm" TargetMode="External"/><Relationship Id="rId742" Type="http://schemas.openxmlformats.org/officeDocument/2006/relationships/hyperlink" Target="file:///players/J/JohnJa12.htm" TargetMode="External"/><Relationship Id="rId174" Type="http://schemas.openxmlformats.org/officeDocument/2006/relationships/hyperlink" Target="file:///players/W/WilsCe01.htm" TargetMode="External"/><Relationship Id="rId381" Type="http://schemas.openxmlformats.org/officeDocument/2006/relationships/hyperlink" Target="file:///players/A/AlieMo00.htm" TargetMode="External"/><Relationship Id="rId602" Type="http://schemas.openxmlformats.org/officeDocument/2006/relationships/hyperlink" Target="file:///players/O/OlivJo00.htm" TargetMode="External"/><Relationship Id="rId1025" Type="http://schemas.openxmlformats.org/officeDocument/2006/relationships/hyperlink" Target="file:///teams/phi/2021.htm" TargetMode="External"/><Relationship Id="rId241" Type="http://schemas.openxmlformats.org/officeDocument/2006/relationships/hyperlink" Target="file:///teams/nwe/2021.htm" TargetMode="External"/><Relationship Id="rId479" Type="http://schemas.openxmlformats.org/officeDocument/2006/relationships/hyperlink" Target="file:///teams/nyj/2021.htm" TargetMode="External"/><Relationship Id="rId686" Type="http://schemas.openxmlformats.org/officeDocument/2006/relationships/hyperlink" Target="file:///teams/kan/2021.htm" TargetMode="External"/><Relationship Id="rId893" Type="http://schemas.openxmlformats.org/officeDocument/2006/relationships/hyperlink" Target="file:///players/T/TaylMa01.htm" TargetMode="External"/><Relationship Id="rId907" Type="http://schemas.openxmlformats.org/officeDocument/2006/relationships/hyperlink" Target="file:///players/W/WolfEt00.htm" TargetMode="External"/><Relationship Id="rId36" Type="http://schemas.openxmlformats.org/officeDocument/2006/relationships/hyperlink" Target="file:///teams/nwe/2021.htm" TargetMode="External"/><Relationship Id="rId339" Type="http://schemas.openxmlformats.org/officeDocument/2006/relationships/hyperlink" Target="file:///teams/nwe/2021.htm" TargetMode="External"/><Relationship Id="rId546" Type="http://schemas.openxmlformats.org/officeDocument/2006/relationships/hyperlink" Target="file:///players/W/WrigBr01.htm" TargetMode="External"/><Relationship Id="rId753" Type="http://schemas.openxmlformats.org/officeDocument/2006/relationships/hyperlink" Target="file:///teams/gnb/2021.htm" TargetMode="External"/><Relationship Id="rId101" Type="http://schemas.openxmlformats.org/officeDocument/2006/relationships/hyperlink" Target="file:///teams/det/2021.htm" TargetMode="External"/><Relationship Id="rId185" Type="http://schemas.openxmlformats.org/officeDocument/2006/relationships/hyperlink" Target="file:///players/M/MoorEl00.htm" TargetMode="External"/><Relationship Id="rId406" Type="http://schemas.openxmlformats.org/officeDocument/2006/relationships/hyperlink" Target="file:///teams/clt/2021.htm" TargetMode="External"/><Relationship Id="rId960" Type="http://schemas.openxmlformats.org/officeDocument/2006/relationships/hyperlink" Target="file:///teams/nyj/2021.htm" TargetMode="External"/><Relationship Id="rId1036" Type="http://schemas.openxmlformats.org/officeDocument/2006/relationships/hyperlink" Target="file:///players/S/SmitVy00.htm" TargetMode="External"/><Relationship Id="rId392" Type="http://schemas.openxmlformats.org/officeDocument/2006/relationships/hyperlink" Target="file:///teams/sfo/2021.htm" TargetMode="External"/><Relationship Id="rId613" Type="http://schemas.openxmlformats.org/officeDocument/2006/relationships/hyperlink" Target="file:///teams/gnb/2021.htm" TargetMode="External"/><Relationship Id="rId697" Type="http://schemas.openxmlformats.org/officeDocument/2006/relationships/hyperlink" Target="file:///players/P/ParkCo02.htm" TargetMode="External"/><Relationship Id="rId820" Type="http://schemas.openxmlformats.org/officeDocument/2006/relationships/hyperlink" Target="file:///teams/nyj/2021.htm" TargetMode="External"/><Relationship Id="rId918" Type="http://schemas.openxmlformats.org/officeDocument/2006/relationships/hyperlink" Target="file:///players/B/BoykMi00.htm" TargetMode="External"/><Relationship Id="rId252" Type="http://schemas.openxmlformats.org/officeDocument/2006/relationships/hyperlink" Target="file:///players/J/JohnTy00.htm" TargetMode="External"/><Relationship Id="rId47" Type="http://schemas.openxmlformats.org/officeDocument/2006/relationships/hyperlink" Target="file:///players/K/KirkCh01.htm" TargetMode="External"/><Relationship Id="rId112" Type="http://schemas.openxmlformats.org/officeDocument/2006/relationships/hyperlink" Target="file:///players/A/AiyuBr00.htm" TargetMode="External"/><Relationship Id="rId557" Type="http://schemas.openxmlformats.org/officeDocument/2006/relationships/hyperlink" Target="file:///players/P/PerrBr02.htm" TargetMode="External"/><Relationship Id="rId764" Type="http://schemas.openxmlformats.org/officeDocument/2006/relationships/hyperlink" Target="file:///teams/nwe/2021.htm" TargetMode="External"/><Relationship Id="rId971" Type="http://schemas.openxmlformats.org/officeDocument/2006/relationships/hyperlink" Target="file:///teams/clt/2021.htm" TargetMode="External"/><Relationship Id="rId196" Type="http://schemas.openxmlformats.org/officeDocument/2006/relationships/hyperlink" Target="file:///teams/crd/2021.htm" TargetMode="External"/><Relationship Id="rId417" Type="http://schemas.openxmlformats.org/officeDocument/2006/relationships/hyperlink" Target="file:///players/B/BryaHa00.htm" TargetMode="External"/><Relationship Id="rId624" Type="http://schemas.openxmlformats.org/officeDocument/2006/relationships/hyperlink" Target="file:///players/R/RicaPa00.htm" TargetMode="External"/><Relationship Id="rId831" Type="http://schemas.openxmlformats.org/officeDocument/2006/relationships/hyperlink" Target="file:///players/B/BlasKh00.htm" TargetMode="External"/><Relationship Id="rId263" Type="http://schemas.openxmlformats.org/officeDocument/2006/relationships/hyperlink" Target="file:///players/C/CookDa01.htm" TargetMode="External"/><Relationship Id="rId470" Type="http://schemas.openxmlformats.org/officeDocument/2006/relationships/hyperlink" Target="file:///players/M/MarsTe00.htm" TargetMode="External"/><Relationship Id="rId929" Type="http://schemas.openxmlformats.org/officeDocument/2006/relationships/hyperlink" Target="file:///teams/crd/2021.htm" TargetMode="External"/><Relationship Id="rId58" Type="http://schemas.openxmlformats.org/officeDocument/2006/relationships/hyperlink" Target="file:///players/E/EvanMi00.htm" TargetMode="External"/><Relationship Id="rId123" Type="http://schemas.openxmlformats.org/officeDocument/2006/relationships/hyperlink" Target="file:///teams/crd/2021.htm" TargetMode="External"/><Relationship Id="rId330" Type="http://schemas.openxmlformats.org/officeDocument/2006/relationships/hyperlink" Target="file:///players/C/CobbRa00.htm" TargetMode="External"/><Relationship Id="rId568" Type="http://schemas.openxmlformats.org/officeDocument/2006/relationships/hyperlink" Target="file:///teams/det/2021.htm" TargetMode="External"/><Relationship Id="rId775" Type="http://schemas.openxmlformats.org/officeDocument/2006/relationships/hyperlink" Target="file:///players/D/DortGr01.htm" TargetMode="External"/><Relationship Id="rId982" Type="http://schemas.openxmlformats.org/officeDocument/2006/relationships/hyperlink" Target="file:///teams/den/2021.htm" TargetMode="External"/><Relationship Id="rId428" Type="http://schemas.openxmlformats.org/officeDocument/2006/relationships/hyperlink" Target="file:///teams/was/2021.htm" TargetMode="External"/><Relationship Id="rId635" Type="http://schemas.openxmlformats.org/officeDocument/2006/relationships/hyperlink" Target="file:///teams/jax/2021.htm" TargetMode="External"/><Relationship Id="rId842" Type="http://schemas.openxmlformats.org/officeDocument/2006/relationships/hyperlink" Target="file:///teams/mia/2021.htm" TargetMode="External"/><Relationship Id="rId274" Type="http://schemas.openxmlformats.org/officeDocument/2006/relationships/hyperlink" Target="file:///teams/rav/2021.htm" TargetMode="External"/><Relationship Id="rId481" Type="http://schemas.openxmlformats.org/officeDocument/2006/relationships/hyperlink" Target="file:///teams/nor/2021.htm" TargetMode="External"/><Relationship Id="rId702" Type="http://schemas.openxmlformats.org/officeDocument/2006/relationships/hyperlink" Target="file:///teams/min/2021.htm" TargetMode="External"/><Relationship Id="rId69" Type="http://schemas.openxmlformats.org/officeDocument/2006/relationships/hyperlink" Target="file:///teams/sea/2021.htm" TargetMode="External"/><Relationship Id="rId134" Type="http://schemas.openxmlformats.org/officeDocument/2006/relationships/hyperlink" Target="file:///players/L/LandJa00.htm" TargetMode="External"/><Relationship Id="rId579" Type="http://schemas.openxmlformats.org/officeDocument/2006/relationships/hyperlink" Target="file:///teams/tam/2021.htm" TargetMode="External"/><Relationship Id="rId786" Type="http://schemas.openxmlformats.org/officeDocument/2006/relationships/hyperlink" Target="file:///teams/oti/2021.htm" TargetMode="External"/><Relationship Id="rId993" Type="http://schemas.openxmlformats.org/officeDocument/2006/relationships/hyperlink" Target="file:///players/W/WillSe00.htm" TargetMode="External"/><Relationship Id="rId341" Type="http://schemas.openxmlformats.org/officeDocument/2006/relationships/hyperlink" Target="file:///teams/nyj/2021.htm" TargetMode="External"/><Relationship Id="rId439" Type="http://schemas.openxmlformats.org/officeDocument/2006/relationships/hyperlink" Target="file:///teams/sdg/2021.htm" TargetMode="External"/><Relationship Id="rId646" Type="http://schemas.openxmlformats.org/officeDocument/2006/relationships/hyperlink" Target="file:///teams/chi/2021.htm" TargetMode="External"/><Relationship Id="rId201" Type="http://schemas.openxmlformats.org/officeDocument/2006/relationships/hyperlink" Target="file:///players/P/PrinBy00.htm" TargetMode="External"/><Relationship Id="rId285" Type="http://schemas.openxmlformats.org/officeDocument/2006/relationships/hyperlink" Target="file:///players/G/GainKe00.htm" TargetMode="External"/><Relationship Id="rId506" Type="http://schemas.openxmlformats.org/officeDocument/2006/relationships/hyperlink" Target="file:///players/H/HowaO.00.htm" TargetMode="External"/><Relationship Id="rId853" Type="http://schemas.openxmlformats.org/officeDocument/2006/relationships/hyperlink" Target="file:///players/I/IrwiTr00.htm" TargetMode="External"/><Relationship Id="rId492" Type="http://schemas.openxmlformats.org/officeDocument/2006/relationships/hyperlink" Target="file:///players/H/HintKe00.htm" TargetMode="External"/><Relationship Id="rId713" Type="http://schemas.openxmlformats.org/officeDocument/2006/relationships/hyperlink" Target="file:///players/B/BoarC.00.htm" TargetMode="External"/><Relationship Id="rId797" Type="http://schemas.openxmlformats.org/officeDocument/2006/relationships/hyperlink" Target="file:///players/M/MoorJa02.htm" TargetMode="External"/><Relationship Id="rId920" Type="http://schemas.openxmlformats.org/officeDocument/2006/relationships/hyperlink" Target="file:///players/B/BoylNi00.htm" TargetMode="External"/><Relationship Id="rId145" Type="http://schemas.openxmlformats.org/officeDocument/2006/relationships/hyperlink" Target="file:///teams/min/2021.htm" TargetMode="External"/><Relationship Id="rId352" Type="http://schemas.openxmlformats.org/officeDocument/2006/relationships/hyperlink" Target="file:///teams/atl/2021.htm" TargetMode="External"/><Relationship Id="rId212" Type="http://schemas.openxmlformats.org/officeDocument/2006/relationships/hyperlink" Target="file:///teams/nyg/2021.htm" TargetMode="External"/><Relationship Id="rId657" Type="http://schemas.openxmlformats.org/officeDocument/2006/relationships/hyperlink" Target="file:///players/C/ClemCo00.htm" TargetMode="External"/><Relationship Id="rId864" Type="http://schemas.openxmlformats.org/officeDocument/2006/relationships/hyperlink" Target="file:///players/M/MickJa01.htm" TargetMode="External"/><Relationship Id="rId296" Type="http://schemas.openxmlformats.org/officeDocument/2006/relationships/hyperlink" Target="file:///teams/htx/2021.htm" TargetMode="External"/><Relationship Id="rId517" Type="http://schemas.openxmlformats.org/officeDocument/2006/relationships/hyperlink" Target="file:///teams/nor/2021.htm" TargetMode="External"/><Relationship Id="rId724" Type="http://schemas.openxmlformats.org/officeDocument/2006/relationships/hyperlink" Target="file:///teams/sfo/2021.htm" TargetMode="External"/><Relationship Id="rId931" Type="http://schemas.openxmlformats.org/officeDocument/2006/relationships/hyperlink" Target="file:///teams/atl/2021.htm" TargetMode="External"/><Relationship Id="rId60" Type="http://schemas.openxmlformats.org/officeDocument/2006/relationships/hyperlink" Target="file:///players/H/HarrNa00.htm" TargetMode="External"/><Relationship Id="rId156" Type="http://schemas.openxmlformats.org/officeDocument/2006/relationships/hyperlink" Target="file:///players/R/RaymKa00.htm" TargetMode="External"/><Relationship Id="rId363" Type="http://schemas.openxmlformats.org/officeDocument/2006/relationships/hyperlink" Target="file:///players/B/BurkRe00.htm" TargetMode="External"/><Relationship Id="rId570" Type="http://schemas.openxmlformats.org/officeDocument/2006/relationships/hyperlink" Target="file:///teams/clt/2021.htm" TargetMode="External"/><Relationship Id="rId1007" Type="http://schemas.openxmlformats.org/officeDocument/2006/relationships/hyperlink" Target="file:///players/B/BradDa00.htm" TargetMode="External"/><Relationship Id="rId223" Type="http://schemas.openxmlformats.org/officeDocument/2006/relationships/hyperlink" Target="file:///players/M/McClRa00.htm" TargetMode="External"/><Relationship Id="rId430" Type="http://schemas.openxmlformats.org/officeDocument/2006/relationships/hyperlink" Target="file:///teams/cle/2021.htm" TargetMode="External"/><Relationship Id="rId668" Type="http://schemas.openxmlformats.org/officeDocument/2006/relationships/hyperlink" Target="file:///players/P/PennRa00.htm" TargetMode="External"/><Relationship Id="rId875" Type="http://schemas.openxmlformats.org/officeDocument/2006/relationships/hyperlink" Target="file:///players/R/RadeKe00.htm" TargetMode="External"/><Relationship Id="rId18" Type="http://schemas.openxmlformats.org/officeDocument/2006/relationships/hyperlink" Target="file:///teams/buf/2021.htm" TargetMode="External"/><Relationship Id="rId528" Type="http://schemas.openxmlformats.org/officeDocument/2006/relationships/hyperlink" Target="file:///players/B/BrowDy00.htm" TargetMode="External"/><Relationship Id="rId735" Type="http://schemas.openxmlformats.org/officeDocument/2006/relationships/hyperlink" Target="file:///teams/nor/2021.htm" TargetMode="External"/><Relationship Id="rId942" Type="http://schemas.openxmlformats.org/officeDocument/2006/relationships/hyperlink" Target="file:///teams/gnb/2021.htm" TargetMode="External"/><Relationship Id="rId167" Type="http://schemas.openxmlformats.org/officeDocument/2006/relationships/hyperlink" Target="file:///teams/rav/2021.htm" TargetMode="External"/><Relationship Id="rId374" Type="http://schemas.openxmlformats.org/officeDocument/2006/relationships/hyperlink" Target="file:///teams/sea/2021.htm" TargetMode="External"/><Relationship Id="rId581" Type="http://schemas.openxmlformats.org/officeDocument/2006/relationships/hyperlink" Target="file:///teams/rav/2021.htm" TargetMode="External"/><Relationship Id="rId1018" Type="http://schemas.openxmlformats.org/officeDocument/2006/relationships/hyperlink" Target="file:///players/D/DawkDi00.htm" TargetMode="External"/><Relationship Id="rId71" Type="http://schemas.openxmlformats.org/officeDocument/2006/relationships/hyperlink" Target="file:///teams/sfo/2021.htm" TargetMode="External"/><Relationship Id="rId234" Type="http://schemas.openxmlformats.org/officeDocument/2006/relationships/hyperlink" Target="file:///players/P/PascZa00.htm" TargetMode="External"/><Relationship Id="rId679" Type="http://schemas.openxmlformats.org/officeDocument/2006/relationships/hyperlink" Target="file:///teams/htx/2021.htm" TargetMode="External"/><Relationship Id="rId802" Type="http://schemas.openxmlformats.org/officeDocument/2006/relationships/hyperlink" Target="file:///teams/sdg/2021.htm" TargetMode="External"/><Relationship Id="rId886" Type="http://schemas.openxmlformats.org/officeDocument/2006/relationships/hyperlink" Target="file:///teams/pit/2021.htm" TargetMode="External"/><Relationship Id="rId2" Type="http://schemas.openxmlformats.org/officeDocument/2006/relationships/hyperlink" Target="file:///teams/ram/2021.htm" TargetMode="External"/><Relationship Id="rId29" Type="http://schemas.openxmlformats.org/officeDocument/2006/relationships/hyperlink" Target="file:///players/C/CookBr00.htm" TargetMode="External"/><Relationship Id="rId441" Type="http://schemas.openxmlformats.org/officeDocument/2006/relationships/hyperlink" Target="file:///teams/car/2021.htm" TargetMode="External"/><Relationship Id="rId539" Type="http://schemas.openxmlformats.org/officeDocument/2006/relationships/hyperlink" Target="file:///teams/rai/2021.htm" TargetMode="External"/><Relationship Id="rId746" Type="http://schemas.openxmlformats.org/officeDocument/2006/relationships/hyperlink" Target="file:///teams/dal/2021.htm" TargetMode="External"/><Relationship Id="rId178" Type="http://schemas.openxmlformats.org/officeDocument/2006/relationships/hyperlink" Target="file:///players/B/BeckOd00.htm" TargetMode="External"/><Relationship Id="rId301" Type="http://schemas.openxmlformats.org/officeDocument/2006/relationships/hyperlink" Target="file:///players/G/GuytJa01.htm" TargetMode="External"/><Relationship Id="rId953" Type="http://schemas.openxmlformats.org/officeDocument/2006/relationships/hyperlink" Target="file:///players/L/LewiTo00.htm" TargetMode="External"/><Relationship Id="rId1029" Type="http://schemas.openxmlformats.org/officeDocument/2006/relationships/hyperlink" Target="file:///players/N/NelsMa00.htm" TargetMode="External"/><Relationship Id="rId82" Type="http://schemas.openxmlformats.org/officeDocument/2006/relationships/hyperlink" Target="file:///players/B/BoydTy00.htm" TargetMode="External"/><Relationship Id="rId385" Type="http://schemas.openxmlformats.org/officeDocument/2006/relationships/hyperlink" Target="file:///players/A/AustTa00.htm" TargetMode="External"/><Relationship Id="rId592" Type="http://schemas.openxmlformats.org/officeDocument/2006/relationships/hyperlink" Target="file:///players/C/CollAl00.htm" TargetMode="External"/><Relationship Id="rId606" Type="http://schemas.openxmlformats.org/officeDocument/2006/relationships/hyperlink" Target="file:///players/S/SherTr00.htm" TargetMode="External"/><Relationship Id="rId813" Type="http://schemas.openxmlformats.org/officeDocument/2006/relationships/hyperlink" Target="file:///players/T/TateAu00.htm" TargetMode="External"/><Relationship Id="rId245" Type="http://schemas.openxmlformats.org/officeDocument/2006/relationships/hyperlink" Target="file:///teams/nyg/2021.htm" TargetMode="External"/><Relationship Id="rId452" Type="http://schemas.openxmlformats.org/officeDocument/2006/relationships/hyperlink" Target="file:///players/W/WeslAn01.htm" TargetMode="External"/><Relationship Id="rId897" Type="http://schemas.openxmlformats.org/officeDocument/2006/relationships/hyperlink" Target="file:///players/T/TaylTr02.htm" TargetMode="External"/><Relationship Id="rId105" Type="http://schemas.openxmlformats.org/officeDocument/2006/relationships/hyperlink" Target="file:///teams/chi/2021.htm" TargetMode="External"/><Relationship Id="rId312" Type="http://schemas.openxmlformats.org/officeDocument/2006/relationships/hyperlink" Target="file:///teams/atl/2021.htm" TargetMode="External"/><Relationship Id="rId757" Type="http://schemas.openxmlformats.org/officeDocument/2006/relationships/hyperlink" Target="file:///players/S/StolJa00.htm" TargetMode="External"/><Relationship Id="rId964" Type="http://schemas.openxmlformats.org/officeDocument/2006/relationships/hyperlink" Target="file:///teams/mia/2021.htm" TargetMode="External"/><Relationship Id="rId93" Type="http://schemas.openxmlformats.org/officeDocument/2006/relationships/hyperlink" Target="file:///teams/jax/2021.htm" TargetMode="External"/><Relationship Id="rId189" Type="http://schemas.openxmlformats.org/officeDocument/2006/relationships/hyperlink" Target="file:///players/W/WillJa10.htm" TargetMode="External"/><Relationship Id="rId396" Type="http://schemas.openxmlformats.org/officeDocument/2006/relationships/hyperlink" Target="file:///teams/rai/2021.htm" TargetMode="External"/><Relationship Id="rId617" Type="http://schemas.openxmlformats.org/officeDocument/2006/relationships/hyperlink" Target="file:///teams/nor/2021.htm" TargetMode="External"/><Relationship Id="rId824" Type="http://schemas.openxmlformats.org/officeDocument/2006/relationships/hyperlink" Target="file:///teams/det/2021.htm" TargetMode="External"/><Relationship Id="rId256" Type="http://schemas.openxmlformats.org/officeDocument/2006/relationships/hyperlink" Target="file:///players/S/ShepSt00.htm" TargetMode="External"/><Relationship Id="rId463" Type="http://schemas.openxmlformats.org/officeDocument/2006/relationships/hyperlink" Target="file:///teams/was/2021.htm" TargetMode="External"/><Relationship Id="rId670" Type="http://schemas.openxmlformats.org/officeDocument/2006/relationships/hyperlink" Target="file:///players/S/SamuCu00.htm" TargetMode="External"/><Relationship Id="rId116" Type="http://schemas.openxmlformats.org/officeDocument/2006/relationships/hyperlink" Target="file:///players/B/BourKe00.htm" TargetMode="External"/><Relationship Id="rId323" Type="http://schemas.openxmlformats.org/officeDocument/2006/relationships/hyperlink" Target="file:///players/S/SealRi00.htm" TargetMode="External"/><Relationship Id="rId530" Type="http://schemas.openxmlformats.org/officeDocument/2006/relationships/hyperlink" Target="file:///players/E/EbroEr00.htm" TargetMode="External"/><Relationship Id="rId768" Type="http://schemas.openxmlformats.org/officeDocument/2006/relationships/hyperlink" Target="file:///teams/ram/2021.htm" TargetMode="External"/><Relationship Id="rId975" Type="http://schemas.openxmlformats.org/officeDocument/2006/relationships/hyperlink" Target="file:///teams/kan/2021.htm" TargetMode="External"/><Relationship Id="rId20" Type="http://schemas.openxmlformats.org/officeDocument/2006/relationships/hyperlink" Target="file:///teams/rai/2021.htm" TargetMode="External"/><Relationship Id="rId628" Type="http://schemas.openxmlformats.org/officeDocument/2006/relationships/hyperlink" Target="file:///players/S/SmitJe03.htm" TargetMode="External"/><Relationship Id="rId835" Type="http://schemas.openxmlformats.org/officeDocument/2006/relationships/hyperlink" Target="file:///players/B/BoonMi00.htm" TargetMode="External"/><Relationship Id="rId267" Type="http://schemas.openxmlformats.org/officeDocument/2006/relationships/hyperlink" Target="file:///players/D/DillAJ00.htm" TargetMode="External"/><Relationship Id="rId474" Type="http://schemas.openxmlformats.org/officeDocument/2006/relationships/hyperlink" Target="file:///players/B/BrowNo00.htm" TargetMode="External"/><Relationship Id="rId1020" Type="http://schemas.openxmlformats.org/officeDocument/2006/relationships/hyperlink" Target="file:///players/E/ElleBe00.htm" TargetMode="External"/><Relationship Id="rId127" Type="http://schemas.openxmlformats.org/officeDocument/2006/relationships/hyperlink" Target="file:///teams/crd/2021.htm" TargetMode="External"/><Relationship Id="rId681" Type="http://schemas.openxmlformats.org/officeDocument/2006/relationships/hyperlink" Target="file:///players/F/FitzDe00.htm" TargetMode="External"/><Relationship Id="rId779" Type="http://schemas.openxmlformats.org/officeDocument/2006/relationships/hyperlink" Target="file:///players/G/GillRe00.htm" TargetMode="External"/><Relationship Id="rId902" Type="http://schemas.openxmlformats.org/officeDocument/2006/relationships/hyperlink" Target="file:///teams/nyj/2021.htm" TargetMode="External"/><Relationship Id="rId986" Type="http://schemas.openxmlformats.org/officeDocument/2006/relationships/hyperlink" Target="file:///teams/nyg/2021.htm" TargetMode="External"/><Relationship Id="rId31" Type="http://schemas.openxmlformats.org/officeDocument/2006/relationships/hyperlink" Target="file:///players/S/StxxAm00.htm" TargetMode="External"/><Relationship Id="rId334" Type="http://schemas.openxmlformats.org/officeDocument/2006/relationships/hyperlink" Target="file:///players/G/GordMe00.htm" TargetMode="External"/><Relationship Id="rId541" Type="http://schemas.openxmlformats.org/officeDocument/2006/relationships/hyperlink" Target="file:///teams/mia/2021.htm" TargetMode="External"/><Relationship Id="rId639" Type="http://schemas.openxmlformats.org/officeDocument/2006/relationships/hyperlink" Target="file:///players/G/GrayNo00.htm" TargetMode="External"/><Relationship Id="rId180" Type="http://schemas.openxmlformats.org/officeDocument/2006/relationships/hyperlink" Target="file:///teams/atl/2021.htm" TargetMode="External"/><Relationship Id="rId278" Type="http://schemas.openxmlformats.org/officeDocument/2006/relationships/hyperlink" Target="file:///teams/cle/2021.htm" TargetMode="External"/><Relationship Id="rId401" Type="http://schemas.openxmlformats.org/officeDocument/2006/relationships/hyperlink" Target="file:///players/B/BrowPh01.htm" TargetMode="External"/><Relationship Id="rId846" Type="http://schemas.openxmlformats.org/officeDocument/2006/relationships/hyperlink" Target="file:///teams/det/2021.htm" TargetMode="External"/><Relationship Id="rId1031" Type="http://schemas.openxmlformats.org/officeDocument/2006/relationships/hyperlink" Target="file:///players/R/RiccGi00.htm" TargetMode="External"/><Relationship Id="rId485" Type="http://schemas.openxmlformats.org/officeDocument/2006/relationships/hyperlink" Target="file:///teams/chi/2021.htm" TargetMode="External"/><Relationship Id="rId692" Type="http://schemas.openxmlformats.org/officeDocument/2006/relationships/hyperlink" Target="file:///teams/nor/2021.htm" TargetMode="External"/><Relationship Id="rId706" Type="http://schemas.openxmlformats.org/officeDocument/2006/relationships/hyperlink" Target="file:///teams/pit/2021.htm" TargetMode="External"/><Relationship Id="rId913" Type="http://schemas.openxmlformats.org/officeDocument/2006/relationships/hyperlink" Target="file:///teams/nyj/2021.htm" TargetMode="External"/><Relationship Id="rId42" Type="http://schemas.openxmlformats.org/officeDocument/2006/relationships/hyperlink" Target="file:///teams/chi/2021.htm" TargetMode="External"/><Relationship Id="rId138" Type="http://schemas.openxmlformats.org/officeDocument/2006/relationships/hyperlink" Target="file:///players/C/CrowJa00.htm" TargetMode="External"/><Relationship Id="rId345" Type="http://schemas.openxmlformats.org/officeDocument/2006/relationships/hyperlink" Target="file:///players/T/TrauAd00.htm" TargetMode="External"/><Relationship Id="rId552" Type="http://schemas.openxmlformats.org/officeDocument/2006/relationships/hyperlink" Target="file:///players/G/GranJa00.htm" TargetMode="External"/><Relationship Id="rId997" Type="http://schemas.openxmlformats.org/officeDocument/2006/relationships/hyperlink" Target="file:///players/W/WinsEa00.htm" TargetMode="External"/><Relationship Id="rId191" Type="http://schemas.openxmlformats.org/officeDocument/2006/relationships/hyperlink" Target="file:///players/B/BrowAn04.htm" TargetMode="External"/><Relationship Id="rId205" Type="http://schemas.openxmlformats.org/officeDocument/2006/relationships/hyperlink" Target="file:///players/B/BarkSa00.htm" TargetMode="External"/><Relationship Id="rId412" Type="http://schemas.openxmlformats.org/officeDocument/2006/relationships/hyperlink" Target="file:///teams/htx/2021.htm" TargetMode="External"/><Relationship Id="rId857" Type="http://schemas.openxmlformats.org/officeDocument/2006/relationships/hyperlink" Target="file:///teams/kan/2021.htm" TargetMode="External"/><Relationship Id="rId1042" Type="http://schemas.openxmlformats.org/officeDocument/2006/relationships/hyperlink" Target="file:///players/W/WillTr21.htm" TargetMode="External"/><Relationship Id="rId289" Type="http://schemas.openxmlformats.org/officeDocument/2006/relationships/hyperlink" Target="file:///players/P/PalmJo00.htm" TargetMode="External"/><Relationship Id="rId496" Type="http://schemas.openxmlformats.org/officeDocument/2006/relationships/hyperlink" Target="file:///players/S/SimsCa00.htm" TargetMode="External"/><Relationship Id="rId717" Type="http://schemas.openxmlformats.org/officeDocument/2006/relationships/hyperlink" Target="file:///players/C/CabiJa00.htm" TargetMode="External"/><Relationship Id="rId924" Type="http://schemas.openxmlformats.org/officeDocument/2006/relationships/hyperlink" Target="file:///players/B/BrigGa00.htm" TargetMode="External"/><Relationship Id="rId53" Type="http://schemas.openxmlformats.org/officeDocument/2006/relationships/hyperlink" Target="file:///players/W/WillMi07.htm" TargetMode="External"/><Relationship Id="rId149" Type="http://schemas.openxmlformats.org/officeDocument/2006/relationships/hyperlink" Target="file:///teams/buf/2021.htm" TargetMode="External"/><Relationship Id="rId356" Type="http://schemas.openxmlformats.org/officeDocument/2006/relationships/hyperlink" Target="file:///teams/phi/2021.htm" TargetMode="External"/><Relationship Id="rId563" Type="http://schemas.openxmlformats.org/officeDocument/2006/relationships/hyperlink" Target="file:///players/S/SkowBe00.htm" TargetMode="External"/><Relationship Id="rId770" Type="http://schemas.openxmlformats.org/officeDocument/2006/relationships/hyperlink" Target="file:///teams/jax/2021.htm" TargetMode="External"/><Relationship Id="rId216" Type="http://schemas.openxmlformats.org/officeDocument/2006/relationships/hyperlink" Target="file:///teams/gnb/2021.htm" TargetMode="External"/><Relationship Id="rId423" Type="http://schemas.openxmlformats.org/officeDocument/2006/relationships/hyperlink" Target="file:///players/M/MichSo00.htm" TargetMode="External"/><Relationship Id="rId868" Type="http://schemas.openxmlformats.org/officeDocument/2006/relationships/hyperlink" Target="file:///teams/chi/2021.htm" TargetMode="External"/><Relationship Id="rId630" Type="http://schemas.openxmlformats.org/officeDocument/2006/relationships/hyperlink" Target="file:///players/W/WinfJu00.htm" TargetMode="External"/><Relationship Id="rId728" Type="http://schemas.openxmlformats.org/officeDocument/2006/relationships/hyperlink" Target="file:///players/G/GrifGa00.htm" TargetMode="External"/><Relationship Id="rId935" Type="http://schemas.openxmlformats.org/officeDocument/2006/relationships/hyperlink" Target="file:///players/H/HallMa02.htm" TargetMode="External"/><Relationship Id="rId64" Type="http://schemas.openxmlformats.org/officeDocument/2006/relationships/hyperlink" Target="file:///players/G/GesiMi00.htm" TargetMode="External"/><Relationship Id="rId367" Type="http://schemas.openxmlformats.org/officeDocument/2006/relationships/hyperlink" Target="file:///players/H/HubbCh01.htm" TargetMode="External"/><Relationship Id="rId574" Type="http://schemas.openxmlformats.org/officeDocument/2006/relationships/hyperlink" Target="file:///players/G/GrayCy01.htm" TargetMode="External"/><Relationship Id="rId227" Type="http://schemas.openxmlformats.org/officeDocument/2006/relationships/hyperlink" Target="file:///players/T/ToneKa00.htm" TargetMode="External"/><Relationship Id="rId781" Type="http://schemas.openxmlformats.org/officeDocument/2006/relationships/hyperlink" Target="file:///players/H/HarrDe03.htm" TargetMode="External"/><Relationship Id="rId879" Type="http://schemas.openxmlformats.org/officeDocument/2006/relationships/hyperlink" Target="file:///players/R/RodgRi00.htm" TargetMode="External"/><Relationship Id="rId434" Type="http://schemas.openxmlformats.org/officeDocument/2006/relationships/hyperlink" Target="file:///players/J/JordBr00.htm" TargetMode="External"/><Relationship Id="rId641" Type="http://schemas.openxmlformats.org/officeDocument/2006/relationships/hyperlink" Target="file:///players/H/HartPe01.htm" TargetMode="External"/><Relationship Id="rId739" Type="http://schemas.openxmlformats.org/officeDocument/2006/relationships/hyperlink" Target="file:///teams/det/2021.htm" TargetMode="External"/><Relationship Id="rId280" Type="http://schemas.openxmlformats.org/officeDocument/2006/relationships/hyperlink" Target="file:///teams/mia/2021.htm" TargetMode="External"/><Relationship Id="rId501" Type="http://schemas.openxmlformats.org/officeDocument/2006/relationships/hyperlink" Target="file:///teams/chi/2021.htm" TargetMode="External"/><Relationship Id="rId946" Type="http://schemas.openxmlformats.org/officeDocument/2006/relationships/hyperlink" Target="file:///teams/ram/2021.htm" TargetMode="External"/><Relationship Id="rId75" Type="http://schemas.openxmlformats.org/officeDocument/2006/relationships/hyperlink" Target="file:///teams/tam/2021.htm" TargetMode="External"/><Relationship Id="rId140" Type="http://schemas.openxmlformats.org/officeDocument/2006/relationships/hyperlink" Target="file:///players/H/HenrHu00.htm" TargetMode="External"/><Relationship Id="rId378" Type="http://schemas.openxmlformats.org/officeDocument/2006/relationships/hyperlink" Target="file:///teams/jax/2021.htm" TargetMode="External"/><Relationship Id="rId585" Type="http://schemas.openxmlformats.org/officeDocument/2006/relationships/hyperlink" Target="file:///teams/nyg/2021.htm" TargetMode="External"/><Relationship Id="rId792" Type="http://schemas.openxmlformats.org/officeDocument/2006/relationships/hyperlink" Target="file:///teams/car/2021.htm" TargetMode="External"/><Relationship Id="rId806" Type="http://schemas.openxmlformats.org/officeDocument/2006/relationships/hyperlink" Target="file:///teams/htx/2021.htm" TargetMode="External"/><Relationship Id="rId6" Type="http://schemas.openxmlformats.org/officeDocument/2006/relationships/hyperlink" Target="file:///teams/kan/2021.htm" TargetMode="External"/><Relationship Id="rId238" Type="http://schemas.openxmlformats.org/officeDocument/2006/relationships/hyperlink" Target="file:///players/W/WestNi00.htm" TargetMode="External"/><Relationship Id="rId445" Type="http://schemas.openxmlformats.org/officeDocument/2006/relationships/hyperlink" Target="file:///teams/pit/2021.htm" TargetMode="External"/><Relationship Id="rId652" Type="http://schemas.openxmlformats.org/officeDocument/2006/relationships/hyperlink" Target="file:///teams/sfo/2021.htm" TargetMode="External"/><Relationship Id="rId291" Type="http://schemas.openxmlformats.org/officeDocument/2006/relationships/hyperlink" Target="file:///players/R/ReagJa00.htm" TargetMode="External"/><Relationship Id="rId305" Type="http://schemas.openxmlformats.org/officeDocument/2006/relationships/hyperlink" Target="file:///players/R/RidlCa00.htm" TargetMode="External"/><Relationship Id="rId512" Type="http://schemas.openxmlformats.org/officeDocument/2006/relationships/hyperlink" Target="file:///players/D/DuliAs00.htm" TargetMode="External"/><Relationship Id="rId957" Type="http://schemas.openxmlformats.org/officeDocument/2006/relationships/hyperlink" Target="file:///players/L/LongHu00.htm" TargetMode="External"/><Relationship Id="rId86" Type="http://schemas.openxmlformats.org/officeDocument/2006/relationships/hyperlink" Target="file:///players/G/GageRu00.htm" TargetMode="External"/><Relationship Id="rId151" Type="http://schemas.openxmlformats.org/officeDocument/2006/relationships/hyperlink" Target="file:///teams/cin/2021.htm" TargetMode="External"/><Relationship Id="rId389" Type="http://schemas.openxmlformats.org/officeDocument/2006/relationships/hyperlink" Target="file:///players/H/HiggRa00.htm" TargetMode="External"/><Relationship Id="rId596" Type="http://schemas.openxmlformats.org/officeDocument/2006/relationships/hyperlink" Target="file:///players/H/HollJa03.htm" TargetMode="External"/><Relationship Id="rId817" Type="http://schemas.openxmlformats.org/officeDocument/2006/relationships/hyperlink" Target="file:///players/W/WattDe00.htm" TargetMode="External"/><Relationship Id="rId1002" Type="http://schemas.openxmlformats.org/officeDocument/2006/relationships/hyperlink" Target="file:///teams/chi/2021.htm" TargetMode="External"/><Relationship Id="rId249" Type="http://schemas.openxmlformats.org/officeDocument/2006/relationships/hyperlink" Target="file:///teams/nyj/2021.htm" TargetMode="External"/><Relationship Id="rId456" Type="http://schemas.openxmlformats.org/officeDocument/2006/relationships/hyperlink" Target="file:///players/H/HarrDa06.htm" TargetMode="External"/><Relationship Id="rId663" Type="http://schemas.openxmlformats.org/officeDocument/2006/relationships/hyperlink" Target="file:///players/M/ManhCh00.htm" TargetMode="External"/><Relationship Id="rId870" Type="http://schemas.openxmlformats.org/officeDocument/2006/relationships/hyperlink" Target="file:///teams/nwe/2021.htm" TargetMode="External"/><Relationship Id="rId13" Type="http://schemas.openxmlformats.org/officeDocument/2006/relationships/hyperlink" Target="file:///players/A/AlleKe00.htm" TargetMode="External"/><Relationship Id="rId109" Type="http://schemas.openxmlformats.org/officeDocument/2006/relationships/hyperlink" Target="file:///teams/kan/2021.htm" TargetMode="External"/><Relationship Id="rId316" Type="http://schemas.openxmlformats.org/officeDocument/2006/relationships/hyperlink" Target="file:///teams/rai/2021.htm" TargetMode="External"/><Relationship Id="rId523" Type="http://schemas.openxmlformats.org/officeDocument/2006/relationships/hyperlink" Target="file:///teams/jax/2021.htm" TargetMode="External"/><Relationship Id="rId968" Type="http://schemas.openxmlformats.org/officeDocument/2006/relationships/hyperlink" Target="file:///teams/chi/2021.htm" TargetMode="External"/><Relationship Id="rId97" Type="http://schemas.openxmlformats.org/officeDocument/2006/relationships/hyperlink" Target="file:///teams/min/2021.htm" TargetMode="External"/><Relationship Id="rId730" Type="http://schemas.openxmlformats.org/officeDocument/2006/relationships/hyperlink" Target="file:///players/H/HernCh00.htm" TargetMode="External"/><Relationship Id="rId828" Type="http://schemas.openxmlformats.org/officeDocument/2006/relationships/hyperlink" Target="file:///teams/pit/2021.htm" TargetMode="External"/><Relationship Id="rId1013" Type="http://schemas.openxmlformats.org/officeDocument/2006/relationships/hyperlink" Target="file:///teams/den/2021.htm" TargetMode="External"/><Relationship Id="rId162" Type="http://schemas.openxmlformats.org/officeDocument/2006/relationships/hyperlink" Target="file:///players/K/KamaAl00.htm" TargetMode="External"/><Relationship Id="rId467" Type="http://schemas.openxmlformats.org/officeDocument/2006/relationships/hyperlink" Target="file:///teams/car/2021.htm" TargetMode="External"/><Relationship Id="rId674" Type="http://schemas.openxmlformats.org/officeDocument/2006/relationships/hyperlink" Target="file:///players/S/StilKe00.htm" TargetMode="External"/><Relationship Id="rId881" Type="http://schemas.openxmlformats.org/officeDocument/2006/relationships/hyperlink" Target="file:///players/S/SaunCJ00.htm" TargetMode="External"/><Relationship Id="rId979" Type="http://schemas.openxmlformats.org/officeDocument/2006/relationships/hyperlink" Target="file:///players/R/RounLa00.htm" TargetMode="External"/><Relationship Id="rId24" Type="http://schemas.openxmlformats.org/officeDocument/2006/relationships/hyperlink" Target="file:///teams/car/2021.htm" TargetMode="External"/><Relationship Id="rId327" Type="http://schemas.openxmlformats.org/officeDocument/2006/relationships/hyperlink" Target="file:///players/H/HendDa00.htm" TargetMode="External"/><Relationship Id="rId534" Type="http://schemas.openxmlformats.org/officeDocument/2006/relationships/hyperlink" Target="file:///players/H/HarrNK00.htm" TargetMode="External"/><Relationship Id="rId741" Type="http://schemas.openxmlformats.org/officeDocument/2006/relationships/hyperlink" Target="file:///teams/mia/2021.htm" TargetMode="External"/><Relationship Id="rId839" Type="http://schemas.openxmlformats.org/officeDocument/2006/relationships/hyperlink" Target="file:///players/C/CarrDe00.htm" TargetMode="External"/><Relationship Id="rId173" Type="http://schemas.openxmlformats.org/officeDocument/2006/relationships/hyperlink" Target="file:///teams/nyg/2021.htm" TargetMode="External"/><Relationship Id="rId380" Type="http://schemas.openxmlformats.org/officeDocument/2006/relationships/hyperlink" Target="file:///teams/htx/2021.htm" TargetMode="External"/><Relationship Id="rId601" Type="http://schemas.openxmlformats.org/officeDocument/2006/relationships/hyperlink" Target="file:///teams/was/2021.htm" TargetMode="External"/><Relationship Id="rId1024" Type="http://schemas.openxmlformats.org/officeDocument/2006/relationships/hyperlink" Target="file:///players/H/HurtJa00.htm" TargetMode="External"/><Relationship Id="rId240" Type="http://schemas.openxmlformats.org/officeDocument/2006/relationships/hyperlink" Target="file:///players/A/AghoNe00.htm" TargetMode="External"/><Relationship Id="rId478" Type="http://schemas.openxmlformats.org/officeDocument/2006/relationships/hyperlink" Target="file:///players/K/KrofTy00.htm" TargetMode="External"/><Relationship Id="rId685" Type="http://schemas.openxmlformats.org/officeDocument/2006/relationships/hyperlink" Target="file:///players/G/GordJo02.htm" TargetMode="External"/><Relationship Id="rId892" Type="http://schemas.openxmlformats.org/officeDocument/2006/relationships/hyperlink" Target="file:///teams/clt/2021.htm" TargetMode="External"/><Relationship Id="rId906" Type="http://schemas.openxmlformats.org/officeDocument/2006/relationships/hyperlink" Target="file:///teams/det/2021.htm" TargetMode="External"/><Relationship Id="rId35" Type="http://schemas.openxmlformats.org/officeDocument/2006/relationships/hyperlink" Target="file:///players/M/MeyeJa01.htm" TargetMode="External"/><Relationship Id="rId100" Type="http://schemas.openxmlformats.org/officeDocument/2006/relationships/hyperlink" Target="file:///players/H/HockTJ00.htm" TargetMode="External"/><Relationship Id="rId338" Type="http://schemas.openxmlformats.org/officeDocument/2006/relationships/hyperlink" Target="file:///players/S/SmitJo01.htm" TargetMode="External"/><Relationship Id="rId545" Type="http://schemas.openxmlformats.org/officeDocument/2006/relationships/hyperlink" Target="file:///teams/nwe/2021.htm" TargetMode="External"/><Relationship Id="rId752" Type="http://schemas.openxmlformats.org/officeDocument/2006/relationships/hyperlink" Target="file:///players/R/RodgAm00.htm" TargetMode="External"/><Relationship Id="rId184" Type="http://schemas.openxmlformats.org/officeDocument/2006/relationships/hyperlink" Target="file:///teams/was/2021.htm" TargetMode="External"/><Relationship Id="rId391" Type="http://schemas.openxmlformats.org/officeDocument/2006/relationships/hyperlink" Target="file:///players/J/JennJa00.htm" TargetMode="External"/><Relationship Id="rId405" Type="http://schemas.openxmlformats.org/officeDocument/2006/relationships/hyperlink" Target="file:///players/H/HiltT.00.htm" TargetMode="External"/><Relationship Id="rId612" Type="http://schemas.openxmlformats.org/officeDocument/2006/relationships/hyperlink" Target="file:///players/S/St.BEq00.htm" TargetMode="External"/><Relationship Id="rId1035" Type="http://schemas.openxmlformats.org/officeDocument/2006/relationships/hyperlink" Target="file:///teams/jax/2021.htm" TargetMode="External"/><Relationship Id="rId251" Type="http://schemas.openxmlformats.org/officeDocument/2006/relationships/hyperlink" Target="file:///teams/nor/2021.htm" TargetMode="External"/><Relationship Id="rId489" Type="http://schemas.openxmlformats.org/officeDocument/2006/relationships/hyperlink" Target="file:///teams/det/2021.htm" TargetMode="External"/><Relationship Id="rId696" Type="http://schemas.openxmlformats.org/officeDocument/2006/relationships/hyperlink" Target="file:///teams/tam/2021.htm" TargetMode="External"/><Relationship Id="rId917" Type="http://schemas.openxmlformats.org/officeDocument/2006/relationships/hyperlink" Target="file:///teams/nyj/2021.htm" TargetMode="External"/><Relationship Id="rId46" Type="http://schemas.openxmlformats.org/officeDocument/2006/relationships/hyperlink" Target="file:///teams/dal/2021.htm" TargetMode="External"/><Relationship Id="rId349" Type="http://schemas.openxmlformats.org/officeDocument/2006/relationships/hyperlink" Target="file:///players/B/ByrdDa00.htm" TargetMode="External"/><Relationship Id="rId556" Type="http://schemas.openxmlformats.org/officeDocument/2006/relationships/hyperlink" Target="file:///teams/nyg/2021.htm" TargetMode="External"/><Relationship Id="rId763" Type="http://schemas.openxmlformats.org/officeDocument/2006/relationships/hyperlink" Target="file:///players/W/WilkKr00.htm" TargetMode="External"/><Relationship Id="rId111" Type="http://schemas.openxmlformats.org/officeDocument/2006/relationships/hyperlink" Target="file:///teams/den/2021.htm" TargetMode="External"/><Relationship Id="rId195" Type="http://schemas.openxmlformats.org/officeDocument/2006/relationships/hyperlink" Target="file:///players/H/HopkDe00.htm" TargetMode="External"/><Relationship Id="rId209" Type="http://schemas.openxmlformats.org/officeDocument/2006/relationships/hyperlink" Target="file:///players/H/HumpAd00.htm" TargetMode="External"/><Relationship Id="rId416" Type="http://schemas.openxmlformats.org/officeDocument/2006/relationships/hyperlink" Target="file:///teams/sdg/2021.htm" TargetMode="External"/><Relationship Id="rId970" Type="http://schemas.openxmlformats.org/officeDocument/2006/relationships/hyperlink" Target="file:///players/P/PintDa00.htm" TargetMode="External"/><Relationship Id="rId1046" Type="http://schemas.openxmlformats.org/officeDocument/2006/relationships/queryTable" Target="../queryTables/queryTable9.xml"/><Relationship Id="rId623" Type="http://schemas.openxmlformats.org/officeDocument/2006/relationships/hyperlink" Target="file:///teams/nyj/2021.htm" TargetMode="External"/><Relationship Id="rId830" Type="http://schemas.openxmlformats.org/officeDocument/2006/relationships/hyperlink" Target="file:///teams/oti/2021.htm" TargetMode="External"/><Relationship Id="rId928" Type="http://schemas.openxmlformats.org/officeDocument/2006/relationships/hyperlink" Target="file:///players/D/DaniDa02.htm" TargetMode="External"/><Relationship Id="rId57" Type="http://schemas.openxmlformats.org/officeDocument/2006/relationships/hyperlink" Target="file:///players/E/ErtzZa00.htm" TargetMode="External"/><Relationship Id="rId262" Type="http://schemas.openxmlformats.org/officeDocument/2006/relationships/hyperlink" Target="file:///teams/dal/2021.htm" TargetMode="External"/><Relationship Id="rId567" Type="http://schemas.openxmlformats.org/officeDocument/2006/relationships/hyperlink" Target="file:///players/B/BensTr00.htm" TargetMode="External"/><Relationship Id="rId122" Type="http://schemas.openxmlformats.org/officeDocument/2006/relationships/hyperlink" Target="file:///players/G/GreeA.00.htm" TargetMode="External"/><Relationship Id="rId774" Type="http://schemas.openxmlformats.org/officeDocument/2006/relationships/hyperlink" Target="file:///teams/kan/2021.htm" TargetMode="External"/><Relationship Id="rId981" Type="http://schemas.openxmlformats.org/officeDocument/2006/relationships/hyperlink" Target="file:///players/S/SpenDi00.htm" TargetMode="External"/><Relationship Id="rId427" Type="http://schemas.openxmlformats.org/officeDocument/2006/relationships/hyperlink" Target="file:///players/B/BateJo00.htm" TargetMode="External"/><Relationship Id="rId634" Type="http://schemas.openxmlformats.org/officeDocument/2006/relationships/hyperlink" Target="file:///players/C/CharDJ00.htm" TargetMode="External"/><Relationship Id="rId841" Type="http://schemas.openxmlformats.org/officeDocument/2006/relationships/hyperlink" Target="file:///players/C/CartCe00.htm" TargetMode="External"/><Relationship Id="rId273" Type="http://schemas.openxmlformats.org/officeDocument/2006/relationships/hyperlink" Target="file:///players/F/FreeDe00.htm" TargetMode="External"/><Relationship Id="rId480" Type="http://schemas.openxmlformats.org/officeDocument/2006/relationships/hyperlink" Target="file:///players/M/MontTy01.htm" TargetMode="External"/><Relationship Id="rId701" Type="http://schemas.openxmlformats.org/officeDocument/2006/relationships/hyperlink" Target="file:///players/S/SmitIh00.htm" TargetMode="External"/><Relationship Id="rId939" Type="http://schemas.openxmlformats.org/officeDocument/2006/relationships/hyperlink" Target="file:///players/H/HelmDa01.htm" TargetMode="External"/><Relationship Id="rId68" Type="http://schemas.openxmlformats.org/officeDocument/2006/relationships/hyperlink" Target="file:///players/L/LockTy00.htm" TargetMode="External"/><Relationship Id="rId133" Type="http://schemas.openxmlformats.org/officeDocument/2006/relationships/hyperlink" Target="file:///teams/gnb/2021.htm" TargetMode="External"/><Relationship Id="rId340" Type="http://schemas.openxmlformats.org/officeDocument/2006/relationships/hyperlink" Target="file:///players/G/GrifRy00.htm" TargetMode="External"/><Relationship Id="rId578" Type="http://schemas.openxmlformats.org/officeDocument/2006/relationships/hyperlink" Target="file:///players/J/JoneRo01.htm" TargetMode="External"/><Relationship Id="rId785" Type="http://schemas.openxmlformats.org/officeDocument/2006/relationships/hyperlink" Target="file:///players/H/HudsTo00.htm" TargetMode="External"/><Relationship Id="rId992" Type="http://schemas.openxmlformats.org/officeDocument/2006/relationships/hyperlink" Target="file:///teams/mia/2021.htm" TargetMode="External"/><Relationship Id="rId200" Type="http://schemas.openxmlformats.org/officeDocument/2006/relationships/hyperlink" Target="file:///teams/chi/2021.htm" TargetMode="External"/><Relationship Id="rId438" Type="http://schemas.openxmlformats.org/officeDocument/2006/relationships/hyperlink" Target="file:///players/P/ParhDo00.htm" TargetMode="External"/><Relationship Id="rId645" Type="http://schemas.openxmlformats.org/officeDocument/2006/relationships/hyperlink" Target="file:///players/J/JameJe00.htm" TargetMode="External"/><Relationship Id="rId852" Type="http://schemas.openxmlformats.org/officeDocument/2006/relationships/hyperlink" Target="file:///teams/phi/2021.htm" TargetMode="External"/><Relationship Id="rId284" Type="http://schemas.openxmlformats.org/officeDocument/2006/relationships/hyperlink" Target="file:///teams/rav/2021.htm" TargetMode="External"/><Relationship Id="rId491" Type="http://schemas.openxmlformats.org/officeDocument/2006/relationships/hyperlink" Target="file:///teams/cin/2021.htm" TargetMode="External"/><Relationship Id="rId505" Type="http://schemas.openxmlformats.org/officeDocument/2006/relationships/hyperlink" Target="file:///teams/mia/2021.htm" TargetMode="External"/><Relationship Id="rId712" Type="http://schemas.openxmlformats.org/officeDocument/2006/relationships/hyperlink" Target="file:///teams/ram/2021.htm" TargetMode="External"/><Relationship Id="rId79" Type="http://schemas.openxmlformats.org/officeDocument/2006/relationships/hyperlink" Target="file:///teams/den/2021.htm" TargetMode="External"/><Relationship Id="rId144" Type="http://schemas.openxmlformats.org/officeDocument/2006/relationships/hyperlink" Target="file:///players/O/OsboKJ00.htm" TargetMode="External"/><Relationship Id="rId589" Type="http://schemas.openxmlformats.org/officeDocument/2006/relationships/hyperlink" Target="file:///teams/min/2021.htm" TargetMode="External"/><Relationship Id="rId796" Type="http://schemas.openxmlformats.org/officeDocument/2006/relationships/hyperlink" Target="file:///teams/nyj/2021.htm" TargetMode="External"/><Relationship Id="rId351" Type="http://schemas.openxmlformats.org/officeDocument/2006/relationships/hyperlink" Target="file:///players/H/HursHa00.htm" TargetMode="External"/><Relationship Id="rId449" Type="http://schemas.openxmlformats.org/officeDocument/2006/relationships/hyperlink" Target="file:///teams/cle/2021.htm" TargetMode="External"/><Relationship Id="rId656" Type="http://schemas.openxmlformats.org/officeDocument/2006/relationships/hyperlink" Target="file:///teams/sea/2021.htm" TargetMode="External"/><Relationship Id="rId863" Type="http://schemas.openxmlformats.org/officeDocument/2006/relationships/hyperlink" Target="file:///teams/oti/2021.htm" TargetMode="External"/><Relationship Id="rId211" Type="http://schemas.openxmlformats.org/officeDocument/2006/relationships/hyperlink" Target="file:///players/B/BookDe00.htm" TargetMode="External"/><Relationship Id="rId295" Type="http://schemas.openxmlformats.org/officeDocument/2006/relationships/hyperlink" Target="file:///players/J/JohnDa08.htm" TargetMode="External"/><Relationship Id="rId309" Type="http://schemas.openxmlformats.org/officeDocument/2006/relationships/hyperlink" Target="file:///players/S/SwaiGe00.htm" TargetMode="External"/><Relationship Id="rId516" Type="http://schemas.openxmlformats.org/officeDocument/2006/relationships/hyperlink" Target="file:///players/H/HumpLi01.htm" TargetMode="External"/><Relationship Id="rId723" Type="http://schemas.openxmlformats.org/officeDocument/2006/relationships/hyperlink" Target="file:///players/D/DwelRo00.htm" TargetMode="External"/><Relationship Id="rId930" Type="http://schemas.openxmlformats.org/officeDocument/2006/relationships/hyperlink" Target="file:///players/D/DarbFr00.htm" TargetMode="External"/><Relationship Id="rId1006" Type="http://schemas.openxmlformats.org/officeDocument/2006/relationships/hyperlink" Target="file:///teams/sfo/2021.htm" TargetMode="External"/><Relationship Id="rId155" Type="http://schemas.openxmlformats.org/officeDocument/2006/relationships/hyperlink" Target="file:///teams/sea/2021.htm" TargetMode="External"/><Relationship Id="rId362" Type="http://schemas.openxmlformats.org/officeDocument/2006/relationships/hyperlink" Target="file:///teams/det/2021.htm" TargetMode="External"/><Relationship Id="rId222" Type="http://schemas.openxmlformats.org/officeDocument/2006/relationships/hyperlink" Target="file:///teams/clt/2021.htm" TargetMode="External"/><Relationship Id="rId667" Type="http://schemas.openxmlformats.org/officeDocument/2006/relationships/hyperlink" Target="file:///players/M/MillAn02.htm" TargetMode="External"/><Relationship Id="rId874" Type="http://schemas.openxmlformats.org/officeDocument/2006/relationships/hyperlink" Target="file:///teams/htx/2021.htm" TargetMode="External"/><Relationship Id="rId17" Type="http://schemas.openxmlformats.org/officeDocument/2006/relationships/hyperlink" Target="file:///players/D/DiggSt00.htm" TargetMode="External"/><Relationship Id="rId527" Type="http://schemas.openxmlformats.org/officeDocument/2006/relationships/hyperlink" Target="file:///teams/mia/2021.htm" TargetMode="External"/><Relationship Id="rId734" Type="http://schemas.openxmlformats.org/officeDocument/2006/relationships/hyperlink" Target="file:///players/H/HogaCh00.htm" TargetMode="External"/><Relationship Id="rId941" Type="http://schemas.openxmlformats.org/officeDocument/2006/relationships/hyperlink" Target="file:///players/H/HillKy00.htm" TargetMode="External"/><Relationship Id="rId70" Type="http://schemas.openxmlformats.org/officeDocument/2006/relationships/hyperlink" Target="file:///players/K/KittGe00.htm" TargetMode="External"/><Relationship Id="rId166" Type="http://schemas.openxmlformats.org/officeDocument/2006/relationships/hyperlink" Target="file:///players/B/BateRa00.htm" TargetMode="External"/><Relationship Id="rId373" Type="http://schemas.openxmlformats.org/officeDocument/2006/relationships/hyperlink" Target="file:///players/S/SwaiFr00.htm" TargetMode="External"/><Relationship Id="rId580" Type="http://schemas.openxmlformats.org/officeDocument/2006/relationships/hyperlink" Target="file:///players/M/MurrLa00.htm" TargetMode="External"/><Relationship Id="rId801" Type="http://schemas.openxmlformats.org/officeDocument/2006/relationships/hyperlink" Target="file:///players/N/NabeGa00.htm" TargetMode="External"/><Relationship Id="rId1017" Type="http://schemas.openxmlformats.org/officeDocument/2006/relationships/hyperlink" Target="file:///teams/nyg/2021.htm" TargetMode="External"/><Relationship Id="rId1" Type="http://schemas.openxmlformats.org/officeDocument/2006/relationships/hyperlink" Target="file:///players/K/KuppCo00.htm" TargetMode="External"/><Relationship Id="rId233" Type="http://schemas.openxmlformats.org/officeDocument/2006/relationships/hyperlink" Target="file:///teams/den/2021.htm" TargetMode="External"/><Relationship Id="rId440" Type="http://schemas.openxmlformats.org/officeDocument/2006/relationships/hyperlink" Target="file:///players/T/TremTo00.htm" TargetMode="External"/><Relationship Id="rId678" Type="http://schemas.openxmlformats.org/officeDocument/2006/relationships/hyperlink" Target="file:///players/A/AuclAn00.htm" TargetMode="External"/><Relationship Id="rId885" Type="http://schemas.openxmlformats.org/officeDocument/2006/relationships/hyperlink" Target="file:///players/S/SnelBe00.htm" TargetMode="External"/><Relationship Id="rId28" Type="http://schemas.openxmlformats.org/officeDocument/2006/relationships/hyperlink" Target="file:///teams/rav/2021.htm" TargetMode="External"/><Relationship Id="rId300" Type="http://schemas.openxmlformats.org/officeDocument/2006/relationships/hyperlink" Target="file:///teams/nor/2021.htm" TargetMode="External"/><Relationship Id="rId538" Type="http://schemas.openxmlformats.org/officeDocument/2006/relationships/hyperlink" Target="file:///players/R/RichJa01.htm" TargetMode="External"/><Relationship Id="rId745" Type="http://schemas.openxmlformats.org/officeDocument/2006/relationships/hyperlink" Target="file:///players/M/McKeSe01.htm" TargetMode="External"/><Relationship Id="rId952" Type="http://schemas.openxmlformats.org/officeDocument/2006/relationships/hyperlink" Target="file:///teams/nyg/2021.htm" TargetMode="External"/><Relationship Id="rId81" Type="http://schemas.openxmlformats.org/officeDocument/2006/relationships/hyperlink" Target="file:///teams/atl/2021.htm" TargetMode="External"/><Relationship Id="rId177" Type="http://schemas.openxmlformats.org/officeDocument/2006/relationships/hyperlink" Target="file:///teams/ram/2021.htm" TargetMode="External"/><Relationship Id="rId384" Type="http://schemas.openxmlformats.org/officeDocument/2006/relationships/hyperlink" Target="file:///teams/htx/2021.htm" TargetMode="External"/><Relationship Id="rId591" Type="http://schemas.openxmlformats.org/officeDocument/2006/relationships/hyperlink" Target="file:///teams/kan/2021.htm" TargetMode="External"/><Relationship Id="rId605" Type="http://schemas.openxmlformats.org/officeDocument/2006/relationships/hyperlink" Target="file:///teams/nyg/2021.htm" TargetMode="External"/><Relationship Id="rId812" Type="http://schemas.openxmlformats.org/officeDocument/2006/relationships/hyperlink" Target="file:///teams/dal/2021.htm" TargetMode="External"/><Relationship Id="rId1028" Type="http://schemas.openxmlformats.org/officeDocument/2006/relationships/hyperlink" Target="file:///players/M/MoorDa03.htm" TargetMode="External"/><Relationship Id="rId244" Type="http://schemas.openxmlformats.org/officeDocument/2006/relationships/hyperlink" Target="file:///players/G/GollKe00.htm" TargetMode="External"/><Relationship Id="rId689" Type="http://schemas.openxmlformats.org/officeDocument/2006/relationships/hyperlink" Target="file:///players/H/HessPa00.htm" TargetMode="External"/><Relationship Id="rId896" Type="http://schemas.openxmlformats.org/officeDocument/2006/relationships/hyperlink" Target="file:///teams/gnb/2021.htm" TargetMode="External"/><Relationship Id="rId39" Type="http://schemas.openxmlformats.org/officeDocument/2006/relationships/hyperlink" Target="file:///players/C/ChasJa00.htm" TargetMode="External"/><Relationship Id="rId451" Type="http://schemas.openxmlformats.org/officeDocument/2006/relationships/hyperlink" Target="file:///teams/sfo/2021.htm" TargetMode="External"/><Relationship Id="rId549" Type="http://schemas.openxmlformats.org/officeDocument/2006/relationships/hyperlink" Target="file:///teams/nyj/2021.htm" TargetMode="External"/><Relationship Id="rId756" Type="http://schemas.openxmlformats.org/officeDocument/2006/relationships/hyperlink" Target="file:///players/S/SneaWi00.htm" TargetMode="External"/><Relationship Id="rId104" Type="http://schemas.openxmlformats.org/officeDocument/2006/relationships/hyperlink" Target="file:///players/K/KmetCo00.htm" TargetMode="External"/><Relationship Id="rId188" Type="http://schemas.openxmlformats.org/officeDocument/2006/relationships/hyperlink" Target="file:///teams/phi/2021.htm" TargetMode="External"/><Relationship Id="rId311" Type="http://schemas.openxmlformats.org/officeDocument/2006/relationships/hyperlink" Target="file:///players/Z/ZaccOl01.htm" TargetMode="External"/><Relationship Id="rId395" Type="http://schemas.openxmlformats.org/officeDocument/2006/relationships/hyperlink" Target="file:///players/R/RuggHe00.htm" TargetMode="External"/><Relationship Id="rId409" Type="http://schemas.openxmlformats.org/officeDocument/2006/relationships/hyperlink" Target="file:///players/M/MossZa00.htm" TargetMode="External"/><Relationship Id="rId963" Type="http://schemas.openxmlformats.org/officeDocument/2006/relationships/hyperlink" Target="file:///players/M/MerrKi00.htm" TargetMode="External"/><Relationship Id="rId1039" Type="http://schemas.openxmlformats.org/officeDocument/2006/relationships/hyperlink" Target="file:///teams/car/2021.htm" TargetMode="External"/><Relationship Id="rId92" Type="http://schemas.openxmlformats.org/officeDocument/2006/relationships/hyperlink" Target="file:///players/S/ShenLa00.htm" TargetMode="External"/><Relationship Id="rId616" Type="http://schemas.openxmlformats.org/officeDocument/2006/relationships/hyperlink" Target="file:///players/V/VannNi00.htm" TargetMode="External"/><Relationship Id="rId823" Type="http://schemas.openxmlformats.org/officeDocument/2006/relationships/hyperlink" Target="file:///players/Z/ZylsSh00.htm" TargetMode="External"/><Relationship Id="rId255" Type="http://schemas.openxmlformats.org/officeDocument/2006/relationships/hyperlink" Target="file:///teams/cle/2021.htm" TargetMode="External"/><Relationship Id="rId462" Type="http://schemas.openxmlformats.org/officeDocument/2006/relationships/hyperlink" Target="file:///players/T/ThomLo00.htm" TargetMode="External"/><Relationship Id="rId115" Type="http://schemas.openxmlformats.org/officeDocument/2006/relationships/hyperlink" Target="file:///teams/phi/2021.htm" TargetMode="External"/><Relationship Id="rId322" Type="http://schemas.openxmlformats.org/officeDocument/2006/relationships/hyperlink" Target="file:///teams/oti/2021.htm" TargetMode="External"/><Relationship Id="rId767" Type="http://schemas.openxmlformats.org/officeDocument/2006/relationships/hyperlink" Target="file:///players/A/AkerCa00.htm" TargetMode="External"/><Relationship Id="rId974" Type="http://schemas.openxmlformats.org/officeDocument/2006/relationships/hyperlink" Target="file:///players/R/RemmMi00.htm" TargetMode="External"/><Relationship Id="rId199" Type="http://schemas.openxmlformats.org/officeDocument/2006/relationships/hyperlink" Target="file:///players/M/MontDa01.htm" TargetMode="External"/><Relationship Id="rId627" Type="http://schemas.openxmlformats.org/officeDocument/2006/relationships/hyperlink" Target="file:///teams/den/2021.htm" TargetMode="External"/><Relationship Id="rId834" Type="http://schemas.openxmlformats.org/officeDocument/2006/relationships/hyperlink" Target="file:///teams/car/2021.htm" TargetMode="External"/><Relationship Id="rId266" Type="http://schemas.openxmlformats.org/officeDocument/2006/relationships/hyperlink" Target="file:///teams/nyj/2021.htm" TargetMode="External"/><Relationship Id="rId473" Type="http://schemas.openxmlformats.org/officeDocument/2006/relationships/hyperlink" Target="file:///teams/sdg/2021.htm" TargetMode="External"/><Relationship Id="rId680" Type="http://schemas.openxmlformats.org/officeDocument/2006/relationships/hyperlink" Target="file:///players/B/BellLe00.htm" TargetMode="External"/><Relationship Id="rId901" Type="http://schemas.openxmlformats.org/officeDocument/2006/relationships/hyperlink" Target="file:///players/W/WaltAu00.htm" TargetMode="External"/><Relationship Id="rId30" Type="http://schemas.openxmlformats.org/officeDocument/2006/relationships/hyperlink" Target="file:///teams/htx/2021.htm" TargetMode="External"/><Relationship Id="rId126" Type="http://schemas.openxmlformats.org/officeDocument/2006/relationships/hyperlink" Target="file:///players/M/MoorRo02.htm" TargetMode="External"/><Relationship Id="rId333" Type="http://schemas.openxmlformats.org/officeDocument/2006/relationships/hyperlink" Target="file:///teams/nyj/2021.htm" TargetMode="External"/><Relationship Id="rId540" Type="http://schemas.openxmlformats.org/officeDocument/2006/relationships/hyperlink" Target="file:///players/S/ShahAd00.htm" TargetMode="External"/><Relationship Id="rId778" Type="http://schemas.openxmlformats.org/officeDocument/2006/relationships/hyperlink" Target="file:///teams/car/2021.htm" TargetMode="External"/><Relationship Id="rId985" Type="http://schemas.openxmlformats.org/officeDocument/2006/relationships/hyperlink" Target="file:///players/T/ThomAn02.htm" TargetMode="External"/><Relationship Id="rId638" Type="http://schemas.openxmlformats.org/officeDocument/2006/relationships/hyperlink" Target="file:///teams/jax/2021.htm" TargetMode="External"/><Relationship Id="rId845" Type="http://schemas.openxmlformats.org/officeDocument/2006/relationships/hyperlink" Target="file:///players/D/DeckTa00.htm" TargetMode="External"/><Relationship Id="rId1030" Type="http://schemas.openxmlformats.org/officeDocument/2006/relationships/hyperlink" Target="file:///teams/det/2021.htm" TargetMode="External"/><Relationship Id="rId277" Type="http://schemas.openxmlformats.org/officeDocument/2006/relationships/hyperlink" Target="file:///players/P/PeopDo00.htm" TargetMode="External"/><Relationship Id="rId400" Type="http://schemas.openxmlformats.org/officeDocument/2006/relationships/hyperlink" Target="file:///teams/tam/2021.htm" TargetMode="External"/><Relationship Id="rId484" Type="http://schemas.openxmlformats.org/officeDocument/2006/relationships/hyperlink" Target="file:///players/W/WillDa05.htm" TargetMode="External"/><Relationship Id="rId705" Type="http://schemas.openxmlformats.org/officeDocument/2006/relationships/hyperlink" Target="file:///players/W/WhitCo05.htm" TargetMode="External"/><Relationship Id="rId137" Type="http://schemas.openxmlformats.org/officeDocument/2006/relationships/hyperlink" Target="file:///teams/atl/2021.htm" TargetMode="External"/><Relationship Id="rId344" Type="http://schemas.openxmlformats.org/officeDocument/2006/relationships/hyperlink" Target="file:///teams/cin/2021.htm" TargetMode="External"/><Relationship Id="rId691" Type="http://schemas.openxmlformats.org/officeDocument/2006/relationships/hyperlink" Target="file:///players/J/JoneTo04.htm" TargetMode="External"/><Relationship Id="rId789" Type="http://schemas.openxmlformats.org/officeDocument/2006/relationships/hyperlink" Target="file:///players/J/JanoAn00.htm" TargetMode="External"/><Relationship Id="rId912" Type="http://schemas.openxmlformats.org/officeDocument/2006/relationships/hyperlink" Target="file:///players/B/BawdNi00.htm" TargetMode="External"/><Relationship Id="rId996" Type="http://schemas.openxmlformats.org/officeDocument/2006/relationships/hyperlink" Target="file:///teams/cin/2021.htm" TargetMode="External"/><Relationship Id="rId41" Type="http://schemas.openxmlformats.org/officeDocument/2006/relationships/hyperlink" Target="file:///players/M/MoonDa00.htm" TargetMode="External"/><Relationship Id="rId551" Type="http://schemas.openxmlformats.org/officeDocument/2006/relationships/hyperlink" Target="file:///teams/clt/2021.htm" TargetMode="External"/><Relationship Id="rId649" Type="http://schemas.openxmlformats.org/officeDocument/2006/relationships/hyperlink" Target="file:///players/W/WardGr02.htm" TargetMode="External"/><Relationship Id="rId856" Type="http://schemas.openxmlformats.org/officeDocument/2006/relationships/hyperlink" Target="file:///players/K/KempMa00.htm" TargetMode="External"/><Relationship Id="rId190" Type="http://schemas.openxmlformats.org/officeDocument/2006/relationships/hyperlink" Target="file:///teams/den/2021.htm" TargetMode="External"/><Relationship Id="rId204" Type="http://schemas.openxmlformats.org/officeDocument/2006/relationships/hyperlink" Target="file:///teams/buf/2021.htm" TargetMode="External"/><Relationship Id="rId288" Type="http://schemas.openxmlformats.org/officeDocument/2006/relationships/hyperlink" Target="file:///teams/den/2021.htm" TargetMode="External"/><Relationship Id="rId411" Type="http://schemas.openxmlformats.org/officeDocument/2006/relationships/hyperlink" Target="file:///players/C/ConlCh00.htm" TargetMode="External"/><Relationship Id="rId509" Type="http://schemas.openxmlformats.org/officeDocument/2006/relationships/hyperlink" Target="file:///teams/oti/2021.htm" TargetMode="External"/><Relationship Id="rId1041" Type="http://schemas.openxmlformats.org/officeDocument/2006/relationships/hyperlink" Target="file:///teams/car/2021.htm" TargetMode="External"/><Relationship Id="rId495" Type="http://schemas.openxmlformats.org/officeDocument/2006/relationships/hyperlink" Target="file:///teams/sfo/2021.htm" TargetMode="External"/><Relationship Id="rId716" Type="http://schemas.openxmlformats.org/officeDocument/2006/relationships/hyperlink" Target="file:///teams/cle/2021.htm" TargetMode="External"/><Relationship Id="rId923" Type="http://schemas.openxmlformats.org/officeDocument/2006/relationships/hyperlink" Target="file:///teams/min/2021.htm" TargetMode="External"/><Relationship Id="rId52" Type="http://schemas.openxmlformats.org/officeDocument/2006/relationships/hyperlink" Target="file:///teams/sfo/2021.htm" TargetMode="External"/><Relationship Id="rId148" Type="http://schemas.openxmlformats.org/officeDocument/2006/relationships/hyperlink" Target="file:///players/K/KnoxDa00.htm" TargetMode="External"/><Relationship Id="rId355" Type="http://schemas.openxmlformats.org/officeDocument/2006/relationships/hyperlink" Target="file:///players/S/SandMi01.htm" TargetMode="External"/><Relationship Id="rId562" Type="http://schemas.openxmlformats.org/officeDocument/2006/relationships/hyperlink" Target="file:///teams/cin/2021.htm" TargetMode="External"/><Relationship Id="rId215" Type="http://schemas.openxmlformats.org/officeDocument/2006/relationships/hyperlink" Target="file:///players/L/LazaAl00.htm" TargetMode="External"/><Relationship Id="rId422" Type="http://schemas.openxmlformats.org/officeDocument/2006/relationships/hyperlink" Target="file:///teams/sea/2021.htm" TargetMode="External"/><Relationship Id="rId867" Type="http://schemas.openxmlformats.org/officeDocument/2006/relationships/hyperlink" Target="file:///players/N/NewsDa00.htm" TargetMode="External"/><Relationship Id="rId299" Type="http://schemas.openxmlformats.org/officeDocument/2006/relationships/hyperlink" Target="file:///players/S/SmitTr03.htm" TargetMode="External"/><Relationship Id="rId727" Type="http://schemas.openxmlformats.org/officeDocument/2006/relationships/hyperlink" Target="file:///teams/mia/2021.htm" TargetMode="External"/><Relationship Id="rId934" Type="http://schemas.openxmlformats.org/officeDocument/2006/relationships/hyperlink" Target="file:///players/G/GallWa00.htm" TargetMode="External"/><Relationship Id="rId63" Type="http://schemas.openxmlformats.org/officeDocument/2006/relationships/hyperlink" Target="file:///teams/cin/2021.htm" TargetMode="External"/><Relationship Id="rId159" Type="http://schemas.openxmlformats.org/officeDocument/2006/relationships/hyperlink" Target="file:///teams/dal/2021.htm" TargetMode="External"/><Relationship Id="rId366" Type="http://schemas.openxmlformats.org/officeDocument/2006/relationships/hyperlink" Target="file:///teams/gnb/2021.htm" TargetMode="External"/><Relationship Id="rId573" Type="http://schemas.openxmlformats.org/officeDocument/2006/relationships/hyperlink" Target="file:///players/F/FreeRo00.htm" TargetMode="External"/><Relationship Id="rId780" Type="http://schemas.openxmlformats.org/officeDocument/2006/relationships/hyperlink" Target="file:///teams/buf/2021.htm" TargetMode="External"/><Relationship Id="rId226" Type="http://schemas.openxmlformats.org/officeDocument/2006/relationships/hyperlink" Target="file:///teams/dal/2021.htm" TargetMode="External"/><Relationship Id="rId433" Type="http://schemas.openxmlformats.org/officeDocument/2006/relationships/hyperlink" Target="file:///players/J/JackDe00.htm" TargetMode="External"/><Relationship Id="rId878" Type="http://schemas.openxmlformats.org/officeDocument/2006/relationships/hyperlink" Target="file:///teams/rai/2021.htm" TargetMode="External"/><Relationship Id="rId640" Type="http://schemas.openxmlformats.org/officeDocument/2006/relationships/hyperlink" Target="file:///teams/kan/2021.htm" TargetMode="External"/><Relationship Id="rId738" Type="http://schemas.openxmlformats.org/officeDocument/2006/relationships/hyperlink" Target="file:///players/J/JeffJe00.htm" TargetMode="External"/><Relationship Id="rId945" Type="http://schemas.openxmlformats.org/officeDocument/2006/relationships/hyperlink" Target="file:///players/H/HopkBr01.htm" TargetMode="External"/><Relationship Id="rId74" Type="http://schemas.openxmlformats.org/officeDocument/2006/relationships/hyperlink" Target="file:///players/F/FourLe00.htm" TargetMode="External"/><Relationship Id="rId377" Type="http://schemas.openxmlformats.org/officeDocument/2006/relationships/hyperlink" Target="file:///players/A/AgneJa00.htm" TargetMode="External"/><Relationship Id="rId500" Type="http://schemas.openxmlformats.org/officeDocument/2006/relationships/hyperlink" Target="file:///players/G/GrahJi00.htm" TargetMode="External"/><Relationship Id="rId584" Type="http://schemas.openxmlformats.org/officeDocument/2006/relationships/hyperlink" Target="file:///players/P/PettDa00.htm" TargetMode="External"/><Relationship Id="rId805" Type="http://schemas.openxmlformats.org/officeDocument/2006/relationships/hyperlink" Target="file:///players/S/SamuJa00.htm" TargetMode="External"/><Relationship Id="rId5" Type="http://schemas.openxmlformats.org/officeDocument/2006/relationships/hyperlink" Target="file:///players/H/HillTy00.htm" TargetMode="External"/><Relationship Id="rId237" Type="http://schemas.openxmlformats.org/officeDocument/2006/relationships/hyperlink" Target="file:///teams/chi/2021.htm" TargetMode="External"/><Relationship Id="rId791" Type="http://schemas.openxmlformats.org/officeDocument/2006/relationships/hyperlink" Target="file:///players/K/KirkKe00.htm" TargetMode="External"/><Relationship Id="rId889" Type="http://schemas.openxmlformats.org/officeDocument/2006/relationships/hyperlink" Target="file:///players/S/StocLu00.htm" TargetMode="External"/><Relationship Id="rId444" Type="http://schemas.openxmlformats.org/officeDocument/2006/relationships/hyperlink" Target="file:///players/G/GentZa00.htm" TargetMode="External"/><Relationship Id="rId651" Type="http://schemas.openxmlformats.org/officeDocument/2006/relationships/hyperlink" Target="file:///players/W/WilsJe01.htm" TargetMode="External"/><Relationship Id="rId749" Type="http://schemas.openxmlformats.org/officeDocument/2006/relationships/hyperlink" Target="file:///players/O/OlliQa00.htm" TargetMode="External"/><Relationship Id="rId290" Type="http://schemas.openxmlformats.org/officeDocument/2006/relationships/hyperlink" Target="file:///teams/sdg/2021.htm" TargetMode="External"/><Relationship Id="rId304" Type="http://schemas.openxmlformats.org/officeDocument/2006/relationships/hyperlink" Target="file:///teams/oti/2021.htm" TargetMode="External"/><Relationship Id="rId388" Type="http://schemas.openxmlformats.org/officeDocument/2006/relationships/hyperlink" Target="file:///teams/was/2021.htm" TargetMode="External"/><Relationship Id="rId511" Type="http://schemas.openxmlformats.org/officeDocument/2006/relationships/hyperlink" Target="file:///teams/nwe/2021.htm" TargetMode="External"/><Relationship Id="rId609" Type="http://schemas.openxmlformats.org/officeDocument/2006/relationships/hyperlink" Target="file:///teams/atl/2021.htm" TargetMode="External"/><Relationship Id="rId956" Type="http://schemas.openxmlformats.org/officeDocument/2006/relationships/hyperlink" Target="file:///teams/den/2021.htm" TargetMode="External"/><Relationship Id="rId85" Type="http://schemas.openxmlformats.org/officeDocument/2006/relationships/hyperlink" Target="file:///teams/min/2021.htm" TargetMode="External"/><Relationship Id="rId150" Type="http://schemas.openxmlformats.org/officeDocument/2006/relationships/hyperlink" Target="file:///players/U/UzomC.00.htm" TargetMode="External"/><Relationship Id="rId595" Type="http://schemas.openxmlformats.org/officeDocument/2006/relationships/hyperlink" Target="file:///teams/oti/2021.htm" TargetMode="External"/><Relationship Id="rId816" Type="http://schemas.openxmlformats.org/officeDocument/2006/relationships/hyperlink" Target="file:///teams/crd/2021.htm" TargetMode="External"/><Relationship Id="rId1001" Type="http://schemas.openxmlformats.org/officeDocument/2006/relationships/hyperlink" Target="file:///players/A/AdamRo01.htm" TargetMode="External"/><Relationship Id="rId248" Type="http://schemas.openxmlformats.org/officeDocument/2006/relationships/hyperlink" Target="file:///players/C/CartMi03.htm" TargetMode="External"/><Relationship Id="rId455" Type="http://schemas.openxmlformats.org/officeDocument/2006/relationships/hyperlink" Target="file:///teams/cle/2021.htm" TargetMode="External"/><Relationship Id="rId662" Type="http://schemas.openxmlformats.org/officeDocument/2006/relationships/hyperlink" Target="file:///teams/det/2021.htm" TargetMode="External"/><Relationship Id="rId12" Type="http://schemas.openxmlformats.org/officeDocument/2006/relationships/hyperlink" Target="file:///teams/pit/2021.htm" TargetMode="External"/><Relationship Id="rId108" Type="http://schemas.openxmlformats.org/officeDocument/2006/relationships/hyperlink" Target="file:///players/H/HardMe00.htm" TargetMode="External"/><Relationship Id="rId315" Type="http://schemas.openxmlformats.org/officeDocument/2006/relationships/hyperlink" Target="file:///players/D/DrakKe00.htm" TargetMode="External"/><Relationship Id="rId522" Type="http://schemas.openxmlformats.org/officeDocument/2006/relationships/hyperlink" Target="file:///players/O/OgunDa00.htm" TargetMode="External"/><Relationship Id="rId967" Type="http://schemas.openxmlformats.org/officeDocument/2006/relationships/hyperlink" Target="file:///players/N/NallRy00.htm" TargetMode="External"/><Relationship Id="rId96" Type="http://schemas.openxmlformats.org/officeDocument/2006/relationships/hyperlink" Target="file:///players/C/ConkTy00.htm" TargetMode="External"/><Relationship Id="rId161" Type="http://schemas.openxmlformats.org/officeDocument/2006/relationships/hyperlink" Target="file:///teams/rai/2021.htm" TargetMode="External"/><Relationship Id="rId399" Type="http://schemas.openxmlformats.org/officeDocument/2006/relationships/hyperlink" Target="file:///players/B/BernGi00.htm" TargetMode="External"/><Relationship Id="rId827" Type="http://schemas.openxmlformats.org/officeDocument/2006/relationships/hyperlink" Target="file:///players/B/BallKa00.htm" TargetMode="External"/><Relationship Id="rId1012" Type="http://schemas.openxmlformats.org/officeDocument/2006/relationships/hyperlink" Target="file:///players/C/ClevTy00.htm" TargetMode="External"/><Relationship Id="rId259" Type="http://schemas.openxmlformats.org/officeDocument/2006/relationships/hyperlink" Target="file:///players/D/DaviGa01.htm" TargetMode="External"/><Relationship Id="rId466" Type="http://schemas.openxmlformats.org/officeDocument/2006/relationships/hyperlink" Target="file:///players/Z/ZylsBr00.htm" TargetMode="External"/><Relationship Id="rId673" Type="http://schemas.openxmlformats.org/officeDocument/2006/relationships/hyperlink" Target="file:///teams/car/2021.htm" TargetMode="External"/><Relationship Id="rId880" Type="http://schemas.openxmlformats.org/officeDocument/2006/relationships/hyperlink" Target="file:///teams/phi/2021.htm" TargetMode="External"/><Relationship Id="rId23" Type="http://schemas.openxmlformats.org/officeDocument/2006/relationships/hyperlink" Target="file:///players/M/MoorD.00.htm" TargetMode="External"/><Relationship Id="rId119" Type="http://schemas.openxmlformats.org/officeDocument/2006/relationships/hyperlink" Target="file:///teams/tam/2021.htm" TargetMode="External"/><Relationship Id="rId326" Type="http://schemas.openxmlformats.org/officeDocument/2006/relationships/hyperlink" Target="file:///teams/clt/2021.htm" TargetMode="External"/><Relationship Id="rId533" Type="http://schemas.openxmlformats.org/officeDocument/2006/relationships/hyperlink" Target="file:///teams/mia/2021.htm" TargetMode="External"/><Relationship Id="rId978" Type="http://schemas.openxmlformats.org/officeDocument/2006/relationships/hyperlink" Target="file:///teams/gnb/2021.htm" TargetMode="External"/><Relationship Id="rId740" Type="http://schemas.openxmlformats.org/officeDocument/2006/relationships/hyperlink" Target="file:///players/J/JohnDu00.htm" TargetMode="External"/><Relationship Id="rId838" Type="http://schemas.openxmlformats.org/officeDocument/2006/relationships/hyperlink" Target="file:///teams/nyj/2021.htm" TargetMode="External"/><Relationship Id="rId1023" Type="http://schemas.openxmlformats.org/officeDocument/2006/relationships/hyperlink" Target="file:///teams/phi/2021.htm" TargetMode="External"/><Relationship Id="rId172" Type="http://schemas.openxmlformats.org/officeDocument/2006/relationships/hyperlink" Target="file:///players/E/EngrEv00.htm" TargetMode="External"/><Relationship Id="rId477" Type="http://schemas.openxmlformats.org/officeDocument/2006/relationships/hyperlink" Target="file:///teams/sea/2021.htm" TargetMode="External"/><Relationship Id="rId600" Type="http://schemas.openxmlformats.org/officeDocument/2006/relationships/hyperlink" Target="file:///players/M/MilnDa00.htm" TargetMode="External"/><Relationship Id="rId684" Type="http://schemas.openxmlformats.org/officeDocument/2006/relationships/hyperlink" Target="file:///teams/kan/2021.htm" TargetMode="External"/><Relationship Id="rId337" Type="http://schemas.openxmlformats.org/officeDocument/2006/relationships/hyperlink" Target="file:///teams/oti/2021.htm" TargetMode="External"/><Relationship Id="rId891" Type="http://schemas.openxmlformats.org/officeDocument/2006/relationships/hyperlink" Target="file:///players/S/StraMi03.htm" TargetMode="External"/><Relationship Id="rId905" Type="http://schemas.openxmlformats.org/officeDocument/2006/relationships/hyperlink" Target="file:///players/W/WillTy00.htm" TargetMode="External"/><Relationship Id="rId989" Type="http://schemas.openxmlformats.org/officeDocument/2006/relationships/hyperlink" Target="file:///players/W/WhitKe00.htm" TargetMode="External"/><Relationship Id="rId34" Type="http://schemas.openxmlformats.org/officeDocument/2006/relationships/hyperlink" Target="file:///teams/clt/2021.htm" TargetMode="External"/><Relationship Id="rId544" Type="http://schemas.openxmlformats.org/officeDocument/2006/relationships/hyperlink" Target="file:///players/W/WhitJa02.htm" TargetMode="External"/><Relationship Id="rId751" Type="http://schemas.openxmlformats.org/officeDocument/2006/relationships/hyperlink" Target="file:///players/P/PeteAd01.htm" TargetMode="External"/><Relationship Id="rId849" Type="http://schemas.openxmlformats.org/officeDocument/2006/relationships/hyperlink" Target="file:///players/H/HorsJe00.htm" TargetMode="External"/><Relationship Id="rId183" Type="http://schemas.openxmlformats.org/officeDocument/2006/relationships/hyperlink" Target="file:///players/M/McKiJ.00.htm" TargetMode="External"/><Relationship Id="rId390" Type="http://schemas.openxmlformats.org/officeDocument/2006/relationships/hyperlink" Target="file:///teams/cle/2021.htm" TargetMode="External"/><Relationship Id="rId404" Type="http://schemas.openxmlformats.org/officeDocument/2006/relationships/hyperlink" Target="file:///teams/sfo/2021.htm" TargetMode="External"/><Relationship Id="rId611" Type="http://schemas.openxmlformats.org/officeDocument/2006/relationships/hyperlink" Target="file:///teams/atl/2021.htm" TargetMode="External"/><Relationship Id="rId1034" Type="http://schemas.openxmlformats.org/officeDocument/2006/relationships/hyperlink" Target="file:///players/S/SmitDe04.htm" TargetMode="External"/><Relationship Id="rId250" Type="http://schemas.openxmlformats.org/officeDocument/2006/relationships/hyperlink" Target="file:///players/H/HarrDe07.htm" TargetMode="External"/><Relationship Id="rId488" Type="http://schemas.openxmlformats.org/officeDocument/2006/relationships/hyperlink" Target="file:///players/C/CephQu00.htm" TargetMode="External"/><Relationship Id="rId695" Type="http://schemas.openxmlformats.org/officeDocument/2006/relationships/hyperlink" Target="file:///players/M/MillSc01.htm" TargetMode="External"/><Relationship Id="rId709" Type="http://schemas.openxmlformats.org/officeDocument/2006/relationships/hyperlink" Target="file:///players/B/BlakCh00.htm" TargetMode="External"/><Relationship Id="rId916" Type="http://schemas.openxmlformats.org/officeDocument/2006/relationships/hyperlink" Target="file:///players/B/BlacTa00.htm" TargetMode="External"/><Relationship Id="rId45" Type="http://schemas.openxmlformats.org/officeDocument/2006/relationships/hyperlink" Target="file:///players/S/SchuDa00.htm" TargetMode="External"/><Relationship Id="rId110" Type="http://schemas.openxmlformats.org/officeDocument/2006/relationships/hyperlink" Target="file:///players/S/SuttCo00.htm" TargetMode="External"/><Relationship Id="rId348" Type="http://schemas.openxmlformats.org/officeDocument/2006/relationships/hyperlink" Target="file:///teams/rav/2021.htm" TargetMode="External"/><Relationship Id="rId555" Type="http://schemas.openxmlformats.org/officeDocument/2006/relationships/hyperlink" Target="file:///players/J/JohnCo01.htm" TargetMode="External"/><Relationship Id="rId762" Type="http://schemas.openxmlformats.org/officeDocument/2006/relationships/hyperlink" Target="file:///teams/tam/2021.htm" TargetMode="External"/><Relationship Id="rId194" Type="http://schemas.openxmlformats.org/officeDocument/2006/relationships/hyperlink" Target="file:///teams/was/2021.htm" TargetMode="External"/><Relationship Id="rId208" Type="http://schemas.openxmlformats.org/officeDocument/2006/relationships/hyperlink" Target="file:///teams/nwe/2021.htm" TargetMode="External"/><Relationship Id="rId415" Type="http://schemas.openxmlformats.org/officeDocument/2006/relationships/hyperlink" Target="file:///players/J/JackJu01.htm" TargetMode="External"/><Relationship Id="rId622" Type="http://schemas.openxmlformats.org/officeDocument/2006/relationships/hyperlink" Target="file:///players/M/MimsDe00.htm" TargetMode="External"/><Relationship Id="rId1045" Type="http://schemas.openxmlformats.org/officeDocument/2006/relationships/hyperlink" Target="file:///teams/nyj/2021.htm" TargetMode="External"/><Relationship Id="rId261" Type="http://schemas.openxmlformats.org/officeDocument/2006/relationships/hyperlink" Target="file:///players/G/GallMi00.htm" TargetMode="External"/><Relationship Id="rId499" Type="http://schemas.openxmlformats.org/officeDocument/2006/relationships/hyperlink" Target="file:///teams/pit/2021.htm" TargetMode="External"/><Relationship Id="rId927" Type="http://schemas.openxmlformats.org/officeDocument/2006/relationships/hyperlink" Target="file:///teams/clt/2021.htm" TargetMode="External"/><Relationship Id="rId56" Type="http://schemas.openxmlformats.org/officeDocument/2006/relationships/hyperlink" Target="file:///teams/sea/2021.htm" TargetMode="External"/><Relationship Id="rId359" Type="http://schemas.openxmlformats.org/officeDocument/2006/relationships/hyperlink" Target="file:///players/V/ValdMa00.htm" TargetMode="External"/><Relationship Id="rId566" Type="http://schemas.openxmlformats.org/officeDocument/2006/relationships/hyperlink" Target="file:///teams/rai/2021.htm" TargetMode="External"/><Relationship Id="rId773" Type="http://schemas.openxmlformats.org/officeDocument/2006/relationships/hyperlink" Target="file:///players/B/BurtMi00.htm" TargetMode="External"/><Relationship Id="rId121" Type="http://schemas.openxmlformats.org/officeDocument/2006/relationships/hyperlink" Target="file:///teams/rai/2021.htm" TargetMode="External"/><Relationship Id="rId219" Type="http://schemas.openxmlformats.org/officeDocument/2006/relationships/hyperlink" Target="file:///players/S/SingDe00.htm" TargetMode="External"/><Relationship Id="rId426" Type="http://schemas.openxmlformats.org/officeDocument/2006/relationships/hyperlink" Target="file:///teams/htx/2021.htm" TargetMode="External"/><Relationship Id="rId633" Type="http://schemas.openxmlformats.org/officeDocument/2006/relationships/hyperlink" Target="file:///teams/buf/2021.htm" TargetMode="External"/><Relationship Id="rId980" Type="http://schemas.openxmlformats.org/officeDocument/2006/relationships/hyperlink" Target="file:///teams/sdg/2021.htm" TargetMode="External"/><Relationship Id="rId840" Type="http://schemas.openxmlformats.org/officeDocument/2006/relationships/hyperlink" Target="file:///teams/rai/2021.htm" TargetMode="External"/><Relationship Id="rId938" Type="http://schemas.openxmlformats.org/officeDocument/2006/relationships/hyperlink" Target="file:///teams/was/2021.htm" TargetMode="External"/><Relationship Id="rId67" Type="http://schemas.openxmlformats.org/officeDocument/2006/relationships/hyperlink" Target="file:///teams/jax/2021.htm" TargetMode="External"/><Relationship Id="rId272" Type="http://schemas.openxmlformats.org/officeDocument/2006/relationships/hyperlink" Target="file:///teams/oti/2021.htm" TargetMode="External"/><Relationship Id="rId577" Type="http://schemas.openxmlformats.org/officeDocument/2006/relationships/hyperlink" Target="file:///teams/rai/2021.htm" TargetMode="External"/><Relationship Id="rId700" Type="http://schemas.openxmlformats.org/officeDocument/2006/relationships/hyperlink" Target="file:///teams/car/2021.htm" TargetMode="External"/><Relationship Id="rId132" Type="http://schemas.openxmlformats.org/officeDocument/2006/relationships/hyperlink" Target="file:///players/J/JoneAa00.htm" TargetMode="External"/><Relationship Id="rId784" Type="http://schemas.openxmlformats.org/officeDocument/2006/relationships/hyperlink" Target="file:///teams/sdg/2021.htm" TargetMode="External"/><Relationship Id="rId991" Type="http://schemas.openxmlformats.org/officeDocument/2006/relationships/hyperlink" Target="file:///players/W/WilkCh00.htm" TargetMode="External"/><Relationship Id="rId437" Type="http://schemas.openxmlformats.org/officeDocument/2006/relationships/hyperlink" Target="file:///teams/buf/2021.htm" TargetMode="External"/><Relationship Id="rId644" Type="http://schemas.openxmlformats.org/officeDocument/2006/relationships/hyperlink" Target="file:///teams/det/2021.htm" TargetMode="External"/><Relationship Id="rId851" Type="http://schemas.openxmlformats.org/officeDocument/2006/relationships/hyperlink" Target="file:///players/H/HowaJo00.htm" TargetMode="External"/><Relationship Id="rId283" Type="http://schemas.openxmlformats.org/officeDocument/2006/relationships/hyperlink" Target="file:///players/D/DuveDe00.htm" TargetMode="External"/><Relationship Id="rId490" Type="http://schemas.openxmlformats.org/officeDocument/2006/relationships/hyperlink" Target="file:///players/E/EvanCh02.htm" TargetMode="External"/><Relationship Id="rId504" Type="http://schemas.openxmlformats.org/officeDocument/2006/relationships/hyperlink" Target="file:///players/H/HollMa00.htm" TargetMode="External"/><Relationship Id="rId711" Type="http://schemas.openxmlformats.org/officeDocument/2006/relationships/hyperlink" Target="file:///players/B/BlanKe01.htm" TargetMode="External"/><Relationship Id="rId949" Type="http://schemas.openxmlformats.org/officeDocument/2006/relationships/hyperlink" Target="file:///players/J/JohnLa01.htm" TargetMode="External"/><Relationship Id="rId78" Type="http://schemas.openxmlformats.org/officeDocument/2006/relationships/hyperlink" Target="file:///players/F/FantNo00.htm" TargetMode="External"/><Relationship Id="rId143" Type="http://schemas.openxmlformats.org/officeDocument/2006/relationships/hyperlink" Target="file:///teams/ram/2021.htm" TargetMode="External"/><Relationship Id="rId350" Type="http://schemas.openxmlformats.org/officeDocument/2006/relationships/hyperlink" Target="file:///teams/chi/2021.htm" TargetMode="External"/><Relationship Id="rId588" Type="http://schemas.openxmlformats.org/officeDocument/2006/relationships/hyperlink" Target="file:///players/W/WestDe00.htm" TargetMode="External"/><Relationship Id="rId795" Type="http://schemas.openxmlformats.org/officeDocument/2006/relationships/hyperlink" Target="file:///players/M/MontDJ01.htm" TargetMode="External"/><Relationship Id="rId809" Type="http://schemas.openxmlformats.org/officeDocument/2006/relationships/hyperlink" Target="file:///players/S/SmitKa00.htm" TargetMode="External"/><Relationship Id="rId9" Type="http://schemas.openxmlformats.org/officeDocument/2006/relationships/hyperlink" Target="file:///players/A/AndrMa00.htm" TargetMode="External"/><Relationship Id="rId210" Type="http://schemas.openxmlformats.org/officeDocument/2006/relationships/hyperlink" Target="file:///teams/was/2021.htm" TargetMode="External"/><Relationship Id="rId448" Type="http://schemas.openxmlformats.org/officeDocument/2006/relationships/hyperlink" Target="file:///players/J/JohnDE04.htm" TargetMode="External"/><Relationship Id="rId655" Type="http://schemas.openxmlformats.org/officeDocument/2006/relationships/hyperlink" Target="file:///players/C/CarsCh00.htm" TargetMode="External"/><Relationship Id="rId862" Type="http://schemas.openxmlformats.org/officeDocument/2006/relationships/hyperlink" Target="file:///players/M/McMaRa00.htm" TargetMode="External"/><Relationship Id="rId294" Type="http://schemas.openxmlformats.org/officeDocument/2006/relationships/hyperlink" Target="file:///teams/jax/2021.htm" TargetMode="External"/><Relationship Id="rId308" Type="http://schemas.openxmlformats.org/officeDocument/2006/relationships/hyperlink" Target="file:///teams/jax/2021.htm" TargetMode="External"/><Relationship Id="rId515" Type="http://schemas.openxmlformats.org/officeDocument/2006/relationships/hyperlink" Target="file:///teams/det/2021.htm" TargetMode="External"/><Relationship Id="rId722" Type="http://schemas.openxmlformats.org/officeDocument/2006/relationships/hyperlink" Target="file:///teams/gnb/2021.htm" TargetMode="External"/><Relationship Id="rId89" Type="http://schemas.openxmlformats.org/officeDocument/2006/relationships/hyperlink" Target="file:///teams/phi/2021.htm" TargetMode="External"/><Relationship Id="rId154" Type="http://schemas.openxmlformats.org/officeDocument/2006/relationships/hyperlink" Target="file:///players/E/EverGe00.htm" TargetMode="External"/><Relationship Id="rId361" Type="http://schemas.openxmlformats.org/officeDocument/2006/relationships/hyperlink" Target="file:///players/W/WillJa06.htm" TargetMode="External"/><Relationship Id="rId599" Type="http://schemas.openxmlformats.org/officeDocument/2006/relationships/hyperlink" Target="file:///teams/oti/2021.htm" TargetMode="External"/><Relationship Id="rId1005" Type="http://schemas.openxmlformats.org/officeDocument/2006/relationships/hyperlink" Target="file:///players/B/BenjTr00.htm" TargetMode="External"/><Relationship Id="rId459" Type="http://schemas.openxmlformats.org/officeDocument/2006/relationships/hyperlink" Target="file:///teams/oti/2021.htm" TargetMode="External"/><Relationship Id="rId666" Type="http://schemas.openxmlformats.org/officeDocument/2006/relationships/hyperlink" Target="file:///teams/sdg/2021.htm" TargetMode="External"/><Relationship Id="rId873" Type="http://schemas.openxmlformats.org/officeDocument/2006/relationships/hyperlink" Target="file:///players/P/PhilSc01.htm" TargetMode="External"/><Relationship Id="rId16" Type="http://schemas.openxmlformats.org/officeDocument/2006/relationships/hyperlink" Target="file:///teams/mia/2021.htm" TargetMode="External"/><Relationship Id="rId221" Type="http://schemas.openxmlformats.org/officeDocument/2006/relationships/hyperlink" Target="file:///players/T/TaylJo02.htm" TargetMode="External"/><Relationship Id="rId319" Type="http://schemas.openxmlformats.org/officeDocument/2006/relationships/hyperlink" Target="file:///players/M/MoreFo00.htm" TargetMode="External"/><Relationship Id="rId526" Type="http://schemas.openxmlformats.org/officeDocument/2006/relationships/hyperlink" Target="file:///players/A/AhmeSa01.htm" TargetMode="External"/><Relationship Id="rId733" Type="http://schemas.openxmlformats.org/officeDocument/2006/relationships/hyperlink" Target="file:///teams/nor/2021.htm" TargetMode="External"/><Relationship Id="rId940" Type="http://schemas.openxmlformats.org/officeDocument/2006/relationships/hyperlink" Target="file:///teams/rai/2021.htm" TargetMode="External"/><Relationship Id="rId1016" Type="http://schemas.openxmlformats.org/officeDocument/2006/relationships/hyperlink" Target="file:///players/C/CrosKe00.htm" TargetMode="External"/><Relationship Id="rId165" Type="http://schemas.openxmlformats.org/officeDocument/2006/relationships/hyperlink" Target="file:///teams/kan/2021.htm" TargetMode="External"/><Relationship Id="rId372" Type="http://schemas.openxmlformats.org/officeDocument/2006/relationships/hyperlink" Target="file:///teams/atl/2021.htm" TargetMode="External"/><Relationship Id="rId677" Type="http://schemas.openxmlformats.org/officeDocument/2006/relationships/hyperlink" Target="file:///teams/mia/2021.htm" TargetMode="External"/><Relationship Id="rId800" Type="http://schemas.openxmlformats.org/officeDocument/2006/relationships/hyperlink" Target="file:///teams/nyg/2021.htm" TargetMode="External"/><Relationship Id="rId232" Type="http://schemas.openxmlformats.org/officeDocument/2006/relationships/hyperlink" Target="file:///players/J/JeudJe00.htm" TargetMode="External"/><Relationship Id="rId884" Type="http://schemas.openxmlformats.org/officeDocument/2006/relationships/hyperlink" Target="file:///teams/nyg/2021.htm" TargetMode="External"/><Relationship Id="rId27" Type="http://schemas.openxmlformats.org/officeDocument/2006/relationships/hyperlink" Target="file:///players/B/BrowMa04.htm" TargetMode="External"/><Relationship Id="rId537" Type="http://schemas.openxmlformats.org/officeDocument/2006/relationships/hyperlink" Target="file:///teams/jax/2021.htm" TargetMode="External"/><Relationship Id="rId744" Type="http://schemas.openxmlformats.org/officeDocument/2006/relationships/hyperlink" Target="file:///players/L/LindPh00.htm" TargetMode="External"/><Relationship Id="rId951" Type="http://schemas.openxmlformats.org/officeDocument/2006/relationships/hyperlink" Target="file:///players/J/JoneDa05.htm" TargetMode="External"/><Relationship Id="rId80" Type="http://schemas.openxmlformats.org/officeDocument/2006/relationships/hyperlink" Target="file:///players/P/PittKy00.htm" TargetMode="External"/><Relationship Id="rId176" Type="http://schemas.openxmlformats.org/officeDocument/2006/relationships/hyperlink" Target="file:///players/W/WoodRo02.htm" TargetMode="External"/><Relationship Id="rId383" Type="http://schemas.openxmlformats.org/officeDocument/2006/relationships/hyperlink" Target="file:///players/A/AmenDa00.htm" TargetMode="External"/><Relationship Id="rId590" Type="http://schemas.openxmlformats.org/officeDocument/2006/relationships/hyperlink" Target="file:///players/B/BellBl00.htm" TargetMode="External"/><Relationship Id="rId604" Type="http://schemas.openxmlformats.org/officeDocument/2006/relationships/hyperlink" Target="file:///players/P/PennEl00.htm" TargetMode="External"/><Relationship Id="rId811" Type="http://schemas.openxmlformats.org/officeDocument/2006/relationships/hyperlink" Target="file:///players/S/SpriJe00.htm" TargetMode="External"/><Relationship Id="rId1027" Type="http://schemas.openxmlformats.org/officeDocument/2006/relationships/hyperlink" Target="file:///teams/tam/2021.htm" TargetMode="External"/><Relationship Id="rId243" Type="http://schemas.openxmlformats.org/officeDocument/2006/relationships/hyperlink" Target="file:///teams/crd/2021.htm" TargetMode="External"/><Relationship Id="rId450" Type="http://schemas.openxmlformats.org/officeDocument/2006/relationships/hyperlink" Target="file:///players/M/MitcEl00.htm" TargetMode="External"/><Relationship Id="rId688" Type="http://schemas.openxmlformats.org/officeDocument/2006/relationships/hyperlink" Target="file:///teams/den/2021.htm" TargetMode="External"/><Relationship Id="rId895" Type="http://schemas.openxmlformats.org/officeDocument/2006/relationships/hyperlink" Target="file:///players/T/TaylPa01.htm" TargetMode="External"/><Relationship Id="rId909" Type="http://schemas.openxmlformats.org/officeDocument/2006/relationships/hyperlink" Target="file:///players/Y/YeboKe00.htm" TargetMode="External"/><Relationship Id="rId38" Type="http://schemas.openxmlformats.org/officeDocument/2006/relationships/hyperlink" Target="file:///teams/buf/2021.htm" TargetMode="External"/><Relationship Id="rId103" Type="http://schemas.openxmlformats.org/officeDocument/2006/relationships/hyperlink" Target="file:///teams/pit/2021.htm" TargetMode="External"/><Relationship Id="rId310" Type="http://schemas.openxmlformats.org/officeDocument/2006/relationships/hyperlink" Target="file:///teams/oti/2021.htm" TargetMode="External"/><Relationship Id="rId548" Type="http://schemas.openxmlformats.org/officeDocument/2006/relationships/hyperlink" Target="file:///players/C/ColeTe01.htm" TargetMode="External"/><Relationship Id="rId755" Type="http://schemas.openxmlformats.org/officeDocument/2006/relationships/hyperlink" Target="file:///teams/was/2021.htm" TargetMode="External"/><Relationship Id="rId962" Type="http://schemas.openxmlformats.org/officeDocument/2006/relationships/hyperlink" Target="file:///teams/pit/2021.htm" TargetMode="External"/><Relationship Id="rId91" Type="http://schemas.openxmlformats.org/officeDocument/2006/relationships/hyperlink" Target="file:///teams/oti/2021.htm" TargetMode="External"/><Relationship Id="rId187" Type="http://schemas.openxmlformats.org/officeDocument/2006/relationships/hyperlink" Target="file:///players/W/WatkQu00.htm" TargetMode="External"/><Relationship Id="rId394" Type="http://schemas.openxmlformats.org/officeDocument/2006/relationships/hyperlink" Target="file:///teams/jax/2021.htm" TargetMode="External"/><Relationship Id="rId408" Type="http://schemas.openxmlformats.org/officeDocument/2006/relationships/hyperlink" Target="file:///teams/gnb/2021.htm" TargetMode="External"/><Relationship Id="rId615" Type="http://schemas.openxmlformats.org/officeDocument/2006/relationships/hyperlink" Target="file:///teams/buf/2021.htm" TargetMode="External"/><Relationship Id="rId822" Type="http://schemas.openxmlformats.org/officeDocument/2006/relationships/hyperlink" Target="file:///teams/cin/2021.htm" TargetMode="External"/><Relationship Id="rId1038" Type="http://schemas.openxmlformats.org/officeDocument/2006/relationships/hyperlink" Target="file:///players/S/SullSt00.htm" TargetMode="External"/><Relationship Id="rId254" Type="http://schemas.openxmlformats.org/officeDocument/2006/relationships/hyperlink" Target="file:///players/N/NjokDa00.htm" TargetMode="External"/><Relationship Id="rId699" Type="http://schemas.openxmlformats.org/officeDocument/2006/relationships/hyperlink" Target="file:///players/S/SmitRo08.htm" TargetMode="External"/><Relationship Id="rId49" Type="http://schemas.openxmlformats.org/officeDocument/2006/relationships/hyperlink" Target="file:///players/M/McLaTe00.htm" TargetMode="External"/><Relationship Id="rId114" Type="http://schemas.openxmlformats.org/officeDocument/2006/relationships/hyperlink" Target="file:///players/G/GoedDa00.htm" TargetMode="External"/><Relationship Id="rId461" Type="http://schemas.openxmlformats.org/officeDocument/2006/relationships/hyperlink" Target="file:///teams/car/2021.htm" TargetMode="External"/><Relationship Id="rId559" Type="http://schemas.openxmlformats.org/officeDocument/2006/relationships/hyperlink" Target="file:///players/R/RossJo00.htm" TargetMode="External"/><Relationship Id="rId766" Type="http://schemas.openxmlformats.org/officeDocument/2006/relationships/hyperlink" Target="file:///teams/was/2021.htm" TargetMode="External"/><Relationship Id="rId198" Type="http://schemas.openxmlformats.org/officeDocument/2006/relationships/hyperlink" Target="file:///teams/cin/2021.htm" TargetMode="External"/><Relationship Id="rId321" Type="http://schemas.openxmlformats.org/officeDocument/2006/relationships/hyperlink" Target="file:///players/R/RogeCh02.htm" TargetMode="External"/><Relationship Id="rId419" Type="http://schemas.openxmlformats.org/officeDocument/2006/relationships/hyperlink" Target="file:///players/D/DallDe00.htm" TargetMode="External"/><Relationship Id="rId626" Type="http://schemas.openxmlformats.org/officeDocument/2006/relationships/hyperlink" Target="file:///players/S/SaubEr00.htm" TargetMode="External"/><Relationship Id="rId973" Type="http://schemas.openxmlformats.org/officeDocument/2006/relationships/hyperlink" Target="file:///teams/det/2021.htm" TargetMode="External"/><Relationship Id="rId833" Type="http://schemas.openxmlformats.org/officeDocument/2006/relationships/hyperlink" Target="file:///players/B/BonnRe00.htm" TargetMode="External"/><Relationship Id="rId265" Type="http://schemas.openxmlformats.org/officeDocument/2006/relationships/hyperlink" Target="file:///players/D/DaviCo03.htm" TargetMode="External"/><Relationship Id="rId472" Type="http://schemas.openxmlformats.org/officeDocument/2006/relationships/hyperlink" Target="file:///players/A/AndeSt01.htm" TargetMode="External"/><Relationship Id="rId900" Type="http://schemas.openxmlformats.org/officeDocument/2006/relationships/hyperlink" Target="file:///teams/rav/2021.htm" TargetMode="External"/><Relationship Id="rId125" Type="http://schemas.openxmlformats.org/officeDocument/2006/relationships/hyperlink" Target="file:///teams/rai/2021.htm" TargetMode="External"/><Relationship Id="rId332" Type="http://schemas.openxmlformats.org/officeDocument/2006/relationships/hyperlink" Target="file:///players/C/ColeKe00.htm" TargetMode="External"/><Relationship Id="rId777" Type="http://schemas.openxmlformats.org/officeDocument/2006/relationships/hyperlink" Target="file:///players/E/EricAl01.htm" TargetMode="External"/><Relationship Id="rId984" Type="http://schemas.openxmlformats.org/officeDocument/2006/relationships/hyperlink" Target="file:///teams/dal/2021.htm" TargetMode="External"/><Relationship Id="rId637" Type="http://schemas.openxmlformats.org/officeDocument/2006/relationships/hyperlink" Target="file:///players/F/FarrLu00.htm" TargetMode="External"/><Relationship Id="rId844" Type="http://schemas.openxmlformats.org/officeDocument/2006/relationships/hyperlink" Target="file:///teams/gnb/2021.htm" TargetMode="External"/><Relationship Id="rId276" Type="http://schemas.openxmlformats.org/officeDocument/2006/relationships/hyperlink" Target="file:///teams/nyj/2021.htm" TargetMode="External"/><Relationship Id="rId483" Type="http://schemas.openxmlformats.org/officeDocument/2006/relationships/hyperlink" Target="file:///teams/rav/2021.htm" TargetMode="External"/><Relationship Id="rId690" Type="http://schemas.openxmlformats.org/officeDocument/2006/relationships/hyperlink" Target="file:///teams/atl/2021.htm" TargetMode="External"/><Relationship Id="rId704" Type="http://schemas.openxmlformats.org/officeDocument/2006/relationships/hyperlink" Target="file:///teams/cin/2021.htm" TargetMode="External"/><Relationship Id="rId911" Type="http://schemas.openxmlformats.org/officeDocument/2006/relationships/hyperlink" Target="file:///players/A/ArmaAl00.htm" TargetMode="External"/><Relationship Id="rId40" Type="http://schemas.openxmlformats.org/officeDocument/2006/relationships/hyperlink" Target="file:///teams/cin/2021.htm" TargetMode="External"/><Relationship Id="rId136" Type="http://schemas.openxmlformats.org/officeDocument/2006/relationships/hyperlink" Target="file:///players/P/PattCo00.htm" TargetMode="External"/><Relationship Id="rId343" Type="http://schemas.openxmlformats.org/officeDocument/2006/relationships/hyperlink" Target="file:///players/P/PeriSa00.htm" TargetMode="External"/><Relationship Id="rId550" Type="http://schemas.openxmlformats.org/officeDocument/2006/relationships/hyperlink" Target="file:///players/G/GranKy00.htm" TargetMode="External"/><Relationship Id="rId788" Type="http://schemas.openxmlformats.org/officeDocument/2006/relationships/hyperlink" Target="file:///teams/phi/2021.htm" TargetMode="External"/><Relationship Id="rId995" Type="http://schemas.openxmlformats.org/officeDocument/2006/relationships/hyperlink" Target="file:///players/W/WillTr06.htm" TargetMode="External"/><Relationship Id="rId203" Type="http://schemas.openxmlformats.org/officeDocument/2006/relationships/hyperlink" Target="file:///players/S/SandEm00.htm" TargetMode="External"/><Relationship Id="rId648" Type="http://schemas.openxmlformats.org/officeDocument/2006/relationships/hyperlink" Target="file:///teams/det/2021.htm" TargetMode="External"/><Relationship Id="rId855" Type="http://schemas.openxmlformats.org/officeDocument/2006/relationships/hyperlink" Target="file:///players/J/JohnTy03.htm" TargetMode="External"/><Relationship Id="rId1040" Type="http://schemas.openxmlformats.org/officeDocument/2006/relationships/hyperlink" Target="file:///players/T/ThomCo03.htm" TargetMode="External"/><Relationship Id="rId287" Type="http://schemas.openxmlformats.org/officeDocument/2006/relationships/hyperlink" Target="file:///players/O/OkwuAl00.htm" TargetMode="External"/><Relationship Id="rId410" Type="http://schemas.openxmlformats.org/officeDocument/2006/relationships/hyperlink" Target="file:///teams/buf/2021.htm" TargetMode="External"/><Relationship Id="rId494" Type="http://schemas.openxmlformats.org/officeDocument/2006/relationships/hyperlink" Target="file:///players/S/SanuMo00.htm" TargetMode="External"/><Relationship Id="rId508" Type="http://schemas.openxmlformats.org/officeDocument/2006/relationships/hyperlink" Target="file:///players/P/PruiMy00.htm" TargetMode="External"/><Relationship Id="rId715" Type="http://schemas.openxmlformats.org/officeDocument/2006/relationships/hyperlink" Target="file:///players/B/BradJa01.htm" TargetMode="External"/><Relationship Id="rId922" Type="http://schemas.openxmlformats.org/officeDocument/2006/relationships/hyperlink" Target="file:///players/B/BradGa00.htm" TargetMode="External"/><Relationship Id="rId147" Type="http://schemas.openxmlformats.org/officeDocument/2006/relationships/hyperlink" Target="file:///teams/mia/2021.htm" TargetMode="External"/><Relationship Id="rId354" Type="http://schemas.openxmlformats.org/officeDocument/2006/relationships/hyperlink" Target="file:///teams/nyg/2021.htm" TargetMode="External"/><Relationship Id="rId799" Type="http://schemas.openxmlformats.org/officeDocument/2006/relationships/hyperlink" Target="file:///players/M/MyarCh00.htm" TargetMode="External"/><Relationship Id="rId51" Type="http://schemas.openxmlformats.org/officeDocument/2006/relationships/hyperlink" Target="file:///players/S/SamuDe00.htm" TargetMode="External"/><Relationship Id="rId561" Type="http://schemas.openxmlformats.org/officeDocument/2006/relationships/hyperlink" Target="file:///players/S/SampDr00.htm" TargetMode="External"/><Relationship Id="rId659" Type="http://schemas.openxmlformats.org/officeDocument/2006/relationships/hyperlink" Target="file:///players/D/DardJa00.htm" TargetMode="External"/><Relationship Id="rId866" Type="http://schemas.openxmlformats.org/officeDocument/2006/relationships/hyperlink" Target="file:///teams/cin/2021.htm" TargetMode="External"/><Relationship Id="rId214" Type="http://schemas.openxmlformats.org/officeDocument/2006/relationships/hyperlink" Target="file:///teams/clt/2021.htm" TargetMode="External"/><Relationship Id="rId298" Type="http://schemas.openxmlformats.org/officeDocument/2006/relationships/hyperlink" Target="file:///teams/min/2021.htm" TargetMode="External"/><Relationship Id="rId421" Type="http://schemas.openxmlformats.org/officeDocument/2006/relationships/hyperlink" Target="file:///players/D/DissWi00.htm" TargetMode="External"/><Relationship Id="rId519" Type="http://schemas.openxmlformats.org/officeDocument/2006/relationships/hyperlink" Target="file:///teams/nor/2021.htm" TargetMode="External"/><Relationship Id="rId158" Type="http://schemas.openxmlformats.org/officeDocument/2006/relationships/hyperlink" Target="file:///players/E/ElliEz00.htm" TargetMode="External"/><Relationship Id="rId726" Type="http://schemas.openxmlformats.org/officeDocument/2006/relationships/hyperlink" Target="file:///players/F/FullWi01.htm" TargetMode="External"/><Relationship Id="rId933" Type="http://schemas.openxmlformats.org/officeDocument/2006/relationships/hyperlink" Target="file:///teams/htx/2021.htm" TargetMode="External"/><Relationship Id="rId1009" Type="http://schemas.openxmlformats.org/officeDocument/2006/relationships/hyperlink" Target="file:///players/B/BrowJo02.htm" TargetMode="External"/><Relationship Id="rId62" Type="http://schemas.openxmlformats.org/officeDocument/2006/relationships/hyperlink" Target="file:///players/H/HiggTe00.htm" TargetMode="External"/><Relationship Id="rId365" Type="http://schemas.openxmlformats.org/officeDocument/2006/relationships/hyperlink" Target="file:///players/D/DeguJo00.htm" TargetMode="External"/><Relationship Id="rId572" Type="http://schemas.openxmlformats.org/officeDocument/2006/relationships/hyperlink" Target="file:///teams/sea/2021.htm" TargetMode="External"/><Relationship Id="rId225" Type="http://schemas.openxmlformats.org/officeDocument/2006/relationships/hyperlink" Target="file:///players/P/PollTo00.htm" TargetMode="External"/><Relationship Id="rId432" Type="http://schemas.openxmlformats.org/officeDocument/2006/relationships/hyperlink" Target="file:///teams/chi/2021.htm" TargetMode="External"/><Relationship Id="rId877" Type="http://schemas.openxmlformats.org/officeDocument/2006/relationships/hyperlink" Target="file:///players/R/RagaTr00.htm" TargetMode="External"/><Relationship Id="rId737" Type="http://schemas.openxmlformats.org/officeDocument/2006/relationships/hyperlink" Target="file:///teams/oti/2021.htm" TargetMode="External"/><Relationship Id="rId944" Type="http://schemas.openxmlformats.org/officeDocument/2006/relationships/hyperlink" Target="file:///teams/oti/2021.htm" TargetMode="External"/><Relationship Id="rId73" Type="http://schemas.openxmlformats.org/officeDocument/2006/relationships/hyperlink" Target="file:///teams/sdg/2021.htm" TargetMode="External"/><Relationship Id="rId169" Type="http://schemas.openxmlformats.org/officeDocument/2006/relationships/hyperlink" Target="file:///teams/nyj/2021.htm" TargetMode="External"/><Relationship Id="rId376" Type="http://schemas.openxmlformats.org/officeDocument/2006/relationships/hyperlink" Target="file:///teams/mia/2021.htm" TargetMode="External"/><Relationship Id="rId583" Type="http://schemas.openxmlformats.org/officeDocument/2006/relationships/hyperlink" Target="file:///teams/was/2021.htm" TargetMode="External"/><Relationship Id="rId790" Type="http://schemas.openxmlformats.org/officeDocument/2006/relationships/hyperlink" Target="file:///teams/cle/2021.htm" TargetMode="External"/><Relationship Id="rId804" Type="http://schemas.openxmlformats.org/officeDocument/2006/relationships/hyperlink" Target="file:///teams/nor/2021.htm" TargetMode="External"/><Relationship Id="rId4" Type="http://schemas.openxmlformats.org/officeDocument/2006/relationships/hyperlink" Target="file:///teams/gnb/2021.htm" TargetMode="External"/><Relationship Id="rId236" Type="http://schemas.openxmlformats.org/officeDocument/2006/relationships/hyperlink" Target="file:///players/R/RobiAl02.htm" TargetMode="External"/><Relationship Id="rId443" Type="http://schemas.openxmlformats.org/officeDocument/2006/relationships/hyperlink" Target="file:///teams/kan/2021.htm" TargetMode="External"/><Relationship Id="rId650" Type="http://schemas.openxmlformats.org/officeDocument/2006/relationships/hyperlink" Target="file:///teams/phi/2021.htm" TargetMode="External"/><Relationship Id="rId888" Type="http://schemas.openxmlformats.org/officeDocument/2006/relationships/hyperlink" Target="file:///teams/cle/2021.htm" TargetMode="External"/><Relationship Id="rId303" Type="http://schemas.openxmlformats.org/officeDocument/2006/relationships/hyperlink" Target="file:///players/J/JoneJu02.htm" TargetMode="External"/><Relationship Id="rId748" Type="http://schemas.openxmlformats.org/officeDocument/2006/relationships/hyperlink" Target="file:///teams/min/2021.htm" TargetMode="External"/><Relationship Id="rId955" Type="http://schemas.openxmlformats.org/officeDocument/2006/relationships/hyperlink" Target="file:///players/L/LockDr00.htm" TargetMode="External"/><Relationship Id="rId84" Type="http://schemas.openxmlformats.org/officeDocument/2006/relationships/hyperlink" Target="file:///players/T/ThieAd00.htm" TargetMode="External"/><Relationship Id="rId387" Type="http://schemas.openxmlformats.org/officeDocument/2006/relationships/hyperlink" Target="file:///players/C/CartDe02.htm" TargetMode="External"/><Relationship Id="rId510" Type="http://schemas.openxmlformats.org/officeDocument/2006/relationships/hyperlink" Target="file:///players/S/StevRh00.htm" TargetMode="External"/><Relationship Id="rId594" Type="http://schemas.openxmlformats.org/officeDocument/2006/relationships/hyperlink" Target="file:///players/F/ForeDO00.htm" TargetMode="External"/><Relationship Id="rId608" Type="http://schemas.openxmlformats.org/officeDocument/2006/relationships/hyperlink" Target="file:///players/S/SmitKe03.htm" TargetMode="External"/><Relationship Id="rId815" Type="http://schemas.openxmlformats.org/officeDocument/2006/relationships/hyperlink" Target="file:///players/W/WardJo00.htm" TargetMode="External"/><Relationship Id="rId247" Type="http://schemas.openxmlformats.org/officeDocument/2006/relationships/hyperlink" Target="file:///teams/car/2021.htm" TargetMode="External"/><Relationship Id="rId899" Type="http://schemas.openxmlformats.org/officeDocument/2006/relationships/hyperlink" Target="file:///players/W/WallTy00.htm" TargetMode="External"/><Relationship Id="rId1000" Type="http://schemas.openxmlformats.org/officeDocument/2006/relationships/hyperlink" Target="file:///teams/tam/2021.htm" TargetMode="External"/><Relationship Id="rId107" Type="http://schemas.openxmlformats.org/officeDocument/2006/relationships/hyperlink" Target="file:///teams/pit/2021.htm" TargetMode="External"/><Relationship Id="rId454" Type="http://schemas.openxmlformats.org/officeDocument/2006/relationships/hyperlink" Target="file:///players/F/FeltDe00.htm" TargetMode="External"/><Relationship Id="rId661" Type="http://schemas.openxmlformats.org/officeDocument/2006/relationships/hyperlink" Target="file:///players/K/KennTo01.htm" TargetMode="External"/><Relationship Id="rId759" Type="http://schemas.openxmlformats.org/officeDocument/2006/relationships/hyperlink" Target="file:///players/T/TaylJJ01.htm" TargetMode="External"/><Relationship Id="rId966" Type="http://schemas.openxmlformats.org/officeDocument/2006/relationships/hyperlink" Target="file:///teams/ram/2021.htm" TargetMode="External"/><Relationship Id="rId11" Type="http://schemas.openxmlformats.org/officeDocument/2006/relationships/hyperlink" Target="file:///players/J/JohnDi01.htm" TargetMode="External"/><Relationship Id="rId314" Type="http://schemas.openxmlformats.org/officeDocument/2006/relationships/hyperlink" Target="file:///teams/tam/2021.htm" TargetMode="External"/><Relationship Id="rId398" Type="http://schemas.openxmlformats.org/officeDocument/2006/relationships/hyperlink" Target="file:///teams/pit/2021.htm" TargetMode="External"/><Relationship Id="rId521" Type="http://schemas.openxmlformats.org/officeDocument/2006/relationships/hyperlink" Target="file:///teams/kan/2021.htm" TargetMode="External"/><Relationship Id="rId619" Type="http://schemas.openxmlformats.org/officeDocument/2006/relationships/hyperlink" Target="file:///teams/rav/2021.htm" TargetMode="External"/><Relationship Id="rId95" Type="http://schemas.openxmlformats.org/officeDocument/2006/relationships/hyperlink" Target="file:///teams/det/2021.htm" TargetMode="External"/><Relationship Id="rId160" Type="http://schemas.openxmlformats.org/officeDocument/2006/relationships/hyperlink" Target="file:///players/J/JoneZa00.htm" TargetMode="External"/><Relationship Id="rId826" Type="http://schemas.openxmlformats.org/officeDocument/2006/relationships/hyperlink" Target="file:///teams/phi/2021.htm" TargetMode="External"/><Relationship Id="rId1011" Type="http://schemas.openxmlformats.org/officeDocument/2006/relationships/hyperlink" Target="file:///teams/sdg/2021.htm" TargetMode="External"/><Relationship Id="rId258" Type="http://schemas.openxmlformats.org/officeDocument/2006/relationships/hyperlink" Target="file:///players/A/ArnoDa00.htm" TargetMode="External"/><Relationship Id="rId465" Type="http://schemas.openxmlformats.org/officeDocument/2006/relationships/hyperlink" Target="file:///teams/gnb/2021.htm" TargetMode="External"/><Relationship Id="rId672" Type="http://schemas.openxmlformats.org/officeDocument/2006/relationships/hyperlink" Target="file:///players/S/SmitSh03.htm" TargetMode="External"/><Relationship Id="rId22" Type="http://schemas.openxmlformats.org/officeDocument/2006/relationships/hyperlink" Target="file:///teams/tam/2021.htm" TargetMode="External"/><Relationship Id="rId118" Type="http://schemas.openxmlformats.org/officeDocument/2006/relationships/hyperlink" Target="file:///players/G/GronRo00.htm" TargetMode="External"/><Relationship Id="rId325" Type="http://schemas.openxmlformats.org/officeDocument/2006/relationships/hyperlink" Target="file:///players/D/DoylJa00.htm" TargetMode="External"/><Relationship Id="rId532" Type="http://schemas.openxmlformats.org/officeDocument/2006/relationships/hyperlink" Target="file:///players/F/FordIs00.htm" TargetMode="External"/><Relationship Id="rId977" Type="http://schemas.openxmlformats.org/officeDocument/2006/relationships/hyperlink" Target="file:///players/R/RodgAa00.htm" TargetMode="External"/><Relationship Id="rId171" Type="http://schemas.openxmlformats.org/officeDocument/2006/relationships/hyperlink" Target="file:///teams/nor/2021.htm" TargetMode="External"/><Relationship Id="rId837" Type="http://schemas.openxmlformats.org/officeDocument/2006/relationships/hyperlink" Target="file:///players/B/BrowDa04.htm" TargetMode="External"/><Relationship Id="rId1022" Type="http://schemas.openxmlformats.org/officeDocument/2006/relationships/hyperlink" Target="file:///players/H/HuntJa01.htm" TargetMode="External"/><Relationship Id="rId269" Type="http://schemas.openxmlformats.org/officeDocument/2006/relationships/hyperlink" Target="file:///players/E/EdwaBr01.htm" TargetMode="External"/><Relationship Id="rId476" Type="http://schemas.openxmlformats.org/officeDocument/2006/relationships/hyperlink" Target="file:///players/H/HomeTr00.htm" TargetMode="External"/><Relationship Id="rId683" Type="http://schemas.openxmlformats.org/officeDocument/2006/relationships/hyperlink" Target="file:///players/F/FortJo01.htm" TargetMode="External"/><Relationship Id="rId890" Type="http://schemas.openxmlformats.org/officeDocument/2006/relationships/hyperlink" Target="file:///teams/min/2021.htm" TargetMode="External"/><Relationship Id="rId904" Type="http://schemas.openxmlformats.org/officeDocument/2006/relationships/hyperlink" Target="file:///teams/nor/2021.htm" TargetMode="External"/><Relationship Id="rId33" Type="http://schemas.openxmlformats.org/officeDocument/2006/relationships/hyperlink" Target="file:///players/P/PittMi01.htm" TargetMode="External"/><Relationship Id="rId129" Type="http://schemas.openxmlformats.org/officeDocument/2006/relationships/hyperlink" Target="file:///teams/car/2021.htm" TargetMode="External"/><Relationship Id="rId336" Type="http://schemas.openxmlformats.org/officeDocument/2006/relationships/hyperlink" Target="file:///players/M/McNiJe00.htm" TargetMode="External"/><Relationship Id="rId543" Type="http://schemas.openxmlformats.org/officeDocument/2006/relationships/hyperlink" Target="file:///teams/dal/2021.htm" TargetMode="External"/><Relationship Id="rId988" Type="http://schemas.openxmlformats.org/officeDocument/2006/relationships/hyperlink" Target="file:///teams/rav/2021.htm" TargetMode="External"/><Relationship Id="rId182" Type="http://schemas.openxmlformats.org/officeDocument/2006/relationships/hyperlink" Target="file:///teams/crd/2021.htm" TargetMode="External"/><Relationship Id="rId403" Type="http://schemas.openxmlformats.org/officeDocument/2006/relationships/hyperlink" Target="file:///players/H/HastJa02.htm" TargetMode="External"/><Relationship Id="rId750" Type="http://schemas.openxmlformats.org/officeDocument/2006/relationships/hyperlink" Target="file:///teams/atl/2021.htm" TargetMode="External"/><Relationship Id="rId848" Type="http://schemas.openxmlformats.org/officeDocument/2006/relationships/hyperlink" Target="file:///teams/oti/2021.htm" TargetMode="External"/><Relationship Id="rId1033" Type="http://schemas.openxmlformats.org/officeDocument/2006/relationships/hyperlink" Target="file:///players/S/SargMe00.htm" TargetMode="External"/><Relationship Id="rId487" Type="http://schemas.openxmlformats.org/officeDocument/2006/relationships/hyperlink" Target="file:///teams/crd/2021.htm" TargetMode="External"/><Relationship Id="rId610" Type="http://schemas.openxmlformats.org/officeDocument/2006/relationships/hyperlink" Target="file:///players/S/SmitLe00.htm" TargetMode="External"/><Relationship Id="rId694" Type="http://schemas.openxmlformats.org/officeDocument/2006/relationships/hyperlink" Target="file:///teams/sdg/2021.htm" TargetMode="External"/><Relationship Id="rId708" Type="http://schemas.openxmlformats.org/officeDocument/2006/relationships/hyperlink" Target="file:///teams/sfo/2021.htm" TargetMode="External"/><Relationship Id="rId915" Type="http://schemas.openxmlformats.org/officeDocument/2006/relationships/hyperlink" Target="file:///teams/sea/2021.htm" TargetMode="External"/><Relationship Id="rId347" Type="http://schemas.openxmlformats.org/officeDocument/2006/relationships/hyperlink" Target="file:///players/W/WatkSa00.htm" TargetMode="External"/><Relationship Id="rId999" Type="http://schemas.openxmlformats.org/officeDocument/2006/relationships/hyperlink" Target="file:///players/Y/YeldDe00.htm" TargetMode="External"/><Relationship Id="rId44" Type="http://schemas.openxmlformats.org/officeDocument/2006/relationships/hyperlink" Target="file:///teams/dal/2021.htm" TargetMode="External"/><Relationship Id="rId554" Type="http://schemas.openxmlformats.org/officeDocument/2006/relationships/hyperlink" Target="file:///teams/dal/2021.htm" TargetMode="External"/><Relationship Id="rId761" Type="http://schemas.openxmlformats.org/officeDocument/2006/relationships/hyperlink" Target="file:///players/V/VaugKe00.htm" TargetMode="External"/><Relationship Id="rId859" Type="http://schemas.openxmlformats.org/officeDocument/2006/relationships/hyperlink" Target="file:///teams/buf/2021.htm" TargetMode="External"/><Relationship Id="rId193" Type="http://schemas.openxmlformats.org/officeDocument/2006/relationships/hyperlink" Target="file:///players/G/GibsAn00.htm" TargetMode="External"/><Relationship Id="rId207" Type="http://schemas.openxmlformats.org/officeDocument/2006/relationships/hyperlink" Target="file:///players/B/BoldBr00.htm" TargetMode="External"/><Relationship Id="rId414" Type="http://schemas.openxmlformats.org/officeDocument/2006/relationships/hyperlink" Target="file:///teams/cle/2021.htm" TargetMode="External"/><Relationship Id="rId498" Type="http://schemas.openxmlformats.org/officeDocument/2006/relationships/hyperlink" Target="file:///players/S/SmitJu00.htm" TargetMode="External"/><Relationship Id="rId621" Type="http://schemas.openxmlformats.org/officeDocument/2006/relationships/hyperlink" Target="file:///teams/kan/2021.htm" TargetMode="External"/><Relationship Id="rId1044" Type="http://schemas.openxmlformats.org/officeDocument/2006/relationships/hyperlink" Target="file:///players/W/WilsZa00.htm" TargetMode="External"/><Relationship Id="rId260" Type="http://schemas.openxmlformats.org/officeDocument/2006/relationships/hyperlink" Target="file:///teams/buf/2021.htm" TargetMode="External"/><Relationship Id="rId719" Type="http://schemas.openxmlformats.org/officeDocument/2006/relationships/hyperlink" Target="file:///players/C/CoopPh00.htm" TargetMode="External"/><Relationship Id="rId926" Type="http://schemas.openxmlformats.org/officeDocument/2006/relationships/hyperlink" Target="file:///players/C/CoutKe00.htm" TargetMode="External"/><Relationship Id="rId55" Type="http://schemas.openxmlformats.org/officeDocument/2006/relationships/hyperlink" Target="file:///players/M/MetcDK00.htm" TargetMode="External"/><Relationship Id="rId120" Type="http://schemas.openxmlformats.org/officeDocument/2006/relationships/hyperlink" Target="file:///players/W/WallDa01.htm" TargetMode="External"/><Relationship Id="rId358" Type="http://schemas.openxmlformats.org/officeDocument/2006/relationships/hyperlink" Target="file:///teams/nyg/2021.htm" TargetMode="External"/><Relationship Id="rId565" Type="http://schemas.openxmlformats.org/officeDocument/2006/relationships/hyperlink" Target="file:///players/B/BarbPe01.htm" TargetMode="External"/><Relationship Id="rId772" Type="http://schemas.openxmlformats.org/officeDocument/2006/relationships/hyperlink" Target="file:///teams/mia/2021.htm" TargetMode="External"/><Relationship Id="rId218" Type="http://schemas.openxmlformats.org/officeDocument/2006/relationships/hyperlink" Target="file:///teams/mia/2021.htm" TargetMode="External"/><Relationship Id="rId425" Type="http://schemas.openxmlformats.org/officeDocument/2006/relationships/hyperlink" Target="file:///players/M/MoorCh00.htm" TargetMode="External"/><Relationship Id="rId632" Type="http://schemas.openxmlformats.org/officeDocument/2006/relationships/hyperlink" Target="file:///players/B/BreiMa00.htm" TargetMode="External"/><Relationship Id="rId271" Type="http://schemas.openxmlformats.org/officeDocument/2006/relationships/hyperlink" Target="file:///players/F/FirkAn00.htm" TargetMode="External"/><Relationship Id="rId937" Type="http://schemas.openxmlformats.org/officeDocument/2006/relationships/hyperlink" Target="file:///players/H/HeinTa00.htm" TargetMode="External"/><Relationship Id="rId66" Type="http://schemas.openxmlformats.org/officeDocument/2006/relationships/hyperlink" Target="file:///players/J/JoneMa02.htm" TargetMode="External"/><Relationship Id="rId131" Type="http://schemas.openxmlformats.org/officeDocument/2006/relationships/hyperlink" Target="file:///teams/den/2021.htm" TargetMode="External"/><Relationship Id="rId369" Type="http://schemas.openxmlformats.org/officeDocument/2006/relationships/hyperlink" Target="file:///players/R/RobiDe01.htm" TargetMode="External"/><Relationship Id="rId576" Type="http://schemas.openxmlformats.org/officeDocument/2006/relationships/hyperlink" Target="file:///players/I/IngoAl01.htm" TargetMode="External"/><Relationship Id="rId783" Type="http://schemas.openxmlformats.org/officeDocument/2006/relationships/hyperlink" Target="file:///players/H/HillKJ00.htm" TargetMode="External"/><Relationship Id="rId990" Type="http://schemas.openxmlformats.org/officeDocument/2006/relationships/hyperlink" Target="file:///teams/nor/2021.htm" TargetMode="External"/><Relationship Id="rId229" Type="http://schemas.openxmlformats.org/officeDocument/2006/relationships/hyperlink" Target="file:///players/A/AbduAm00.htm" TargetMode="External"/><Relationship Id="rId436" Type="http://schemas.openxmlformats.org/officeDocument/2006/relationships/hyperlink" Target="file:///players/M/McKeIs00.htm" TargetMode="External"/><Relationship Id="rId643" Type="http://schemas.openxmlformats.org/officeDocument/2006/relationships/hyperlink" Target="file:///players/I/IgweGo00.htm" TargetMode="External"/><Relationship Id="rId850" Type="http://schemas.openxmlformats.org/officeDocument/2006/relationships/hyperlink" Target="file:///teams/chi/2021.htm" TargetMode="External"/><Relationship Id="rId948" Type="http://schemas.openxmlformats.org/officeDocument/2006/relationships/hyperlink" Target="file:///teams/crd/2021.htm" TargetMode="External"/><Relationship Id="rId77" Type="http://schemas.openxmlformats.org/officeDocument/2006/relationships/hyperlink" Target="file:///teams/dal/2021.htm" TargetMode="External"/><Relationship Id="rId282" Type="http://schemas.openxmlformats.org/officeDocument/2006/relationships/hyperlink" Target="file:///teams/htx/2021.htm" TargetMode="External"/><Relationship Id="rId503" Type="http://schemas.openxmlformats.org/officeDocument/2006/relationships/hyperlink" Target="file:///teams/chi/2021.htm" TargetMode="External"/><Relationship Id="rId587" Type="http://schemas.openxmlformats.org/officeDocument/2006/relationships/hyperlink" Target="file:///teams/cle/2021.htm" TargetMode="External"/><Relationship Id="rId710" Type="http://schemas.openxmlformats.org/officeDocument/2006/relationships/hyperlink" Target="file:///teams/atl/2021.htm" TargetMode="External"/><Relationship Id="rId808" Type="http://schemas.openxmlformats.org/officeDocument/2006/relationships/hyperlink" Target="file:///teams/sfo/2021.htm" TargetMode="External"/><Relationship Id="rId8" Type="http://schemas.openxmlformats.org/officeDocument/2006/relationships/hyperlink" Target="file:///teams/min/2021.htm" TargetMode="External"/><Relationship Id="rId142" Type="http://schemas.openxmlformats.org/officeDocument/2006/relationships/hyperlink" Target="file:///players/J/JeffVa00.htm" TargetMode="External"/><Relationship Id="rId447" Type="http://schemas.openxmlformats.org/officeDocument/2006/relationships/hyperlink" Target="file:///teams/oti/2021.htm" TargetMode="External"/><Relationship Id="rId794" Type="http://schemas.openxmlformats.org/officeDocument/2006/relationships/hyperlink" Target="file:///teams/mia/2021.htm" TargetMode="External"/><Relationship Id="rId654" Type="http://schemas.openxmlformats.org/officeDocument/2006/relationships/hyperlink" Target="file:///teams/crd/2021.htm" TargetMode="External"/><Relationship Id="rId861" Type="http://schemas.openxmlformats.org/officeDocument/2006/relationships/hyperlink" Target="file:///teams/clt/2021.htm" TargetMode="External"/><Relationship Id="rId959" Type="http://schemas.openxmlformats.org/officeDocument/2006/relationships/hyperlink" Target="file:///players/M/McDeCo00.htm" TargetMode="External"/><Relationship Id="rId293" Type="http://schemas.openxmlformats.org/officeDocument/2006/relationships/hyperlink" Target="file:///players/T/TreaLa00.htm" TargetMode="External"/><Relationship Id="rId307" Type="http://schemas.openxmlformats.org/officeDocument/2006/relationships/hyperlink" Target="file:///players/R/RobiJa00.htm" TargetMode="External"/><Relationship Id="rId514" Type="http://schemas.openxmlformats.org/officeDocument/2006/relationships/hyperlink" Target="file:///players/H/HodgKh00.htm" TargetMode="External"/><Relationship Id="rId721" Type="http://schemas.openxmlformats.org/officeDocument/2006/relationships/hyperlink" Target="file:///players/D/DaviTy02.htm" TargetMode="External"/><Relationship Id="rId88" Type="http://schemas.openxmlformats.org/officeDocument/2006/relationships/hyperlink" Target="file:///players/S/SmitDe07.htm" TargetMode="External"/><Relationship Id="rId153" Type="http://schemas.openxmlformats.org/officeDocument/2006/relationships/hyperlink" Target="file:///teams/sdg/2021.htm" TargetMode="External"/><Relationship Id="rId360" Type="http://schemas.openxmlformats.org/officeDocument/2006/relationships/hyperlink" Target="file:///teams/gnb/2021.htm" TargetMode="External"/><Relationship Id="rId598" Type="http://schemas.openxmlformats.org/officeDocument/2006/relationships/hyperlink" Target="file:///players/J/JohnMa07.htm" TargetMode="External"/><Relationship Id="rId819" Type="http://schemas.openxmlformats.org/officeDocument/2006/relationships/hyperlink" Target="file:///players/W/WescTr00.htm" TargetMode="External"/><Relationship Id="rId1004" Type="http://schemas.openxmlformats.org/officeDocument/2006/relationships/hyperlink" Target="file:///teams/det/2021.htm" TargetMode="External"/><Relationship Id="rId220" Type="http://schemas.openxmlformats.org/officeDocument/2006/relationships/hyperlink" Target="file:///teams/buf/2021.htm" TargetMode="External"/><Relationship Id="rId458" Type="http://schemas.openxmlformats.org/officeDocument/2006/relationships/hyperlink" Target="file:///players/H/HenrDe00.htm" TargetMode="External"/><Relationship Id="rId665" Type="http://schemas.openxmlformats.org/officeDocument/2006/relationships/hyperlink" Target="file:///players/M/McKiTr00.htm" TargetMode="External"/><Relationship Id="rId872" Type="http://schemas.openxmlformats.org/officeDocument/2006/relationships/hyperlink" Target="file:///teams/clt/2021.htm" TargetMode="External"/><Relationship Id="rId15" Type="http://schemas.openxmlformats.org/officeDocument/2006/relationships/hyperlink" Target="file:///players/W/WaddJa00.htm" TargetMode="External"/><Relationship Id="rId318" Type="http://schemas.openxmlformats.org/officeDocument/2006/relationships/hyperlink" Target="file:///teams/sfo/2021.htm" TargetMode="External"/><Relationship Id="rId525" Type="http://schemas.openxmlformats.org/officeDocument/2006/relationships/hyperlink" Target="file:///teams/phi/2021.htm" TargetMode="External"/><Relationship Id="rId732" Type="http://schemas.openxmlformats.org/officeDocument/2006/relationships/hyperlink" Target="file:///players/H/HillTa00.htm" TargetMode="External"/><Relationship Id="rId99" Type="http://schemas.openxmlformats.org/officeDocument/2006/relationships/hyperlink" Target="file:///teams/ram/2021.htm" TargetMode="External"/><Relationship Id="rId164" Type="http://schemas.openxmlformats.org/officeDocument/2006/relationships/hyperlink" Target="file:///players/W/WillDa10.htm" TargetMode="External"/><Relationship Id="rId371" Type="http://schemas.openxmlformats.org/officeDocument/2006/relationships/hyperlink" Target="file:///players/S/SharTa00.htm" TargetMode="External"/><Relationship Id="rId1015" Type="http://schemas.openxmlformats.org/officeDocument/2006/relationships/hyperlink" Target="file:///teams/chi/2021.htm" TargetMode="External"/><Relationship Id="rId469" Type="http://schemas.openxmlformats.org/officeDocument/2006/relationships/hyperlink" Target="file:///teams/min/2021.htm" TargetMode="External"/><Relationship Id="rId676" Type="http://schemas.openxmlformats.org/officeDocument/2006/relationships/hyperlink" Target="file:///players/W/WillPr01.htm" TargetMode="External"/><Relationship Id="rId883" Type="http://schemas.openxmlformats.org/officeDocument/2006/relationships/hyperlink" Target="file:///players/S/SillDa01.htm" TargetMode="External"/><Relationship Id="rId26" Type="http://schemas.openxmlformats.org/officeDocument/2006/relationships/hyperlink" Target="file:///teams/kan/2021.htm" TargetMode="External"/><Relationship Id="rId231" Type="http://schemas.openxmlformats.org/officeDocument/2006/relationships/hyperlink" Target="file:///teams/cle/2021.htm" TargetMode="External"/><Relationship Id="rId329" Type="http://schemas.openxmlformats.org/officeDocument/2006/relationships/hyperlink" Target="file:///players/R/ReynJo00.htm" TargetMode="External"/><Relationship Id="rId536" Type="http://schemas.openxmlformats.org/officeDocument/2006/relationships/hyperlink" Target="file:///players/H/HydeCa00.htm" TargetMode="External"/><Relationship Id="rId175" Type="http://schemas.openxmlformats.org/officeDocument/2006/relationships/hyperlink" Target="file:///teams/dal/2021.htm" TargetMode="External"/><Relationship Id="rId743" Type="http://schemas.openxmlformats.org/officeDocument/2006/relationships/hyperlink" Target="file:///teams/nwe/2021.htm" TargetMode="External"/><Relationship Id="rId950" Type="http://schemas.openxmlformats.org/officeDocument/2006/relationships/hyperlink" Target="file:///teams/phi/2021.htm" TargetMode="External"/><Relationship Id="rId1026" Type="http://schemas.openxmlformats.org/officeDocument/2006/relationships/hyperlink" Target="file:///players/M/McElCo00.htm" TargetMode="External"/><Relationship Id="rId382" Type="http://schemas.openxmlformats.org/officeDocument/2006/relationships/hyperlink" Target="file:///teams/clt/2021.htm" TargetMode="External"/><Relationship Id="rId603" Type="http://schemas.openxmlformats.org/officeDocument/2006/relationships/hyperlink" Target="file:///teams/rav/2021.htm" TargetMode="External"/><Relationship Id="rId687" Type="http://schemas.openxmlformats.org/officeDocument/2006/relationships/hyperlink" Target="file:///players/H/HamlKJ00.htm" TargetMode="External"/><Relationship Id="rId810" Type="http://schemas.openxmlformats.org/officeDocument/2006/relationships/hyperlink" Target="file:///teams/nyg/2021.htm" TargetMode="External"/><Relationship Id="rId908" Type="http://schemas.openxmlformats.org/officeDocument/2006/relationships/hyperlink" Target="file:///teams/nor/2021.htm" TargetMode="External"/><Relationship Id="rId242" Type="http://schemas.openxmlformats.org/officeDocument/2006/relationships/hyperlink" Target="file:///players/C/ConnJa00.htm" TargetMode="External"/><Relationship Id="rId894" Type="http://schemas.openxmlformats.org/officeDocument/2006/relationships/hyperlink" Target="file:///teams/gnb/2021.htm" TargetMode="External"/><Relationship Id="rId37" Type="http://schemas.openxmlformats.org/officeDocument/2006/relationships/hyperlink" Target="file:///players/B/BeasCo00.htm" TargetMode="External"/><Relationship Id="rId102" Type="http://schemas.openxmlformats.org/officeDocument/2006/relationships/hyperlink" Target="file:///players/F/FreiPa00.htm" TargetMode="External"/><Relationship Id="rId547" Type="http://schemas.openxmlformats.org/officeDocument/2006/relationships/hyperlink" Target="file:///teams/det/2021.htm" TargetMode="External"/><Relationship Id="rId754" Type="http://schemas.openxmlformats.org/officeDocument/2006/relationships/hyperlink" Target="file:///players/S/SmalWe00.htm" TargetMode="External"/><Relationship Id="rId961" Type="http://schemas.openxmlformats.org/officeDocument/2006/relationships/hyperlink" Target="file:///players/M/McFaAn00.htm" TargetMode="External"/><Relationship Id="rId90" Type="http://schemas.openxmlformats.org/officeDocument/2006/relationships/hyperlink" Target="file:///players/B/BrowAJ00.htm" TargetMode="External"/><Relationship Id="rId186" Type="http://schemas.openxmlformats.org/officeDocument/2006/relationships/hyperlink" Target="file:///teams/nyj/2021.htm" TargetMode="External"/><Relationship Id="rId393" Type="http://schemas.openxmlformats.org/officeDocument/2006/relationships/hyperlink" Target="file:///players/O/O'ShJa00.htm" TargetMode="External"/><Relationship Id="rId407" Type="http://schemas.openxmlformats.org/officeDocument/2006/relationships/hyperlink" Target="file:///players/L/LewiMa00.htm" TargetMode="External"/><Relationship Id="rId614" Type="http://schemas.openxmlformats.org/officeDocument/2006/relationships/hyperlink" Target="file:///players/S/SweeTo00.htm" TargetMode="External"/><Relationship Id="rId821" Type="http://schemas.openxmlformats.org/officeDocument/2006/relationships/hyperlink" Target="file:///players/W/WilcMi01.htm" TargetMode="External"/><Relationship Id="rId1037" Type="http://schemas.openxmlformats.org/officeDocument/2006/relationships/hyperlink" Target="file:///teams/nyj/2021.htm" TargetMode="External"/><Relationship Id="rId253" Type="http://schemas.openxmlformats.org/officeDocument/2006/relationships/hyperlink" Target="file:///teams/tam/2021.htm" TargetMode="External"/><Relationship Id="rId460" Type="http://schemas.openxmlformats.org/officeDocument/2006/relationships/hyperlink" Target="file:///players/T/ThomIa00.htm" TargetMode="External"/><Relationship Id="rId698" Type="http://schemas.openxmlformats.org/officeDocument/2006/relationships/hyperlink" Target="file:///teams/sea/2021.htm" TargetMode="External"/><Relationship Id="rId919" Type="http://schemas.openxmlformats.org/officeDocument/2006/relationships/hyperlink" Target="file:///teams/rav/2021.htm" TargetMode="External"/><Relationship Id="rId48" Type="http://schemas.openxmlformats.org/officeDocument/2006/relationships/hyperlink" Target="file:///teams/crd/2021.htm" TargetMode="External"/><Relationship Id="rId113" Type="http://schemas.openxmlformats.org/officeDocument/2006/relationships/hyperlink" Target="file:///teams/sfo/2021.htm" TargetMode="External"/><Relationship Id="rId320" Type="http://schemas.openxmlformats.org/officeDocument/2006/relationships/hyperlink" Target="file:///teams/rai/2021.htm" TargetMode="External"/><Relationship Id="rId558" Type="http://schemas.openxmlformats.org/officeDocument/2006/relationships/hyperlink" Target="file:///teams/tam/2021.htm" TargetMode="External"/><Relationship Id="rId765" Type="http://schemas.openxmlformats.org/officeDocument/2006/relationships/hyperlink" Target="file:///players/W/WillJo07.htm" TargetMode="External"/><Relationship Id="rId972" Type="http://schemas.openxmlformats.org/officeDocument/2006/relationships/hyperlink" Target="file:///players/P/PricBo00.htm" TargetMode="External"/><Relationship Id="rId197" Type="http://schemas.openxmlformats.org/officeDocument/2006/relationships/hyperlink" Target="file:///players/M/MixoJo00.htm" TargetMode="External"/><Relationship Id="rId418" Type="http://schemas.openxmlformats.org/officeDocument/2006/relationships/hyperlink" Target="file:///teams/cle/2021.htm" TargetMode="External"/><Relationship Id="rId625" Type="http://schemas.openxmlformats.org/officeDocument/2006/relationships/hyperlink" Target="file:///teams/rav/2021.htm" TargetMode="External"/><Relationship Id="rId832" Type="http://schemas.openxmlformats.org/officeDocument/2006/relationships/hyperlink" Target="file:///teams/oti/2021.htm" TargetMode="External"/><Relationship Id="rId264" Type="http://schemas.openxmlformats.org/officeDocument/2006/relationships/hyperlink" Target="file:///teams/min/2021.htm" TargetMode="External"/><Relationship Id="rId471" Type="http://schemas.openxmlformats.org/officeDocument/2006/relationships/hyperlink" Target="file:///teams/car/2021.htm" TargetMode="External"/><Relationship Id="rId59" Type="http://schemas.openxmlformats.org/officeDocument/2006/relationships/hyperlink" Target="file:///teams/tam/2021.htm" TargetMode="External"/><Relationship Id="rId124" Type="http://schemas.openxmlformats.org/officeDocument/2006/relationships/hyperlink" Target="file:///players/J/JacoJo01.htm" TargetMode="External"/><Relationship Id="rId569" Type="http://schemas.openxmlformats.org/officeDocument/2006/relationships/hyperlink" Target="file:///players/C/CampPa00.htm" TargetMode="External"/><Relationship Id="rId776" Type="http://schemas.openxmlformats.org/officeDocument/2006/relationships/hyperlink" Target="file:///teams/crd/2021.htm" TargetMode="External"/><Relationship Id="rId983" Type="http://schemas.openxmlformats.org/officeDocument/2006/relationships/hyperlink" Target="file:///players/S/SteeTe01.htm" TargetMode="External"/><Relationship Id="rId331" Type="http://schemas.openxmlformats.org/officeDocument/2006/relationships/hyperlink" Target="file:///teams/gnb/2021.htm" TargetMode="External"/><Relationship Id="rId429" Type="http://schemas.openxmlformats.org/officeDocument/2006/relationships/hyperlink" Target="file:///players/C/ChubNi00.htm" TargetMode="External"/><Relationship Id="rId636" Type="http://schemas.openxmlformats.org/officeDocument/2006/relationships/hyperlink" Target="file:///players/D/DorsPh00.htm" TargetMode="External"/><Relationship Id="rId843" Type="http://schemas.openxmlformats.org/officeDocument/2006/relationships/hyperlink" Target="file:///players/D/DafnDo00.htm" TargetMode="External"/><Relationship Id="rId275" Type="http://schemas.openxmlformats.org/officeDocument/2006/relationships/hyperlink" Target="file:///players/J/JohnTy02.htm" TargetMode="External"/><Relationship Id="rId482" Type="http://schemas.openxmlformats.org/officeDocument/2006/relationships/hyperlink" Target="file:///players/P/ProcJa00.htm" TargetMode="External"/><Relationship Id="rId703" Type="http://schemas.openxmlformats.org/officeDocument/2006/relationships/hyperlink" Target="file:///players/T/ThomMi04.htm" TargetMode="External"/><Relationship Id="rId910" Type="http://schemas.openxmlformats.org/officeDocument/2006/relationships/hyperlink" Target="file:///teams/nyj/2021.htm" TargetMode="External"/><Relationship Id="rId135" Type="http://schemas.openxmlformats.org/officeDocument/2006/relationships/hyperlink" Target="file:///teams/cle/2021.htm" TargetMode="External"/><Relationship Id="rId342" Type="http://schemas.openxmlformats.org/officeDocument/2006/relationships/hyperlink" Target="file:///players/I/IngrMa01.htm" TargetMode="External"/><Relationship Id="rId787" Type="http://schemas.openxmlformats.org/officeDocument/2006/relationships/hyperlink" Target="file:///players/J/JackTy01.htm" TargetMode="External"/><Relationship Id="rId994" Type="http://schemas.openxmlformats.org/officeDocument/2006/relationships/hyperlink" Target="file:///teams/den/2021.htm" TargetMode="External"/><Relationship Id="rId202" Type="http://schemas.openxmlformats.org/officeDocument/2006/relationships/hyperlink" Target="file:///teams/kan/2021.htm" TargetMode="External"/><Relationship Id="rId647" Type="http://schemas.openxmlformats.org/officeDocument/2006/relationships/hyperlink" Target="file:///players/R/ReynCr00.htm" TargetMode="External"/><Relationship Id="rId854" Type="http://schemas.openxmlformats.org/officeDocument/2006/relationships/hyperlink" Target="file:///teams/cin/2021.htm" TargetMode="External"/><Relationship Id="rId286" Type="http://schemas.openxmlformats.org/officeDocument/2006/relationships/hyperlink" Target="file:///teams/phi/2021.htm" TargetMode="External"/><Relationship Id="rId493" Type="http://schemas.openxmlformats.org/officeDocument/2006/relationships/hyperlink" Target="file:///teams/den/2021.htm" TargetMode="External"/><Relationship Id="rId507" Type="http://schemas.openxmlformats.org/officeDocument/2006/relationships/hyperlink" Target="file:///teams/tam/2021.htm" TargetMode="External"/><Relationship Id="rId714" Type="http://schemas.openxmlformats.org/officeDocument/2006/relationships/hyperlink" Target="file:///teams/nyg/2021.htm" TargetMode="External"/><Relationship Id="rId921" Type="http://schemas.openxmlformats.org/officeDocument/2006/relationships/hyperlink" Target="file:///teams/rav/2021.htm" TargetMode="External"/><Relationship Id="rId50" Type="http://schemas.openxmlformats.org/officeDocument/2006/relationships/hyperlink" Target="file:///teams/was/2021.htm" TargetMode="External"/><Relationship Id="rId146" Type="http://schemas.openxmlformats.org/officeDocument/2006/relationships/hyperlink" Target="file:///players/G/GaskMy00.htm" TargetMode="External"/><Relationship Id="rId353" Type="http://schemas.openxmlformats.org/officeDocument/2006/relationships/hyperlink" Target="file:///players/R/RudoKy00.htm" TargetMode="External"/><Relationship Id="rId560" Type="http://schemas.openxmlformats.org/officeDocument/2006/relationships/hyperlink" Target="file:///teams/nyg/2021.htm" TargetMode="External"/><Relationship Id="rId798" Type="http://schemas.openxmlformats.org/officeDocument/2006/relationships/hyperlink" Target="file:///teams/sdg/2021.htm" TargetMode="External"/><Relationship Id="rId213" Type="http://schemas.openxmlformats.org/officeDocument/2006/relationships/hyperlink" Target="file:///players/H/HineNy00.htm" TargetMode="External"/><Relationship Id="rId420" Type="http://schemas.openxmlformats.org/officeDocument/2006/relationships/hyperlink" Target="file:///teams/sea/2021.htm" TargetMode="External"/><Relationship Id="rId658" Type="http://schemas.openxmlformats.org/officeDocument/2006/relationships/hyperlink" Target="file:///teams/dal/2021.htm" TargetMode="External"/><Relationship Id="rId865" Type="http://schemas.openxmlformats.org/officeDocument/2006/relationships/hyperlink" Target="file:///players/M/MorgSt02.htm" TargetMode="External"/><Relationship Id="rId297" Type="http://schemas.openxmlformats.org/officeDocument/2006/relationships/hyperlink" Target="file:///players/M/MattAl01.htm" TargetMode="External"/><Relationship Id="rId518" Type="http://schemas.openxmlformats.org/officeDocument/2006/relationships/hyperlink" Target="file:///players/J/JohnJu02.htm" TargetMode="External"/><Relationship Id="rId725" Type="http://schemas.openxmlformats.org/officeDocument/2006/relationships/hyperlink" Target="file:///players/F/FellDa01.htm" TargetMode="External"/><Relationship Id="rId932" Type="http://schemas.openxmlformats.org/officeDocument/2006/relationships/hyperlink" Target="file:///players/D/DaviDa03.htm" TargetMode="External"/><Relationship Id="rId157" Type="http://schemas.openxmlformats.org/officeDocument/2006/relationships/hyperlink" Target="file:///teams/det/2021.htm" TargetMode="External"/><Relationship Id="rId364" Type="http://schemas.openxmlformats.org/officeDocument/2006/relationships/hyperlink" Target="file:///teams/htx/2021.htm" TargetMode="External"/><Relationship Id="rId1008" Type="http://schemas.openxmlformats.org/officeDocument/2006/relationships/hyperlink" Target="file:///teams/sdg/2021.htm" TargetMode="External"/><Relationship Id="rId61" Type="http://schemas.openxmlformats.org/officeDocument/2006/relationships/hyperlink" Target="file:///teams/pit/2021.htm" TargetMode="External"/><Relationship Id="rId571" Type="http://schemas.openxmlformats.org/officeDocument/2006/relationships/hyperlink" Target="file:///players/E/EskrDW00.htm" TargetMode="External"/><Relationship Id="rId669" Type="http://schemas.openxmlformats.org/officeDocument/2006/relationships/hyperlink" Target="file:///teams/sea/2021.htm" TargetMode="External"/><Relationship Id="rId876" Type="http://schemas.openxmlformats.org/officeDocument/2006/relationships/hyperlink" Target="file:///teams/pit/2021.htm" TargetMode="External"/><Relationship Id="rId19" Type="http://schemas.openxmlformats.org/officeDocument/2006/relationships/hyperlink" Target="file:///players/R/RenfHu00.htm" TargetMode="External"/><Relationship Id="rId224" Type="http://schemas.openxmlformats.org/officeDocument/2006/relationships/hyperlink" Target="file:///teams/pit/2021.htm" TargetMode="External"/><Relationship Id="rId431" Type="http://schemas.openxmlformats.org/officeDocument/2006/relationships/hyperlink" Target="file:///players/G/GoodMa00.htm" TargetMode="External"/><Relationship Id="rId529" Type="http://schemas.openxmlformats.org/officeDocument/2006/relationships/hyperlink" Target="file:///teams/was/2021.htm" TargetMode="External"/><Relationship Id="rId736" Type="http://schemas.openxmlformats.org/officeDocument/2006/relationships/hyperlink" Target="file:///players/H/HollCo00.htm" TargetMode="External"/><Relationship Id="rId168" Type="http://schemas.openxmlformats.org/officeDocument/2006/relationships/hyperlink" Target="file:///players/B/BerrBr00.htm" TargetMode="External"/><Relationship Id="rId943" Type="http://schemas.openxmlformats.org/officeDocument/2006/relationships/hyperlink" Target="file:///players/H/HookAm00.htm" TargetMode="External"/><Relationship Id="rId1019" Type="http://schemas.openxmlformats.org/officeDocument/2006/relationships/hyperlink" Target="file:///teams/buf/2021.htm" TargetMode="External"/><Relationship Id="rId72" Type="http://schemas.openxmlformats.org/officeDocument/2006/relationships/hyperlink" Target="file:///players/E/EkelAu00.htm" TargetMode="External"/><Relationship Id="rId375" Type="http://schemas.openxmlformats.org/officeDocument/2006/relationships/hyperlink" Target="file:///players/W/WilsAl02.htm" TargetMode="External"/><Relationship Id="rId582" Type="http://schemas.openxmlformats.org/officeDocument/2006/relationships/hyperlink" Target="file:///players/P/PattJa01.htm" TargetMode="External"/><Relationship Id="rId803" Type="http://schemas.openxmlformats.org/officeDocument/2006/relationships/hyperlink" Target="file:///players/P/PrenAd00.htm" TargetMode="External"/><Relationship Id="rId3" Type="http://schemas.openxmlformats.org/officeDocument/2006/relationships/hyperlink" Target="file:///players/A/AdamDa01.htm" TargetMode="External"/><Relationship Id="rId235" Type="http://schemas.openxmlformats.org/officeDocument/2006/relationships/hyperlink" Target="file:///teams/clt/2021.htm" TargetMode="External"/><Relationship Id="rId442" Type="http://schemas.openxmlformats.org/officeDocument/2006/relationships/hyperlink" Target="file:///players/E/EdwaCl00.htm" TargetMode="External"/><Relationship Id="rId887" Type="http://schemas.openxmlformats.org/officeDocument/2006/relationships/hyperlink" Target="file:///players/S/StanJo02.htm" TargetMode="External"/><Relationship Id="rId302" Type="http://schemas.openxmlformats.org/officeDocument/2006/relationships/hyperlink" Target="file:///teams/sdg/2021.htm" TargetMode="External"/><Relationship Id="rId747" Type="http://schemas.openxmlformats.org/officeDocument/2006/relationships/hyperlink" Target="file:///players/N/NwanKe00.htm" TargetMode="External"/><Relationship Id="rId954" Type="http://schemas.openxmlformats.org/officeDocument/2006/relationships/hyperlink" Target="file:///teams/mia/2021.htm" TargetMode="External"/><Relationship Id="rId83" Type="http://schemas.openxmlformats.org/officeDocument/2006/relationships/hyperlink" Target="file:///teams/cin/2021.htm" TargetMode="External"/><Relationship Id="rId179" Type="http://schemas.openxmlformats.org/officeDocument/2006/relationships/hyperlink" Target="file:///players/D/DaviMi01.htm" TargetMode="External"/><Relationship Id="rId386" Type="http://schemas.openxmlformats.org/officeDocument/2006/relationships/hyperlink" Target="file:///teams/jax/2021.htm" TargetMode="External"/><Relationship Id="rId593" Type="http://schemas.openxmlformats.org/officeDocument/2006/relationships/hyperlink" Target="file:///teams/sea/2021.htm" TargetMode="External"/><Relationship Id="rId607" Type="http://schemas.openxmlformats.org/officeDocument/2006/relationships/hyperlink" Target="file:///teams/sfo/2021.htm" TargetMode="External"/><Relationship Id="rId814" Type="http://schemas.openxmlformats.org/officeDocument/2006/relationships/hyperlink" Target="file:///teams/cin/2021.htm" TargetMode="External"/><Relationship Id="rId246" Type="http://schemas.openxmlformats.org/officeDocument/2006/relationships/hyperlink" Target="file:///players/M/McCaCh01.htm" TargetMode="External"/><Relationship Id="rId453" Type="http://schemas.openxmlformats.org/officeDocument/2006/relationships/hyperlink" Target="file:///teams/crd/2021.htm" TargetMode="External"/><Relationship Id="rId660" Type="http://schemas.openxmlformats.org/officeDocument/2006/relationships/hyperlink" Target="file:///teams/tam/2021.htm" TargetMode="External"/><Relationship Id="rId898" Type="http://schemas.openxmlformats.org/officeDocument/2006/relationships/hyperlink" Target="file:///teams/cin/2021.htm" TargetMode="External"/><Relationship Id="rId106" Type="http://schemas.openxmlformats.org/officeDocument/2006/relationships/hyperlink" Target="file:///players/C/ClayCh01.htm" TargetMode="External"/><Relationship Id="rId313" Type="http://schemas.openxmlformats.org/officeDocument/2006/relationships/hyperlink" Target="file:///players/B/BratCa00.htm" TargetMode="External"/><Relationship Id="rId758" Type="http://schemas.openxmlformats.org/officeDocument/2006/relationships/hyperlink" Target="file:///teams/phi/2021.htm" TargetMode="External"/><Relationship Id="rId965" Type="http://schemas.openxmlformats.org/officeDocument/2006/relationships/hyperlink" Target="file:///players/M/MundJo00.htm" TargetMode="External"/><Relationship Id="rId10" Type="http://schemas.openxmlformats.org/officeDocument/2006/relationships/hyperlink" Target="file:///teams/rav/2021.htm" TargetMode="External"/><Relationship Id="rId94" Type="http://schemas.openxmlformats.org/officeDocument/2006/relationships/hyperlink" Target="file:///players/S/SwifDA00.htm" TargetMode="External"/><Relationship Id="rId397" Type="http://schemas.openxmlformats.org/officeDocument/2006/relationships/hyperlink" Target="file:///players/W/WashJa00.htm" TargetMode="External"/><Relationship Id="rId520" Type="http://schemas.openxmlformats.org/officeDocument/2006/relationships/hyperlink" Target="file:///players/M/McKiJe00.htm" TargetMode="External"/><Relationship Id="rId618" Type="http://schemas.openxmlformats.org/officeDocument/2006/relationships/hyperlink" Target="file:///players/W/WillTy01.htm" TargetMode="External"/><Relationship Id="rId825" Type="http://schemas.openxmlformats.org/officeDocument/2006/relationships/hyperlink" Target="file:///players/A/ArceJJ00.htm" TargetMode="External"/><Relationship Id="rId257" Type="http://schemas.openxmlformats.org/officeDocument/2006/relationships/hyperlink" Target="file:///teams/nyg/2021.htm" TargetMode="External"/><Relationship Id="rId464" Type="http://schemas.openxmlformats.org/officeDocument/2006/relationships/hyperlink" Target="file:///players/T/TonyRo00.htm" TargetMode="External"/><Relationship Id="rId1010" Type="http://schemas.openxmlformats.org/officeDocument/2006/relationships/hyperlink" Target="file:///players/C/CampTe00.htm" TargetMode="External"/><Relationship Id="rId117" Type="http://schemas.openxmlformats.org/officeDocument/2006/relationships/hyperlink" Target="file:///teams/nwe/2021.htm" TargetMode="External"/><Relationship Id="rId671" Type="http://schemas.openxmlformats.org/officeDocument/2006/relationships/hyperlink" Target="file:///teams/was/2021.htm" TargetMode="External"/><Relationship Id="rId769" Type="http://schemas.openxmlformats.org/officeDocument/2006/relationships/hyperlink" Target="file:///players/A/ArmsRy00.htm" TargetMode="External"/><Relationship Id="rId976" Type="http://schemas.openxmlformats.org/officeDocument/2006/relationships/hyperlink" Target="file:///players/R/RobeAn00.htm" TargetMode="External"/><Relationship Id="rId324" Type="http://schemas.openxmlformats.org/officeDocument/2006/relationships/hyperlink" Target="file:///teams/was/2021.htm" TargetMode="External"/><Relationship Id="rId531" Type="http://schemas.openxmlformats.org/officeDocument/2006/relationships/hyperlink" Target="file:///teams/pit/2021.htm" TargetMode="External"/><Relationship Id="rId629" Type="http://schemas.openxmlformats.org/officeDocument/2006/relationships/hyperlink" Target="file:///teams/nyj/2021.htm" TargetMode="External"/><Relationship Id="rId836" Type="http://schemas.openxmlformats.org/officeDocument/2006/relationships/hyperlink" Target="file:///teams/den/2021.htm" TargetMode="External"/><Relationship Id="rId1021" Type="http://schemas.openxmlformats.org/officeDocument/2006/relationships/hyperlink" Target="file:///teams/min/2021.htm" TargetMode="External"/><Relationship Id="rId903" Type="http://schemas.openxmlformats.org/officeDocument/2006/relationships/hyperlink" Target="file:///players/W/WashDw00.htm" TargetMode="External"/><Relationship Id="rId32" Type="http://schemas.openxmlformats.org/officeDocument/2006/relationships/hyperlink" Target="file:///teams/det/2021.htm" TargetMode="External"/><Relationship Id="rId181" Type="http://schemas.openxmlformats.org/officeDocument/2006/relationships/hyperlink" Target="file:///players/E/EdmoCh00.htm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 filterMode="1">
    <tabColor rgb="FFFFC000"/>
  </sheetPr>
  <dimension ref="A1:BH868"/>
  <sheetViews>
    <sheetView tabSelected="1" workbookViewId="0">
      <selection activeCell="D11" sqref="D11"/>
    </sheetView>
  </sheetViews>
  <sheetFormatPr baseColWidth="10" defaultColWidth="8.83203125" defaultRowHeight="15" x14ac:dyDescent="0.2"/>
  <cols>
    <col min="1" max="1" width="17.6640625" bestFit="1" customWidth="1"/>
    <col min="4" max="4" width="24.5" bestFit="1" customWidth="1"/>
    <col min="11" max="14" width="8.83203125" customWidth="1"/>
    <col min="15" max="15" width="18" customWidth="1"/>
    <col min="16" max="16" width="16.83203125" customWidth="1"/>
    <col min="17" max="19" width="15.5" customWidth="1"/>
    <col min="20" max="26" width="14.33203125" customWidth="1"/>
    <col min="27" max="27" width="15.83203125" customWidth="1"/>
    <col min="28" max="54" width="14.33203125" customWidth="1"/>
    <col min="55" max="56" width="10.1640625" style="10" customWidth="1"/>
    <col min="57" max="57" width="21.6640625" bestFit="1" customWidth="1"/>
  </cols>
  <sheetData>
    <row r="1" spans="1:60" x14ac:dyDescent="0.2"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B1">
        <v>14</v>
      </c>
      <c r="AC1">
        <v>15</v>
      </c>
      <c r="AD1">
        <v>16</v>
      </c>
      <c r="AE1">
        <v>17</v>
      </c>
      <c r="AF1">
        <v>18</v>
      </c>
      <c r="AG1">
        <v>19</v>
      </c>
      <c r="AH1">
        <v>20</v>
      </c>
      <c r="AI1">
        <v>21</v>
      </c>
      <c r="AJ1">
        <v>22</v>
      </c>
      <c r="AK1">
        <v>23</v>
      </c>
      <c r="AL1">
        <v>24</v>
      </c>
      <c r="AM1">
        <v>25</v>
      </c>
      <c r="AN1">
        <v>26</v>
      </c>
      <c r="AO1">
        <v>27</v>
      </c>
      <c r="AP1">
        <v>28</v>
      </c>
      <c r="AQ1">
        <v>29</v>
      </c>
      <c r="AR1">
        <v>30</v>
      </c>
      <c r="AS1">
        <v>31</v>
      </c>
      <c r="AT1">
        <v>32</v>
      </c>
      <c r="AU1">
        <v>33</v>
      </c>
      <c r="AV1">
        <v>34</v>
      </c>
      <c r="AW1">
        <v>35</v>
      </c>
      <c r="AX1">
        <v>36</v>
      </c>
      <c r="AY1">
        <v>37</v>
      </c>
      <c r="AZ1">
        <v>38</v>
      </c>
      <c r="BC1"/>
      <c r="BD1"/>
    </row>
    <row r="2" spans="1:60" s="2" customFormat="1" ht="48" x14ac:dyDescent="0.2">
      <c r="AJ2" s="2" t="s">
        <v>0</v>
      </c>
      <c r="AK2" s="2" t="s">
        <v>1</v>
      </c>
      <c r="AL2" s="2" t="s">
        <v>2</v>
      </c>
      <c r="AN2" s="2" t="s">
        <v>3</v>
      </c>
      <c r="AQ2" s="2" t="s">
        <v>4</v>
      </c>
      <c r="AR2" s="2" t="s">
        <v>5</v>
      </c>
      <c r="AU2" s="2" t="s">
        <v>6</v>
      </c>
      <c r="AZ2" s="2" t="s">
        <v>6</v>
      </c>
      <c r="BC2" s="17"/>
      <c r="BD2" s="17"/>
    </row>
    <row r="3" spans="1:60" x14ac:dyDescent="0.2">
      <c r="A3" t="s">
        <v>7</v>
      </c>
      <c r="O3" s="90" t="s">
        <v>8</v>
      </c>
      <c r="P3" s="90"/>
      <c r="Q3" s="82"/>
      <c r="R3" s="82"/>
      <c r="S3" s="82"/>
      <c r="T3" s="90" t="s">
        <v>2205</v>
      </c>
      <c r="U3" s="90"/>
      <c r="V3" s="90"/>
      <c r="W3" s="90"/>
      <c r="X3" s="82"/>
      <c r="Y3" s="90" t="s">
        <v>9</v>
      </c>
      <c r="Z3" s="90"/>
      <c r="AA3" s="90"/>
      <c r="AB3" s="90"/>
      <c r="AC3" s="90"/>
      <c r="AD3" s="90" t="s">
        <v>10</v>
      </c>
      <c r="AE3" s="90"/>
      <c r="AF3" s="90"/>
      <c r="AG3" s="90"/>
      <c r="AJ3" s="2"/>
      <c r="AK3" s="25"/>
      <c r="AL3" s="25"/>
      <c r="AM3" s="25"/>
      <c r="AN3" s="25"/>
      <c r="AO3" s="25" t="s">
        <v>11</v>
      </c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18"/>
      <c r="BD3" s="18"/>
    </row>
    <row r="4" spans="1:60" s="2" customFormat="1" ht="48" x14ac:dyDescent="0.2">
      <c r="A4" s="4" t="s">
        <v>12</v>
      </c>
      <c r="B4" s="4" t="s">
        <v>13</v>
      </c>
      <c r="C4" s="4" t="s">
        <v>14</v>
      </c>
      <c r="D4" s="4" t="s">
        <v>15</v>
      </c>
      <c r="E4" s="4" t="s">
        <v>16</v>
      </c>
      <c r="F4" s="4" t="s">
        <v>17</v>
      </c>
      <c r="G4" s="4" t="s">
        <v>18</v>
      </c>
      <c r="H4" s="4" t="s">
        <v>19</v>
      </c>
      <c r="I4" s="4" t="s">
        <v>20</v>
      </c>
      <c r="J4" s="4" t="s">
        <v>21</v>
      </c>
      <c r="K4" s="4" t="s">
        <v>22</v>
      </c>
      <c r="L4" s="4" t="s">
        <v>23</v>
      </c>
      <c r="M4" s="4" t="s">
        <v>24</v>
      </c>
      <c r="N4" s="4" t="s">
        <v>25</v>
      </c>
      <c r="O4" s="2" t="s">
        <v>26</v>
      </c>
      <c r="P4" s="2" t="s">
        <v>27</v>
      </c>
      <c r="Q4" s="3" t="s">
        <v>28</v>
      </c>
      <c r="R4" s="3" t="s">
        <v>29</v>
      </c>
      <c r="S4" s="3" t="s">
        <v>30</v>
      </c>
      <c r="T4" s="5" t="s">
        <v>31</v>
      </c>
      <c r="U4" s="5" t="s">
        <v>32</v>
      </c>
      <c r="V4" s="65" t="s">
        <v>33</v>
      </c>
      <c r="W4" s="5" t="s">
        <v>34</v>
      </c>
      <c r="X4" s="6" t="s">
        <v>35</v>
      </c>
      <c r="Y4" s="6" t="s">
        <v>36</v>
      </c>
      <c r="Z4" s="6" t="s">
        <v>37</v>
      </c>
      <c r="AA4" s="6" t="s">
        <v>38</v>
      </c>
      <c r="AB4" s="6" t="s">
        <v>39</v>
      </c>
      <c r="AC4" s="6" t="s">
        <v>40</v>
      </c>
      <c r="AD4" s="7" t="s">
        <v>41</v>
      </c>
      <c r="AE4" s="7" t="s">
        <v>42</v>
      </c>
      <c r="AF4" s="7" t="s">
        <v>43</v>
      </c>
      <c r="AG4" s="7" t="s">
        <v>44</v>
      </c>
      <c r="AH4" s="14" t="s">
        <v>45</v>
      </c>
      <c r="AI4" s="14" t="s">
        <v>46</v>
      </c>
      <c r="AJ4" s="15" t="s">
        <v>47</v>
      </c>
      <c r="AK4" s="24" t="s">
        <v>48</v>
      </c>
      <c r="AL4" s="24" t="s">
        <v>49</v>
      </c>
      <c r="AM4" s="24" t="s">
        <v>50</v>
      </c>
      <c r="AN4" s="24" t="s">
        <v>51</v>
      </c>
      <c r="AO4" s="22" t="s">
        <v>52</v>
      </c>
      <c r="AP4" s="22" t="s">
        <v>53</v>
      </c>
      <c r="AQ4" s="22" t="s">
        <v>54</v>
      </c>
      <c r="AR4" s="29" t="s">
        <v>55</v>
      </c>
      <c r="AS4" s="29" t="s">
        <v>56</v>
      </c>
      <c r="AT4" s="29" t="s">
        <v>57</v>
      </c>
      <c r="AU4" s="29" t="s">
        <v>58</v>
      </c>
      <c r="AV4" s="23" t="s">
        <v>41</v>
      </c>
      <c r="AW4" s="23" t="s">
        <v>59</v>
      </c>
      <c r="AX4" s="23" t="s">
        <v>60</v>
      </c>
      <c r="AY4" s="23" t="s">
        <v>61</v>
      </c>
      <c r="AZ4" s="23" t="s">
        <v>62</v>
      </c>
      <c r="BA4" s="21" t="s">
        <v>63</v>
      </c>
      <c r="BB4" s="21" t="s">
        <v>64</v>
      </c>
      <c r="BC4" s="17" t="s">
        <v>65</v>
      </c>
      <c r="BD4" s="17" t="s">
        <v>2493</v>
      </c>
      <c r="BE4" s="2" t="s">
        <v>66</v>
      </c>
      <c r="BF4" s="2" t="s">
        <v>19</v>
      </c>
      <c r="BG4" s="2" t="s">
        <v>13</v>
      </c>
      <c r="BH4" s="2" t="s">
        <v>67</v>
      </c>
    </row>
    <row r="5" spans="1:60" x14ac:dyDescent="0.2">
      <c r="A5" t="s">
        <v>2714</v>
      </c>
      <c r="B5" t="s">
        <v>79</v>
      </c>
      <c r="C5" t="s">
        <v>2248</v>
      </c>
      <c r="D5" t="s">
        <v>80</v>
      </c>
      <c r="E5" t="s">
        <v>2715</v>
      </c>
      <c r="F5">
        <v>22.038823744829902</v>
      </c>
      <c r="G5">
        <v>17</v>
      </c>
      <c r="H5">
        <v>8700</v>
      </c>
      <c r="I5" t="s">
        <v>2716</v>
      </c>
      <c r="J5" t="s">
        <v>81</v>
      </c>
      <c r="K5" t="s">
        <v>99</v>
      </c>
      <c r="O5" t="str">
        <f t="shared" ref="O5:O68" si="0">D5</f>
        <v>Patrick Mahomes</v>
      </c>
      <c r="P5" t="str">
        <f>IFERROR(VLOOKUP(O:O,'Name Bridge'!A:B,2,FALSE),O:O)</f>
        <v>Patrick Mahomes*</v>
      </c>
      <c r="Q5" s="10">
        <f>VLOOKUP($K5,'CY Defensive Stats Query'!$AC:$AH,2,FALSE)</f>
        <v>7.5377358490566042</v>
      </c>
      <c r="R5" s="10">
        <f>VLOOKUP($K5,'CY Defensive Stats Query'!$AC:$AH,4,FALSE)</f>
        <v>3.5810810810810811</v>
      </c>
      <c r="S5" s="10">
        <f>VLOOKUP($K5,'CY Defensive Stats Query'!$AC:$AH,6,FALSE)</f>
        <v>11.097222222222221</v>
      </c>
      <c r="T5" s="10">
        <f>IFERROR(VLOOKUP($P5,'CYPassing Query'!$B:$AE,9,FALSE)/VLOOKUP($P5,'CYPassing Query'!$B:$AE,5,FALSE),0)</f>
        <v>38.705882352941174</v>
      </c>
      <c r="U5" s="10">
        <f>IFERROR(VLOOKUP($P5,'CYPassing Query'!$B:$AE,11,FALSE)/VLOOKUP($P5,'CYPassing Query'!$B:$AE,5,FALSE),0)</f>
        <v>284.64705882352939</v>
      </c>
      <c r="V5" s="10">
        <f>IFERROR(VLOOKUP($P5,'CYPassing Query'!$B:$AE,18,FALSE),0)</f>
        <v>7.4</v>
      </c>
      <c r="W5" s="10">
        <f>IFERROR(VLOOKUP($P5,'CYPassing Query'!$B:$AE,12,FALSE)/VLOOKUP($P5,'CYPassing Query'!$B:$AE,5,FALSE),0)</f>
        <v>2.1764705882352939</v>
      </c>
      <c r="X5" s="10">
        <f>IFERROR(IF(OR($B5="D",$B5="K"),0,VLOOKUP($P5,'CY Receving Query'!$B:$S,7,FALSE)/VLOOKUP($P5,'CY Receving Query'!$B:$S,5,FALSE)),0)*$AJ5</f>
        <v>0</v>
      </c>
      <c r="Y5" s="10">
        <f>IFERROR(VLOOKUP($P5,'CY Receving Query'!$B:$S,8,FALSE)/VLOOKUP($P5,'CY Receving Query'!$B:$S,5,FALSE),0)</f>
        <v>0</v>
      </c>
      <c r="Z5" s="10">
        <f>IFERROR(VLOOKUP($P5,'CY Receving Query'!$B:$S,10,FALSE)/VLOOKUP($P5,'CY Receving Query'!$B:$S,5,FALSE),0)</f>
        <v>0</v>
      </c>
      <c r="AA5" s="10">
        <f>IFERROR(VLOOKUP($P5,'CY Receving Query'!$B:$S,11,FALSE),0)</f>
        <v>0</v>
      </c>
      <c r="AB5" s="10">
        <f>IFERROR(VLOOKUP($P5,'CY Receving Query'!$B:$S,14,FALSE),0)</f>
        <v>0</v>
      </c>
      <c r="AC5" s="10">
        <f>IFERROR(VLOOKUP($P5,'CY Receving Query'!$B:$S,11,FALSE)/VLOOKUP($P5,'CY Receving Query'!$B:$S,5,FALSE),0)</f>
        <v>0</v>
      </c>
      <c r="AD5" s="10">
        <f>IFERROR(VLOOKUP($P5,'CY Rushing Query'!$B:$O,7,FALSE)/VLOOKUP($P5,'CY Rushing Query'!$B:$O,5,FALSE),0)</f>
        <v>3.8823529411764706</v>
      </c>
      <c r="AE5" s="10">
        <f>IFERROR(VLOOKUP($P5,'CY Rushing Query'!$B:$P,8,FALSE)/VLOOKUP($P5,'CY Rushing Query'!$B:$P,5,FALSE),0)</f>
        <v>22.411764705882351</v>
      </c>
      <c r="AF5" s="10">
        <f>IFERROR(VLOOKUP($P5,'CY Rushing Query'!$B:$P,12,FALSE),0)</f>
        <v>5.8</v>
      </c>
      <c r="AG5" s="10">
        <f>IFERROR(VLOOKUP($P5,'CY Rushing Query'!$B:$P,9,FALSE)/VLOOKUP($P5,'CY Rushing Query'!$B:$P,5,FALSE),0)</f>
        <v>0.11764705882352941</v>
      </c>
      <c r="AH5" s="10">
        <f>VLOOKUP($J5,'Vegas Odds'!$B:$S,18,FALSE)</f>
        <v>37.933262350936971</v>
      </c>
      <c r="AI5" s="10">
        <f>VLOOKUP($J5,'Vegas Odds'!$B:$S,17,FALSE)</f>
        <v>27.766737649063032</v>
      </c>
      <c r="AJ5">
        <f>IF(AND(H5&gt;=4000,OR(L5="Q",L5=""),BD5=1),1,0)</f>
        <v>1</v>
      </c>
      <c r="AK5" s="10">
        <f t="shared" ref="AK5:AK68" si="1">T5*AJ5</f>
        <v>38.705882352941174</v>
      </c>
      <c r="AL5" s="10">
        <f t="shared" ref="AL5:AL68" si="2">IF(AND(AJ5=1,B5="QB"),AH5,0)</f>
        <v>37.933262350936971</v>
      </c>
      <c r="AM5" s="10">
        <f>V5/'CY Defensive Stats Query'!$AD$34*'Fanduel Export'!Q5</f>
        <v>7.9226802687342142</v>
      </c>
      <c r="AN5" s="10">
        <f>AM5*AK5</f>
        <v>306.65433040159485</v>
      </c>
      <c r="AO5" s="10">
        <f>IFERROR(IF(OR($B5="D",$B5="K"),0,VLOOKUP($P5,'CY Receving Query'!$B:$S,7,FALSE)/VLOOKUP($P5,'CY Receving Query'!$B:$S,5,FALSE)),0)*$AJ5</f>
        <v>0</v>
      </c>
      <c r="AP5" s="10">
        <f t="shared" ref="AP5:AP68" si="3">SUMIF($J:$J,$J5,AO:AO)</f>
        <v>37.365221788015901</v>
      </c>
      <c r="AQ5" s="10">
        <f t="shared" ref="AQ5:AQ68" si="4">AO5/AP5*AH5</f>
        <v>0</v>
      </c>
      <c r="AR5" s="16">
        <f>Y5*AJ5</f>
        <v>0</v>
      </c>
      <c r="AS5" s="16">
        <f t="shared" ref="AS5:AS68" si="5">IFERROR(AR5/AO5*AQ5,0)</f>
        <v>0</v>
      </c>
      <c r="AT5" s="16">
        <f>AA5/'CY Defensive Stats Query'!$AH$34
*'Fanduel Export'!S5</f>
        <v>0</v>
      </c>
      <c r="AU5" s="10">
        <f t="shared" ref="AU5:AU12" si="6">AR5*AT5</f>
        <v>0</v>
      </c>
      <c r="AV5" s="10">
        <f>AD5*AJ5</f>
        <v>3.8823529411764706</v>
      </c>
      <c r="AW5" s="10">
        <f t="shared" ref="AW5:AW68" si="7">SUMIF($J:$J,$J5,AV:AV)</f>
        <v>19.787381735911151</v>
      </c>
      <c r="AX5" s="10">
        <f>IFERROR(AV5/AW5*AI5,0)</f>
        <v>5.4479302525949587</v>
      </c>
      <c r="AY5" s="10">
        <f>AF5/'CY Defensive Stats Query'!$AF$34
*R5</f>
        <v>5.0224601046784878</v>
      </c>
      <c r="AZ5" s="10">
        <f>AY5*AV5</f>
        <v>19.49896275934001</v>
      </c>
      <c r="BA5" s="16">
        <f>AN5/25+AU5/10+AZ5/10+AR5*0.5</f>
        <v>14.216069491997796</v>
      </c>
      <c r="BB5" s="16">
        <f t="shared" ref="BB5:BB68" si="8">BA5/(H5/1000)</f>
        <v>1.6340309760917009</v>
      </c>
      <c r="BC5" s="10">
        <f t="shared" ref="BC5:BC68" si="9">AO5/(H5/1000)</f>
        <v>0</v>
      </c>
      <c r="BD5" s="10">
        <f>IF(B5="QB",COUNTIFS($B$5:B5,B5,$J$5:J5,J5),1)</f>
        <v>1</v>
      </c>
      <c r="BE5" t="str">
        <f t="shared" ref="BE5:BE68" si="10">D5</f>
        <v>Patrick Mahomes</v>
      </c>
      <c r="BF5">
        <f t="shared" ref="BF5:BF68" si="11">H5</f>
        <v>8700</v>
      </c>
      <c r="BG5" t="str">
        <f t="shared" ref="BG5:BG68" si="12">B5</f>
        <v>QB</v>
      </c>
      <c r="BH5" s="16">
        <f>BA5</f>
        <v>14.216069491997796</v>
      </c>
    </row>
    <row r="6" spans="1:60" x14ac:dyDescent="0.2">
      <c r="A6" t="s">
        <v>2717</v>
      </c>
      <c r="B6" t="s">
        <v>83</v>
      </c>
      <c r="C6" t="s">
        <v>2665</v>
      </c>
      <c r="D6" t="s">
        <v>185</v>
      </c>
      <c r="E6" t="s">
        <v>2666</v>
      </c>
      <c r="F6">
        <v>18.778749465942301</v>
      </c>
      <c r="G6">
        <v>16</v>
      </c>
      <c r="H6">
        <v>8700</v>
      </c>
      <c r="I6" t="s">
        <v>2718</v>
      </c>
      <c r="J6" t="s">
        <v>138</v>
      </c>
      <c r="K6" t="s">
        <v>729</v>
      </c>
      <c r="O6" t="str">
        <f t="shared" si="0"/>
        <v>Deebo Samuel</v>
      </c>
      <c r="P6" t="str">
        <f>IFERROR(VLOOKUP(O:O,'Name Bridge'!A:B,2,FALSE),O:O)</f>
        <v>Deebo Samuel*</v>
      </c>
      <c r="Q6" s="10">
        <f>VLOOKUP($K6,'CY Defensive Stats Query'!$AC:$AH,2,FALSE)</f>
        <v>7.6538461538461542</v>
      </c>
      <c r="R6" s="10">
        <f>VLOOKUP($K6,'CY Defensive Stats Query'!$AC:$AH,4,FALSE)</f>
        <v>4.6888888888888891</v>
      </c>
      <c r="S6" s="10">
        <f>VLOOKUP($K6,'CY Defensive Stats Query'!$AC:$AH,6,FALSE)</f>
        <v>11.306818181818182</v>
      </c>
      <c r="T6" s="10">
        <f>IFERROR(VLOOKUP($P6,'CYPassing Query'!$B:$AE,9,FALSE)/VLOOKUP($P6,'CYPassing Query'!$B:$AE,5,FALSE),0)</f>
        <v>0.125</v>
      </c>
      <c r="U6" s="10">
        <f>IFERROR(VLOOKUP($P6,'CYPassing Query'!$B:$AE,11,FALSE)/VLOOKUP($P6,'CYPassing Query'!$B:$AE,5,FALSE),0)</f>
        <v>1.5</v>
      </c>
      <c r="V6" s="10">
        <f>IFERROR(VLOOKUP($P6,'CYPassing Query'!$B:$AE,18,FALSE),0)</f>
        <v>12</v>
      </c>
      <c r="W6" s="10">
        <f>IFERROR(VLOOKUP($P6,'CYPassing Query'!$B:$AE,12,FALSE)/VLOOKUP($P6,'CYPassing Query'!$B:$AE,5,FALSE),0)</f>
        <v>6.25E-2</v>
      </c>
      <c r="X6" s="10">
        <f>IFERROR(IF(OR($B6="D",$B6="K"),0,VLOOKUP($P6,'CY Receving Query'!$B:$S,7,FALSE)/VLOOKUP($P6,'CY Receving Query'!$B:$S,5,FALSE)),0)*$AJ6</f>
        <v>7.5625</v>
      </c>
      <c r="Y6" s="10">
        <f>IFERROR(VLOOKUP($P6,'CY Receving Query'!$B:$S,8,FALSE)/VLOOKUP($P6,'CY Receving Query'!$B:$S,5,FALSE),0)</f>
        <v>4.8125</v>
      </c>
      <c r="Z6" s="10">
        <f>IFERROR(VLOOKUP($P6,'CY Receving Query'!$B:$S,10,FALSE)/VLOOKUP($P6,'CY Receving Query'!$B:$S,5,FALSE),0)</f>
        <v>87.8125</v>
      </c>
      <c r="AA6" s="10">
        <f>IFERROR(VLOOKUP($P6,'CY Receving Query'!$B:$S,11,FALSE),0)</f>
        <v>18.2</v>
      </c>
      <c r="AB6" s="10">
        <f>IFERROR(AVERAGE(VLOOKUP($P6,'PY Receiving'!$C:$T,14,FALSE),VLOOKUP($P6,'CY Receiving'!$C:$T,14,FALSE)),0)</f>
        <v>57</v>
      </c>
      <c r="AC6" s="10">
        <f>IFERROR(VLOOKUP($P6,'CY Receving Query'!$B:$S,11,FALSE)/VLOOKUP($P6,'CY Receving Query'!$B:$S,5,FALSE),0)</f>
        <v>1.1375</v>
      </c>
      <c r="AD6" s="10">
        <f>IFERROR(VLOOKUP($P6,'CY Rushing Query'!$B:$O,7,FALSE)/VLOOKUP($P6,'CY Rushing Query'!$B:$O,5,FALSE),0)</f>
        <v>3.6875</v>
      </c>
      <c r="AE6" s="10">
        <f>IFERROR(AVERAGE(VLOOKUP($P6,'PY Rushing'!$C:$P,8,FALSE)/VLOOKUP($P6,'PY Rushing'!$C:$P,5,FALSE),VLOOKUP($P6,'CY Rushing'!$C:$P,8,FALSE)/VLOOKUP($P6,'CY Rushing'!$C:$P,5,FALSE)),0)</f>
        <v>0</v>
      </c>
      <c r="AF6" s="10">
        <f>IFERROR(VLOOKUP($P6,'CY Rushing Query'!$B:$P,12,FALSE),0)</f>
        <v>6.2</v>
      </c>
      <c r="AG6" s="10">
        <f>IFERROR(VLOOKUP($P6,'CY Rushing Query'!$B:$P,9,FALSE)/VLOOKUP($P6,'CY Rushing Query'!$B:$P,5,FALSE),0)</f>
        <v>0.5</v>
      </c>
      <c r="AH6" s="10">
        <f>VLOOKUP($J6,'Vegas Odds'!$B:$S,18,FALSE)</f>
        <v>32.679248170039784</v>
      </c>
      <c r="AI6" s="10">
        <f>VLOOKUP($J6,'Vegas Odds'!$B:$S,17,FALSE)</f>
        <v>32.620751829960213</v>
      </c>
      <c r="AJ6">
        <f t="shared" ref="AJ6:AJ69" si="13">IF(AND(H6&gt;=4000,OR(L6="Q",L6=""),BD6=1),1,0)</f>
        <v>1</v>
      </c>
      <c r="AK6" s="10">
        <f t="shared" si="1"/>
        <v>0.125</v>
      </c>
      <c r="AL6" s="10">
        <f t="shared" si="2"/>
        <v>0</v>
      </c>
      <c r="AM6" s="10">
        <f>V6/'CY Defensive Stats Query'!$AD$34*'Fanduel Export'!Q6</f>
        <v>13.045492228228076</v>
      </c>
      <c r="AN6" s="10">
        <f>AM6*AK6</f>
        <v>1.6306865285285095</v>
      </c>
      <c r="AO6" s="10">
        <f>IFERROR(IF(OR($B6="D",$B6="K"),0,VLOOKUP($P6,'CY Receving Query'!$B:$S,7,FALSE)/VLOOKUP($P6,'CY Receving Query'!$B:$S,5,FALSE)),0)*$AJ6</f>
        <v>7.5625</v>
      </c>
      <c r="AP6" s="10">
        <f t="shared" si="3"/>
        <v>29.704370384517439</v>
      </c>
      <c r="AQ6" s="10">
        <f t="shared" si="4"/>
        <v>8.3198805794159814</v>
      </c>
      <c r="AR6" s="16">
        <f t="shared" ref="AR6:AR68" si="14">Y6*AJ6</f>
        <v>4.8125</v>
      </c>
      <c r="AS6" s="16">
        <f t="shared" si="5"/>
        <v>5.2944694596283517</v>
      </c>
      <c r="AT6" s="16">
        <f>AA6/'CY Defensive Stats Query'!$AH$34
*'Fanduel Export'!S6</f>
        <v>19.57250572223953</v>
      </c>
      <c r="AU6" s="10">
        <f t="shared" si="6"/>
        <v>94.192683788277733</v>
      </c>
      <c r="AV6" s="10">
        <f t="shared" ref="AV6:AV68" si="15">AD6*AJ6</f>
        <v>3.6875</v>
      </c>
      <c r="AW6" s="10">
        <f t="shared" si="7"/>
        <v>40.335297300738475</v>
      </c>
      <c r="AX6" s="10">
        <f t="shared" ref="AX6:AX68" si="16">IFERROR(AV6/AW6*AI6,0)</f>
        <v>2.9822272407243662</v>
      </c>
      <c r="AY6" s="10">
        <f>AF6/'CY Defensive Stats Query'!$AF$34
*R6</f>
        <v>7.0296868482843848</v>
      </c>
      <c r="AZ6" s="10">
        <f>AY6*AV6</f>
        <v>25.92197025304867</v>
      </c>
      <c r="BA6" s="16">
        <f t="shared" ref="BA6:BA68" si="17">AN6/25+AU6/10+AZ6/10+AR6*0.5</f>
        <v>14.482942865273781</v>
      </c>
      <c r="BB6" s="16">
        <f t="shared" si="8"/>
        <v>1.6647060764682509</v>
      </c>
      <c r="BC6" s="10">
        <f t="shared" si="9"/>
        <v>0.86925287356321845</v>
      </c>
      <c r="BD6" s="10">
        <f>IF(B6="QB",COUNTIFS($B$5:B6,B6,$J$5:J6,J6),1)</f>
        <v>1</v>
      </c>
      <c r="BE6" t="str">
        <f t="shared" si="10"/>
        <v>Deebo Samuel</v>
      </c>
      <c r="BF6">
        <f t="shared" si="11"/>
        <v>8700</v>
      </c>
      <c r="BG6" t="str">
        <f t="shared" si="12"/>
        <v>WR</v>
      </c>
      <c r="BH6" s="16">
        <f>BA6</f>
        <v>14.482942865273781</v>
      </c>
    </row>
    <row r="7" spans="1:60" x14ac:dyDescent="0.2">
      <c r="A7" t="s">
        <v>2719</v>
      </c>
      <c r="B7" t="s">
        <v>79</v>
      </c>
      <c r="C7" t="s">
        <v>2504</v>
      </c>
      <c r="D7" t="s">
        <v>975</v>
      </c>
      <c r="E7" t="s">
        <v>2587</v>
      </c>
      <c r="F7">
        <v>22.749411190257302</v>
      </c>
      <c r="G7">
        <v>17</v>
      </c>
      <c r="H7">
        <v>8400</v>
      </c>
      <c r="I7" t="s">
        <v>2720</v>
      </c>
      <c r="J7" t="s">
        <v>728</v>
      </c>
      <c r="K7" t="s">
        <v>102</v>
      </c>
      <c r="O7" t="str">
        <f t="shared" si="0"/>
        <v>Tom Brady</v>
      </c>
      <c r="P7" t="str">
        <f>IFERROR(VLOOKUP(O:O,'Name Bridge'!A:B,2,FALSE),O:O)</f>
        <v>Tom Brady*</v>
      </c>
      <c r="Q7" s="10">
        <f>VLOOKUP($K7,'CY Defensive Stats Query'!$AC:$AH,2,FALSE)</f>
        <v>5.9890109890109891</v>
      </c>
      <c r="R7" s="10">
        <f>VLOOKUP($K7,'CY Defensive Stats Query'!$AC:$AH,4,FALSE)</f>
        <v>3.8190476190476192</v>
      </c>
      <c r="S7" s="10">
        <f>VLOOKUP($K7,'CY Defensive Stats Query'!$AC:$AH,6,FALSE)</f>
        <v>8.515625</v>
      </c>
      <c r="T7" s="10">
        <f>IFERROR(VLOOKUP($P7,'CYPassing Query'!$B:$AE,9,FALSE)/VLOOKUP($P7,'CYPassing Query'!$B:$AE,5,FALSE),0)</f>
        <v>42.294117647058826</v>
      </c>
      <c r="U7" s="10">
        <f>IFERROR(VLOOKUP($P7,'CYPassing Query'!$B:$AE,11,FALSE)/VLOOKUP($P7,'CYPassing Query'!$B:$AE,5,FALSE),0)</f>
        <v>312.70588235294116</v>
      </c>
      <c r="V7" s="10">
        <f>IFERROR(VLOOKUP($P7,'CYPassing Query'!$B:$AE,18,FALSE),0)</f>
        <v>7.4</v>
      </c>
      <c r="W7" s="10">
        <f>IFERROR(VLOOKUP($P7,'CYPassing Query'!$B:$AE,12,FALSE)/VLOOKUP($P7,'CYPassing Query'!$B:$AE,5,FALSE),0)</f>
        <v>2.5294117647058822</v>
      </c>
      <c r="X7" s="10">
        <f>IFERROR(IF(OR($B7="D",$B7="K"),0,VLOOKUP($P7,'CY Receving Query'!$B:$S,7,FALSE)/VLOOKUP($P7,'CY Receving Query'!$B:$S,5,FALSE)),0)*$AJ7</f>
        <v>0</v>
      </c>
      <c r="Y7" s="10">
        <f>IFERROR(VLOOKUP($P7,'CY Receving Query'!$B:$S,8,FALSE)/VLOOKUP($P7,'CY Receving Query'!$B:$S,5,FALSE),0)</f>
        <v>0</v>
      </c>
      <c r="Z7" s="10">
        <f>IFERROR(VLOOKUP($P7,'CY Receving Query'!$B:$S,10,FALSE)/VLOOKUP($P7,'CY Receving Query'!$B:$S,5,FALSE),0)</f>
        <v>0</v>
      </c>
      <c r="AA7" s="10">
        <f>IFERROR(VLOOKUP($P7,'CY Receving Query'!$B:$S,11,FALSE),0)</f>
        <v>0</v>
      </c>
      <c r="AB7" s="10">
        <f>IFERROR(AVERAGE(VLOOKUP($P7,'PY Receiving'!$C:$T,14,FALSE),VLOOKUP($P7,'CY Receiving'!$C:$T,14,FALSE)),0)</f>
        <v>0</v>
      </c>
      <c r="AC7" s="10">
        <f>IFERROR(VLOOKUP($P7,'CY Receving Query'!$B:$S,11,FALSE)/VLOOKUP($P7,'CY Receving Query'!$B:$S,5,FALSE),0)</f>
        <v>0</v>
      </c>
      <c r="AD7" s="10">
        <f>IFERROR(VLOOKUP($P7,'CY Rushing Query'!$B:$O,7,FALSE)/VLOOKUP($P7,'CY Rushing Query'!$B:$O,5,FALSE),0)</f>
        <v>1.6470588235294117</v>
      </c>
      <c r="AE7" s="10">
        <f>IFERROR(AVERAGE(VLOOKUP($P7,'PY Rushing'!$C:$P,8,FALSE)/VLOOKUP($P7,'PY Rushing'!$C:$P,5,FALSE),VLOOKUP($P7,'CY Rushing'!$C:$P,8,FALSE)/VLOOKUP($P7,'CY Rushing'!$C:$P,5,FALSE)),0)</f>
        <v>0</v>
      </c>
      <c r="AF7" s="10">
        <f>IFERROR(VLOOKUP($P7,'CY Rushing Query'!$B:$P,12,FALSE),0)</f>
        <v>2.9</v>
      </c>
      <c r="AG7" s="10">
        <f>IFERROR(VLOOKUP($P7,'CY Rushing Query'!$B:$P,9,FALSE)/VLOOKUP($P7,'CY Rushing Query'!$B:$P,5,FALSE),0)</f>
        <v>0.11764705882352941</v>
      </c>
      <c r="AH7" s="10">
        <f>VLOOKUP($J7,'Vegas Odds'!$B:$S,18,FALSE)</f>
        <v>34.555825588251061</v>
      </c>
      <c r="AI7" s="10">
        <f>VLOOKUP($J7,'Vegas Odds'!$B:$S,17,FALSE)</f>
        <v>27.844174411748938</v>
      </c>
      <c r="AJ7">
        <f t="shared" si="13"/>
        <v>1</v>
      </c>
      <c r="AK7" s="10">
        <f t="shared" si="1"/>
        <v>42.294117647058826</v>
      </c>
      <c r="AL7" s="10">
        <f t="shared" si="2"/>
        <v>34.555825588251061</v>
      </c>
      <c r="AM7" s="10">
        <f>V7/'CY Defensive Stats Query'!$AD$34*'Fanduel Export'!Q7</f>
        <v>6.294863622450805</v>
      </c>
      <c r="AN7" s="10">
        <f>AM7*AK7</f>
        <v>266.23570262012527</v>
      </c>
      <c r="AO7" s="10">
        <f>IFERROR(IF(OR($B7="D",$B7="K"),0,VLOOKUP($P7,'CY Receving Query'!$B:$S,7,FALSE)/VLOOKUP($P7,'CY Receving Query'!$B:$S,5,FALSE)),0)*$AJ7</f>
        <v>0</v>
      </c>
      <c r="AP7" s="10">
        <f t="shared" si="3"/>
        <v>25.587418300653596</v>
      </c>
      <c r="AQ7" s="10">
        <f t="shared" si="4"/>
        <v>0</v>
      </c>
      <c r="AR7" s="16">
        <f t="shared" si="14"/>
        <v>0</v>
      </c>
      <c r="AS7" s="16">
        <f t="shared" si="5"/>
        <v>0</v>
      </c>
      <c r="AT7" s="16">
        <f>AA7/'CY Defensive Stats Query'!$AH$34
*'Fanduel Export'!S7</f>
        <v>0</v>
      </c>
      <c r="AU7" s="10">
        <f t="shared" si="6"/>
        <v>0</v>
      </c>
      <c r="AV7" s="10">
        <f t="shared" si="15"/>
        <v>1.6470588235294117</v>
      </c>
      <c r="AW7" s="10">
        <f t="shared" si="7"/>
        <v>12.022058823529411</v>
      </c>
      <c r="AX7" s="10">
        <f t="shared" si="16"/>
        <v>3.8147370447900686</v>
      </c>
      <c r="AY7" s="10">
        <f>AF7/'CY Defensive Stats Query'!$AF$34
*R7</f>
        <v>2.6781038840292801</v>
      </c>
      <c r="AZ7" s="10">
        <f>AY7*AV7</f>
        <v>4.4109946325188139</v>
      </c>
      <c r="BA7" s="16">
        <f t="shared" si="17"/>
        <v>11.090527568056892</v>
      </c>
      <c r="BB7" s="16">
        <f t="shared" si="8"/>
        <v>1.3203009009591538</v>
      </c>
      <c r="BC7" s="10">
        <f t="shared" si="9"/>
        <v>0</v>
      </c>
      <c r="BD7" s="10">
        <f>IF(B7="QB",COUNTIFS($B$5:B7,B7,$J$5:J7,J7),1)</f>
        <v>1</v>
      </c>
      <c r="BE7" t="str">
        <f t="shared" si="10"/>
        <v>Tom Brady</v>
      </c>
      <c r="BF7">
        <f t="shared" si="11"/>
        <v>8400</v>
      </c>
      <c r="BG7" t="str">
        <f t="shared" si="12"/>
        <v>QB</v>
      </c>
      <c r="BH7" s="16">
        <f t="shared" ref="BH7:BH68" si="18">BA7</f>
        <v>11.090527568056892</v>
      </c>
    </row>
    <row r="8" spans="1:60" x14ac:dyDescent="0.2">
      <c r="A8" t="s">
        <v>2721</v>
      </c>
      <c r="B8" t="s">
        <v>83</v>
      </c>
      <c r="C8" t="s">
        <v>197</v>
      </c>
      <c r="D8" t="s">
        <v>866</v>
      </c>
      <c r="E8" t="s">
        <v>2213</v>
      </c>
      <c r="F8">
        <v>14.09375</v>
      </c>
      <c r="G8">
        <v>16</v>
      </c>
      <c r="H8">
        <v>8200</v>
      </c>
      <c r="I8" t="s">
        <v>2720</v>
      </c>
      <c r="J8" t="s">
        <v>728</v>
      </c>
      <c r="K8" t="s">
        <v>102</v>
      </c>
      <c r="O8" t="str">
        <f t="shared" si="0"/>
        <v>Mike Evans</v>
      </c>
      <c r="P8" t="str">
        <f>IFERROR(VLOOKUP(O:O,'Name Bridge'!A:B,2,FALSE),O:O)</f>
        <v>Mike Evans</v>
      </c>
      <c r="Q8" s="10">
        <f>VLOOKUP($K8,'CY Defensive Stats Query'!$AC:$AH,2,FALSE)</f>
        <v>5.9890109890109891</v>
      </c>
      <c r="R8" s="10">
        <f>VLOOKUP($K8,'CY Defensive Stats Query'!$AC:$AH,4,FALSE)</f>
        <v>3.8190476190476192</v>
      </c>
      <c r="S8" s="10">
        <f>VLOOKUP($K8,'CY Defensive Stats Query'!$AC:$AH,6,FALSE)</f>
        <v>8.515625</v>
      </c>
      <c r="T8" s="10">
        <f>IFERROR(VLOOKUP($P8,'CYPassing Query'!$B:$AE,9,FALSE)/VLOOKUP($P8,'CYPassing Query'!$B:$AE,5,FALSE),0)</f>
        <v>0</v>
      </c>
      <c r="U8" s="10">
        <f>IFERROR(VLOOKUP($P8,'CYPassing Query'!$B:$AE,11,FALSE)/VLOOKUP($P8,'CYPassing Query'!$B:$AE,5,FALSE),0)</f>
        <v>0</v>
      </c>
      <c r="V8" s="10">
        <f>IFERROR(VLOOKUP($P8,'CYPassing Query'!$B:$AE,18,FALSE),0)</f>
        <v>0</v>
      </c>
      <c r="W8" s="10">
        <f>IFERROR(VLOOKUP($P8,'CYPassing Query'!$B:$AE,12,FALSE)/VLOOKUP($P8,'CYPassing Query'!$B:$AE,5,FALSE),0)</f>
        <v>0</v>
      </c>
      <c r="X8" s="10">
        <f>IFERROR(IF(OR($B8="D",$B8="K"),0,VLOOKUP($P8,'CY Receving Query'!$B:$S,7,FALSE)/VLOOKUP($P8,'CY Receving Query'!$B:$S,5,FALSE)),0)*$AJ8</f>
        <v>0</v>
      </c>
      <c r="Y8" s="10">
        <f>IFERROR(VLOOKUP($P8,'CY Receving Query'!$B:$S,8,FALSE)/VLOOKUP($P8,'CY Receving Query'!$B:$S,5,FALSE),0)</f>
        <v>0</v>
      </c>
      <c r="Z8" s="10">
        <f>IFERROR(VLOOKUP($P8,'CY Receving Query'!$B:$S,10,FALSE)/VLOOKUP($P8,'CY Receving Query'!$B:$S,5,FALSE),0)</f>
        <v>0</v>
      </c>
      <c r="AA8" s="10">
        <f>IFERROR(VLOOKUP($P8,'CY Receving Query'!$B:$S,11,FALSE),0)</f>
        <v>0</v>
      </c>
      <c r="AB8" s="10">
        <f>IFERROR(AVERAGE(VLOOKUP($P8,'PY Receiving'!$C:$T,14,FALSE),VLOOKUP($P8,'CY Receiving'!$C:$T,14,FALSE)),0)</f>
        <v>30</v>
      </c>
      <c r="AC8" s="10">
        <f>IFERROR(VLOOKUP($P8,'CY Receving Query'!$B:$S,11,FALSE)/VLOOKUP($P8,'CY Receving Query'!$B:$S,5,FALSE),0)</f>
        <v>0</v>
      </c>
      <c r="AD8" s="10">
        <f>IFERROR(VLOOKUP($P8,'CY Rushing Query'!$B:$O,7,FALSE)/VLOOKUP($P8,'CY Rushing Query'!$B:$O,5,FALSE),0)</f>
        <v>0</v>
      </c>
      <c r="AE8" s="10">
        <f>IFERROR(AVERAGE(VLOOKUP($P8,'PY Rushing'!$C:$P,8,FALSE)/VLOOKUP($P8,'PY Rushing'!$C:$P,5,FALSE),VLOOKUP($P8,'CY Rushing'!$C:$P,8,FALSE)/VLOOKUP($P8,'CY Rushing'!$C:$P,5,FALSE)),0)</f>
        <v>0</v>
      </c>
      <c r="AF8" s="10">
        <f>IFERROR(VLOOKUP($P8,'CY Rushing Query'!$B:$P,12,FALSE),0)</f>
        <v>0</v>
      </c>
      <c r="AG8" s="10">
        <f>IFERROR(VLOOKUP($P8,'CY Rushing Query'!$B:$P,9,FALSE)/VLOOKUP($P8,'CY Rushing Query'!$B:$P,5,FALSE),0)</f>
        <v>0</v>
      </c>
      <c r="AH8" s="10">
        <f>VLOOKUP($J8,'Vegas Odds'!$B:$S,18,FALSE)</f>
        <v>34.555825588251061</v>
      </c>
      <c r="AI8" s="10">
        <f>VLOOKUP($J8,'Vegas Odds'!$B:$S,17,FALSE)</f>
        <v>27.844174411748938</v>
      </c>
      <c r="AJ8">
        <f t="shared" si="13"/>
        <v>1</v>
      </c>
      <c r="AK8" s="10">
        <f t="shared" si="1"/>
        <v>0</v>
      </c>
      <c r="AL8" s="10">
        <f t="shared" si="2"/>
        <v>0</v>
      </c>
      <c r="AM8" s="10">
        <f>V8/'CY Defensive Stats Query'!$AD$34*'Fanduel Export'!Q8</f>
        <v>0</v>
      </c>
      <c r="AN8" s="10">
        <f>AM8*AK8</f>
        <v>0</v>
      </c>
      <c r="AO8" s="10">
        <f>IFERROR(IF(OR($B8="D",$B8="K"),0,VLOOKUP($P8,'CY Receving Query'!$B:$S,7,FALSE)/VLOOKUP($P8,'CY Receving Query'!$B:$S,5,FALSE)),0)*$AJ8</f>
        <v>0</v>
      </c>
      <c r="AP8" s="10">
        <f t="shared" si="3"/>
        <v>25.587418300653596</v>
      </c>
      <c r="AQ8" s="10">
        <f t="shared" si="4"/>
        <v>0</v>
      </c>
      <c r="AR8" s="16">
        <f t="shared" si="14"/>
        <v>0</v>
      </c>
      <c r="AS8" s="16">
        <f t="shared" si="5"/>
        <v>0</v>
      </c>
      <c r="AT8" s="16">
        <f>AA8/'CY Defensive Stats Query'!$AH$34
*'Fanduel Export'!S8</f>
        <v>0</v>
      </c>
      <c r="AU8" s="10">
        <f t="shared" si="6"/>
        <v>0</v>
      </c>
      <c r="AV8" s="10">
        <f t="shared" si="15"/>
        <v>0</v>
      </c>
      <c r="AW8" s="10">
        <f t="shared" si="7"/>
        <v>12.022058823529411</v>
      </c>
      <c r="AX8" s="10">
        <f t="shared" si="16"/>
        <v>0</v>
      </c>
      <c r="AY8" s="10">
        <f>AF8/'CY Defensive Stats Query'!$AF$34
*R8</f>
        <v>0</v>
      </c>
      <c r="AZ8" s="10">
        <f>AY8*AV8</f>
        <v>0</v>
      </c>
      <c r="BA8" s="16">
        <f t="shared" si="17"/>
        <v>0</v>
      </c>
      <c r="BB8" s="16">
        <f t="shared" si="8"/>
        <v>0</v>
      </c>
      <c r="BC8" s="10">
        <f t="shared" si="9"/>
        <v>0</v>
      </c>
      <c r="BD8" s="10">
        <f>IF(B8="QB",COUNTIFS($B$5:B8,B8,$J$5:J8,J8),1)</f>
        <v>1</v>
      </c>
      <c r="BE8" t="str">
        <f t="shared" si="10"/>
        <v>Mike Evans</v>
      </c>
      <c r="BF8">
        <f t="shared" si="11"/>
        <v>8200</v>
      </c>
      <c r="BG8" t="str">
        <f t="shared" si="12"/>
        <v>WR</v>
      </c>
      <c r="BH8" s="16">
        <f t="shared" si="18"/>
        <v>0</v>
      </c>
    </row>
    <row r="9" spans="1:60" x14ac:dyDescent="0.2">
      <c r="A9" t="s">
        <v>2722</v>
      </c>
      <c r="B9" t="s">
        <v>83</v>
      </c>
      <c r="C9" t="s">
        <v>2723</v>
      </c>
      <c r="D9" t="s">
        <v>90</v>
      </c>
      <c r="E9" t="s">
        <v>2223</v>
      </c>
      <c r="F9">
        <v>14.176470588235199</v>
      </c>
      <c r="G9">
        <v>17</v>
      </c>
      <c r="H9">
        <v>8000</v>
      </c>
      <c r="I9" t="s">
        <v>2716</v>
      </c>
      <c r="J9" t="s">
        <v>81</v>
      </c>
      <c r="K9" t="s">
        <v>99</v>
      </c>
      <c r="O9" t="str">
        <f t="shared" si="0"/>
        <v>Tyreek Hill</v>
      </c>
      <c r="P9" t="str">
        <f>IFERROR(VLOOKUP(O:O,'Name Bridge'!A:B,2,FALSE),O:O)</f>
        <v>Tyreek Hill*</v>
      </c>
      <c r="Q9" s="10">
        <f>VLOOKUP($K9,'CY Defensive Stats Query'!$AC:$AH,2,FALSE)</f>
        <v>7.5377358490566042</v>
      </c>
      <c r="R9" s="10">
        <f>VLOOKUP($K9,'CY Defensive Stats Query'!$AC:$AH,4,FALSE)</f>
        <v>3.5810810810810811</v>
      </c>
      <c r="S9" s="10">
        <f>VLOOKUP($K9,'CY Defensive Stats Query'!$AC:$AH,6,FALSE)</f>
        <v>11.097222222222221</v>
      </c>
      <c r="T9" s="10">
        <f>IFERROR(VLOOKUP($P9,'CYPassing Query'!$B:$AE,9,FALSE)/VLOOKUP($P9,'CYPassing Query'!$B:$AE,5,FALSE),0)</f>
        <v>0</v>
      </c>
      <c r="U9" s="10">
        <f>IFERROR(VLOOKUP($P9,'CYPassing Query'!$B:$AE,11,FALSE)/VLOOKUP($P9,'CYPassing Query'!$B:$AE,5,FALSE),0)</f>
        <v>0</v>
      </c>
      <c r="V9" s="10">
        <f>IFERROR(VLOOKUP($P9,'CYPassing Query'!$B:$AE,18,FALSE),0)</f>
        <v>0</v>
      </c>
      <c r="W9" s="10">
        <f>IFERROR(VLOOKUP($P9,'CYPassing Query'!$B:$AE,12,FALSE)/VLOOKUP($P9,'CYPassing Query'!$B:$AE,5,FALSE),0)</f>
        <v>0</v>
      </c>
      <c r="X9" s="10">
        <f>IFERROR(IF(OR($B9="D",$B9="K"),0,VLOOKUP($P9,'CY Receving Query'!$B:$S,7,FALSE)/VLOOKUP($P9,'CY Receving Query'!$B:$S,5,FALSE)),0)*$AJ9</f>
        <v>9.3529411764705888</v>
      </c>
      <c r="Y9" s="10">
        <f>IFERROR(VLOOKUP($P9,'CY Receving Query'!$B:$S,8,FALSE)/VLOOKUP($P9,'CY Receving Query'!$B:$S,5,FALSE),0)</f>
        <v>6.5294117647058822</v>
      </c>
      <c r="Z9" s="10">
        <f>IFERROR(VLOOKUP($P9,'CY Receving Query'!$B:$S,10,FALSE)/VLOOKUP($P9,'CY Receving Query'!$B:$S,5,FALSE),0)</f>
        <v>72.882352941176464</v>
      </c>
      <c r="AA9" s="10">
        <f>IFERROR(VLOOKUP($P9,'CY Receving Query'!$B:$S,11,FALSE),0)</f>
        <v>11.2</v>
      </c>
      <c r="AB9" s="10">
        <f>IFERROR(AVERAGE(VLOOKUP($P9,'PY Receiving'!$C:$T,14,FALSE),VLOOKUP($P9,'CY Receiving'!$C:$T,14,FALSE)),0)</f>
        <v>75</v>
      </c>
      <c r="AC9" s="10">
        <f>IFERROR(VLOOKUP($P9,'CY Receving Query'!$B:$S,11,FALSE)/VLOOKUP($P9,'CY Receving Query'!$B:$S,5,FALSE),0)</f>
        <v>0.6588235294117647</v>
      </c>
      <c r="AD9" s="10">
        <f>IFERROR(VLOOKUP($P9,'CY Rushing Query'!$B:$O,7,FALSE)/VLOOKUP($P9,'CY Rushing Query'!$B:$O,5,FALSE),0)</f>
        <v>0.52941176470588236</v>
      </c>
      <c r="AE9" s="10">
        <f>IFERROR(AVERAGE(VLOOKUP($P9,'PY Rushing'!$C:$P,8,FALSE)/VLOOKUP($P9,'PY Rushing'!$C:$P,5,FALSE),VLOOKUP($P9,'CY Rushing'!$C:$P,8,FALSE)/VLOOKUP($P9,'CY Rushing'!$C:$P,5,FALSE)),0)</f>
        <v>6.1</v>
      </c>
      <c r="AF9" s="10">
        <f>IFERROR(VLOOKUP($P9,'CY Rushing Query'!$B:$P,12,FALSE),0)</f>
        <v>10.7</v>
      </c>
      <c r="AG9" s="10">
        <f>IFERROR(VLOOKUP($P9,'CY Rushing Query'!$B:$P,9,FALSE)/VLOOKUP($P9,'CY Rushing Query'!$B:$P,5,FALSE),0)</f>
        <v>0</v>
      </c>
      <c r="AH9" s="10">
        <f>VLOOKUP($J9,'Vegas Odds'!$B:$S,18,FALSE)</f>
        <v>37.933262350936971</v>
      </c>
      <c r="AI9" s="10">
        <f>VLOOKUP($J9,'Vegas Odds'!$B:$S,17,FALSE)</f>
        <v>27.766737649063032</v>
      </c>
      <c r="AJ9">
        <f t="shared" si="13"/>
        <v>1</v>
      </c>
      <c r="AK9" s="10">
        <f t="shared" si="1"/>
        <v>0</v>
      </c>
      <c r="AL9" s="10">
        <f t="shared" si="2"/>
        <v>0</v>
      </c>
      <c r="AM9" s="10">
        <f>V9/'CY Defensive Stats Query'!$AD$34*'Fanduel Export'!Q9</f>
        <v>0</v>
      </c>
      <c r="AN9" s="10">
        <f>AM9*AK9</f>
        <v>0</v>
      </c>
      <c r="AO9" s="10">
        <f>IFERROR(IF(OR($B9="D",$B9="K"),0,VLOOKUP($P9,'CY Receving Query'!$B:$S,7,FALSE)/VLOOKUP($P9,'CY Receving Query'!$B:$S,5,FALSE)),0)*$AJ9</f>
        <v>9.3529411764705888</v>
      </c>
      <c r="AP9" s="10">
        <f t="shared" si="3"/>
        <v>37.365221788015901</v>
      </c>
      <c r="AQ9" s="10">
        <f t="shared" si="4"/>
        <v>9.495128208063532</v>
      </c>
      <c r="AR9" s="16">
        <f t="shared" si="14"/>
        <v>6.5294117647058822</v>
      </c>
      <c r="AS9" s="16">
        <f t="shared" si="5"/>
        <v>6.6286744094028425</v>
      </c>
      <c r="AT9" s="16">
        <f>AA9/'CY Defensive Stats Query'!$AH$34
*'Fanduel Export'!S9</f>
        <v>11.821346238389431</v>
      </c>
      <c r="AU9" s="10">
        <f t="shared" si="6"/>
        <v>77.186437203601571</v>
      </c>
      <c r="AV9" s="10">
        <f t="shared" si="15"/>
        <v>0.52941176470588236</v>
      </c>
      <c r="AW9" s="10">
        <f t="shared" si="7"/>
        <v>19.787381735911151</v>
      </c>
      <c r="AX9" s="10">
        <f t="shared" si="16"/>
        <v>0.74289957989931255</v>
      </c>
      <c r="AY9" s="10">
        <f>AF9/'CY Defensive Stats Query'!$AF$34
*R9</f>
        <v>9.2655729517344501</v>
      </c>
      <c r="AZ9" s="10">
        <f>AY9*AV9</f>
        <v>4.9053033273888262</v>
      </c>
      <c r="BA9" s="16">
        <f t="shared" si="17"/>
        <v>11.473879935451983</v>
      </c>
      <c r="BB9" s="16">
        <f t="shared" si="8"/>
        <v>1.4342349919314978</v>
      </c>
      <c r="BC9" s="10">
        <f t="shared" si="9"/>
        <v>1.1691176470588236</v>
      </c>
      <c r="BD9" s="10">
        <f>IF(B9="QB",COUNTIFS($B$5:B9,B9,$J$5:J9,J9),1)</f>
        <v>1</v>
      </c>
      <c r="BE9" t="str">
        <f t="shared" si="10"/>
        <v>Tyreek Hill</v>
      </c>
      <c r="BF9">
        <f t="shared" si="11"/>
        <v>8000</v>
      </c>
      <c r="BG9" t="str">
        <f t="shared" si="12"/>
        <v>WR</v>
      </c>
      <c r="BH9" s="16">
        <f t="shared" si="18"/>
        <v>11.473879935451983</v>
      </c>
    </row>
    <row r="10" spans="1:60" x14ac:dyDescent="0.2">
      <c r="A10" t="s">
        <v>2724</v>
      </c>
      <c r="B10" t="s">
        <v>68</v>
      </c>
      <c r="C10" t="s">
        <v>2535</v>
      </c>
      <c r="D10" t="s">
        <v>170</v>
      </c>
      <c r="E10" t="s">
        <v>2230</v>
      </c>
      <c r="F10">
        <v>15.511765423943</v>
      </c>
      <c r="G10">
        <v>17</v>
      </c>
      <c r="H10">
        <v>8000</v>
      </c>
      <c r="I10" t="s">
        <v>2716</v>
      </c>
      <c r="J10" t="s">
        <v>99</v>
      </c>
      <c r="K10" t="s">
        <v>81</v>
      </c>
      <c r="O10" t="str">
        <f t="shared" si="0"/>
        <v>Najee Harris</v>
      </c>
      <c r="P10" t="str">
        <f>IFERROR(VLOOKUP(O:O,'Name Bridge'!A:B,2,FALSE),O:O)</f>
        <v>Najee Harris</v>
      </c>
      <c r="Q10" s="10">
        <f>VLOOKUP($K10,'CY Defensive Stats Query'!$AC:$AH,2,FALSE)</f>
        <v>8.7934782608695645</v>
      </c>
      <c r="R10" s="10">
        <f>VLOOKUP($K10,'CY Defensive Stats Query'!$AC:$AH,4,FALSE)</f>
        <v>5.404494382022472</v>
      </c>
      <c r="S10" s="10">
        <f>VLOOKUP($K10,'CY Defensive Stats Query'!$AC:$AH,6,FALSE)</f>
        <v>12.446153846153846</v>
      </c>
      <c r="T10" s="10">
        <f>IFERROR(VLOOKUP($P10,'CYPassing Query'!$B:$AE,9,FALSE)/VLOOKUP($P10,'CYPassing Query'!$B:$AE,5,FALSE),0)</f>
        <v>0</v>
      </c>
      <c r="U10" s="10">
        <f>IFERROR(VLOOKUP($P10,'CYPassing Query'!$B:$AE,11,FALSE)/VLOOKUP($P10,'CYPassing Query'!$B:$AE,5,FALSE),0)</f>
        <v>0</v>
      </c>
      <c r="V10" s="10">
        <f>IFERROR(VLOOKUP($P10,'CYPassing Query'!$B:$AE,18,FALSE),0)</f>
        <v>0</v>
      </c>
      <c r="W10" s="10">
        <f>IFERROR(VLOOKUP($P10,'CYPassing Query'!$B:$AE,12,FALSE)/VLOOKUP($P10,'CYPassing Query'!$B:$AE,5,FALSE),0)</f>
        <v>0</v>
      </c>
      <c r="X10" s="10">
        <f>IFERROR(IF(OR($B10="D",$B10="K"),0,VLOOKUP($P10,'CY Receving Query'!$B:$S,7,FALSE)/VLOOKUP($P10,'CY Receving Query'!$B:$S,5,FALSE)),0)*$AJ10</f>
        <v>0</v>
      </c>
      <c r="Y10" s="10">
        <f>IFERROR(VLOOKUP($P10,'CY Receving Query'!$B:$S,8,FALSE)/VLOOKUP($P10,'CY Receving Query'!$B:$S,5,FALSE),0)</f>
        <v>0</v>
      </c>
      <c r="Z10" s="10">
        <f>IFERROR(VLOOKUP($P10,'CY Receving Query'!$B:$S,10,FALSE)/VLOOKUP($P10,'CY Receving Query'!$B:$S,5,FALSE),0)</f>
        <v>0</v>
      </c>
      <c r="AA10" s="10">
        <f>IFERROR(VLOOKUP($P10,'CY Receving Query'!$B:$S,11,FALSE),0)</f>
        <v>0</v>
      </c>
      <c r="AB10" s="10">
        <f>IFERROR(AVERAGE(VLOOKUP($P10,'PY Receiving'!$C:$T,14,FALSE),VLOOKUP($P10,'CY Receiving'!$C:$T,14,FALSE)),0)</f>
        <v>0</v>
      </c>
      <c r="AC10" s="10">
        <f>IFERROR(VLOOKUP($P10,'CY Receving Query'!$B:$S,11,FALSE)/VLOOKUP($P10,'CY Receving Query'!$B:$S,5,FALSE),0)</f>
        <v>0</v>
      </c>
      <c r="AD10" s="10">
        <f>IFERROR(VLOOKUP($P10,'CY Rushing Query'!$B:$O,7,FALSE)/VLOOKUP($P10,'CY Rushing Query'!$B:$O,5,FALSE),0)</f>
        <v>0</v>
      </c>
      <c r="AE10" s="10">
        <f>IFERROR(AVERAGE(VLOOKUP($P10,'PY Rushing'!$C:$P,8,FALSE)/VLOOKUP($P10,'PY Rushing'!$C:$P,5,FALSE),VLOOKUP($P10,'CY Rushing'!$C:$P,8,FALSE)/VLOOKUP($P10,'CY Rushing'!$C:$P,5,FALSE)),0)</f>
        <v>0</v>
      </c>
      <c r="AF10" s="10">
        <f>IFERROR(VLOOKUP($P10,'CY Rushing Query'!$B:$P,12,FALSE),0)</f>
        <v>0</v>
      </c>
      <c r="AG10" s="10">
        <f>IFERROR(VLOOKUP($P10,'CY Rushing Query'!$B:$P,9,FALSE)/VLOOKUP($P10,'CY Rushing Query'!$B:$P,5,FALSE),0)</f>
        <v>0</v>
      </c>
      <c r="AH10" s="10">
        <f>VLOOKUP($J10,'Vegas Odds'!$B:$S,18,FALSE)</f>
        <v>40.088640957860363</v>
      </c>
      <c r="AI10" s="10">
        <f>VLOOKUP($J10,'Vegas Odds'!$B:$S,17,FALSE)</f>
        <v>25.511359042139631</v>
      </c>
      <c r="AJ10">
        <f t="shared" si="13"/>
        <v>1</v>
      </c>
      <c r="AK10" s="10">
        <f t="shared" si="1"/>
        <v>0</v>
      </c>
      <c r="AL10" s="10">
        <f t="shared" si="2"/>
        <v>0</v>
      </c>
      <c r="AM10" s="10">
        <f>V10/'CY Defensive Stats Query'!$AD$34*'Fanduel Export'!Q10</f>
        <v>0</v>
      </c>
      <c r="AN10" s="10">
        <f>AM10*AL10</f>
        <v>0</v>
      </c>
      <c r="AO10" s="10">
        <f>IFERROR(IF(OR($B10="D",$B10="K"),0,VLOOKUP($P10,'CY Receving Query'!$B:$S,7,FALSE)/VLOOKUP($P10,'CY Receving Query'!$B:$S,5,FALSE)),0)*$AJ10</f>
        <v>0</v>
      </c>
      <c r="AP10" s="10">
        <f t="shared" si="3"/>
        <v>32.289950980392156</v>
      </c>
      <c r="AQ10" s="10">
        <f t="shared" si="4"/>
        <v>0</v>
      </c>
      <c r="AR10" s="16">
        <f t="shared" si="14"/>
        <v>0</v>
      </c>
      <c r="AS10" s="16">
        <f t="shared" si="5"/>
        <v>0</v>
      </c>
      <c r="AT10" s="16">
        <f>AA10/'CY Defensive Stats Query'!$AH$34
*'Fanduel Export'!S10</f>
        <v>0</v>
      </c>
      <c r="AU10" s="10">
        <f t="shared" si="6"/>
        <v>0</v>
      </c>
      <c r="AV10" s="10">
        <f t="shared" si="15"/>
        <v>0</v>
      </c>
      <c r="AW10" s="10">
        <f t="shared" si="7"/>
        <v>7.4240196078431371</v>
      </c>
      <c r="AX10" s="10">
        <f t="shared" si="16"/>
        <v>0</v>
      </c>
      <c r="AY10" s="10">
        <f>AF10/'CY Defensive Stats Query'!$AF$34
*R10</f>
        <v>0</v>
      </c>
      <c r="AZ10" s="10">
        <f>AY10*AX10</f>
        <v>0</v>
      </c>
      <c r="BA10" s="16">
        <f t="shared" si="17"/>
        <v>0</v>
      </c>
      <c r="BB10" s="16">
        <f t="shared" si="8"/>
        <v>0</v>
      </c>
      <c r="BC10" s="10">
        <f t="shared" si="9"/>
        <v>0</v>
      </c>
      <c r="BD10" s="10">
        <f>IF(B10="QB",COUNTIFS($B$5:B10,B10,$J$5:J10,J10),1)</f>
        <v>1</v>
      </c>
      <c r="BE10" t="str">
        <f t="shared" si="10"/>
        <v>Najee Harris</v>
      </c>
      <c r="BF10">
        <f t="shared" si="11"/>
        <v>8000</v>
      </c>
      <c r="BG10" t="str">
        <f t="shared" si="12"/>
        <v>RB</v>
      </c>
      <c r="BH10" s="16">
        <f t="shared" si="18"/>
        <v>0</v>
      </c>
    </row>
    <row r="11" spans="1:60" x14ac:dyDescent="0.2">
      <c r="A11" t="s">
        <v>2725</v>
      </c>
      <c r="B11" t="s">
        <v>79</v>
      </c>
      <c r="C11" t="s">
        <v>2726</v>
      </c>
      <c r="D11" t="s">
        <v>956</v>
      </c>
      <c r="E11" t="s">
        <v>2727</v>
      </c>
      <c r="F11">
        <v>20.659999847412099</v>
      </c>
      <c r="G11">
        <v>16</v>
      </c>
      <c r="H11">
        <v>8000</v>
      </c>
      <c r="I11" t="s">
        <v>2718</v>
      </c>
      <c r="J11" t="s">
        <v>729</v>
      </c>
      <c r="K11" t="s">
        <v>138</v>
      </c>
      <c r="O11" t="str">
        <f t="shared" si="0"/>
        <v>Dak Prescott</v>
      </c>
      <c r="P11" t="str">
        <f>IFERROR(VLOOKUP(O:O,'Name Bridge'!A:B,2,FALSE),O:O)</f>
        <v>Dak Prescott</v>
      </c>
      <c r="Q11" s="10">
        <f>VLOOKUP($K11,'CY Defensive Stats Query'!$AC:$AH,2,FALSE)</f>
        <v>6.5263157894736841</v>
      </c>
      <c r="R11" s="10">
        <f>VLOOKUP($K11,'CY Defensive Stats Query'!$AC:$AH,4,FALSE)</f>
        <v>4.7051282051282053</v>
      </c>
      <c r="S11" s="10">
        <f>VLOOKUP($K11,'CY Defensive Stats Query'!$AC:$AH,6,FALSE)</f>
        <v>10.191780821917808</v>
      </c>
      <c r="T11" s="10">
        <f>IFERROR(VLOOKUP($P11,'CYPassing Query'!$B:$AE,9,FALSE)/VLOOKUP($P11,'CYPassing Query'!$B:$AE,5,FALSE),0)</f>
        <v>37.25</v>
      </c>
      <c r="U11" s="10">
        <f>IFERROR(VLOOKUP($P11,'CYPassing Query'!$B:$AE,11,FALSE)/VLOOKUP($P11,'CYPassing Query'!$B:$AE,5,FALSE),0)</f>
        <v>278.0625</v>
      </c>
      <c r="V11" s="10">
        <f>IFERROR(VLOOKUP($P11,'CYPassing Query'!$B:$AE,18,FALSE),0)</f>
        <v>7.5</v>
      </c>
      <c r="W11" s="10">
        <f>IFERROR(VLOOKUP($P11,'CYPassing Query'!$B:$AE,12,FALSE)/VLOOKUP($P11,'CYPassing Query'!$B:$AE,5,FALSE),0)</f>
        <v>2.3125</v>
      </c>
      <c r="X11" s="10">
        <f>IFERROR(IF(OR($B11="D",$B11="K"),0,VLOOKUP($P11,'CY Receving Query'!$B:$S,7,FALSE)/VLOOKUP($P11,'CY Receving Query'!$B:$S,5,FALSE)),0)*$AJ11</f>
        <v>0</v>
      </c>
      <c r="Y11" s="10">
        <f>IFERROR(VLOOKUP($P11,'CY Receving Query'!$B:$S,8,FALSE)/VLOOKUP($P11,'CY Receving Query'!$B:$S,5,FALSE),0)</f>
        <v>0</v>
      </c>
      <c r="Z11" s="10">
        <f>IFERROR(VLOOKUP($P11,'CY Receving Query'!$B:$S,10,FALSE)/VLOOKUP($P11,'CY Receving Query'!$B:$S,5,FALSE),0)</f>
        <v>0</v>
      </c>
      <c r="AA11" s="10">
        <f>IFERROR(VLOOKUP($P11,'CY Receving Query'!$B:$S,11,FALSE),0)</f>
        <v>0</v>
      </c>
      <c r="AB11" s="10">
        <f>IFERROR(AVERAGE(VLOOKUP($P11,'PY Receiving'!$C:$T,14,FALSE),VLOOKUP($P11,'CY Receiving'!$C:$T,14,FALSE)),0)</f>
        <v>0</v>
      </c>
      <c r="AC11" s="10">
        <f>IFERROR(VLOOKUP($P11,'CY Receving Query'!$B:$S,11,FALSE)/VLOOKUP($P11,'CY Receving Query'!$B:$S,5,FALSE),0)</f>
        <v>0</v>
      </c>
      <c r="AD11" s="10">
        <f>IFERROR(VLOOKUP($P11,'CY Rushing Query'!$B:$O,7,FALSE)/VLOOKUP($P11,'CY Rushing Query'!$B:$O,5,FALSE),0)</f>
        <v>3</v>
      </c>
      <c r="AE11" s="10">
        <f>IFERROR(AVERAGE(VLOOKUP($P11,'PY Rushing'!$C:$P,8,FALSE)/VLOOKUP($P11,'PY Rushing'!$C:$P,5,FALSE),VLOOKUP($P11,'CY Rushing'!$C:$P,8,FALSE)/VLOOKUP($P11,'CY Rushing'!$C:$P,5,FALSE)),0)</f>
        <v>15.8</v>
      </c>
      <c r="AF11" s="10">
        <f>IFERROR(VLOOKUP($P11,'CY Rushing Query'!$B:$P,12,FALSE),0)</f>
        <v>3</v>
      </c>
      <c r="AG11" s="10">
        <f>IFERROR(VLOOKUP($P11,'CY Rushing Query'!$B:$P,9,FALSE)/VLOOKUP($P11,'CY Rushing Query'!$B:$P,5,FALSE),0)</f>
        <v>6.25E-2</v>
      </c>
      <c r="AH11" s="10">
        <f>VLOOKUP($J11,'Vegas Odds'!$B:$S,18,FALSE)</f>
        <v>38.06292701199007</v>
      </c>
      <c r="AI11" s="10">
        <f>VLOOKUP($J11,'Vegas Odds'!$B:$S,17,FALSE)</f>
        <v>29.237072988009928</v>
      </c>
      <c r="AJ11">
        <f t="shared" si="13"/>
        <v>1</v>
      </c>
      <c r="AK11" s="10">
        <f t="shared" si="1"/>
        <v>37.25</v>
      </c>
      <c r="AL11" s="10">
        <f t="shared" si="2"/>
        <v>38.06292701199007</v>
      </c>
      <c r="AM11" s="10">
        <f>V11/'CY Defensive Stats Query'!$AD$34*'Fanduel Export'!Q11</f>
        <v>6.952305432393433</v>
      </c>
      <c r="AN11" s="10">
        <f>AM11*AK11</f>
        <v>258.97337735665536</v>
      </c>
      <c r="AO11" s="10">
        <f>IFERROR(IF(OR($B11="D",$B11="K"),0,VLOOKUP($P11,'CY Receving Query'!$B:$S,7,FALSE)/VLOOKUP($P11,'CY Receving Query'!$B:$S,5,FALSE)),0)*$AJ11</f>
        <v>0</v>
      </c>
      <c r="AP11" s="10">
        <f t="shared" si="3"/>
        <v>30.199512497306614</v>
      </c>
      <c r="AQ11" s="10">
        <f t="shared" si="4"/>
        <v>0</v>
      </c>
      <c r="AR11" s="16">
        <f t="shared" si="14"/>
        <v>0</v>
      </c>
      <c r="AS11" s="16">
        <f t="shared" si="5"/>
        <v>0</v>
      </c>
      <c r="AT11" s="16">
        <f>AA11/'CY Defensive Stats Query'!$AH$34
*'Fanduel Export'!S11</f>
        <v>0</v>
      </c>
      <c r="AU11" s="10">
        <f t="shared" si="6"/>
        <v>0</v>
      </c>
      <c r="AV11" s="10">
        <f t="shared" si="15"/>
        <v>3</v>
      </c>
      <c r="AW11" s="10">
        <f t="shared" si="7"/>
        <v>30.007352941176471</v>
      </c>
      <c r="AX11" s="10">
        <f t="shared" si="16"/>
        <v>2.9229908794677897</v>
      </c>
      <c r="AY11" s="10">
        <f>AF11/'CY Defensive Stats Query'!$AF$34
*R11</f>
        <v>3.4132418678459127</v>
      </c>
      <c r="AZ11" s="10">
        <f>AY11*AV11</f>
        <v>10.239725603537739</v>
      </c>
      <c r="BA11" s="16">
        <f t="shared" si="17"/>
        <v>11.38290765461999</v>
      </c>
      <c r="BB11" s="16">
        <f t="shared" si="8"/>
        <v>1.4228634568274987</v>
      </c>
      <c r="BC11" s="10">
        <f t="shared" si="9"/>
        <v>0</v>
      </c>
      <c r="BD11" s="10">
        <f>IF(B11="QB",COUNTIFS($B$5:B11,B11,$J$5:J11,J11),1)</f>
        <v>1</v>
      </c>
      <c r="BE11" t="str">
        <f t="shared" si="10"/>
        <v>Dak Prescott</v>
      </c>
      <c r="BF11">
        <f t="shared" si="11"/>
        <v>8000</v>
      </c>
      <c r="BG11" t="str">
        <f t="shared" si="12"/>
        <v>QB</v>
      </c>
      <c r="BH11" s="16">
        <f t="shared" si="18"/>
        <v>11.38290765461999</v>
      </c>
    </row>
    <row r="12" spans="1:60" x14ac:dyDescent="0.2">
      <c r="A12" t="s">
        <v>2728</v>
      </c>
      <c r="B12" t="s">
        <v>68</v>
      </c>
      <c r="C12" t="s">
        <v>2729</v>
      </c>
      <c r="D12" t="s">
        <v>1460</v>
      </c>
      <c r="E12" t="s">
        <v>2730</v>
      </c>
      <c r="F12">
        <v>13.444705738740801</v>
      </c>
      <c r="G12">
        <v>17</v>
      </c>
      <c r="H12">
        <v>7700</v>
      </c>
      <c r="I12" t="s">
        <v>2718</v>
      </c>
      <c r="J12" t="s">
        <v>729</v>
      </c>
      <c r="K12" t="s">
        <v>138</v>
      </c>
      <c r="O12" t="str">
        <f t="shared" si="0"/>
        <v>Ezekiel Elliott</v>
      </c>
      <c r="P12" t="str">
        <f>IFERROR(VLOOKUP(O:O,'Name Bridge'!A:B,2,FALSE),O:O)</f>
        <v>Ezekiel Elliott</v>
      </c>
      <c r="Q12" s="10">
        <f>VLOOKUP($K12,'CY Defensive Stats Query'!$AC:$AH,2,FALSE)</f>
        <v>6.5263157894736841</v>
      </c>
      <c r="R12" s="10">
        <f>VLOOKUP($K12,'CY Defensive Stats Query'!$AC:$AH,4,FALSE)</f>
        <v>4.7051282051282053</v>
      </c>
      <c r="S12" s="10">
        <f>VLOOKUP($K12,'CY Defensive Stats Query'!$AC:$AH,6,FALSE)</f>
        <v>10.191780821917808</v>
      </c>
      <c r="T12" s="10">
        <f>IFERROR(VLOOKUP($P12,'CYPassing Query'!$B:$AE,9,FALSE)/VLOOKUP($P12,'CYPassing Query'!$B:$AE,5,FALSE),0)</f>
        <v>5.8823529411764705E-2</v>
      </c>
      <c r="U12" s="10">
        <f>IFERROR(VLOOKUP($P12,'CYPassing Query'!$B:$AE,11,FALSE)/VLOOKUP($P12,'CYPassing Query'!$B:$AE,5,FALSE),0)</f>
        <v>0.23529411764705882</v>
      </c>
      <c r="V12" s="10">
        <f>IFERROR(VLOOKUP($P12,'CYPassing Query'!$B:$AE,18,FALSE),0)</f>
        <v>4</v>
      </c>
      <c r="W12" s="10">
        <f>IFERROR(VLOOKUP($P12,'CYPassing Query'!$B:$AE,12,FALSE)/VLOOKUP($P12,'CYPassing Query'!$B:$AE,5,FALSE),0)</f>
        <v>0</v>
      </c>
      <c r="X12" s="10">
        <f>IFERROR(IF(OR($B12="D",$B12="K"),0,VLOOKUP($P12,'CY Receving Query'!$B:$S,7,FALSE)/VLOOKUP($P12,'CY Receving Query'!$B:$S,5,FALSE)),0)*$AJ12</f>
        <v>3.8235294117647061</v>
      </c>
      <c r="Y12" s="10">
        <f>IFERROR(VLOOKUP($P12,'CY Receving Query'!$B:$S,8,FALSE)/VLOOKUP($P12,'CY Receving Query'!$B:$S,5,FALSE),0)</f>
        <v>2.7647058823529411</v>
      </c>
      <c r="Z12" s="10">
        <f>IFERROR(VLOOKUP($P12,'CY Receving Query'!$B:$S,10,FALSE)/VLOOKUP($P12,'CY Receving Query'!$B:$S,5,FALSE),0)</f>
        <v>16.882352941176471</v>
      </c>
      <c r="AA12" s="10">
        <f>IFERROR(VLOOKUP($P12,'CY Receving Query'!$B:$S,11,FALSE),0)</f>
        <v>6.1</v>
      </c>
      <c r="AB12" s="10">
        <f>IFERROR(AVERAGE(VLOOKUP($P12,'PY Receiving'!$C:$T,14,FALSE),VLOOKUP($P12,'CY Receiving'!$C:$T,14,FALSE)),0)</f>
        <v>11</v>
      </c>
      <c r="AC12" s="10">
        <f>IFERROR(VLOOKUP($P12,'CY Receving Query'!$B:$S,11,FALSE)/VLOOKUP($P12,'CY Receving Query'!$B:$S,5,FALSE),0)</f>
        <v>0.35882352941176471</v>
      </c>
      <c r="AD12" s="10">
        <f>IFERROR(VLOOKUP($P12,'CY Rushing Query'!$B:$O,7,FALSE)/VLOOKUP($P12,'CY Rushing Query'!$B:$O,5,FALSE),0)</f>
        <v>13.941176470588236</v>
      </c>
      <c r="AE12" s="10">
        <f>IFERROR(AVERAGE(VLOOKUP($P12,'PY Rushing'!$C:$P,8,FALSE)/VLOOKUP($P12,'PY Rushing'!$C:$P,5,FALSE),VLOOKUP($P12,'CY Rushing'!$C:$P,8,FALSE)/VLOOKUP($P12,'CY Rushing'!$C:$P,5,FALSE)),0)</f>
        <v>49.133333333333333</v>
      </c>
      <c r="AF12" s="10">
        <f>IFERROR(VLOOKUP($P12,'CY Rushing Query'!$B:$P,12,FALSE),0)</f>
        <v>4.2</v>
      </c>
      <c r="AG12" s="10">
        <f>IFERROR(VLOOKUP($P12,'CY Rushing Query'!$B:$P,9,FALSE)/VLOOKUP($P12,'CY Rushing Query'!$B:$P,5,FALSE),0)</f>
        <v>0.58823529411764708</v>
      </c>
      <c r="AH12" s="10">
        <f>VLOOKUP($J12,'Vegas Odds'!$B:$S,18,FALSE)</f>
        <v>38.06292701199007</v>
      </c>
      <c r="AI12" s="10">
        <f>VLOOKUP($J12,'Vegas Odds'!$B:$S,17,FALSE)</f>
        <v>29.237072988009928</v>
      </c>
      <c r="AJ12">
        <f t="shared" si="13"/>
        <v>1</v>
      </c>
      <c r="AK12" s="10">
        <f t="shared" si="1"/>
        <v>5.8823529411764705E-2</v>
      </c>
      <c r="AL12" s="10">
        <f t="shared" si="2"/>
        <v>0</v>
      </c>
      <c r="AM12" s="10">
        <f>V12/'CY Defensive Stats Query'!$AD$34*'Fanduel Export'!Q12</f>
        <v>3.7078962306098311</v>
      </c>
      <c r="AN12" s="10">
        <f>AM12*AK12</f>
        <v>0.21811154297704888</v>
      </c>
      <c r="AO12" s="10">
        <f>IFERROR(IF(OR($B12="D",$B12="K"),0,VLOOKUP($P12,'CY Receving Query'!$B:$S,7,FALSE)/VLOOKUP($P12,'CY Receving Query'!$B:$S,5,FALSE)),0)*$AJ12</f>
        <v>3.8235294117647061</v>
      </c>
      <c r="AP12" s="10">
        <f t="shared" si="3"/>
        <v>30.199512497306614</v>
      </c>
      <c r="AQ12" s="10">
        <f t="shared" si="4"/>
        <v>4.8191082866379729</v>
      </c>
      <c r="AR12" s="16">
        <f t="shared" si="14"/>
        <v>2.7647058823529411</v>
      </c>
      <c r="AS12" s="16">
        <f t="shared" si="5"/>
        <v>3.4845859918766879</v>
      </c>
      <c r="AT12" s="16">
        <f>AA12/'CY Defensive Stats Query'!$AH$34
*'Fanduel Export'!S12</f>
        <v>5.9130907263575478</v>
      </c>
      <c r="AU12" s="10">
        <f t="shared" si="6"/>
        <v>16.347956714047339</v>
      </c>
      <c r="AV12" s="10">
        <f t="shared" si="15"/>
        <v>13.941176470588236</v>
      </c>
      <c r="AW12" s="10">
        <f t="shared" si="7"/>
        <v>30.007352941176471</v>
      </c>
      <c r="AX12" s="10">
        <f t="shared" si="16"/>
        <v>13.583310557526788</v>
      </c>
      <c r="AY12" s="10">
        <f>AF12/'CY Defensive Stats Query'!$AF$34
*R12</f>
        <v>4.7785386149842779</v>
      </c>
      <c r="AZ12" s="10">
        <f>AY12*AV12</f>
        <v>66.618450103016116</v>
      </c>
      <c r="BA12" s="16">
        <f t="shared" si="17"/>
        <v>9.6877180846018991</v>
      </c>
      <c r="BB12" s="16">
        <f t="shared" si="8"/>
        <v>1.2581452057924545</v>
      </c>
      <c r="BC12" s="10">
        <f t="shared" si="9"/>
        <v>0.49656226126814362</v>
      </c>
      <c r="BD12" s="10">
        <f>IF(B12="QB",COUNTIFS($B$5:B12,B12,$J$5:J12,J12),1)</f>
        <v>1</v>
      </c>
      <c r="BE12" t="str">
        <f t="shared" si="10"/>
        <v>Ezekiel Elliott</v>
      </c>
      <c r="BF12">
        <f t="shared" si="11"/>
        <v>7700</v>
      </c>
      <c r="BG12" t="str">
        <f t="shared" si="12"/>
        <v>RB</v>
      </c>
      <c r="BH12" s="16">
        <f t="shared" si="18"/>
        <v>9.6877180846018991</v>
      </c>
    </row>
    <row r="13" spans="1:60" x14ac:dyDescent="0.2">
      <c r="A13" t="s">
        <v>2731</v>
      </c>
      <c r="B13" t="s">
        <v>79</v>
      </c>
      <c r="C13" t="s">
        <v>2209</v>
      </c>
      <c r="D13" t="s">
        <v>120</v>
      </c>
      <c r="E13" t="s">
        <v>2732</v>
      </c>
      <c r="F13">
        <v>21.410666910807201</v>
      </c>
      <c r="G13">
        <v>15</v>
      </c>
      <c r="H13">
        <v>7700</v>
      </c>
      <c r="I13" t="s">
        <v>2720</v>
      </c>
      <c r="J13" t="s">
        <v>102</v>
      </c>
      <c r="K13" t="s">
        <v>728</v>
      </c>
      <c r="O13" t="str">
        <f t="shared" si="0"/>
        <v>Jalen Hurts</v>
      </c>
      <c r="P13" t="str">
        <f>IFERROR(VLOOKUP(O:O,'Name Bridge'!A:B,2,FALSE),O:O)</f>
        <v>Jalen Hurts</v>
      </c>
      <c r="Q13" s="10">
        <f>VLOOKUP($K13,'CY Defensive Stats Query'!$AC:$AH,2,FALSE)</f>
        <v>7.0486111111111107</v>
      </c>
      <c r="R13" s="10">
        <f>VLOOKUP($K13,'CY Defensive Stats Query'!$AC:$AH,4,FALSE)</f>
        <v>3.0806451612903225</v>
      </c>
      <c r="S13" s="10">
        <f>VLOOKUP($K13,'CY Defensive Stats Query'!$AC:$AH,6,FALSE)</f>
        <v>9.759615384615385</v>
      </c>
      <c r="T13" s="10">
        <f>IFERROR(VLOOKUP($P13,'CYPassing Query'!$B:$AE,9,FALSE)/VLOOKUP($P13,'CYPassing Query'!$B:$AE,5,FALSE),0)</f>
        <v>28.8</v>
      </c>
      <c r="U13" s="10">
        <f>IFERROR(VLOOKUP($P13,'CYPassing Query'!$B:$AE,11,FALSE)/VLOOKUP($P13,'CYPassing Query'!$B:$AE,5,FALSE),0)</f>
        <v>209.6</v>
      </c>
      <c r="V13" s="10">
        <f>IFERROR(VLOOKUP($P13,'CYPassing Query'!$B:$AE,18,FALSE),0)</f>
        <v>7.3</v>
      </c>
      <c r="W13" s="10">
        <f>IFERROR(VLOOKUP($P13,'CYPassing Query'!$B:$AE,12,FALSE)/VLOOKUP($P13,'CYPassing Query'!$B:$AE,5,FALSE),0)</f>
        <v>1.0666666666666667</v>
      </c>
      <c r="X13" s="10">
        <f>IFERROR(IF(OR($B13="D",$B13="K"),0,VLOOKUP($P13,'CY Receving Query'!$B:$S,7,FALSE)/VLOOKUP($P13,'CY Receving Query'!$B:$S,5,FALSE)),0)*$AJ13</f>
        <v>6.6666666666666666E-2</v>
      </c>
      <c r="Y13" s="10">
        <f>IFERROR(VLOOKUP($P13,'CY Receving Query'!$B:$S,8,FALSE)/VLOOKUP($P13,'CY Receving Query'!$B:$S,5,FALSE),0)</f>
        <v>0</v>
      </c>
      <c r="Z13" s="10">
        <f>IFERROR(VLOOKUP($P13,'CY Receving Query'!$B:$S,10,FALSE)/VLOOKUP($P13,'CY Receving Query'!$B:$S,5,FALSE),0)</f>
        <v>0</v>
      </c>
      <c r="AA13" s="10">
        <f>IFERROR(VLOOKUP($P13,'CY Receving Query'!$B:$S,11,FALSE),0)</f>
        <v>0</v>
      </c>
      <c r="AB13" s="10">
        <f>IFERROR(AVERAGE(VLOOKUP($P13,'PY Receiving'!$C:$T,14,FALSE),VLOOKUP($P13,'CY Receiving'!$C:$T,14,FALSE)),0)</f>
        <v>0</v>
      </c>
      <c r="AC13" s="10">
        <f>IFERROR(VLOOKUP($P13,'CY Receving Query'!$B:$S,11,FALSE)/VLOOKUP($P13,'CY Receving Query'!$B:$S,5,FALSE),0)</f>
        <v>0</v>
      </c>
      <c r="AD13" s="10">
        <f>IFERROR(VLOOKUP($P13,'CY Rushing Query'!$B:$O,7,FALSE)/VLOOKUP($P13,'CY Rushing Query'!$B:$O,5,FALSE),0)</f>
        <v>9.2666666666666675</v>
      </c>
      <c r="AE13" s="10">
        <f>IFERROR(AVERAGE(VLOOKUP($P13,'PY Rushing'!$C:$P,8,FALSE)/VLOOKUP($P13,'PY Rushing'!$C:$P,5,FALSE),VLOOKUP($P13,'CY Rushing'!$C:$P,8,FALSE)/VLOOKUP($P13,'CY Rushing'!$C:$P,5,FALSE)),0)</f>
        <v>40.299999999999997</v>
      </c>
      <c r="AF13" s="10">
        <f>IFERROR(VLOOKUP($P13,'CY Rushing Query'!$B:$P,12,FALSE),0)</f>
        <v>5.6</v>
      </c>
      <c r="AG13" s="10">
        <f>IFERROR(VLOOKUP($P13,'CY Rushing Query'!$B:$P,9,FALSE)/VLOOKUP($P13,'CY Rushing Query'!$B:$P,5,FALSE),0)</f>
        <v>0.66666666666666663</v>
      </c>
      <c r="AH13" s="10">
        <f>VLOOKUP($J13,'Vegas Odds'!$B:$S,18,FALSE)</f>
        <v>44.85966247691475</v>
      </c>
      <c r="AI13" s="10">
        <f>VLOOKUP($J13,'Vegas Odds'!$B:$S,17,FALSE)</f>
        <v>17.740337523085255</v>
      </c>
      <c r="AJ13">
        <f t="shared" si="13"/>
        <v>1</v>
      </c>
      <c r="AK13" s="10">
        <f t="shared" si="1"/>
        <v>28.8</v>
      </c>
      <c r="AL13" s="10">
        <f t="shared" si="2"/>
        <v>44.85966247691475</v>
      </c>
      <c r="AM13" s="10">
        <f>V13/'CY Defensive Stats Query'!$AD$34*'Fanduel Export'!Q13</f>
        <v>7.3084605355814194</v>
      </c>
      <c r="AN13" s="10">
        <f t="shared" ref="AN13:AN76" si="19">AM13*AL13</f>
        <v>327.85507285203408</v>
      </c>
      <c r="AO13" s="10">
        <f>IFERROR(IF(OR($B13="D",$B13="K"),0,VLOOKUP($P13,'CY Receving Query'!$B:$S,7,FALSE)/VLOOKUP($P13,'CY Receving Query'!$B:$S,5,FALSE)),0)*$AJ13</f>
        <v>6.6666666666666666E-2</v>
      </c>
      <c r="AP13" s="10">
        <f t="shared" si="3"/>
        <v>28.54982492997199</v>
      </c>
      <c r="AQ13" s="10">
        <f t="shared" si="4"/>
        <v>0.10475175145428059</v>
      </c>
      <c r="AR13" s="16">
        <f t="shared" si="14"/>
        <v>0</v>
      </c>
      <c r="AS13" s="16">
        <f t="shared" si="5"/>
        <v>0</v>
      </c>
      <c r="AT13" s="16">
        <f>AA13/'CY Defensive Stats Query'!$AH$34
*'Fanduel Export'!S13</f>
        <v>0</v>
      </c>
      <c r="AU13" s="10">
        <f t="shared" ref="AU13:AU76" si="20">AS13*AT13</f>
        <v>0</v>
      </c>
      <c r="AV13" s="10">
        <f t="shared" si="15"/>
        <v>9.2666666666666675</v>
      </c>
      <c r="AW13" s="10">
        <f t="shared" si="7"/>
        <v>56.303606442577035</v>
      </c>
      <c r="AX13" s="10">
        <f t="shared" si="16"/>
        <v>2.9197737901257201</v>
      </c>
      <c r="AY13" s="10">
        <f>AF13/'CY Defensive Stats Query'!$AF$34
*R13</f>
        <v>4.1716133887689058</v>
      </c>
      <c r="AZ13" s="10">
        <f t="shared" ref="AZ13:AZ76" si="21">AY13*AX13</f>
        <v>12.180167435064988</v>
      </c>
      <c r="BA13" s="16">
        <f t="shared" si="17"/>
        <v>14.332219657587864</v>
      </c>
      <c r="BB13" s="16">
        <f t="shared" si="8"/>
        <v>1.8613272282581641</v>
      </c>
      <c r="BC13" s="10">
        <f t="shared" si="9"/>
        <v>8.658008658008658E-3</v>
      </c>
      <c r="BD13" s="10">
        <f>IF(B13="QB",COUNTIFS($B$5:B13,B13,$J$5:J13,J13),1)</f>
        <v>1</v>
      </c>
      <c r="BE13" t="str">
        <f t="shared" si="10"/>
        <v>Jalen Hurts</v>
      </c>
      <c r="BF13">
        <f t="shared" si="11"/>
        <v>7700</v>
      </c>
      <c r="BG13" t="str">
        <f t="shared" si="12"/>
        <v>QB</v>
      </c>
      <c r="BH13" s="16">
        <f t="shared" si="18"/>
        <v>14.332219657587864</v>
      </c>
    </row>
    <row r="14" spans="1:60" x14ac:dyDescent="0.2">
      <c r="A14" t="s">
        <v>2733</v>
      </c>
      <c r="B14" t="s">
        <v>88</v>
      </c>
      <c r="C14" t="s">
        <v>2238</v>
      </c>
      <c r="D14" t="s">
        <v>89</v>
      </c>
      <c r="E14" t="s">
        <v>2734</v>
      </c>
      <c r="F14">
        <v>13.550000190734799</v>
      </c>
      <c r="G14">
        <v>16</v>
      </c>
      <c r="H14">
        <v>7500</v>
      </c>
      <c r="I14" t="s">
        <v>2716</v>
      </c>
      <c r="J14" t="s">
        <v>81</v>
      </c>
      <c r="K14" t="s">
        <v>99</v>
      </c>
      <c r="O14" t="str">
        <f t="shared" si="0"/>
        <v>Travis Kelce</v>
      </c>
      <c r="P14" t="str">
        <f>IFERROR(VLOOKUP(O:O,'Name Bridge'!A:B,2,FALSE),O:O)</f>
        <v>Travis Kelce*</v>
      </c>
      <c r="Q14" s="10">
        <f>VLOOKUP($K14,'CY Defensive Stats Query'!$AC:$AH,2,FALSE)</f>
        <v>7.5377358490566042</v>
      </c>
      <c r="R14" s="10">
        <f>VLOOKUP($K14,'CY Defensive Stats Query'!$AC:$AH,4,FALSE)</f>
        <v>3.5810810810810811</v>
      </c>
      <c r="S14" s="10">
        <f>VLOOKUP($K14,'CY Defensive Stats Query'!$AC:$AH,6,FALSE)</f>
        <v>11.097222222222221</v>
      </c>
      <c r="T14" s="10">
        <f>IFERROR(VLOOKUP($P14,'CYPassing Query'!$B:$AE,9,FALSE)/VLOOKUP($P14,'CYPassing Query'!$B:$AE,5,FALSE),0)</f>
        <v>0</v>
      </c>
      <c r="U14" s="10">
        <f>IFERROR(VLOOKUP($P14,'CYPassing Query'!$B:$AE,11,FALSE)/VLOOKUP($P14,'CYPassing Query'!$B:$AE,5,FALSE),0)</f>
        <v>0</v>
      </c>
      <c r="V14" s="10">
        <f>IFERROR(VLOOKUP($P14,'CYPassing Query'!$B:$AE,18,FALSE),0)</f>
        <v>0</v>
      </c>
      <c r="W14" s="10">
        <f>IFERROR(VLOOKUP($P14,'CYPassing Query'!$B:$AE,12,FALSE)/VLOOKUP($P14,'CYPassing Query'!$B:$AE,5,FALSE),0)</f>
        <v>0</v>
      </c>
      <c r="X14" s="10">
        <f>IFERROR(IF(OR($B14="D",$B14="K"),0,VLOOKUP($P14,'CY Receving Query'!$B:$S,7,FALSE)/VLOOKUP($P14,'CY Receving Query'!$B:$S,5,FALSE)),0)*$AJ14</f>
        <v>8.375</v>
      </c>
      <c r="Y14" s="10">
        <f>IFERROR(VLOOKUP($P14,'CY Receving Query'!$B:$S,8,FALSE)/VLOOKUP($P14,'CY Receving Query'!$B:$S,5,FALSE),0)</f>
        <v>5.75</v>
      </c>
      <c r="Z14" s="10">
        <f>IFERROR(VLOOKUP($P14,'CY Receving Query'!$B:$S,10,FALSE)/VLOOKUP($P14,'CY Receving Query'!$B:$S,5,FALSE),0)</f>
        <v>70.3125</v>
      </c>
      <c r="AA14" s="10">
        <f>IFERROR(VLOOKUP($P14,'CY Receving Query'!$B:$S,11,FALSE),0)</f>
        <v>12.2</v>
      </c>
      <c r="AB14" s="10">
        <f>IFERROR(AVERAGE(VLOOKUP($P14,'PY Receiving'!$C:$T,14,FALSE),VLOOKUP($P14,'CY Receiving'!$C:$T,14,FALSE)),0)</f>
        <v>32</v>
      </c>
      <c r="AC14" s="10">
        <f>IFERROR(VLOOKUP($P14,'CY Receving Query'!$B:$S,11,FALSE)/VLOOKUP($P14,'CY Receving Query'!$B:$S,5,FALSE),0)</f>
        <v>0.76249999999999996</v>
      </c>
      <c r="AD14" s="10">
        <f>IFERROR(VLOOKUP($P14,'CY Rushing Query'!$B:$O,7,FALSE)/VLOOKUP($P14,'CY Rushing Query'!$B:$O,5,FALSE),0)</f>
        <v>0.125</v>
      </c>
      <c r="AE14" s="10">
        <f>IFERROR(AVERAGE(VLOOKUP($P14,'PY Rushing'!$C:$P,8,FALSE)/VLOOKUP($P14,'PY Rushing'!$C:$P,5,FALSE),VLOOKUP($P14,'CY Rushing'!$C:$P,8,FALSE)/VLOOKUP($P14,'CY Rushing'!$C:$P,5,FALSE)),0)</f>
        <v>0</v>
      </c>
      <c r="AF14" s="10">
        <f>IFERROR(VLOOKUP($P14,'CY Rushing Query'!$B:$P,12,FALSE),0)</f>
        <v>1.5</v>
      </c>
      <c r="AG14" s="10">
        <f>IFERROR(VLOOKUP($P14,'CY Rushing Query'!$B:$P,9,FALSE)/VLOOKUP($P14,'CY Rushing Query'!$B:$P,5,FALSE),0)</f>
        <v>6.25E-2</v>
      </c>
      <c r="AH14" s="10">
        <f>VLOOKUP($J14,'Vegas Odds'!$B:$S,18,FALSE)</f>
        <v>37.933262350936971</v>
      </c>
      <c r="AI14" s="10">
        <f>VLOOKUP($J14,'Vegas Odds'!$B:$S,17,FALSE)</f>
        <v>27.766737649063032</v>
      </c>
      <c r="AJ14">
        <f t="shared" si="13"/>
        <v>1</v>
      </c>
      <c r="AK14" s="10">
        <f t="shared" si="1"/>
        <v>0</v>
      </c>
      <c r="AL14" s="10">
        <f t="shared" si="2"/>
        <v>0</v>
      </c>
      <c r="AM14" s="10">
        <f>V14/'CY Defensive Stats Query'!$AD$34*'Fanduel Export'!Q14</f>
        <v>0</v>
      </c>
      <c r="AN14" s="10">
        <f t="shared" si="19"/>
        <v>0</v>
      </c>
      <c r="AO14" s="10">
        <f>IFERROR(IF(OR($B14="D",$B14="K"),0,VLOOKUP($P14,'CY Receving Query'!$B:$S,7,FALSE)/VLOOKUP($P14,'CY Receving Query'!$B:$S,5,FALSE)),0)*$AJ14</f>
        <v>8.375</v>
      </c>
      <c r="AP14" s="10">
        <f t="shared" si="3"/>
        <v>37.365221788015901</v>
      </c>
      <c r="AQ14" s="10">
        <f t="shared" si="4"/>
        <v>8.5023199913399097</v>
      </c>
      <c r="AR14" s="16">
        <f t="shared" si="14"/>
        <v>5.75</v>
      </c>
      <c r="AS14" s="16">
        <f t="shared" si="5"/>
        <v>5.8374137253975498</v>
      </c>
      <c r="AT14" s="16">
        <f>AA14/'CY Defensive Stats Query'!$AH$34
*'Fanduel Export'!S14</f>
        <v>12.876823581102773</v>
      </c>
      <c r="AU14" s="10">
        <f t="shared" si="20"/>
        <v>75.167346711852161</v>
      </c>
      <c r="AV14" s="10">
        <f t="shared" si="15"/>
        <v>0.125</v>
      </c>
      <c r="AW14" s="10">
        <f t="shared" si="7"/>
        <v>19.787381735911151</v>
      </c>
      <c r="AX14" s="10">
        <f t="shared" si="16"/>
        <v>0.17540684525400432</v>
      </c>
      <c r="AY14" s="10">
        <f>AF14/'CY Defensive Stats Query'!$AF$34
*R14</f>
        <v>1.2989120960375398</v>
      </c>
      <c r="AZ14" s="10">
        <f t="shared" si="21"/>
        <v>0.22783807302821113</v>
      </c>
      <c r="BA14" s="16">
        <f t="shared" si="17"/>
        <v>10.414518478488038</v>
      </c>
      <c r="BB14" s="16">
        <f t="shared" si="8"/>
        <v>1.3886024637984051</v>
      </c>
      <c r="BC14" s="10">
        <f t="shared" si="9"/>
        <v>1.1166666666666667</v>
      </c>
      <c r="BD14" s="10">
        <f>IF(B14="QB",COUNTIFS($B$5:B14,B14,$J$5:J14,J14),1)</f>
        <v>1</v>
      </c>
      <c r="BE14" t="str">
        <f t="shared" si="10"/>
        <v>Travis Kelce</v>
      </c>
      <c r="BF14">
        <f t="shared" si="11"/>
        <v>7500</v>
      </c>
      <c r="BG14" t="str">
        <f t="shared" si="12"/>
        <v>TE</v>
      </c>
      <c r="BH14" s="16">
        <f t="shared" si="18"/>
        <v>10.414518478488038</v>
      </c>
    </row>
    <row r="15" spans="1:60" x14ac:dyDescent="0.2">
      <c r="A15" t="s">
        <v>2735</v>
      </c>
      <c r="B15" t="s">
        <v>88</v>
      </c>
      <c r="C15" t="s">
        <v>2591</v>
      </c>
      <c r="D15" t="s">
        <v>2099</v>
      </c>
      <c r="E15" t="s">
        <v>2592</v>
      </c>
      <c r="F15">
        <v>11.9749997456868</v>
      </c>
      <c r="G15">
        <v>12</v>
      </c>
      <c r="H15">
        <v>7400</v>
      </c>
      <c r="I15" t="s">
        <v>2720</v>
      </c>
      <c r="J15" t="s">
        <v>728</v>
      </c>
      <c r="K15" t="s">
        <v>102</v>
      </c>
      <c r="O15" t="str">
        <f t="shared" si="0"/>
        <v>Rob Gronkowski</v>
      </c>
      <c r="P15" t="str">
        <f>IFERROR(VLOOKUP(O:O,'Name Bridge'!A:B,2,FALSE),O:O)</f>
        <v>Rob Gronkowski</v>
      </c>
      <c r="Q15" s="10">
        <f>VLOOKUP($K15,'CY Defensive Stats Query'!$AC:$AH,2,FALSE)</f>
        <v>5.9890109890109891</v>
      </c>
      <c r="R15" s="10">
        <f>VLOOKUP($K15,'CY Defensive Stats Query'!$AC:$AH,4,FALSE)</f>
        <v>3.8190476190476192</v>
      </c>
      <c r="S15" s="10">
        <f>VLOOKUP($K15,'CY Defensive Stats Query'!$AC:$AH,6,FALSE)</f>
        <v>8.515625</v>
      </c>
      <c r="T15" s="10">
        <f>IFERROR(VLOOKUP($P15,'CYPassing Query'!$B:$AE,9,FALSE)/VLOOKUP($P15,'CYPassing Query'!$B:$AE,5,FALSE),0)</f>
        <v>0</v>
      </c>
      <c r="U15" s="10">
        <f>IFERROR(VLOOKUP($P15,'CYPassing Query'!$B:$AE,11,FALSE)/VLOOKUP($P15,'CYPassing Query'!$B:$AE,5,FALSE),0)</f>
        <v>0</v>
      </c>
      <c r="V15" s="10">
        <f>IFERROR(VLOOKUP($P15,'CYPassing Query'!$B:$AE,18,FALSE),0)</f>
        <v>0</v>
      </c>
      <c r="W15" s="10">
        <f>IFERROR(VLOOKUP($P15,'CYPassing Query'!$B:$AE,12,FALSE)/VLOOKUP($P15,'CYPassing Query'!$B:$AE,5,FALSE),0)</f>
        <v>0</v>
      </c>
      <c r="X15" s="10">
        <f>IFERROR(IF(OR($B15="D",$B15="K"),0,VLOOKUP($P15,'CY Receving Query'!$B:$S,7,FALSE)/VLOOKUP($P15,'CY Receving Query'!$B:$S,5,FALSE)),0)*$AJ15</f>
        <v>7.416666666666667</v>
      </c>
      <c r="Y15" s="10">
        <f>IFERROR(VLOOKUP($P15,'CY Receving Query'!$B:$S,8,FALSE)/VLOOKUP($P15,'CY Receving Query'!$B:$S,5,FALSE),0)</f>
        <v>4.583333333333333</v>
      </c>
      <c r="Z15" s="10">
        <f>IFERROR(VLOOKUP($P15,'CY Receving Query'!$B:$S,10,FALSE)/VLOOKUP($P15,'CY Receving Query'!$B:$S,5,FALSE),0)</f>
        <v>66.833333333333329</v>
      </c>
      <c r="AA15" s="10">
        <f>IFERROR(VLOOKUP($P15,'CY Receving Query'!$B:$S,11,FALSE),0)</f>
        <v>14.6</v>
      </c>
      <c r="AB15" s="10">
        <f>IFERROR(AVERAGE(VLOOKUP($P15,'PY Receiving'!$C:$T,14,FALSE),VLOOKUP($P15,'CY Receiving'!$C:$T,14,FALSE)),0)</f>
        <v>34</v>
      </c>
      <c r="AC15" s="10">
        <f>IFERROR(VLOOKUP($P15,'CY Receving Query'!$B:$S,11,FALSE)/VLOOKUP($P15,'CY Receving Query'!$B:$S,5,FALSE),0)</f>
        <v>1.2166666666666666</v>
      </c>
      <c r="AD15" s="10">
        <f>IFERROR(VLOOKUP($P15,'CY Rushing Query'!$B:$O,7,FALSE)/VLOOKUP($P15,'CY Rushing Query'!$B:$O,5,FALSE),0)</f>
        <v>0</v>
      </c>
      <c r="AE15" s="10">
        <f>IFERROR(AVERAGE(VLOOKUP($P15,'PY Rushing'!$C:$P,8,FALSE)/VLOOKUP($P15,'PY Rushing'!$C:$P,5,FALSE),VLOOKUP($P15,'CY Rushing'!$C:$P,8,FALSE)/VLOOKUP($P15,'CY Rushing'!$C:$P,5,FALSE)),0)</f>
        <v>0</v>
      </c>
      <c r="AF15" s="10">
        <f>IFERROR(VLOOKUP($P15,'CY Rushing Query'!$B:$P,12,FALSE),0)</f>
        <v>0</v>
      </c>
      <c r="AG15" s="10">
        <f>IFERROR(VLOOKUP($P15,'CY Rushing Query'!$B:$P,9,FALSE)/VLOOKUP($P15,'CY Rushing Query'!$B:$P,5,FALSE),0)</f>
        <v>0</v>
      </c>
      <c r="AH15" s="10">
        <f>VLOOKUP($J15,'Vegas Odds'!$B:$S,18,FALSE)</f>
        <v>34.555825588251061</v>
      </c>
      <c r="AI15" s="10">
        <f>VLOOKUP($J15,'Vegas Odds'!$B:$S,17,FALSE)</f>
        <v>27.844174411748938</v>
      </c>
      <c r="AJ15">
        <f t="shared" si="13"/>
        <v>1</v>
      </c>
      <c r="AK15" s="10">
        <f t="shared" si="1"/>
        <v>0</v>
      </c>
      <c r="AL15" s="10">
        <f t="shared" si="2"/>
        <v>0</v>
      </c>
      <c r="AM15" s="10">
        <f>V15/'CY Defensive Stats Query'!$AD$34*'Fanduel Export'!Q15</f>
        <v>0</v>
      </c>
      <c r="AN15" s="10">
        <f t="shared" si="19"/>
        <v>0</v>
      </c>
      <c r="AO15" s="10">
        <f>IFERROR(IF(OR($B15="D",$B15="K"),0,VLOOKUP($P15,'CY Receving Query'!$B:$S,7,FALSE)/VLOOKUP($P15,'CY Receving Query'!$B:$S,5,FALSE)),0)*$AJ15</f>
        <v>7.416666666666667</v>
      </c>
      <c r="AP15" s="10">
        <f t="shared" si="3"/>
        <v>25.587418300653596</v>
      </c>
      <c r="AQ15" s="10">
        <f t="shared" si="4"/>
        <v>10.016213311093685</v>
      </c>
      <c r="AR15" s="16">
        <f t="shared" si="14"/>
        <v>4.583333333333333</v>
      </c>
      <c r="AS15" s="16">
        <f t="shared" si="5"/>
        <v>6.1897947428107036</v>
      </c>
      <c r="AT15" s="16">
        <f>AA15/'CY Defensive Stats Query'!$AH$34
*'Fanduel Export'!S15</f>
        <v>11.825078057529815</v>
      </c>
      <c r="AU15" s="10">
        <f t="shared" si="20"/>
        <v>73.194805993824261</v>
      </c>
      <c r="AV15" s="10">
        <f t="shared" si="15"/>
        <v>0</v>
      </c>
      <c r="AW15" s="10">
        <f t="shared" si="7"/>
        <v>12.022058823529411</v>
      </c>
      <c r="AX15" s="10">
        <f t="shared" si="16"/>
        <v>0</v>
      </c>
      <c r="AY15" s="10">
        <f>AF15/'CY Defensive Stats Query'!$AF$34
*R15</f>
        <v>0</v>
      </c>
      <c r="AZ15" s="10">
        <f t="shared" si="21"/>
        <v>0</v>
      </c>
      <c r="BA15" s="16">
        <f t="shared" si="17"/>
        <v>9.6111472660490929</v>
      </c>
      <c r="BB15" s="16">
        <f t="shared" si="8"/>
        <v>1.2988036846012287</v>
      </c>
      <c r="BC15" s="10">
        <f t="shared" si="9"/>
        <v>1.0022522522522523</v>
      </c>
      <c r="BD15" s="10">
        <f>IF(B15="QB",COUNTIFS($B$5:B15,B15,$J$5:J15,J15),1)</f>
        <v>1</v>
      </c>
      <c r="BE15" t="str">
        <f t="shared" si="10"/>
        <v>Rob Gronkowski</v>
      </c>
      <c r="BF15">
        <f t="shared" si="11"/>
        <v>7400</v>
      </c>
      <c r="BG15" t="str">
        <f t="shared" si="12"/>
        <v>TE</v>
      </c>
      <c r="BH15" s="16">
        <f t="shared" si="18"/>
        <v>9.6111472660490929</v>
      </c>
    </row>
    <row r="16" spans="1:60" x14ac:dyDescent="0.2">
      <c r="A16" t="s">
        <v>2736</v>
      </c>
      <c r="B16" t="s">
        <v>68</v>
      </c>
      <c r="C16" t="s">
        <v>449</v>
      </c>
      <c r="D16" t="s">
        <v>2418</v>
      </c>
      <c r="E16" t="s">
        <v>2225</v>
      </c>
      <c r="F16">
        <v>14.136363636363599</v>
      </c>
      <c r="G16">
        <v>11</v>
      </c>
      <c r="H16">
        <v>7400</v>
      </c>
      <c r="I16" t="s">
        <v>2718</v>
      </c>
      <c r="J16" t="s">
        <v>138</v>
      </c>
      <c r="K16" t="s">
        <v>729</v>
      </c>
      <c r="O16" t="str">
        <f t="shared" si="0"/>
        <v>Eli Mitchell</v>
      </c>
      <c r="P16" t="str">
        <f>IFERROR(VLOOKUP(O:O,'Name Bridge'!A:B,2,FALSE),O:O)</f>
        <v>Elijah Mitchell</v>
      </c>
      <c r="Q16" s="10">
        <f>VLOOKUP($K16,'CY Defensive Stats Query'!$AC:$AH,2,FALSE)</f>
        <v>7.6538461538461542</v>
      </c>
      <c r="R16" s="10">
        <f>VLOOKUP($K16,'CY Defensive Stats Query'!$AC:$AH,4,FALSE)</f>
        <v>4.6888888888888891</v>
      </c>
      <c r="S16" s="10">
        <f>VLOOKUP($K16,'CY Defensive Stats Query'!$AC:$AH,6,FALSE)</f>
        <v>11.306818181818182</v>
      </c>
      <c r="T16" s="10">
        <f>IFERROR(VLOOKUP($P16,'CYPassing Query'!$B:$AE,9,FALSE)/VLOOKUP($P16,'CYPassing Query'!$B:$AE,5,FALSE),0)</f>
        <v>0</v>
      </c>
      <c r="U16" s="10">
        <f>IFERROR(VLOOKUP($P16,'CYPassing Query'!$B:$AE,11,FALSE)/VLOOKUP($P16,'CYPassing Query'!$B:$AE,5,FALSE),0)</f>
        <v>0</v>
      </c>
      <c r="V16" s="10">
        <f>IFERROR(VLOOKUP($P16,'CYPassing Query'!$B:$AE,18,FALSE),0)</f>
        <v>0</v>
      </c>
      <c r="W16" s="10">
        <f>IFERROR(VLOOKUP($P16,'CYPassing Query'!$B:$AE,12,FALSE)/VLOOKUP($P16,'CYPassing Query'!$B:$AE,5,FALSE),0)</f>
        <v>0</v>
      </c>
      <c r="X16" s="10">
        <f>IFERROR(IF(OR($B16="D",$B16="K"),0,VLOOKUP($P16,'CY Receving Query'!$B:$S,7,FALSE)/VLOOKUP($P16,'CY Receving Query'!$B:$S,5,FALSE)),0)*$AJ16</f>
        <v>1.8181818181818181</v>
      </c>
      <c r="Y16" s="10">
        <f>IFERROR(VLOOKUP($P16,'CY Receving Query'!$B:$S,8,FALSE)/VLOOKUP($P16,'CY Receving Query'!$B:$S,5,FALSE),0)</f>
        <v>1.7272727272727273</v>
      </c>
      <c r="Z16" s="10">
        <f>IFERROR(VLOOKUP($P16,'CY Receving Query'!$B:$S,10,FALSE)/VLOOKUP($P16,'CY Receving Query'!$B:$S,5,FALSE),0)</f>
        <v>12.454545454545455</v>
      </c>
      <c r="AA16" s="10">
        <f>IFERROR(VLOOKUP($P16,'CY Receving Query'!$B:$S,11,FALSE),0)</f>
        <v>7.2</v>
      </c>
      <c r="AB16" s="10">
        <f>IFERROR(AVERAGE(VLOOKUP($P16,'PY Receiving'!$C:$T,14,FALSE),VLOOKUP($P16,'CY Receiving'!$C:$T,14,FALSE)),0)</f>
        <v>0</v>
      </c>
      <c r="AC16" s="10">
        <f>IFERROR(VLOOKUP($P16,'CY Receving Query'!$B:$S,11,FALSE)/VLOOKUP($P16,'CY Receving Query'!$B:$S,5,FALSE),0)</f>
        <v>0.65454545454545454</v>
      </c>
      <c r="AD16" s="10">
        <f>IFERROR(VLOOKUP($P16,'CY Rushing Query'!$B:$O,7,FALSE)/VLOOKUP($P16,'CY Rushing Query'!$B:$O,5,FALSE),0)</f>
        <v>18.818181818181817</v>
      </c>
      <c r="AE16" s="10">
        <f>IFERROR(AVERAGE(VLOOKUP($P16,'PY Rushing'!$C:$P,8,FALSE)/VLOOKUP($P16,'PY Rushing'!$C:$P,5,FALSE),VLOOKUP($P16,'CY Rushing'!$C:$P,8,FALSE)/VLOOKUP($P16,'CY Rushing'!$C:$P,5,FALSE)),0)</f>
        <v>0</v>
      </c>
      <c r="AF16" s="10">
        <f>IFERROR(VLOOKUP($P16,'CY Rushing Query'!$B:$P,12,FALSE),0)</f>
        <v>4.7</v>
      </c>
      <c r="AG16" s="10">
        <f>IFERROR(VLOOKUP($P16,'CY Rushing Query'!$B:$P,9,FALSE)/VLOOKUP($P16,'CY Rushing Query'!$B:$P,5,FALSE),0)</f>
        <v>0.45454545454545453</v>
      </c>
      <c r="AH16" s="10">
        <f>VLOOKUP($J16,'Vegas Odds'!$B:$S,18,FALSE)</f>
        <v>32.679248170039784</v>
      </c>
      <c r="AI16" s="10">
        <f>VLOOKUP($J16,'Vegas Odds'!$B:$S,17,FALSE)</f>
        <v>32.620751829960213</v>
      </c>
      <c r="AJ16">
        <f t="shared" si="13"/>
        <v>1</v>
      </c>
      <c r="AK16" s="10">
        <f t="shared" si="1"/>
        <v>0</v>
      </c>
      <c r="AL16" s="10">
        <f t="shared" si="2"/>
        <v>0</v>
      </c>
      <c r="AM16" s="10">
        <f>V16/'CY Defensive Stats Query'!$AD$34*'Fanduel Export'!Q16</f>
        <v>0</v>
      </c>
      <c r="AN16" s="10">
        <f t="shared" si="19"/>
        <v>0</v>
      </c>
      <c r="AO16" s="10">
        <f>IFERROR(IF(OR($B16="D",$B16="K"),0,VLOOKUP($P16,'CY Receving Query'!$B:$S,7,FALSE)/VLOOKUP($P16,'CY Receving Query'!$B:$S,5,FALSE)),0)*$AJ16</f>
        <v>1.8181818181818181</v>
      </c>
      <c r="AP16" s="10">
        <f t="shared" si="3"/>
        <v>29.704370384517439</v>
      </c>
      <c r="AQ16" s="10">
        <f t="shared" si="4"/>
        <v>2.0002718147356227</v>
      </c>
      <c r="AR16" s="16">
        <f t="shared" si="14"/>
        <v>1.7272727272727273</v>
      </c>
      <c r="AS16" s="16">
        <f t="shared" si="5"/>
        <v>1.9002582239988417</v>
      </c>
      <c r="AT16" s="16">
        <f>AA16/'CY Defensive Stats Query'!$AH$34
*'Fanduel Export'!S16</f>
        <v>7.7429692967101431</v>
      </c>
      <c r="AU16" s="10">
        <f t="shared" si="20"/>
        <v>14.713641084243976</v>
      </c>
      <c r="AV16" s="10">
        <f t="shared" si="15"/>
        <v>18.818181818181817</v>
      </c>
      <c r="AW16" s="10">
        <f t="shared" si="7"/>
        <v>40.335297300738475</v>
      </c>
      <c r="AX16" s="10">
        <f t="shared" si="16"/>
        <v>15.219008661446995</v>
      </c>
      <c r="AY16" s="10">
        <f>AF16/'CY Defensive Stats Query'!$AF$34
*R16</f>
        <v>5.3289561591833232</v>
      </c>
      <c r="AZ16" s="10">
        <f t="shared" si="21"/>
        <v>81.101429943082309</v>
      </c>
      <c r="BA16" s="16">
        <f t="shared" si="17"/>
        <v>10.445143466368991</v>
      </c>
      <c r="BB16" s="16">
        <f t="shared" si="8"/>
        <v>1.4115058738336475</v>
      </c>
      <c r="BC16" s="10">
        <f t="shared" si="9"/>
        <v>0.24570024570024568</v>
      </c>
      <c r="BD16" s="10">
        <f>IF(B16="QB",COUNTIFS($B$5:B16,B16,$J$5:J16,J16),1)</f>
        <v>1</v>
      </c>
      <c r="BE16" t="str">
        <f t="shared" si="10"/>
        <v>Eli Mitchell</v>
      </c>
      <c r="BF16">
        <f t="shared" si="11"/>
        <v>7400</v>
      </c>
      <c r="BG16" t="str">
        <f t="shared" si="12"/>
        <v>RB</v>
      </c>
      <c r="BH16" s="16">
        <f t="shared" si="18"/>
        <v>10.445143466368991</v>
      </c>
    </row>
    <row r="17" spans="1:60" x14ac:dyDescent="0.2">
      <c r="A17" t="s">
        <v>2737</v>
      </c>
      <c r="B17" t="s">
        <v>83</v>
      </c>
      <c r="C17" t="s">
        <v>2738</v>
      </c>
      <c r="D17" t="s">
        <v>1851</v>
      </c>
      <c r="E17" t="s">
        <v>2739</v>
      </c>
      <c r="F17">
        <v>12.081250190734799</v>
      </c>
      <c r="G17">
        <v>16</v>
      </c>
      <c r="H17">
        <v>7300</v>
      </c>
      <c r="I17" t="s">
        <v>2718</v>
      </c>
      <c r="J17" t="s">
        <v>729</v>
      </c>
      <c r="K17" t="s">
        <v>138</v>
      </c>
      <c r="O17" t="str">
        <f t="shared" si="0"/>
        <v>CeeDee Lamb</v>
      </c>
      <c r="P17" t="str">
        <f>IFERROR(VLOOKUP(O:O,'Name Bridge'!A:B,2,FALSE),O:O)</f>
        <v>CeeDee Lamb</v>
      </c>
      <c r="Q17" s="10">
        <f>VLOOKUP($K17,'CY Defensive Stats Query'!$AC:$AH,2,FALSE)</f>
        <v>6.5263157894736841</v>
      </c>
      <c r="R17" s="10">
        <f>VLOOKUP($K17,'CY Defensive Stats Query'!$AC:$AH,4,FALSE)</f>
        <v>4.7051282051282053</v>
      </c>
      <c r="S17" s="10">
        <f>VLOOKUP($K17,'CY Defensive Stats Query'!$AC:$AH,6,FALSE)</f>
        <v>10.191780821917808</v>
      </c>
      <c r="T17" s="10">
        <f>IFERROR(VLOOKUP($P17,'CYPassing Query'!$B:$AE,9,FALSE)/VLOOKUP($P17,'CYPassing Query'!$B:$AE,5,FALSE),0)</f>
        <v>0</v>
      </c>
      <c r="U17" s="10">
        <f>IFERROR(VLOOKUP($P17,'CYPassing Query'!$B:$AE,11,FALSE)/VLOOKUP($P17,'CYPassing Query'!$B:$AE,5,FALSE),0)</f>
        <v>0</v>
      </c>
      <c r="V17" s="10">
        <f>IFERROR(VLOOKUP($P17,'CYPassing Query'!$B:$AE,18,FALSE),0)</f>
        <v>0</v>
      </c>
      <c r="W17" s="10">
        <f>IFERROR(VLOOKUP($P17,'CYPassing Query'!$B:$AE,12,FALSE)/VLOOKUP($P17,'CYPassing Query'!$B:$AE,5,FALSE),0)</f>
        <v>0</v>
      </c>
      <c r="X17" s="10">
        <f>IFERROR(IF(OR($B17="D",$B17="K"),0,VLOOKUP($P17,'CY Receving Query'!$B:$S,7,FALSE)/VLOOKUP($P17,'CY Receving Query'!$B:$S,5,FALSE)),0)*$AJ17</f>
        <v>0</v>
      </c>
      <c r="Y17" s="10">
        <f>IFERROR(VLOOKUP($P17,'CY Receving Query'!$B:$S,8,FALSE)/VLOOKUP($P17,'CY Receving Query'!$B:$S,5,FALSE),0)</f>
        <v>0</v>
      </c>
      <c r="Z17" s="10">
        <f>IFERROR(VLOOKUP($P17,'CY Receving Query'!$B:$S,10,FALSE)/VLOOKUP($P17,'CY Receving Query'!$B:$S,5,FALSE),0)</f>
        <v>0</v>
      </c>
      <c r="AA17" s="10">
        <f>IFERROR(VLOOKUP($P17,'CY Receving Query'!$B:$S,11,FALSE),0)</f>
        <v>0</v>
      </c>
      <c r="AB17" s="10">
        <f>IFERROR(AVERAGE(VLOOKUP($P17,'PY Receiving'!$C:$T,14,FALSE),VLOOKUP($P17,'CY Receiving'!$C:$T,14,FALSE)),0)</f>
        <v>41.5</v>
      </c>
      <c r="AC17" s="10">
        <f>IFERROR(VLOOKUP($P17,'CY Receving Query'!$B:$S,11,FALSE)/VLOOKUP($P17,'CY Receving Query'!$B:$S,5,FALSE),0)</f>
        <v>0</v>
      </c>
      <c r="AD17" s="10">
        <f>IFERROR(VLOOKUP($P17,'CY Rushing Query'!$B:$O,7,FALSE)/VLOOKUP($P17,'CY Rushing Query'!$B:$O,5,FALSE),0)</f>
        <v>0</v>
      </c>
      <c r="AE17" s="10">
        <f>IFERROR(AVERAGE(VLOOKUP($P17,'PY Rushing'!$C:$P,8,FALSE)/VLOOKUP($P17,'PY Rushing'!$C:$P,5,FALSE),VLOOKUP($P17,'CY Rushing'!$C:$P,8,FALSE)/VLOOKUP($P17,'CY Rushing'!$C:$P,5,FALSE)),0)</f>
        <v>0</v>
      </c>
      <c r="AF17" s="10">
        <f>IFERROR(VLOOKUP($P17,'CY Rushing Query'!$B:$P,12,FALSE),0)</f>
        <v>0</v>
      </c>
      <c r="AG17" s="10">
        <f>IFERROR(VLOOKUP($P17,'CY Rushing Query'!$B:$P,9,FALSE)/VLOOKUP($P17,'CY Rushing Query'!$B:$P,5,FALSE),0)</f>
        <v>0</v>
      </c>
      <c r="AH17" s="10">
        <f>VLOOKUP($J17,'Vegas Odds'!$B:$S,18,FALSE)</f>
        <v>38.06292701199007</v>
      </c>
      <c r="AI17" s="10">
        <f>VLOOKUP($J17,'Vegas Odds'!$B:$S,17,FALSE)</f>
        <v>29.237072988009928</v>
      </c>
      <c r="AJ17">
        <f t="shared" si="13"/>
        <v>1</v>
      </c>
      <c r="AK17" s="10">
        <f t="shared" si="1"/>
        <v>0</v>
      </c>
      <c r="AL17" s="10">
        <f t="shared" si="2"/>
        <v>0</v>
      </c>
      <c r="AM17" s="10">
        <f>V17/'CY Defensive Stats Query'!$AD$34*'Fanduel Export'!Q17</f>
        <v>0</v>
      </c>
      <c r="AN17" s="10">
        <f t="shared" si="19"/>
        <v>0</v>
      </c>
      <c r="AO17" s="10">
        <f>IFERROR(IF(OR($B17="D",$B17="K"),0,VLOOKUP($P17,'CY Receving Query'!$B:$S,7,FALSE)/VLOOKUP($P17,'CY Receving Query'!$B:$S,5,FALSE)),0)*$AJ17</f>
        <v>0</v>
      </c>
      <c r="AP17" s="10">
        <f t="shared" si="3"/>
        <v>30.199512497306614</v>
      </c>
      <c r="AQ17" s="10">
        <f t="shared" si="4"/>
        <v>0</v>
      </c>
      <c r="AR17" s="16">
        <f t="shared" si="14"/>
        <v>0</v>
      </c>
      <c r="AS17" s="16">
        <f t="shared" si="5"/>
        <v>0</v>
      </c>
      <c r="AT17" s="16">
        <f>AA17/'CY Defensive Stats Query'!$AH$34
*'Fanduel Export'!S17</f>
        <v>0</v>
      </c>
      <c r="AU17" s="10">
        <f t="shared" si="20"/>
        <v>0</v>
      </c>
      <c r="AV17" s="10">
        <f t="shared" si="15"/>
        <v>0</v>
      </c>
      <c r="AW17" s="10">
        <f t="shared" si="7"/>
        <v>30.007352941176471</v>
      </c>
      <c r="AX17" s="10">
        <f t="shared" si="16"/>
        <v>0</v>
      </c>
      <c r="AY17" s="10">
        <f>AF17/'CY Defensive Stats Query'!$AF$34
*R17</f>
        <v>0</v>
      </c>
      <c r="AZ17" s="10">
        <f t="shared" si="21"/>
        <v>0</v>
      </c>
      <c r="BA17" s="16">
        <f t="shared" si="17"/>
        <v>0</v>
      </c>
      <c r="BB17" s="16">
        <f t="shared" si="8"/>
        <v>0</v>
      </c>
      <c r="BC17" s="10">
        <f t="shared" si="9"/>
        <v>0</v>
      </c>
      <c r="BD17" s="10">
        <f>IF(B17="QB",COUNTIFS($B$5:B17,B17,$J$5:J17,J17),1)</f>
        <v>1</v>
      </c>
      <c r="BE17" t="str">
        <f t="shared" si="10"/>
        <v>CeeDee Lamb</v>
      </c>
      <c r="BF17">
        <f t="shared" si="11"/>
        <v>7300</v>
      </c>
      <c r="BG17" t="str">
        <f t="shared" si="12"/>
        <v>WR</v>
      </c>
      <c r="BH17" s="16">
        <f t="shared" si="18"/>
        <v>0</v>
      </c>
    </row>
    <row r="18" spans="1:60" hidden="1" x14ac:dyDescent="0.2">
      <c r="A18" t="s">
        <v>2740</v>
      </c>
      <c r="B18" t="s">
        <v>68</v>
      </c>
      <c r="C18" t="s">
        <v>2588</v>
      </c>
      <c r="D18" t="s">
        <v>1477</v>
      </c>
      <c r="E18" t="s">
        <v>2589</v>
      </c>
      <c r="F18">
        <v>15.792857578822501</v>
      </c>
      <c r="G18">
        <v>14</v>
      </c>
      <c r="H18">
        <v>7300</v>
      </c>
      <c r="I18" t="s">
        <v>2720</v>
      </c>
      <c r="J18" t="s">
        <v>728</v>
      </c>
      <c r="K18" t="s">
        <v>102</v>
      </c>
      <c r="L18" t="s">
        <v>182</v>
      </c>
      <c r="M18" t="s">
        <v>146</v>
      </c>
      <c r="O18" t="str">
        <f t="shared" si="0"/>
        <v>Leonard Fournette</v>
      </c>
      <c r="P18" t="str">
        <f>IFERROR(VLOOKUP(O:O,'Name Bridge'!A:B,2,FALSE),O:O)</f>
        <v>Leonard Fournette</v>
      </c>
      <c r="Q18" s="10">
        <f>VLOOKUP($K18,'CY Defensive Stats Query'!$AC:$AH,2,FALSE)</f>
        <v>5.9890109890109891</v>
      </c>
      <c r="R18" s="10">
        <f>VLOOKUP($K18,'CY Defensive Stats Query'!$AC:$AH,4,FALSE)</f>
        <v>3.8190476190476192</v>
      </c>
      <c r="S18" s="10">
        <f>VLOOKUP($K18,'CY Defensive Stats Query'!$AC:$AH,6,FALSE)</f>
        <v>8.515625</v>
      </c>
      <c r="T18" s="10">
        <f>IFERROR(VLOOKUP($P18,'CYPassing Query'!$B:$AE,9,FALSE)/VLOOKUP($P18,'CYPassing Query'!$B:$AE,5,FALSE),0)</f>
        <v>7.1428571428571425E-2</v>
      </c>
      <c r="U18" s="10">
        <f>IFERROR(VLOOKUP($P18,'CYPassing Query'!$B:$AE,11,FALSE)/VLOOKUP($P18,'CYPassing Query'!$B:$AE,5,FALSE),0)</f>
        <v>0</v>
      </c>
      <c r="V18" s="10">
        <f>IFERROR(VLOOKUP($P18,'CYPassing Query'!$B:$AE,18,FALSE),0)</f>
        <v>0</v>
      </c>
      <c r="W18" s="10">
        <f>IFERROR(VLOOKUP($P18,'CYPassing Query'!$B:$AE,12,FALSE)/VLOOKUP($P18,'CYPassing Query'!$B:$AE,5,FALSE),0)</f>
        <v>0</v>
      </c>
      <c r="X18" s="10">
        <f>IFERROR(IF(OR($B18="D",$B18="K"),0,VLOOKUP($P18,'CY Receving Query'!$B:$S,7,FALSE)/VLOOKUP($P18,'CY Receving Query'!$B:$S,5,FALSE)),0)*$AJ18</f>
        <v>0</v>
      </c>
      <c r="Y18" s="10">
        <f>IFERROR(VLOOKUP($P18,'CY Receving Query'!$B:$S,8,FALSE)/VLOOKUP($P18,'CY Receving Query'!$B:$S,5,FALSE),0)</f>
        <v>4.9285714285714288</v>
      </c>
      <c r="Z18" s="10">
        <f>IFERROR(VLOOKUP($P18,'CY Receving Query'!$B:$S,10,FALSE)/VLOOKUP($P18,'CY Receving Query'!$B:$S,5,FALSE),0)</f>
        <v>32.428571428571431</v>
      </c>
      <c r="AA18" s="10">
        <f>IFERROR(VLOOKUP($P18,'CY Receving Query'!$B:$S,11,FALSE),0)</f>
        <v>6.6</v>
      </c>
      <c r="AB18" s="10">
        <f>IFERROR(AVERAGE(VLOOKUP($P18,'PY Receiving'!$C:$T,14,FALSE),VLOOKUP($P18,'CY Receiving'!$C:$T,14,FALSE)),0)</f>
        <v>15</v>
      </c>
      <c r="AC18" s="10">
        <f>IFERROR(VLOOKUP($P18,'CY Receving Query'!$B:$S,11,FALSE)/VLOOKUP($P18,'CY Receving Query'!$B:$S,5,FALSE),0)</f>
        <v>0.47142857142857142</v>
      </c>
      <c r="AD18" s="10">
        <f>IFERROR(VLOOKUP($P18,'CY Rushing Query'!$B:$O,7,FALSE)/VLOOKUP($P18,'CY Rushing Query'!$B:$O,5,FALSE),0)</f>
        <v>12.857142857142858</v>
      </c>
      <c r="AE18" s="10">
        <f>IFERROR(AVERAGE(VLOOKUP($P18,'PY Rushing'!$C:$P,8,FALSE)/VLOOKUP($P18,'PY Rushing'!$C:$P,5,FALSE),VLOOKUP($P18,'CY Rushing'!$C:$P,8,FALSE)/VLOOKUP($P18,'CY Rushing'!$C:$P,5,FALSE)),0)</f>
        <v>30.115384615384613</v>
      </c>
      <c r="AF18" s="10">
        <f>IFERROR(VLOOKUP($P18,'CY Rushing Query'!$B:$P,12,FALSE),0)</f>
        <v>4.5</v>
      </c>
      <c r="AG18" s="10">
        <f>IFERROR(VLOOKUP($P18,'CY Rushing Query'!$B:$P,9,FALSE)/VLOOKUP($P18,'CY Rushing Query'!$B:$P,5,FALSE),0)</f>
        <v>0.5714285714285714</v>
      </c>
      <c r="AH18" s="10">
        <f>VLOOKUP($J18,'Vegas Odds'!$B:$S,18,FALSE)</f>
        <v>34.555825588251061</v>
      </c>
      <c r="AI18" s="10">
        <f>VLOOKUP($J18,'Vegas Odds'!$B:$S,17,FALSE)</f>
        <v>27.844174411748938</v>
      </c>
      <c r="AJ18">
        <f t="shared" si="13"/>
        <v>0</v>
      </c>
      <c r="AK18" s="10">
        <f t="shared" si="1"/>
        <v>0</v>
      </c>
      <c r="AL18" s="10">
        <f t="shared" si="2"/>
        <v>0</v>
      </c>
      <c r="AM18" s="10">
        <f>V18/'CY Defensive Stats Query'!$AD$34*'Fanduel Export'!Q18</f>
        <v>0</v>
      </c>
      <c r="AN18" s="10">
        <f t="shared" si="19"/>
        <v>0</v>
      </c>
      <c r="AO18" s="10">
        <f>IFERROR(IF(OR($B18="D",$B18="K"),0,VLOOKUP($P18,'CY Receving Query'!$B:$S,7,FALSE)/VLOOKUP($P18,'CY Receving Query'!$B:$S,5,FALSE)),0)*$AJ18</f>
        <v>0</v>
      </c>
      <c r="AP18" s="10">
        <f t="shared" si="3"/>
        <v>25.587418300653596</v>
      </c>
      <c r="AQ18" s="10">
        <f t="shared" si="4"/>
        <v>0</v>
      </c>
      <c r="AR18" s="16">
        <f t="shared" si="14"/>
        <v>0</v>
      </c>
      <c r="AS18" s="16">
        <f t="shared" si="5"/>
        <v>0</v>
      </c>
      <c r="AT18" s="16">
        <f>AA18/'CY Defensive Stats Query'!$AH$34
*'Fanduel Export'!S18</f>
        <v>5.3455832314860805</v>
      </c>
      <c r="AU18" s="10">
        <f t="shared" si="20"/>
        <v>0</v>
      </c>
      <c r="AV18" s="10">
        <f t="shared" si="15"/>
        <v>0</v>
      </c>
      <c r="AW18" s="10">
        <f t="shared" si="7"/>
        <v>12.022058823529411</v>
      </c>
      <c r="AX18" s="10">
        <f t="shared" si="16"/>
        <v>0</v>
      </c>
      <c r="AY18" s="10">
        <f>AF18/'CY Defensive Stats Query'!$AF$34
*R18</f>
        <v>4.1556784407350893</v>
      </c>
      <c r="AZ18" s="10">
        <f t="shared" si="21"/>
        <v>0</v>
      </c>
      <c r="BA18" s="16">
        <f t="shared" si="17"/>
        <v>0</v>
      </c>
      <c r="BB18" s="16">
        <f t="shared" si="8"/>
        <v>0</v>
      </c>
      <c r="BC18" s="10">
        <f t="shared" si="9"/>
        <v>0</v>
      </c>
      <c r="BD18" s="10">
        <f>IF(B18="QB",COUNTIFS($B$5:B18,B18,$J$5:J18,J18),1)</f>
        <v>1</v>
      </c>
      <c r="BE18" t="str">
        <f t="shared" si="10"/>
        <v>Leonard Fournette</v>
      </c>
      <c r="BF18">
        <f t="shared" si="11"/>
        <v>7300</v>
      </c>
      <c r="BG18" t="str">
        <f t="shared" si="12"/>
        <v>RB</v>
      </c>
      <c r="BH18" s="16">
        <f t="shared" si="18"/>
        <v>0</v>
      </c>
    </row>
    <row r="19" spans="1:60" x14ac:dyDescent="0.2">
      <c r="A19" t="s">
        <v>2741</v>
      </c>
      <c r="B19" t="s">
        <v>83</v>
      </c>
      <c r="C19" t="s">
        <v>2413</v>
      </c>
      <c r="D19" t="s">
        <v>162</v>
      </c>
      <c r="E19" t="s">
        <v>163</v>
      </c>
      <c r="F19">
        <v>13.806249618530201</v>
      </c>
      <c r="G19">
        <v>16</v>
      </c>
      <c r="H19">
        <v>7200</v>
      </c>
      <c r="I19" t="s">
        <v>2716</v>
      </c>
      <c r="J19" t="s">
        <v>99</v>
      </c>
      <c r="K19" t="s">
        <v>81</v>
      </c>
      <c r="O19" t="str">
        <f t="shared" si="0"/>
        <v>Diontae Johnson</v>
      </c>
      <c r="P19" t="str">
        <f>IFERROR(VLOOKUP(O:O,'Name Bridge'!A:B,2,FALSE),O:O)</f>
        <v>Diontae Johnson</v>
      </c>
      <c r="Q19" s="10">
        <f>VLOOKUP($K19,'CY Defensive Stats Query'!$AC:$AH,2,FALSE)</f>
        <v>8.7934782608695645</v>
      </c>
      <c r="R19" s="10">
        <f>VLOOKUP($K19,'CY Defensive Stats Query'!$AC:$AH,4,FALSE)</f>
        <v>5.404494382022472</v>
      </c>
      <c r="S19" s="10">
        <f>VLOOKUP($K19,'CY Defensive Stats Query'!$AC:$AH,6,FALSE)</f>
        <v>12.446153846153846</v>
      </c>
      <c r="T19" s="10">
        <f>IFERROR(VLOOKUP($P19,'CYPassing Query'!$B:$AE,9,FALSE)/VLOOKUP($P19,'CYPassing Query'!$B:$AE,5,FALSE),0)</f>
        <v>0</v>
      </c>
      <c r="U19" s="10">
        <f>IFERROR(VLOOKUP($P19,'CYPassing Query'!$B:$AE,11,FALSE)/VLOOKUP($P19,'CYPassing Query'!$B:$AE,5,FALSE),0)</f>
        <v>0</v>
      </c>
      <c r="V19" s="10">
        <f>IFERROR(VLOOKUP($P19,'CYPassing Query'!$B:$AE,18,FALSE),0)</f>
        <v>0</v>
      </c>
      <c r="W19" s="10">
        <f>IFERROR(VLOOKUP($P19,'CYPassing Query'!$B:$AE,12,FALSE)/VLOOKUP($P19,'CYPassing Query'!$B:$AE,5,FALSE),0)</f>
        <v>0</v>
      </c>
      <c r="X19" s="10">
        <f>IFERROR(IF(OR($B19="D",$B19="K"),0,VLOOKUP($P19,'CY Receving Query'!$B:$S,7,FALSE)/VLOOKUP($P19,'CY Receving Query'!$B:$S,5,FALSE)),0)*$AJ19</f>
        <v>0</v>
      </c>
      <c r="Y19" s="10">
        <f>IFERROR(VLOOKUP($P19,'CY Receving Query'!$B:$S,8,FALSE)/VLOOKUP($P19,'CY Receving Query'!$B:$S,5,FALSE),0)</f>
        <v>0</v>
      </c>
      <c r="Z19" s="10">
        <f>IFERROR(VLOOKUP($P19,'CY Receving Query'!$B:$S,10,FALSE)/VLOOKUP($P19,'CY Receving Query'!$B:$S,5,FALSE),0)</f>
        <v>0</v>
      </c>
      <c r="AA19" s="10">
        <f>IFERROR(VLOOKUP($P19,'CY Receving Query'!$B:$S,11,FALSE),0)</f>
        <v>0</v>
      </c>
      <c r="AB19" s="10">
        <f>IFERROR(AVERAGE(VLOOKUP($P19,'PY Receiving'!$C:$T,14,FALSE),VLOOKUP($P19,'CY Receiving'!$C:$T,14,FALSE)),0)</f>
        <v>30.5</v>
      </c>
      <c r="AC19" s="10">
        <f>IFERROR(VLOOKUP($P19,'CY Receving Query'!$B:$S,11,FALSE)/VLOOKUP($P19,'CY Receving Query'!$B:$S,5,FALSE),0)</f>
        <v>0</v>
      </c>
      <c r="AD19" s="10">
        <f>IFERROR(VLOOKUP($P19,'CY Rushing Query'!$B:$O,7,FALSE)/VLOOKUP($P19,'CY Rushing Query'!$B:$O,5,FALSE),0)</f>
        <v>0</v>
      </c>
      <c r="AE19" s="10">
        <f>IFERROR(AVERAGE(VLOOKUP($P19,'PY Rushing'!$C:$P,8,FALSE)/VLOOKUP($P19,'PY Rushing'!$C:$P,5,FALSE),VLOOKUP($P19,'CY Rushing'!$C:$P,8,FALSE)/VLOOKUP($P19,'CY Rushing'!$C:$P,5,FALSE)),0)</f>
        <v>0</v>
      </c>
      <c r="AF19" s="10">
        <f>IFERROR(VLOOKUP($P19,'CY Rushing Query'!$B:$P,12,FALSE),0)</f>
        <v>0</v>
      </c>
      <c r="AG19" s="10">
        <f>IFERROR(VLOOKUP($P19,'CY Rushing Query'!$B:$P,9,FALSE)/VLOOKUP($P19,'CY Rushing Query'!$B:$P,5,FALSE),0)</f>
        <v>0</v>
      </c>
      <c r="AH19" s="10">
        <f>VLOOKUP($J19,'Vegas Odds'!$B:$S,18,FALSE)</f>
        <v>40.088640957860363</v>
      </c>
      <c r="AI19" s="10">
        <f>VLOOKUP($J19,'Vegas Odds'!$B:$S,17,FALSE)</f>
        <v>25.511359042139631</v>
      </c>
      <c r="AJ19">
        <f t="shared" si="13"/>
        <v>1</v>
      </c>
      <c r="AK19" s="10">
        <f t="shared" si="1"/>
        <v>0</v>
      </c>
      <c r="AL19" s="10">
        <f t="shared" si="2"/>
        <v>0</v>
      </c>
      <c r="AM19" s="10">
        <f>V19/'CY Defensive Stats Query'!$AD$34*'Fanduel Export'!Q19</f>
        <v>0</v>
      </c>
      <c r="AN19" s="10">
        <f t="shared" si="19"/>
        <v>0</v>
      </c>
      <c r="AO19" s="10">
        <f>IFERROR(IF(OR($B19="D",$B19="K"),0,VLOOKUP($P19,'CY Receving Query'!$B:$S,7,FALSE)/VLOOKUP($P19,'CY Receving Query'!$B:$S,5,FALSE)),0)*$AJ19</f>
        <v>0</v>
      </c>
      <c r="AP19" s="10">
        <f t="shared" si="3"/>
        <v>32.289950980392156</v>
      </c>
      <c r="AQ19" s="10">
        <f t="shared" si="4"/>
        <v>0</v>
      </c>
      <c r="AR19" s="16">
        <f>Y19*AJ19</f>
        <v>0</v>
      </c>
      <c r="AS19" s="16">
        <f t="shared" si="5"/>
        <v>0</v>
      </c>
      <c r="AT19" s="16">
        <f>AA19/'CY Defensive Stats Query'!$AH$34
*'Fanduel Export'!S19</f>
        <v>0</v>
      </c>
      <c r="AU19" s="10">
        <f t="shared" si="20"/>
        <v>0</v>
      </c>
      <c r="AV19" s="10">
        <f t="shared" si="15"/>
        <v>0</v>
      </c>
      <c r="AW19" s="10">
        <f t="shared" si="7"/>
        <v>7.4240196078431371</v>
      </c>
      <c r="AX19" s="10">
        <f t="shared" si="16"/>
        <v>0</v>
      </c>
      <c r="AY19" s="10">
        <f>AF19/'CY Defensive Stats Query'!$AF$34
*R19</f>
        <v>0</v>
      </c>
      <c r="AZ19" s="10">
        <f t="shared" si="21"/>
        <v>0</v>
      </c>
      <c r="BA19" s="16">
        <f t="shared" si="17"/>
        <v>0</v>
      </c>
      <c r="BB19" s="16">
        <f t="shared" si="8"/>
        <v>0</v>
      </c>
      <c r="BC19" s="10">
        <f t="shared" si="9"/>
        <v>0</v>
      </c>
      <c r="BD19" s="10">
        <f>IF(B19="QB",COUNTIFS($B$5:B19,B19,$J$5:J19,J19),1)</f>
        <v>1</v>
      </c>
      <c r="BE19" t="str">
        <f t="shared" si="10"/>
        <v>Diontae Johnson</v>
      </c>
      <c r="BF19">
        <f t="shared" si="11"/>
        <v>7200</v>
      </c>
      <c r="BG19" t="str">
        <f t="shared" si="12"/>
        <v>WR</v>
      </c>
      <c r="BH19" s="16">
        <f t="shared" si="18"/>
        <v>0</v>
      </c>
    </row>
    <row r="20" spans="1:60" x14ac:dyDescent="0.2">
      <c r="A20" t="s">
        <v>2742</v>
      </c>
      <c r="B20" t="s">
        <v>83</v>
      </c>
      <c r="C20" t="s">
        <v>2686</v>
      </c>
      <c r="D20" t="s">
        <v>1895</v>
      </c>
      <c r="E20" t="s">
        <v>2208</v>
      </c>
      <c r="F20">
        <v>11.233333333333301</v>
      </c>
      <c r="G20">
        <v>15</v>
      </c>
      <c r="H20">
        <v>7100</v>
      </c>
      <c r="I20" t="s">
        <v>2718</v>
      </c>
      <c r="J20" t="s">
        <v>729</v>
      </c>
      <c r="K20" t="s">
        <v>138</v>
      </c>
      <c r="O20" t="str">
        <f t="shared" si="0"/>
        <v>Amari Cooper</v>
      </c>
      <c r="P20" t="str">
        <f>IFERROR(VLOOKUP(O:O,'Name Bridge'!A:B,2,FALSE),O:O)</f>
        <v>Amari Cooper</v>
      </c>
      <c r="Q20" s="10">
        <f>VLOOKUP($K20,'CY Defensive Stats Query'!$AC:$AH,2,FALSE)</f>
        <v>6.5263157894736841</v>
      </c>
      <c r="R20" s="10">
        <f>VLOOKUP($K20,'CY Defensive Stats Query'!$AC:$AH,4,FALSE)</f>
        <v>4.7051282051282053</v>
      </c>
      <c r="S20" s="10">
        <f>VLOOKUP($K20,'CY Defensive Stats Query'!$AC:$AH,6,FALSE)</f>
        <v>10.191780821917808</v>
      </c>
      <c r="T20" s="10">
        <f>IFERROR(VLOOKUP($P20,'CYPassing Query'!$B:$AE,9,FALSE)/VLOOKUP($P20,'CYPassing Query'!$B:$AE,5,FALSE),0)</f>
        <v>0</v>
      </c>
      <c r="U20" s="10">
        <f>IFERROR(VLOOKUP($P20,'CYPassing Query'!$B:$AE,11,FALSE)/VLOOKUP($P20,'CYPassing Query'!$B:$AE,5,FALSE),0)</f>
        <v>0</v>
      </c>
      <c r="V20" s="10">
        <f>IFERROR(VLOOKUP($P20,'CYPassing Query'!$B:$AE,18,FALSE),0)</f>
        <v>0</v>
      </c>
      <c r="W20" s="10">
        <f>IFERROR(VLOOKUP($P20,'CYPassing Query'!$B:$AE,12,FALSE)/VLOOKUP($P20,'CYPassing Query'!$B:$AE,5,FALSE),0)</f>
        <v>0</v>
      </c>
      <c r="X20" s="10">
        <f>IFERROR(IF(OR($B20="D",$B20="K"),0,VLOOKUP($P20,'CY Receving Query'!$B:$S,7,FALSE)/VLOOKUP($P20,'CY Receving Query'!$B:$S,5,FALSE)),0)*$AJ20</f>
        <v>6.9333333333333336</v>
      </c>
      <c r="Y20" s="10">
        <f>IFERROR(VLOOKUP($P20,'CY Receving Query'!$B:$S,8,FALSE)/VLOOKUP($P20,'CY Receving Query'!$B:$S,5,FALSE),0)</f>
        <v>4.5333333333333332</v>
      </c>
      <c r="Z20" s="10">
        <f>IFERROR(VLOOKUP($P20,'CY Receving Query'!$B:$S,10,FALSE)/VLOOKUP($P20,'CY Receving Query'!$B:$S,5,FALSE),0)</f>
        <v>57.666666666666664</v>
      </c>
      <c r="AA20" s="10">
        <f>IFERROR(VLOOKUP($P20,'CY Receving Query'!$B:$S,11,FALSE),0)</f>
        <v>12.7</v>
      </c>
      <c r="AB20" s="10">
        <f>IFERROR(AVERAGE(VLOOKUP($P20,'PY Receiving'!$C:$T,14,FALSE),VLOOKUP($P20,'CY Receiving'!$C:$T,14,FALSE)),0)</f>
        <v>48.5</v>
      </c>
      <c r="AC20" s="10">
        <f>IFERROR(VLOOKUP($P20,'CY Receving Query'!$B:$S,11,FALSE)/VLOOKUP($P20,'CY Receving Query'!$B:$S,5,FALSE),0)</f>
        <v>0.84666666666666657</v>
      </c>
      <c r="AD20" s="10">
        <f>IFERROR(VLOOKUP($P20,'CY Rushing Query'!$B:$O,7,FALSE)/VLOOKUP($P20,'CY Rushing Query'!$B:$O,5,FALSE),0)</f>
        <v>0</v>
      </c>
      <c r="AE20" s="10">
        <f>IFERROR(AVERAGE(VLOOKUP($P20,'PY Rushing'!$C:$P,8,FALSE)/VLOOKUP($P20,'PY Rushing'!$C:$P,5,FALSE),VLOOKUP($P20,'CY Rushing'!$C:$P,8,FALSE)/VLOOKUP($P20,'CY Rushing'!$C:$P,5,FALSE)),0)</f>
        <v>0</v>
      </c>
      <c r="AF20" s="10">
        <f>IFERROR(VLOOKUP($P20,'CY Rushing Query'!$B:$P,12,FALSE),0)</f>
        <v>0</v>
      </c>
      <c r="AG20" s="10">
        <f>IFERROR(VLOOKUP($P20,'CY Rushing Query'!$B:$P,9,FALSE)/VLOOKUP($P20,'CY Rushing Query'!$B:$P,5,FALSE),0)</f>
        <v>0</v>
      </c>
      <c r="AH20" s="10">
        <f>VLOOKUP($J20,'Vegas Odds'!$B:$S,18,FALSE)</f>
        <v>38.06292701199007</v>
      </c>
      <c r="AI20" s="10">
        <f>VLOOKUP($J20,'Vegas Odds'!$B:$S,17,FALSE)</f>
        <v>29.237072988009928</v>
      </c>
      <c r="AJ20">
        <f t="shared" si="13"/>
        <v>1</v>
      </c>
      <c r="AK20" s="10">
        <f t="shared" si="1"/>
        <v>0</v>
      </c>
      <c r="AL20" s="10">
        <f t="shared" si="2"/>
        <v>0</v>
      </c>
      <c r="AM20" s="10">
        <f>V20/'CY Defensive Stats Query'!$AD$34*'Fanduel Export'!Q20</f>
        <v>0</v>
      </c>
      <c r="AN20" s="10">
        <f t="shared" si="19"/>
        <v>0</v>
      </c>
      <c r="AO20" s="10">
        <f>IFERROR(IF(OR($B20="D",$B20="K"),0,VLOOKUP($P20,'CY Receving Query'!$B:$S,7,FALSE)/VLOOKUP($P20,'CY Receving Query'!$B:$S,5,FALSE)),0)*$AJ20</f>
        <v>6.9333333333333336</v>
      </c>
      <c r="AP20" s="10">
        <f t="shared" si="3"/>
        <v>30.199512497306614</v>
      </c>
      <c r="AQ20" s="10">
        <f t="shared" si="4"/>
        <v>8.7386496931035236</v>
      </c>
      <c r="AR20" s="16">
        <f t="shared" si="14"/>
        <v>4.5333333333333332</v>
      </c>
      <c r="AS20" s="16">
        <f t="shared" si="5"/>
        <v>5.7137324916446115</v>
      </c>
      <c r="AT20" s="16">
        <f>AA20/'CY Defensive Stats Query'!$AH$34
*'Fanduel Export'!S20</f>
        <v>12.310861020449321</v>
      </c>
      <c r="AU20" s="10">
        <f t="shared" si="20"/>
        <v>70.340966612662427</v>
      </c>
      <c r="AV20" s="10">
        <f t="shared" si="15"/>
        <v>0</v>
      </c>
      <c r="AW20" s="10">
        <f t="shared" si="7"/>
        <v>30.007352941176471</v>
      </c>
      <c r="AX20" s="10">
        <f t="shared" si="16"/>
        <v>0</v>
      </c>
      <c r="AY20" s="10">
        <f>AF20/'CY Defensive Stats Query'!$AF$34
*R20</f>
        <v>0</v>
      </c>
      <c r="AZ20" s="10">
        <f t="shared" si="21"/>
        <v>0</v>
      </c>
      <c r="BA20" s="16">
        <f t="shared" si="17"/>
        <v>9.3007633279329092</v>
      </c>
      <c r="BB20" s="16">
        <f t="shared" si="8"/>
        <v>1.3099666659060436</v>
      </c>
      <c r="BC20" s="10">
        <f t="shared" si="9"/>
        <v>0.97652582159624424</v>
      </c>
      <c r="BD20" s="10">
        <f>IF(B20="QB",COUNTIFS($B$5:B20,B20,$J$5:J20,J20),1)</f>
        <v>1</v>
      </c>
      <c r="BE20" t="str">
        <f t="shared" si="10"/>
        <v>Amari Cooper</v>
      </c>
      <c r="BF20">
        <f t="shared" si="11"/>
        <v>7100</v>
      </c>
      <c r="BG20" t="str">
        <f t="shared" si="12"/>
        <v>WR</v>
      </c>
      <c r="BH20" s="16">
        <f t="shared" si="18"/>
        <v>9.3007633279329092</v>
      </c>
    </row>
    <row r="21" spans="1:60" x14ac:dyDescent="0.2">
      <c r="A21" t="s">
        <v>2743</v>
      </c>
      <c r="B21" t="s">
        <v>79</v>
      </c>
      <c r="C21" t="s">
        <v>2214</v>
      </c>
      <c r="D21" t="s">
        <v>148</v>
      </c>
      <c r="E21" t="s">
        <v>2668</v>
      </c>
      <c r="F21">
        <v>15.966666666666599</v>
      </c>
      <c r="G21">
        <v>15</v>
      </c>
      <c r="H21">
        <v>6800</v>
      </c>
      <c r="I21" t="s">
        <v>2718</v>
      </c>
      <c r="J21" t="s">
        <v>138</v>
      </c>
      <c r="K21" t="s">
        <v>729</v>
      </c>
      <c r="O21" t="str">
        <f>D21</f>
        <v>Jimmy Garoppolo</v>
      </c>
      <c r="P21" t="str">
        <f>IFERROR(VLOOKUP(O:O,'Name Bridge'!A:B,2,FALSE),O:O)</f>
        <v>Jimmy Garoppolo</v>
      </c>
      <c r="Q21" s="10">
        <f>VLOOKUP($K21,'CY Defensive Stats Query'!$AC:$AH,2,FALSE)</f>
        <v>7.6538461538461542</v>
      </c>
      <c r="R21" s="10">
        <f>VLOOKUP($K21,'CY Defensive Stats Query'!$AC:$AH,4,FALSE)</f>
        <v>4.6888888888888891</v>
      </c>
      <c r="S21" s="10">
        <f>VLOOKUP($K21,'CY Defensive Stats Query'!$AC:$AH,6,FALSE)</f>
        <v>11.306818181818182</v>
      </c>
      <c r="T21" s="10">
        <f>IFERROR(VLOOKUP($P21,'CYPassing Query'!$B:$AE,9,FALSE)/VLOOKUP($P21,'CYPassing Query'!$B:$AE,5,FALSE),0)</f>
        <v>29.4</v>
      </c>
      <c r="U21" s="10">
        <f>IFERROR(VLOOKUP($P21,'CYPassing Query'!$B:$AE,11,FALSE)/VLOOKUP($P21,'CYPassing Query'!$B:$AE,5,FALSE),0)</f>
        <v>254</v>
      </c>
      <c r="V21" s="10">
        <f>IFERROR(VLOOKUP($P21,'CYPassing Query'!$B:$AE,18,FALSE),0)</f>
        <v>8.6</v>
      </c>
      <c r="W21" s="10">
        <f>IFERROR(VLOOKUP($P21,'CYPassing Query'!$B:$AE,12,FALSE)/VLOOKUP($P21,'CYPassing Query'!$B:$AE,5,FALSE),0)</f>
        <v>1.3333333333333333</v>
      </c>
      <c r="X21" s="10">
        <f>IFERROR(IF(OR($B21="D",$B21="K"),0,VLOOKUP($P21,'CY Receving Query'!$B:$S,7,FALSE)/VLOOKUP($P21,'CY Receving Query'!$B:$S,5,FALSE)),0)*$AJ21</f>
        <v>0</v>
      </c>
      <c r="Y21" s="10">
        <f>IFERROR(VLOOKUP($P21,'CY Receving Query'!$B:$S,8,FALSE)/VLOOKUP($P21,'CY Receving Query'!$B:$S,5,FALSE),0)</f>
        <v>0</v>
      </c>
      <c r="Z21" s="10">
        <f>IFERROR(VLOOKUP($P21,'CY Receving Query'!$B:$S,10,FALSE)/VLOOKUP($P21,'CY Receving Query'!$B:$S,5,FALSE),0)</f>
        <v>0</v>
      </c>
      <c r="AA21" s="10">
        <f>IFERROR(VLOOKUP($P21,'CY Receving Query'!$B:$S,11,FALSE),0)</f>
        <v>0</v>
      </c>
      <c r="AB21" s="10">
        <f>IFERROR(AVERAGE(VLOOKUP($P21,'PY Receiving'!$C:$T,14,FALSE),VLOOKUP($P21,'CY Receiving'!$C:$T,14,FALSE)),0)</f>
        <v>0</v>
      </c>
      <c r="AC21" s="10">
        <f>IFERROR(VLOOKUP($P21,'CY Receving Query'!$B:$S,11,FALSE)/VLOOKUP($P21,'CY Receving Query'!$B:$S,5,FALSE),0)</f>
        <v>0</v>
      </c>
      <c r="AD21" s="10">
        <f>IFERROR(VLOOKUP($P21,'CY Rushing Query'!$B:$O,7,FALSE)/VLOOKUP($P21,'CY Rushing Query'!$B:$O,5,FALSE),0)</f>
        <v>2.5333333333333332</v>
      </c>
      <c r="AE21" s="10">
        <f>IFERROR(AVERAGE(VLOOKUP($P21,'PY Rushing'!$C:$P,8,FALSE)/VLOOKUP($P21,'PY Rushing'!$C:$P,5,FALSE),VLOOKUP($P21,'CY Rushing'!$C:$P,8,FALSE)/VLOOKUP($P21,'CY Rushing'!$C:$P,5,FALSE)),0)</f>
        <v>3.0833333333333335</v>
      </c>
      <c r="AF21" s="10">
        <f>IFERROR(VLOOKUP($P21,'CY Rushing Query'!$B:$P,12,FALSE),0)</f>
        <v>1.3</v>
      </c>
      <c r="AG21" s="10">
        <f>IFERROR(VLOOKUP($P21,'CY Rushing Query'!$B:$P,9,FALSE)/VLOOKUP($P21,'CY Rushing Query'!$B:$P,5,FALSE),0)</f>
        <v>0.2</v>
      </c>
      <c r="AH21" s="10">
        <f>VLOOKUP($J21,'Vegas Odds'!$B:$S,18,FALSE)</f>
        <v>32.679248170039784</v>
      </c>
      <c r="AI21" s="10">
        <f>VLOOKUP($J21,'Vegas Odds'!$B:$S,17,FALSE)</f>
        <v>32.620751829960213</v>
      </c>
      <c r="AJ21">
        <f t="shared" si="13"/>
        <v>1</v>
      </c>
      <c r="AK21" s="10">
        <f t="shared" si="1"/>
        <v>29.4</v>
      </c>
      <c r="AL21" s="10">
        <f t="shared" si="2"/>
        <v>32.679248170039784</v>
      </c>
      <c r="AM21" s="10">
        <f>V21/'CY Defensive Stats Query'!$AD$34*'Fanduel Export'!Q21</f>
        <v>9.3492694302301196</v>
      </c>
      <c r="AN21" s="10">
        <f t="shared" si="19"/>
        <v>305.52709591905653</v>
      </c>
      <c r="AO21" s="10">
        <f>IFERROR(IF(OR($B21="D",$B21="K"),0,VLOOKUP($P21,'CY Receving Query'!$B:$S,7,FALSE)/VLOOKUP($P21,'CY Receving Query'!$B:$S,5,FALSE)),0)*$AJ21</f>
        <v>0</v>
      </c>
      <c r="AP21" s="10">
        <f t="shared" si="3"/>
        <v>29.704370384517439</v>
      </c>
      <c r="AQ21" s="10">
        <f t="shared" si="4"/>
        <v>0</v>
      </c>
      <c r="AR21" s="16">
        <f t="shared" si="14"/>
        <v>0</v>
      </c>
      <c r="AS21" s="16">
        <f t="shared" si="5"/>
        <v>0</v>
      </c>
      <c r="AT21" s="16">
        <f>AA21/'CY Defensive Stats Query'!$AH$34
*'Fanduel Export'!S21</f>
        <v>0</v>
      </c>
      <c r="AU21" s="10">
        <f t="shared" si="20"/>
        <v>0</v>
      </c>
      <c r="AV21" s="10">
        <f t="shared" si="15"/>
        <v>2.5333333333333332</v>
      </c>
      <c r="AW21" s="10">
        <f t="shared" si="7"/>
        <v>40.335297300738475</v>
      </c>
      <c r="AX21" s="10">
        <f t="shared" si="16"/>
        <v>2.0488069631191128</v>
      </c>
      <c r="AY21" s="10">
        <f>AF21/'CY Defensive Stats Query'!$AF$34
*R21</f>
        <v>1.4739665972209195</v>
      </c>
      <c r="AZ21" s="10">
        <f t="shared" si="21"/>
        <v>3.0198730277912045</v>
      </c>
      <c r="BA21" s="16">
        <f t="shared" si="17"/>
        <v>12.523071139541383</v>
      </c>
      <c r="BB21" s="16">
        <f t="shared" si="8"/>
        <v>1.8416281087560857</v>
      </c>
      <c r="BC21" s="10">
        <f t="shared" si="9"/>
        <v>0</v>
      </c>
      <c r="BD21" s="10">
        <f>IF(B21="QB",COUNTIFS($B$5:B21,B21,$J$5:J21,J21),1)</f>
        <v>1</v>
      </c>
      <c r="BE21" t="str">
        <f t="shared" si="10"/>
        <v>Jimmy Garoppolo</v>
      </c>
      <c r="BF21">
        <f t="shared" si="11"/>
        <v>6800</v>
      </c>
      <c r="BG21" t="str">
        <f t="shared" si="12"/>
        <v>QB</v>
      </c>
      <c r="BH21" s="16">
        <f t="shared" si="18"/>
        <v>12.523071139541383</v>
      </c>
    </row>
    <row r="22" spans="1:60" x14ac:dyDescent="0.2">
      <c r="A22" t="s">
        <v>2744</v>
      </c>
      <c r="B22" t="s">
        <v>68</v>
      </c>
      <c r="C22" t="s">
        <v>2745</v>
      </c>
      <c r="D22" t="s">
        <v>306</v>
      </c>
      <c r="E22" t="s">
        <v>248</v>
      </c>
      <c r="F22">
        <v>10.147058823529401</v>
      </c>
      <c r="G22">
        <v>17</v>
      </c>
      <c r="H22">
        <v>6600</v>
      </c>
      <c r="I22" t="s">
        <v>2716</v>
      </c>
      <c r="J22" t="s">
        <v>81</v>
      </c>
      <c r="K22" t="s">
        <v>99</v>
      </c>
      <c r="L22" t="s">
        <v>94</v>
      </c>
      <c r="M22" t="s">
        <v>2388</v>
      </c>
      <c r="O22" t="str">
        <f t="shared" si="0"/>
        <v>Darrel Williams</v>
      </c>
      <c r="P22" t="str">
        <f>IFERROR(VLOOKUP(O:O,'Name Bridge'!A:B,2,FALSE),O:O)</f>
        <v>Darrel Williams</v>
      </c>
      <c r="Q22" s="10">
        <f>VLOOKUP($K22,'CY Defensive Stats Query'!$AC:$AH,2,FALSE)</f>
        <v>7.5377358490566042</v>
      </c>
      <c r="R22" s="10">
        <f>VLOOKUP($K22,'CY Defensive Stats Query'!$AC:$AH,4,FALSE)</f>
        <v>3.5810810810810811</v>
      </c>
      <c r="S22" s="10">
        <f>VLOOKUP($K22,'CY Defensive Stats Query'!$AC:$AH,6,FALSE)</f>
        <v>11.097222222222221</v>
      </c>
      <c r="T22" s="10">
        <f>IFERROR(VLOOKUP($P22,'CYPassing Query'!$B:$AE,9,FALSE)/VLOOKUP($P22,'CYPassing Query'!$B:$AE,5,FALSE),0)</f>
        <v>0</v>
      </c>
      <c r="U22" s="10">
        <f>IFERROR(VLOOKUP($P22,'CYPassing Query'!$B:$AE,11,FALSE)/VLOOKUP($P22,'CYPassing Query'!$B:$AE,5,FALSE),0)</f>
        <v>0</v>
      </c>
      <c r="V22" s="10">
        <f>IFERROR(VLOOKUP($P22,'CYPassing Query'!$B:$AE,18,FALSE),0)</f>
        <v>0</v>
      </c>
      <c r="W22" s="10">
        <f>IFERROR(VLOOKUP($P22,'CYPassing Query'!$B:$AE,12,FALSE)/VLOOKUP($P22,'CYPassing Query'!$B:$AE,5,FALSE),0)</f>
        <v>0</v>
      </c>
      <c r="X22" s="10">
        <f>IFERROR(IF(OR($B22="D",$B22="K"),0,VLOOKUP($P22,'CY Receving Query'!$B:$S,7,FALSE)/VLOOKUP($P22,'CY Receving Query'!$B:$S,5,FALSE)),0)*$AJ22</f>
        <v>3.3529411764705883</v>
      </c>
      <c r="Y22" s="10">
        <f>IFERROR(VLOOKUP($P22,'CY Receving Query'!$B:$S,8,FALSE)/VLOOKUP($P22,'CY Receving Query'!$B:$S,5,FALSE),0)</f>
        <v>2.7647058823529411</v>
      </c>
      <c r="Z22" s="10">
        <f>IFERROR(VLOOKUP($P22,'CY Receving Query'!$B:$S,10,FALSE)/VLOOKUP($P22,'CY Receving Query'!$B:$S,5,FALSE),0)</f>
        <v>26.588235294117649</v>
      </c>
      <c r="AA22" s="10">
        <f>IFERROR(VLOOKUP($P22,'CY Receving Query'!$B:$S,11,FALSE),0)</f>
        <v>9.6</v>
      </c>
      <c r="AB22" s="10">
        <f>IFERROR(AVERAGE(VLOOKUP($P22,'PY Receiving'!$C:$T,14,FALSE),VLOOKUP($P22,'CY Receiving'!$C:$T,14,FALSE)),0)</f>
        <v>0</v>
      </c>
      <c r="AC22" s="10">
        <f>IFERROR(VLOOKUP($P22,'CY Receving Query'!$B:$S,11,FALSE)/VLOOKUP($P22,'CY Receving Query'!$B:$S,5,FALSE),0)</f>
        <v>0.56470588235294117</v>
      </c>
      <c r="AD22" s="10">
        <f>IFERROR(VLOOKUP($P22,'CY Rushing Query'!$B:$O,7,FALSE)/VLOOKUP($P22,'CY Rushing Query'!$B:$O,5,FALSE),0)</f>
        <v>8.4705882352941178</v>
      </c>
      <c r="AE22" s="10">
        <f>IFERROR(AVERAGE(VLOOKUP($P22,'PY Rushing'!$C:$P,8,FALSE)/VLOOKUP($P22,'PY Rushing'!$C:$P,5,FALSE),VLOOKUP($P22,'CY Rushing'!$C:$P,8,FALSE)/VLOOKUP($P22,'CY Rushing'!$C:$P,5,FALSE)),0)</f>
        <v>7.28125</v>
      </c>
      <c r="AF22" s="10">
        <f>IFERROR(VLOOKUP($P22,'CY Rushing Query'!$B:$P,12,FALSE),0)</f>
        <v>3.9</v>
      </c>
      <c r="AG22" s="10">
        <f>IFERROR(VLOOKUP($P22,'CY Rushing Query'!$B:$P,9,FALSE)/VLOOKUP($P22,'CY Rushing Query'!$B:$P,5,FALSE),0)</f>
        <v>0.35294117647058826</v>
      </c>
      <c r="AH22" s="10">
        <f>VLOOKUP($J22,'Vegas Odds'!$B:$S,18,FALSE)</f>
        <v>37.933262350936971</v>
      </c>
      <c r="AI22" s="10">
        <f>VLOOKUP($J22,'Vegas Odds'!$B:$S,17,FALSE)</f>
        <v>27.766737649063032</v>
      </c>
      <c r="AJ22">
        <f t="shared" si="13"/>
        <v>1</v>
      </c>
      <c r="AK22" s="10">
        <f t="shared" si="1"/>
        <v>0</v>
      </c>
      <c r="AL22" s="10">
        <f t="shared" si="2"/>
        <v>0</v>
      </c>
      <c r="AM22" s="10">
        <f>V22/'CY Defensive Stats Query'!$AD$34*'Fanduel Export'!Q22</f>
        <v>0</v>
      </c>
      <c r="AN22" s="10">
        <f t="shared" si="19"/>
        <v>0</v>
      </c>
      <c r="AO22" s="10">
        <f>IFERROR(IF(OR($B22="D",$B22="K"),0,VLOOKUP($P22,'CY Receving Query'!$B:$S,7,FALSE)/VLOOKUP($P22,'CY Receving Query'!$B:$S,5,FALSE)),0)*$AJ22</f>
        <v>3.3529411764705883</v>
      </c>
      <c r="AP22" s="10">
        <f t="shared" si="3"/>
        <v>37.365221788015901</v>
      </c>
      <c r="AQ22" s="10">
        <f t="shared" si="4"/>
        <v>3.4039138859095686</v>
      </c>
      <c r="AR22" s="16">
        <f t="shared" si="14"/>
        <v>2.7647058823529411</v>
      </c>
      <c r="AS22" s="16">
        <f t="shared" si="5"/>
        <v>2.8067360111885917</v>
      </c>
      <c r="AT22" s="16">
        <f>AA22/'CY Defensive Stats Query'!$AH$34
*'Fanduel Export'!S22</f>
        <v>10.132582490048085</v>
      </c>
      <c r="AU22" s="10">
        <f t="shared" si="20"/>
        <v>28.43948416115693</v>
      </c>
      <c r="AV22" s="10">
        <f t="shared" si="15"/>
        <v>8.4705882352941178</v>
      </c>
      <c r="AW22" s="10">
        <f t="shared" si="7"/>
        <v>19.787381735911151</v>
      </c>
      <c r="AX22" s="10">
        <f t="shared" si="16"/>
        <v>11.886393278389001</v>
      </c>
      <c r="AY22" s="10">
        <f>AF22/'CY Defensive Stats Query'!$AF$34
*R22</f>
        <v>3.3771714496976033</v>
      </c>
      <c r="AZ22" s="10">
        <f t="shared" si="21"/>
        <v>40.142388019652827</v>
      </c>
      <c r="BA22" s="16">
        <f t="shared" si="17"/>
        <v>8.2405401592574457</v>
      </c>
      <c r="BB22" s="16">
        <f t="shared" si="8"/>
        <v>1.2485666907965827</v>
      </c>
      <c r="BC22" s="10">
        <f t="shared" si="9"/>
        <v>0.50802139037433158</v>
      </c>
      <c r="BD22" s="10">
        <f>IF(B22="QB",COUNTIFS($B$5:B22,B22,$J$5:J22,J22),1)</f>
        <v>1</v>
      </c>
      <c r="BE22" t="str">
        <f t="shared" si="10"/>
        <v>Darrel Williams</v>
      </c>
      <c r="BF22">
        <f t="shared" si="11"/>
        <v>6600</v>
      </c>
      <c r="BG22" t="str">
        <f t="shared" si="12"/>
        <v>RB</v>
      </c>
      <c r="BH22" s="16">
        <f t="shared" si="18"/>
        <v>8.2405401592574457</v>
      </c>
    </row>
    <row r="23" spans="1:60" hidden="1" x14ac:dyDescent="0.2">
      <c r="A23" t="s">
        <v>2746</v>
      </c>
      <c r="B23" t="s">
        <v>68</v>
      </c>
      <c r="C23" t="s">
        <v>2747</v>
      </c>
      <c r="D23" t="s">
        <v>151</v>
      </c>
      <c r="E23" t="s">
        <v>2748</v>
      </c>
      <c r="F23">
        <v>10.809999847412101</v>
      </c>
      <c r="G23">
        <v>10</v>
      </c>
      <c r="H23">
        <v>6600</v>
      </c>
      <c r="I23" t="s">
        <v>2716</v>
      </c>
      <c r="J23" t="s">
        <v>81</v>
      </c>
      <c r="K23" t="s">
        <v>99</v>
      </c>
      <c r="L23" t="s">
        <v>124</v>
      </c>
      <c r="M23" t="s">
        <v>2253</v>
      </c>
      <c r="O23" t="str">
        <f t="shared" si="0"/>
        <v>Clyde Edwards-Helaire</v>
      </c>
      <c r="P23" t="str">
        <f>IFERROR(VLOOKUP(O:O,'Name Bridge'!A:B,2,FALSE),O:O)</f>
        <v>Clyde Edwards-Helaire</v>
      </c>
      <c r="Q23" s="10">
        <f>VLOOKUP($K23,'CY Defensive Stats Query'!$AC:$AH,2,FALSE)</f>
        <v>7.5377358490566042</v>
      </c>
      <c r="R23" s="10">
        <f>VLOOKUP($K23,'CY Defensive Stats Query'!$AC:$AH,4,FALSE)</f>
        <v>3.5810810810810811</v>
      </c>
      <c r="S23" s="10">
        <f>VLOOKUP($K23,'CY Defensive Stats Query'!$AC:$AH,6,FALSE)</f>
        <v>11.097222222222221</v>
      </c>
      <c r="T23" s="10">
        <f>IFERROR(VLOOKUP($P23,'CYPassing Query'!$B:$AE,9,FALSE)/VLOOKUP($P23,'CYPassing Query'!$B:$AE,5,FALSE),0)</f>
        <v>0</v>
      </c>
      <c r="U23" s="10">
        <f>IFERROR(VLOOKUP($P23,'CYPassing Query'!$B:$AE,11,FALSE)/VLOOKUP($P23,'CYPassing Query'!$B:$AE,5,FALSE),0)</f>
        <v>0</v>
      </c>
      <c r="V23" s="10">
        <f>IFERROR(VLOOKUP($P23,'CYPassing Query'!$B:$AE,18,FALSE),0)</f>
        <v>0</v>
      </c>
      <c r="W23" s="10">
        <f>IFERROR(VLOOKUP($P23,'CYPassing Query'!$B:$AE,12,FALSE)/VLOOKUP($P23,'CYPassing Query'!$B:$AE,5,FALSE),0)</f>
        <v>0</v>
      </c>
      <c r="X23" s="10">
        <f>IFERROR(IF(OR($B23="D",$B23="K"),0,VLOOKUP($P23,'CY Receving Query'!$B:$S,7,FALSE)/VLOOKUP($P23,'CY Receving Query'!$B:$S,5,FALSE)),0)*$AJ23</f>
        <v>0</v>
      </c>
      <c r="Y23" s="10">
        <f>IFERROR(VLOOKUP($P23,'CY Receving Query'!$B:$S,8,FALSE)/VLOOKUP($P23,'CY Receving Query'!$B:$S,5,FALSE),0)</f>
        <v>1.9</v>
      </c>
      <c r="Z23" s="10">
        <f>IFERROR(VLOOKUP($P23,'CY Receving Query'!$B:$S,10,FALSE)/VLOOKUP($P23,'CY Receving Query'!$B:$S,5,FALSE),0)</f>
        <v>12.9</v>
      </c>
      <c r="AA23" s="10">
        <f>IFERROR(VLOOKUP($P23,'CY Receving Query'!$B:$S,11,FALSE),0)</f>
        <v>6.8</v>
      </c>
      <c r="AB23" s="10">
        <f>IFERROR(AVERAGE(VLOOKUP($P23,'PY Receiving'!$C:$T,14,FALSE),VLOOKUP($P23,'CY Receiving'!$C:$T,14,FALSE)),0)</f>
        <v>20</v>
      </c>
      <c r="AC23" s="10">
        <f>IFERROR(VLOOKUP($P23,'CY Receving Query'!$B:$S,11,FALSE)/VLOOKUP($P23,'CY Receving Query'!$B:$S,5,FALSE),0)</f>
        <v>0.67999999999999994</v>
      </c>
      <c r="AD23" s="10">
        <f>IFERROR(VLOOKUP($P23,'CY Rushing Query'!$B:$O,7,FALSE)/VLOOKUP($P23,'CY Rushing Query'!$B:$O,5,FALSE),0)</f>
        <v>11.9</v>
      </c>
      <c r="AE23" s="10">
        <f>IFERROR(AVERAGE(VLOOKUP($P23,'PY Rushing'!$C:$P,8,FALSE)/VLOOKUP($P23,'PY Rushing'!$C:$P,5,FALSE),VLOOKUP($P23,'CY Rushing'!$C:$P,8,FALSE)/VLOOKUP($P23,'CY Rushing'!$C:$P,5,FALSE)),0)</f>
        <v>52.384615384615387</v>
      </c>
      <c r="AF23" s="10">
        <f>IFERROR(VLOOKUP($P23,'CY Rushing Query'!$B:$P,12,FALSE),0)</f>
        <v>4.3</v>
      </c>
      <c r="AG23" s="10">
        <f>IFERROR(VLOOKUP($P23,'CY Rushing Query'!$B:$P,9,FALSE)/VLOOKUP($P23,'CY Rushing Query'!$B:$P,5,FALSE),0)</f>
        <v>0.4</v>
      </c>
      <c r="AH23" s="10">
        <f>VLOOKUP($J23,'Vegas Odds'!$B:$S,18,FALSE)</f>
        <v>37.933262350936971</v>
      </c>
      <c r="AI23" s="10">
        <f>VLOOKUP($J23,'Vegas Odds'!$B:$S,17,FALSE)</f>
        <v>27.766737649063032</v>
      </c>
      <c r="AJ23">
        <f t="shared" si="13"/>
        <v>0</v>
      </c>
      <c r="AK23" s="10">
        <f t="shared" si="1"/>
        <v>0</v>
      </c>
      <c r="AL23" s="10">
        <f t="shared" si="2"/>
        <v>0</v>
      </c>
      <c r="AM23" s="10">
        <f>V23/'CY Defensive Stats Query'!$AD$34*'Fanduel Export'!Q23</f>
        <v>0</v>
      </c>
      <c r="AN23" s="10">
        <f t="shared" si="19"/>
        <v>0</v>
      </c>
      <c r="AO23" s="10">
        <f>IFERROR(IF(OR($B23="D",$B23="K"),0,VLOOKUP($P23,'CY Receving Query'!$B:$S,7,FALSE)/VLOOKUP($P23,'CY Receving Query'!$B:$S,5,FALSE)),0)*$AJ23</f>
        <v>0</v>
      </c>
      <c r="AP23" s="10">
        <f t="shared" si="3"/>
        <v>37.365221788015901</v>
      </c>
      <c r="AQ23" s="10">
        <f t="shared" si="4"/>
        <v>0</v>
      </c>
      <c r="AR23" s="16">
        <f t="shared" si="14"/>
        <v>0</v>
      </c>
      <c r="AS23" s="16">
        <f t="shared" si="5"/>
        <v>0</v>
      </c>
      <c r="AT23" s="16">
        <f>AA23/'CY Defensive Stats Query'!$AH$34
*'Fanduel Export'!S23</f>
        <v>7.1772459304507263</v>
      </c>
      <c r="AU23" s="10">
        <f t="shared" si="20"/>
        <v>0</v>
      </c>
      <c r="AV23" s="10">
        <f t="shared" si="15"/>
        <v>0</v>
      </c>
      <c r="AW23" s="10">
        <f t="shared" si="7"/>
        <v>19.787381735911151</v>
      </c>
      <c r="AX23" s="10">
        <f t="shared" si="16"/>
        <v>0</v>
      </c>
      <c r="AY23" s="10">
        <f>AF23/'CY Defensive Stats Query'!$AF$34
*R23</f>
        <v>3.7235480086409476</v>
      </c>
      <c r="AZ23" s="10">
        <f t="shared" si="21"/>
        <v>0</v>
      </c>
      <c r="BA23" s="16">
        <f t="shared" si="17"/>
        <v>0</v>
      </c>
      <c r="BB23" s="16">
        <f t="shared" si="8"/>
        <v>0</v>
      </c>
      <c r="BC23" s="10">
        <f t="shared" si="9"/>
        <v>0</v>
      </c>
      <c r="BD23" s="10">
        <f>IF(B23="QB",COUNTIFS($B$5:B23,B23,$J$5:J23,J23),1)</f>
        <v>1</v>
      </c>
      <c r="BE23" t="str">
        <f t="shared" si="10"/>
        <v>Clyde Edwards-Helaire</v>
      </c>
      <c r="BF23">
        <f t="shared" si="11"/>
        <v>6600</v>
      </c>
      <c r="BG23" t="str">
        <f t="shared" si="12"/>
        <v>RB</v>
      </c>
      <c r="BH23" s="16">
        <f t="shared" si="18"/>
        <v>0</v>
      </c>
    </row>
    <row r="24" spans="1:60" x14ac:dyDescent="0.2">
      <c r="A24" t="s">
        <v>2749</v>
      </c>
      <c r="B24" t="s">
        <v>88</v>
      </c>
      <c r="C24" t="s">
        <v>2669</v>
      </c>
      <c r="D24" t="s">
        <v>137</v>
      </c>
      <c r="E24" t="s">
        <v>2670</v>
      </c>
      <c r="F24">
        <v>11.607142857142801</v>
      </c>
      <c r="G24">
        <v>14</v>
      </c>
      <c r="H24">
        <v>6500</v>
      </c>
      <c r="I24" t="s">
        <v>2718</v>
      </c>
      <c r="J24" t="s">
        <v>138</v>
      </c>
      <c r="K24" t="s">
        <v>729</v>
      </c>
      <c r="O24" t="str">
        <f t="shared" si="0"/>
        <v>George Kittle</v>
      </c>
      <c r="P24" t="str">
        <f>IFERROR(VLOOKUP(O:O,'Name Bridge'!A:B,2,FALSE),O:O)</f>
        <v>George Kittle*</v>
      </c>
      <c r="Q24" s="10">
        <f>VLOOKUP($K24,'CY Defensive Stats Query'!$AC:$AH,2,FALSE)</f>
        <v>7.6538461538461542</v>
      </c>
      <c r="R24" s="10">
        <f>VLOOKUP($K24,'CY Defensive Stats Query'!$AC:$AH,4,FALSE)</f>
        <v>4.6888888888888891</v>
      </c>
      <c r="S24" s="10">
        <f>VLOOKUP($K24,'CY Defensive Stats Query'!$AC:$AH,6,FALSE)</f>
        <v>11.306818181818182</v>
      </c>
      <c r="T24" s="10">
        <f>IFERROR(VLOOKUP($P24,'CYPassing Query'!$B:$AE,9,FALSE)/VLOOKUP($P24,'CYPassing Query'!$B:$AE,5,FALSE),0)</f>
        <v>0</v>
      </c>
      <c r="U24" s="10">
        <f>IFERROR(VLOOKUP($P24,'CYPassing Query'!$B:$AE,11,FALSE)/VLOOKUP($P24,'CYPassing Query'!$B:$AE,5,FALSE),0)</f>
        <v>0</v>
      </c>
      <c r="V24" s="10">
        <f>IFERROR(VLOOKUP($P24,'CYPassing Query'!$B:$AE,18,FALSE),0)</f>
        <v>0</v>
      </c>
      <c r="W24" s="10">
        <f>IFERROR(VLOOKUP($P24,'CYPassing Query'!$B:$AE,12,FALSE)/VLOOKUP($P24,'CYPassing Query'!$B:$AE,5,FALSE),0)</f>
        <v>0</v>
      </c>
      <c r="X24" s="10">
        <f>IFERROR(IF(OR($B24="D",$B24="K"),0,VLOOKUP($P24,'CY Receving Query'!$B:$S,7,FALSE)/VLOOKUP($P24,'CY Receving Query'!$B:$S,5,FALSE)),0)*$AJ24</f>
        <v>6.7142857142857144</v>
      </c>
      <c r="Y24" s="10">
        <f>IFERROR(VLOOKUP($P24,'CY Receving Query'!$B:$S,8,FALSE)/VLOOKUP($P24,'CY Receving Query'!$B:$S,5,FALSE),0)</f>
        <v>5.0714285714285712</v>
      </c>
      <c r="Z24" s="10">
        <f>IFERROR(VLOOKUP($P24,'CY Receving Query'!$B:$S,10,FALSE)/VLOOKUP($P24,'CY Receving Query'!$B:$S,5,FALSE),0)</f>
        <v>65</v>
      </c>
      <c r="AA24" s="10">
        <f>IFERROR(VLOOKUP($P24,'CY Receving Query'!$B:$S,11,FALSE),0)</f>
        <v>12.8</v>
      </c>
      <c r="AB24" s="10">
        <f>IFERROR(AVERAGE(VLOOKUP($P24,'PY Receiving'!$C:$T,14,FALSE),VLOOKUP($P24,'CY Receiving'!$C:$T,14,FALSE)),0)</f>
        <v>39.5</v>
      </c>
      <c r="AC24" s="10">
        <f>IFERROR(VLOOKUP($P24,'CY Receving Query'!$B:$S,11,FALSE)/VLOOKUP($P24,'CY Receving Query'!$B:$S,5,FALSE),0)</f>
        <v>0.91428571428571437</v>
      </c>
      <c r="AD24" s="10">
        <f>IFERROR(VLOOKUP($P24,'CY Rushing Query'!$B:$O,7,FALSE)/VLOOKUP($P24,'CY Rushing Query'!$B:$O,5,FALSE),0)</f>
        <v>0.21428571428571427</v>
      </c>
      <c r="AE24" s="10">
        <f>IFERROR(AVERAGE(VLOOKUP($P24,'PY Rushing'!$C:$P,8,FALSE)/VLOOKUP($P24,'PY Rushing'!$C:$P,5,FALSE),VLOOKUP($P24,'CY Rushing'!$C:$P,8,FALSE)/VLOOKUP($P24,'CY Rushing'!$C:$P,5,FALSE)),0)</f>
        <v>0</v>
      </c>
      <c r="AF24" s="10">
        <f>IFERROR(VLOOKUP($P24,'CY Rushing Query'!$B:$P,12,FALSE),0)</f>
        <v>6.7</v>
      </c>
      <c r="AG24" s="10">
        <f>IFERROR(VLOOKUP($P24,'CY Rushing Query'!$B:$P,9,FALSE)/VLOOKUP($P24,'CY Rushing Query'!$B:$P,5,FALSE),0)</f>
        <v>0</v>
      </c>
      <c r="AH24" s="10">
        <f>VLOOKUP($J24,'Vegas Odds'!$B:$S,18,FALSE)</f>
        <v>32.679248170039784</v>
      </c>
      <c r="AI24" s="10">
        <f>VLOOKUP($J24,'Vegas Odds'!$B:$S,17,FALSE)</f>
        <v>32.620751829960213</v>
      </c>
      <c r="AJ24">
        <f t="shared" si="13"/>
        <v>1</v>
      </c>
      <c r="AK24" s="10">
        <f t="shared" si="1"/>
        <v>0</v>
      </c>
      <c r="AL24" s="10">
        <f t="shared" si="2"/>
        <v>0</v>
      </c>
      <c r="AM24" s="10">
        <f>V24/'CY Defensive Stats Query'!$AD$34*'Fanduel Export'!Q24</f>
        <v>0</v>
      </c>
      <c r="AN24" s="10">
        <f t="shared" si="19"/>
        <v>0</v>
      </c>
      <c r="AO24" s="10">
        <f>IFERROR(IF(OR($B24="D",$B24="K"),0,VLOOKUP($P24,'CY Receving Query'!$B:$S,7,FALSE)/VLOOKUP($P24,'CY Receving Query'!$B:$S,5,FALSE)),0)*$AJ24</f>
        <v>6.7142857142857144</v>
      </c>
      <c r="AP24" s="10">
        <f t="shared" si="3"/>
        <v>29.704370384517439</v>
      </c>
      <c r="AQ24" s="10">
        <f t="shared" si="4"/>
        <v>7.3867180587022645</v>
      </c>
      <c r="AR24" s="16">
        <f t="shared" si="14"/>
        <v>5.0714285714285712</v>
      </c>
      <c r="AS24" s="16">
        <f t="shared" si="5"/>
        <v>5.5793295975304336</v>
      </c>
      <c r="AT24" s="16">
        <f>AA24/'CY Defensive Stats Query'!$AH$34
*'Fanduel Export'!S24</f>
        <v>13.765278749706924</v>
      </c>
      <c r="AU24" s="10">
        <f t="shared" si="20"/>
        <v>76.801027146496565</v>
      </c>
      <c r="AV24" s="10">
        <f t="shared" si="15"/>
        <v>0.21428571428571427</v>
      </c>
      <c r="AW24" s="10">
        <f t="shared" si="7"/>
        <v>40.335297300738475</v>
      </c>
      <c r="AX24" s="10">
        <f t="shared" si="16"/>
        <v>0.17330134086533847</v>
      </c>
      <c r="AY24" s="10">
        <f>AF24/'CY Defensive Stats Query'!$AF$34
*R24</f>
        <v>7.5965970779847369</v>
      </c>
      <c r="AZ24" s="10">
        <f t="shared" si="21"/>
        <v>1.3165004596284671</v>
      </c>
      <c r="BA24" s="16">
        <f t="shared" si="17"/>
        <v>10.347467046326788</v>
      </c>
      <c r="BB24" s="16">
        <f t="shared" si="8"/>
        <v>1.5919180071271981</v>
      </c>
      <c r="BC24" s="10">
        <f t="shared" si="9"/>
        <v>1.0329670329670331</v>
      </c>
      <c r="BD24" s="10">
        <f>IF(B24="QB",COUNTIFS($B$5:B24,B24,$J$5:J24,J24),1)</f>
        <v>1</v>
      </c>
      <c r="BE24" t="str">
        <f t="shared" si="10"/>
        <v>George Kittle</v>
      </c>
      <c r="BF24">
        <f t="shared" si="11"/>
        <v>6500</v>
      </c>
      <c r="BG24" t="str">
        <f t="shared" si="12"/>
        <v>TE</v>
      </c>
      <c r="BH24" s="16">
        <f t="shared" si="18"/>
        <v>10.347467046326788</v>
      </c>
    </row>
    <row r="25" spans="1:60" x14ac:dyDescent="0.2">
      <c r="A25" t="s">
        <v>2750</v>
      </c>
      <c r="B25" t="s">
        <v>79</v>
      </c>
      <c r="C25" t="s">
        <v>2212</v>
      </c>
      <c r="D25" t="s">
        <v>133</v>
      </c>
      <c r="E25" t="s">
        <v>2537</v>
      </c>
      <c r="F25">
        <v>14.2562503814697</v>
      </c>
      <c r="G25">
        <v>16</v>
      </c>
      <c r="H25">
        <v>6400</v>
      </c>
      <c r="I25" t="s">
        <v>2716</v>
      </c>
      <c r="J25" t="s">
        <v>99</v>
      </c>
      <c r="K25" t="s">
        <v>81</v>
      </c>
      <c r="O25" t="str">
        <f t="shared" si="0"/>
        <v>Ben Roethlisberger</v>
      </c>
      <c r="P25" t="str">
        <f>IFERROR(VLOOKUP(O:O,'Name Bridge'!A:B,2,FALSE),O:O)</f>
        <v>Ben Roethlisberger</v>
      </c>
      <c r="Q25" s="10">
        <f>VLOOKUP($K25,'CY Defensive Stats Query'!$AC:$AH,2,FALSE)</f>
        <v>8.7934782608695645</v>
      </c>
      <c r="R25" s="10">
        <f>VLOOKUP($K25,'CY Defensive Stats Query'!$AC:$AH,4,FALSE)</f>
        <v>5.404494382022472</v>
      </c>
      <c r="S25" s="10">
        <f>VLOOKUP($K25,'CY Defensive Stats Query'!$AC:$AH,6,FALSE)</f>
        <v>12.446153846153846</v>
      </c>
      <c r="T25" s="10">
        <f>IFERROR(VLOOKUP($P25,'CYPassing Query'!$B:$AE,9,FALSE)/VLOOKUP($P25,'CYPassing Query'!$B:$AE,5,FALSE),0)</f>
        <v>37.8125</v>
      </c>
      <c r="U25" s="10">
        <f>IFERROR(VLOOKUP($P25,'CYPassing Query'!$B:$AE,11,FALSE)/VLOOKUP($P25,'CYPassing Query'!$B:$AE,5,FALSE),0)</f>
        <v>233.75</v>
      </c>
      <c r="V25" s="10">
        <f>IFERROR(VLOOKUP($P25,'CYPassing Query'!$B:$AE,18,FALSE),0)</f>
        <v>6.2</v>
      </c>
      <c r="W25" s="10">
        <f>IFERROR(VLOOKUP($P25,'CYPassing Query'!$B:$AE,12,FALSE)/VLOOKUP($P25,'CYPassing Query'!$B:$AE,5,FALSE),0)</f>
        <v>1.375</v>
      </c>
      <c r="X25" s="10">
        <f>IFERROR(IF(OR($B25="D",$B25="K"),0,VLOOKUP($P25,'CY Receving Query'!$B:$S,7,FALSE)/VLOOKUP($P25,'CY Receving Query'!$B:$S,5,FALSE)),0)*$AJ25</f>
        <v>0</v>
      </c>
      <c r="Y25" s="10">
        <f>IFERROR(VLOOKUP($P25,'CY Receving Query'!$B:$S,8,FALSE)/VLOOKUP($P25,'CY Receving Query'!$B:$S,5,FALSE),0)</f>
        <v>0</v>
      </c>
      <c r="Z25" s="10">
        <f>IFERROR(VLOOKUP($P25,'CY Receving Query'!$B:$S,10,FALSE)/VLOOKUP($P25,'CY Receving Query'!$B:$S,5,FALSE),0)</f>
        <v>0</v>
      </c>
      <c r="AA25" s="10">
        <f>IFERROR(VLOOKUP($P25,'CY Receving Query'!$B:$S,11,FALSE),0)</f>
        <v>0</v>
      </c>
      <c r="AB25" s="10">
        <f>IFERROR(AVERAGE(VLOOKUP($P25,'PY Receiving'!$C:$T,14,FALSE),VLOOKUP($P25,'CY Receiving'!$C:$T,14,FALSE)),0)</f>
        <v>0</v>
      </c>
      <c r="AC25" s="10">
        <f>IFERROR(VLOOKUP($P25,'CY Receving Query'!$B:$S,11,FALSE)/VLOOKUP($P25,'CY Receving Query'!$B:$S,5,FALSE),0)</f>
        <v>0</v>
      </c>
      <c r="AD25" s="10">
        <f>IFERROR(VLOOKUP($P25,'CY Rushing Query'!$B:$O,7,FALSE)/VLOOKUP($P25,'CY Rushing Query'!$B:$O,5,FALSE),0)</f>
        <v>1.25</v>
      </c>
      <c r="AE25" s="10">
        <f>IFERROR(AVERAGE(VLOOKUP($P25,'PY Rushing'!$C:$P,8,FALSE)/VLOOKUP($P25,'PY Rushing'!$C:$P,5,FALSE),VLOOKUP($P25,'CY Rushing'!$C:$P,8,FALSE)/VLOOKUP($P25,'CY Rushing'!$C:$P,5,FALSE)),0)</f>
        <v>2.8666666666666667</v>
      </c>
      <c r="AF25" s="10">
        <f>IFERROR(VLOOKUP($P25,'CY Rushing Query'!$B:$P,12,FALSE),0)</f>
        <v>0.3</v>
      </c>
      <c r="AG25" s="10">
        <f>IFERROR(VLOOKUP($P25,'CY Rushing Query'!$B:$P,9,FALSE)/VLOOKUP($P25,'CY Rushing Query'!$B:$P,5,FALSE),0)</f>
        <v>6.25E-2</v>
      </c>
      <c r="AH25" s="10">
        <f>VLOOKUP($J25,'Vegas Odds'!$B:$S,18,FALSE)</f>
        <v>40.088640957860363</v>
      </c>
      <c r="AI25" s="10">
        <f>VLOOKUP($J25,'Vegas Odds'!$B:$S,17,FALSE)</f>
        <v>25.511359042139631</v>
      </c>
      <c r="AJ25">
        <f t="shared" si="13"/>
        <v>1</v>
      </c>
      <c r="AK25" s="10">
        <f t="shared" si="1"/>
        <v>37.8125</v>
      </c>
      <c r="AL25" s="10">
        <f t="shared" si="2"/>
        <v>40.088640957860363</v>
      </c>
      <c r="AM25" s="10">
        <f>V25/'CY Defensive Stats Query'!$AD$34*'Fanduel Export'!Q25</f>
        <v>7.7437599131390913</v>
      </c>
      <c r="AN25" s="10">
        <f t="shared" si="19"/>
        <v>310.43681082170497</v>
      </c>
      <c r="AO25" s="10">
        <f>IFERROR(IF(OR($B25="D",$B25="K"),0,VLOOKUP($P25,'CY Receving Query'!$B:$S,7,FALSE)/VLOOKUP($P25,'CY Receving Query'!$B:$S,5,FALSE)),0)*$AJ25</f>
        <v>0</v>
      </c>
      <c r="AP25" s="10">
        <f t="shared" si="3"/>
        <v>32.289950980392156</v>
      </c>
      <c r="AQ25" s="10">
        <f t="shared" si="4"/>
        <v>0</v>
      </c>
      <c r="AR25" s="16">
        <f t="shared" si="14"/>
        <v>0</v>
      </c>
      <c r="AS25" s="16">
        <f t="shared" si="5"/>
        <v>0</v>
      </c>
      <c r="AT25" s="16">
        <f>AA25/'CY Defensive Stats Query'!$AH$34
*'Fanduel Export'!S25</f>
        <v>0</v>
      </c>
      <c r="AU25" s="10">
        <f t="shared" si="20"/>
        <v>0</v>
      </c>
      <c r="AV25" s="10">
        <f t="shared" si="15"/>
        <v>1.25</v>
      </c>
      <c r="AW25" s="10">
        <f t="shared" si="7"/>
        <v>7.4240196078431371</v>
      </c>
      <c r="AX25" s="10">
        <f t="shared" si="16"/>
        <v>4.2954087525556988</v>
      </c>
      <c r="AY25" s="10">
        <f>AF25/'CY Defensive Stats Query'!$AF$34
*R25</f>
        <v>0.39205831796786261</v>
      </c>
      <c r="AZ25" s="10">
        <f t="shared" si="21"/>
        <v>1.6840507305114223</v>
      </c>
      <c r="BA25" s="16">
        <f t="shared" si="17"/>
        <v>12.58587750591934</v>
      </c>
      <c r="BB25" s="16">
        <f t="shared" si="8"/>
        <v>1.9665433602998967</v>
      </c>
      <c r="BC25" s="10">
        <f t="shared" si="9"/>
        <v>0</v>
      </c>
      <c r="BD25" s="10">
        <f>IF(B25="QB",COUNTIFS($B$5:B25,B25,$J$5:J25,J25),1)</f>
        <v>1</v>
      </c>
      <c r="BE25" t="str">
        <f t="shared" si="10"/>
        <v>Ben Roethlisberger</v>
      </c>
      <c r="BF25">
        <f t="shared" si="11"/>
        <v>6400</v>
      </c>
      <c r="BG25" t="str">
        <f t="shared" si="12"/>
        <v>QB</v>
      </c>
      <c r="BH25" s="16">
        <f t="shared" si="18"/>
        <v>12.58587750591934</v>
      </c>
    </row>
    <row r="26" spans="1:60" hidden="1" x14ac:dyDescent="0.2">
      <c r="A26" t="s">
        <v>2751</v>
      </c>
      <c r="B26" t="s">
        <v>79</v>
      </c>
      <c r="C26" t="s">
        <v>2220</v>
      </c>
      <c r="D26" t="s">
        <v>181</v>
      </c>
      <c r="E26" t="s">
        <v>2667</v>
      </c>
      <c r="F26">
        <v>11.153333028157499</v>
      </c>
      <c r="G26">
        <v>6</v>
      </c>
      <c r="H26">
        <v>6300</v>
      </c>
      <c r="I26" t="s">
        <v>2718</v>
      </c>
      <c r="J26" t="s">
        <v>138</v>
      </c>
      <c r="K26" t="s">
        <v>729</v>
      </c>
      <c r="O26" t="str">
        <f t="shared" si="0"/>
        <v>Trey Lance</v>
      </c>
      <c r="P26" t="str">
        <f>IFERROR(VLOOKUP(O:O,'Name Bridge'!A:B,2,FALSE),O:O)</f>
        <v>Trey Lance</v>
      </c>
      <c r="Q26" s="10">
        <f>VLOOKUP($K26,'CY Defensive Stats Query'!$AC:$AH,2,FALSE)</f>
        <v>7.6538461538461542</v>
      </c>
      <c r="R26" s="10">
        <f>VLOOKUP($K26,'CY Defensive Stats Query'!$AC:$AH,4,FALSE)</f>
        <v>4.6888888888888891</v>
      </c>
      <c r="S26" s="10">
        <f>VLOOKUP($K26,'CY Defensive Stats Query'!$AC:$AH,6,FALSE)</f>
        <v>11.306818181818182</v>
      </c>
      <c r="T26" s="10">
        <f>IFERROR(VLOOKUP($P26,'CYPassing Query'!$B:$AE,9,FALSE)/VLOOKUP($P26,'CYPassing Query'!$B:$AE,5,FALSE),0)</f>
        <v>11.833333333333334</v>
      </c>
      <c r="U26" s="10">
        <f>IFERROR(VLOOKUP($P26,'CYPassing Query'!$B:$AE,11,FALSE)/VLOOKUP($P26,'CYPassing Query'!$B:$AE,5,FALSE),0)</f>
        <v>100.5</v>
      </c>
      <c r="V26" s="10">
        <f>IFERROR(VLOOKUP($P26,'CYPassing Query'!$B:$AE,18,FALSE),0)</f>
        <v>8.5</v>
      </c>
      <c r="W26" s="10">
        <f>IFERROR(VLOOKUP($P26,'CYPassing Query'!$B:$AE,12,FALSE)/VLOOKUP($P26,'CYPassing Query'!$B:$AE,5,FALSE),0)</f>
        <v>0.83333333333333337</v>
      </c>
      <c r="X26" s="10">
        <f>IFERROR(IF(OR($B26="D",$B26="K"),0,VLOOKUP($P26,'CY Receving Query'!$B:$S,7,FALSE)/VLOOKUP($P26,'CY Receving Query'!$B:$S,5,FALSE)),0)*$AJ26</f>
        <v>0</v>
      </c>
      <c r="Y26" s="10">
        <f>IFERROR(VLOOKUP($P26,'CY Receving Query'!$B:$S,8,FALSE)/VLOOKUP($P26,'CY Receving Query'!$B:$S,5,FALSE),0)</f>
        <v>0</v>
      </c>
      <c r="Z26" s="10">
        <f>IFERROR(VLOOKUP($P26,'CY Receving Query'!$B:$S,10,FALSE)/VLOOKUP($P26,'CY Receving Query'!$B:$S,5,FALSE),0)</f>
        <v>0</v>
      </c>
      <c r="AA26" s="10">
        <f>IFERROR(VLOOKUP($P26,'CY Receving Query'!$B:$S,11,FALSE),0)</f>
        <v>0</v>
      </c>
      <c r="AB26" s="10">
        <f>IFERROR(AVERAGE(VLOOKUP($P26,'PY Receiving'!$C:$T,14,FALSE),VLOOKUP($P26,'CY Receiving'!$C:$T,14,FALSE)),0)</f>
        <v>0</v>
      </c>
      <c r="AC26" s="10">
        <f>IFERROR(VLOOKUP($P26,'CY Receving Query'!$B:$S,11,FALSE)/VLOOKUP($P26,'CY Receving Query'!$B:$S,5,FALSE),0)</f>
        <v>0</v>
      </c>
      <c r="AD26" s="10">
        <f>IFERROR(VLOOKUP($P26,'CY Rushing Query'!$B:$O,7,FALSE)/VLOOKUP($P26,'CY Rushing Query'!$B:$O,5,FALSE),0)</f>
        <v>6.333333333333333</v>
      </c>
      <c r="AE26" s="10">
        <f>IFERROR(AVERAGE(VLOOKUP($P26,'PY Rushing'!$C:$P,8,FALSE)/VLOOKUP($P26,'PY Rushing'!$C:$P,5,FALSE),VLOOKUP($P26,'CY Rushing'!$C:$P,8,FALSE)/VLOOKUP($P26,'CY Rushing'!$C:$P,5,FALSE)),0)</f>
        <v>0</v>
      </c>
      <c r="AF26" s="10">
        <f>IFERROR(VLOOKUP($P26,'CY Rushing Query'!$B:$P,12,FALSE),0)</f>
        <v>4.4000000000000004</v>
      </c>
      <c r="AG26" s="10">
        <f>IFERROR(VLOOKUP($P26,'CY Rushing Query'!$B:$P,9,FALSE)/VLOOKUP($P26,'CY Rushing Query'!$B:$P,5,FALSE),0)</f>
        <v>0.16666666666666666</v>
      </c>
      <c r="AH26" s="10">
        <f>VLOOKUP($J26,'Vegas Odds'!$B:$S,18,FALSE)</f>
        <v>32.679248170039784</v>
      </c>
      <c r="AI26" s="10">
        <f>VLOOKUP($J26,'Vegas Odds'!$B:$S,17,FALSE)</f>
        <v>32.620751829960213</v>
      </c>
      <c r="AJ26">
        <f t="shared" si="13"/>
        <v>0</v>
      </c>
      <c r="AK26" s="10">
        <f t="shared" si="1"/>
        <v>0</v>
      </c>
      <c r="AL26" s="10">
        <f t="shared" si="2"/>
        <v>0</v>
      </c>
      <c r="AM26" s="10">
        <f>V26/'CY Defensive Stats Query'!$AD$34*'Fanduel Export'!Q26</f>
        <v>9.2405569949948863</v>
      </c>
      <c r="AN26" s="10">
        <f t="shared" si="19"/>
        <v>0</v>
      </c>
      <c r="AO26" s="10">
        <f>IFERROR(IF(OR($B26="D",$B26="K"),0,VLOOKUP($P26,'CY Receving Query'!$B:$S,7,FALSE)/VLOOKUP($P26,'CY Receving Query'!$B:$S,5,FALSE)),0)*$AJ26</f>
        <v>0</v>
      </c>
      <c r="AP26" s="10">
        <f t="shared" si="3"/>
        <v>29.704370384517439</v>
      </c>
      <c r="AQ26" s="10">
        <f t="shared" si="4"/>
        <v>0</v>
      </c>
      <c r="AR26" s="16">
        <f t="shared" si="14"/>
        <v>0</v>
      </c>
      <c r="AS26" s="16">
        <f t="shared" si="5"/>
        <v>0</v>
      </c>
      <c r="AT26" s="16">
        <f>AA26/'CY Defensive Stats Query'!$AH$34
*'Fanduel Export'!S26</f>
        <v>0</v>
      </c>
      <c r="AU26" s="10">
        <f t="shared" si="20"/>
        <v>0</v>
      </c>
      <c r="AV26" s="10">
        <f t="shared" si="15"/>
        <v>0</v>
      </c>
      <c r="AW26" s="10">
        <f t="shared" si="7"/>
        <v>40.335297300738475</v>
      </c>
      <c r="AX26" s="10">
        <f t="shared" si="16"/>
        <v>0</v>
      </c>
      <c r="AY26" s="10">
        <f>AF26/'CY Defensive Stats Query'!$AF$34
*R26</f>
        <v>4.9888100213631121</v>
      </c>
      <c r="AZ26" s="10">
        <f t="shared" si="21"/>
        <v>0</v>
      </c>
      <c r="BA26" s="16">
        <f t="shared" si="17"/>
        <v>0</v>
      </c>
      <c r="BB26" s="16">
        <f t="shared" si="8"/>
        <v>0</v>
      </c>
      <c r="BC26" s="10">
        <f t="shared" si="9"/>
        <v>0</v>
      </c>
      <c r="BD26" s="10">
        <f>IF(B26="QB",COUNTIFS($B$5:B26,B26,$J$5:J26,J26),1)</f>
        <v>2</v>
      </c>
      <c r="BE26" t="str">
        <f t="shared" si="10"/>
        <v>Trey Lance</v>
      </c>
      <c r="BF26">
        <f t="shared" si="11"/>
        <v>6300</v>
      </c>
      <c r="BG26" t="str">
        <f t="shared" si="12"/>
        <v>QB</v>
      </c>
      <c r="BH26" s="16">
        <f t="shared" si="18"/>
        <v>0</v>
      </c>
    </row>
    <row r="27" spans="1:60" x14ac:dyDescent="0.2">
      <c r="A27" t="s">
        <v>2752</v>
      </c>
      <c r="B27" t="s">
        <v>88</v>
      </c>
      <c r="C27" t="s">
        <v>2219</v>
      </c>
      <c r="D27" t="s">
        <v>2101</v>
      </c>
      <c r="E27" t="s">
        <v>2753</v>
      </c>
      <c r="F27">
        <v>9.9882354736328107</v>
      </c>
      <c r="G27">
        <v>17</v>
      </c>
      <c r="H27">
        <v>6200</v>
      </c>
      <c r="I27" t="s">
        <v>2718</v>
      </c>
      <c r="J27" t="s">
        <v>729</v>
      </c>
      <c r="K27" t="s">
        <v>138</v>
      </c>
      <c r="O27" t="str">
        <f t="shared" si="0"/>
        <v>Dalton Schultz</v>
      </c>
      <c r="P27" t="str">
        <f>IFERROR(VLOOKUP(O:O,'Name Bridge'!A:B,2,FALSE),O:O)</f>
        <v>Dalton Schultz</v>
      </c>
      <c r="Q27" s="10">
        <f>VLOOKUP($K27,'CY Defensive Stats Query'!$AC:$AH,2,FALSE)</f>
        <v>6.5263157894736841</v>
      </c>
      <c r="R27" s="10">
        <f>VLOOKUP($K27,'CY Defensive Stats Query'!$AC:$AH,4,FALSE)</f>
        <v>4.7051282051282053</v>
      </c>
      <c r="S27" s="10">
        <f>VLOOKUP($K27,'CY Defensive Stats Query'!$AC:$AH,6,FALSE)</f>
        <v>10.191780821917808</v>
      </c>
      <c r="T27" s="10">
        <f>IFERROR(VLOOKUP($P27,'CYPassing Query'!$B:$AE,9,FALSE)/VLOOKUP($P27,'CYPassing Query'!$B:$AE,5,FALSE),0)</f>
        <v>0</v>
      </c>
      <c r="U27" s="10">
        <f>IFERROR(VLOOKUP($P27,'CYPassing Query'!$B:$AE,11,FALSE)/VLOOKUP($P27,'CYPassing Query'!$B:$AE,5,FALSE),0)</f>
        <v>0</v>
      </c>
      <c r="V27" s="10">
        <f>IFERROR(VLOOKUP($P27,'CYPassing Query'!$B:$AE,18,FALSE),0)</f>
        <v>0</v>
      </c>
      <c r="W27" s="10">
        <f>IFERROR(VLOOKUP($P27,'CYPassing Query'!$B:$AE,12,FALSE)/VLOOKUP($P27,'CYPassing Query'!$B:$AE,5,FALSE),0)</f>
        <v>0</v>
      </c>
      <c r="X27" s="10">
        <f>IFERROR(IF(OR($B27="D",$B27="K"),0,VLOOKUP($P27,'CY Receving Query'!$B:$S,7,FALSE)/VLOOKUP($P27,'CY Receving Query'!$B:$S,5,FALSE)),0)*$AJ27</f>
        <v>6.117647058823529</v>
      </c>
      <c r="Y27" s="10">
        <f>IFERROR(VLOOKUP($P27,'CY Receving Query'!$B:$S,8,FALSE)/VLOOKUP($P27,'CY Receving Query'!$B:$S,5,FALSE),0)</f>
        <v>4.5882352941176467</v>
      </c>
      <c r="Z27" s="10">
        <f>IFERROR(VLOOKUP($P27,'CY Receving Query'!$B:$S,10,FALSE)/VLOOKUP($P27,'CY Receving Query'!$B:$S,5,FALSE),0)</f>
        <v>47.529411764705884</v>
      </c>
      <c r="AA27" s="10">
        <f>IFERROR(VLOOKUP($P27,'CY Receving Query'!$B:$S,11,FALSE),0)</f>
        <v>10.4</v>
      </c>
      <c r="AB27" s="10">
        <f>IFERROR(AVERAGE(VLOOKUP($P27,'PY Receiving'!$C:$T,14,FALSE),VLOOKUP($P27,'CY Receiving'!$C:$T,14,FALSE)),0)</f>
        <v>22</v>
      </c>
      <c r="AC27" s="10">
        <f>IFERROR(VLOOKUP($P27,'CY Receving Query'!$B:$S,11,FALSE)/VLOOKUP($P27,'CY Receving Query'!$B:$S,5,FALSE),0)</f>
        <v>0.61176470588235299</v>
      </c>
      <c r="AD27" s="10">
        <f>IFERROR(VLOOKUP($P27,'CY Rushing Query'!$B:$O,7,FALSE)/VLOOKUP($P27,'CY Rushing Query'!$B:$O,5,FALSE),0)</f>
        <v>0</v>
      </c>
      <c r="AE27" s="10">
        <f>IFERROR(AVERAGE(VLOOKUP($P27,'PY Rushing'!$C:$P,8,FALSE)/VLOOKUP($P27,'PY Rushing'!$C:$P,5,FALSE),VLOOKUP($P27,'CY Rushing'!$C:$P,8,FALSE)/VLOOKUP($P27,'CY Rushing'!$C:$P,5,FALSE)),0)</f>
        <v>0</v>
      </c>
      <c r="AF27" s="10">
        <f>IFERROR(VLOOKUP($P27,'CY Rushing Query'!$B:$P,12,FALSE),0)</f>
        <v>0</v>
      </c>
      <c r="AG27" s="10">
        <f>IFERROR(VLOOKUP($P27,'CY Rushing Query'!$B:$P,9,FALSE)/VLOOKUP($P27,'CY Rushing Query'!$B:$P,5,FALSE),0)</f>
        <v>0</v>
      </c>
      <c r="AH27" s="10">
        <f>VLOOKUP($J27,'Vegas Odds'!$B:$S,18,FALSE)</f>
        <v>38.06292701199007</v>
      </c>
      <c r="AI27" s="10">
        <f>VLOOKUP($J27,'Vegas Odds'!$B:$S,17,FALSE)</f>
        <v>29.237072988009928</v>
      </c>
      <c r="AJ27">
        <f t="shared" si="13"/>
        <v>1</v>
      </c>
      <c r="AK27" s="10">
        <f t="shared" si="1"/>
        <v>0</v>
      </c>
      <c r="AL27" s="10">
        <f t="shared" si="2"/>
        <v>0</v>
      </c>
      <c r="AM27" s="10">
        <f>V27/'CY Defensive Stats Query'!$AD$34*'Fanduel Export'!Q27</f>
        <v>0</v>
      </c>
      <c r="AN27" s="10">
        <f t="shared" si="19"/>
        <v>0</v>
      </c>
      <c r="AO27" s="10">
        <f>IFERROR(IF(OR($B27="D",$B27="K"),0,VLOOKUP($P27,'CY Receving Query'!$B:$S,7,FALSE)/VLOOKUP($P27,'CY Receving Query'!$B:$S,5,FALSE)),0)*$AJ27</f>
        <v>6.117647058823529</v>
      </c>
      <c r="AP27" s="10">
        <f t="shared" si="3"/>
        <v>30.199512497306614</v>
      </c>
      <c r="AQ27" s="10">
        <f t="shared" si="4"/>
        <v>7.710573258620756</v>
      </c>
      <c r="AR27" s="16">
        <f t="shared" si="14"/>
        <v>4.5882352941176467</v>
      </c>
      <c r="AS27" s="16">
        <f t="shared" si="5"/>
        <v>5.7829299439655673</v>
      </c>
      <c r="AT27" s="16">
        <f>AA27/'CY Defensive Stats Query'!$AH$34
*'Fanduel Export'!S27</f>
        <v>10.081335008871887</v>
      </c>
      <c r="AU27" s="10">
        <f t="shared" si="20"/>
        <v>58.299654097953614</v>
      </c>
      <c r="AV27" s="10">
        <f t="shared" si="15"/>
        <v>0</v>
      </c>
      <c r="AW27" s="10">
        <f t="shared" si="7"/>
        <v>30.007352941176471</v>
      </c>
      <c r="AX27" s="10">
        <f t="shared" si="16"/>
        <v>0</v>
      </c>
      <c r="AY27" s="10">
        <f>AF27/'CY Defensive Stats Query'!$AF$34
*R27</f>
        <v>0</v>
      </c>
      <c r="AZ27" s="10">
        <f t="shared" si="21"/>
        <v>0</v>
      </c>
      <c r="BA27" s="16">
        <f t="shared" si="17"/>
        <v>8.124083056854186</v>
      </c>
      <c r="BB27" s="16">
        <f t="shared" si="8"/>
        <v>1.3103359769119653</v>
      </c>
      <c r="BC27" s="10">
        <f t="shared" si="9"/>
        <v>0.98671726755218203</v>
      </c>
      <c r="BD27" s="10">
        <f>IF(B27="QB",COUNTIFS($B$5:B27,B27,$J$5:J27,J27),1)</f>
        <v>1</v>
      </c>
      <c r="BE27" t="str">
        <f t="shared" si="10"/>
        <v>Dalton Schultz</v>
      </c>
      <c r="BF27">
        <f t="shared" si="11"/>
        <v>6200</v>
      </c>
      <c r="BG27" t="str">
        <f t="shared" si="12"/>
        <v>TE</v>
      </c>
      <c r="BH27" s="16">
        <f t="shared" si="18"/>
        <v>8.124083056854186</v>
      </c>
    </row>
    <row r="28" spans="1:60" hidden="1" x14ac:dyDescent="0.2">
      <c r="A28" t="s">
        <v>2754</v>
      </c>
      <c r="B28" t="s">
        <v>79</v>
      </c>
      <c r="C28" t="s">
        <v>2755</v>
      </c>
      <c r="D28" t="s">
        <v>190</v>
      </c>
      <c r="E28" t="s">
        <v>2756</v>
      </c>
      <c r="F28">
        <v>11.5533332824707</v>
      </c>
      <c r="G28">
        <v>3</v>
      </c>
      <c r="H28">
        <v>6200</v>
      </c>
      <c r="I28" t="s">
        <v>2720</v>
      </c>
      <c r="J28" t="s">
        <v>102</v>
      </c>
      <c r="K28" t="s">
        <v>728</v>
      </c>
      <c r="O28" t="str">
        <f t="shared" si="0"/>
        <v>Gardner Minshew II</v>
      </c>
      <c r="P28" t="str">
        <f>IFERROR(VLOOKUP(O:O,'Name Bridge'!A:B,2,FALSE),O:O)</f>
        <v>Gardner Minshew II</v>
      </c>
      <c r="Q28" s="10">
        <f>VLOOKUP($K28,'CY Defensive Stats Query'!$AC:$AH,2,FALSE)</f>
        <v>7.0486111111111107</v>
      </c>
      <c r="R28" s="10">
        <f>VLOOKUP($K28,'CY Defensive Stats Query'!$AC:$AH,4,FALSE)</f>
        <v>3.0806451612903225</v>
      </c>
      <c r="S28" s="10">
        <f>VLOOKUP($K28,'CY Defensive Stats Query'!$AC:$AH,6,FALSE)</f>
        <v>9.759615384615385</v>
      </c>
      <c r="T28" s="10">
        <f>IFERROR(VLOOKUP($P28,'CYPassing Query'!$B:$AE,9,FALSE)/VLOOKUP($P28,'CYPassing Query'!$B:$AE,5,FALSE),0)</f>
        <v>15</v>
      </c>
      <c r="U28" s="10">
        <f>IFERROR(VLOOKUP($P28,'CYPassing Query'!$B:$AE,11,FALSE)/VLOOKUP($P28,'CYPassing Query'!$B:$AE,5,FALSE),0)</f>
        <v>109.75</v>
      </c>
      <c r="V28" s="10">
        <f>IFERROR(VLOOKUP($P28,'CYPassing Query'!$B:$AE,18,FALSE),0)</f>
        <v>7.3</v>
      </c>
      <c r="W28" s="10">
        <f>IFERROR(VLOOKUP($P28,'CYPassing Query'!$B:$AE,12,FALSE)/VLOOKUP($P28,'CYPassing Query'!$B:$AE,5,FALSE),0)</f>
        <v>1</v>
      </c>
      <c r="X28" s="10">
        <f>IFERROR(IF(OR($B28="D",$B28="K"),0,VLOOKUP($P28,'CY Receving Query'!$B:$S,7,FALSE)/VLOOKUP($P28,'CY Receving Query'!$B:$S,5,FALSE)),0)*$AJ28</f>
        <v>0</v>
      </c>
      <c r="Y28" s="10">
        <f>IFERROR(VLOOKUP($P28,'CY Receving Query'!$B:$S,8,FALSE)/VLOOKUP($P28,'CY Receving Query'!$B:$S,5,FALSE),0)</f>
        <v>0</v>
      </c>
      <c r="Z28" s="10">
        <f>IFERROR(VLOOKUP($P28,'CY Receving Query'!$B:$S,10,FALSE)/VLOOKUP($P28,'CY Receving Query'!$B:$S,5,FALSE),0)</f>
        <v>0</v>
      </c>
      <c r="AA28" s="10">
        <f>IFERROR(VLOOKUP($P28,'CY Receving Query'!$B:$S,11,FALSE),0)</f>
        <v>0</v>
      </c>
      <c r="AB28" s="10">
        <f>IFERROR(AVERAGE(VLOOKUP($P28,'PY Receiving'!$C:$T,14,FALSE),VLOOKUP($P28,'CY Receiving'!$C:$T,14,FALSE)),0)</f>
        <v>0</v>
      </c>
      <c r="AC28" s="10">
        <f>IFERROR(VLOOKUP($P28,'CY Receving Query'!$B:$S,11,FALSE)/VLOOKUP($P28,'CY Receving Query'!$B:$S,5,FALSE),0)</f>
        <v>0</v>
      </c>
      <c r="AD28" s="10">
        <f>IFERROR(VLOOKUP($P28,'CY Rushing Query'!$B:$O,7,FALSE)/VLOOKUP($P28,'CY Rushing Query'!$B:$O,5,FALSE),0)</f>
        <v>2.25</v>
      </c>
      <c r="AE28" s="10">
        <f>IFERROR(AVERAGE(VLOOKUP($P28,'PY Rushing'!$C:$P,8,FALSE)/VLOOKUP($P28,'PY Rushing'!$C:$P,5,FALSE),VLOOKUP($P28,'CY Rushing'!$C:$P,8,FALSE)/VLOOKUP($P28,'CY Rushing'!$C:$P,5,FALSE)),0)</f>
        <v>0</v>
      </c>
      <c r="AF28" s="10">
        <f>IFERROR(VLOOKUP($P28,'CY Rushing Query'!$B:$P,12,FALSE),0)</f>
        <v>2.2999999999999998</v>
      </c>
      <c r="AG28" s="10">
        <f>IFERROR(VLOOKUP($P28,'CY Rushing Query'!$B:$P,9,FALSE)/VLOOKUP($P28,'CY Rushing Query'!$B:$P,5,FALSE),0)</f>
        <v>0</v>
      </c>
      <c r="AH28" s="10">
        <f>VLOOKUP($J28,'Vegas Odds'!$B:$S,18,FALSE)</f>
        <v>44.85966247691475</v>
      </c>
      <c r="AI28" s="10">
        <f>VLOOKUP($J28,'Vegas Odds'!$B:$S,17,FALSE)</f>
        <v>17.740337523085255</v>
      </c>
      <c r="AJ28">
        <f t="shared" si="13"/>
        <v>0</v>
      </c>
      <c r="AK28" s="10">
        <f t="shared" si="1"/>
        <v>0</v>
      </c>
      <c r="AL28" s="10">
        <f t="shared" si="2"/>
        <v>0</v>
      </c>
      <c r="AM28" s="10">
        <f>V28/'CY Defensive Stats Query'!$AD$34*'Fanduel Export'!Q28</f>
        <v>7.3084605355814194</v>
      </c>
      <c r="AN28" s="10">
        <f t="shared" si="19"/>
        <v>0</v>
      </c>
      <c r="AO28" s="10">
        <f>IFERROR(IF(OR($B28="D",$B28="K"),0,VLOOKUP($P28,'CY Receving Query'!$B:$S,7,FALSE)/VLOOKUP($P28,'CY Receving Query'!$B:$S,5,FALSE)),0)*$AJ28</f>
        <v>0</v>
      </c>
      <c r="AP28" s="10">
        <f t="shared" si="3"/>
        <v>28.54982492997199</v>
      </c>
      <c r="AQ28" s="10">
        <f t="shared" si="4"/>
        <v>0</v>
      </c>
      <c r="AR28" s="16">
        <f t="shared" si="14"/>
        <v>0</v>
      </c>
      <c r="AS28" s="16">
        <f t="shared" si="5"/>
        <v>0</v>
      </c>
      <c r="AT28" s="16">
        <f>AA28/'CY Defensive Stats Query'!$AH$34
*'Fanduel Export'!S28</f>
        <v>0</v>
      </c>
      <c r="AU28" s="10">
        <f t="shared" si="20"/>
        <v>0</v>
      </c>
      <c r="AV28" s="10">
        <f t="shared" si="15"/>
        <v>0</v>
      </c>
      <c r="AW28" s="10">
        <f t="shared" si="7"/>
        <v>56.303606442577035</v>
      </c>
      <c r="AX28" s="10">
        <f t="shared" si="16"/>
        <v>0</v>
      </c>
      <c r="AY28" s="10">
        <f>AF28/'CY Defensive Stats Query'!$AF$34
*R28</f>
        <v>1.7133412132443719</v>
      </c>
      <c r="AZ28" s="10">
        <f t="shared" si="21"/>
        <v>0</v>
      </c>
      <c r="BA28" s="16">
        <f t="shared" si="17"/>
        <v>0</v>
      </c>
      <c r="BB28" s="16">
        <f t="shared" si="8"/>
        <v>0</v>
      </c>
      <c r="BC28" s="10">
        <f t="shared" si="9"/>
        <v>0</v>
      </c>
      <c r="BD28" s="10">
        <f>IF(B28="QB",COUNTIFS($B$5:B28,B28,$J$5:J28,J28),1)</f>
        <v>2</v>
      </c>
      <c r="BE28" t="str">
        <f t="shared" si="10"/>
        <v>Gardner Minshew II</v>
      </c>
      <c r="BF28">
        <f t="shared" si="11"/>
        <v>6200</v>
      </c>
      <c r="BG28" t="str">
        <f t="shared" si="12"/>
        <v>QB</v>
      </c>
      <c r="BH28" s="16">
        <f t="shared" si="18"/>
        <v>0</v>
      </c>
    </row>
    <row r="29" spans="1:60" x14ac:dyDescent="0.2">
      <c r="A29" t="s">
        <v>2757</v>
      </c>
      <c r="B29" t="s">
        <v>83</v>
      </c>
      <c r="C29" t="s">
        <v>2758</v>
      </c>
      <c r="D29" t="s">
        <v>278</v>
      </c>
      <c r="E29" t="s">
        <v>209</v>
      </c>
      <c r="F29">
        <v>9.0352944766773895</v>
      </c>
      <c r="G29">
        <v>17</v>
      </c>
      <c r="H29">
        <v>6200</v>
      </c>
      <c r="I29" t="s">
        <v>2720</v>
      </c>
      <c r="J29" t="s">
        <v>102</v>
      </c>
      <c r="K29" t="s">
        <v>728</v>
      </c>
      <c r="O29" t="str">
        <f t="shared" si="0"/>
        <v>DeVonta Smith</v>
      </c>
      <c r="P29" t="str">
        <f>IFERROR(VLOOKUP(O:O,'Name Bridge'!A:B,2,FALSE),O:O)</f>
        <v>DeVonta Smith</v>
      </c>
      <c r="Q29" s="10">
        <f>VLOOKUP($K29,'CY Defensive Stats Query'!$AC:$AH,2,FALSE)</f>
        <v>7.0486111111111107</v>
      </c>
      <c r="R29" s="10">
        <f>VLOOKUP($K29,'CY Defensive Stats Query'!$AC:$AH,4,FALSE)</f>
        <v>3.0806451612903225</v>
      </c>
      <c r="S29" s="10">
        <f>VLOOKUP($K29,'CY Defensive Stats Query'!$AC:$AH,6,FALSE)</f>
        <v>9.759615384615385</v>
      </c>
      <c r="T29" s="10">
        <f>IFERROR(VLOOKUP($P29,'CYPassing Query'!$B:$AE,9,FALSE)/VLOOKUP($P29,'CYPassing Query'!$B:$AE,5,FALSE),0)</f>
        <v>0</v>
      </c>
      <c r="U29" s="10">
        <f>IFERROR(VLOOKUP($P29,'CYPassing Query'!$B:$AE,11,FALSE)/VLOOKUP($P29,'CYPassing Query'!$B:$AE,5,FALSE),0)</f>
        <v>0</v>
      </c>
      <c r="V29" s="10">
        <f>IFERROR(VLOOKUP($P29,'CYPassing Query'!$B:$AE,18,FALSE),0)</f>
        <v>0</v>
      </c>
      <c r="W29" s="10">
        <f>IFERROR(VLOOKUP($P29,'CYPassing Query'!$B:$AE,12,FALSE)/VLOOKUP($P29,'CYPassing Query'!$B:$AE,5,FALSE),0)</f>
        <v>0</v>
      </c>
      <c r="X29" s="10">
        <f>IFERROR(IF(OR($B29="D",$B29="K"),0,VLOOKUP($P29,'CY Receving Query'!$B:$S,7,FALSE)/VLOOKUP($P29,'CY Receving Query'!$B:$S,5,FALSE)),0)*$AJ29</f>
        <v>6.117647058823529</v>
      </c>
      <c r="Y29" s="10">
        <f>IFERROR(VLOOKUP($P29,'CY Receving Query'!$B:$S,8,FALSE)/VLOOKUP($P29,'CY Receving Query'!$B:$S,5,FALSE),0)</f>
        <v>3.7647058823529411</v>
      </c>
      <c r="Z29" s="10">
        <f>IFERROR(VLOOKUP($P29,'CY Receving Query'!$B:$S,10,FALSE)/VLOOKUP($P29,'CY Receving Query'!$B:$S,5,FALSE),0)</f>
        <v>53.882352941176471</v>
      </c>
      <c r="AA29" s="10">
        <f>IFERROR(VLOOKUP($P29,'CY Receving Query'!$B:$S,11,FALSE),0)</f>
        <v>14.3</v>
      </c>
      <c r="AB29" s="10">
        <f>IFERROR(AVERAGE(VLOOKUP($P29,'PY Receiving'!$C:$T,14,FALSE),VLOOKUP($P29,'CY Receiving'!$C:$T,14,FALSE)),0)</f>
        <v>0</v>
      </c>
      <c r="AC29" s="10">
        <f>IFERROR(VLOOKUP($P29,'CY Receving Query'!$B:$S,11,FALSE)/VLOOKUP($P29,'CY Receving Query'!$B:$S,5,FALSE),0)</f>
        <v>0.8411764705882353</v>
      </c>
      <c r="AD29" s="10">
        <f>IFERROR(VLOOKUP($P29,'CY Rushing Query'!$B:$O,7,FALSE)/VLOOKUP($P29,'CY Rushing Query'!$B:$O,5,FALSE),0)</f>
        <v>0</v>
      </c>
      <c r="AE29" s="10">
        <f>IFERROR(AVERAGE(VLOOKUP($P29,'PY Rushing'!$C:$P,8,FALSE)/VLOOKUP($P29,'PY Rushing'!$C:$P,5,FALSE),VLOOKUP($P29,'CY Rushing'!$C:$P,8,FALSE)/VLOOKUP($P29,'CY Rushing'!$C:$P,5,FALSE)),0)</f>
        <v>0</v>
      </c>
      <c r="AF29" s="10">
        <f>IFERROR(VLOOKUP($P29,'CY Rushing Query'!$B:$P,12,FALSE),0)</f>
        <v>0</v>
      </c>
      <c r="AG29" s="10">
        <f>IFERROR(VLOOKUP($P29,'CY Rushing Query'!$B:$P,9,FALSE)/VLOOKUP($P29,'CY Rushing Query'!$B:$P,5,FALSE),0)</f>
        <v>0</v>
      </c>
      <c r="AH29" s="10">
        <f>VLOOKUP($J29,'Vegas Odds'!$B:$S,18,FALSE)</f>
        <v>44.85966247691475</v>
      </c>
      <c r="AI29" s="10">
        <f>VLOOKUP($J29,'Vegas Odds'!$B:$S,17,FALSE)</f>
        <v>17.740337523085255</v>
      </c>
      <c r="AJ29">
        <f t="shared" si="13"/>
        <v>1</v>
      </c>
      <c r="AK29" s="10">
        <f t="shared" si="1"/>
        <v>0</v>
      </c>
      <c r="AL29" s="10">
        <f t="shared" si="2"/>
        <v>0</v>
      </c>
      <c r="AM29" s="10">
        <f>V29/'CY Defensive Stats Query'!$AD$34*'Fanduel Export'!Q29</f>
        <v>0</v>
      </c>
      <c r="AN29" s="10">
        <f t="shared" si="19"/>
        <v>0</v>
      </c>
      <c r="AO29" s="10">
        <f>IFERROR(IF(OR($B29="D",$B29="K"),0,VLOOKUP($P29,'CY Receving Query'!$B:$S,7,FALSE)/VLOOKUP($P29,'CY Receving Query'!$B:$S,5,FALSE)),0)*$AJ29</f>
        <v>6.117647058823529</v>
      </c>
      <c r="AP29" s="10">
        <f t="shared" si="3"/>
        <v>28.54982492997199</v>
      </c>
      <c r="AQ29" s="10">
        <f t="shared" si="4"/>
        <v>9.612513662863396</v>
      </c>
      <c r="AR29" s="16">
        <f t="shared" si="14"/>
        <v>3.7647058823529411</v>
      </c>
      <c r="AS29" s="16">
        <f t="shared" si="5"/>
        <v>5.9153930233005516</v>
      </c>
      <c r="AT29" s="16">
        <f>AA29/'CY Defensive Stats Query'!$AH$34
*'Fanduel Export'!S29</f>
        <v>13.274047657390515</v>
      </c>
      <c r="AU29" s="10">
        <f t="shared" si="20"/>
        <v>78.52120890348688</v>
      </c>
      <c r="AV29" s="10">
        <f t="shared" si="15"/>
        <v>0</v>
      </c>
      <c r="AW29" s="10">
        <f t="shared" si="7"/>
        <v>56.303606442577035</v>
      </c>
      <c r="AX29" s="10">
        <f t="shared" si="16"/>
        <v>0</v>
      </c>
      <c r="AY29" s="10">
        <f>AF29/'CY Defensive Stats Query'!$AF$34
*R29</f>
        <v>0</v>
      </c>
      <c r="AZ29" s="10">
        <f t="shared" si="21"/>
        <v>0</v>
      </c>
      <c r="BA29" s="16">
        <f t="shared" si="17"/>
        <v>9.7344738315251593</v>
      </c>
      <c r="BB29" s="16">
        <f t="shared" si="8"/>
        <v>1.5700764244395418</v>
      </c>
      <c r="BC29" s="10">
        <f t="shared" si="9"/>
        <v>0.98671726755218203</v>
      </c>
      <c r="BD29" s="10">
        <f>IF(B29="QB",COUNTIFS($B$5:B29,B29,$J$5:J29,J29),1)</f>
        <v>1</v>
      </c>
      <c r="BE29" t="str">
        <f t="shared" si="10"/>
        <v>DeVonta Smith</v>
      </c>
      <c r="BF29">
        <f t="shared" si="11"/>
        <v>6200</v>
      </c>
      <c r="BG29" t="str">
        <f t="shared" si="12"/>
        <v>WR</v>
      </c>
      <c r="BH29" s="16">
        <f t="shared" si="18"/>
        <v>9.7344738315251593</v>
      </c>
    </row>
    <row r="30" spans="1:60" hidden="1" x14ac:dyDescent="0.2">
      <c r="A30" t="s">
        <v>2759</v>
      </c>
      <c r="B30" t="s">
        <v>79</v>
      </c>
      <c r="C30" t="s">
        <v>2281</v>
      </c>
      <c r="D30" t="s">
        <v>229</v>
      </c>
      <c r="E30" t="s">
        <v>2760</v>
      </c>
      <c r="F30">
        <v>0.81999999284744196</v>
      </c>
      <c r="G30">
        <v>4</v>
      </c>
      <c r="H30">
        <v>6100</v>
      </c>
      <c r="I30" t="s">
        <v>2716</v>
      </c>
      <c r="J30" t="s">
        <v>81</v>
      </c>
      <c r="K30" t="s">
        <v>99</v>
      </c>
      <c r="O30" t="str">
        <f t="shared" si="0"/>
        <v>Chad Henne</v>
      </c>
      <c r="P30" t="str">
        <f>IFERROR(VLOOKUP(O:O,'Name Bridge'!A:B,2,FALSE),O:O)</f>
        <v>Chad Henne</v>
      </c>
      <c r="Q30" s="10">
        <f>VLOOKUP($K30,'CY Defensive Stats Query'!$AC:$AH,2,FALSE)</f>
        <v>7.5377358490566042</v>
      </c>
      <c r="R30" s="10">
        <f>VLOOKUP($K30,'CY Defensive Stats Query'!$AC:$AH,4,FALSE)</f>
        <v>3.5810810810810811</v>
      </c>
      <c r="S30" s="10">
        <f>VLOOKUP($K30,'CY Defensive Stats Query'!$AC:$AH,6,FALSE)</f>
        <v>11.097222222222221</v>
      </c>
      <c r="T30" s="10">
        <f>IFERROR(VLOOKUP($P30,'CYPassing Query'!$B:$AE,9,FALSE)/VLOOKUP($P30,'CYPassing Query'!$B:$AE,5,FALSE),0)</f>
        <v>4</v>
      </c>
      <c r="U30" s="10">
        <f>IFERROR(VLOOKUP($P30,'CYPassing Query'!$B:$AE,11,FALSE)/VLOOKUP($P30,'CYPassing Query'!$B:$AE,5,FALSE),0)</f>
        <v>20.5</v>
      </c>
      <c r="V30" s="10">
        <f>IFERROR(VLOOKUP($P30,'CYPassing Query'!$B:$AE,18,FALSE),0)</f>
        <v>5.0999999999999996</v>
      </c>
      <c r="W30" s="10">
        <f>IFERROR(VLOOKUP($P30,'CYPassing Query'!$B:$AE,12,FALSE)/VLOOKUP($P30,'CYPassing Query'!$B:$AE,5,FALSE),0)</f>
        <v>0</v>
      </c>
      <c r="X30" s="10">
        <f>IFERROR(IF(OR($B30="D",$B30="K"),0,VLOOKUP($P30,'CY Receving Query'!$B:$S,7,FALSE)/VLOOKUP($P30,'CY Receving Query'!$B:$S,5,FALSE)),0)*$AJ30</f>
        <v>0</v>
      </c>
      <c r="Y30" s="10">
        <f>IFERROR(VLOOKUP($P30,'CY Receving Query'!$B:$S,8,FALSE)/VLOOKUP($P30,'CY Receving Query'!$B:$S,5,FALSE),0)</f>
        <v>0</v>
      </c>
      <c r="Z30" s="10">
        <f>IFERROR(VLOOKUP($P30,'CY Receving Query'!$B:$S,10,FALSE)/VLOOKUP($P30,'CY Receving Query'!$B:$S,5,FALSE),0)</f>
        <v>0</v>
      </c>
      <c r="AA30" s="10">
        <f>IFERROR(VLOOKUP($P30,'CY Receving Query'!$B:$S,11,FALSE),0)</f>
        <v>0</v>
      </c>
      <c r="AB30" s="10">
        <f>IFERROR(AVERAGE(VLOOKUP($P30,'PY Receiving'!$C:$T,14,FALSE),VLOOKUP($P30,'CY Receiving'!$C:$T,14,FALSE)),0)</f>
        <v>0</v>
      </c>
      <c r="AC30" s="10">
        <f>IFERROR(VLOOKUP($P30,'CY Receving Query'!$B:$S,11,FALSE)/VLOOKUP($P30,'CY Receving Query'!$B:$S,5,FALSE),0)</f>
        <v>0</v>
      </c>
      <c r="AD30" s="10">
        <f>IFERROR(VLOOKUP($P30,'CY Rushing Query'!$B:$O,7,FALSE)/VLOOKUP($P30,'CY Rushing Query'!$B:$O,5,FALSE),0)</f>
        <v>2</v>
      </c>
      <c r="AE30" s="10">
        <f>IFERROR(AVERAGE(VLOOKUP($P30,'PY Rushing'!$C:$P,8,FALSE)/VLOOKUP($P30,'PY Rushing'!$C:$P,5,FALSE),VLOOKUP($P30,'CY Rushing'!$C:$P,8,FALSE)/VLOOKUP($P30,'CY Rushing'!$C:$P,5,FALSE)),0)</f>
        <v>0</v>
      </c>
      <c r="AF30" s="10">
        <f>IFERROR(VLOOKUP($P30,'CY Rushing Query'!$B:$P,12,FALSE),0)</f>
        <v>0</v>
      </c>
      <c r="AG30" s="10">
        <f>IFERROR(VLOOKUP($P30,'CY Rushing Query'!$B:$P,9,FALSE)/VLOOKUP($P30,'CY Rushing Query'!$B:$P,5,FALSE),0)</f>
        <v>0</v>
      </c>
      <c r="AH30" s="10">
        <f>VLOOKUP($J30,'Vegas Odds'!$B:$S,18,FALSE)</f>
        <v>37.933262350936971</v>
      </c>
      <c r="AI30" s="10">
        <f>VLOOKUP($J30,'Vegas Odds'!$B:$S,17,FALSE)</f>
        <v>27.766737649063032</v>
      </c>
      <c r="AJ30">
        <f t="shared" si="13"/>
        <v>0</v>
      </c>
      <c r="AK30" s="10">
        <f t="shared" si="1"/>
        <v>0</v>
      </c>
      <c r="AL30" s="10">
        <f t="shared" si="2"/>
        <v>0</v>
      </c>
      <c r="AM30" s="10">
        <f>V30/'CY Defensive Stats Query'!$AD$34*'Fanduel Export'!Q30</f>
        <v>5.4602255906141206</v>
      </c>
      <c r="AN30" s="10">
        <f t="shared" si="19"/>
        <v>0</v>
      </c>
      <c r="AO30" s="10">
        <f>IFERROR(IF(OR($B30="D",$B30="K"),0,VLOOKUP($P30,'CY Receving Query'!$B:$S,7,FALSE)/VLOOKUP($P30,'CY Receving Query'!$B:$S,5,FALSE)),0)*$AJ30</f>
        <v>0</v>
      </c>
      <c r="AP30" s="10">
        <f t="shared" si="3"/>
        <v>37.365221788015901</v>
      </c>
      <c r="AQ30" s="10">
        <f t="shared" si="4"/>
        <v>0</v>
      </c>
      <c r="AR30" s="16">
        <f t="shared" si="14"/>
        <v>0</v>
      </c>
      <c r="AS30" s="16">
        <f t="shared" si="5"/>
        <v>0</v>
      </c>
      <c r="AT30" s="16">
        <f>AA30/'CY Defensive Stats Query'!$AH$34
*'Fanduel Export'!S30</f>
        <v>0</v>
      </c>
      <c r="AU30" s="10">
        <f t="shared" si="20"/>
        <v>0</v>
      </c>
      <c r="AV30" s="10">
        <f t="shared" si="15"/>
        <v>0</v>
      </c>
      <c r="AW30" s="10">
        <f t="shared" si="7"/>
        <v>19.787381735911151</v>
      </c>
      <c r="AX30" s="10">
        <f t="shared" si="16"/>
        <v>0</v>
      </c>
      <c r="AY30" s="10">
        <f>AF30/'CY Defensive Stats Query'!$AF$34
*R30</f>
        <v>0</v>
      </c>
      <c r="AZ30" s="10">
        <f t="shared" si="21"/>
        <v>0</v>
      </c>
      <c r="BA30" s="16">
        <f t="shared" si="17"/>
        <v>0</v>
      </c>
      <c r="BB30" s="16">
        <f t="shared" si="8"/>
        <v>0</v>
      </c>
      <c r="BC30" s="10">
        <f t="shared" si="9"/>
        <v>0</v>
      </c>
      <c r="BD30" s="10">
        <f>IF(B30="QB",COUNTIFS($B$5:B30,B30,$J$5:J30,J30),1)</f>
        <v>2</v>
      </c>
      <c r="BE30" t="str">
        <f t="shared" si="10"/>
        <v>Chad Henne</v>
      </c>
      <c r="BF30">
        <f t="shared" si="11"/>
        <v>6100</v>
      </c>
      <c r="BG30" t="str">
        <f t="shared" si="12"/>
        <v>QB</v>
      </c>
      <c r="BH30" s="16">
        <f t="shared" si="18"/>
        <v>0</v>
      </c>
    </row>
    <row r="31" spans="1:60" hidden="1" x14ac:dyDescent="0.2">
      <c r="A31" t="s">
        <v>2761</v>
      </c>
      <c r="B31" t="s">
        <v>79</v>
      </c>
      <c r="C31" t="s">
        <v>2208</v>
      </c>
      <c r="D31" t="s">
        <v>2446</v>
      </c>
      <c r="E31" t="s">
        <v>2762</v>
      </c>
      <c r="F31">
        <v>6.2699999809265101</v>
      </c>
      <c r="G31">
        <v>4</v>
      </c>
      <c r="H31">
        <v>6100</v>
      </c>
      <c r="I31" t="s">
        <v>2718</v>
      </c>
      <c r="J31" t="s">
        <v>729</v>
      </c>
      <c r="K31" t="s">
        <v>138</v>
      </c>
      <c r="O31" t="str">
        <f t="shared" si="0"/>
        <v>Cooper Rush</v>
      </c>
      <c r="P31" t="str">
        <f>IFERROR(VLOOKUP(O:O,'Name Bridge'!A:B,2,FALSE),O:O)</f>
        <v>Cooper Rush</v>
      </c>
      <c r="Q31" s="10">
        <f>VLOOKUP($K31,'CY Defensive Stats Query'!$AC:$AH,2,FALSE)</f>
        <v>6.5263157894736841</v>
      </c>
      <c r="R31" s="10">
        <f>VLOOKUP($K31,'CY Defensive Stats Query'!$AC:$AH,4,FALSE)</f>
        <v>4.7051282051282053</v>
      </c>
      <c r="S31" s="10">
        <f>VLOOKUP($K31,'CY Defensive Stats Query'!$AC:$AH,6,FALSE)</f>
        <v>10.191780821917808</v>
      </c>
      <c r="T31" s="10">
        <f>IFERROR(VLOOKUP($P31,'CYPassing Query'!$B:$AE,9,FALSE)/VLOOKUP($P31,'CYPassing Query'!$B:$AE,5,FALSE),0)</f>
        <v>9.4</v>
      </c>
      <c r="U31" s="10">
        <f>IFERROR(VLOOKUP($P31,'CYPassing Query'!$B:$AE,11,FALSE)/VLOOKUP($P31,'CYPassing Query'!$B:$AE,5,FALSE),0)</f>
        <v>84.4</v>
      </c>
      <c r="V31" s="10">
        <f>IFERROR(VLOOKUP($P31,'CYPassing Query'!$B:$AE,18,FALSE),0)</f>
        <v>9</v>
      </c>
      <c r="W31" s="10">
        <f>IFERROR(VLOOKUP($P31,'CYPassing Query'!$B:$AE,12,FALSE)/VLOOKUP($P31,'CYPassing Query'!$B:$AE,5,FALSE),0)</f>
        <v>0.6</v>
      </c>
      <c r="X31" s="10">
        <f>IFERROR(IF(OR($B31="D",$B31="K"),0,VLOOKUP($P31,'CY Receving Query'!$B:$S,7,FALSE)/VLOOKUP($P31,'CY Receving Query'!$B:$S,5,FALSE)),0)*$AJ31</f>
        <v>0</v>
      </c>
      <c r="Y31" s="10">
        <f>IFERROR(VLOOKUP($P31,'CY Receving Query'!$B:$S,8,FALSE)/VLOOKUP($P31,'CY Receving Query'!$B:$S,5,FALSE),0)</f>
        <v>0</v>
      </c>
      <c r="Z31" s="10">
        <f>IFERROR(VLOOKUP($P31,'CY Receving Query'!$B:$S,10,FALSE)/VLOOKUP($P31,'CY Receving Query'!$B:$S,5,FALSE),0)</f>
        <v>0</v>
      </c>
      <c r="AA31" s="10">
        <f>IFERROR(VLOOKUP($P31,'CY Receving Query'!$B:$S,11,FALSE),0)</f>
        <v>0</v>
      </c>
      <c r="AB31" s="10">
        <f>IFERROR(AVERAGE(VLOOKUP($P31,'PY Receiving'!$C:$T,14,FALSE),VLOOKUP($P31,'CY Receiving'!$C:$T,14,FALSE)),0)</f>
        <v>0</v>
      </c>
      <c r="AC31" s="10">
        <f>IFERROR(VLOOKUP($P31,'CY Receving Query'!$B:$S,11,FALSE)/VLOOKUP($P31,'CY Receving Query'!$B:$S,5,FALSE),0)</f>
        <v>0</v>
      </c>
      <c r="AD31" s="10">
        <f>IFERROR(VLOOKUP($P31,'CY Rushing Query'!$B:$O,7,FALSE)/VLOOKUP($P31,'CY Rushing Query'!$B:$O,5,FALSE),0)</f>
        <v>1.8</v>
      </c>
      <c r="AE31" s="10">
        <f>IFERROR(AVERAGE(VLOOKUP($P31,'PY Rushing'!$C:$P,8,FALSE)/VLOOKUP($P31,'PY Rushing'!$C:$P,5,FALSE),VLOOKUP($P31,'CY Rushing'!$C:$P,8,FALSE)/VLOOKUP($P31,'CY Rushing'!$C:$P,5,FALSE)),0)</f>
        <v>0</v>
      </c>
      <c r="AF31" s="10">
        <f>IFERROR(VLOOKUP($P31,'CY Rushing Query'!$B:$P,12,FALSE),0)</f>
        <v>-0.9</v>
      </c>
      <c r="AG31" s="10">
        <f>IFERROR(VLOOKUP($P31,'CY Rushing Query'!$B:$P,9,FALSE)/VLOOKUP($P31,'CY Rushing Query'!$B:$P,5,FALSE),0)</f>
        <v>0</v>
      </c>
      <c r="AH31" s="10">
        <f>VLOOKUP($J31,'Vegas Odds'!$B:$S,18,FALSE)</f>
        <v>38.06292701199007</v>
      </c>
      <c r="AI31" s="10">
        <f>VLOOKUP($J31,'Vegas Odds'!$B:$S,17,FALSE)</f>
        <v>29.237072988009928</v>
      </c>
      <c r="AJ31">
        <f t="shared" si="13"/>
        <v>0</v>
      </c>
      <c r="AK31" s="10">
        <f t="shared" si="1"/>
        <v>0</v>
      </c>
      <c r="AL31" s="10">
        <f t="shared" si="2"/>
        <v>0</v>
      </c>
      <c r="AM31" s="10">
        <f>V31/'CY Defensive Stats Query'!$AD$34*'Fanduel Export'!Q31</f>
        <v>8.3427665188721196</v>
      </c>
      <c r="AN31" s="10">
        <f t="shared" si="19"/>
        <v>0</v>
      </c>
      <c r="AO31" s="10">
        <f>IFERROR(IF(OR($B31="D",$B31="K"),0,VLOOKUP($P31,'CY Receving Query'!$B:$S,7,FALSE)/VLOOKUP($P31,'CY Receving Query'!$B:$S,5,FALSE)),0)*$AJ31</f>
        <v>0</v>
      </c>
      <c r="AP31" s="10">
        <f t="shared" si="3"/>
        <v>30.199512497306614</v>
      </c>
      <c r="AQ31" s="10">
        <f t="shared" si="4"/>
        <v>0</v>
      </c>
      <c r="AR31" s="16">
        <f t="shared" si="14"/>
        <v>0</v>
      </c>
      <c r="AS31" s="16">
        <f t="shared" si="5"/>
        <v>0</v>
      </c>
      <c r="AT31" s="16">
        <f>AA31/'CY Defensive Stats Query'!$AH$34
*'Fanduel Export'!S31</f>
        <v>0</v>
      </c>
      <c r="AU31" s="10">
        <f t="shared" si="20"/>
        <v>0</v>
      </c>
      <c r="AV31" s="10">
        <f t="shared" si="15"/>
        <v>0</v>
      </c>
      <c r="AW31" s="10">
        <f t="shared" si="7"/>
        <v>30.007352941176471</v>
      </c>
      <c r="AX31" s="10">
        <f t="shared" si="16"/>
        <v>0</v>
      </c>
      <c r="AY31" s="10">
        <f>AF31/'CY Defensive Stats Query'!$AF$34
*R31</f>
        <v>-1.0239725603537739</v>
      </c>
      <c r="AZ31" s="10">
        <f t="shared" si="21"/>
        <v>0</v>
      </c>
      <c r="BA31" s="16">
        <f t="shared" si="17"/>
        <v>0</v>
      </c>
      <c r="BB31" s="16">
        <f t="shared" si="8"/>
        <v>0</v>
      </c>
      <c r="BC31" s="10">
        <f t="shared" si="9"/>
        <v>0</v>
      </c>
      <c r="BD31" s="10">
        <f>IF(B31="QB",COUNTIFS($B$5:B31,B31,$J$5:J31,J31),1)</f>
        <v>2</v>
      </c>
      <c r="BE31" t="str">
        <f t="shared" si="10"/>
        <v>Cooper Rush</v>
      </c>
      <c r="BF31">
        <f t="shared" si="11"/>
        <v>6100</v>
      </c>
      <c r="BG31" t="str">
        <f t="shared" si="12"/>
        <v>QB</v>
      </c>
      <c r="BH31" s="16">
        <f t="shared" si="18"/>
        <v>0</v>
      </c>
    </row>
    <row r="32" spans="1:60" x14ac:dyDescent="0.2">
      <c r="A32" t="s">
        <v>2763</v>
      </c>
      <c r="B32" t="s">
        <v>83</v>
      </c>
      <c r="C32" t="s">
        <v>2227</v>
      </c>
      <c r="D32" t="s">
        <v>174</v>
      </c>
      <c r="E32" t="s">
        <v>2674</v>
      </c>
      <c r="F32">
        <v>8.37058841480928</v>
      </c>
      <c r="G32">
        <v>17</v>
      </c>
      <c r="H32">
        <v>6100</v>
      </c>
      <c r="I32" t="s">
        <v>2718</v>
      </c>
      <c r="J32" t="s">
        <v>138</v>
      </c>
      <c r="K32" t="s">
        <v>729</v>
      </c>
      <c r="O32" t="str">
        <f t="shared" si="0"/>
        <v>Brandon Aiyuk</v>
      </c>
      <c r="P32" t="str">
        <f>IFERROR(VLOOKUP(O:O,'Name Bridge'!A:B,2,FALSE),O:O)</f>
        <v>Brandon Aiyuk</v>
      </c>
      <c r="Q32" s="10">
        <f>VLOOKUP($K32,'CY Defensive Stats Query'!$AC:$AH,2,FALSE)</f>
        <v>7.6538461538461542</v>
      </c>
      <c r="R32" s="10">
        <f>VLOOKUP($K32,'CY Defensive Stats Query'!$AC:$AH,4,FALSE)</f>
        <v>4.6888888888888891</v>
      </c>
      <c r="S32" s="10">
        <f>VLOOKUP($K32,'CY Defensive Stats Query'!$AC:$AH,6,FALSE)</f>
        <v>11.306818181818182</v>
      </c>
      <c r="T32" s="10">
        <f>IFERROR(VLOOKUP($P32,'CYPassing Query'!$B:$AE,9,FALSE)/VLOOKUP($P32,'CYPassing Query'!$B:$AE,5,FALSE),0)</f>
        <v>0</v>
      </c>
      <c r="U32" s="10">
        <f>IFERROR(VLOOKUP($P32,'CYPassing Query'!$B:$AE,11,FALSE)/VLOOKUP($P32,'CYPassing Query'!$B:$AE,5,FALSE),0)</f>
        <v>0</v>
      </c>
      <c r="V32" s="10">
        <f>IFERROR(VLOOKUP($P32,'CYPassing Query'!$B:$AE,18,FALSE),0)</f>
        <v>0</v>
      </c>
      <c r="W32" s="10">
        <f>IFERROR(VLOOKUP($P32,'CYPassing Query'!$B:$AE,12,FALSE)/VLOOKUP($P32,'CYPassing Query'!$B:$AE,5,FALSE),0)</f>
        <v>0</v>
      </c>
      <c r="X32" s="10">
        <f>IFERROR(IF(OR($B32="D",$B32="K"),0,VLOOKUP($P32,'CY Receving Query'!$B:$S,7,FALSE)/VLOOKUP($P32,'CY Receving Query'!$B:$S,5,FALSE)),0)*$AJ32</f>
        <v>4.9411764705882355</v>
      </c>
      <c r="Y32" s="10">
        <f>IFERROR(VLOOKUP($P32,'CY Receving Query'!$B:$S,8,FALSE)/VLOOKUP($P32,'CY Receving Query'!$B:$S,5,FALSE),0)</f>
        <v>3.2941176470588234</v>
      </c>
      <c r="Z32" s="10">
        <f>IFERROR(VLOOKUP($P32,'CY Receving Query'!$B:$S,10,FALSE)/VLOOKUP($P32,'CY Receving Query'!$B:$S,5,FALSE),0)</f>
        <v>48.588235294117645</v>
      </c>
      <c r="AA32" s="10">
        <f>IFERROR(VLOOKUP($P32,'CY Receving Query'!$B:$S,11,FALSE),0)</f>
        <v>14.8</v>
      </c>
      <c r="AB32" s="10">
        <f>IFERROR(AVERAGE(VLOOKUP($P32,'PY Receiving'!$C:$T,14,FALSE),VLOOKUP($P32,'CY Receiving'!$C:$T,14,FALSE)),0)</f>
        <v>0</v>
      </c>
      <c r="AC32" s="10">
        <f>IFERROR(VLOOKUP($P32,'CY Receving Query'!$B:$S,11,FALSE)/VLOOKUP($P32,'CY Receving Query'!$B:$S,5,FALSE),0)</f>
        <v>0.87058823529411766</v>
      </c>
      <c r="AD32" s="10">
        <f>IFERROR(VLOOKUP($P32,'CY Rushing Query'!$B:$O,7,FALSE)/VLOOKUP($P32,'CY Rushing Query'!$B:$O,5,FALSE),0)</f>
        <v>0.29411764705882354</v>
      </c>
      <c r="AE32" s="10">
        <f>IFERROR(AVERAGE(VLOOKUP($P32,'PY Rushing'!$C:$P,8,FALSE)/VLOOKUP($P32,'PY Rushing'!$C:$P,5,FALSE),VLOOKUP($P32,'CY Rushing'!$C:$P,8,FALSE)/VLOOKUP($P32,'CY Rushing'!$C:$P,5,FALSE)),0)</f>
        <v>0</v>
      </c>
      <c r="AF32" s="10">
        <f>IFERROR(VLOOKUP($P32,'CY Rushing Query'!$B:$P,12,FALSE),0)</f>
        <v>3.4</v>
      </c>
      <c r="AG32" s="10">
        <f>IFERROR(VLOOKUP($P32,'CY Rushing Query'!$B:$P,9,FALSE)/VLOOKUP($P32,'CY Rushing Query'!$B:$P,5,FALSE),0)</f>
        <v>0</v>
      </c>
      <c r="AH32" s="10">
        <f>VLOOKUP($J32,'Vegas Odds'!$B:$S,18,FALSE)</f>
        <v>32.679248170039784</v>
      </c>
      <c r="AI32" s="10">
        <f>VLOOKUP($J32,'Vegas Odds'!$B:$S,17,FALSE)</f>
        <v>32.620751829960213</v>
      </c>
      <c r="AJ32">
        <f t="shared" si="13"/>
        <v>1</v>
      </c>
      <c r="AK32" s="10">
        <f t="shared" si="1"/>
        <v>0</v>
      </c>
      <c r="AL32" s="10">
        <f t="shared" si="2"/>
        <v>0</v>
      </c>
      <c r="AM32" s="10">
        <f>V32/'CY Defensive Stats Query'!$AD$34*'Fanduel Export'!Q32</f>
        <v>0</v>
      </c>
      <c r="AN32" s="10">
        <f t="shared" si="19"/>
        <v>0</v>
      </c>
      <c r="AO32" s="10">
        <f>IFERROR(IF(OR($B32="D",$B32="K"),0,VLOOKUP($P32,'CY Receving Query'!$B:$S,7,FALSE)/VLOOKUP($P32,'CY Receving Query'!$B:$S,5,FALSE)),0)*$AJ32</f>
        <v>4.9411764705882355</v>
      </c>
      <c r="AP32" s="10">
        <f t="shared" si="3"/>
        <v>29.704370384517439</v>
      </c>
      <c r="AQ32" s="10">
        <f t="shared" si="4"/>
        <v>5.4360328141638687</v>
      </c>
      <c r="AR32" s="16">
        <f t="shared" si="14"/>
        <v>3.2941176470588234</v>
      </c>
      <c r="AS32" s="16">
        <f t="shared" si="5"/>
        <v>3.6240218761092455</v>
      </c>
      <c r="AT32" s="16">
        <f>AA32/'CY Defensive Stats Query'!$AH$34
*'Fanduel Export'!S32</f>
        <v>15.916103554348631</v>
      </c>
      <c r="AU32" s="10">
        <f t="shared" si="20"/>
        <v>57.680307463379556</v>
      </c>
      <c r="AV32" s="10">
        <f t="shared" si="15"/>
        <v>0.29411764705882354</v>
      </c>
      <c r="AW32" s="10">
        <f t="shared" si="7"/>
        <v>40.335297300738475</v>
      </c>
      <c r="AX32" s="10">
        <f t="shared" si="16"/>
        <v>0.23786458550144499</v>
      </c>
      <c r="AY32" s="10">
        <f>AF32/'CY Defensive Stats Query'!$AF$34
*R32</f>
        <v>3.8549895619624039</v>
      </c>
      <c r="AZ32" s="10">
        <f t="shared" si="21"/>
        <v>0.9169654942685842</v>
      </c>
      <c r="BA32" s="16">
        <f t="shared" si="17"/>
        <v>7.506786119294226</v>
      </c>
      <c r="BB32" s="16">
        <f t="shared" si="8"/>
        <v>1.2306206752941355</v>
      </c>
      <c r="BC32" s="10">
        <f t="shared" si="9"/>
        <v>0.8100289296046288</v>
      </c>
      <c r="BD32" s="10">
        <f>IF(B32="QB",COUNTIFS($B$5:B32,B32,$J$5:J32,J32),1)</f>
        <v>1</v>
      </c>
      <c r="BE32" t="str">
        <f t="shared" si="10"/>
        <v>Brandon Aiyuk</v>
      </c>
      <c r="BF32">
        <f t="shared" si="11"/>
        <v>6100</v>
      </c>
      <c r="BG32" t="str">
        <f t="shared" si="12"/>
        <v>WR</v>
      </c>
      <c r="BH32" s="16">
        <f t="shared" si="18"/>
        <v>7.506786119294226</v>
      </c>
    </row>
    <row r="33" spans="1:60" hidden="1" x14ac:dyDescent="0.2">
      <c r="A33" t="s">
        <v>2764</v>
      </c>
      <c r="B33" t="s">
        <v>79</v>
      </c>
      <c r="C33" t="s">
        <v>2416</v>
      </c>
      <c r="D33" t="s">
        <v>2539</v>
      </c>
      <c r="E33" t="s">
        <v>2540</v>
      </c>
      <c r="F33">
        <v>9.3950004577636701</v>
      </c>
      <c r="G33">
        <v>8</v>
      </c>
      <c r="H33">
        <v>6100</v>
      </c>
      <c r="I33" t="s">
        <v>2716</v>
      </c>
      <c r="J33" t="s">
        <v>99</v>
      </c>
      <c r="K33" t="s">
        <v>81</v>
      </c>
      <c r="O33" t="str">
        <f t="shared" si="0"/>
        <v>Dwayne Haskins Jr.</v>
      </c>
      <c r="P33" t="str">
        <f>IFERROR(VLOOKUP(O:O,'Name Bridge'!A:B,2,FALSE),O:O)</f>
        <v>Dwayne Haskins Jr.</v>
      </c>
      <c r="Q33" s="10">
        <f>VLOOKUP($K33,'CY Defensive Stats Query'!$AC:$AH,2,FALSE)</f>
        <v>8.7934782608695645</v>
      </c>
      <c r="R33" s="10">
        <f>VLOOKUP($K33,'CY Defensive Stats Query'!$AC:$AH,4,FALSE)</f>
        <v>5.404494382022472</v>
      </c>
      <c r="S33" s="10">
        <f>VLOOKUP($K33,'CY Defensive Stats Query'!$AC:$AH,6,FALSE)</f>
        <v>12.446153846153846</v>
      </c>
      <c r="T33" s="10">
        <f>IFERROR(VLOOKUP($P33,'CYPassing Query'!$B:$AE,9,FALSE)/VLOOKUP($P33,'CYPassing Query'!$B:$AE,5,FALSE),0)</f>
        <v>0</v>
      </c>
      <c r="U33" s="10">
        <f>IFERROR(VLOOKUP($P33,'CYPassing Query'!$B:$AE,11,FALSE)/VLOOKUP($P33,'CYPassing Query'!$B:$AE,5,FALSE),0)</f>
        <v>0</v>
      </c>
      <c r="V33" s="10">
        <f>IFERROR(VLOOKUP($P33,'CYPassing Query'!$B:$AE,18,FALSE),0)</f>
        <v>0</v>
      </c>
      <c r="W33" s="10">
        <f>IFERROR(VLOOKUP($P33,'CYPassing Query'!$B:$AE,12,FALSE)/VLOOKUP($P33,'CYPassing Query'!$B:$AE,5,FALSE),0)</f>
        <v>0</v>
      </c>
      <c r="X33" s="10">
        <f>IFERROR(IF(OR($B33="D",$B33="K"),0,VLOOKUP($P33,'CY Receving Query'!$B:$S,7,FALSE)/VLOOKUP($P33,'CY Receving Query'!$B:$S,5,FALSE)),0)*$AJ33</f>
        <v>0</v>
      </c>
      <c r="Y33" s="10">
        <f>IFERROR(VLOOKUP($P33,'CY Receving Query'!$B:$S,8,FALSE)/VLOOKUP($P33,'CY Receving Query'!$B:$S,5,FALSE),0)</f>
        <v>0</v>
      </c>
      <c r="Z33" s="10">
        <f>IFERROR(VLOOKUP($P33,'CY Receving Query'!$B:$S,10,FALSE)/VLOOKUP($P33,'CY Receving Query'!$B:$S,5,FALSE),0)</f>
        <v>0</v>
      </c>
      <c r="AA33" s="10">
        <f>IFERROR(VLOOKUP($P33,'CY Receving Query'!$B:$S,11,FALSE),0)</f>
        <v>0</v>
      </c>
      <c r="AB33" s="10">
        <f>IFERROR(AVERAGE(VLOOKUP($P33,'PY Receiving'!$C:$T,14,FALSE),VLOOKUP($P33,'CY Receiving'!$C:$T,14,FALSE)),0)</f>
        <v>0</v>
      </c>
      <c r="AC33" s="10">
        <f>IFERROR(VLOOKUP($P33,'CY Receving Query'!$B:$S,11,FALSE)/VLOOKUP($P33,'CY Receving Query'!$B:$S,5,FALSE),0)</f>
        <v>0</v>
      </c>
      <c r="AD33" s="10">
        <f>IFERROR(VLOOKUP($P33,'CY Rushing Query'!$B:$O,7,FALSE)/VLOOKUP($P33,'CY Rushing Query'!$B:$O,5,FALSE),0)</f>
        <v>0</v>
      </c>
      <c r="AE33" s="10">
        <f>IFERROR(AVERAGE(VLOOKUP($P33,'PY Rushing'!$C:$P,8,FALSE)/VLOOKUP($P33,'PY Rushing'!$C:$P,5,FALSE),VLOOKUP($P33,'CY Rushing'!$C:$P,8,FALSE)/VLOOKUP($P33,'CY Rushing'!$C:$P,5,FALSE)),0)</f>
        <v>0</v>
      </c>
      <c r="AF33" s="10">
        <f>IFERROR(VLOOKUP($P33,'CY Rushing Query'!$B:$P,12,FALSE),0)</f>
        <v>0</v>
      </c>
      <c r="AG33" s="10">
        <f>IFERROR(VLOOKUP($P33,'CY Rushing Query'!$B:$P,9,FALSE)/VLOOKUP($P33,'CY Rushing Query'!$B:$P,5,FALSE),0)</f>
        <v>0</v>
      </c>
      <c r="AH33" s="10">
        <f>VLOOKUP($J33,'Vegas Odds'!$B:$S,18,FALSE)</f>
        <v>40.088640957860363</v>
      </c>
      <c r="AI33" s="10">
        <f>VLOOKUP($J33,'Vegas Odds'!$B:$S,17,FALSE)</f>
        <v>25.511359042139631</v>
      </c>
      <c r="AJ33">
        <f t="shared" si="13"/>
        <v>0</v>
      </c>
      <c r="AK33" s="10">
        <f t="shared" si="1"/>
        <v>0</v>
      </c>
      <c r="AL33" s="10">
        <f t="shared" si="2"/>
        <v>0</v>
      </c>
      <c r="AM33" s="10">
        <f>V33/'CY Defensive Stats Query'!$AD$34*'Fanduel Export'!Q33</f>
        <v>0</v>
      </c>
      <c r="AN33" s="10">
        <f t="shared" si="19"/>
        <v>0</v>
      </c>
      <c r="AO33" s="10">
        <f>IFERROR(IF(OR($B33="D",$B33="K"),0,VLOOKUP($P33,'CY Receving Query'!$B:$S,7,FALSE)/VLOOKUP($P33,'CY Receving Query'!$B:$S,5,FALSE)),0)*$AJ33</f>
        <v>0</v>
      </c>
      <c r="AP33" s="10">
        <f t="shared" si="3"/>
        <v>32.289950980392156</v>
      </c>
      <c r="AQ33" s="10">
        <f t="shared" si="4"/>
        <v>0</v>
      </c>
      <c r="AR33" s="16">
        <f t="shared" si="14"/>
        <v>0</v>
      </c>
      <c r="AS33" s="16">
        <f t="shared" si="5"/>
        <v>0</v>
      </c>
      <c r="AT33" s="16">
        <f>AA33/'CY Defensive Stats Query'!$AH$34
*'Fanduel Export'!S33</f>
        <v>0</v>
      </c>
      <c r="AU33" s="10">
        <f t="shared" si="20"/>
        <v>0</v>
      </c>
      <c r="AV33" s="10">
        <f t="shared" si="15"/>
        <v>0</v>
      </c>
      <c r="AW33" s="10">
        <f t="shared" si="7"/>
        <v>7.4240196078431371</v>
      </c>
      <c r="AX33" s="10">
        <f t="shared" si="16"/>
        <v>0</v>
      </c>
      <c r="AY33" s="10">
        <f>AF33/'CY Defensive Stats Query'!$AF$34
*R33</f>
        <v>0</v>
      </c>
      <c r="AZ33" s="10">
        <f t="shared" si="21"/>
        <v>0</v>
      </c>
      <c r="BA33" s="16">
        <f t="shared" si="17"/>
        <v>0</v>
      </c>
      <c r="BB33" s="16">
        <f t="shared" si="8"/>
        <v>0</v>
      </c>
      <c r="BC33" s="10">
        <f t="shared" si="9"/>
        <v>0</v>
      </c>
      <c r="BD33" s="10">
        <f>IF(B33="QB",COUNTIFS($B$5:B33,B33,$J$5:J33,J33),1)</f>
        <v>2</v>
      </c>
      <c r="BE33" t="str">
        <f t="shared" si="10"/>
        <v>Dwayne Haskins Jr.</v>
      </c>
      <c r="BF33">
        <f t="shared" si="11"/>
        <v>6100</v>
      </c>
      <c r="BG33" t="str">
        <f t="shared" si="12"/>
        <v>QB</v>
      </c>
      <c r="BH33" s="16">
        <f t="shared" si="18"/>
        <v>0</v>
      </c>
    </row>
    <row r="34" spans="1:60" hidden="1" x14ac:dyDescent="0.2">
      <c r="A34" t="s">
        <v>2765</v>
      </c>
      <c r="B34" t="s">
        <v>79</v>
      </c>
      <c r="C34" t="s">
        <v>2232</v>
      </c>
      <c r="D34" t="s">
        <v>200</v>
      </c>
      <c r="E34" t="s">
        <v>201</v>
      </c>
      <c r="F34">
        <v>9.6899995803833008</v>
      </c>
      <c r="G34">
        <v>2</v>
      </c>
      <c r="H34">
        <v>6100</v>
      </c>
      <c r="I34" t="s">
        <v>2716</v>
      </c>
      <c r="J34" t="s">
        <v>99</v>
      </c>
      <c r="K34" t="s">
        <v>81</v>
      </c>
      <c r="O34" t="str">
        <f t="shared" si="0"/>
        <v>Mason Rudolph</v>
      </c>
      <c r="P34" t="str">
        <f>IFERROR(VLOOKUP(O:O,'Name Bridge'!A:B,2,FALSE),O:O)</f>
        <v>Mason Rudolph</v>
      </c>
      <c r="Q34" s="10">
        <f>VLOOKUP($K34,'CY Defensive Stats Query'!$AC:$AH,2,FALSE)</f>
        <v>8.7934782608695645</v>
      </c>
      <c r="R34" s="10">
        <f>VLOOKUP($K34,'CY Defensive Stats Query'!$AC:$AH,4,FALSE)</f>
        <v>5.404494382022472</v>
      </c>
      <c r="S34" s="10">
        <f>VLOOKUP($K34,'CY Defensive Stats Query'!$AC:$AH,6,FALSE)</f>
        <v>12.446153846153846</v>
      </c>
      <c r="T34" s="10">
        <f>IFERROR(VLOOKUP($P34,'CYPassing Query'!$B:$AE,9,FALSE)/VLOOKUP($P34,'CYPassing Query'!$B:$AE,5,FALSE),0)</f>
        <v>29</v>
      </c>
      <c r="U34" s="10">
        <f>IFERROR(VLOOKUP($P34,'CYPassing Query'!$B:$AE,11,FALSE)/VLOOKUP($P34,'CYPassing Query'!$B:$AE,5,FALSE),0)</f>
        <v>138.5</v>
      </c>
      <c r="V34" s="10">
        <f>IFERROR(VLOOKUP($P34,'CYPassing Query'!$B:$AE,18,FALSE),0)</f>
        <v>4.8</v>
      </c>
      <c r="W34" s="10">
        <f>IFERROR(VLOOKUP($P34,'CYPassing Query'!$B:$AE,12,FALSE)/VLOOKUP($P34,'CYPassing Query'!$B:$AE,5,FALSE),0)</f>
        <v>0.5</v>
      </c>
      <c r="X34" s="10">
        <f>IFERROR(IF(OR($B34="D",$B34="K"),0,VLOOKUP($P34,'CY Receving Query'!$B:$S,7,FALSE)/VLOOKUP($P34,'CY Receving Query'!$B:$S,5,FALSE)),0)*$AJ34</f>
        <v>0</v>
      </c>
      <c r="Y34" s="10">
        <f>IFERROR(VLOOKUP($P34,'CY Receving Query'!$B:$S,8,FALSE)/VLOOKUP($P34,'CY Receving Query'!$B:$S,5,FALSE),0)</f>
        <v>0</v>
      </c>
      <c r="Z34" s="10">
        <f>IFERROR(VLOOKUP($P34,'CY Receving Query'!$B:$S,10,FALSE)/VLOOKUP($P34,'CY Receving Query'!$B:$S,5,FALSE),0)</f>
        <v>0</v>
      </c>
      <c r="AA34" s="10">
        <f>IFERROR(VLOOKUP($P34,'CY Receving Query'!$B:$S,11,FALSE),0)</f>
        <v>0</v>
      </c>
      <c r="AB34" s="10">
        <f>IFERROR(AVERAGE(VLOOKUP($P34,'PY Receiving'!$C:$T,14,FALSE),VLOOKUP($P34,'CY Receiving'!$C:$T,14,FALSE)),0)</f>
        <v>0</v>
      </c>
      <c r="AC34" s="10">
        <f>IFERROR(VLOOKUP($P34,'CY Receving Query'!$B:$S,11,FALSE)/VLOOKUP($P34,'CY Receving Query'!$B:$S,5,FALSE),0)</f>
        <v>0</v>
      </c>
      <c r="AD34" s="10">
        <f>IFERROR(VLOOKUP($P34,'CY Rushing Query'!$B:$O,7,FALSE)/VLOOKUP($P34,'CY Rushing Query'!$B:$O,5,FALSE),0)</f>
        <v>2.5</v>
      </c>
      <c r="AE34" s="10">
        <f>IFERROR(AVERAGE(VLOOKUP($P34,'PY Rushing'!$C:$P,8,FALSE)/VLOOKUP($P34,'PY Rushing'!$C:$P,5,FALSE),VLOOKUP($P34,'CY Rushing'!$C:$P,8,FALSE)/VLOOKUP($P34,'CY Rushing'!$C:$P,5,FALSE)),0)</f>
        <v>0</v>
      </c>
      <c r="AF34" s="10">
        <f>IFERROR(VLOOKUP($P34,'CY Rushing Query'!$B:$P,12,FALSE),0)</f>
        <v>10.6</v>
      </c>
      <c r="AG34" s="10">
        <f>IFERROR(VLOOKUP($P34,'CY Rushing Query'!$B:$P,9,FALSE)/VLOOKUP($P34,'CY Rushing Query'!$B:$P,5,FALSE),0)</f>
        <v>0</v>
      </c>
      <c r="AH34" s="10">
        <f>VLOOKUP($J34,'Vegas Odds'!$B:$S,18,FALSE)</f>
        <v>40.088640957860363</v>
      </c>
      <c r="AI34" s="10">
        <f>VLOOKUP($J34,'Vegas Odds'!$B:$S,17,FALSE)</f>
        <v>25.511359042139631</v>
      </c>
      <c r="AJ34">
        <f t="shared" si="13"/>
        <v>0</v>
      </c>
      <c r="AK34" s="10">
        <f t="shared" si="1"/>
        <v>0</v>
      </c>
      <c r="AL34" s="10">
        <f t="shared" si="2"/>
        <v>0</v>
      </c>
      <c r="AM34" s="10">
        <f>V34/'CY Defensive Stats Query'!$AD$34*'Fanduel Export'!Q34</f>
        <v>5.995168965010909</v>
      </c>
      <c r="AN34" s="10">
        <f t="shared" si="19"/>
        <v>0</v>
      </c>
      <c r="AO34" s="10">
        <f>IFERROR(IF(OR($B34="D",$B34="K"),0,VLOOKUP($P34,'CY Receving Query'!$B:$S,7,FALSE)/VLOOKUP($P34,'CY Receving Query'!$B:$S,5,FALSE)),0)*$AJ34</f>
        <v>0</v>
      </c>
      <c r="AP34" s="10">
        <f t="shared" si="3"/>
        <v>32.289950980392156</v>
      </c>
      <c r="AQ34" s="10">
        <f t="shared" si="4"/>
        <v>0</v>
      </c>
      <c r="AR34" s="16">
        <f t="shared" si="14"/>
        <v>0</v>
      </c>
      <c r="AS34" s="16">
        <f t="shared" si="5"/>
        <v>0</v>
      </c>
      <c r="AT34" s="16">
        <f>AA34/'CY Defensive Stats Query'!$AH$34
*'Fanduel Export'!S34</f>
        <v>0</v>
      </c>
      <c r="AU34" s="10">
        <f t="shared" si="20"/>
        <v>0</v>
      </c>
      <c r="AV34" s="10">
        <f t="shared" si="15"/>
        <v>0</v>
      </c>
      <c r="AW34" s="10">
        <f t="shared" si="7"/>
        <v>7.4240196078431371</v>
      </c>
      <c r="AX34" s="10">
        <f t="shared" si="16"/>
        <v>0</v>
      </c>
      <c r="AY34" s="10">
        <f>AF34/'CY Defensive Stats Query'!$AF$34
*R34</f>
        <v>13.852727234864476</v>
      </c>
      <c r="AZ34" s="10">
        <f t="shared" si="21"/>
        <v>0</v>
      </c>
      <c r="BA34" s="16">
        <f t="shared" si="17"/>
        <v>0</v>
      </c>
      <c r="BB34" s="16">
        <f t="shared" si="8"/>
        <v>0</v>
      </c>
      <c r="BC34" s="10">
        <f t="shared" si="9"/>
        <v>0</v>
      </c>
      <c r="BD34" s="10">
        <f>IF(B34="QB",COUNTIFS($B$5:B34,B34,$J$5:J34,J34),1)</f>
        <v>3</v>
      </c>
      <c r="BE34" t="str">
        <f t="shared" si="10"/>
        <v>Mason Rudolph</v>
      </c>
      <c r="BF34">
        <f t="shared" si="11"/>
        <v>6100</v>
      </c>
      <c r="BG34" t="str">
        <f t="shared" si="12"/>
        <v>QB</v>
      </c>
      <c r="BH34" s="16">
        <f t="shared" si="18"/>
        <v>0</v>
      </c>
    </row>
    <row r="35" spans="1:60" hidden="1" x14ac:dyDescent="0.2">
      <c r="A35" t="s">
        <v>2766</v>
      </c>
      <c r="B35" t="s">
        <v>79</v>
      </c>
      <c r="C35" t="s">
        <v>2211</v>
      </c>
      <c r="D35" t="s">
        <v>1388</v>
      </c>
      <c r="E35" t="s">
        <v>2671</v>
      </c>
      <c r="F35">
        <v>0.240000009536743</v>
      </c>
      <c r="G35">
        <v>3</v>
      </c>
      <c r="H35">
        <v>6000</v>
      </c>
      <c r="I35" t="s">
        <v>2718</v>
      </c>
      <c r="J35" t="s">
        <v>138</v>
      </c>
      <c r="K35" t="s">
        <v>729</v>
      </c>
      <c r="O35" t="str">
        <f t="shared" si="0"/>
        <v>Tyler Bray</v>
      </c>
      <c r="P35" t="str">
        <f>IFERROR(VLOOKUP(O:O,'Name Bridge'!A:B,2,FALSE),O:O)</f>
        <v>Tyler Bray</v>
      </c>
      <c r="Q35" s="10">
        <f>VLOOKUP($K35,'CY Defensive Stats Query'!$AC:$AH,2,FALSE)</f>
        <v>7.6538461538461542</v>
      </c>
      <c r="R35" s="10">
        <f>VLOOKUP($K35,'CY Defensive Stats Query'!$AC:$AH,4,FALSE)</f>
        <v>4.6888888888888891</v>
      </c>
      <c r="S35" s="10">
        <f>VLOOKUP($K35,'CY Defensive Stats Query'!$AC:$AH,6,FALSE)</f>
        <v>11.306818181818182</v>
      </c>
      <c r="T35" s="10">
        <f>IFERROR(VLOOKUP($P35,'CYPassing Query'!$B:$AE,9,FALSE)/VLOOKUP($P35,'CYPassing Query'!$B:$AE,5,FALSE),0)</f>
        <v>0</v>
      </c>
      <c r="U35" s="10">
        <f>IFERROR(VLOOKUP($P35,'CYPassing Query'!$B:$AE,11,FALSE)/VLOOKUP($P35,'CYPassing Query'!$B:$AE,5,FALSE),0)</f>
        <v>0</v>
      </c>
      <c r="V35" s="10">
        <f>IFERROR(VLOOKUP($P35,'CYPassing Query'!$B:$AE,18,FALSE),0)</f>
        <v>0</v>
      </c>
      <c r="W35" s="10">
        <f>IFERROR(VLOOKUP($P35,'CYPassing Query'!$B:$AE,12,FALSE)/VLOOKUP($P35,'CYPassing Query'!$B:$AE,5,FALSE),0)</f>
        <v>0</v>
      </c>
      <c r="X35" s="10">
        <f>IFERROR(IF(OR($B35="D",$B35="K"),0,VLOOKUP($P35,'CY Receving Query'!$B:$S,7,FALSE)/VLOOKUP($P35,'CY Receving Query'!$B:$S,5,FALSE)),0)*$AJ35</f>
        <v>0</v>
      </c>
      <c r="Y35" s="10">
        <f>IFERROR(VLOOKUP($P35,'CY Receving Query'!$B:$S,8,FALSE)/VLOOKUP($P35,'CY Receving Query'!$B:$S,5,FALSE),0)</f>
        <v>0</v>
      </c>
      <c r="Z35" s="10">
        <f>IFERROR(VLOOKUP($P35,'CY Receving Query'!$B:$S,10,FALSE)/VLOOKUP($P35,'CY Receving Query'!$B:$S,5,FALSE),0)</f>
        <v>0</v>
      </c>
      <c r="AA35" s="10">
        <f>IFERROR(VLOOKUP($P35,'CY Receving Query'!$B:$S,11,FALSE),0)</f>
        <v>0</v>
      </c>
      <c r="AB35" s="10">
        <f>IFERROR(AVERAGE(VLOOKUP($P35,'PY Receiving'!$C:$T,14,FALSE),VLOOKUP($P35,'CY Receiving'!$C:$T,14,FALSE)),0)</f>
        <v>0</v>
      </c>
      <c r="AC35" s="10">
        <f>IFERROR(VLOOKUP($P35,'CY Receving Query'!$B:$S,11,FALSE)/VLOOKUP($P35,'CY Receving Query'!$B:$S,5,FALSE),0)</f>
        <v>0</v>
      </c>
      <c r="AD35" s="10">
        <f>IFERROR(VLOOKUP($P35,'CY Rushing Query'!$B:$O,7,FALSE)/VLOOKUP($P35,'CY Rushing Query'!$B:$O,5,FALSE),0)</f>
        <v>0</v>
      </c>
      <c r="AE35" s="10">
        <f>IFERROR(AVERAGE(VLOOKUP($P35,'PY Rushing'!$C:$P,8,FALSE)/VLOOKUP($P35,'PY Rushing'!$C:$P,5,FALSE),VLOOKUP($P35,'CY Rushing'!$C:$P,8,FALSE)/VLOOKUP($P35,'CY Rushing'!$C:$P,5,FALSE)),0)</f>
        <v>0</v>
      </c>
      <c r="AF35" s="10">
        <f>IFERROR(VLOOKUP($P35,'CY Rushing Query'!$B:$P,12,FALSE),0)</f>
        <v>0</v>
      </c>
      <c r="AG35" s="10">
        <f>IFERROR(VLOOKUP($P35,'CY Rushing Query'!$B:$P,9,FALSE)/VLOOKUP($P35,'CY Rushing Query'!$B:$P,5,FALSE),0)</f>
        <v>0</v>
      </c>
      <c r="AH35" s="10">
        <f>VLOOKUP($J35,'Vegas Odds'!$B:$S,18,FALSE)</f>
        <v>32.679248170039784</v>
      </c>
      <c r="AI35" s="10">
        <f>VLOOKUP($J35,'Vegas Odds'!$B:$S,17,FALSE)</f>
        <v>32.620751829960213</v>
      </c>
      <c r="AJ35">
        <f t="shared" si="13"/>
        <v>0</v>
      </c>
      <c r="AK35" s="10">
        <f t="shared" si="1"/>
        <v>0</v>
      </c>
      <c r="AL35" s="10">
        <f t="shared" si="2"/>
        <v>0</v>
      </c>
      <c r="AM35" s="10">
        <f>V35/'CY Defensive Stats Query'!$AD$34*'Fanduel Export'!Q35</f>
        <v>0</v>
      </c>
      <c r="AN35" s="10">
        <f t="shared" si="19"/>
        <v>0</v>
      </c>
      <c r="AO35" s="10">
        <f>IFERROR(IF(OR($B35="D",$B35="K"),0,VLOOKUP($P35,'CY Receving Query'!$B:$S,7,FALSE)/VLOOKUP($P35,'CY Receving Query'!$B:$S,5,FALSE)),0)*$AJ35</f>
        <v>0</v>
      </c>
      <c r="AP35" s="10">
        <f t="shared" si="3"/>
        <v>29.704370384517439</v>
      </c>
      <c r="AQ35" s="10">
        <f t="shared" si="4"/>
        <v>0</v>
      </c>
      <c r="AR35" s="16">
        <f t="shared" si="14"/>
        <v>0</v>
      </c>
      <c r="AS35" s="16">
        <f t="shared" si="5"/>
        <v>0</v>
      </c>
      <c r="AT35" s="16">
        <f>AA35/'CY Defensive Stats Query'!$AH$34
*'Fanduel Export'!S35</f>
        <v>0</v>
      </c>
      <c r="AU35" s="10">
        <f t="shared" si="20"/>
        <v>0</v>
      </c>
      <c r="AV35" s="10">
        <f t="shared" si="15"/>
        <v>0</v>
      </c>
      <c r="AW35" s="10">
        <f t="shared" si="7"/>
        <v>40.335297300738475</v>
      </c>
      <c r="AX35" s="10">
        <f t="shared" si="16"/>
        <v>0</v>
      </c>
      <c r="AY35" s="10">
        <f>AF35/'CY Defensive Stats Query'!$AF$34
*R35</f>
        <v>0</v>
      </c>
      <c r="AZ35" s="10">
        <f t="shared" si="21"/>
        <v>0</v>
      </c>
      <c r="BA35" s="16">
        <f t="shared" si="17"/>
        <v>0</v>
      </c>
      <c r="BB35" s="16">
        <f t="shared" si="8"/>
        <v>0</v>
      </c>
      <c r="BC35" s="10">
        <f t="shared" si="9"/>
        <v>0</v>
      </c>
      <c r="BD35" s="10">
        <f>IF(B35="QB",COUNTIFS($B$5:B35,B35,$J$5:J35,J35),1)</f>
        <v>3</v>
      </c>
      <c r="BE35" t="str">
        <f t="shared" si="10"/>
        <v>Tyler Bray</v>
      </c>
      <c r="BF35">
        <f t="shared" si="11"/>
        <v>6000</v>
      </c>
      <c r="BG35" t="str">
        <f t="shared" si="12"/>
        <v>QB</v>
      </c>
      <c r="BH35" s="16">
        <f t="shared" si="18"/>
        <v>0</v>
      </c>
    </row>
    <row r="36" spans="1:60" hidden="1" x14ac:dyDescent="0.2">
      <c r="A36" t="s">
        <v>2767</v>
      </c>
      <c r="B36" t="s">
        <v>79</v>
      </c>
      <c r="C36" t="s">
        <v>2239</v>
      </c>
      <c r="D36" t="s">
        <v>2768</v>
      </c>
      <c r="E36" t="s">
        <v>2769</v>
      </c>
      <c r="F36">
        <v>0</v>
      </c>
      <c r="G36">
        <v>2</v>
      </c>
      <c r="H36">
        <v>6000</v>
      </c>
      <c r="I36" t="s">
        <v>2718</v>
      </c>
      <c r="J36" t="s">
        <v>729</v>
      </c>
      <c r="K36" t="s">
        <v>138</v>
      </c>
      <c r="L36" t="s">
        <v>182</v>
      </c>
      <c r="M36" t="s">
        <v>210</v>
      </c>
      <c r="O36" t="str">
        <f t="shared" si="0"/>
        <v>Will Grier</v>
      </c>
      <c r="P36" t="str">
        <f>IFERROR(VLOOKUP(O:O,'Name Bridge'!A:B,2,FALSE),O:O)</f>
        <v>Will Grier</v>
      </c>
      <c r="Q36" s="10">
        <f>VLOOKUP($K36,'CY Defensive Stats Query'!$AC:$AH,2,FALSE)</f>
        <v>6.5263157894736841</v>
      </c>
      <c r="R36" s="10">
        <f>VLOOKUP($K36,'CY Defensive Stats Query'!$AC:$AH,4,FALSE)</f>
        <v>4.7051282051282053</v>
      </c>
      <c r="S36" s="10">
        <f>VLOOKUP($K36,'CY Defensive Stats Query'!$AC:$AH,6,FALSE)</f>
        <v>10.191780821917808</v>
      </c>
      <c r="T36" s="10">
        <f>IFERROR(VLOOKUP($P36,'CYPassing Query'!$B:$AE,9,FALSE)/VLOOKUP($P36,'CYPassing Query'!$B:$AE,5,FALSE),0)</f>
        <v>0</v>
      </c>
      <c r="U36" s="10">
        <f>IFERROR(VLOOKUP($P36,'CYPassing Query'!$B:$AE,11,FALSE)/VLOOKUP($P36,'CYPassing Query'!$B:$AE,5,FALSE),0)</f>
        <v>0</v>
      </c>
      <c r="V36" s="10">
        <f>IFERROR(VLOOKUP($P36,'CYPassing Query'!$B:$AE,18,FALSE),0)</f>
        <v>0</v>
      </c>
      <c r="W36" s="10">
        <f>IFERROR(VLOOKUP($P36,'CYPassing Query'!$B:$AE,12,FALSE)/VLOOKUP($P36,'CYPassing Query'!$B:$AE,5,FALSE),0)</f>
        <v>0</v>
      </c>
      <c r="X36" s="10">
        <f>IFERROR(IF(OR($B36="D",$B36="K"),0,VLOOKUP($P36,'CY Receving Query'!$B:$S,7,FALSE)/VLOOKUP($P36,'CY Receving Query'!$B:$S,5,FALSE)),0)*$AJ36</f>
        <v>0</v>
      </c>
      <c r="Y36" s="10">
        <f>IFERROR(VLOOKUP($P36,'CY Receving Query'!$B:$S,8,FALSE)/VLOOKUP($P36,'CY Receving Query'!$B:$S,5,FALSE),0)</f>
        <v>0</v>
      </c>
      <c r="Z36" s="10">
        <f>IFERROR(VLOOKUP($P36,'CY Receving Query'!$B:$S,10,FALSE)/VLOOKUP($P36,'CY Receving Query'!$B:$S,5,FALSE),0)</f>
        <v>0</v>
      </c>
      <c r="AA36" s="10">
        <f>IFERROR(VLOOKUP($P36,'CY Receving Query'!$B:$S,11,FALSE),0)</f>
        <v>0</v>
      </c>
      <c r="AB36" s="10">
        <f>IFERROR(AVERAGE(VLOOKUP($P36,'PY Receiving'!$C:$T,14,FALSE),VLOOKUP($P36,'CY Receiving'!$C:$T,14,FALSE)),0)</f>
        <v>0</v>
      </c>
      <c r="AC36" s="10">
        <f>IFERROR(VLOOKUP($P36,'CY Receving Query'!$B:$S,11,FALSE)/VLOOKUP($P36,'CY Receving Query'!$B:$S,5,FALSE),0)</f>
        <v>0</v>
      </c>
      <c r="AD36" s="10">
        <f>IFERROR(VLOOKUP($P36,'CY Rushing Query'!$B:$O,7,FALSE)/VLOOKUP($P36,'CY Rushing Query'!$B:$O,5,FALSE),0)</f>
        <v>0</v>
      </c>
      <c r="AE36" s="10">
        <f>IFERROR(AVERAGE(VLOOKUP($P36,'PY Rushing'!$C:$P,8,FALSE)/VLOOKUP($P36,'PY Rushing'!$C:$P,5,FALSE),VLOOKUP($P36,'CY Rushing'!$C:$P,8,FALSE)/VLOOKUP($P36,'CY Rushing'!$C:$P,5,FALSE)),0)</f>
        <v>0</v>
      </c>
      <c r="AF36" s="10">
        <f>IFERROR(VLOOKUP($P36,'CY Rushing Query'!$B:$P,12,FALSE),0)</f>
        <v>0</v>
      </c>
      <c r="AG36" s="10">
        <f>IFERROR(VLOOKUP($P36,'CY Rushing Query'!$B:$P,9,FALSE)/VLOOKUP($P36,'CY Rushing Query'!$B:$P,5,FALSE),0)</f>
        <v>0</v>
      </c>
      <c r="AH36" s="10">
        <f>VLOOKUP($J36,'Vegas Odds'!$B:$S,18,FALSE)</f>
        <v>38.06292701199007</v>
      </c>
      <c r="AI36" s="10">
        <f>VLOOKUP($J36,'Vegas Odds'!$B:$S,17,FALSE)</f>
        <v>29.237072988009928</v>
      </c>
      <c r="AJ36">
        <f t="shared" si="13"/>
        <v>0</v>
      </c>
      <c r="AK36" s="10">
        <f t="shared" si="1"/>
        <v>0</v>
      </c>
      <c r="AL36" s="10">
        <f t="shared" si="2"/>
        <v>0</v>
      </c>
      <c r="AM36" s="10">
        <f>V36/'CY Defensive Stats Query'!$AD$34*'Fanduel Export'!Q36</f>
        <v>0</v>
      </c>
      <c r="AN36" s="10">
        <f t="shared" si="19"/>
        <v>0</v>
      </c>
      <c r="AO36" s="10">
        <f>IFERROR(IF(OR($B36="D",$B36="K"),0,VLOOKUP($P36,'CY Receving Query'!$B:$S,7,FALSE)/VLOOKUP($P36,'CY Receving Query'!$B:$S,5,FALSE)),0)*$AJ36</f>
        <v>0</v>
      </c>
      <c r="AP36" s="10">
        <f t="shared" si="3"/>
        <v>30.199512497306614</v>
      </c>
      <c r="AQ36" s="10">
        <f t="shared" si="4"/>
        <v>0</v>
      </c>
      <c r="AR36" s="16">
        <f t="shared" si="14"/>
        <v>0</v>
      </c>
      <c r="AS36" s="16">
        <f t="shared" si="5"/>
        <v>0</v>
      </c>
      <c r="AT36" s="16">
        <f>AA36/'CY Defensive Stats Query'!$AH$34
*'Fanduel Export'!S36</f>
        <v>0</v>
      </c>
      <c r="AU36" s="10">
        <f t="shared" si="20"/>
        <v>0</v>
      </c>
      <c r="AV36" s="10">
        <f t="shared" si="15"/>
        <v>0</v>
      </c>
      <c r="AW36" s="10">
        <f t="shared" si="7"/>
        <v>30.007352941176471</v>
      </c>
      <c r="AX36" s="10">
        <f t="shared" si="16"/>
        <v>0</v>
      </c>
      <c r="AY36" s="10">
        <f>AF36/'CY Defensive Stats Query'!$AF$34
*R36</f>
        <v>0</v>
      </c>
      <c r="AZ36" s="10">
        <f t="shared" si="21"/>
        <v>0</v>
      </c>
      <c r="BA36" s="16">
        <f t="shared" si="17"/>
        <v>0</v>
      </c>
      <c r="BB36" s="16">
        <f t="shared" si="8"/>
        <v>0</v>
      </c>
      <c r="BC36" s="10">
        <f t="shared" si="9"/>
        <v>0</v>
      </c>
      <c r="BD36" s="10">
        <f>IF(B36="QB",COUNTIFS($B$5:B36,B36,$J$5:J36,J36),1)</f>
        <v>3</v>
      </c>
      <c r="BE36" t="str">
        <f t="shared" si="10"/>
        <v>Will Grier</v>
      </c>
      <c r="BF36">
        <f t="shared" si="11"/>
        <v>6000</v>
      </c>
      <c r="BG36" t="str">
        <f t="shared" si="12"/>
        <v>QB</v>
      </c>
      <c r="BH36" s="16">
        <f t="shared" si="18"/>
        <v>0</v>
      </c>
    </row>
    <row r="37" spans="1:60" hidden="1" x14ac:dyDescent="0.2">
      <c r="A37" t="s">
        <v>2770</v>
      </c>
      <c r="B37" t="s">
        <v>79</v>
      </c>
      <c r="C37" t="s">
        <v>2235</v>
      </c>
      <c r="D37" t="s">
        <v>217</v>
      </c>
      <c r="E37" t="s">
        <v>2673</v>
      </c>
      <c r="F37">
        <v>-0.259999990463256</v>
      </c>
      <c r="G37">
        <v>2</v>
      </c>
      <c r="H37">
        <v>6000</v>
      </c>
      <c r="I37" t="s">
        <v>2718</v>
      </c>
      <c r="J37" t="s">
        <v>138</v>
      </c>
      <c r="K37" t="s">
        <v>729</v>
      </c>
      <c r="O37" t="str">
        <f t="shared" si="0"/>
        <v>Nate Sudfeld</v>
      </c>
      <c r="P37" t="str">
        <f>IFERROR(VLOOKUP(O:O,'Name Bridge'!A:B,2,FALSE),O:O)</f>
        <v>Nate Sudfeld</v>
      </c>
      <c r="Q37" s="10">
        <f>VLOOKUP($K37,'CY Defensive Stats Query'!$AC:$AH,2,FALSE)</f>
        <v>7.6538461538461542</v>
      </c>
      <c r="R37" s="10">
        <f>VLOOKUP($K37,'CY Defensive Stats Query'!$AC:$AH,4,FALSE)</f>
        <v>4.6888888888888891</v>
      </c>
      <c r="S37" s="10">
        <f>VLOOKUP($K37,'CY Defensive Stats Query'!$AC:$AH,6,FALSE)</f>
        <v>11.306818181818182</v>
      </c>
      <c r="T37" s="10">
        <f>IFERROR(VLOOKUP($P37,'CYPassing Query'!$B:$AE,9,FALSE)/VLOOKUP($P37,'CYPassing Query'!$B:$AE,5,FALSE),0)</f>
        <v>0</v>
      </c>
      <c r="U37" s="10">
        <f>IFERROR(VLOOKUP($P37,'CYPassing Query'!$B:$AE,11,FALSE)/VLOOKUP($P37,'CYPassing Query'!$B:$AE,5,FALSE),0)</f>
        <v>0</v>
      </c>
      <c r="V37" s="10">
        <f>IFERROR(VLOOKUP($P37,'CYPassing Query'!$B:$AE,18,FALSE),0)</f>
        <v>0</v>
      </c>
      <c r="W37" s="10">
        <f>IFERROR(VLOOKUP($P37,'CYPassing Query'!$B:$AE,12,FALSE)/VLOOKUP($P37,'CYPassing Query'!$B:$AE,5,FALSE),0)</f>
        <v>0</v>
      </c>
      <c r="X37" s="10">
        <f>IFERROR(IF(OR($B37="D",$B37="K"),0,VLOOKUP($P37,'CY Receving Query'!$B:$S,7,FALSE)/VLOOKUP($P37,'CY Receving Query'!$B:$S,5,FALSE)),0)*$AJ37</f>
        <v>0</v>
      </c>
      <c r="Y37" s="10">
        <f>IFERROR(VLOOKUP($P37,'CY Receving Query'!$B:$S,8,FALSE)/VLOOKUP($P37,'CY Receving Query'!$B:$S,5,FALSE),0)</f>
        <v>0</v>
      </c>
      <c r="Z37" s="10">
        <f>IFERROR(VLOOKUP($P37,'CY Receving Query'!$B:$S,10,FALSE)/VLOOKUP($P37,'CY Receving Query'!$B:$S,5,FALSE),0)</f>
        <v>0</v>
      </c>
      <c r="AA37" s="10">
        <f>IFERROR(VLOOKUP($P37,'CY Receving Query'!$B:$S,11,FALSE),0)</f>
        <v>0</v>
      </c>
      <c r="AB37" s="10">
        <f>IFERROR(AVERAGE(VLOOKUP($P37,'PY Receiving'!$C:$T,14,FALSE),VLOOKUP($P37,'CY Receiving'!$C:$T,14,FALSE)),0)</f>
        <v>0</v>
      </c>
      <c r="AC37" s="10">
        <f>IFERROR(VLOOKUP($P37,'CY Receving Query'!$B:$S,11,FALSE)/VLOOKUP($P37,'CY Receving Query'!$B:$S,5,FALSE),0)</f>
        <v>0</v>
      </c>
      <c r="AD37" s="10">
        <f>IFERROR(VLOOKUP($P37,'CY Rushing Query'!$B:$O,7,FALSE)/VLOOKUP($P37,'CY Rushing Query'!$B:$O,5,FALSE),0)</f>
        <v>0</v>
      </c>
      <c r="AE37" s="10">
        <f>IFERROR(AVERAGE(VLOOKUP($P37,'PY Rushing'!$C:$P,8,FALSE)/VLOOKUP($P37,'PY Rushing'!$C:$P,5,FALSE),VLOOKUP($P37,'CY Rushing'!$C:$P,8,FALSE)/VLOOKUP($P37,'CY Rushing'!$C:$P,5,FALSE)),0)</f>
        <v>0</v>
      </c>
      <c r="AF37" s="10">
        <f>IFERROR(VLOOKUP($P37,'CY Rushing Query'!$B:$P,12,FALSE),0)</f>
        <v>0</v>
      </c>
      <c r="AG37" s="10">
        <f>IFERROR(VLOOKUP($P37,'CY Rushing Query'!$B:$P,9,FALSE)/VLOOKUP($P37,'CY Rushing Query'!$B:$P,5,FALSE),0)</f>
        <v>0</v>
      </c>
      <c r="AH37" s="10">
        <f>VLOOKUP($J37,'Vegas Odds'!$B:$S,18,FALSE)</f>
        <v>32.679248170039784</v>
      </c>
      <c r="AI37" s="10">
        <f>VLOOKUP($J37,'Vegas Odds'!$B:$S,17,FALSE)</f>
        <v>32.620751829960213</v>
      </c>
      <c r="AJ37">
        <f t="shared" si="13"/>
        <v>0</v>
      </c>
      <c r="AK37" s="10">
        <f t="shared" si="1"/>
        <v>0</v>
      </c>
      <c r="AL37" s="10">
        <f t="shared" si="2"/>
        <v>0</v>
      </c>
      <c r="AM37" s="10">
        <f>V37/'CY Defensive Stats Query'!$AD$34*'Fanduel Export'!Q37</f>
        <v>0</v>
      </c>
      <c r="AN37" s="10">
        <f t="shared" si="19"/>
        <v>0</v>
      </c>
      <c r="AO37" s="10">
        <f>IFERROR(IF(OR($B37="D",$B37="K"),0,VLOOKUP($P37,'CY Receving Query'!$B:$S,7,FALSE)/VLOOKUP($P37,'CY Receving Query'!$B:$S,5,FALSE)),0)*$AJ37</f>
        <v>0</v>
      </c>
      <c r="AP37" s="10">
        <f t="shared" si="3"/>
        <v>29.704370384517439</v>
      </c>
      <c r="AQ37" s="10">
        <f t="shared" si="4"/>
        <v>0</v>
      </c>
      <c r="AR37" s="16">
        <f t="shared" si="14"/>
        <v>0</v>
      </c>
      <c r="AS37" s="16">
        <f t="shared" si="5"/>
        <v>0</v>
      </c>
      <c r="AT37" s="16">
        <f>AA37/'CY Defensive Stats Query'!$AH$34
*'Fanduel Export'!S37</f>
        <v>0</v>
      </c>
      <c r="AU37" s="10">
        <f t="shared" si="20"/>
        <v>0</v>
      </c>
      <c r="AV37" s="10">
        <f t="shared" si="15"/>
        <v>0</v>
      </c>
      <c r="AW37" s="10">
        <f t="shared" si="7"/>
        <v>40.335297300738475</v>
      </c>
      <c r="AX37" s="10">
        <f t="shared" si="16"/>
        <v>0</v>
      </c>
      <c r="AY37" s="10">
        <f>AF37/'CY Defensive Stats Query'!$AF$34
*R37</f>
        <v>0</v>
      </c>
      <c r="AZ37" s="10">
        <f t="shared" si="21"/>
        <v>0</v>
      </c>
      <c r="BA37" s="16">
        <f t="shared" si="17"/>
        <v>0</v>
      </c>
      <c r="BB37" s="16">
        <f t="shared" si="8"/>
        <v>0</v>
      </c>
      <c r="BC37" s="10">
        <f t="shared" si="9"/>
        <v>0</v>
      </c>
      <c r="BD37" s="10">
        <f>IF(B37="QB",COUNTIFS($B$5:B37,B37,$J$5:J37,J37),1)</f>
        <v>4</v>
      </c>
      <c r="BE37" t="str">
        <f t="shared" si="10"/>
        <v>Nate Sudfeld</v>
      </c>
      <c r="BF37">
        <f t="shared" si="11"/>
        <v>6000</v>
      </c>
      <c r="BG37" t="str">
        <f t="shared" si="12"/>
        <v>QB</v>
      </c>
      <c r="BH37" s="16">
        <f t="shared" si="18"/>
        <v>0</v>
      </c>
    </row>
    <row r="38" spans="1:60" hidden="1" x14ac:dyDescent="0.2">
      <c r="A38" t="s">
        <v>2771</v>
      </c>
      <c r="B38" t="s">
        <v>79</v>
      </c>
      <c r="C38" t="s">
        <v>211</v>
      </c>
      <c r="D38" t="s">
        <v>2595</v>
      </c>
      <c r="E38" t="s">
        <v>2596</v>
      </c>
      <c r="H38">
        <v>6000</v>
      </c>
      <c r="I38" t="s">
        <v>2720</v>
      </c>
      <c r="J38" t="s">
        <v>728</v>
      </c>
      <c r="K38" t="s">
        <v>102</v>
      </c>
      <c r="O38" t="str">
        <f t="shared" si="0"/>
        <v>Kyle Trask</v>
      </c>
      <c r="P38" t="str">
        <f>IFERROR(VLOOKUP(O:O,'Name Bridge'!A:B,2,FALSE),O:O)</f>
        <v>Kyle Trask</v>
      </c>
      <c r="Q38" s="10">
        <f>VLOOKUP($K38,'CY Defensive Stats Query'!$AC:$AH,2,FALSE)</f>
        <v>5.9890109890109891</v>
      </c>
      <c r="R38" s="10">
        <f>VLOOKUP($K38,'CY Defensive Stats Query'!$AC:$AH,4,FALSE)</f>
        <v>3.8190476190476192</v>
      </c>
      <c r="S38" s="10">
        <f>VLOOKUP($K38,'CY Defensive Stats Query'!$AC:$AH,6,FALSE)</f>
        <v>8.515625</v>
      </c>
      <c r="T38" s="10">
        <f>IFERROR(VLOOKUP($P38,'CYPassing Query'!$B:$AE,9,FALSE)/VLOOKUP($P38,'CYPassing Query'!$B:$AE,5,FALSE),0)</f>
        <v>0</v>
      </c>
      <c r="U38" s="10">
        <f>IFERROR(VLOOKUP($P38,'CYPassing Query'!$B:$AE,11,FALSE)/VLOOKUP($P38,'CYPassing Query'!$B:$AE,5,FALSE),0)</f>
        <v>0</v>
      </c>
      <c r="V38" s="10">
        <f>IFERROR(VLOOKUP($P38,'CYPassing Query'!$B:$AE,18,FALSE),0)</f>
        <v>0</v>
      </c>
      <c r="W38" s="10">
        <f>IFERROR(VLOOKUP($P38,'CYPassing Query'!$B:$AE,12,FALSE)/VLOOKUP($P38,'CYPassing Query'!$B:$AE,5,FALSE),0)</f>
        <v>0</v>
      </c>
      <c r="X38" s="10">
        <f>IFERROR(IF(OR($B38="D",$B38="K"),0,VLOOKUP($P38,'CY Receving Query'!$B:$S,7,FALSE)/VLOOKUP($P38,'CY Receving Query'!$B:$S,5,FALSE)),0)*$AJ38</f>
        <v>0</v>
      </c>
      <c r="Y38" s="10">
        <f>IFERROR(VLOOKUP($P38,'CY Receving Query'!$B:$S,8,FALSE)/VLOOKUP($P38,'CY Receving Query'!$B:$S,5,FALSE),0)</f>
        <v>0</v>
      </c>
      <c r="Z38" s="10">
        <f>IFERROR(VLOOKUP($P38,'CY Receving Query'!$B:$S,10,FALSE)/VLOOKUP($P38,'CY Receving Query'!$B:$S,5,FALSE),0)</f>
        <v>0</v>
      </c>
      <c r="AA38" s="10">
        <f>IFERROR(VLOOKUP($P38,'CY Receving Query'!$B:$S,11,FALSE),0)</f>
        <v>0</v>
      </c>
      <c r="AB38" s="10">
        <f>IFERROR(AVERAGE(VLOOKUP($P38,'PY Receiving'!$C:$T,14,FALSE),VLOOKUP($P38,'CY Receiving'!$C:$T,14,FALSE)),0)</f>
        <v>0</v>
      </c>
      <c r="AC38" s="10">
        <f>IFERROR(VLOOKUP($P38,'CY Receving Query'!$B:$S,11,FALSE)/VLOOKUP($P38,'CY Receving Query'!$B:$S,5,FALSE),0)</f>
        <v>0</v>
      </c>
      <c r="AD38" s="10">
        <f>IFERROR(VLOOKUP($P38,'CY Rushing Query'!$B:$O,7,FALSE)/VLOOKUP($P38,'CY Rushing Query'!$B:$O,5,FALSE),0)</f>
        <v>0</v>
      </c>
      <c r="AE38" s="10">
        <f>IFERROR(AVERAGE(VLOOKUP($P38,'PY Rushing'!$C:$P,8,FALSE)/VLOOKUP($P38,'PY Rushing'!$C:$P,5,FALSE),VLOOKUP($P38,'CY Rushing'!$C:$P,8,FALSE)/VLOOKUP($P38,'CY Rushing'!$C:$P,5,FALSE)),0)</f>
        <v>0</v>
      </c>
      <c r="AF38" s="10">
        <f>IFERROR(VLOOKUP($P38,'CY Rushing Query'!$B:$P,12,FALSE),0)</f>
        <v>0</v>
      </c>
      <c r="AG38" s="10">
        <f>IFERROR(VLOOKUP($P38,'CY Rushing Query'!$B:$P,9,FALSE)/VLOOKUP($P38,'CY Rushing Query'!$B:$P,5,FALSE),0)</f>
        <v>0</v>
      </c>
      <c r="AH38" s="10">
        <f>VLOOKUP($J38,'Vegas Odds'!$B:$S,18,FALSE)</f>
        <v>34.555825588251061</v>
      </c>
      <c r="AI38" s="10">
        <f>VLOOKUP($J38,'Vegas Odds'!$B:$S,17,FALSE)</f>
        <v>27.844174411748938</v>
      </c>
      <c r="AJ38">
        <f t="shared" si="13"/>
        <v>0</v>
      </c>
      <c r="AK38" s="10">
        <f t="shared" si="1"/>
        <v>0</v>
      </c>
      <c r="AL38" s="10">
        <f t="shared" si="2"/>
        <v>0</v>
      </c>
      <c r="AM38" s="10">
        <f>V38/'CY Defensive Stats Query'!$AD$34*'Fanduel Export'!Q38</f>
        <v>0</v>
      </c>
      <c r="AN38" s="10">
        <f t="shared" si="19"/>
        <v>0</v>
      </c>
      <c r="AO38" s="10">
        <f>IFERROR(IF(OR($B38="D",$B38="K"),0,VLOOKUP($P38,'CY Receving Query'!$B:$S,7,FALSE)/VLOOKUP($P38,'CY Receving Query'!$B:$S,5,FALSE)),0)*$AJ38</f>
        <v>0</v>
      </c>
      <c r="AP38" s="10">
        <f t="shared" si="3"/>
        <v>25.587418300653596</v>
      </c>
      <c r="AQ38" s="10">
        <f t="shared" si="4"/>
        <v>0</v>
      </c>
      <c r="AR38" s="16">
        <f t="shared" si="14"/>
        <v>0</v>
      </c>
      <c r="AS38" s="16">
        <f t="shared" si="5"/>
        <v>0</v>
      </c>
      <c r="AT38" s="16">
        <f>AA38/'CY Defensive Stats Query'!$AH$34
*'Fanduel Export'!S38</f>
        <v>0</v>
      </c>
      <c r="AU38" s="10">
        <f t="shared" si="20"/>
        <v>0</v>
      </c>
      <c r="AV38" s="10">
        <f t="shared" si="15"/>
        <v>0</v>
      </c>
      <c r="AW38" s="10">
        <f t="shared" si="7"/>
        <v>12.022058823529411</v>
      </c>
      <c r="AX38" s="10">
        <f t="shared" si="16"/>
        <v>0</v>
      </c>
      <c r="AY38" s="10">
        <f>AF38/'CY Defensive Stats Query'!$AF$34
*R38</f>
        <v>0</v>
      </c>
      <c r="AZ38" s="10">
        <f t="shared" si="21"/>
        <v>0</v>
      </c>
      <c r="BA38" s="16">
        <f t="shared" si="17"/>
        <v>0</v>
      </c>
      <c r="BB38" s="16">
        <f t="shared" si="8"/>
        <v>0</v>
      </c>
      <c r="BC38" s="10">
        <f t="shared" si="9"/>
        <v>0</v>
      </c>
      <c r="BD38" s="10">
        <f>IF(B38="QB",COUNTIFS($B$5:B38,B38,$J$5:J38,J38),1)</f>
        <v>2</v>
      </c>
      <c r="BE38" t="str">
        <f t="shared" si="10"/>
        <v>Kyle Trask</v>
      </c>
      <c r="BF38">
        <f t="shared" si="11"/>
        <v>6000</v>
      </c>
      <c r="BG38" t="str">
        <f t="shared" si="12"/>
        <v>QB</v>
      </c>
      <c r="BH38" s="16">
        <f t="shared" si="18"/>
        <v>0</v>
      </c>
    </row>
    <row r="39" spans="1:60" hidden="1" x14ac:dyDescent="0.2">
      <c r="A39" t="s">
        <v>2772</v>
      </c>
      <c r="B39" t="s">
        <v>79</v>
      </c>
      <c r="C39" t="s">
        <v>2521</v>
      </c>
      <c r="D39" t="s">
        <v>2773</v>
      </c>
      <c r="E39" t="s">
        <v>2774</v>
      </c>
      <c r="H39">
        <v>6000</v>
      </c>
      <c r="I39" t="s">
        <v>2716</v>
      </c>
      <c r="J39" t="s">
        <v>81</v>
      </c>
      <c r="K39" t="s">
        <v>99</v>
      </c>
      <c r="O39" t="str">
        <f t="shared" si="0"/>
        <v>Shane Buechele</v>
      </c>
      <c r="P39" t="str">
        <f>IFERROR(VLOOKUP(O:O,'Name Bridge'!A:B,2,FALSE),O:O)</f>
        <v>Shane Buechele</v>
      </c>
      <c r="Q39" s="10">
        <f>VLOOKUP($K39,'CY Defensive Stats Query'!$AC:$AH,2,FALSE)</f>
        <v>7.5377358490566042</v>
      </c>
      <c r="R39" s="10">
        <f>VLOOKUP($K39,'CY Defensive Stats Query'!$AC:$AH,4,FALSE)</f>
        <v>3.5810810810810811</v>
      </c>
      <c r="S39" s="10">
        <f>VLOOKUP($K39,'CY Defensive Stats Query'!$AC:$AH,6,FALSE)</f>
        <v>11.097222222222221</v>
      </c>
      <c r="T39" s="10">
        <f>IFERROR(VLOOKUP($P39,'CYPassing Query'!$B:$AE,9,FALSE)/VLOOKUP($P39,'CYPassing Query'!$B:$AE,5,FALSE),0)</f>
        <v>0</v>
      </c>
      <c r="U39" s="10">
        <f>IFERROR(VLOOKUP($P39,'CYPassing Query'!$B:$AE,11,FALSE)/VLOOKUP($P39,'CYPassing Query'!$B:$AE,5,FALSE),0)</f>
        <v>0</v>
      </c>
      <c r="V39" s="10">
        <f>IFERROR(VLOOKUP($P39,'CYPassing Query'!$B:$AE,18,FALSE),0)</f>
        <v>0</v>
      </c>
      <c r="W39" s="10">
        <f>IFERROR(VLOOKUP($P39,'CYPassing Query'!$B:$AE,12,FALSE)/VLOOKUP($P39,'CYPassing Query'!$B:$AE,5,FALSE),0)</f>
        <v>0</v>
      </c>
      <c r="X39" s="10">
        <f>IFERROR(IF(OR($B39="D",$B39="K"),0,VLOOKUP($P39,'CY Receving Query'!$B:$S,7,FALSE)/VLOOKUP($P39,'CY Receving Query'!$B:$S,5,FALSE)),0)*$AJ39</f>
        <v>0</v>
      </c>
      <c r="Y39" s="10">
        <f>IFERROR(VLOOKUP($P39,'CY Receving Query'!$B:$S,8,FALSE)/VLOOKUP($P39,'CY Receving Query'!$B:$S,5,FALSE),0)</f>
        <v>0</v>
      </c>
      <c r="Z39" s="10">
        <f>IFERROR(VLOOKUP($P39,'CY Receving Query'!$B:$S,10,FALSE)/VLOOKUP($P39,'CY Receving Query'!$B:$S,5,FALSE),0)</f>
        <v>0</v>
      </c>
      <c r="AA39" s="10">
        <f>IFERROR(VLOOKUP($P39,'CY Receving Query'!$B:$S,11,FALSE),0)</f>
        <v>0</v>
      </c>
      <c r="AB39" s="10">
        <f>IFERROR(AVERAGE(VLOOKUP($P39,'PY Receiving'!$C:$T,14,FALSE),VLOOKUP($P39,'CY Receiving'!$C:$T,14,FALSE)),0)</f>
        <v>0</v>
      </c>
      <c r="AC39" s="10">
        <f>IFERROR(VLOOKUP($P39,'CY Receving Query'!$B:$S,11,FALSE)/VLOOKUP($P39,'CY Receving Query'!$B:$S,5,FALSE),0)</f>
        <v>0</v>
      </c>
      <c r="AD39" s="10">
        <f>IFERROR(VLOOKUP($P39,'CY Rushing Query'!$B:$O,7,FALSE)/VLOOKUP($P39,'CY Rushing Query'!$B:$O,5,FALSE),0)</f>
        <v>0</v>
      </c>
      <c r="AE39" s="10">
        <f>IFERROR(AVERAGE(VLOOKUP($P39,'PY Rushing'!$C:$P,8,FALSE)/VLOOKUP($P39,'PY Rushing'!$C:$P,5,FALSE),VLOOKUP($P39,'CY Rushing'!$C:$P,8,FALSE)/VLOOKUP($P39,'CY Rushing'!$C:$P,5,FALSE)),0)</f>
        <v>0</v>
      </c>
      <c r="AF39" s="10">
        <f>IFERROR(VLOOKUP($P39,'CY Rushing Query'!$B:$P,12,FALSE),0)</f>
        <v>0</v>
      </c>
      <c r="AG39" s="10">
        <f>IFERROR(VLOOKUP($P39,'CY Rushing Query'!$B:$P,9,FALSE)/VLOOKUP($P39,'CY Rushing Query'!$B:$P,5,FALSE),0)</f>
        <v>0</v>
      </c>
      <c r="AH39" s="10">
        <f>VLOOKUP($J39,'Vegas Odds'!$B:$S,18,FALSE)</f>
        <v>37.933262350936971</v>
      </c>
      <c r="AI39" s="10">
        <f>VLOOKUP($J39,'Vegas Odds'!$B:$S,17,FALSE)</f>
        <v>27.766737649063032</v>
      </c>
      <c r="AJ39">
        <f t="shared" si="13"/>
        <v>0</v>
      </c>
      <c r="AK39" s="10">
        <f t="shared" si="1"/>
        <v>0</v>
      </c>
      <c r="AL39" s="10">
        <f t="shared" si="2"/>
        <v>0</v>
      </c>
      <c r="AM39" s="10">
        <f>V39/'CY Defensive Stats Query'!$AD$34*'Fanduel Export'!Q39</f>
        <v>0</v>
      </c>
      <c r="AN39" s="10">
        <f t="shared" si="19"/>
        <v>0</v>
      </c>
      <c r="AO39" s="10">
        <f>IFERROR(IF(OR($B39="D",$B39="K"),0,VLOOKUP($P39,'CY Receving Query'!$B:$S,7,FALSE)/VLOOKUP($P39,'CY Receving Query'!$B:$S,5,FALSE)),0)*$AJ39</f>
        <v>0</v>
      </c>
      <c r="AP39" s="10">
        <f t="shared" si="3"/>
        <v>37.365221788015901</v>
      </c>
      <c r="AQ39" s="10">
        <f t="shared" si="4"/>
        <v>0</v>
      </c>
      <c r="AR39" s="16">
        <f t="shared" si="14"/>
        <v>0</v>
      </c>
      <c r="AS39" s="16">
        <f t="shared" si="5"/>
        <v>0</v>
      </c>
      <c r="AT39" s="16">
        <f>AA39/'CY Defensive Stats Query'!$AH$34
*'Fanduel Export'!S39</f>
        <v>0</v>
      </c>
      <c r="AU39" s="10">
        <f t="shared" si="20"/>
        <v>0</v>
      </c>
      <c r="AV39" s="10">
        <f t="shared" si="15"/>
        <v>0</v>
      </c>
      <c r="AW39" s="10">
        <f t="shared" si="7"/>
        <v>19.787381735911151</v>
      </c>
      <c r="AX39" s="10">
        <f t="shared" si="16"/>
        <v>0</v>
      </c>
      <c r="AY39" s="10">
        <f>AF39/'CY Defensive Stats Query'!$AF$34
*R39</f>
        <v>0</v>
      </c>
      <c r="AZ39" s="10">
        <f t="shared" si="21"/>
        <v>0</v>
      </c>
      <c r="BA39" s="16">
        <f t="shared" si="17"/>
        <v>0</v>
      </c>
      <c r="BB39" s="16">
        <f t="shared" si="8"/>
        <v>0</v>
      </c>
      <c r="BC39" s="10">
        <f t="shared" si="9"/>
        <v>0</v>
      </c>
      <c r="BD39" s="10">
        <f>IF(B39="QB",COUNTIFS($B$5:B39,B39,$J$5:J39,J39),1)</f>
        <v>3</v>
      </c>
      <c r="BE39" t="str">
        <f t="shared" si="10"/>
        <v>Shane Buechele</v>
      </c>
      <c r="BF39">
        <f t="shared" si="11"/>
        <v>6000</v>
      </c>
      <c r="BG39" t="str">
        <f t="shared" si="12"/>
        <v>QB</v>
      </c>
      <c r="BH39" s="16">
        <f t="shared" si="18"/>
        <v>0</v>
      </c>
    </row>
    <row r="40" spans="1:60" hidden="1" x14ac:dyDescent="0.2">
      <c r="A40" t="s">
        <v>2775</v>
      </c>
      <c r="B40" t="s">
        <v>79</v>
      </c>
      <c r="C40" t="s">
        <v>2776</v>
      </c>
      <c r="D40" t="s">
        <v>2777</v>
      </c>
      <c r="E40" t="s">
        <v>2778</v>
      </c>
      <c r="F40">
        <v>0</v>
      </c>
      <c r="G40">
        <v>1</v>
      </c>
      <c r="H40">
        <v>6000</v>
      </c>
      <c r="I40" t="s">
        <v>2720</v>
      </c>
      <c r="J40" t="s">
        <v>102</v>
      </c>
      <c r="K40" t="s">
        <v>728</v>
      </c>
      <c r="O40" t="str">
        <f t="shared" si="0"/>
        <v>Reid Sinnett</v>
      </c>
      <c r="P40" t="str">
        <f>IFERROR(VLOOKUP(O:O,'Name Bridge'!A:B,2,FALSE),O:O)</f>
        <v>Reid Sinnett</v>
      </c>
      <c r="Q40" s="10">
        <f>VLOOKUP($K40,'CY Defensive Stats Query'!$AC:$AH,2,FALSE)</f>
        <v>7.0486111111111107</v>
      </c>
      <c r="R40" s="10">
        <f>VLOOKUP($K40,'CY Defensive Stats Query'!$AC:$AH,4,FALSE)</f>
        <v>3.0806451612903225</v>
      </c>
      <c r="S40" s="10">
        <f>VLOOKUP($K40,'CY Defensive Stats Query'!$AC:$AH,6,FALSE)</f>
        <v>9.759615384615385</v>
      </c>
      <c r="T40" s="10">
        <f>IFERROR(VLOOKUP($P40,'CYPassing Query'!$B:$AE,9,FALSE)/VLOOKUP($P40,'CYPassing Query'!$B:$AE,5,FALSE),0)</f>
        <v>0</v>
      </c>
      <c r="U40" s="10">
        <f>IFERROR(VLOOKUP($P40,'CYPassing Query'!$B:$AE,11,FALSE)/VLOOKUP($P40,'CYPassing Query'!$B:$AE,5,FALSE),0)</f>
        <v>0</v>
      </c>
      <c r="V40" s="10">
        <f>IFERROR(VLOOKUP($P40,'CYPassing Query'!$B:$AE,18,FALSE),0)</f>
        <v>0</v>
      </c>
      <c r="W40" s="10">
        <f>IFERROR(VLOOKUP($P40,'CYPassing Query'!$B:$AE,12,FALSE)/VLOOKUP($P40,'CYPassing Query'!$B:$AE,5,FALSE),0)</f>
        <v>0</v>
      </c>
      <c r="X40" s="10">
        <f>IFERROR(IF(OR($B40="D",$B40="K"),0,VLOOKUP($P40,'CY Receving Query'!$B:$S,7,FALSE)/VLOOKUP($P40,'CY Receving Query'!$B:$S,5,FALSE)),0)*$AJ40</f>
        <v>0</v>
      </c>
      <c r="Y40" s="10">
        <f>IFERROR(VLOOKUP($P40,'CY Receving Query'!$B:$S,8,FALSE)/VLOOKUP($P40,'CY Receving Query'!$B:$S,5,FALSE),0)</f>
        <v>0</v>
      </c>
      <c r="Z40" s="10">
        <f>IFERROR(VLOOKUP($P40,'CY Receving Query'!$B:$S,10,FALSE)/VLOOKUP($P40,'CY Receving Query'!$B:$S,5,FALSE),0)</f>
        <v>0</v>
      </c>
      <c r="AA40" s="10">
        <f>IFERROR(VLOOKUP($P40,'CY Receving Query'!$B:$S,11,FALSE),0)</f>
        <v>0</v>
      </c>
      <c r="AB40" s="10">
        <f>IFERROR(AVERAGE(VLOOKUP($P40,'PY Receiving'!$C:$T,14,FALSE),VLOOKUP($P40,'CY Receiving'!$C:$T,14,FALSE)),0)</f>
        <v>0</v>
      </c>
      <c r="AC40" s="10">
        <f>IFERROR(VLOOKUP($P40,'CY Receving Query'!$B:$S,11,FALSE)/VLOOKUP($P40,'CY Receving Query'!$B:$S,5,FALSE),0)</f>
        <v>0</v>
      </c>
      <c r="AD40" s="10">
        <f>IFERROR(VLOOKUP($P40,'CY Rushing Query'!$B:$O,7,FALSE)/VLOOKUP($P40,'CY Rushing Query'!$B:$O,5,FALSE),0)</f>
        <v>0</v>
      </c>
      <c r="AE40" s="10">
        <f>IFERROR(AVERAGE(VLOOKUP($P40,'PY Rushing'!$C:$P,8,FALSE)/VLOOKUP($P40,'PY Rushing'!$C:$P,5,FALSE),VLOOKUP($P40,'CY Rushing'!$C:$P,8,FALSE)/VLOOKUP($P40,'CY Rushing'!$C:$P,5,FALSE)),0)</f>
        <v>0</v>
      </c>
      <c r="AF40" s="10">
        <f>IFERROR(VLOOKUP($P40,'CY Rushing Query'!$B:$P,12,FALSE),0)</f>
        <v>0</v>
      </c>
      <c r="AG40" s="10">
        <f>IFERROR(VLOOKUP($P40,'CY Rushing Query'!$B:$P,9,FALSE)/VLOOKUP($P40,'CY Rushing Query'!$B:$P,5,FALSE),0)</f>
        <v>0</v>
      </c>
      <c r="AH40" s="10">
        <f>VLOOKUP($J40,'Vegas Odds'!$B:$S,18,FALSE)</f>
        <v>44.85966247691475</v>
      </c>
      <c r="AI40" s="10">
        <f>VLOOKUP($J40,'Vegas Odds'!$B:$S,17,FALSE)</f>
        <v>17.740337523085255</v>
      </c>
      <c r="AJ40">
        <f t="shared" si="13"/>
        <v>0</v>
      </c>
      <c r="AK40" s="10">
        <f t="shared" si="1"/>
        <v>0</v>
      </c>
      <c r="AL40" s="10">
        <f t="shared" si="2"/>
        <v>0</v>
      </c>
      <c r="AM40" s="10">
        <f>V40/'CY Defensive Stats Query'!$AD$34*'Fanduel Export'!Q40</f>
        <v>0</v>
      </c>
      <c r="AN40" s="10">
        <f t="shared" si="19"/>
        <v>0</v>
      </c>
      <c r="AO40" s="10">
        <f>IFERROR(IF(OR($B40="D",$B40="K"),0,VLOOKUP($P40,'CY Receving Query'!$B:$S,7,FALSE)/VLOOKUP($P40,'CY Receving Query'!$B:$S,5,FALSE)),0)*$AJ40</f>
        <v>0</v>
      </c>
      <c r="AP40" s="10">
        <f t="shared" si="3"/>
        <v>28.54982492997199</v>
      </c>
      <c r="AQ40" s="10">
        <f t="shared" si="4"/>
        <v>0</v>
      </c>
      <c r="AR40" s="16">
        <f t="shared" si="14"/>
        <v>0</v>
      </c>
      <c r="AS40" s="16">
        <f t="shared" si="5"/>
        <v>0</v>
      </c>
      <c r="AT40" s="16">
        <f>AA40/'CY Defensive Stats Query'!$AH$34
*'Fanduel Export'!S40</f>
        <v>0</v>
      </c>
      <c r="AU40" s="10">
        <f t="shared" si="20"/>
        <v>0</v>
      </c>
      <c r="AV40" s="10">
        <f t="shared" si="15"/>
        <v>0</v>
      </c>
      <c r="AW40" s="10">
        <f t="shared" si="7"/>
        <v>56.303606442577035</v>
      </c>
      <c r="AX40" s="10">
        <f t="shared" si="16"/>
        <v>0</v>
      </c>
      <c r="AY40" s="10">
        <f>AF40/'CY Defensive Stats Query'!$AF$34
*R40</f>
        <v>0</v>
      </c>
      <c r="AZ40" s="10">
        <f t="shared" si="21"/>
        <v>0</v>
      </c>
      <c r="BA40" s="16">
        <f t="shared" si="17"/>
        <v>0</v>
      </c>
      <c r="BB40" s="16">
        <f t="shared" si="8"/>
        <v>0</v>
      </c>
      <c r="BC40" s="10">
        <f t="shared" si="9"/>
        <v>0</v>
      </c>
      <c r="BD40" s="10">
        <f>IF(B40="QB",COUNTIFS($B$5:B40,B40,$J$5:J40,J40),1)</f>
        <v>3</v>
      </c>
      <c r="BE40" t="str">
        <f t="shared" si="10"/>
        <v>Reid Sinnett</v>
      </c>
      <c r="BF40">
        <f t="shared" si="11"/>
        <v>6000</v>
      </c>
      <c r="BG40" t="str">
        <f t="shared" si="12"/>
        <v>QB</v>
      </c>
      <c r="BH40" s="16">
        <f t="shared" si="18"/>
        <v>0</v>
      </c>
    </row>
    <row r="41" spans="1:60" hidden="1" x14ac:dyDescent="0.2">
      <c r="A41" t="s">
        <v>2779</v>
      </c>
      <c r="B41" t="s">
        <v>79</v>
      </c>
      <c r="C41" t="s">
        <v>2598</v>
      </c>
      <c r="D41" t="s">
        <v>1385</v>
      </c>
      <c r="E41" t="s">
        <v>2599</v>
      </c>
      <c r="F41">
        <v>0.33000000317891398</v>
      </c>
      <c r="G41">
        <v>6</v>
      </c>
      <c r="H41">
        <v>6000</v>
      </c>
      <c r="I41" t="s">
        <v>2720</v>
      </c>
      <c r="J41" t="s">
        <v>728</v>
      </c>
      <c r="K41" t="s">
        <v>102</v>
      </c>
      <c r="O41" t="str">
        <f t="shared" si="0"/>
        <v>Blaine Gabbert</v>
      </c>
      <c r="P41" t="str">
        <f>IFERROR(VLOOKUP(O:O,'Name Bridge'!A:B,2,FALSE),O:O)</f>
        <v>Blaine Gabbert</v>
      </c>
      <c r="Q41" s="10">
        <f>VLOOKUP($K41,'CY Defensive Stats Query'!$AC:$AH,2,FALSE)</f>
        <v>5.9890109890109891</v>
      </c>
      <c r="R41" s="10">
        <f>VLOOKUP($K41,'CY Defensive Stats Query'!$AC:$AH,4,FALSE)</f>
        <v>3.8190476190476192</v>
      </c>
      <c r="S41" s="10">
        <f>VLOOKUP($K41,'CY Defensive Stats Query'!$AC:$AH,6,FALSE)</f>
        <v>8.515625</v>
      </c>
      <c r="T41" s="10">
        <f>IFERROR(VLOOKUP($P41,'CYPassing Query'!$B:$AE,9,FALSE)/VLOOKUP($P41,'CYPassing Query'!$B:$AE,5,FALSE),0)</f>
        <v>1.8333333333333333</v>
      </c>
      <c r="U41" s="10">
        <f>IFERROR(VLOOKUP($P41,'CYPassing Query'!$B:$AE,11,FALSE)/VLOOKUP($P41,'CYPassing Query'!$B:$AE,5,FALSE),0)</f>
        <v>11.166666666666666</v>
      </c>
      <c r="V41" s="10">
        <f>IFERROR(VLOOKUP($P41,'CYPassing Query'!$B:$AE,18,FALSE),0)</f>
        <v>6.1</v>
      </c>
      <c r="W41" s="10">
        <f>IFERROR(VLOOKUP($P41,'CYPassing Query'!$B:$AE,12,FALSE)/VLOOKUP($P41,'CYPassing Query'!$B:$AE,5,FALSE),0)</f>
        <v>0</v>
      </c>
      <c r="X41" s="10">
        <f>IFERROR(IF(OR($B41="D",$B41="K"),0,VLOOKUP($P41,'CY Receving Query'!$B:$S,7,FALSE)/VLOOKUP($P41,'CY Receving Query'!$B:$S,5,FALSE)),0)*$AJ41</f>
        <v>0</v>
      </c>
      <c r="Y41" s="10">
        <f>IFERROR(VLOOKUP($P41,'CY Receving Query'!$B:$S,8,FALSE)/VLOOKUP($P41,'CY Receving Query'!$B:$S,5,FALSE),0)</f>
        <v>0</v>
      </c>
      <c r="Z41" s="10">
        <f>IFERROR(VLOOKUP($P41,'CY Receving Query'!$B:$S,10,FALSE)/VLOOKUP($P41,'CY Receving Query'!$B:$S,5,FALSE),0)</f>
        <v>0</v>
      </c>
      <c r="AA41" s="10">
        <f>IFERROR(VLOOKUP($P41,'CY Receving Query'!$B:$S,11,FALSE),0)</f>
        <v>0</v>
      </c>
      <c r="AB41" s="10">
        <f>IFERROR(AVERAGE(VLOOKUP($P41,'PY Receiving'!$C:$T,14,FALSE),VLOOKUP($P41,'CY Receiving'!$C:$T,14,FALSE)),0)</f>
        <v>0</v>
      </c>
      <c r="AC41" s="10">
        <f>IFERROR(VLOOKUP($P41,'CY Receving Query'!$B:$S,11,FALSE)/VLOOKUP($P41,'CY Receving Query'!$B:$S,5,FALSE),0)</f>
        <v>0</v>
      </c>
      <c r="AD41" s="10">
        <f>IFERROR(VLOOKUP($P41,'CY Rushing Query'!$B:$O,7,FALSE)/VLOOKUP($P41,'CY Rushing Query'!$B:$O,5,FALSE),0)</f>
        <v>1.5</v>
      </c>
      <c r="AE41" s="10">
        <f>IFERROR(AVERAGE(VLOOKUP($P41,'PY Rushing'!$C:$P,8,FALSE)/VLOOKUP($P41,'PY Rushing'!$C:$P,5,FALSE),VLOOKUP($P41,'CY Rushing'!$C:$P,8,FALSE)/VLOOKUP($P41,'CY Rushing'!$C:$P,5,FALSE)),0)</f>
        <v>0</v>
      </c>
      <c r="AF41" s="10">
        <f>IFERROR(VLOOKUP($P41,'CY Rushing Query'!$B:$P,12,FALSE),0)</f>
        <v>-0.8</v>
      </c>
      <c r="AG41" s="10">
        <f>IFERROR(VLOOKUP($P41,'CY Rushing Query'!$B:$P,9,FALSE)/VLOOKUP($P41,'CY Rushing Query'!$B:$P,5,FALSE),0)</f>
        <v>0</v>
      </c>
      <c r="AH41" s="10">
        <f>VLOOKUP($J41,'Vegas Odds'!$B:$S,18,FALSE)</f>
        <v>34.555825588251061</v>
      </c>
      <c r="AI41" s="10">
        <f>VLOOKUP($J41,'Vegas Odds'!$B:$S,17,FALSE)</f>
        <v>27.844174411748938</v>
      </c>
      <c r="AJ41">
        <f t="shared" si="13"/>
        <v>0</v>
      </c>
      <c r="AK41" s="10">
        <f t="shared" si="1"/>
        <v>0</v>
      </c>
      <c r="AL41" s="10">
        <f t="shared" si="2"/>
        <v>0</v>
      </c>
      <c r="AM41" s="10">
        <f>V41/'CY Defensive Stats Query'!$AD$34*'Fanduel Export'!Q41</f>
        <v>5.1890092022905279</v>
      </c>
      <c r="AN41" s="10">
        <f t="shared" si="19"/>
        <v>0</v>
      </c>
      <c r="AO41" s="10">
        <f>IFERROR(IF(OR($B41="D",$B41="K"),0,VLOOKUP($P41,'CY Receving Query'!$B:$S,7,FALSE)/VLOOKUP($P41,'CY Receving Query'!$B:$S,5,FALSE)),0)*$AJ41</f>
        <v>0</v>
      </c>
      <c r="AP41" s="10">
        <f t="shared" si="3"/>
        <v>25.587418300653596</v>
      </c>
      <c r="AQ41" s="10">
        <f t="shared" si="4"/>
        <v>0</v>
      </c>
      <c r="AR41" s="16">
        <f t="shared" si="14"/>
        <v>0</v>
      </c>
      <c r="AS41" s="16">
        <f t="shared" si="5"/>
        <v>0</v>
      </c>
      <c r="AT41" s="16">
        <f>AA41/'CY Defensive Stats Query'!$AH$34
*'Fanduel Export'!S41</f>
        <v>0</v>
      </c>
      <c r="AU41" s="10">
        <f t="shared" si="20"/>
        <v>0</v>
      </c>
      <c r="AV41" s="10">
        <f t="shared" si="15"/>
        <v>0</v>
      </c>
      <c r="AW41" s="10">
        <f t="shared" si="7"/>
        <v>12.022058823529411</v>
      </c>
      <c r="AX41" s="10">
        <f t="shared" si="16"/>
        <v>0</v>
      </c>
      <c r="AY41" s="10">
        <f>AF41/'CY Defensive Stats Query'!$AF$34
*R41</f>
        <v>-0.73878727835290492</v>
      </c>
      <c r="AZ41" s="10">
        <f t="shared" si="21"/>
        <v>0</v>
      </c>
      <c r="BA41" s="16">
        <f t="shared" si="17"/>
        <v>0</v>
      </c>
      <c r="BB41" s="16">
        <f t="shared" si="8"/>
        <v>0</v>
      </c>
      <c r="BC41" s="10">
        <f t="shared" si="9"/>
        <v>0</v>
      </c>
      <c r="BD41" s="10">
        <f>IF(B41="QB",COUNTIFS($B$5:B41,B41,$J$5:J41,J41),1)</f>
        <v>3</v>
      </c>
      <c r="BE41" t="str">
        <f t="shared" si="10"/>
        <v>Blaine Gabbert</v>
      </c>
      <c r="BF41">
        <f t="shared" si="11"/>
        <v>6000</v>
      </c>
      <c r="BG41" t="str">
        <f t="shared" si="12"/>
        <v>QB</v>
      </c>
      <c r="BH41" s="16">
        <f t="shared" si="18"/>
        <v>0</v>
      </c>
    </row>
    <row r="42" spans="1:60" hidden="1" x14ac:dyDescent="0.2">
      <c r="A42" t="s">
        <v>2780</v>
      </c>
      <c r="B42" t="s">
        <v>79</v>
      </c>
      <c r="C42" t="s">
        <v>115</v>
      </c>
      <c r="D42" t="s">
        <v>678</v>
      </c>
      <c r="E42" t="s">
        <v>2384</v>
      </c>
      <c r="H42">
        <v>6000</v>
      </c>
      <c r="I42" t="s">
        <v>2720</v>
      </c>
      <c r="J42" t="s">
        <v>728</v>
      </c>
      <c r="K42" t="s">
        <v>102</v>
      </c>
      <c r="O42" t="str">
        <f t="shared" si="0"/>
        <v>Ryan Griffin</v>
      </c>
      <c r="P42" t="str">
        <f>IFERROR(VLOOKUP(O:O,'Name Bridge'!A:B,2,FALSE),O:O)</f>
        <v>Ryan Griffin</v>
      </c>
      <c r="Q42" s="10">
        <f>VLOOKUP($K42,'CY Defensive Stats Query'!$AC:$AH,2,FALSE)</f>
        <v>5.9890109890109891</v>
      </c>
      <c r="R42" s="10">
        <f>VLOOKUP($K42,'CY Defensive Stats Query'!$AC:$AH,4,FALSE)</f>
        <v>3.8190476190476192</v>
      </c>
      <c r="S42" s="10">
        <f>VLOOKUP($K42,'CY Defensive Stats Query'!$AC:$AH,6,FALSE)</f>
        <v>8.515625</v>
      </c>
      <c r="T42" s="10">
        <f>IFERROR(VLOOKUP($P42,'CYPassing Query'!$B:$AE,9,FALSE)/VLOOKUP($P42,'CYPassing Query'!$B:$AE,5,FALSE),0)</f>
        <v>0</v>
      </c>
      <c r="U42" s="10">
        <f>IFERROR(VLOOKUP($P42,'CYPassing Query'!$B:$AE,11,FALSE)/VLOOKUP($P42,'CYPassing Query'!$B:$AE,5,FALSE),0)</f>
        <v>0</v>
      </c>
      <c r="V42" s="10">
        <f>IFERROR(VLOOKUP($P42,'CYPassing Query'!$B:$AE,18,FALSE),0)</f>
        <v>0</v>
      </c>
      <c r="W42" s="10">
        <f>IFERROR(VLOOKUP($P42,'CYPassing Query'!$B:$AE,12,FALSE)/VLOOKUP($P42,'CYPassing Query'!$B:$AE,5,FALSE),0)</f>
        <v>0</v>
      </c>
      <c r="X42" s="10">
        <f>IFERROR(IF(OR($B42="D",$B42="K"),0,VLOOKUP($P42,'CY Receving Query'!$B:$S,7,FALSE)/VLOOKUP($P42,'CY Receving Query'!$B:$S,5,FALSE)),0)*$AJ42</f>
        <v>0</v>
      </c>
      <c r="Y42" s="10">
        <f>IFERROR(VLOOKUP($P42,'CY Receving Query'!$B:$S,8,FALSE)/VLOOKUP($P42,'CY Receving Query'!$B:$S,5,FALSE),0)</f>
        <v>1.9285714285714286</v>
      </c>
      <c r="Z42" s="10">
        <f>IFERROR(VLOOKUP($P42,'CY Receving Query'!$B:$S,10,FALSE)/VLOOKUP($P42,'CY Receving Query'!$B:$S,5,FALSE),0)</f>
        <v>18.642857142857142</v>
      </c>
      <c r="AA42" s="10">
        <f>IFERROR(VLOOKUP($P42,'CY Receving Query'!$B:$S,11,FALSE),0)</f>
        <v>9.6999999999999993</v>
      </c>
      <c r="AB42" s="10">
        <f>IFERROR(AVERAGE(VLOOKUP($P42,'PY Receiving'!$C:$T,14,FALSE),VLOOKUP($P42,'CY Receiving'!$C:$T,14,FALSE)),0)</f>
        <v>15.5</v>
      </c>
      <c r="AC42" s="10">
        <f>IFERROR(VLOOKUP($P42,'CY Receving Query'!$B:$S,11,FALSE)/VLOOKUP($P42,'CY Receving Query'!$B:$S,5,FALSE),0)</f>
        <v>0.69285714285714284</v>
      </c>
      <c r="AD42" s="10">
        <f>IFERROR(VLOOKUP($P42,'CY Rushing Query'!$B:$O,7,FALSE)/VLOOKUP($P42,'CY Rushing Query'!$B:$O,5,FALSE),0)</f>
        <v>0</v>
      </c>
      <c r="AE42" s="10">
        <f>IFERROR(AVERAGE(VLOOKUP($P42,'PY Rushing'!$C:$P,8,FALSE)/VLOOKUP($P42,'PY Rushing'!$C:$P,5,FALSE),VLOOKUP($P42,'CY Rushing'!$C:$P,8,FALSE)/VLOOKUP($P42,'CY Rushing'!$C:$P,5,FALSE)),0)</f>
        <v>0</v>
      </c>
      <c r="AF42" s="10">
        <f>IFERROR(VLOOKUP($P42,'CY Rushing Query'!$B:$P,12,FALSE),0)</f>
        <v>0</v>
      </c>
      <c r="AG42" s="10">
        <f>IFERROR(VLOOKUP($P42,'CY Rushing Query'!$B:$P,9,FALSE)/VLOOKUP($P42,'CY Rushing Query'!$B:$P,5,FALSE),0)</f>
        <v>0</v>
      </c>
      <c r="AH42" s="10">
        <f>VLOOKUP($J42,'Vegas Odds'!$B:$S,18,FALSE)</f>
        <v>34.555825588251061</v>
      </c>
      <c r="AI42" s="10">
        <f>VLOOKUP($J42,'Vegas Odds'!$B:$S,17,FALSE)</f>
        <v>27.844174411748938</v>
      </c>
      <c r="AJ42">
        <f t="shared" si="13"/>
        <v>0</v>
      </c>
      <c r="AK42" s="10">
        <f t="shared" si="1"/>
        <v>0</v>
      </c>
      <c r="AL42" s="10">
        <f t="shared" si="2"/>
        <v>0</v>
      </c>
      <c r="AM42" s="10">
        <f>V42/'CY Defensive Stats Query'!$AD$34*'Fanduel Export'!Q42</f>
        <v>0</v>
      </c>
      <c r="AN42" s="10">
        <f t="shared" si="19"/>
        <v>0</v>
      </c>
      <c r="AO42" s="10">
        <f>IFERROR(IF(OR($B42="D",$B42="K"),0,VLOOKUP($P42,'CY Receving Query'!$B:$S,7,FALSE)/VLOOKUP($P42,'CY Receving Query'!$B:$S,5,FALSE)),0)*$AJ42</f>
        <v>0</v>
      </c>
      <c r="AP42" s="10">
        <f t="shared" si="3"/>
        <v>25.587418300653596</v>
      </c>
      <c r="AQ42" s="10">
        <f t="shared" si="4"/>
        <v>0</v>
      </c>
      <c r="AR42" s="16">
        <f t="shared" si="14"/>
        <v>0</v>
      </c>
      <c r="AS42" s="16">
        <f t="shared" si="5"/>
        <v>0</v>
      </c>
      <c r="AT42" s="16">
        <f>AA42/'CY Defensive Stats Query'!$AH$34
*'Fanduel Export'!S42</f>
        <v>7.8563874765780266</v>
      </c>
      <c r="AU42" s="10">
        <f t="shared" si="20"/>
        <v>0</v>
      </c>
      <c r="AV42" s="10">
        <f t="shared" si="15"/>
        <v>0</v>
      </c>
      <c r="AW42" s="10">
        <f t="shared" si="7"/>
        <v>12.022058823529411</v>
      </c>
      <c r="AX42" s="10">
        <f t="shared" si="16"/>
        <v>0</v>
      </c>
      <c r="AY42" s="10">
        <f>AF42/'CY Defensive Stats Query'!$AF$34
*R42</f>
        <v>0</v>
      </c>
      <c r="AZ42" s="10">
        <f t="shared" si="21"/>
        <v>0</v>
      </c>
      <c r="BA42" s="16">
        <f t="shared" si="17"/>
        <v>0</v>
      </c>
      <c r="BB42" s="16">
        <f t="shared" si="8"/>
        <v>0</v>
      </c>
      <c r="BC42" s="10">
        <f t="shared" si="9"/>
        <v>0</v>
      </c>
      <c r="BD42" s="10">
        <f>IF(B42="QB",COUNTIFS($B$5:B42,B42,$J$5:J42,J42),1)</f>
        <v>4</v>
      </c>
      <c r="BE42" t="str">
        <f t="shared" si="10"/>
        <v>Ryan Griffin</v>
      </c>
      <c r="BF42">
        <f t="shared" si="11"/>
        <v>6000</v>
      </c>
      <c r="BG42" t="str">
        <f t="shared" si="12"/>
        <v>QB</v>
      </c>
      <c r="BH42" s="16">
        <f t="shared" si="18"/>
        <v>0</v>
      </c>
    </row>
    <row r="43" spans="1:60" x14ac:dyDescent="0.2">
      <c r="A43" t="s">
        <v>2781</v>
      </c>
      <c r="B43" t="s">
        <v>83</v>
      </c>
      <c r="C43" t="s">
        <v>2782</v>
      </c>
      <c r="D43" t="s">
        <v>2448</v>
      </c>
      <c r="E43" t="s">
        <v>112</v>
      </c>
      <c r="F43">
        <v>8.9514285496303003</v>
      </c>
      <c r="G43">
        <v>14</v>
      </c>
      <c r="H43">
        <v>6000</v>
      </c>
      <c r="I43" t="s">
        <v>2718</v>
      </c>
      <c r="J43" t="s">
        <v>729</v>
      </c>
      <c r="K43" t="s">
        <v>138</v>
      </c>
      <c r="O43" t="str">
        <f t="shared" si="0"/>
        <v>Cedrick Wilson</v>
      </c>
      <c r="P43" t="str">
        <f>IFERROR(VLOOKUP(O:O,'Name Bridge'!A:B,2,FALSE),O:O)</f>
        <v>Cedrick Wilson*</v>
      </c>
      <c r="Q43" s="10">
        <f>VLOOKUP($K43,'CY Defensive Stats Query'!$AC:$AH,2,FALSE)</f>
        <v>6.5263157894736841</v>
      </c>
      <c r="R43" s="10">
        <f>VLOOKUP($K43,'CY Defensive Stats Query'!$AC:$AH,4,FALSE)</f>
        <v>4.7051282051282053</v>
      </c>
      <c r="S43" s="10">
        <f>VLOOKUP($K43,'CY Defensive Stats Query'!$AC:$AH,6,FALSE)</f>
        <v>10.191780821917808</v>
      </c>
      <c r="T43" s="10">
        <f>IFERROR(VLOOKUP($P43,'CYPassing Query'!$B:$AE,9,FALSE)/VLOOKUP($P43,'CYPassing Query'!$B:$AE,5,FALSE),0)</f>
        <v>0.1875</v>
      </c>
      <c r="U43" s="10">
        <f>IFERROR(VLOOKUP($P43,'CYPassing Query'!$B:$AE,11,FALSE)/VLOOKUP($P43,'CYPassing Query'!$B:$AE,5,FALSE),0)</f>
        <v>5.5</v>
      </c>
      <c r="V43" s="10">
        <f>IFERROR(VLOOKUP($P43,'CYPassing Query'!$B:$AE,18,FALSE),0)</f>
        <v>29.3</v>
      </c>
      <c r="W43" s="10">
        <f>IFERROR(VLOOKUP($P43,'CYPassing Query'!$B:$AE,12,FALSE)/VLOOKUP($P43,'CYPassing Query'!$B:$AE,5,FALSE),0)</f>
        <v>0</v>
      </c>
      <c r="X43" s="10">
        <f>IFERROR(IF(OR($B43="D",$B43="K"),0,VLOOKUP($P43,'CY Receving Query'!$B:$S,7,FALSE)/VLOOKUP($P43,'CY Receving Query'!$B:$S,5,FALSE)),0)*$AJ43</f>
        <v>3.8125</v>
      </c>
      <c r="Y43" s="10">
        <f>IFERROR(VLOOKUP($P43,'CY Receving Query'!$B:$S,8,FALSE)/VLOOKUP($P43,'CY Receving Query'!$B:$S,5,FALSE),0)</f>
        <v>2.8125</v>
      </c>
      <c r="Z43" s="10">
        <f>IFERROR(VLOOKUP($P43,'CY Receving Query'!$B:$S,10,FALSE)/VLOOKUP($P43,'CY Receving Query'!$B:$S,5,FALSE),0)</f>
        <v>37.625</v>
      </c>
      <c r="AA43" s="10">
        <f>IFERROR(VLOOKUP($P43,'CY Receving Query'!$B:$S,11,FALSE),0)</f>
        <v>13.4</v>
      </c>
      <c r="AB43" s="10">
        <f>IFERROR(AVERAGE(VLOOKUP($P43,'PY Receiving'!$C:$T,14,FALSE),VLOOKUP($P43,'CY Receiving'!$C:$T,14,FALSE)),0)</f>
        <v>27.5</v>
      </c>
      <c r="AC43" s="10">
        <f>IFERROR(VLOOKUP($P43,'CY Receving Query'!$B:$S,11,FALSE)/VLOOKUP($P43,'CY Receving Query'!$B:$S,5,FALSE),0)</f>
        <v>0.83750000000000002</v>
      </c>
      <c r="AD43" s="10">
        <f>IFERROR(VLOOKUP($P43,'CY Rushing Query'!$B:$O,7,FALSE)/VLOOKUP($P43,'CY Rushing Query'!$B:$O,5,FALSE),0)</f>
        <v>0.125</v>
      </c>
      <c r="AE43" s="10">
        <f>IFERROR(AVERAGE(VLOOKUP($P43,'PY Rushing'!$C:$P,8,FALSE)/VLOOKUP($P43,'PY Rushing'!$C:$P,5,FALSE),VLOOKUP($P43,'CY Rushing'!$C:$P,8,FALSE)/VLOOKUP($P43,'CY Rushing'!$C:$P,5,FALSE)),0)</f>
        <v>0</v>
      </c>
      <c r="AF43" s="10">
        <f>IFERROR(VLOOKUP($P43,'CY Rushing Query'!$B:$P,12,FALSE),0)</f>
        <v>5.5</v>
      </c>
      <c r="AG43" s="10">
        <f>IFERROR(VLOOKUP($P43,'CY Rushing Query'!$B:$P,9,FALSE)/VLOOKUP($P43,'CY Rushing Query'!$B:$P,5,FALSE),0)</f>
        <v>0</v>
      </c>
      <c r="AH43" s="10">
        <f>VLOOKUP($J43,'Vegas Odds'!$B:$S,18,FALSE)</f>
        <v>38.06292701199007</v>
      </c>
      <c r="AI43" s="10">
        <f>VLOOKUP($J43,'Vegas Odds'!$B:$S,17,FALSE)</f>
        <v>29.237072988009928</v>
      </c>
      <c r="AJ43">
        <f t="shared" si="13"/>
        <v>1</v>
      </c>
      <c r="AK43" s="10">
        <f t="shared" si="1"/>
        <v>0.1875</v>
      </c>
      <c r="AL43" s="10">
        <f t="shared" si="2"/>
        <v>0</v>
      </c>
      <c r="AM43" s="10">
        <f>V43/'CY Defensive Stats Query'!$AD$34*'Fanduel Export'!Q43</f>
        <v>27.160339889217013</v>
      </c>
      <c r="AN43" s="10">
        <f t="shared" si="19"/>
        <v>0</v>
      </c>
      <c r="AO43" s="10">
        <f>IFERROR(IF(OR($B43="D",$B43="K"),0,VLOOKUP($P43,'CY Receving Query'!$B:$S,7,FALSE)/VLOOKUP($P43,'CY Receving Query'!$B:$S,5,FALSE)),0)*$AJ43</f>
        <v>3.8125</v>
      </c>
      <c r="AP43" s="10">
        <f t="shared" si="3"/>
        <v>30.199512497306614</v>
      </c>
      <c r="AQ43" s="10">
        <f t="shared" si="4"/>
        <v>4.8052070127342086</v>
      </c>
      <c r="AR43" s="16">
        <f t="shared" si="14"/>
        <v>2.8125</v>
      </c>
      <c r="AS43" s="16">
        <f t="shared" si="5"/>
        <v>3.5448248454596625</v>
      </c>
      <c r="AT43" s="16">
        <f>AA43/'CY Defensive Stats Query'!$AH$34
*'Fanduel Export'!S43</f>
        <v>12.989412415277238</v>
      </c>
      <c r="AU43" s="10">
        <f t="shared" si="20"/>
        <v>46.045191857596954</v>
      </c>
      <c r="AV43" s="10">
        <f t="shared" si="15"/>
        <v>0.125</v>
      </c>
      <c r="AW43" s="10">
        <f t="shared" si="7"/>
        <v>30.007352941176471</v>
      </c>
      <c r="AX43" s="10">
        <f t="shared" si="16"/>
        <v>0.12179128664449124</v>
      </c>
      <c r="AY43" s="10">
        <f>AF43/'CY Defensive Stats Query'!$AF$34
*R43</f>
        <v>6.2576100910508403</v>
      </c>
      <c r="AZ43" s="10">
        <f t="shared" si="21"/>
        <v>0.76212238430863377</v>
      </c>
      <c r="BA43" s="16">
        <f t="shared" si="17"/>
        <v>6.0869814241905589</v>
      </c>
      <c r="BB43" s="16">
        <f t="shared" si="8"/>
        <v>1.0144969040317597</v>
      </c>
      <c r="BC43" s="10">
        <f t="shared" si="9"/>
        <v>0.63541666666666663</v>
      </c>
      <c r="BD43" s="10">
        <f>IF(B43="QB",COUNTIFS($B$5:B43,B43,$J$5:J43,J43),1)</f>
        <v>1</v>
      </c>
      <c r="BE43" t="str">
        <f t="shared" si="10"/>
        <v>Cedrick Wilson</v>
      </c>
      <c r="BF43">
        <f t="shared" si="11"/>
        <v>6000</v>
      </c>
      <c r="BG43" t="str">
        <f t="shared" si="12"/>
        <v>WR</v>
      </c>
      <c r="BH43" s="16">
        <f t="shared" si="18"/>
        <v>6.0869814241905589</v>
      </c>
    </row>
    <row r="44" spans="1:60" hidden="1" x14ac:dyDescent="0.2">
      <c r="A44" t="s">
        <v>2783</v>
      </c>
      <c r="B44" t="s">
        <v>79</v>
      </c>
      <c r="C44" t="s">
        <v>2207</v>
      </c>
      <c r="D44" t="s">
        <v>2541</v>
      </c>
      <c r="E44" t="s">
        <v>2542</v>
      </c>
      <c r="F44">
        <v>1.03999996185302</v>
      </c>
      <c r="G44">
        <v>2</v>
      </c>
      <c r="H44">
        <v>6000</v>
      </c>
      <c r="I44" t="s">
        <v>2716</v>
      </c>
      <c r="J44" t="s">
        <v>99</v>
      </c>
      <c r="K44" t="s">
        <v>81</v>
      </c>
      <c r="L44" t="s">
        <v>182</v>
      </c>
      <c r="M44" t="s">
        <v>2388</v>
      </c>
      <c r="O44" t="str">
        <f t="shared" si="0"/>
        <v>Josh Dobbs</v>
      </c>
      <c r="P44" t="str">
        <f>IFERROR(VLOOKUP(O:O,'Name Bridge'!A:B,2,FALSE),O:O)</f>
        <v>Josh Dobbs</v>
      </c>
      <c r="Q44" s="10">
        <f>VLOOKUP($K44,'CY Defensive Stats Query'!$AC:$AH,2,FALSE)</f>
        <v>8.7934782608695645</v>
      </c>
      <c r="R44" s="10">
        <f>VLOOKUP($K44,'CY Defensive Stats Query'!$AC:$AH,4,FALSE)</f>
        <v>5.404494382022472</v>
      </c>
      <c r="S44" s="10">
        <f>VLOOKUP($K44,'CY Defensive Stats Query'!$AC:$AH,6,FALSE)</f>
        <v>12.446153846153846</v>
      </c>
      <c r="T44" s="10">
        <f>IFERROR(VLOOKUP($P44,'CYPassing Query'!$B:$AE,9,FALSE)/VLOOKUP($P44,'CYPassing Query'!$B:$AE,5,FALSE),0)</f>
        <v>0</v>
      </c>
      <c r="U44" s="10">
        <f>IFERROR(VLOOKUP($P44,'CYPassing Query'!$B:$AE,11,FALSE)/VLOOKUP($P44,'CYPassing Query'!$B:$AE,5,FALSE),0)</f>
        <v>0</v>
      </c>
      <c r="V44" s="10">
        <f>IFERROR(VLOOKUP($P44,'CYPassing Query'!$B:$AE,18,FALSE),0)</f>
        <v>0</v>
      </c>
      <c r="W44" s="10">
        <f>IFERROR(VLOOKUP($P44,'CYPassing Query'!$B:$AE,12,FALSE)/VLOOKUP($P44,'CYPassing Query'!$B:$AE,5,FALSE),0)</f>
        <v>0</v>
      </c>
      <c r="X44" s="10">
        <f>IFERROR(IF(OR($B44="D",$B44="K"),0,VLOOKUP($P44,'CY Receving Query'!$B:$S,7,FALSE)/VLOOKUP($P44,'CY Receving Query'!$B:$S,5,FALSE)),0)*$AJ44</f>
        <v>0</v>
      </c>
      <c r="Y44" s="10">
        <f>IFERROR(VLOOKUP($P44,'CY Receving Query'!$B:$S,8,FALSE)/VLOOKUP($P44,'CY Receving Query'!$B:$S,5,FALSE),0)</f>
        <v>0</v>
      </c>
      <c r="Z44" s="10">
        <f>IFERROR(VLOOKUP($P44,'CY Receving Query'!$B:$S,10,FALSE)/VLOOKUP($P44,'CY Receving Query'!$B:$S,5,FALSE),0)</f>
        <v>0</v>
      </c>
      <c r="AA44" s="10">
        <f>IFERROR(VLOOKUP($P44,'CY Receving Query'!$B:$S,11,FALSE),0)</f>
        <v>0</v>
      </c>
      <c r="AB44" s="10">
        <f>IFERROR(AVERAGE(VLOOKUP($P44,'PY Receiving'!$C:$T,14,FALSE),VLOOKUP($P44,'CY Receiving'!$C:$T,14,FALSE)),0)</f>
        <v>0</v>
      </c>
      <c r="AC44" s="10">
        <f>IFERROR(VLOOKUP($P44,'CY Receving Query'!$B:$S,11,FALSE)/VLOOKUP($P44,'CY Receving Query'!$B:$S,5,FALSE),0)</f>
        <v>0</v>
      </c>
      <c r="AD44" s="10">
        <f>IFERROR(VLOOKUP($P44,'CY Rushing Query'!$B:$O,7,FALSE)/VLOOKUP($P44,'CY Rushing Query'!$B:$O,5,FALSE),0)</f>
        <v>0</v>
      </c>
      <c r="AE44" s="10">
        <f>IFERROR(AVERAGE(VLOOKUP($P44,'PY Rushing'!$C:$P,8,FALSE)/VLOOKUP($P44,'PY Rushing'!$C:$P,5,FALSE),VLOOKUP($P44,'CY Rushing'!$C:$P,8,FALSE)/VLOOKUP($P44,'CY Rushing'!$C:$P,5,FALSE)),0)</f>
        <v>0</v>
      </c>
      <c r="AF44" s="10">
        <f>IFERROR(VLOOKUP($P44,'CY Rushing Query'!$B:$P,12,FALSE),0)</f>
        <v>0</v>
      </c>
      <c r="AG44" s="10">
        <f>IFERROR(VLOOKUP($P44,'CY Rushing Query'!$B:$P,9,FALSE)/VLOOKUP($P44,'CY Rushing Query'!$B:$P,5,FALSE),0)</f>
        <v>0</v>
      </c>
      <c r="AH44" s="10">
        <f>VLOOKUP($J44,'Vegas Odds'!$B:$S,18,FALSE)</f>
        <v>40.088640957860363</v>
      </c>
      <c r="AI44" s="10">
        <f>VLOOKUP($J44,'Vegas Odds'!$B:$S,17,FALSE)</f>
        <v>25.511359042139631</v>
      </c>
      <c r="AJ44">
        <f t="shared" si="13"/>
        <v>0</v>
      </c>
      <c r="AK44" s="10">
        <f t="shared" si="1"/>
        <v>0</v>
      </c>
      <c r="AL44" s="10">
        <f t="shared" si="2"/>
        <v>0</v>
      </c>
      <c r="AM44" s="10">
        <f>V44/'CY Defensive Stats Query'!$AD$34*'Fanduel Export'!Q44</f>
        <v>0</v>
      </c>
      <c r="AN44" s="10">
        <f t="shared" si="19"/>
        <v>0</v>
      </c>
      <c r="AO44" s="10">
        <f>IFERROR(IF(OR($B44="D",$B44="K"),0,VLOOKUP($P44,'CY Receving Query'!$B:$S,7,FALSE)/VLOOKUP($P44,'CY Receving Query'!$B:$S,5,FALSE)),0)*$AJ44</f>
        <v>0</v>
      </c>
      <c r="AP44" s="10">
        <f t="shared" si="3"/>
        <v>32.289950980392156</v>
      </c>
      <c r="AQ44" s="10">
        <f t="shared" si="4"/>
        <v>0</v>
      </c>
      <c r="AR44" s="16">
        <f t="shared" si="14"/>
        <v>0</v>
      </c>
      <c r="AS44" s="16">
        <f t="shared" si="5"/>
        <v>0</v>
      </c>
      <c r="AT44" s="16">
        <f>AA44/'CY Defensive Stats Query'!$AH$34
*'Fanduel Export'!S44</f>
        <v>0</v>
      </c>
      <c r="AU44" s="10">
        <f t="shared" si="20"/>
        <v>0</v>
      </c>
      <c r="AV44" s="10">
        <f t="shared" si="15"/>
        <v>0</v>
      </c>
      <c r="AW44" s="10">
        <f t="shared" si="7"/>
        <v>7.4240196078431371</v>
      </c>
      <c r="AX44" s="10">
        <f t="shared" si="16"/>
        <v>0</v>
      </c>
      <c r="AY44" s="10">
        <f>AF44/'CY Defensive Stats Query'!$AF$34
*R44</f>
        <v>0</v>
      </c>
      <c r="AZ44" s="10">
        <f t="shared" si="21"/>
        <v>0</v>
      </c>
      <c r="BA44" s="16">
        <f t="shared" si="17"/>
        <v>0</v>
      </c>
      <c r="BB44" s="16">
        <f t="shared" si="8"/>
        <v>0</v>
      </c>
      <c r="BC44" s="10">
        <f t="shared" si="9"/>
        <v>0</v>
      </c>
      <c r="BD44" s="10">
        <f>IF(B44="QB",COUNTIFS($B$5:B44,B44,$J$5:J44,J44),1)</f>
        <v>4</v>
      </c>
      <c r="BE44" t="str">
        <f t="shared" si="10"/>
        <v>Josh Dobbs</v>
      </c>
      <c r="BF44">
        <f t="shared" si="11"/>
        <v>6000</v>
      </c>
      <c r="BG44" t="str">
        <f t="shared" si="12"/>
        <v>QB</v>
      </c>
      <c r="BH44" s="16">
        <f t="shared" si="18"/>
        <v>0</v>
      </c>
    </row>
    <row r="45" spans="1:60" hidden="1" x14ac:dyDescent="0.2">
      <c r="A45" t="s">
        <v>2784</v>
      </c>
      <c r="B45" t="s">
        <v>79</v>
      </c>
      <c r="C45" t="s">
        <v>2212</v>
      </c>
      <c r="D45" t="s">
        <v>1379</v>
      </c>
      <c r="E45" t="s">
        <v>2785</v>
      </c>
      <c r="F45">
        <v>2.3200000127156502</v>
      </c>
      <c r="G45">
        <v>3</v>
      </c>
      <c r="H45">
        <v>6000</v>
      </c>
      <c r="I45" t="s">
        <v>2718</v>
      </c>
      <c r="J45" t="s">
        <v>729</v>
      </c>
      <c r="K45" t="s">
        <v>138</v>
      </c>
      <c r="O45" t="str">
        <f t="shared" si="0"/>
        <v>Ben DiNucci</v>
      </c>
      <c r="P45" t="str">
        <f>IFERROR(VLOOKUP(O:O,'Name Bridge'!A:B,2,FALSE),O:O)</f>
        <v>Ben DiNucci</v>
      </c>
      <c r="Q45" s="10">
        <f>VLOOKUP($K45,'CY Defensive Stats Query'!$AC:$AH,2,FALSE)</f>
        <v>6.5263157894736841</v>
      </c>
      <c r="R45" s="10">
        <f>VLOOKUP($K45,'CY Defensive Stats Query'!$AC:$AH,4,FALSE)</f>
        <v>4.7051282051282053</v>
      </c>
      <c r="S45" s="10">
        <f>VLOOKUP($K45,'CY Defensive Stats Query'!$AC:$AH,6,FALSE)</f>
        <v>10.191780821917808</v>
      </c>
      <c r="T45" s="10">
        <f>IFERROR(VLOOKUP($P45,'CYPassing Query'!$B:$AE,9,FALSE)/VLOOKUP($P45,'CYPassing Query'!$B:$AE,5,FALSE),0)</f>
        <v>0</v>
      </c>
      <c r="U45" s="10">
        <f>IFERROR(VLOOKUP($P45,'CYPassing Query'!$B:$AE,11,FALSE)/VLOOKUP($P45,'CYPassing Query'!$B:$AE,5,FALSE),0)</f>
        <v>0</v>
      </c>
      <c r="V45" s="10">
        <f>IFERROR(VLOOKUP($P45,'CYPassing Query'!$B:$AE,18,FALSE),0)</f>
        <v>0</v>
      </c>
      <c r="W45" s="10">
        <f>IFERROR(VLOOKUP($P45,'CYPassing Query'!$B:$AE,12,FALSE)/VLOOKUP($P45,'CYPassing Query'!$B:$AE,5,FALSE),0)</f>
        <v>0</v>
      </c>
      <c r="X45" s="10">
        <f>IFERROR(IF(OR($B45="D",$B45="K"),0,VLOOKUP($P45,'CY Receving Query'!$B:$S,7,FALSE)/VLOOKUP($P45,'CY Receving Query'!$B:$S,5,FALSE)),0)*$AJ45</f>
        <v>0</v>
      </c>
      <c r="Y45" s="10">
        <f>IFERROR(VLOOKUP($P45,'CY Receving Query'!$B:$S,8,FALSE)/VLOOKUP($P45,'CY Receving Query'!$B:$S,5,FALSE),0)</f>
        <v>0</v>
      </c>
      <c r="Z45" s="10">
        <f>IFERROR(VLOOKUP($P45,'CY Receving Query'!$B:$S,10,FALSE)/VLOOKUP($P45,'CY Receving Query'!$B:$S,5,FALSE),0)</f>
        <v>0</v>
      </c>
      <c r="AA45" s="10">
        <f>IFERROR(VLOOKUP($P45,'CY Receving Query'!$B:$S,11,FALSE),0)</f>
        <v>0</v>
      </c>
      <c r="AB45" s="10">
        <f>IFERROR(AVERAGE(VLOOKUP($P45,'PY Receiving'!$C:$T,14,FALSE),VLOOKUP($P45,'CY Receiving'!$C:$T,14,FALSE)),0)</f>
        <v>0</v>
      </c>
      <c r="AC45" s="10">
        <f>IFERROR(VLOOKUP($P45,'CY Receving Query'!$B:$S,11,FALSE)/VLOOKUP($P45,'CY Receving Query'!$B:$S,5,FALSE),0)</f>
        <v>0</v>
      </c>
      <c r="AD45" s="10">
        <f>IFERROR(VLOOKUP($P45,'CY Rushing Query'!$B:$O,7,FALSE)/VLOOKUP($P45,'CY Rushing Query'!$B:$O,5,FALSE),0)</f>
        <v>0</v>
      </c>
      <c r="AE45" s="10">
        <f>IFERROR(AVERAGE(VLOOKUP($P45,'PY Rushing'!$C:$P,8,FALSE)/VLOOKUP($P45,'PY Rushing'!$C:$P,5,FALSE),VLOOKUP($P45,'CY Rushing'!$C:$P,8,FALSE)/VLOOKUP($P45,'CY Rushing'!$C:$P,5,FALSE)),0)</f>
        <v>0</v>
      </c>
      <c r="AF45" s="10">
        <f>IFERROR(VLOOKUP($P45,'CY Rushing Query'!$B:$P,12,FALSE),0)</f>
        <v>0</v>
      </c>
      <c r="AG45" s="10">
        <f>IFERROR(VLOOKUP($P45,'CY Rushing Query'!$B:$P,9,FALSE)/VLOOKUP($P45,'CY Rushing Query'!$B:$P,5,FALSE),0)</f>
        <v>0</v>
      </c>
      <c r="AH45" s="10">
        <f>VLOOKUP($J45,'Vegas Odds'!$B:$S,18,FALSE)</f>
        <v>38.06292701199007</v>
      </c>
      <c r="AI45" s="10">
        <f>VLOOKUP($J45,'Vegas Odds'!$B:$S,17,FALSE)</f>
        <v>29.237072988009928</v>
      </c>
      <c r="AJ45">
        <f t="shared" si="13"/>
        <v>0</v>
      </c>
      <c r="AK45" s="10">
        <f t="shared" si="1"/>
        <v>0</v>
      </c>
      <c r="AL45" s="10">
        <f t="shared" si="2"/>
        <v>0</v>
      </c>
      <c r="AM45" s="10">
        <f>V45/'CY Defensive Stats Query'!$AD$34*'Fanduel Export'!Q45</f>
        <v>0</v>
      </c>
      <c r="AN45" s="10">
        <f t="shared" si="19"/>
        <v>0</v>
      </c>
      <c r="AO45" s="10">
        <f>IFERROR(IF(OR($B45="D",$B45="K"),0,VLOOKUP($P45,'CY Receving Query'!$B:$S,7,FALSE)/VLOOKUP($P45,'CY Receving Query'!$B:$S,5,FALSE)),0)*$AJ45</f>
        <v>0</v>
      </c>
      <c r="AP45" s="10">
        <f t="shared" si="3"/>
        <v>30.199512497306614</v>
      </c>
      <c r="AQ45" s="10">
        <f t="shared" si="4"/>
        <v>0</v>
      </c>
      <c r="AR45" s="16">
        <f t="shared" si="14"/>
        <v>0</v>
      </c>
      <c r="AS45" s="16">
        <f t="shared" si="5"/>
        <v>0</v>
      </c>
      <c r="AT45" s="16">
        <f>AA45/'CY Defensive Stats Query'!$AH$34
*'Fanduel Export'!S45</f>
        <v>0</v>
      </c>
      <c r="AU45" s="10">
        <f t="shared" si="20"/>
        <v>0</v>
      </c>
      <c r="AV45" s="10">
        <f t="shared" si="15"/>
        <v>0</v>
      </c>
      <c r="AW45" s="10">
        <f t="shared" si="7"/>
        <v>30.007352941176471</v>
      </c>
      <c r="AX45" s="10">
        <f t="shared" si="16"/>
        <v>0</v>
      </c>
      <c r="AY45" s="10">
        <f>AF45/'CY Defensive Stats Query'!$AF$34
*R45</f>
        <v>0</v>
      </c>
      <c r="AZ45" s="10">
        <f t="shared" si="21"/>
        <v>0</v>
      </c>
      <c r="BA45" s="16">
        <f t="shared" si="17"/>
        <v>0</v>
      </c>
      <c r="BB45" s="16">
        <f t="shared" si="8"/>
        <v>0</v>
      </c>
      <c r="BC45" s="10">
        <f t="shared" si="9"/>
        <v>0</v>
      </c>
      <c r="BD45" s="10">
        <f>IF(B45="QB",COUNTIFS($B$5:B45,B45,$J$5:J45,J45),1)</f>
        <v>4</v>
      </c>
      <c r="BE45" t="str">
        <f t="shared" si="10"/>
        <v>Ben DiNucci</v>
      </c>
      <c r="BF45">
        <f t="shared" si="11"/>
        <v>6000</v>
      </c>
      <c r="BG45" t="str">
        <f t="shared" si="12"/>
        <v>QB</v>
      </c>
      <c r="BH45" s="16">
        <f t="shared" si="18"/>
        <v>0</v>
      </c>
    </row>
    <row r="46" spans="1:60" x14ac:dyDescent="0.2">
      <c r="A46" t="s">
        <v>2786</v>
      </c>
      <c r="B46" t="s">
        <v>88</v>
      </c>
      <c r="C46" t="s">
        <v>2245</v>
      </c>
      <c r="D46" t="s">
        <v>238</v>
      </c>
      <c r="E46" t="s">
        <v>2787</v>
      </c>
      <c r="F46">
        <v>9.1333333333333293</v>
      </c>
      <c r="G46">
        <v>15</v>
      </c>
      <c r="H46">
        <v>5900</v>
      </c>
      <c r="I46" t="s">
        <v>2720</v>
      </c>
      <c r="J46" t="s">
        <v>102</v>
      </c>
      <c r="K46" t="s">
        <v>728</v>
      </c>
      <c r="O46" t="str">
        <f t="shared" si="0"/>
        <v>Dallas Goedert</v>
      </c>
      <c r="P46" t="str">
        <f>IFERROR(VLOOKUP(O:O,'Name Bridge'!A:B,2,FALSE),O:O)</f>
        <v>Dallas Goedert</v>
      </c>
      <c r="Q46" s="10">
        <f>VLOOKUP($K46,'CY Defensive Stats Query'!$AC:$AH,2,FALSE)</f>
        <v>7.0486111111111107</v>
      </c>
      <c r="R46" s="10">
        <f>VLOOKUP($K46,'CY Defensive Stats Query'!$AC:$AH,4,FALSE)</f>
        <v>3.0806451612903225</v>
      </c>
      <c r="S46" s="10">
        <f>VLOOKUP($K46,'CY Defensive Stats Query'!$AC:$AH,6,FALSE)</f>
        <v>9.759615384615385</v>
      </c>
      <c r="T46" s="10">
        <f>IFERROR(VLOOKUP($P46,'CYPassing Query'!$B:$AE,9,FALSE)/VLOOKUP($P46,'CYPassing Query'!$B:$AE,5,FALSE),0)</f>
        <v>0</v>
      </c>
      <c r="U46" s="10">
        <f>IFERROR(VLOOKUP($P46,'CYPassing Query'!$B:$AE,11,FALSE)/VLOOKUP($P46,'CYPassing Query'!$B:$AE,5,FALSE),0)</f>
        <v>0</v>
      </c>
      <c r="V46" s="10">
        <f>IFERROR(VLOOKUP($P46,'CYPassing Query'!$B:$AE,18,FALSE),0)</f>
        <v>0</v>
      </c>
      <c r="W46" s="10">
        <f>IFERROR(VLOOKUP($P46,'CYPassing Query'!$B:$AE,12,FALSE)/VLOOKUP($P46,'CYPassing Query'!$B:$AE,5,FALSE),0)</f>
        <v>0</v>
      </c>
      <c r="X46" s="10">
        <f>IFERROR(IF(OR($B46="D",$B46="K"),0,VLOOKUP($P46,'CY Receving Query'!$B:$S,7,FALSE)/VLOOKUP($P46,'CY Receving Query'!$B:$S,5,FALSE)),0)*$AJ46</f>
        <v>5.0666666666666664</v>
      </c>
      <c r="Y46" s="10">
        <f>IFERROR(VLOOKUP($P46,'CY Receving Query'!$B:$S,8,FALSE)/VLOOKUP($P46,'CY Receving Query'!$B:$S,5,FALSE),0)</f>
        <v>3.7333333333333334</v>
      </c>
      <c r="Z46" s="10">
        <f>IFERROR(VLOOKUP($P46,'CY Receving Query'!$B:$S,10,FALSE)/VLOOKUP($P46,'CY Receving Query'!$B:$S,5,FALSE),0)</f>
        <v>55.333333333333336</v>
      </c>
      <c r="AA46" s="10">
        <f>IFERROR(VLOOKUP($P46,'CY Receving Query'!$B:$S,11,FALSE),0)</f>
        <v>14.8</v>
      </c>
      <c r="AB46" s="10">
        <f>IFERROR(AVERAGE(VLOOKUP($P46,'PY Receiving'!$C:$T,14,FALSE),VLOOKUP($P46,'CY Receiving'!$C:$T,14,FALSE)),0)</f>
        <v>27</v>
      </c>
      <c r="AC46" s="10">
        <f>IFERROR(VLOOKUP($P46,'CY Receving Query'!$B:$S,11,FALSE)/VLOOKUP($P46,'CY Receving Query'!$B:$S,5,FALSE),0)</f>
        <v>0.98666666666666669</v>
      </c>
      <c r="AD46" s="10">
        <f>IFERROR(VLOOKUP($P46,'CY Rushing Query'!$B:$O,7,FALSE)/VLOOKUP($P46,'CY Rushing Query'!$B:$O,5,FALSE),0)</f>
        <v>0</v>
      </c>
      <c r="AE46" s="10">
        <f>IFERROR(AVERAGE(VLOOKUP($P46,'PY Rushing'!$C:$P,8,FALSE)/VLOOKUP($P46,'PY Rushing'!$C:$P,5,FALSE),VLOOKUP($P46,'CY Rushing'!$C:$P,8,FALSE)/VLOOKUP($P46,'CY Rushing'!$C:$P,5,FALSE)),0)</f>
        <v>0</v>
      </c>
      <c r="AF46" s="10">
        <f>IFERROR(VLOOKUP($P46,'CY Rushing Query'!$B:$P,12,FALSE),0)</f>
        <v>0</v>
      </c>
      <c r="AG46" s="10">
        <f>IFERROR(VLOOKUP($P46,'CY Rushing Query'!$B:$P,9,FALSE)/VLOOKUP($P46,'CY Rushing Query'!$B:$P,5,FALSE),0)</f>
        <v>0</v>
      </c>
      <c r="AH46" s="10">
        <f>VLOOKUP($J46,'Vegas Odds'!$B:$S,18,FALSE)</f>
        <v>44.85966247691475</v>
      </c>
      <c r="AI46" s="10">
        <f>VLOOKUP($J46,'Vegas Odds'!$B:$S,17,FALSE)</f>
        <v>17.740337523085255</v>
      </c>
      <c r="AJ46">
        <f t="shared" si="13"/>
        <v>1</v>
      </c>
      <c r="AK46" s="10">
        <f t="shared" si="1"/>
        <v>0</v>
      </c>
      <c r="AL46" s="10">
        <f t="shared" si="2"/>
        <v>0</v>
      </c>
      <c r="AM46" s="10">
        <f>V46/'CY Defensive Stats Query'!$AD$34*'Fanduel Export'!Q46</f>
        <v>0</v>
      </c>
      <c r="AN46" s="10">
        <f t="shared" si="19"/>
        <v>0</v>
      </c>
      <c r="AO46" s="10">
        <f>IFERROR(IF(OR($B46="D",$B46="K"),0,VLOOKUP($P46,'CY Receving Query'!$B:$S,7,FALSE)/VLOOKUP($P46,'CY Receving Query'!$B:$S,5,FALSE)),0)*$AJ46</f>
        <v>5.0666666666666664</v>
      </c>
      <c r="AP46" s="10">
        <f t="shared" si="3"/>
        <v>28.54982492997199</v>
      </c>
      <c r="AQ46" s="10">
        <f t="shared" si="4"/>
        <v>7.961133110525326</v>
      </c>
      <c r="AR46" s="16">
        <f t="shared" si="14"/>
        <v>3.7333333333333334</v>
      </c>
      <c r="AS46" s="16">
        <f t="shared" si="5"/>
        <v>5.8660980814397146</v>
      </c>
      <c r="AT46" s="16">
        <f>AA46/'CY Defensive Stats Query'!$AH$34
*'Fanduel Export'!S46</f>
        <v>13.738175197858714</v>
      </c>
      <c r="AU46" s="10">
        <f t="shared" si="20"/>
        <v>80.589483170641671</v>
      </c>
      <c r="AV46" s="10">
        <f t="shared" si="15"/>
        <v>0</v>
      </c>
      <c r="AW46" s="10">
        <f t="shared" si="7"/>
        <v>56.303606442577035</v>
      </c>
      <c r="AX46" s="10">
        <f t="shared" si="16"/>
        <v>0</v>
      </c>
      <c r="AY46" s="10">
        <f>AF46/'CY Defensive Stats Query'!$AF$34
*R46</f>
        <v>0</v>
      </c>
      <c r="AZ46" s="10">
        <f t="shared" si="21"/>
        <v>0</v>
      </c>
      <c r="BA46" s="16">
        <f t="shared" si="17"/>
        <v>9.925614983730835</v>
      </c>
      <c r="BB46" s="16">
        <f t="shared" si="8"/>
        <v>1.6823076243611583</v>
      </c>
      <c r="BC46" s="10">
        <f t="shared" si="9"/>
        <v>0.85875706214689251</v>
      </c>
      <c r="BD46" s="10">
        <f>IF(B46="QB",COUNTIFS($B$5:B46,B46,$J$5:J46,J46),1)</f>
        <v>1</v>
      </c>
      <c r="BE46" t="str">
        <f t="shared" si="10"/>
        <v>Dallas Goedert</v>
      </c>
      <c r="BF46">
        <f t="shared" si="11"/>
        <v>5900</v>
      </c>
      <c r="BG46" t="str">
        <f t="shared" si="12"/>
        <v>TE</v>
      </c>
      <c r="BH46" s="16">
        <f t="shared" si="18"/>
        <v>9.925614983730835</v>
      </c>
    </row>
    <row r="47" spans="1:60" x14ac:dyDescent="0.2">
      <c r="A47" t="s">
        <v>2788</v>
      </c>
      <c r="B47" t="s">
        <v>68</v>
      </c>
      <c r="C47" t="s">
        <v>2224</v>
      </c>
      <c r="D47" t="s">
        <v>160</v>
      </c>
      <c r="E47" t="s">
        <v>2385</v>
      </c>
      <c r="F47">
        <v>8.6833330790201799</v>
      </c>
      <c r="G47">
        <v>12</v>
      </c>
      <c r="H47">
        <v>5900</v>
      </c>
      <c r="I47" t="s">
        <v>2720</v>
      </c>
      <c r="J47" t="s">
        <v>102</v>
      </c>
      <c r="K47" t="s">
        <v>728</v>
      </c>
      <c r="O47" t="str">
        <f t="shared" si="0"/>
        <v>Miles Sanders</v>
      </c>
      <c r="P47" t="str">
        <f>IFERROR(VLOOKUP(O:O,'Name Bridge'!A:B,2,FALSE),O:O)</f>
        <v>Miles Sanders</v>
      </c>
      <c r="Q47" s="10">
        <f>VLOOKUP($K47,'CY Defensive Stats Query'!$AC:$AH,2,FALSE)</f>
        <v>7.0486111111111107</v>
      </c>
      <c r="R47" s="10">
        <f>VLOOKUP($K47,'CY Defensive Stats Query'!$AC:$AH,4,FALSE)</f>
        <v>3.0806451612903225</v>
      </c>
      <c r="S47" s="10">
        <f>VLOOKUP($K47,'CY Defensive Stats Query'!$AC:$AH,6,FALSE)</f>
        <v>9.759615384615385</v>
      </c>
      <c r="T47" s="10">
        <f>IFERROR(VLOOKUP($P47,'CYPassing Query'!$B:$AE,9,FALSE)/VLOOKUP($P47,'CYPassing Query'!$B:$AE,5,FALSE),0)</f>
        <v>0</v>
      </c>
      <c r="U47" s="10">
        <f>IFERROR(VLOOKUP($P47,'CYPassing Query'!$B:$AE,11,FALSE)/VLOOKUP($P47,'CYPassing Query'!$B:$AE,5,FALSE),0)</f>
        <v>0</v>
      </c>
      <c r="V47" s="10">
        <f>IFERROR(VLOOKUP($P47,'CYPassing Query'!$B:$AE,18,FALSE),0)</f>
        <v>0</v>
      </c>
      <c r="W47" s="10">
        <f>IFERROR(VLOOKUP($P47,'CYPassing Query'!$B:$AE,12,FALSE)/VLOOKUP($P47,'CYPassing Query'!$B:$AE,5,FALSE),0)</f>
        <v>0</v>
      </c>
      <c r="X47" s="10">
        <f>IFERROR(IF(OR($B47="D",$B47="K"),0,VLOOKUP($P47,'CY Receving Query'!$B:$S,7,FALSE)/VLOOKUP($P47,'CY Receving Query'!$B:$S,5,FALSE)),0)*$AJ47</f>
        <v>2.8333333333333335</v>
      </c>
      <c r="Y47" s="10">
        <f>IFERROR(VLOOKUP($P47,'CY Receving Query'!$B:$S,8,FALSE)/VLOOKUP($P47,'CY Receving Query'!$B:$S,5,FALSE),0)</f>
        <v>2.1666666666666665</v>
      </c>
      <c r="Z47" s="10">
        <f>IFERROR(VLOOKUP($P47,'CY Receving Query'!$B:$S,10,FALSE)/VLOOKUP($P47,'CY Receving Query'!$B:$S,5,FALSE),0)</f>
        <v>13.166666666666666</v>
      </c>
      <c r="AA47" s="10">
        <f>IFERROR(VLOOKUP($P47,'CY Receving Query'!$B:$S,11,FALSE),0)</f>
        <v>6.1</v>
      </c>
      <c r="AB47" s="10">
        <f>IFERROR(AVERAGE(VLOOKUP($P47,'PY Receiving'!$C:$T,14,FALSE),VLOOKUP($P47,'CY Receiving'!$C:$T,14,FALSE)),0)</f>
        <v>26.5</v>
      </c>
      <c r="AC47" s="10">
        <f>IFERROR(VLOOKUP($P47,'CY Receving Query'!$B:$S,11,FALSE)/VLOOKUP($P47,'CY Receving Query'!$B:$S,5,FALSE),0)</f>
        <v>0.5083333333333333</v>
      </c>
      <c r="AD47" s="10">
        <f>IFERROR(VLOOKUP($P47,'CY Rushing Query'!$B:$O,7,FALSE)/VLOOKUP($P47,'CY Rushing Query'!$B:$O,5,FALSE),0)</f>
        <v>11.416666666666666</v>
      </c>
      <c r="AE47" s="10">
        <f>IFERROR(AVERAGE(VLOOKUP($P47,'PY Rushing'!$C:$P,8,FALSE)/VLOOKUP($P47,'PY Rushing'!$C:$P,5,FALSE),VLOOKUP($P47,'CY Rushing'!$C:$P,8,FALSE)/VLOOKUP($P47,'CY Rushing'!$C:$P,5,FALSE)),0)</f>
        <v>73.125</v>
      </c>
      <c r="AF47" s="10">
        <f>IFERROR(VLOOKUP($P47,'CY Rushing Query'!$B:$P,12,FALSE),0)</f>
        <v>5.5</v>
      </c>
      <c r="AG47" s="10">
        <f>IFERROR(VLOOKUP($P47,'CY Rushing Query'!$B:$P,9,FALSE)/VLOOKUP($P47,'CY Rushing Query'!$B:$P,5,FALSE),0)</f>
        <v>0</v>
      </c>
      <c r="AH47" s="10">
        <f>VLOOKUP($J47,'Vegas Odds'!$B:$S,18,FALSE)</f>
        <v>44.85966247691475</v>
      </c>
      <c r="AI47" s="10">
        <f>VLOOKUP($J47,'Vegas Odds'!$B:$S,17,FALSE)</f>
        <v>17.740337523085255</v>
      </c>
      <c r="AJ47">
        <f t="shared" si="13"/>
        <v>1</v>
      </c>
      <c r="AK47" s="10">
        <f t="shared" si="1"/>
        <v>0</v>
      </c>
      <c r="AL47" s="10">
        <f t="shared" si="2"/>
        <v>0</v>
      </c>
      <c r="AM47" s="10">
        <f>V47/'CY Defensive Stats Query'!$AD$34*'Fanduel Export'!Q47</f>
        <v>0</v>
      </c>
      <c r="AN47" s="10">
        <f t="shared" si="19"/>
        <v>0</v>
      </c>
      <c r="AO47" s="10">
        <f>IFERROR(IF(OR($B47="D",$B47="K"),0,VLOOKUP($P47,'CY Receving Query'!$B:$S,7,FALSE)/VLOOKUP($P47,'CY Receving Query'!$B:$S,5,FALSE)),0)*$AJ47</f>
        <v>2.8333333333333335</v>
      </c>
      <c r="AP47" s="10">
        <f t="shared" si="3"/>
        <v>28.54982492997199</v>
      </c>
      <c r="AQ47" s="10">
        <f t="shared" si="4"/>
        <v>4.4519494368069257</v>
      </c>
      <c r="AR47" s="16">
        <f t="shared" si="14"/>
        <v>2.1666666666666665</v>
      </c>
      <c r="AS47" s="16">
        <f t="shared" si="5"/>
        <v>3.4044319222641195</v>
      </c>
      <c r="AT47" s="16">
        <f>AA47/'CY Defensive Stats Query'!$AH$34
*'Fanduel Export'!S47</f>
        <v>5.662355993712036</v>
      </c>
      <c r="AU47" s="10">
        <f t="shared" si="20"/>
        <v>19.277105500216827</v>
      </c>
      <c r="AV47" s="10">
        <f t="shared" si="15"/>
        <v>11.416666666666666</v>
      </c>
      <c r="AW47" s="10">
        <f t="shared" si="7"/>
        <v>56.303606442577035</v>
      </c>
      <c r="AX47" s="10">
        <f t="shared" si="16"/>
        <v>3.597203320568557</v>
      </c>
      <c r="AY47" s="10">
        <f>AF47/'CY Defensive Stats Query'!$AF$34
*R47</f>
        <v>4.0971202925408905</v>
      </c>
      <c r="AZ47" s="10">
        <f t="shared" si="21"/>
        <v>14.738174721096909</v>
      </c>
      <c r="BA47" s="16">
        <f t="shared" si="17"/>
        <v>4.484861355464707</v>
      </c>
      <c r="BB47" s="16">
        <f t="shared" si="8"/>
        <v>0.76014599245164516</v>
      </c>
      <c r="BC47" s="10">
        <f t="shared" si="9"/>
        <v>0.48022598870056499</v>
      </c>
      <c r="BD47" s="10">
        <f>IF(B47="QB",COUNTIFS($B$5:B47,B47,$J$5:J47,J47),1)</f>
        <v>1</v>
      </c>
      <c r="BE47" t="str">
        <f t="shared" si="10"/>
        <v>Miles Sanders</v>
      </c>
      <c r="BF47">
        <f t="shared" si="11"/>
        <v>5900</v>
      </c>
      <c r="BG47" t="str">
        <f t="shared" si="12"/>
        <v>RB</v>
      </c>
      <c r="BH47" s="16">
        <f t="shared" si="18"/>
        <v>4.484861355464707</v>
      </c>
    </row>
    <row r="48" spans="1:60" x14ac:dyDescent="0.2">
      <c r="A48" t="s">
        <v>2789</v>
      </c>
      <c r="B48" t="s">
        <v>83</v>
      </c>
      <c r="C48" t="s">
        <v>2233</v>
      </c>
      <c r="D48" t="s">
        <v>222</v>
      </c>
      <c r="E48" t="s">
        <v>2538</v>
      </c>
      <c r="F48">
        <v>9.1400004069010397</v>
      </c>
      <c r="G48">
        <v>15</v>
      </c>
      <c r="H48">
        <v>5900</v>
      </c>
      <c r="I48" t="s">
        <v>2716</v>
      </c>
      <c r="J48" t="s">
        <v>99</v>
      </c>
      <c r="K48" t="s">
        <v>81</v>
      </c>
      <c r="O48" t="str">
        <f t="shared" si="0"/>
        <v>Chase Claypool</v>
      </c>
      <c r="P48" t="str">
        <f>IFERROR(VLOOKUP(O:O,'Name Bridge'!A:B,2,FALSE),O:O)</f>
        <v>Chase Claypool</v>
      </c>
      <c r="Q48" s="10">
        <f>VLOOKUP($K48,'CY Defensive Stats Query'!$AC:$AH,2,FALSE)</f>
        <v>8.7934782608695645</v>
      </c>
      <c r="R48" s="10">
        <f>VLOOKUP($K48,'CY Defensive Stats Query'!$AC:$AH,4,FALSE)</f>
        <v>5.404494382022472</v>
      </c>
      <c r="S48" s="10">
        <f>VLOOKUP($K48,'CY Defensive Stats Query'!$AC:$AH,6,FALSE)</f>
        <v>12.446153846153846</v>
      </c>
      <c r="T48" s="10">
        <f>IFERROR(VLOOKUP($P48,'CYPassing Query'!$B:$AE,9,FALSE)/VLOOKUP($P48,'CYPassing Query'!$B:$AE,5,FALSE),0)</f>
        <v>0</v>
      </c>
      <c r="U48" s="10">
        <f>IFERROR(VLOOKUP($P48,'CYPassing Query'!$B:$AE,11,FALSE)/VLOOKUP($P48,'CYPassing Query'!$B:$AE,5,FALSE),0)</f>
        <v>0</v>
      </c>
      <c r="V48" s="10">
        <f>IFERROR(VLOOKUP($P48,'CYPassing Query'!$B:$AE,18,FALSE),0)</f>
        <v>0</v>
      </c>
      <c r="W48" s="10">
        <f>IFERROR(VLOOKUP($P48,'CYPassing Query'!$B:$AE,12,FALSE)/VLOOKUP($P48,'CYPassing Query'!$B:$AE,5,FALSE),0)</f>
        <v>0</v>
      </c>
      <c r="X48" s="10">
        <f>IFERROR(IF(OR($B48="D",$B48="K"),0,VLOOKUP($P48,'CY Receving Query'!$B:$S,7,FALSE)/VLOOKUP($P48,'CY Receving Query'!$B:$S,5,FALSE)),0)*$AJ48</f>
        <v>7</v>
      </c>
      <c r="Y48" s="10">
        <f>IFERROR(VLOOKUP($P48,'CY Receving Query'!$B:$S,8,FALSE)/VLOOKUP($P48,'CY Receving Query'!$B:$S,5,FALSE),0)</f>
        <v>3.9333333333333331</v>
      </c>
      <c r="Z48" s="10">
        <f>IFERROR(VLOOKUP($P48,'CY Receving Query'!$B:$S,10,FALSE)/VLOOKUP($P48,'CY Receving Query'!$B:$S,5,FALSE),0)</f>
        <v>57.333333333333336</v>
      </c>
      <c r="AA48" s="10">
        <f>IFERROR(VLOOKUP($P48,'CY Receving Query'!$B:$S,11,FALSE),0)</f>
        <v>14.6</v>
      </c>
      <c r="AB48" s="10">
        <f>IFERROR(AVERAGE(VLOOKUP($P48,'PY Receiving'!$C:$T,14,FALSE),VLOOKUP($P48,'CY Receiving'!$C:$T,14,FALSE)),0)</f>
        <v>53</v>
      </c>
      <c r="AC48" s="10">
        <f>IFERROR(VLOOKUP($P48,'CY Receving Query'!$B:$S,11,FALSE)/VLOOKUP($P48,'CY Receving Query'!$B:$S,5,FALSE),0)</f>
        <v>0.97333333333333327</v>
      </c>
      <c r="AD48" s="10">
        <f>IFERROR(VLOOKUP($P48,'CY Rushing Query'!$B:$O,7,FALSE)/VLOOKUP($P48,'CY Rushing Query'!$B:$O,5,FALSE),0)</f>
        <v>0.93333333333333335</v>
      </c>
      <c r="AE48" s="10">
        <f>IFERROR(AVERAGE(VLOOKUP($P48,'PY Rushing'!$C:$P,8,FALSE)/VLOOKUP($P48,'PY Rushing'!$C:$P,5,FALSE),VLOOKUP($P48,'CY Rushing'!$C:$P,8,FALSE)/VLOOKUP($P48,'CY Rushing'!$C:$P,5,FALSE)),0)</f>
        <v>13</v>
      </c>
      <c r="AF48" s="10">
        <f>IFERROR(VLOOKUP($P48,'CY Rushing Query'!$B:$P,12,FALSE),0)</f>
        <v>6.9</v>
      </c>
      <c r="AG48" s="10">
        <f>IFERROR(VLOOKUP($P48,'CY Rushing Query'!$B:$P,9,FALSE)/VLOOKUP($P48,'CY Rushing Query'!$B:$P,5,FALSE),0)</f>
        <v>0</v>
      </c>
      <c r="AH48" s="10">
        <f>VLOOKUP($J48,'Vegas Odds'!$B:$S,18,FALSE)</f>
        <v>40.088640957860363</v>
      </c>
      <c r="AI48" s="10">
        <f>VLOOKUP($J48,'Vegas Odds'!$B:$S,17,FALSE)</f>
        <v>25.511359042139631</v>
      </c>
      <c r="AJ48">
        <f t="shared" si="13"/>
        <v>1</v>
      </c>
      <c r="AK48" s="10">
        <f t="shared" si="1"/>
        <v>0</v>
      </c>
      <c r="AL48" s="10">
        <f t="shared" si="2"/>
        <v>0</v>
      </c>
      <c r="AM48" s="10">
        <f>V48/'CY Defensive Stats Query'!$AD$34*'Fanduel Export'!Q48</f>
        <v>0</v>
      </c>
      <c r="AN48" s="10">
        <f t="shared" si="19"/>
        <v>0</v>
      </c>
      <c r="AO48" s="10">
        <f>IFERROR(IF(OR($B48="D",$B48="K"),0,VLOOKUP($P48,'CY Receving Query'!$B:$S,7,FALSE)/VLOOKUP($P48,'CY Receving Query'!$B:$S,5,FALSE)),0)*$AJ48</f>
        <v>7</v>
      </c>
      <c r="AP48" s="10">
        <f t="shared" si="3"/>
        <v>32.289950980392156</v>
      </c>
      <c r="AQ48" s="10">
        <f t="shared" si="4"/>
        <v>8.6906445561167729</v>
      </c>
      <c r="AR48" s="16">
        <f t="shared" si="14"/>
        <v>3.9333333333333331</v>
      </c>
      <c r="AS48" s="16">
        <f t="shared" si="5"/>
        <v>4.8833145601037105</v>
      </c>
      <c r="AT48" s="16">
        <f>AA48/'CY Defensive Stats Query'!$AH$34
*'Fanduel Export'!S48</f>
        <v>17.283140197788672</v>
      </c>
      <c r="AU48" s="10">
        <f t="shared" si="20"/>
        <v>84.399010172175139</v>
      </c>
      <c r="AV48" s="10">
        <f t="shared" si="15"/>
        <v>0.93333333333333335</v>
      </c>
      <c r="AW48" s="10">
        <f t="shared" si="7"/>
        <v>7.4240196078431371</v>
      </c>
      <c r="AX48" s="10">
        <f t="shared" si="16"/>
        <v>3.2072385352415886</v>
      </c>
      <c r="AY48" s="10">
        <f>AF48/'CY Defensive Stats Query'!$AF$34
*R48</f>
        <v>9.0173413132608395</v>
      </c>
      <c r="AZ48" s="10">
        <f t="shared" si="21"/>
        <v>28.920764545316157</v>
      </c>
      <c r="BA48" s="16">
        <f t="shared" si="17"/>
        <v>13.298644138415796</v>
      </c>
      <c r="BB48" s="16">
        <f t="shared" si="8"/>
        <v>2.2540074810874229</v>
      </c>
      <c r="BC48" s="10">
        <f t="shared" si="9"/>
        <v>1.1864406779661016</v>
      </c>
      <c r="BD48" s="10">
        <f>IF(B48="QB",COUNTIFS($B$5:B48,B48,$J$5:J48,J48),1)</f>
        <v>1</v>
      </c>
      <c r="BE48" t="str">
        <f t="shared" si="10"/>
        <v>Chase Claypool</v>
      </c>
      <c r="BF48">
        <f t="shared" si="11"/>
        <v>5900</v>
      </c>
      <c r="BG48" t="str">
        <f t="shared" si="12"/>
        <v>WR</v>
      </c>
      <c r="BH48" s="16">
        <f t="shared" si="18"/>
        <v>13.298644138415796</v>
      </c>
    </row>
    <row r="49" spans="1:60" x14ac:dyDescent="0.2">
      <c r="A49" t="s">
        <v>2790</v>
      </c>
      <c r="B49" t="s">
        <v>68</v>
      </c>
      <c r="C49" t="s">
        <v>2791</v>
      </c>
      <c r="D49" t="s">
        <v>404</v>
      </c>
      <c r="E49" t="s">
        <v>405</v>
      </c>
      <c r="F49">
        <v>9.2099998474121101</v>
      </c>
      <c r="G49">
        <v>10</v>
      </c>
      <c r="H49">
        <v>5900</v>
      </c>
      <c r="I49" t="s">
        <v>2720</v>
      </c>
      <c r="J49" t="s">
        <v>102</v>
      </c>
      <c r="K49" t="s">
        <v>728</v>
      </c>
      <c r="O49" t="str">
        <f t="shared" si="0"/>
        <v>Boston Scott</v>
      </c>
      <c r="P49" t="str">
        <f>IFERROR(VLOOKUP(O:O,'Name Bridge'!A:B,2,FALSE),O:O)</f>
        <v>Boston Scott</v>
      </c>
      <c r="Q49" s="10">
        <f>VLOOKUP($K49,'CY Defensive Stats Query'!$AC:$AH,2,FALSE)</f>
        <v>7.0486111111111107</v>
      </c>
      <c r="R49" s="10">
        <f>VLOOKUP($K49,'CY Defensive Stats Query'!$AC:$AH,4,FALSE)</f>
        <v>3.0806451612903225</v>
      </c>
      <c r="S49" s="10">
        <f>VLOOKUP($K49,'CY Defensive Stats Query'!$AC:$AH,6,FALSE)</f>
        <v>9.759615384615385</v>
      </c>
      <c r="T49" s="10">
        <f>IFERROR(VLOOKUP($P49,'CYPassing Query'!$B:$AE,9,FALSE)/VLOOKUP($P49,'CYPassing Query'!$B:$AE,5,FALSE),0)</f>
        <v>0</v>
      </c>
      <c r="U49" s="10">
        <f>IFERROR(VLOOKUP($P49,'CYPassing Query'!$B:$AE,11,FALSE)/VLOOKUP($P49,'CYPassing Query'!$B:$AE,5,FALSE),0)</f>
        <v>0</v>
      </c>
      <c r="V49" s="10">
        <f>IFERROR(VLOOKUP($P49,'CYPassing Query'!$B:$AE,18,FALSE),0)</f>
        <v>0</v>
      </c>
      <c r="W49" s="10">
        <f>IFERROR(VLOOKUP($P49,'CYPassing Query'!$B:$AE,12,FALSE)/VLOOKUP($P49,'CYPassing Query'!$B:$AE,5,FALSE),0)</f>
        <v>0</v>
      </c>
      <c r="X49" s="10">
        <f>IFERROR(IF(OR($B49="D",$B49="K"),0,VLOOKUP($P49,'CY Receving Query'!$B:$S,7,FALSE)/VLOOKUP($P49,'CY Receving Query'!$B:$S,5,FALSE)),0)*$AJ49</f>
        <v>1</v>
      </c>
      <c r="Y49" s="10">
        <f>IFERROR(VLOOKUP($P49,'CY Receving Query'!$B:$S,8,FALSE)/VLOOKUP($P49,'CY Receving Query'!$B:$S,5,FALSE),0)</f>
        <v>0.8125</v>
      </c>
      <c r="Z49" s="10">
        <f>IFERROR(VLOOKUP($P49,'CY Receving Query'!$B:$S,10,FALSE)/VLOOKUP($P49,'CY Receving Query'!$B:$S,5,FALSE),0)</f>
        <v>5.1875</v>
      </c>
      <c r="AA49" s="10">
        <f>IFERROR(VLOOKUP($P49,'CY Receving Query'!$B:$S,11,FALSE),0)</f>
        <v>6.4</v>
      </c>
      <c r="AB49" s="10">
        <f>IFERROR(AVERAGE(VLOOKUP($P49,'PY Receiving'!$C:$T,14,FALSE),VLOOKUP($P49,'CY Receiving'!$C:$T,14,FALSE)),0)</f>
        <v>0</v>
      </c>
      <c r="AC49" s="10">
        <f>IFERROR(VLOOKUP($P49,'CY Receving Query'!$B:$S,11,FALSE)/VLOOKUP($P49,'CY Receving Query'!$B:$S,5,FALSE),0)</f>
        <v>0.4</v>
      </c>
      <c r="AD49" s="10">
        <f>IFERROR(VLOOKUP($P49,'CY Rushing Query'!$B:$O,7,FALSE)/VLOOKUP($P49,'CY Rushing Query'!$B:$O,5,FALSE),0)</f>
        <v>5.4375</v>
      </c>
      <c r="AE49" s="10">
        <f>IFERROR(AVERAGE(VLOOKUP($P49,'PY Rushing'!$C:$P,8,FALSE)/VLOOKUP($P49,'PY Rushing'!$C:$P,5,FALSE),VLOOKUP($P49,'CY Rushing'!$C:$P,8,FALSE)/VLOOKUP($P49,'CY Rushing'!$C:$P,5,FALSE)),0)</f>
        <v>0</v>
      </c>
      <c r="AF49" s="10">
        <f>IFERROR(VLOOKUP($P49,'CY Rushing Query'!$B:$P,12,FALSE),0)</f>
        <v>4.3</v>
      </c>
      <c r="AG49" s="10">
        <f>IFERROR(VLOOKUP($P49,'CY Rushing Query'!$B:$P,9,FALSE)/VLOOKUP($P49,'CY Rushing Query'!$B:$P,5,FALSE),0)</f>
        <v>0.4375</v>
      </c>
      <c r="AH49" s="10">
        <f>VLOOKUP($J49,'Vegas Odds'!$B:$S,18,FALSE)</f>
        <v>44.85966247691475</v>
      </c>
      <c r="AI49" s="10">
        <f>VLOOKUP($J49,'Vegas Odds'!$B:$S,17,FALSE)</f>
        <v>17.740337523085255</v>
      </c>
      <c r="AJ49">
        <f t="shared" si="13"/>
        <v>1</v>
      </c>
      <c r="AK49" s="10">
        <f t="shared" si="1"/>
        <v>0</v>
      </c>
      <c r="AL49" s="10">
        <f t="shared" si="2"/>
        <v>0</v>
      </c>
      <c r="AM49" s="10">
        <f>V49/'CY Defensive Stats Query'!$AD$34*'Fanduel Export'!Q49</f>
        <v>0</v>
      </c>
      <c r="AN49" s="10">
        <f t="shared" si="19"/>
        <v>0</v>
      </c>
      <c r="AO49" s="10">
        <f>IFERROR(IF(OR($B49="D",$B49="K"),0,VLOOKUP($P49,'CY Receving Query'!$B:$S,7,FALSE)/VLOOKUP($P49,'CY Receving Query'!$B:$S,5,FALSE)),0)*$AJ49</f>
        <v>1</v>
      </c>
      <c r="AP49" s="10">
        <f t="shared" si="3"/>
        <v>28.54982492997199</v>
      </c>
      <c r="AQ49" s="10">
        <f t="shared" si="4"/>
        <v>1.571276271814209</v>
      </c>
      <c r="AR49" s="16">
        <f t="shared" si="14"/>
        <v>0.8125</v>
      </c>
      <c r="AS49" s="16">
        <f t="shared" si="5"/>
        <v>1.2766619708490448</v>
      </c>
      <c r="AT49" s="16">
        <f>AA49/'CY Defensive Stats Query'!$AH$34
*'Fanduel Export'!S49</f>
        <v>5.9408325179929573</v>
      </c>
      <c r="AU49" s="10">
        <f t="shared" si="20"/>
        <v>7.5844349509049822</v>
      </c>
      <c r="AV49" s="10">
        <f t="shared" si="15"/>
        <v>5.4375</v>
      </c>
      <c r="AW49" s="10">
        <f t="shared" si="7"/>
        <v>56.303606442577035</v>
      </c>
      <c r="AX49" s="10">
        <f t="shared" si="16"/>
        <v>1.7132665450153164</v>
      </c>
      <c r="AY49" s="10">
        <f>AF49/'CY Defensive Stats Query'!$AF$34
*R49</f>
        <v>3.2032031378046955</v>
      </c>
      <c r="AZ49" s="10">
        <f t="shared" si="21"/>
        <v>5.4879407728888712</v>
      </c>
      <c r="BA49" s="16">
        <f t="shared" si="17"/>
        <v>1.7134875723793854</v>
      </c>
      <c r="BB49" s="16">
        <f t="shared" si="8"/>
        <v>0.29042162243718395</v>
      </c>
      <c r="BC49" s="10">
        <f t="shared" si="9"/>
        <v>0.16949152542372881</v>
      </c>
      <c r="BD49" s="10">
        <f>IF(B49="QB",COUNTIFS($B$5:B49,B49,$J$5:J49,J49),1)</f>
        <v>1</v>
      </c>
      <c r="BE49" t="str">
        <f t="shared" si="10"/>
        <v>Boston Scott</v>
      </c>
      <c r="BF49">
        <f t="shared" si="11"/>
        <v>5900</v>
      </c>
      <c r="BG49" t="str">
        <f t="shared" si="12"/>
        <v>RB</v>
      </c>
      <c r="BH49" s="16">
        <f t="shared" si="18"/>
        <v>1.7134875723793854</v>
      </c>
    </row>
    <row r="50" spans="1:60" x14ac:dyDescent="0.2">
      <c r="A50" t="s">
        <v>2792</v>
      </c>
      <c r="B50" t="s">
        <v>83</v>
      </c>
      <c r="C50" t="s">
        <v>2793</v>
      </c>
      <c r="D50" t="s">
        <v>275</v>
      </c>
      <c r="E50" t="s">
        <v>2794</v>
      </c>
      <c r="F50">
        <v>6.5529412662281699</v>
      </c>
      <c r="G50">
        <v>17</v>
      </c>
      <c r="H50">
        <v>5700</v>
      </c>
      <c r="I50" t="s">
        <v>2716</v>
      </c>
      <c r="J50" t="s">
        <v>81</v>
      </c>
      <c r="K50" t="s">
        <v>99</v>
      </c>
      <c r="O50" t="str">
        <f t="shared" si="0"/>
        <v>Mecole Hardman</v>
      </c>
      <c r="P50" t="str">
        <f>IFERROR(VLOOKUP(O:O,'Name Bridge'!A:B,2,FALSE),O:O)</f>
        <v>Mecole Hardman</v>
      </c>
      <c r="Q50" s="10">
        <f>VLOOKUP($K50,'CY Defensive Stats Query'!$AC:$AH,2,FALSE)</f>
        <v>7.5377358490566042</v>
      </c>
      <c r="R50" s="10">
        <f>VLOOKUP($K50,'CY Defensive Stats Query'!$AC:$AH,4,FALSE)</f>
        <v>3.5810810810810811</v>
      </c>
      <c r="S50" s="10">
        <f>VLOOKUP($K50,'CY Defensive Stats Query'!$AC:$AH,6,FALSE)</f>
        <v>11.097222222222221</v>
      </c>
      <c r="T50" s="10">
        <f>IFERROR(VLOOKUP($P50,'CYPassing Query'!$B:$AE,9,FALSE)/VLOOKUP($P50,'CYPassing Query'!$B:$AE,5,FALSE),0)</f>
        <v>0</v>
      </c>
      <c r="U50" s="10">
        <f>IFERROR(VLOOKUP($P50,'CYPassing Query'!$B:$AE,11,FALSE)/VLOOKUP($P50,'CYPassing Query'!$B:$AE,5,FALSE),0)</f>
        <v>0</v>
      </c>
      <c r="V50" s="10">
        <f>IFERROR(VLOOKUP($P50,'CYPassing Query'!$B:$AE,18,FALSE),0)</f>
        <v>0</v>
      </c>
      <c r="W50" s="10">
        <f>IFERROR(VLOOKUP($P50,'CYPassing Query'!$B:$AE,12,FALSE)/VLOOKUP($P50,'CYPassing Query'!$B:$AE,5,FALSE),0)</f>
        <v>0</v>
      </c>
      <c r="X50" s="10">
        <f>IFERROR(IF(OR($B50="D",$B50="K"),0,VLOOKUP($P50,'CY Receving Query'!$B:$S,7,FALSE)/VLOOKUP($P50,'CY Receving Query'!$B:$S,5,FALSE)),0)*$AJ50</f>
        <v>4.882352941176471</v>
      </c>
      <c r="Y50" s="10">
        <f>IFERROR(VLOOKUP($P50,'CY Receving Query'!$B:$S,8,FALSE)/VLOOKUP($P50,'CY Receving Query'!$B:$S,5,FALSE),0)</f>
        <v>3.4705882352941178</v>
      </c>
      <c r="Z50" s="10">
        <f>IFERROR(VLOOKUP($P50,'CY Receving Query'!$B:$S,10,FALSE)/VLOOKUP($P50,'CY Receving Query'!$B:$S,5,FALSE),0)</f>
        <v>40.764705882352942</v>
      </c>
      <c r="AA50" s="10">
        <f>IFERROR(VLOOKUP($P50,'CY Receving Query'!$B:$S,11,FALSE),0)</f>
        <v>11.7</v>
      </c>
      <c r="AB50" s="10">
        <f>IFERROR(AVERAGE(VLOOKUP($P50,'PY Receiving'!$C:$T,14,FALSE),VLOOKUP($P50,'CY Receiving'!$C:$T,14,FALSE)),0)</f>
        <v>28.5</v>
      </c>
      <c r="AC50" s="10">
        <f>IFERROR(VLOOKUP($P50,'CY Receving Query'!$B:$S,11,FALSE)/VLOOKUP($P50,'CY Receving Query'!$B:$S,5,FALSE),0)</f>
        <v>0.68823529411764706</v>
      </c>
      <c r="AD50" s="10">
        <f>IFERROR(VLOOKUP($P50,'CY Rushing Query'!$B:$O,7,FALSE)/VLOOKUP($P50,'CY Rushing Query'!$B:$O,5,FALSE),0)</f>
        <v>0.47058823529411764</v>
      </c>
      <c r="AE50" s="10">
        <f>IFERROR(AVERAGE(VLOOKUP($P50,'PY Rushing'!$C:$P,8,FALSE)/VLOOKUP($P50,'PY Rushing'!$C:$P,5,FALSE),VLOOKUP($P50,'CY Rushing'!$C:$P,8,FALSE)/VLOOKUP($P50,'CY Rushing'!$C:$P,5,FALSE)),0)</f>
        <v>0</v>
      </c>
      <c r="AF50" s="10">
        <f>IFERROR(VLOOKUP($P50,'CY Rushing Query'!$B:$P,12,FALSE),0)</f>
        <v>5.8</v>
      </c>
      <c r="AG50" s="10">
        <f>IFERROR(VLOOKUP($P50,'CY Rushing Query'!$B:$P,9,FALSE)/VLOOKUP($P50,'CY Rushing Query'!$B:$P,5,FALSE),0)</f>
        <v>0</v>
      </c>
      <c r="AH50" s="10">
        <f>VLOOKUP($J50,'Vegas Odds'!$B:$S,18,FALSE)</f>
        <v>37.933262350936971</v>
      </c>
      <c r="AI50" s="10">
        <f>VLOOKUP($J50,'Vegas Odds'!$B:$S,17,FALSE)</f>
        <v>27.766737649063032</v>
      </c>
      <c r="AJ50">
        <f t="shared" si="13"/>
        <v>1</v>
      </c>
      <c r="AK50" s="10">
        <f t="shared" si="1"/>
        <v>0</v>
      </c>
      <c r="AL50" s="10">
        <f t="shared" si="2"/>
        <v>0</v>
      </c>
      <c r="AM50" s="10">
        <f>V50/'CY Defensive Stats Query'!$AD$34*'Fanduel Export'!Q50</f>
        <v>0</v>
      </c>
      <c r="AN50" s="10">
        <f t="shared" si="19"/>
        <v>0</v>
      </c>
      <c r="AO50" s="10">
        <f>IFERROR(IF(OR($B50="D",$B50="K"),0,VLOOKUP($P50,'CY Receving Query'!$B:$S,7,FALSE)/VLOOKUP($P50,'CY Receving Query'!$B:$S,5,FALSE)),0)*$AJ50</f>
        <v>4.882352941176471</v>
      </c>
      <c r="AP50" s="10">
        <f t="shared" si="3"/>
        <v>37.365221788015901</v>
      </c>
      <c r="AQ50" s="10">
        <f t="shared" si="4"/>
        <v>4.9565763601841093</v>
      </c>
      <c r="AR50" s="16">
        <f t="shared" si="14"/>
        <v>3.4705882352941178</v>
      </c>
      <c r="AS50" s="16">
        <f t="shared" si="5"/>
        <v>3.5233494608537641</v>
      </c>
      <c r="AT50" s="16">
        <f>AA50/'CY Defensive Stats Query'!$AH$34
*'Fanduel Export'!S50</f>
        <v>12.349084909746104</v>
      </c>
      <c r="AU50" s="10">
        <f t="shared" si="20"/>
        <v>43.510141658791291</v>
      </c>
      <c r="AV50" s="10">
        <f t="shared" si="15"/>
        <v>0.47058823529411764</v>
      </c>
      <c r="AW50" s="10">
        <f t="shared" si="7"/>
        <v>19.787381735911151</v>
      </c>
      <c r="AX50" s="10">
        <f t="shared" si="16"/>
        <v>0.66035518213272226</v>
      </c>
      <c r="AY50" s="10">
        <f>AF50/'CY Defensive Stats Query'!$AF$34
*R50</f>
        <v>5.0224601046784878</v>
      </c>
      <c r="AZ50" s="10">
        <f t="shared" si="21"/>
        <v>3.3166075571792941</v>
      </c>
      <c r="BA50" s="16">
        <f t="shared" si="17"/>
        <v>6.4179690392441175</v>
      </c>
      <c r="BB50" s="16">
        <f t="shared" si="8"/>
        <v>1.1259594805691433</v>
      </c>
      <c r="BC50" s="10">
        <f t="shared" si="9"/>
        <v>0.85655314757481948</v>
      </c>
      <c r="BD50" s="10">
        <f>IF(B50="QB",COUNTIFS($B$5:B50,B50,$J$5:J50,J50),1)</f>
        <v>1</v>
      </c>
      <c r="BE50" t="str">
        <f t="shared" si="10"/>
        <v>Mecole Hardman</v>
      </c>
      <c r="BF50">
        <f t="shared" si="11"/>
        <v>5700</v>
      </c>
      <c r="BG50" t="str">
        <f t="shared" si="12"/>
        <v>WR</v>
      </c>
      <c r="BH50" s="16">
        <f t="shared" si="18"/>
        <v>6.4179690392441175</v>
      </c>
    </row>
    <row r="51" spans="1:60" x14ac:dyDescent="0.2">
      <c r="A51" t="s">
        <v>2795</v>
      </c>
      <c r="B51" t="s">
        <v>68</v>
      </c>
      <c r="C51" t="s">
        <v>479</v>
      </c>
      <c r="D51" t="s">
        <v>1525</v>
      </c>
      <c r="E51" t="s">
        <v>2796</v>
      </c>
      <c r="F51">
        <v>9.54000040690104</v>
      </c>
      <c r="G51">
        <v>15</v>
      </c>
      <c r="H51">
        <v>5700</v>
      </c>
      <c r="I51" t="s">
        <v>2718</v>
      </c>
      <c r="J51" t="s">
        <v>729</v>
      </c>
      <c r="K51" t="s">
        <v>138</v>
      </c>
      <c r="O51" t="str">
        <f t="shared" si="0"/>
        <v>Tony Pollard</v>
      </c>
      <c r="P51" t="str">
        <f>IFERROR(VLOOKUP(O:O,'Name Bridge'!A:B,2,FALSE),O:O)</f>
        <v>Tony Pollard</v>
      </c>
      <c r="Q51" s="10">
        <f>VLOOKUP($K51,'CY Defensive Stats Query'!$AC:$AH,2,FALSE)</f>
        <v>6.5263157894736841</v>
      </c>
      <c r="R51" s="10">
        <f>VLOOKUP($K51,'CY Defensive Stats Query'!$AC:$AH,4,FALSE)</f>
        <v>4.7051282051282053</v>
      </c>
      <c r="S51" s="10">
        <f>VLOOKUP($K51,'CY Defensive Stats Query'!$AC:$AH,6,FALSE)</f>
        <v>10.191780821917808</v>
      </c>
      <c r="T51" s="10">
        <f>IFERROR(VLOOKUP($P51,'CYPassing Query'!$B:$AE,9,FALSE)/VLOOKUP($P51,'CYPassing Query'!$B:$AE,5,FALSE),0)</f>
        <v>0</v>
      </c>
      <c r="U51" s="10">
        <f>IFERROR(VLOOKUP($P51,'CYPassing Query'!$B:$AE,11,FALSE)/VLOOKUP($P51,'CYPassing Query'!$B:$AE,5,FALSE),0)</f>
        <v>0</v>
      </c>
      <c r="V51" s="10">
        <f>IFERROR(VLOOKUP($P51,'CYPassing Query'!$B:$AE,18,FALSE),0)</f>
        <v>0</v>
      </c>
      <c r="W51" s="10">
        <f>IFERROR(VLOOKUP($P51,'CYPassing Query'!$B:$AE,12,FALSE)/VLOOKUP($P51,'CYPassing Query'!$B:$AE,5,FALSE),0)</f>
        <v>0</v>
      </c>
      <c r="X51" s="10">
        <f>IFERROR(IF(OR($B51="D",$B51="K"),0,VLOOKUP($P51,'CY Receving Query'!$B:$S,7,FALSE)/VLOOKUP($P51,'CY Receving Query'!$B:$S,5,FALSE)),0)*$AJ51</f>
        <v>3.0666666666666669</v>
      </c>
      <c r="Y51" s="10">
        <f>IFERROR(VLOOKUP($P51,'CY Receving Query'!$B:$S,8,FALSE)/VLOOKUP($P51,'CY Receving Query'!$B:$S,5,FALSE),0)</f>
        <v>2.6</v>
      </c>
      <c r="Z51" s="10">
        <f>IFERROR(VLOOKUP($P51,'CY Receving Query'!$B:$S,10,FALSE)/VLOOKUP($P51,'CY Receving Query'!$B:$S,5,FALSE),0)</f>
        <v>22.466666666666665</v>
      </c>
      <c r="AA51" s="10">
        <f>IFERROR(VLOOKUP($P51,'CY Receving Query'!$B:$S,11,FALSE),0)</f>
        <v>8.6</v>
      </c>
      <c r="AB51" s="10">
        <f>IFERROR(AVERAGE(VLOOKUP($P51,'PY Receiving'!$C:$T,14,FALSE),VLOOKUP($P51,'CY Receiving'!$C:$T,14,FALSE)),0)</f>
        <v>20.5</v>
      </c>
      <c r="AC51" s="10">
        <f>IFERROR(VLOOKUP($P51,'CY Receving Query'!$B:$S,11,FALSE)/VLOOKUP($P51,'CY Receving Query'!$B:$S,5,FALSE),0)</f>
        <v>0.57333333333333336</v>
      </c>
      <c r="AD51" s="10">
        <f>IFERROR(VLOOKUP($P51,'CY Rushing Query'!$B:$O,7,FALSE)/VLOOKUP($P51,'CY Rushing Query'!$B:$O,5,FALSE),0)</f>
        <v>8.6666666666666661</v>
      </c>
      <c r="AE51" s="10">
        <f>IFERROR(AVERAGE(VLOOKUP($P51,'PY Rushing'!$C:$P,8,FALSE)/VLOOKUP($P51,'PY Rushing'!$C:$P,5,FALSE),VLOOKUP($P51,'CY Rushing'!$C:$P,8,FALSE)/VLOOKUP($P51,'CY Rushing'!$C:$P,5,FALSE)),0)</f>
        <v>20.59375</v>
      </c>
      <c r="AF51" s="10">
        <f>IFERROR(VLOOKUP($P51,'CY Rushing Query'!$B:$P,12,FALSE),0)</f>
        <v>5.5</v>
      </c>
      <c r="AG51" s="10">
        <f>IFERROR(VLOOKUP($P51,'CY Rushing Query'!$B:$P,9,FALSE)/VLOOKUP($P51,'CY Rushing Query'!$B:$P,5,FALSE),0)</f>
        <v>0.13333333333333333</v>
      </c>
      <c r="AH51" s="10">
        <f>VLOOKUP($J51,'Vegas Odds'!$B:$S,18,FALSE)</f>
        <v>38.06292701199007</v>
      </c>
      <c r="AI51" s="10">
        <f>VLOOKUP($J51,'Vegas Odds'!$B:$S,17,FALSE)</f>
        <v>29.237072988009928</v>
      </c>
      <c r="AJ51">
        <f t="shared" si="13"/>
        <v>1</v>
      </c>
      <c r="AK51" s="10">
        <f t="shared" si="1"/>
        <v>0</v>
      </c>
      <c r="AL51" s="10">
        <f t="shared" si="2"/>
        <v>0</v>
      </c>
      <c r="AM51" s="10">
        <f>V51/'CY Defensive Stats Query'!$AD$34*'Fanduel Export'!Q51</f>
        <v>0</v>
      </c>
      <c r="AN51" s="10">
        <f t="shared" si="19"/>
        <v>0</v>
      </c>
      <c r="AO51" s="10">
        <f>IFERROR(IF(OR($B51="D",$B51="K"),0,VLOOKUP($P51,'CY Receving Query'!$B:$S,7,FALSE)/VLOOKUP($P51,'CY Receving Query'!$B:$S,5,FALSE)),0)*$AJ51</f>
        <v>3.0666666666666669</v>
      </c>
      <c r="AP51" s="10">
        <f t="shared" si="3"/>
        <v>30.199512497306614</v>
      </c>
      <c r="AQ51" s="10">
        <f t="shared" si="4"/>
        <v>3.8651719796419437</v>
      </c>
      <c r="AR51" s="16">
        <f t="shared" si="14"/>
        <v>2.6</v>
      </c>
      <c r="AS51" s="16">
        <f t="shared" si="5"/>
        <v>3.276993634913822</v>
      </c>
      <c r="AT51" s="16">
        <f>AA51/'CY Defensive Stats Query'!$AH$34
*'Fanduel Export'!S51</f>
        <v>8.3364885650286737</v>
      </c>
      <c r="AU51" s="10">
        <f t="shared" si="20"/>
        <v>27.318619965130825</v>
      </c>
      <c r="AV51" s="10">
        <f t="shared" si="15"/>
        <v>8.6666666666666661</v>
      </c>
      <c r="AW51" s="10">
        <f t="shared" si="7"/>
        <v>30.007352941176471</v>
      </c>
      <c r="AX51" s="10">
        <f t="shared" si="16"/>
        <v>8.4441958740180585</v>
      </c>
      <c r="AY51" s="10">
        <f>AF51/'CY Defensive Stats Query'!$AF$34
*R51</f>
        <v>6.2576100910508403</v>
      </c>
      <c r="AZ51" s="10">
        <f t="shared" si="21"/>
        <v>52.840485312065276</v>
      </c>
      <c r="BA51" s="16">
        <f t="shared" si="17"/>
        <v>9.3159105277196108</v>
      </c>
      <c r="BB51" s="16">
        <f t="shared" si="8"/>
        <v>1.6343702680209844</v>
      </c>
      <c r="BC51" s="10">
        <f t="shared" si="9"/>
        <v>0.53801169590643272</v>
      </c>
      <c r="BD51" s="10">
        <f>IF(B51="QB",COUNTIFS($B$5:B51,B51,$J$5:J51,J51),1)</f>
        <v>1</v>
      </c>
      <c r="BE51" t="str">
        <f t="shared" si="10"/>
        <v>Tony Pollard</v>
      </c>
      <c r="BF51">
        <f t="shared" si="11"/>
        <v>5700</v>
      </c>
      <c r="BG51" t="str">
        <f t="shared" si="12"/>
        <v>RB</v>
      </c>
      <c r="BH51" s="16">
        <f t="shared" si="18"/>
        <v>9.3159105277196108</v>
      </c>
    </row>
    <row r="52" spans="1:60" hidden="1" x14ac:dyDescent="0.2">
      <c r="A52" t="s">
        <v>2797</v>
      </c>
      <c r="B52" t="s">
        <v>68</v>
      </c>
      <c r="C52" t="s">
        <v>2600</v>
      </c>
      <c r="D52" t="s">
        <v>1509</v>
      </c>
      <c r="E52" t="s">
        <v>2601</v>
      </c>
      <c r="F52">
        <v>4.9466664632161397</v>
      </c>
      <c r="G52">
        <v>15</v>
      </c>
      <c r="H52">
        <v>5500</v>
      </c>
      <c r="I52" t="s">
        <v>2720</v>
      </c>
      <c r="J52" t="s">
        <v>728</v>
      </c>
      <c r="K52" t="s">
        <v>102</v>
      </c>
      <c r="L52" t="s">
        <v>124</v>
      </c>
      <c r="M52" t="s">
        <v>176</v>
      </c>
      <c r="O52" t="str">
        <f t="shared" si="0"/>
        <v>Ronald Jones II</v>
      </c>
      <c r="P52" t="str">
        <f>IFERROR(VLOOKUP(O:O,'Name Bridge'!A:B,2,FALSE),O:O)</f>
        <v>Ronald Jones II</v>
      </c>
      <c r="Q52" s="10">
        <f>VLOOKUP($K52,'CY Defensive Stats Query'!$AC:$AH,2,FALSE)</f>
        <v>5.9890109890109891</v>
      </c>
      <c r="R52" s="10">
        <f>VLOOKUP($K52,'CY Defensive Stats Query'!$AC:$AH,4,FALSE)</f>
        <v>3.8190476190476192</v>
      </c>
      <c r="S52" s="10">
        <f>VLOOKUP($K52,'CY Defensive Stats Query'!$AC:$AH,6,FALSE)</f>
        <v>8.515625</v>
      </c>
      <c r="T52" s="10">
        <f>IFERROR(VLOOKUP($P52,'CYPassing Query'!$B:$AE,9,FALSE)/VLOOKUP($P52,'CYPassing Query'!$B:$AE,5,FALSE),0)</f>
        <v>0</v>
      </c>
      <c r="U52" s="10">
        <f>IFERROR(VLOOKUP($P52,'CYPassing Query'!$B:$AE,11,FALSE)/VLOOKUP($P52,'CYPassing Query'!$B:$AE,5,FALSE),0)</f>
        <v>0</v>
      </c>
      <c r="V52" s="10">
        <f>IFERROR(VLOOKUP($P52,'CYPassing Query'!$B:$AE,18,FALSE),0)</f>
        <v>0</v>
      </c>
      <c r="W52" s="10">
        <f>IFERROR(VLOOKUP($P52,'CYPassing Query'!$B:$AE,12,FALSE)/VLOOKUP($P52,'CYPassing Query'!$B:$AE,5,FALSE),0)</f>
        <v>0</v>
      </c>
      <c r="X52" s="10">
        <f>IFERROR(IF(OR($B52="D",$B52="K"),0,VLOOKUP($P52,'CY Receving Query'!$B:$S,7,FALSE)/VLOOKUP($P52,'CY Receving Query'!$B:$S,5,FALSE)),0)*$AJ52</f>
        <v>0</v>
      </c>
      <c r="Y52" s="10">
        <f>IFERROR(VLOOKUP($P52,'CY Receving Query'!$B:$S,8,FALSE)/VLOOKUP($P52,'CY Receving Query'!$B:$S,5,FALSE),0)</f>
        <v>0.625</v>
      </c>
      <c r="Z52" s="10">
        <f>IFERROR(VLOOKUP($P52,'CY Receving Query'!$B:$S,10,FALSE)/VLOOKUP($P52,'CY Receving Query'!$B:$S,5,FALSE),0)</f>
        <v>4</v>
      </c>
      <c r="AA52" s="10">
        <f>IFERROR(VLOOKUP($P52,'CY Receving Query'!$B:$S,11,FALSE),0)</f>
        <v>6.4</v>
      </c>
      <c r="AB52" s="10">
        <f>IFERROR(AVERAGE(VLOOKUP($P52,'PY Receiving'!$C:$T,14,FALSE),VLOOKUP($P52,'CY Receiving'!$C:$T,14,FALSE)),0)</f>
        <v>0</v>
      </c>
      <c r="AC52" s="10">
        <f>IFERROR(VLOOKUP($P52,'CY Receving Query'!$B:$S,11,FALSE)/VLOOKUP($P52,'CY Receving Query'!$B:$S,5,FALSE),0)</f>
        <v>0.4</v>
      </c>
      <c r="AD52" s="10">
        <f>IFERROR(VLOOKUP($P52,'CY Rushing Query'!$B:$O,7,FALSE)/VLOOKUP($P52,'CY Rushing Query'!$B:$O,5,FALSE),0)</f>
        <v>6.3125</v>
      </c>
      <c r="AE52" s="10">
        <f>IFERROR(AVERAGE(VLOOKUP($P52,'PY Rushing'!$C:$P,8,FALSE)/VLOOKUP($P52,'PY Rushing'!$C:$P,5,FALSE),VLOOKUP($P52,'CY Rushing'!$C:$P,8,FALSE)/VLOOKUP($P52,'CY Rushing'!$C:$P,5,FALSE)),0)</f>
        <v>41.928571428571431</v>
      </c>
      <c r="AF52" s="10">
        <f>IFERROR(VLOOKUP($P52,'CY Rushing Query'!$B:$P,12,FALSE),0)</f>
        <v>4.2</v>
      </c>
      <c r="AG52" s="10">
        <f>IFERROR(VLOOKUP($P52,'CY Rushing Query'!$B:$P,9,FALSE)/VLOOKUP($P52,'CY Rushing Query'!$B:$P,5,FALSE),0)</f>
        <v>0.25</v>
      </c>
      <c r="AH52" s="10">
        <f>VLOOKUP($J52,'Vegas Odds'!$B:$S,18,FALSE)</f>
        <v>34.555825588251061</v>
      </c>
      <c r="AI52" s="10">
        <f>VLOOKUP($J52,'Vegas Odds'!$B:$S,17,FALSE)</f>
        <v>27.844174411748938</v>
      </c>
      <c r="AJ52">
        <f t="shared" si="13"/>
        <v>0</v>
      </c>
      <c r="AK52" s="10">
        <f t="shared" si="1"/>
        <v>0</v>
      </c>
      <c r="AL52" s="10">
        <f t="shared" si="2"/>
        <v>0</v>
      </c>
      <c r="AM52" s="10">
        <f>V52/'CY Defensive Stats Query'!$AD$34*'Fanduel Export'!Q52</f>
        <v>0</v>
      </c>
      <c r="AN52" s="10">
        <f t="shared" si="19"/>
        <v>0</v>
      </c>
      <c r="AO52" s="10">
        <f>IFERROR(IF(OR($B52="D",$B52="K"),0,VLOOKUP($P52,'CY Receving Query'!$B:$S,7,FALSE)/VLOOKUP($P52,'CY Receving Query'!$B:$S,5,FALSE)),0)*$AJ52</f>
        <v>0</v>
      </c>
      <c r="AP52" s="10">
        <f>SUMIF($J:$J,$J52,AO:AO)</f>
        <v>25.587418300653596</v>
      </c>
      <c r="AQ52" s="10">
        <f t="shared" si="4"/>
        <v>0</v>
      </c>
      <c r="AR52" s="16">
        <f t="shared" si="14"/>
        <v>0</v>
      </c>
      <c r="AS52" s="16">
        <f t="shared" si="5"/>
        <v>0</v>
      </c>
      <c r="AT52" s="16">
        <f>AA52/'CY Defensive Stats Query'!$AH$34
*'Fanduel Export'!S52</f>
        <v>5.1835958608349886</v>
      </c>
      <c r="AU52" s="10">
        <f t="shared" si="20"/>
        <v>0</v>
      </c>
      <c r="AV52" s="10">
        <f t="shared" si="15"/>
        <v>0</v>
      </c>
      <c r="AW52" s="10">
        <f t="shared" si="7"/>
        <v>12.022058823529411</v>
      </c>
      <c r="AX52" s="10">
        <f t="shared" si="16"/>
        <v>0</v>
      </c>
      <c r="AY52" s="10">
        <f>AF52/'CY Defensive Stats Query'!$AF$34
*R52</f>
        <v>3.8786332113527506</v>
      </c>
      <c r="AZ52" s="10">
        <f t="shared" si="21"/>
        <v>0</v>
      </c>
      <c r="BA52" s="16">
        <f t="shared" si="17"/>
        <v>0</v>
      </c>
      <c r="BB52" s="16">
        <f t="shared" si="8"/>
        <v>0</v>
      </c>
      <c r="BC52" s="10">
        <f t="shared" si="9"/>
        <v>0</v>
      </c>
      <c r="BD52" s="10">
        <f>IF(B52="QB",COUNTIFS($B$5:B52,B52,$J$5:J52,J52),1)</f>
        <v>1</v>
      </c>
      <c r="BE52" t="str">
        <f t="shared" si="10"/>
        <v>Ronald Jones II</v>
      </c>
      <c r="BF52">
        <f t="shared" si="11"/>
        <v>5500</v>
      </c>
      <c r="BG52" t="str">
        <f t="shared" si="12"/>
        <v>RB</v>
      </c>
      <c r="BH52" s="16">
        <f t="shared" si="18"/>
        <v>0</v>
      </c>
    </row>
    <row r="53" spans="1:60" x14ac:dyDescent="0.2">
      <c r="A53" t="s">
        <v>2798</v>
      </c>
      <c r="B53" t="s">
        <v>68</v>
      </c>
      <c r="C53" t="s">
        <v>75</v>
      </c>
      <c r="D53" t="s">
        <v>2411</v>
      </c>
      <c r="E53" t="s">
        <v>2799</v>
      </c>
      <c r="F53">
        <v>6.5124998092651296</v>
      </c>
      <c r="G53">
        <v>8</v>
      </c>
      <c r="H53">
        <v>5400</v>
      </c>
      <c r="I53" t="s">
        <v>2716</v>
      </c>
      <c r="J53" t="s">
        <v>81</v>
      </c>
      <c r="K53" t="s">
        <v>99</v>
      </c>
      <c r="O53" t="str">
        <f t="shared" si="0"/>
        <v>Derrick Gore</v>
      </c>
      <c r="P53" t="str">
        <f>IFERROR(VLOOKUP(O:O,'Name Bridge'!A:B,2,FALSE),O:O)</f>
        <v>Derrick Gore</v>
      </c>
      <c r="Q53" s="10">
        <f>VLOOKUP($K53,'CY Defensive Stats Query'!$AC:$AH,2,FALSE)</f>
        <v>7.5377358490566042</v>
      </c>
      <c r="R53" s="10">
        <f>VLOOKUP($K53,'CY Defensive Stats Query'!$AC:$AH,4,FALSE)</f>
        <v>3.5810810810810811</v>
      </c>
      <c r="S53" s="10">
        <f>VLOOKUP($K53,'CY Defensive Stats Query'!$AC:$AH,6,FALSE)</f>
        <v>11.097222222222221</v>
      </c>
      <c r="T53" s="10">
        <f>IFERROR(VLOOKUP($P53,'CYPassing Query'!$B:$AE,9,FALSE)/VLOOKUP($P53,'CYPassing Query'!$B:$AE,5,FALSE),0)</f>
        <v>0</v>
      </c>
      <c r="U53" s="10">
        <f>IFERROR(VLOOKUP($P53,'CYPassing Query'!$B:$AE,11,FALSE)/VLOOKUP($P53,'CYPassing Query'!$B:$AE,5,FALSE),0)</f>
        <v>0</v>
      </c>
      <c r="V53" s="10">
        <f>IFERROR(VLOOKUP($P53,'CYPassing Query'!$B:$AE,18,FALSE),0)</f>
        <v>0</v>
      </c>
      <c r="W53" s="10">
        <f>IFERROR(VLOOKUP($P53,'CYPassing Query'!$B:$AE,12,FALSE)/VLOOKUP($P53,'CYPassing Query'!$B:$AE,5,FALSE),0)</f>
        <v>0</v>
      </c>
      <c r="X53" s="10">
        <f>IFERROR(IF(OR($B53="D",$B53="K"),0,VLOOKUP($P53,'CY Receving Query'!$B:$S,7,FALSE)/VLOOKUP($P53,'CY Receving Query'!$B:$S,5,FALSE)),0)*$AJ53</f>
        <v>0.81818181818181823</v>
      </c>
      <c r="Y53" s="10">
        <f>IFERROR(VLOOKUP($P53,'CY Receving Query'!$B:$S,8,FALSE)/VLOOKUP($P53,'CY Receving Query'!$B:$S,5,FALSE),0)</f>
        <v>0.72727272727272729</v>
      </c>
      <c r="Z53" s="10">
        <f>IFERROR(VLOOKUP($P53,'CY Receving Query'!$B:$S,10,FALSE)/VLOOKUP($P53,'CY Receving Query'!$B:$S,5,FALSE),0)</f>
        <v>9.545454545454545</v>
      </c>
      <c r="AA53" s="10">
        <f>IFERROR(VLOOKUP($P53,'CY Receving Query'!$B:$S,11,FALSE),0)</f>
        <v>13.1</v>
      </c>
      <c r="AB53" s="10">
        <f>IFERROR(AVERAGE(VLOOKUP($P53,'PY Receiving'!$C:$T,14,FALSE),VLOOKUP($P53,'CY Receiving'!$C:$T,14,FALSE)),0)</f>
        <v>0</v>
      </c>
      <c r="AC53" s="10">
        <f>IFERROR(VLOOKUP($P53,'CY Receving Query'!$B:$S,11,FALSE)/VLOOKUP($P53,'CY Receving Query'!$B:$S,5,FALSE),0)</f>
        <v>1.1909090909090909</v>
      </c>
      <c r="AD53" s="10">
        <f>IFERROR(VLOOKUP($P53,'CY Rushing Query'!$B:$O,7,FALSE)/VLOOKUP($P53,'CY Rushing Query'!$B:$O,5,FALSE),0)</f>
        <v>4.6363636363636367</v>
      </c>
      <c r="AE53" s="10">
        <f>IFERROR(AVERAGE(VLOOKUP($P53,'PY Rushing'!$C:$P,8,FALSE)/VLOOKUP($P53,'PY Rushing'!$C:$P,5,FALSE),VLOOKUP($P53,'CY Rushing'!$C:$P,8,FALSE)/VLOOKUP($P53,'CY Rushing'!$C:$P,5,FALSE)),0)</f>
        <v>0</v>
      </c>
      <c r="AF53" s="10">
        <f>IFERROR(VLOOKUP($P53,'CY Rushing Query'!$B:$P,12,FALSE),0)</f>
        <v>5</v>
      </c>
      <c r="AG53" s="10">
        <f>IFERROR(VLOOKUP($P53,'CY Rushing Query'!$B:$P,9,FALSE)/VLOOKUP($P53,'CY Rushing Query'!$B:$P,5,FALSE),0)</f>
        <v>0.18181818181818182</v>
      </c>
      <c r="AH53" s="10">
        <f>VLOOKUP($J53,'Vegas Odds'!$B:$S,18,FALSE)</f>
        <v>37.933262350936971</v>
      </c>
      <c r="AI53" s="10">
        <f>VLOOKUP($J53,'Vegas Odds'!$B:$S,17,FALSE)</f>
        <v>27.766737649063032</v>
      </c>
      <c r="AJ53">
        <f t="shared" si="13"/>
        <v>1</v>
      </c>
      <c r="AK53" s="10">
        <f t="shared" si="1"/>
        <v>0</v>
      </c>
      <c r="AL53" s="10">
        <f t="shared" si="2"/>
        <v>0</v>
      </c>
      <c r="AM53" s="10">
        <f>V53/'CY Defensive Stats Query'!$AD$34*'Fanduel Export'!Q53</f>
        <v>0</v>
      </c>
      <c r="AN53" s="10">
        <f t="shared" si="19"/>
        <v>0</v>
      </c>
      <c r="AO53" s="10">
        <f>IFERROR(IF(OR($B53="D",$B53="K"),0,VLOOKUP($P53,'CY Receving Query'!$B:$S,7,FALSE)/VLOOKUP($P53,'CY Receving Query'!$B:$S,5,FALSE)),0)*$AJ53</f>
        <v>0.81818181818181823</v>
      </c>
      <c r="AP53" s="10">
        <f t="shared" si="3"/>
        <v>37.365221788015901</v>
      </c>
      <c r="AQ53" s="10">
        <f t="shared" si="4"/>
        <v>0.83062013483917707</v>
      </c>
      <c r="AR53" s="16">
        <f t="shared" si="14"/>
        <v>0.72727272727272729</v>
      </c>
      <c r="AS53" s="16">
        <f t="shared" si="5"/>
        <v>0.7383290087459351</v>
      </c>
      <c r="AT53" s="16">
        <f>AA53/'CY Defensive Stats Query'!$AH$34
*'Fanduel Export'!S53</f>
        <v>13.826753189544782</v>
      </c>
      <c r="AU53" s="10">
        <f t="shared" si="20"/>
        <v>10.208692976611296</v>
      </c>
      <c r="AV53" s="10">
        <f t="shared" si="15"/>
        <v>4.6363636363636367</v>
      </c>
      <c r="AW53" s="10">
        <f t="shared" si="7"/>
        <v>19.787381735911151</v>
      </c>
      <c r="AX53" s="10">
        <f t="shared" si="16"/>
        <v>6.5059993512394341</v>
      </c>
      <c r="AY53" s="10">
        <f>AF53/'CY Defensive Stats Query'!$AF$34
*R53</f>
        <v>4.3297069867917992</v>
      </c>
      <c r="AZ53" s="10">
        <f t="shared" si="21"/>
        <v>28.169070847124292</v>
      </c>
      <c r="BA53" s="16">
        <f t="shared" si="17"/>
        <v>4.2014127460099218</v>
      </c>
      <c r="BB53" s="16">
        <f t="shared" si="8"/>
        <v>0.77803939740924477</v>
      </c>
      <c r="BC53" s="10">
        <f t="shared" si="9"/>
        <v>0.15151515151515152</v>
      </c>
      <c r="BD53" s="10">
        <f>IF(B53="QB",COUNTIFS($B$5:B53,B53,$J$5:J53,J53),1)</f>
        <v>1</v>
      </c>
      <c r="BE53" t="str">
        <f t="shared" si="10"/>
        <v>Derrick Gore</v>
      </c>
      <c r="BF53">
        <f t="shared" si="11"/>
        <v>5400</v>
      </c>
      <c r="BG53" t="str">
        <f t="shared" si="12"/>
        <v>RB</v>
      </c>
      <c r="BH53" s="16">
        <f t="shared" si="18"/>
        <v>4.2014127460099218</v>
      </c>
    </row>
    <row r="54" spans="1:60" x14ac:dyDescent="0.2">
      <c r="A54" t="s">
        <v>2800</v>
      </c>
      <c r="B54" t="s">
        <v>68</v>
      </c>
      <c r="C54" t="s">
        <v>2606</v>
      </c>
      <c r="D54" t="s">
        <v>1804</v>
      </c>
      <c r="E54" t="s">
        <v>2607</v>
      </c>
      <c r="F54">
        <v>5.7666664123535103</v>
      </c>
      <c r="G54">
        <v>6</v>
      </c>
      <c r="H54">
        <v>5400</v>
      </c>
      <c r="I54" t="s">
        <v>2720</v>
      </c>
      <c r="J54" t="s">
        <v>728</v>
      </c>
      <c r="K54" t="s">
        <v>102</v>
      </c>
      <c r="O54" t="str">
        <f t="shared" si="0"/>
        <v>Ke'Shawn Vaughn</v>
      </c>
      <c r="P54" t="str">
        <f>IFERROR(VLOOKUP(O:O,'Name Bridge'!A:B,2,FALSE),O:O)</f>
        <v>Ke'Shawn Vaughn</v>
      </c>
      <c r="Q54" s="10">
        <f>VLOOKUP($K54,'CY Defensive Stats Query'!$AC:$AH,2,FALSE)</f>
        <v>5.9890109890109891</v>
      </c>
      <c r="R54" s="10">
        <f>VLOOKUP($K54,'CY Defensive Stats Query'!$AC:$AH,4,FALSE)</f>
        <v>3.8190476190476192</v>
      </c>
      <c r="S54" s="10">
        <f>VLOOKUP($K54,'CY Defensive Stats Query'!$AC:$AH,6,FALSE)</f>
        <v>8.515625</v>
      </c>
      <c r="T54" s="10">
        <f>IFERROR(VLOOKUP($P54,'CYPassing Query'!$B:$AE,9,FALSE)/VLOOKUP($P54,'CYPassing Query'!$B:$AE,5,FALSE),0)</f>
        <v>0</v>
      </c>
      <c r="U54" s="10">
        <f>IFERROR(VLOOKUP($P54,'CYPassing Query'!$B:$AE,11,FALSE)/VLOOKUP($P54,'CYPassing Query'!$B:$AE,5,FALSE),0)</f>
        <v>0</v>
      </c>
      <c r="V54" s="10">
        <f>IFERROR(VLOOKUP($P54,'CYPassing Query'!$B:$AE,18,FALSE),0)</f>
        <v>0</v>
      </c>
      <c r="W54" s="10">
        <f>IFERROR(VLOOKUP($P54,'CYPassing Query'!$B:$AE,12,FALSE)/VLOOKUP($P54,'CYPassing Query'!$B:$AE,5,FALSE),0)</f>
        <v>0</v>
      </c>
      <c r="X54" s="10">
        <f>IFERROR(IF(OR($B54="D",$B54="K"),0,VLOOKUP($P54,'CY Receving Query'!$B:$S,7,FALSE)/VLOOKUP($P54,'CY Receving Query'!$B:$S,5,FALSE)),0)*$AJ54</f>
        <v>0.66666666666666663</v>
      </c>
      <c r="Y54" s="10">
        <f>IFERROR(VLOOKUP($P54,'CY Receving Query'!$B:$S,8,FALSE)/VLOOKUP($P54,'CY Receving Query'!$B:$S,5,FALSE),0)</f>
        <v>0.33333333333333331</v>
      </c>
      <c r="Z54" s="10">
        <f>IFERROR(VLOOKUP($P54,'CY Receving Query'!$B:$S,10,FALSE)/VLOOKUP($P54,'CY Receving Query'!$B:$S,5,FALSE),0)</f>
        <v>2.1666666666666665</v>
      </c>
      <c r="AA54" s="10">
        <f>IFERROR(VLOOKUP($P54,'CY Receving Query'!$B:$S,11,FALSE),0)</f>
        <v>6.5</v>
      </c>
      <c r="AB54" s="10">
        <f>IFERROR(AVERAGE(VLOOKUP($P54,'PY Receiving'!$C:$T,14,FALSE),VLOOKUP($P54,'CY Receiving'!$C:$T,14,FALSE)),0)</f>
        <v>0</v>
      </c>
      <c r="AC54" s="10">
        <f>IFERROR(VLOOKUP($P54,'CY Receving Query'!$B:$S,11,FALSE)/VLOOKUP($P54,'CY Receving Query'!$B:$S,5,FALSE),0)</f>
        <v>0.54166666666666663</v>
      </c>
      <c r="AD54" s="10">
        <f>IFERROR(VLOOKUP($P54,'CY Rushing Query'!$B:$O,7,FALSE)/VLOOKUP($P54,'CY Rushing Query'!$B:$O,5,FALSE),0)</f>
        <v>3</v>
      </c>
      <c r="AE54" s="10">
        <f>IFERROR(AVERAGE(VLOOKUP($P54,'PY Rushing'!$C:$P,8,FALSE)/VLOOKUP($P54,'PY Rushing'!$C:$P,5,FALSE),VLOOKUP($P54,'CY Rushing'!$C:$P,8,FALSE)/VLOOKUP($P54,'CY Rushing'!$C:$P,5,FALSE)),0)</f>
        <v>0</v>
      </c>
      <c r="AF54" s="10">
        <f>IFERROR(VLOOKUP($P54,'CY Rushing Query'!$B:$P,12,FALSE),0)</f>
        <v>5</v>
      </c>
      <c r="AG54" s="10">
        <f>IFERROR(VLOOKUP($P54,'CY Rushing Query'!$B:$P,9,FALSE)/VLOOKUP($P54,'CY Rushing Query'!$B:$P,5,FALSE),0)</f>
        <v>0.16666666666666666</v>
      </c>
      <c r="AH54" s="10">
        <f>VLOOKUP($J54,'Vegas Odds'!$B:$S,18,FALSE)</f>
        <v>34.555825588251061</v>
      </c>
      <c r="AI54" s="10">
        <f>VLOOKUP($J54,'Vegas Odds'!$B:$S,17,FALSE)</f>
        <v>27.844174411748938</v>
      </c>
      <c r="AJ54">
        <f t="shared" si="13"/>
        <v>1</v>
      </c>
      <c r="AK54" s="10">
        <f t="shared" si="1"/>
        <v>0</v>
      </c>
      <c r="AL54" s="10">
        <f t="shared" si="2"/>
        <v>0</v>
      </c>
      <c r="AM54" s="10">
        <f>V54/'CY Defensive Stats Query'!$AD$34*'Fanduel Export'!Q54</f>
        <v>0</v>
      </c>
      <c r="AN54" s="10">
        <f t="shared" si="19"/>
        <v>0</v>
      </c>
      <c r="AO54" s="10">
        <f>IFERROR(IF(OR($B54="D",$B54="K"),0,VLOOKUP($P54,'CY Receving Query'!$B:$S,7,FALSE)/VLOOKUP($P54,'CY Receving Query'!$B:$S,5,FALSE)),0)*$AJ54</f>
        <v>0.66666666666666663</v>
      </c>
      <c r="AP54" s="10">
        <f t="shared" si="3"/>
        <v>25.587418300653596</v>
      </c>
      <c r="AQ54" s="10">
        <f t="shared" si="4"/>
        <v>0.90033378077246606</v>
      </c>
      <c r="AR54" s="16">
        <f t="shared" si="14"/>
        <v>0.33333333333333331</v>
      </c>
      <c r="AS54" s="16">
        <f t="shared" si="5"/>
        <v>0.45016689038623303</v>
      </c>
      <c r="AT54" s="16">
        <f>AA54/'CY Defensive Stats Query'!$AH$34
*'Fanduel Export'!S54</f>
        <v>5.2645895461605345</v>
      </c>
      <c r="AU54" s="10">
        <f t="shared" si="20"/>
        <v>2.3699439051549578</v>
      </c>
      <c r="AV54" s="10">
        <f t="shared" si="15"/>
        <v>3</v>
      </c>
      <c r="AW54" s="10">
        <f t="shared" si="7"/>
        <v>12.022058823529411</v>
      </c>
      <c r="AX54" s="10">
        <f t="shared" si="16"/>
        <v>6.9482710458676253</v>
      </c>
      <c r="AY54" s="10">
        <f>AF54/'CY Defensive Stats Query'!$AF$34
*R54</f>
        <v>4.6174204897056557</v>
      </c>
      <c r="AZ54" s="10">
        <f t="shared" si="21"/>
        <v>32.083089095217716</v>
      </c>
      <c r="BA54" s="16">
        <f t="shared" si="17"/>
        <v>3.6119699667039336</v>
      </c>
      <c r="BB54" s="16">
        <f t="shared" si="8"/>
        <v>0.66888332716739507</v>
      </c>
      <c r="BC54" s="10">
        <f t="shared" si="9"/>
        <v>0.12345679012345677</v>
      </c>
      <c r="BD54" s="10">
        <f>IF(B54="QB",COUNTIFS($B$5:B54,B54,$J$5:J54,J54),1)</f>
        <v>1</v>
      </c>
      <c r="BE54" t="str">
        <f t="shared" si="10"/>
        <v>Ke'Shawn Vaughn</v>
      </c>
      <c r="BF54">
        <f t="shared" si="11"/>
        <v>5400</v>
      </c>
      <c r="BG54" t="str">
        <f t="shared" si="12"/>
        <v>RB</v>
      </c>
      <c r="BH54" s="16">
        <f t="shared" si="18"/>
        <v>3.6119699667039336</v>
      </c>
    </row>
    <row r="55" spans="1:60" x14ac:dyDescent="0.2">
      <c r="A55" t="s">
        <v>2801</v>
      </c>
      <c r="B55" t="s">
        <v>83</v>
      </c>
      <c r="C55" t="s">
        <v>2802</v>
      </c>
      <c r="D55" t="s">
        <v>386</v>
      </c>
      <c r="E55" t="s">
        <v>2803</v>
      </c>
      <c r="F55">
        <v>6.6125001907348597</v>
      </c>
      <c r="G55">
        <v>16</v>
      </c>
      <c r="H55">
        <v>5400</v>
      </c>
      <c r="I55" t="s">
        <v>2716</v>
      </c>
      <c r="J55" t="s">
        <v>81</v>
      </c>
      <c r="K55" t="s">
        <v>99</v>
      </c>
      <c r="O55" t="str">
        <f t="shared" si="0"/>
        <v>Byron Pringle</v>
      </c>
      <c r="P55" t="str">
        <f>IFERROR(VLOOKUP(O:O,'Name Bridge'!A:B,2,FALSE),O:O)</f>
        <v>Byron Pringle</v>
      </c>
      <c r="Q55" s="10">
        <f>VLOOKUP($K55,'CY Defensive Stats Query'!$AC:$AH,2,FALSE)</f>
        <v>7.5377358490566042</v>
      </c>
      <c r="R55" s="10">
        <f>VLOOKUP($K55,'CY Defensive Stats Query'!$AC:$AH,4,FALSE)</f>
        <v>3.5810810810810811</v>
      </c>
      <c r="S55" s="10">
        <f>VLOOKUP($K55,'CY Defensive Stats Query'!$AC:$AH,6,FALSE)</f>
        <v>11.097222222222221</v>
      </c>
      <c r="T55" s="10">
        <f>IFERROR(VLOOKUP($P55,'CYPassing Query'!$B:$AE,9,FALSE)/VLOOKUP($P55,'CYPassing Query'!$B:$AE,5,FALSE),0)</f>
        <v>0</v>
      </c>
      <c r="U55" s="10">
        <f>IFERROR(VLOOKUP($P55,'CYPassing Query'!$B:$AE,11,FALSE)/VLOOKUP($P55,'CYPassing Query'!$B:$AE,5,FALSE),0)</f>
        <v>0</v>
      </c>
      <c r="V55" s="10">
        <f>IFERROR(VLOOKUP($P55,'CYPassing Query'!$B:$AE,18,FALSE),0)</f>
        <v>0</v>
      </c>
      <c r="W55" s="10">
        <f>IFERROR(VLOOKUP($P55,'CYPassing Query'!$B:$AE,12,FALSE)/VLOOKUP($P55,'CYPassing Query'!$B:$AE,5,FALSE),0)</f>
        <v>0</v>
      </c>
      <c r="X55" s="10">
        <f>IFERROR(IF(OR($B55="D",$B55="K"),0,VLOOKUP($P55,'CY Receving Query'!$B:$S,7,FALSE)/VLOOKUP($P55,'CY Receving Query'!$B:$S,5,FALSE)),0)*$AJ55</f>
        <v>3.5294117647058822</v>
      </c>
      <c r="Y55" s="10">
        <f>IFERROR(VLOOKUP($P55,'CY Receving Query'!$B:$S,8,FALSE)/VLOOKUP($P55,'CY Receving Query'!$B:$S,5,FALSE),0)</f>
        <v>2.4705882352941178</v>
      </c>
      <c r="Z55" s="10">
        <f>IFERROR(VLOOKUP($P55,'CY Receving Query'!$B:$S,10,FALSE)/VLOOKUP($P55,'CY Receving Query'!$B:$S,5,FALSE),0)</f>
        <v>33.411764705882355</v>
      </c>
      <c r="AA55" s="10">
        <f>IFERROR(VLOOKUP($P55,'CY Receving Query'!$B:$S,11,FALSE),0)</f>
        <v>13.5</v>
      </c>
      <c r="AB55" s="10">
        <f>IFERROR(AVERAGE(VLOOKUP($P55,'PY Receiving'!$C:$T,14,FALSE),VLOOKUP($P55,'CY Receiving'!$C:$T,14,FALSE)),0)</f>
        <v>21.5</v>
      </c>
      <c r="AC55" s="10">
        <f>IFERROR(VLOOKUP($P55,'CY Receving Query'!$B:$S,11,FALSE)/VLOOKUP($P55,'CY Receving Query'!$B:$S,5,FALSE),0)</f>
        <v>0.79411764705882348</v>
      </c>
      <c r="AD55" s="10">
        <f>IFERROR(VLOOKUP($P55,'CY Rushing Query'!$B:$O,7,FALSE)/VLOOKUP($P55,'CY Rushing Query'!$B:$O,5,FALSE),0)</f>
        <v>0</v>
      </c>
      <c r="AE55" s="10">
        <f>IFERROR(AVERAGE(VLOOKUP($P55,'PY Rushing'!$C:$P,8,FALSE)/VLOOKUP($P55,'PY Rushing'!$C:$P,5,FALSE),VLOOKUP($P55,'CY Rushing'!$C:$P,8,FALSE)/VLOOKUP($P55,'CY Rushing'!$C:$P,5,FALSE)),0)</f>
        <v>0</v>
      </c>
      <c r="AF55" s="10">
        <f>IFERROR(VLOOKUP($P55,'CY Rushing Query'!$B:$P,12,FALSE),0)</f>
        <v>0</v>
      </c>
      <c r="AG55" s="10">
        <f>IFERROR(VLOOKUP($P55,'CY Rushing Query'!$B:$P,9,FALSE)/VLOOKUP($P55,'CY Rushing Query'!$B:$P,5,FALSE),0)</f>
        <v>0</v>
      </c>
      <c r="AH55" s="10">
        <f>VLOOKUP($J55,'Vegas Odds'!$B:$S,18,FALSE)</f>
        <v>37.933262350936971</v>
      </c>
      <c r="AI55" s="10">
        <f>VLOOKUP($J55,'Vegas Odds'!$B:$S,17,FALSE)</f>
        <v>27.766737649063032</v>
      </c>
      <c r="AJ55">
        <f t="shared" si="13"/>
        <v>1</v>
      </c>
      <c r="AK55" s="10">
        <f t="shared" si="1"/>
        <v>0</v>
      </c>
      <c r="AL55" s="10">
        <f t="shared" si="2"/>
        <v>0</v>
      </c>
      <c r="AM55" s="10">
        <f>V55/'CY Defensive Stats Query'!$AD$34*'Fanduel Export'!Q55</f>
        <v>0</v>
      </c>
      <c r="AN55" s="10">
        <f t="shared" si="19"/>
        <v>0</v>
      </c>
      <c r="AO55" s="10">
        <f>IFERROR(IF(OR($B55="D",$B55="K"),0,VLOOKUP($P55,'CY Receving Query'!$B:$S,7,FALSE)/VLOOKUP($P55,'CY Receving Query'!$B:$S,5,FALSE)),0)*$AJ55</f>
        <v>3.5294117647058822</v>
      </c>
      <c r="AP55" s="10">
        <f t="shared" si="3"/>
        <v>37.365221788015901</v>
      </c>
      <c r="AQ55" s="10">
        <f t="shared" si="4"/>
        <v>3.5830672483258614</v>
      </c>
      <c r="AR55" s="16">
        <f t="shared" si="14"/>
        <v>2.4705882352941178</v>
      </c>
      <c r="AS55" s="16">
        <f t="shared" si="5"/>
        <v>2.5081470738281033</v>
      </c>
      <c r="AT55" s="16">
        <f>AA55/'CY Defensive Stats Query'!$AH$34
*'Fanduel Export'!S55</f>
        <v>14.24894412663012</v>
      </c>
      <c r="AU55" s="10">
        <f t="shared" si="20"/>
        <v>35.73844751634747</v>
      </c>
      <c r="AV55" s="10">
        <f t="shared" si="15"/>
        <v>0</v>
      </c>
      <c r="AW55" s="10">
        <f t="shared" si="7"/>
        <v>19.787381735911151</v>
      </c>
      <c r="AX55" s="10">
        <f t="shared" si="16"/>
        <v>0</v>
      </c>
      <c r="AY55" s="10">
        <f>AF55/'CY Defensive Stats Query'!$AF$34
*R55</f>
        <v>0</v>
      </c>
      <c r="AZ55" s="10">
        <f t="shared" si="21"/>
        <v>0</v>
      </c>
      <c r="BA55" s="16">
        <f t="shared" si="17"/>
        <v>4.8091388692818064</v>
      </c>
      <c r="BB55" s="16">
        <f t="shared" si="8"/>
        <v>0.89058127208922333</v>
      </c>
      <c r="BC55" s="10">
        <f t="shared" si="9"/>
        <v>0.65359477124182996</v>
      </c>
      <c r="BD55" s="10">
        <f>IF(B55="QB",COUNTIFS($B$5:B55,B55,$J$5:J55,J55),1)</f>
        <v>1</v>
      </c>
      <c r="BE55" t="str">
        <f t="shared" si="10"/>
        <v>Byron Pringle</v>
      </c>
      <c r="BF55">
        <f t="shared" si="11"/>
        <v>5400</v>
      </c>
      <c r="BG55" t="str">
        <f t="shared" si="12"/>
        <v>WR</v>
      </c>
      <c r="BH55" s="16">
        <f t="shared" si="18"/>
        <v>4.8091388692818064</v>
      </c>
    </row>
    <row r="56" spans="1:60" x14ac:dyDescent="0.2">
      <c r="A56" t="s">
        <v>2804</v>
      </c>
      <c r="B56" t="s">
        <v>88</v>
      </c>
      <c r="C56" t="s">
        <v>2543</v>
      </c>
      <c r="D56" t="s">
        <v>613</v>
      </c>
      <c r="E56" t="s">
        <v>2544</v>
      </c>
      <c r="F56">
        <v>7.6062498092651296</v>
      </c>
      <c r="G56">
        <v>16</v>
      </c>
      <c r="H56">
        <v>5400</v>
      </c>
      <c r="I56" t="s">
        <v>2716</v>
      </c>
      <c r="J56" t="s">
        <v>99</v>
      </c>
      <c r="K56" t="s">
        <v>81</v>
      </c>
      <c r="O56" t="str">
        <f t="shared" si="0"/>
        <v>Pat Freiermuth</v>
      </c>
      <c r="P56" t="str">
        <f>IFERROR(VLOOKUP(O:O,'Name Bridge'!A:B,2,FALSE),O:O)</f>
        <v>Pat Freiermuth</v>
      </c>
      <c r="Q56" s="10">
        <f>VLOOKUP($K56,'CY Defensive Stats Query'!$AC:$AH,2,FALSE)</f>
        <v>8.7934782608695645</v>
      </c>
      <c r="R56" s="10">
        <f>VLOOKUP($K56,'CY Defensive Stats Query'!$AC:$AH,4,FALSE)</f>
        <v>5.404494382022472</v>
      </c>
      <c r="S56" s="10">
        <f>VLOOKUP($K56,'CY Defensive Stats Query'!$AC:$AH,6,FALSE)</f>
        <v>12.446153846153846</v>
      </c>
      <c r="T56" s="10">
        <f>IFERROR(VLOOKUP($P56,'CYPassing Query'!$B:$AE,9,FALSE)/VLOOKUP($P56,'CYPassing Query'!$B:$AE,5,FALSE),0)</f>
        <v>0</v>
      </c>
      <c r="U56" s="10">
        <f>IFERROR(VLOOKUP($P56,'CYPassing Query'!$B:$AE,11,FALSE)/VLOOKUP($P56,'CYPassing Query'!$B:$AE,5,FALSE),0)</f>
        <v>0</v>
      </c>
      <c r="V56" s="10">
        <f>IFERROR(VLOOKUP($P56,'CYPassing Query'!$B:$AE,18,FALSE),0)</f>
        <v>0</v>
      </c>
      <c r="W56" s="10">
        <f>IFERROR(VLOOKUP($P56,'CYPassing Query'!$B:$AE,12,FALSE)/VLOOKUP($P56,'CYPassing Query'!$B:$AE,5,FALSE),0)</f>
        <v>0</v>
      </c>
      <c r="X56" s="10">
        <f>IFERROR(IF(OR($B56="D",$B56="K"),0,VLOOKUP($P56,'CY Receving Query'!$B:$S,7,FALSE)/VLOOKUP($P56,'CY Receving Query'!$B:$S,5,FALSE)),0)*$AJ56</f>
        <v>4.9375</v>
      </c>
      <c r="Y56" s="10">
        <f>IFERROR(VLOOKUP($P56,'CY Receving Query'!$B:$S,8,FALSE)/VLOOKUP($P56,'CY Receving Query'!$B:$S,5,FALSE),0)</f>
        <v>3.75</v>
      </c>
      <c r="Z56" s="10">
        <f>IFERROR(VLOOKUP($P56,'CY Receving Query'!$B:$S,10,FALSE)/VLOOKUP($P56,'CY Receving Query'!$B:$S,5,FALSE),0)</f>
        <v>31.0625</v>
      </c>
      <c r="AA56" s="10">
        <f>IFERROR(VLOOKUP($P56,'CY Receving Query'!$B:$S,11,FALSE),0)</f>
        <v>8.3000000000000007</v>
      </c>
      <c r="AB56" s="10">
        <f>IFERROR(AVERAGE(VLOOKUP($P56,'PY Receiving'!$C:$T,14,FALSE),VLOOKUP($P56,'CY Receiving'!$C:$T,14,FALSE)),0)</f>
        <v>0</v>
      </c>
      <c r="AC56" s="10">
        <f>IFERROR(VLOOKUP($P56,'CY Receving Query'!$B:$S,11,FALSE)/VLOOKUP($P56,'CY Receving Query'!$B:$S,5,FALSE),0)</f>
        <v>0.51875000000000004</v>
      </c>
      <c r="AD56" s="10">
        <f>IFERROR(VLOOKUP($P56,'CY Rushing Query'!$B:$O,7,FALSE)/VLOOKUP($P56,'CY Rushing Query'!$B:$O,5,FALSE),0)</f>
        <v>0</v>
      </c>
      <c r="AE56" s="10">
        <f>IFERROR(AVERAGE(VLOOKUP($P56,'PY Rushing'!$C:$P,8,FALSE)/VLOOKUP($P56,'PY Rushing'!$C:$P,5,FALSE),VLOOKUP($P56,'CY Rushing'!$C:$P,8,FALSE)/VLOOKUP($P56,'CY Rushing'!$C:$P,5,FALSE)),0)</f>
        <v>0</v>
      </c>
      <c r="AF56" s="10">
        <f>IFERROR(VLOOKUP($P56,'CY Rushing Query'!$B:$P,12,FALSE),0)</f>
        <v>0</v>
      </c>
      <c r="AG56" s="10">
        <f>IFERROR(VLOOKUP($P56,'CY Rushing Query'!$B:$P,9,FALSE)/VLOOKUP($P56,'CY Rushing Query'!$B:$P,5,FALSE),0)</f>
        <v>0</v>
      </c>
      <c r="AH56" s="10">
        <f>VLOOKUP($J56,'Vegas Odds'!$B:$S,18,FALSE)</f>
        <v>40.088640957860363</v>
      </c>
      <c r="AI56" s="10">
        <f>VLOOKUP($J56,'Vegas Odds'!$B:$S,17,FALSE)</f>
        <v>25.511359042139631</v>
      </c>
      <c r="AJ56">
        <f t="shared" si="13"/>
        <v>1</v>
      </c>
      <c r="AK56" s="10">
        <f t="shared" si="1"/>
        <v>0</v>
      </c>
      <c r="AL56" s="10">
        <f t="shared" si="2"/>
        <v>0</v>
      </c>
      <c r="AM56" s="10">
        <f>V56/'CY Defensive Stats Query'!$AD$34*'Fanduel Export'!Q56</f>
        <v>0</v>
      </c>
      <c r="AN56" s="10">
        <f t="shared" si="19"/>
        <v>0</v>
      </c>
      <c r="AO56" s="10">
        <f>IFERROR(IF(OR($B56="D",$B56="K"),0,VLOOKUP($P56,'CY Receving Query'!$B:$S,7,FALSE)/VLOOKUP($P56,'CY Receving Query'!$B:$S,5,FALSE)),0)*$AJ56</f>
        <v>4.9375</v>
      </c>
      <c r="AP56" s="10">
        <f t="shared" si="3"/>
        <v>32.289950980392156</v>
      </c>
      <c r="AQ56" s="10">
        <f t="shared" si="4"/>
        <v>6.1300082136895089</v>
      </c>
      <c r="AR56" s="16">
        <f t="shared" si="14"/>
        <v>3.75</v>
      </c>
      <c r="AS56" s="16">
        <f t="shared" si="5"/>
        <v>4.6557024407768424</v>
      </c>
      <c r="AT56" s="16">
        <f>AA56/'CY Defensive Stats Query'!$AH$34
*'Fanduel Export'!S56</f>
        <v>9.8253468247702731</v>
      </c>
      <c r="AU56" s="10">
        <f t="shared" si="20"/>
        <v>45.743891193561957</v>
      </c>
      <c r="AV56" s="10">
        <f t="shared" si="15"/>
        <v>0</v>
      </c>
      <c r="AW56" s="10">
        <f t="shared" si="7"/>
        <v>7.4240196078431371</v>
      </c>
      <c r="AX56" s="10">
        <f t="shared" si="16"/>
        <v>0</v>
      </c>
      <c r="AY56" s="10">
        <f>AF56/'CY Defensive Stats Query'!$AF$34
*R56</f>
        <v>0</v>
      </c>
      <c r="AZ56" s="10">
        <f t="shared" si="21"/>
        <v>0</v>
      </c>
      <c r="BA56" s="16">
        <f t="shared" si="17"/>
        <v>6.4493891193561961</v>
      </c>
      <c r="BB56" s="16">
        <f t="shared" si="8"/>
        <v>1.1943313183992954</v>
      </c>
      <c r="BC56" s="10">
        <f t="shared" si="9"/>
        <v>0.91435185185185175</v>
      </c>
      <c r="BD56" s="10">
        <f>IF(B56="QB",COUNTIFS($B$5:B56,B56,$J$5:J56,J56),1)</f>
        <v>1</v>
      </c>
      <c r="BE56" t="str">
        <f t="shared" si="10"/>
        <v>Pat Freiermuth</v>
      </c>
      <c r="BF56">
        <f t="shared" si="11"/>
        <v>5400</v>
      </c>
      <c r="BG56" t="str">
        <f t="shared" si="12"/>
        <v>TE</v>
      </c>
      <c r="BH56" s="16">
        <f t="shared" si="18"/>
        <v>6.4493891193561961</v>
      </c>
    </row>
    <row r="57" spans="1:60" hidden="1" x14ac:dyDescent="0.2">
      <c r="A57" t="s">
        <v>2805</v>
      </c>
      <c r="B57" t="s">
        <v>83</v>
      </c>
      <c r="C57" t="s">
        <v>2611</v>
      </c>
      <c r="D57" t="s">
        <v>2492</v>
      </c>
      <c r="E57" t="s">
        <v>2612</v>
      </c>
      <c r="F57">
        <v>13.1999994913736</v>
      </c>
      <c r="G57">
        <v>3</v>
      </c>
      <c r="H57">
        <v>5300</v>
      </c>
      <c r="I57" t="s">
        <v>2720</v>
      </c>
      <c r="J57" t="s">
        <v>728</v>
      </c>
      <c r="K57" t="s">
        <v>102</v>
      </c>
      <c r="L57" t="s">
        <v>124</v>
      </c>
      <c r="M57" t="s">
        <v>146</v>
      </c>
      <c r="O57" t="str">
        <f t="shared" si="0"/>
        <v>Cyril Grayson</v>
      </c>
      <c r="P57" t="str">
        <f>IFERROR(VLOOKUP(O:O,'Name Bridge'!A:B,2,FALSE),O:O)</f>
        <v>Cyril Grayson</v>
      </c>
      <c r="Q57" s="10">
        <f>VLOOKUP($K57,'CY Defensive Stats Query'!$AC:$AH,2,FALSE)</f>
        <v>5.9890109890109891</v>
      </c>
      <c r="R57" s="10">
        <f>VLOOKUP($K57,'CY Defensive Stats Query'!$AC:$AH,4,FALSE)</f>
        <v>3.8190476190476192</v>
      </c>
      <c r="S57" s="10">
        <f>VLOOKUP($K57,'CY Defensive Stats Query'!$AC:$AH,6,FALSE)</f>
        <v>8.515625</v>
      </c>
      <c r="T57" s="10">
        <f>IFERROR(VLOOKUP($P57,'CYPassing Query'!$B:$AE,9,FALSE)/VLOOKUP($P57,'CYPassing Query'!$B:$AE,5,FALSE),0)</f>
        <v>0</v>
      </c>
      <c r="U57" s="10">
        <f>IFERROR(VLOOKUP($P57,'CYPassing Query'!$B:$AE,11,FALSE)/VLOOKUP($P57,'CYPassing Query'!$B:$AE,5,FALSE),0)</f>
        <v>0</v>
      </c>
      <c r="V57" s="10">
        <f>IFERROR(VLOOKUP($P57,'CYPassing Query'!$B:$AE,18,FALSE),0)</f>
        <v>0</v>
      </c>
      <c r="W57" s="10">
        <f>IFERROR(VLOOKUP($P57,'CYPassing Query'!$B:$AE,12,FALSE)/VLOOKUP($P57,'CYPassing Query'!$B:$AE,5,FALSE),0)</f>
        <v>0</v>
      </c>
      <c r="X57" s="10">
        <f>IFERROR(IF(OR($B57="D",$B57="K"),0,VLOOKUP($P57,'CY Receving Query'!$B:$S,7,FALSE)/VLOOKUP($P57,'CY Receving Query'!$B:$S,5,FALSE)),0)*$AJ57</f>
        <v>0</v>
      </c>
      <c r="Y57" s="10">
        <f>IFERROR(VLOOKUP($P57,'CY Receving Query'!$B:$S,8,FALSE)/VLOOKUP($P57,'CY Receving Query'!$B:$S,5,FALSE),0)</f>
        <v>2</v>
      </c>
      <c r="Z57" s="10">
        <f>IFERROR(VLOOKUP($P57,'CY Receving Query'!$B:$S,10,FALSE)/VLOOKUP($P57,'CY Receving Query'!$B:$S,5,FALSE),0)</f>
        <v>42.4</v>
      </c>
      <c r="AA57" s="10">
        <f>IFERROR(VLOOKUP($P57,'CY Receving Query'!$B:$S,11,FALSE),0)</f>
        <v>21.2</v>
      </c>
      <c r="AB57" s="10">
        <f>IFERROR(AVERAGE(VLOOKUP($P57,'PY Receiving'!$C:$T,14,FALSE),VLOOKUP($P57,'CY Receiving'!$C:$T,14,FALSE)),0)</f>
        <v>0</v>
      </c>
      <c r="AC57" s="10">
        <f>IFERROR(VLOOKUP($P57,'CY Receving Query'!$B:$S,11,FALSE)/VLOOKUP($P57,'CY Receving Query'!$B:$S,5,FALSE),0)</f>
        <v>4.24</v>
      </c>
      <c r="AD57" s="10">
        <f>IFERROR(VLOOKUP($P57,'CY Rushing Query'!$B:$O,7,FALSE)/VLOOKUP($P57,'CY Rushing Query'!$B:$O,5,FALSE),0)</f>
        <v>0.2</v>
      </c>
      <c r="AE57" s="10">
        <f>IFERROR(AVERAGE(VLOOKUP($P57,'PY Rushing'!$C:$P,8,FALSE)/VLOOKUP($P57,'PY Rushing'!$C:$P,5,FALSE),VLOOKUP($P57,'CY Rushing'!$C:$P,8,FALSE)/VLOOKUP($P57,'CY Rushing'!$C:$P,5,FALSE)),0)</f>
        <v>0</v>
      </c>
      <c r="AF57" s="10">
        <f>IFERROR(VLOOKUP($P57,'CY Rushing Query'!$B:$P,12,FALSE),0)</f>
        <v>14</v>
      </c>
      <c r="AG57" s="10">
        <f>IFERROR(VLOOKUP($P57,'CY Rushing Query'!$B:$P,9,FALSE)/VLOOKUP($P57,'CY Rushing Query'!$B:$P,5,FALSE),0)</f>
        <v>0</v>
      </c>
      <c r="AH57" s="10">
        <f>VLOOKUP($J57,'Vegas Odds'!$B:$S,18,FALSE)</f>
        <v>34.555825588251061</v>
      </c>
      <c r="AI57" s="10">
        <f>VLOOKUP($J57,'Vegas Odds'!$B:$S,17,FALSE)</f>
        <v>27.844174411748938</v>
      </c>
      <c r="AJ57">
        <f t="shared" si="13"/>
        <v>0</v>
      </c>
      <c r="AK57" s="10">
        <f t="shared" si="1"/>
        <v>0</v>
      </c>
      <c r="AL57" s="10">
        <f t="shared" si="2"/>
        <v>0</v>
      </c>
      <c r="AM57" s="10">
        <f>V57/'CY Defensive Stats Query'!$AD$34*'Fanduel Export'!Q57</f>
        <v>0</v>
      </c>
      <c r="AN57" s="10">
        <f t="shared" si="19"/>
        <v>0</v>
      </c>
      <c r="AO57" s="10">
        <f>IFERROR(IF(OR($B57="D",$B57="K"),0,VLOOKUP($P57,'CY Receving Query'!$B:$S,7,FALSE)/VLOOKUP($P57,'CY Receving Query'!$B:$S,5,FALSE)),0)*$AJ57</f>
        <v>0</v>
      </c>
      <c r="AP57" s="10">
        <f t="shared" si="3"/>
        <v>25.587418300653596</v>
      </c>
      <c r="AQ57" s="10">
        <f t="shared" si="4"/>
        <v>0</v>
      </c>
      <c r="AR57" s="16">
        <f t="shared" si="14"/>
        <v>0</v>
      </c>
      <c r="AS57" s="16">
        <f t="shared" si="5"/>
        <v>0</v>
      </c>
      <c r="AT57" s="16">
        <f>AA57/'CY Defensive Stats Query'!$AH$34
*'Fanduel Export'!S57</f>
        <v>17.170661289015897</v>
      </c>
      <c r="AU57" s="10">
        <f t="shared" si="20"/>
        <v>0</v>
      </c>
      <c r="AV57" s="10">
        <f t="shared" si="15"/>
        <v>0</v>
      </c>
      <c r="AW57" s="10">
        <f t="shared" si="7"/>
        <v>12.022058823529411</v>
      </c>
      <c r="AX57" s="10">
        <f t="shared" si="16"/>
        <v>0</v>
      </c>
      <c r="AY57" s="10">
        <f>AF57/'CY Defensive Stats Query'!$AF$34
*R57</f>
        <v>12.928777371175837</v>
      </c>
      <c r="AZ57" s="10">
        <f t="shared" si="21"/>
        <v>0</v>
      </c>
      <c r="BA57" s="16">
        <f t="shared" si="17"/>
        <v>0</v>
      </c>
      <c r="BB57" s="16">
        <f t="shared" si="8"/>
        <v>0</v>
      </c>
      <c r="BC57" s="10">
        <f t="shared" si="9"/>
        <v>0</v>
      </c>
      <c r="BD57" s="10">
        <f>IF(B57="QB",COUNTIFS($B$5:B57,B57,$J$5:J57,J57),1)</f>
        <v>1</v>
      </c>
      <c r="BE57" t="str">
        <f t="shared" si="10"/>
        <v>Cyril Grayson</v>
      </c>
      <c r="BF57">
        <f t="shared" si="11"/>
        <v>5300</v>
      </c>
      <c r="BG57" t="str">
        <f t="shared" si="12"/>
        <v>WR</v>
      </c>
      <c r="BH57" s="16">
        <f t="shared" si="18"/>
        <v>0</v>
      </c>
    </row>
    <row r="58" spans="1:60" x14ac:dyDescent="0.2">
      <c r="A58" t="s">
        <v>2806</v>
      </c>
      <c r="B58" t="s">
        <v>83</v>
      </c>
      <c r="C58" t="s">
        <v>2675</v>
      </c>
      <c r="D58" t="s">
        <v>439</v>
      </c>
      <c r="E58" t="s">
        <v>2268</v>
      </c>
      <c r="F58">
        <v>5.3999997652493903</v>
      </c>
      <c r="G58">
        <v>13</v>
      </c>
      <c r="H58">
        <v>5200</v>
      </c>
      <c r="I58" t="s">
        <v>2718</v>
      </c>
      <c r="J58" t="s">
        <v>138</v>
      </c>
      <c r="K58" t="s">
        <v>729</v>
      </c>
      <c r="O58" t="str">
        <f t="shared" si="0"/>
        <v>Jauan Jennings</v>
      </c>
      <c r="P58" t="str">
        <f>IFERROR(VLOOKUP(O:O,'Name Bridge'!A:B,2,FALSE),O:O)</f>
        <v>Jauan Jennings</v>
      </c>
      <c r="Q58" s="10">
        <f>VLOOKUP($K58,'CY Defensive Stats Query'!$AC:$AH,2,FALSE)</f>
        <v>7.6538461538461542</v>
      </c>
      <c r="R58" s="10">
        <f>VLOOKUP($K58,'CY Defensive Stats Query'!$AC:$AH,4,FALSE)</f>
        <v>4.6888888888888891</v>
      </c>
      <c r="S58" s="10">
        <f>VLOOKUP($K58,'CY Defensive Stats Query'!$AC:$AH,6,FALSE)</f>
        <v>11.306818181818182</v>
      </c>
      <c r="T58" s="10">
        <f>IFERROR(VLOOKUP($P58,'CYPassing Query'!$B:$AE,9,FALSE)/VLOOKUP($P58,'CYPassing Query'!$B:$AE,5,FALSE),0)</f>
        <v>0</v>
      </c>
      <c r="U58" s="10">
        <f>IFERROR(VLOOKUP($P58,'CYPassing Query'!$B:$AE,11,FALSE)/VLOOKUP($P58,'CYPassing Query'!$B:$AE,5,FALSE),0)</f>
        <v>0</v>
      </c>
      <c r="V58" s="10">
        <f>IFERROR(VLOOKUP($P58,'CYPassing Query'!$B:$AE,18,FALSE),0)</f>
        <v>0</v>
      </c>
      <c r="W58" s="10">
        <f>IFERROR(VLOOKUP($P58,'CYPassing Query'!$B:$AE,12,FALSE)/VLOOKUP($P58,'CYPassing Query'!$B:$AE,5,FALSE),0)</f>
        <v>0</v>
      </c>
      <c r="X58" s="10">
        <f>IFERROR(IF(OR($B58="D",$B58="K"),0,VLOOKUP($P58,'CY Receving Query'!$B:$S,7,FALSE)/VLOOKUP($P58,'CY Receving Query'!$B:$S,5,FALSE)),0)*$AJ58</f>
        <v>2.375</v>
      </c>
      <c r="Y58" s="10">
        <f>IFERROR(VLOOKUP($P58,'CY Receving Query'!$B:$S,8,FALSE)/VLOOKUP($P58,'CY Receving Query'!$B:$S,5,FALSE),0)</f>
        <v>1.5</v>
      </c>
      <c r="Z58" s="10">
        <f>IFERROR(VLOOKUP($P58,'CY Receving Query'!$B:$S,10,FALSE)/VLOOKUP($P58,'CY Receving Query'!$B:$S,5,FALSE),0)</f>
        <v>17.625</v>
      </c>
      <c r="AA58" s="10">
        <f>IFERROR(VLOOKUP($P58,'CY Receving Query'!$B:$S,11,FALSE),0)</f>
        <v>11.8</v>
      </c>
      <c r="AB58" s="10">
        <f>IFERROR(AVERAGE(VLOOKUP($P58,'PY Receiving'!$C:$T,14,FALSE),VLOOKUP($P58,'CY Receiving'!$C:$T,14,FALSE)),0)</f>
        <v>0</v>
      </c>
      <c r="AC58" s="10">
        <f>IFERROR(VLOOKUP($P58,'CY Receving Query'!$B:$S,11,FALSE)/VLOOKUP($P58,'CY Receving Query'!$B:$S,5,FALSE),0)</f>
        <v>0.73750000000000004</v>
      </c>
      <c r="AD58" s="10">
        <f>IFERROR(VLOOKUP($P58,'CY Rushing Query'!$B:$O,7,FALSE)/VLOOKUP($P58,'CY Rushing Query'!$B:$O,5,FALSE),0)</f>
        <v>0</v>
      </c>
      <c r="AE58" s="10">
        <f>IFERROR(AVERAGE(VLOOKUP($P58,'PY Rushing'!$C:$P,8,FALSE)/VLOOKUP($P58,'PY Rushing'!$C:$P,5,FALSE),VLOOKUP($P58,'CY Rushing'!$C:$P,8,FALSE)/VLOOKUP($P58,'CY Rushing'!$C:$P,5,FALSE)),0)</f>
        <v>0</v>
      </c>
      <c r="AF58" s="10">
        <f>IFERROR(VLOOKUP($P58,'CY Rushing Query'!$B:$P,12,FALSE),0)</f>
        <v>0</v>
      </c>
      <c r="AG58" s="10">
        <f>IFERROR(VLOOKUP($P58,'CY Rushing Query'!$B:$P,9,FALSE)/VLOOKUP($P58,'CY Rushing Query'!$B:$P,5,FALSE),0)</f>
        <v>0</v>
      </c>
      <c r="AH58" s="10">
        <f>VLOOKUP($J58,'Vegas Odds'!$B:$S,18,FALSE)</f>
        <v>32.679248170039784</v>
      </c>
      <c r="AI58" s="10">
        <f>VLOOKUP($J58,'Vegas Odds'!$B:$S,17,FALSE)</f>
        <v>32.620751829960213</v>
      </c>
      <c r="AJ58">
        <f t="shared" si="13"/>
        <v>1</v>
      </c>
      <c r="AK58" s="10">
        <f t="shared" si="1"/>
        <v>0</v>
      </c>
      <c r="AL58" s="10">
        <f t="shared" si="2"/>
        <v>0</v>
      </c>
      <c r="AM58" s="10">
        <f>V58/'CY Defensive Stats Query'!$AD$34*'Fanduel Export'!Q58</f>
        <v>0</v>
      </c>
      <c r="AN58" s="10">
        <f t="shared" si="19"/>
        <v>0</v>
      </c>
      <c r="AO58" s="10">
        <f>IFERROR(IF(OR($B58="D",$B58="K"),0,VLOOKUP($P58,'CY Receving Query'!$B:$S,7,FALSE)/VLOOKUP($P58,'CY Receving Query'!$B:$S,5,FALSE)),0)*$AJ58</f>
        <v>2.375</v>
      </c>
      <c r="AP58" s="10">
        <f t="shared" si="3"/>
        <v>29.704370384517439</v>
      </c>
      <c r="AQ58" s="10">
        <f t="shared" si="4"/>
        <v>2.6128550579984076</v>
      </c>
      <c r="AR58" s="16">
        <f t="shared" si="14"/>
        <v>1.5</v>
      </c>
      <c r="AS58" s="16">
        <f t="shared" si="5"/>
        <v>1.6502242471568889</v>
      </c>
      <c r="AT58" s="16">
        <f>AA58/'CY Defensive Stats Query'!$AH$34
*'Fanduel Export'!S58</f>
        <v>12.68986634738607</v>
      </c>
      <c r="AU58" s="10">
        <f t="shared" si="20"/>
        <v>20.941125139636718</v>
      </c>
      <c r="AV58" s="10">
        <f t="shared" si="15"/>
        <v>0</v>
      </c>
      <c r="AW58" s="10">
        <f t="shared" si="7"/>
        <v>40.335297300738475</v>
      </c>
      <c r="AX58" s="10">
        <f t="shared" si="16"/>
        <v>0</v>
      </c>
      <c r="AY58" s="10">
        <f>AF58/'CY Defensive Stats Query'!$AF$34
*R58</f>
        <v>0</v>
      </c>
      <c r="AZ58" s="10">
        <f t="shared" si="21"/>
        <v>0</v>
      </c>
      <c r="BA58" s="16">
        <f t="shared" si="17"/>
        <v>2.8441125139636716</v>
      </c>
      <c r="BB58" s="16">
        <f t="shared" si="8"/>
        <v>0.54694471422378299</v>
      </c>
      <c r="BC58" s="10">
        <f t="shared" si="9"/>
        <v>0.45673076923076922</v>
      </c>
      <c r="BD58" s="10">
        <f>IF(B58="QB",COUNTIFS($B$5:B58,B58,$J$5:J58,J58),1)</f>
        <v>1</v>
      </c>
      <c r="BE58" t="str">
        <f t="shared" si="10"/>
        <v>Jauan Jennings</v>
      </c>
      <c r="BF58">
        <f t="shared" si="11"/>
        <v>5200</v>
      </c>
      <c r="BG58" t="str">
        <f t="shared" si="12"/>
        <v>WR</v>
      </c>
      <c r="BH58" s="16">
        <f t="shared" si="18"/>
        <v>2.8441125139636716</v>
      </c>
    </row>
    <row r="59" spans="1:60" x14ac:dyDescent="0.2">
      <c r="A59" t="s">
        <v>2807</v>
      </c>
      <c r="B59" t="s">
        <v>68</v>
      </c>
      <c r="C59" t="s">
        <v>2260</v>
      </c>
      <c r="D59" t="s">
        <v>526</v>
      </c>
      <c r="E59" t="s">
        <v>2386</v>
      </c>
      <c r="F59">
        <v>8.7857142857142794</v>
      </c>
      <c r="G59">
        <v>7</v>
      </c>
      <c r="H59">
        <v>5200</v>
      </c>
      <c r="I59" t="s">
        <v>2720</v>
      </c>
      <c r="J59" t="s">
        <v>102</v>
      </c>
      <c r="K59" t="s">
        <v>728</v>
      </c>
      <c r="O59" t="str">
        <f t="shared" si="0"/>
        <v>Jordan Howard</v>
      </c>
      <c r="P59" t="str">
        <f>IFERROR(VLOOKUP(O:O,'Name Bridge'!A:B,2,FALSE),O:O)</f>
        <v>Jordan Howard</v>
      </c>
      <c r="Q59" s="10">
        <f>VLOOKUP($K59,'CY Defensive Stats Query'!$AC:$AH,2,FALSE)</f>
        <v>7.0486111111111107</v>
      </c>
      <c r="R59" s="10">
        <f>VLOOKUP($K59,'CY Defensive Stats Query'!$AC:$AH,4,FALSE)</f>
        <v>3.0806451612903225</v>
      </c>
      <c r="S59" s="10">
        <f>VLOOKUP($K59,'CY Defensive Stats Query'!$AC:$AH,6,FALSE)</f>
        <v>9.759615384615385</v>
      </c>
      <c r="T59" s="10">
        <f>IFERROR(VLOOKUP($P59,'CYPassing Query'!$B:$AE,9,FALSE)/VLOOKUP($P59,'CYPassing Query'!$B:$AE,5,FALSE),0)</f>
        <v>0</v>
      </c>
      <c r="U59" s="10">
        <f>IFERROR(VLOOKUP($P59,'CYPassing Query'!$B:$AE,11,FALSE)/VLOOKUP($P59,'CYPassing Query'!$B:$AE,5,FALSE),0)</f>
        <v>0</v>
      </c>
      <c r="V59" s="10">
        <f>IFERROR(VLOOKUP($P59,'CYPassing Query'!$B:$AE,18,FALSE),0)</f>
        <v>0</v>
      </c>
      <c r="W59" s="10">
        <f>IFERROR(VLOOKUP($P59,'CYPassing Query'!$B:$AE,12,FALSE)/VLOOKUP($P59,'CYPassing Query'!$B:$AE,5,FALSE),0)</f>
        <v>0</v>
      </c>
      <c r="X59" s="10">
        <f>IFERROR(IF(OR($B59="D",$B59="K"),0,VLOOKUP($P59,'CY Receving Query'!$B:$S,7,FALSE)/VLOOKUP($P59,'CY Receving Query'!$B:$S,5,FALSE)),0)*$AJ59</f>
        <v>0.7142857142857143</v>
      </c>
      <c r="Y59" s="10">
        <f>IFERROR(VLOOKUP($P59,'CY Receving Query'!$B:$S,8,FALSE)/VLOOKUP($P59,'CY Receving Query'!$B:$S,5,FALSE),0)</f>
        <v>0.2857142857142857</v>
      </c>
      <c r="Z59" s="10">
        <f>IFERROR(VLOOKUP($P59,'CY Receving Query'!$B:$S,10,FALSE)/VLOOKUP($P59,'CY Receving Query'!$B:$S,5,FALSE),0)</f>
        <v>2.7142857142857144</v>
      </c>
      <c r="AA59" s="10">
        <f>IFERROR(VLOOKUP($P59,'CY Receving Query'!$B:$S,11,FALSE),0)</f>
        <v>9.5</v>
      </c>
      <c r="AB59" s="10">
        <f>IFERROR(AVERAGE(VLOOKUP($P59,'PY Receiving'!$C:$T,14,FALSE),VLOOKUP($P59,'CY Receiving'!$C:$T,14,FALSE)),0)</f>
        <v>0</v>
      </c>
      <c r="AC59" s="10">
        <f>IFERROR(VLOOKUP($P59,'CY Receving Query'!$B:$S,11,FALSE)/VLOOKUP($P59,'CY Receving Query'!$B:$S,5,FALSE),0)</f>
        <v>1.3571428571428572</v>
      </c>
      <c r="AD59" s="10">
        <f>IFERROR(VLOOKUP($P59,'CY Rushing Query'!$B:$O,7,FALSE)/VLOOKUP($P59,'CY Rushing Query'!$B:$O,5,FALSE),0)</f>
        <v>12.285714285714286</v>
      </c>
      <c r="AE59" s="10">
        <f>IFERROR(AVERAGE(VLOOKUP($P59,'PY Rushing'!$C:$P,8,FALSE)/VLOOKUP($P59,'PY Rushing'!$C:$P,5,FALSE),VLOOKUP($P59,'CY Rushing'!$C:$P,8,FALSE)/VLOOKUP($P59,'CY Rushing'!$C:$P,5,FALSE)),0)</f>
        <v>0</v>
      </c>
      <c r="AF59" s="10">
        <f>IFERROR(VLOOKUP($P59,'CY Rushing Query'!$B:$P,12,FALSE),0)</f>
        <v>4.7</v>
      </c>
      <c r="AG59" s="10">
        <f>IFERROR(VLOOKUP($P59,'CY Rushing Query'!$B:$P,9,FALSE)/VLOOKUP($P59,'CY Rushing Query'!$B:$P,5,FALSE),0)</f>
        <v>0.42857142857142855</v>
      </c>
      <c r="AH59" s="10">
        <f>VLOOKUP($J59,'Vegas Odds'!$B:$S,18,FALSE)</f>
        <v>44.85966247691475</v>
      </c>
      <c r="AI59" s="10">
        <f>VLOOKUP($J59,'Vegas Odds'!$B:$S,17,FALSE)</f>
        <v>17.740337523085255</v>
      </c>
      <c r="AJ59">
        <f t="shared" si="13"/>
        <v>1</v>
      </c>
      <c r="AK59" s="10">
        <f t="shared" si="1"/>
        <v>0</v>
      </c>
      <c r="AL59" s="10">
        <f t="shared" si="2"/>
        <v>0</v>
      </c>
      <c r="AM59" s="10">
        <f>V59/'CY Defensive Stats Query'!$AD$34*'Fanduel Export'!Q59</f>
        <v>0</v>
      </c>
      <c r="AN59" s="10">
        <f t="shared" si="19"/>
        <v>0</v>
      </c>
      <c r="AO59" s="10">
        <f>IFERROR(IF(OR($B59="D",$B59="K"),0,VLOOKUP($P59,'CY Receving Query'!$B:$S,7,FALSE)/VLOOKUP($P59,'CY Receving Query'!$B:$S,5,FALSE)),0)*$AJ59</f>
        <v>0.7142857142857143</v>
      </c>
      <c r="AP59" s="10">
        <f t="shared" si="3"/>
        <v>28.54982492997199</v>
      </c>
      <c r="AQ59" s="10">
        <f t="shared" si="4"/>
        <v>1.1223401941530065</v>
      </c>
      <c r="AR59" s="16">
        <f t="shared" si="14"/>
        <v>0.2857142857142857</v>
      </c>
      <c r="AS59" s="16">
        <f t="shared" si="5"/>
        <v>0.44893607766120253</v>
      </c>
      <c r="AT59" s="16">
        <f>AA59/'CY Defensive Stats Query'!$AH$34
*'Fanduel Export'!S59</f>
        <v>8.8184232688957955</v>
      </c>
      <c r="AU59" s="10">
        <f t="shared" si="20"/>
        <v>3.9589083534943583</v>
      </c>
      <c r="AV59" s="10">
        <f t="shared" si="15"/>
        <v>12.285714285714286</v>
      </c>
      <c r="AW59" s="10">
        <f t="shared" si="7"/>
        <v>56.303606442577035</v>
      </c>
      <c r="AX59" s="10">
        <f t="shared" si="16"/>
        <v>3.8710258882447879</v>
      </c>
      <c r="AY59" s="10">
        <f>AF59/'CY Defensive Stats Query'!$AF$34
*R59</f>
        <v>3.5011755227167609</v>
      </c>
      <c r="AZ59" s="10">
        <f t="shared" si="21"/>
        <v>13.553141087725558</v>
      </c>
      <c r="BA59" s="16">
        <f t="shared" si="17"/>
        <v>1.8940620869791345</v>
      </c>
      <c r="BB59" s="16">
        <f t="shared" si="8"/>
        <v>0.36424270903444894</v>
      </c>
      <c r="BC59" s="10">
        <f t="shared" si="9"/>
        <v>0.13736263736263737</v>
      </c>
      <c r="BD59" s="10">
        <f>IF(B59="QB",COUNTIFS($B$5:B59,B59,$J$5:J59,J59),1)</f>
        <v>1</v>
      </c>
      <c r="BE59" t="str">
        <f t="shared" si="10"/>
        <v>Jordan Howard</v>
      </c>
      <c r="BF59">
        <f t="shared" si="11"/>
        <v>5200</v>
      </c>
      <c r="BG59" t="str">
        <f t="shared" si="12"/>
        <v>RB</v>
      </c>
      <c r="BH59" s="16">
        <f t="shared" si="18"/>
        <v>1.8940620869791345</v>
      </c>
    </row>
    <row r="60" spans="1:60" x14ac:dyDescent="0.2">
      <c r="A60" t="s">
        <v>2808</v>
      </c>
      <c r="B60" t="s">
        <v>68</v>
      </c>
      <c r="C60" t="s">
        <v>2809</v>
      </c>
      <c r="D60" t="s">
        <v>378</v>
      </c>
      <c r="E60" t="s">
        <v>2810</v>
      </c>
      <c r="F60">
        <v>3.6749999523162802</v>
      </c>
      <c r="G60">
        <v>8</v>
      </c>
      <c r="H60">
        <v>5200</v>
      </c>
      <c r="I60" t="s">
        <v>2716</v>
      </c>
      <c r="J60" t="s">
        <v>81</v>
      </c>
      <c r="K60" t="s">
        <v>99</v>
      </c>
      <c r="O60" t="str">
        <f t="shared" si="0"/>
        <v>Jerick McKinnon</v>
      </c>
      <c r="P60" t="str">
        <f>IFERROR(VLOOKUP(O:O,'Name Bridge'!A:B,2,FALSE),O:O)</f>
        <v>Jerick McKinnon</v>
      </c>
      <c r="Q60" s="10">
        <f>VLOOKUP($K60,'CY Defensive Stats Query'!$AC:$AH,2,FALSE)</f>
        <v>7.5377358490566042</v>
      </c>
      <c r="R60" s="10">
        <f>VLOOKUP($K60,'CY Defensive Stats Query'!$AC:$AH,4,FALSE)</f>
        <v>3.5810810810810811</v>
      </c>
      <c r="S60" s="10">
        <f>VLOOKUP($K60,'CY Defensive Stats Query'!$AC:$AH,6,FALSE)</f>
        <v>11.097222222222221</v>
      </c>
      <c r="T60" s="10">
        <f>IFERROR(VLOOKUP($P60,'CYPassing Query'!$B:$AE,9,FALSE)/VLOOKUP($P60,'CYPassing Query'!$B:$AE,5,FALSE),0)</f>
        <v>0</v>
      </c>
      <c r="U60" s="10">
        <f>IFERROR(VLOOKUP($P60,'CYPassing Query'!$B:$AE,11,FALSE)/VLOOKUP($P60,'CYPassing Query'!$B:$AE,5,FALSE),0)</f>
        <v>0</v>
      </c>
      <c r="V60" s="10">
        <f>IFERROR(VLOOKUP($P60,'CYPassing Query'!$B:$AE,18,FALSE),0)</f>
        <v>0</v>
      </c>
      <c r="W60" s="10">
        <f>IFERROR(VLOOKUP($P60,'CYPassing Query'!$B:$AE,12,FALSE)/VLOOKUP($P60,'CYPassing Query'!$B:$AE,5,FALSE),0)</f>
        <v>0</v>
      </c>
      <c r="X60" s="10">
        <f>IFERROR(IF(OR($B60="D",$B60="K"),0,VLOOKUP($P60,'CY Receving Query'!$B:$S,7,FALSE)/VLOOKUP($P60,'CY Receving Query'!$B:$S,5,FALSE)),0)*$AJ60</f>
        <v>1.5384615384615385</v>
      </c>
      <c r="Y60" s="10">
        <f>IFERROR(VLOOKUP($P60,'CY Receving Query'!$B:$S,8,FALSE)/VLOOKUP($P60,'CY Receving Query'!$B:$S,5,FALSE),0)</f>
        <v>1</v>
      </c>
      <c r="Z60" s="10">
        <f>IFERROR(VLOOKUP($P60,'CY Receving Query'!$B:$S,10,FALSE)/VLOOKUP($P60,'CY Receving Query'!$B:$S,5,FALSE),0)</f>
        <v>8.2307692307692299</v>
      </c>
      <c r="AA60" s="10">
        <f>IFERROR(VLOOKUP($P60,'CY Receving Query'!$B:$S,11,FALSE),0)</f>
        <v>8.1999999999999993</v>
      </c>
      <c r="AB60" s="10">
        <f>IFERROR(AVERAGE(VLOOKUP($P60,'PY Receiving'!$C:$T,14,FALSE),VLOOKUP($P60,'CY Receiving'!$C:$T,14,FALSE)),0)</f>
        <v>0</v>
      </c>
      <c r="AC60" s="10">
        <f>IFERROR(VLOOKUP($P60,'CY Receving Query'!$B:$S,11,FALSE)/VLOOKUP($P60,'CY Receving Query'!$B:$S,5,FALSE),0)</f>
        <v>0.63076923076923075</v>
      </c>
      <c r="AD60" s="10">
        <f>IFERROR(VLOOKUP($P60,'CY Rushing Query'!$B:$O,7,FALSE)/VLOOKUP($P60,'CY Rushing Query'!$B:$O,5,FALSE),0)</f>
        <v>0.92307692307692313</v>
      </c>
      <c r="AE60" s="10">
        <f>IFERROR(AVERAGE(VLOOKUP($P60,'PY Rushing'!$C:$P,8,FALSE)/VLOOKUP($P60,'PY Rushing'!$C:$P,5,FALSE),VLOOKUP($P60,'CY Rushing'!$C:$P,8,FALSE)/VLOOKUP($P60,'CY Rushing'!$C:$P,5,FALSE)),0)</f>
        <v>0</v>
      </c>
      <c r="AF60" s="10">
        <f>IFERROR(VLOOKUP($P60,'CY Rushing Query'!$B:$P,12,FALSE),0)</f>
        <v>5.2</v>
      </c>
      <c r="AG60" s="10">
        <f>IFERROR(VLOOKUP($P60,'CY Rushing Query'!$B:$P,9,FALSE)/VLOOKUP($P60,'CY Rushing Query'!$B:$P,5,FALSE),0)</f>
        <v>0</v>
      </c>
      <c r="AH60" s="10">
        <f>VLOOKUP($J60,'Vegas Odds'!$B:$S,18,FALSE)</f>
        <v>37.933262350936971</v>
      </c>
      <c r="AI60" s="10">
        <f>VLOOKUP($J60,'Vegas Odds'!$B:$S,17,FALSE)</f>
        <v>27.766737649063032</v>
      </c>
      <c r="AJ60">
        <f t="shared" si="13"/>
        <v>1</v>
      </c>
      <c r="AK60" s="10">
        <f t="shared" si="1"/>
        <v>0</v>
      </c>
      <c r="AL60" s="10">
        <f t="shared" si="2"/>
        <v>0</v>
      </c>
      <c r="AM60" s="10">
        <f>V60/'CY Defensive Stats Query'!$AD$34*'Fanduel Export'!Q60</f>
        <v>0</v>
      </c>
      <c r="AN60" s="10">
        <f t="shared" si="19"/>
        <v>0</v>
      </c>
      <c r="AO60" s="10">
        <f>IFERROR(IF(OR($B60="D",$B60="K"),0,VLOOKUP($P60,'CY Receving Query'!$B:$S,7,FALSE)/VLOOKUP($P60,'CY Receving Query'!$B:$S,5,FALSE)),0)*$AJ60</f>
        <v>1.5384615384615385</v>
      </c>
      <c r="AP60" s="10">
        <f t="shared" si="3"/>
        <v>37.365221788015901</v>
      </c>
      <c r="AQ60" s="10">
        <f t="shared" si="4"/>
        <v>1.5618498261933245</v>
      </c>
      <c r="AR60" s="16">
        <f t="shared" si="14"/>
        <v>1</v>
      </c>
      <c r="AS60" s="16">
        <f t="shared" si="5"/>
        <v>1.0152023870256608</v>
      </c>
      <c r="AT60" s="16">
        <f>AA60/'CY Defensive Stats Query'!$AH$34
*'Fanduel Export'!S60</f>
        <v>8.6549142102494052</v>
      </c>
      <c r="AU60" s="10">
        <f t="shared" si="20"/>
        <v>8.7864895657475088</v>
      </c>
      <c r="AV60" s="10">
        <f t="shared" si="15"/>
        <v>0.92307692307692313</v>
      </c>
      <c r="AW60" s="10">
        <f t="shared" si="7"/>
        <v>19.787381735911151</v>
      </c>
      <c r="AX60" s="10">
        <f t="shared" si="16"/>
        <v>1.2953120880295705</v>
      </c>
      <c r="AY60" s="10">
        <f>AF60/'CY Defensive Stats Query'!$AF$34
*R60</f>
        <v>4.5028952662634723</v>
      </c>
      <c r="AZ60" s="10">
        <f t="shared" si="21"/>
        <v>5.8326546695222072</v>
      </c>
      <c r="BA60" s="16">
        <f t="shared" si="17"/>
        <v>1.9619144235269714</v>
      </c>
      <c r="BB60" s="16">
        <f t="shared" si="8"/>
        <v>0.37729123529364833</v>
      </c>
      <c r="BC60" s="10">
        <f t="shared" si="9"/>
        <v>0.29585798816568049</v>
      </c>
      <c r="BD60" s="10">
        <f>IF(B60="QB",COUNTIFS($B$5:B60,B60,$J$5:J60,J60),1)</f>
        <v>1</v>
      </c>
      <c r="BE60" t="str">
        <f t="shared" si="10"/>
        <v>Jerick McKinnon</v>
      </c>
      <c r="BF60">
        <f t="shared" si="11"/>
        <v>5200</v>
      </c>
      <c r="BG60" t="str">
        <f t="shared" si="12"/>
        <v>RB</v>
      </c>
      <c r="BH60" s="16">
        <f t="shared" si="18"/>
        <v>1.9619144235269714</v>
      </c>
    </row>
    <row r="61" spans="1:60" x14ac:dyDescent="0.2">
      <c r="A61" t="s">
        <v>2811</v>
      </c>
      <c r="B61" t="s">
        <v>83</v>
      </c>
      <c r="C61" t="s">
        <v>2370</v>
      </c>
      <c r="D61" t="s">
        <v>897</v>
      </c>
      <c r="E61" t="s">
        <v>294</v>
      </c>
      <c r="F61">
        <v>2.7666667302449501</v>
      </c>
      <c r="G61">
        <v>6</v>
      </c>
      <c r="H61">
        <v>5200</v>
      </c>
      <c r="I61" t="s">
        <v>2720</v>
      </c>
      <c r="J61" t="s">
        <v>728</v>
      </c>
      <c r="K61" t="s">
        <v>102</v>
      </c>
      <c r="O61" t="str">
        <f t="shared" si="0"/>
        <v>Scotty Miller</v>
      </c>
      <c r="P61" t="str">
        <f>IFERROR(VLOOKUP(O:O,'Name Bridge'!A:B,2,FALSE),O:O)</f>
        <v>Scott Miller</v>
      </c>
      <c r="Q61" s="10">
        <f>VLOOKUP($K61,'CY Defensive Stats Query'!$AC:$AH,2,FALSE)</f>
        <v>5.9890109890109891</v>
      </c>
      <c r="R61" s="10">
        <f>VLOOKUP($K61,'CY Defensive Stats Query'!$AC:$AH,4,FALSE)</f>
        <v>3.8190476190476192</v>
      </c>
      <c r="S61" s="10">
        <f>VLOOKUP($K61,'CY Defensive Stats Query'!$AC:$AH,6,FALSE)</f>
        <v>8.515625</v>
      </c>
      <c r="T61" s="10">
        <f>IFERROR(VLOOKUP($P61,'CYPassing Query'!$B:$AE,9,FALSE)/VLOOKUP($P61,'CYPassing Query'!$B:$AE,5,FALSE),0)</f>
        <v>0</v>
      </c>
      <c r="U61" s="10">
        <f>IFERROR(VLOOKUP($P61,'CYPassing Query'!$B:$AE,11,FALSE)/VLOOKUP($P61,'CYPassing Query'!$B:$AE,5,FALSE),0)</f>
        <v>0</v>
      </c>
      <c r="V61" s="10">
        <f>IFERROR(VLOOKUP($P61,'CYPassing Query'!$B:$AE,18,FALSE),0)</f>
        <v>0</v>
      </c>
      <c r="W61" s="10">
        <f>IFERROR(VLOOKUP($P61,'CYPassing Query'!$B:$AE,12,FALSE)/VLOOKUP($P61,'CYPassing Query'!$B:$AE,5,FALSE),0)</f>
        <v>0</v>
      </c>
      <c r="X61" s="10">
        <f>IFERROR(IF(OR($B61="D",$B61="K"),0,VLOOKUP($P61,'CY Receving Query'!$B:$S,7,FALSE)/VLOOKUP($P61,'CY Receving Query'!$B:$S,5,FALSE)),0)*$AJ61</f>
        <v>1</v>
      </c>
      <c r="Y61" s="10">
        <f>IFERROR(VLOOKUP($P61,'CY Receving Query'!$B:$S,8,FALSE)/VLOOKUP($P61,'CY Receving Query'!$B:$S,5,FALSE),0)</f>
        <v>0.55555555555555558</v>
      </c>
      <c r="Z61" s="10">
        <f>IFERROR(VLOOKUP($P61,'CY Receving Query'!$B:$S,10,FALSE)/VLOOKUP($P61,'CY Receving Query'!$B:$S,5,FALSE),0)</f>
        <v>4.2222222222222223</v>
      </c>
      <c r="AA61" s="10">
        <f>IFERROR(VLOOKUP($P61,'CY Receving Query'!$B:$S,11,FALSE),0)</f>
        <v>7.6</v>
      </c>
      <c r="AB61" s="10">
        <f>IFERROR(AVERAGE(VLOOKUP($P61,'PY Receiving'!$C:$T,14,FALSE),VLOOKUP($P61,'CY Receiving'!$C:$T,14,FALSE)),0)</f>
        <v>0</v>
      </c>
      <c r="AC61" s="10">
        <f>IFERROR(VLOOKUP($P61,'CY Receving Query'!$B:$S,11,FALSE)/VLOOKUP($P61,'CY Receving Query'!$B:$S,5,FALSE),0)</f>
        <v>0.84444444444444444</v>
      </c>
      <c r="AD61" s="10">
        <f>IFERROR(VLOOKUP($P61,'CY Rushing Query'!$B:$O,7,FALSE)/VLOOKUP($P61,'CY Rushing Query'!$B:$O,5,FALSE),0)</f>
        <v>0.22222222222222221</v>
      </c>
      <c r="AE61" s="10">
        <f>IFERROR(AVERAGE(VLOOKUP($P61,'PY Rushing'!$C:$P,8,FALSE)/VLOOKUP($P61,'PY Rushing'!$C:$P,5,FALSE),VLOOKUP($P61,'CY Rushing'!$C:$P,8,FALSE)/VLOOKUP($P61,'CY Rushing'!$C:$P,5,FALSE)),0)</f>
        <v>0</v>
      </c>
      <c r="AF61" s="10">
        <f>IFERROR(VLOOKUP($P61,'CY Rushing Query'!$B:$P,12,FALSE),0)</f>
        <v>21.5</v>
      </c>
      <c r="AG61" s="10">
        <f>IFERROR(VLOOKUP($P61,'CY Rushing Query'!$B:$P,9,FALSE)/VLOOKUP($P61,'CY Rushing Query'!$B:$P,5,FALSE),0)</f>
        <v>0.1111111111111111</v>
      </c>
      <c r="AH61" s="10">
        <f>VLOOKUP($J61,'Vegas Odds'!$B:$S,18,FALSE)</f>
        <v>34.555825588251061</v>
      </c>
      <c r="AI61" s="10">
        <f>VLOOKUP($J61,'Vegas Odds'!$B:$S,17,FALSE)</f>
        <v>27.844174411748938</v>
      </c>
      <c r="AJ61">
        <f t="shared" si="13"/>
        <v>1</v>
      </c>
      <c r="AK61" s="10">
        <f t="shared" si="1"/>
        <v>0</v>
      </c>
      <c r="AL61" s="10">
        <f t="shared" si="2"/>
        <v>0</v>
      </c>
      <c r="AM61" s="10">
        <f>V61/'CY Defensive Stats Query'!$AD$34*'Fanduel Export'!Q61</f>
        <v>0</v>
      </c>
      <c r="AN61" s="10">
        <f t="shared" si="19"/>
        <v>0</v>
      </c>
      <c r="AO61" s="10">
        <f>IFERROR(IF(OR($B61="D",$B61="K"),0,VLOOKUP($P61,'CY Receving Query'!$B:$S,7,FALSE)/VLOOKUP($P61,'CY Receving Query'!$B:$S,5,FALSE)),0)*$AJ61</f>
        <v>1</v>
      </c>
      <c r="AP61" s="10">
        <f t="shared" si="3"/>
        <v>25.587418300653596</v>
      </c>
      <c r="AQ61" s="10">
        <f t="shared" si="4"/>
        <v>1.3505006711586991</v>
      </c>
      <c r="AR61" s="16">
        <f t="shared" si="14"/>
        <v>0.55555555555555558</v>
      </c>
      <c r="AS61" s="16">
        <f t="shared" si="5"/>
        <v>0.75027815064372172</v>
      </c>
      <c r="AT61" s="16">
        <f>AA61/'CY Defensive Stats Query'!$AH$34
*'Fanduel Export'!S61</f>
        <v>6.1555200847415472</v>
      </c>
      <c r="AU61" s="10">
        <f t="shared" si="20"/>
        <v>4.618352225430173</v>
      </c>
      <c r="AV61" s="10">
        <f t="shared" si="15"/>
        <v>0.22222222222222221</v>
      </c>
      <c r="AW61" s="10">
        <f t="shared" si="7"/>
        <v>12.022058823529411</v>
      </c>
      <c r="AX61" s="10">
        <f t="shared" si="16"/>
        <v>0.51468674413834259</v>
      </c>
      <c r="AY61" s="10">
        <f>AF61/'CY Defensive Stats Query'!$AF$34
*R61</f>
        <v>19.854908105734321</v>
      </c>
      <c r="AZ61" s="10">
        <f t="shared" si="21"/>
        <v>10.219058008106385</v>
      </c>
      <c r="BA61" s="16">
        <f t="shared" si="17"/>
        <v>1.7615188011314338</v>
      </c>
      <c r="BB61" s="16">
        <f t="shared" si="8"/>
        <v>0.3387536156021988</v>
      </c>
      <c r="BC61" s="10">
        <f t="shared" si="9"/>
        <v>0.19230769230769229</v>
      </c>
      <c r="BD61" s="10">
        <f>IF(B61="QB",COUNTIFS($B$5:B61,B61,$J$5:J61,J61),1)</f>
        <v>1</v>
      </c>
      <c r="BE61" t="str">
        <f t="shared" si="10"/>
        <v>Scotty Miller</v>
      </c>
      <c r="BF61">
        <f t="shared" si="11"/>
        <v>5200</v>
      </c>
      <c r="BG61" t="str">
        <f t="shared" si="12"/>
        <v>WR</v>
      </c>
      <c r="BH61" s="16">
        <f t="shared" si="18"/>
        <v>1.7615188011314338</v>
      </c>
    </row>
    <row r="62" spans="1:60" x14ac:dyDescent="0.2">
      <c r="A62" t="s">
        <v>2812</v>
      </c>
      <c r="B62" t="s">
        <v>83</v>
      </c>
      <c r="C62" t="s">
        <v>2604</v>
      </c>
      <c r="D62" t="s">
        <v>2060</v>
      </c>
      <c r="E62" t="s">
        <v>2605</v>
      </c>
      <c r="F62">
        <v>5.5799999237060502</v>
      </c>
      <c r="G62">
        <v>5</v>
      </c>
      <c r="H62">
        <v>5200</v>
      </c>
      <c r="I62" t="s">
        <v>2720</v>
      </c>
      <c r="J62" t="s">
        <v>728</v>
      </c>
      <c r="K62" t="s">
        <v>102</v>
      </c>
      <c r="O62" t="str">
        <f t="shared" si="0"/>
        <v>Breshad Perriman</v>
      </c>
      <c r="P62" t="str">
        <f>IFERROR(VLOOKUP(O:O,'Name Bridge'!A:B,2,FALSE),O:O)</f>
        <v>Breshad Perriman</v>
      </c>
      <c r="Q62" s="10">
        <f>VLOOKUP($K62,'CY Defensive Stats Query'!$AC:$AH,2,FALSE)</f>
        <v>5.9890109890109891</v>
      </c>
      <c r="R62" s="10">
        <f>VLOOKUP($K62,'CY Defensive Stats Query'!$AC:$AH,4,FALSE)</f>
        <v>3.8190476190476192</v>
      </c>
      <c r="S62" s="10">
        <f>VLOOKUP($K62,'CY Defensive Stats Query'!$AC:$AH,6,FALSE)</f>
        <v>8.515625</v>
      </c>
      <c r="T62" s="10">
        <f>IFERROR(VLOOKUP($P62,'CYPassing Query'!$B:$AE,9,FALSE)/VLOOKUP($P62,'CYPassing Query'!$B:$AE,5,FALSE),0)</f>
        <v>0</v>
      </c>
      <c r="U62" s="10">
        <f>IFERROR(VLOOKUP($P62,'CYPassing Query'!$B:$AE,11,FALSE)/VLOOKUP($P62,'CYPassing Query'!$B:$AE,5,FALSE),0)</f>
        <v>0</v>
      </c>
      <c r="V62" s="10">
        <f>IFERROR(VLOOKUP($P62,'CYPassing Query'!$B:$AE,18,FALSE),0)</f>
        <v>0</v>
      </c>
      <c r="W62" s="10">
        <f>IFERROR(VLOOKUP($P62,'CYPassing Query'!$B:$AE,12,FALSE)/VLOOKUP($P62,'CYPassing Query'!$B:$AE,5,FALSE),0)</f>
        <v>0</v>
      </c>
      <c r="X62" s="10">
        <f>IFERROR(IF(OR($B62="D",$B62="K"),0,VLOOKUP($P62,'CY Receving Query'!$B:$S,7,FALSE)/VLOOKUP($P62,'CY Receving Query'!$B:$S,5,FALSE)),0)*$AJ62</f>
        <v>3</v>
      </c>
      <c r="Y62" s="10">
        <f>IFERROR(VLOOKUP($P62,'CY Receving Query'!$B:$S,8,FALSE)/VLOOKUP($P62,'CY Receving Query'!$B:$S,5,FALSE),0)</f>
        <v>1.8333333333333333</v>
      </c>
      <c r="Z62" s="10">
        <f>IFERROR(VLOOKUP($P62,'CY Receving Query'!$B:$S,10,FALSE)/VLOOKUP($P62,'CY Receving Query'!$B:$S,5,FALSE),0)</f>
        <v>27.833333333333332</v>
      </c>
      <c r="AA62" s="10">
        <f>IFERROR(VLOOKUP($P62,'CY Receving Query'!$B:$S,11,FALSE),0)</f>
        <v>15.2</v>
      </c>
      <c r="AB62" s="10">
        <f>IFERROR(AVERAGE(VLOOKUP($P62,'PY Receiving'!$C:$T,14,FALSE),VLOOKUP($P62,'CY Receiving'!$C:$T,14,FALSE)),0)</f>
        <v>0</v>
      </c>
      <c r="AC62" s="10">
        <f>IFERROR(VLOOKUP($P62,'CY Receving Query'!$B:$S,11,FALSE)/VLOOKUP($P62,'CY Receving Query'!$B:$S,5,FALSE),0)</f>
        <v>2.5333333333333332</v>
      </c>
      <c r="AD62" s="10">
        <f>IFERROR(VLOOKUP($P62,'CY Rushing Query'!$B:$O,7,FALSE)/VLOOKUP($P62,'CY Rushing Query'!$B:$O,5,FALSE),0)</f>
        <v>0.16666666666666666</v>
      </c>
      <c r="AE62" s="10">
        <f>IFERROR(AVERAGE(VLOOKUP($P62,'PY Rushing'!$C:$P,8,FALSE)/VLOOKUP($P62,'PY Rushing'!$C:$P,5,FALSE),VLOOKUP($P62,'CY Rushing'!$C:$P,8,FALSE)/VLOOKUP($P62,'CY Rushing'!$C:$P,5,FALSE)),0)</f>
        <v>0</v>
      </c>
      <c r="AF62" s="10">
        <f>IFERROR(VLOOKUP($P62,'CY Rushing Query'!$B:$P,12,FALSE),0)</f>
        <v>-3</v>
      </c>
      <c r="AG62" s="10">
        <f>IFERROR(VLOOKUP($P62,'CY Rushing Query'!$B:$P,9,FALSE)/VLOOKUP($P62,'CY Rushing Query'!$B:$P,5,FALSE),0)</f>
        <v>0</v>
      </c>
      <c r="AH62" s="10">
        <f>VLOOKUP($J62,'Vegas Odds'!$B:$S,18,FALSE)</f>
        <v>34.555825588251061</v>
      </c>
      <c r="AI62" s="10">
        <f>VLOOKUP($J62,'Vegas Odds'!$B:$S,17,FALSE)</f>
        <v>27.844174411748938</v>
      </c>
      <c r="AJ62">
        <f t="shared" si="13"/>
        <v>1</v>
      </c>
      <c r="AK62" s="10">
        <f t="shared" si="1"/>
        <v>0</v>
      </c>
      <c r="AL62" s="10">
        <f t="shared" si="2"/>
        <v>0</v>
      </c>
      <c r="AM62" s="10">
        <f>V62/'CY Defensive Stats Query'!$AD$34*'Fanduel Export'!Q62</f>
        <v>0</v>
      </c>
      <c r="AN62" s="10">
        <f t="shared" si="19"/>
        <v>0</v>
      </c>
      <c r="AO62" s="10">
        <f>IFERROR(IF(OR($B62="D",$B62="K"),0,VLOOKUP($P62,'CY Receving Query'!$B:$S,7,FALSE)/VLOOKUP($P62,'CY Receving Query'!$B:$S,5,FALSE)),0)*$AJ62</f>
        <v>3</v>
      </c>
      <c r="AP62" s="10">
        <f t="shared" si="3"/>
        <v>25.587418300653596</v>
      </c>
      <c r="AQ62" s="10">
        <f t="shared" si="4"/>
        <v>4.0515020134760977</v>
      </c>
      <c r="AR62" s="16">
        <f t="shared" si="14"/>
        <v>1.8333333333333333</v>
      </c>
      <c r="AS62" s="16">
        <f t="shared" si="5"/>
        <v>2.4759178971242819</v>
      </c>
      <c r="AT62" s="16">
        <f>AA62/'CY Defensive Stats Query'!$AH$34
*'Fanduel Export'!S62</f>
        <v>12.311040169483094</v>
      </c>
      <c r="AU62" s="10">
        <f t="shared" si="20"/>
        <v>30.481124687839145</v>
      </c>
      <c r="AV62" s="10">
        <f t="shared" si="15"/>
        <v>0.16666666666666666</v>
      </c>
      <c r="AW62" s="10">
        <f t="shared" si="7"/>
        <v>12.022058823529411</v>
      </c>
      <c r="AX62" s="10">
        <f t="shared" si="16"/>
        <v>0.38601505810375697</v>
      </c>
      <c r="AY62" s="10">
        <f>AF62/'CY Defensive Stats Query'!$AF$34
*R62</f>
        <v>-2.7704522938233933</v>
      </c>
      <c r="AZ62" s="10">
        <f t="shared" si="21"/>
        <v>-1.069436303173924</v>
      </c>
      <c r="BA62" s="16">
        <f t="shared" si="17"/>
        <v>3.8578355051331887</v>
      </c>
      <c r="BB62" s="16">
        <f t="shared" si="8"/>
        <v>0.74189144329484391</v>
      </c>
      <c r="BC62" s="10">
        <f t="shared" si="9"/>
        <v>0.57692307692307687</v>
      </c>
      <c r="BD62" s="10">
        <f>IF(B62="QB",COUNTIFS($B$5:B62,B62,$J$5:J62,J62),1)</f>
        <v>1</v>
      </c>
      <c r="BE62" t="str">
        <f t="shared" si="10"/>
        <v>Breshad Perriman</v>
      </c>
      <c r="BF62">
        <f t="shared" si="11"/>
        <v>5200</v>
      </c>
      <c r="BG62" t="str">
        <f t="shared" si="12"/>
        <v>WR</v>
      </c>
      <c r="BH62" s="16">
        <f t="shared" si="18"/>
        <v>3.8578355051331887</v>
      </c>
    </row>
    <row r="63" spans="1:60" x14ac:dyDescent="0.2">
      <c r="A63" t="s">
        <v>2813</v>
      </c>
      <c r="B63" t="s">
        <v>83</v>
      </c>
      <c r="C63" t="s">
        <v>2211</v>
      </c>
      <c r="D63" t="s">
        <v>2126</v>
      </c>
      <c r="E63" t="s">
        <v>163</v>
      </c>
      <c r="F63">
        <v>3.6</v>
      </c>
      <c r="G63">
        <v>15</v>
      </c>
      <c r="H63">
        <v>5100</v>
      </c>
      <c r="I63" t="s">
        <v>2720</v>
      </c>
      <c r="J63" t="s">
        <v>728</v>
      </c>
      <c r="K63" t="s">
        <v>102</v>
      </c>
      <c r="O63" t="str">
        <f t="shared" si="0"/>
        <v>Tyler Johnson</v>
      </c>
      <c r="P63" t="str">
        <f>IFERROR(VLOOKUP(O:O,'Name Bridge'!A:B,2,FALSE),O:O)</f>
        <v>Tyler Johnson</v>
      </c>
      <c r="Q63" s="10">
        <f>VLOOKUP($K63,'CY Defensive Stats Query'!$AC:$AH,2,FALSE)</f>
        <v>5.9890109890109891</v>
      </c>
      <c r="R63" s="10">
        <f>VLOOKUP($K63,'CY Defensive Stats Query'!$AC:$AH,4,FALSE)</f>
        <v>3.8190476190476192</v>
      </c>
      <c r="S63" s="10">
        <f>VLOOKUP($K63,'CY Defensive Stats Query'!$AC:$AH,6,FALSE)</f>
        <v>8.515625</v>
      </c>
      <c r="T63" s="10">
        <f>IFERROR(VLOOKUP($P63,'CYPassing Query'!$B:$AE,9,FALSE)/VLOOKUP($P63,'CYPassing Query'!$B:$AE,5,FALSE),0)</f>
        <v>0</v>
      </c>
      <c r="U63" s="10">
        <f>IFERROR(VLOOKUP($P63,'CYPassing Query'!$B:$AE,11,FALSE)/VLOOKUP($P63,'CYPassing Query'!$B:$AE,5,FALSE),0)</f>
        <v>0</v>
      </c>
      <c r="V63" s="10">
        <f>IFERROR(VLOOKUP($P63,'CYPassing Query'!$B:$AE,18,FALSE),0)</f>
        <v>0</v>
      </c>
      <c r="W63" s="10">
        <f>IFERROR(VLOOKUP($P63,'CYPassing Query'!$B:$AE,12,FALSE)/VLOOKUP($P63,'CYPassing Query'!$B:$AE,5,FALSE),0)</f>
        <v>0</v>
      </c>
      <c r="X63" s="10">
        <f>IFERROR(IF(OR($B63="D",$B63="K"),0,VLOOKUP($P63,'CY Receving Query'!$B:$S,7,FALSE)/VLOOKUP($P63,'CY Receving Query'!$B:$S,5,FALSE)),0)*$AJ63</f>
        <v>3.2352941176470589</v>
      </c>
      <c r="Y63" s="10">
        <f>IFERROR(VLOOKUP($P63,'CY Receving Query'!$B:$S,8,FALSE)/VLOOKUP($P63,'CY Receving Query'!$B:$S,5,FALSE),0)</f>
        <v>2.1176470588235294</v>
      </c>
      <c r="Z63" s="10">
        <f>IFERROR(VLOOKUP($P63,'CY Receving Query'!$B:$S,10,FALSE)/VLOOKUP($P63,'CY Receving Query'!$B:$S,5,FALSE),0)</f>
        <v>21.176470588235293</v>
      </c>
      <c r="AA63" s="10">
        <f>IFERROR(VLOOKUP($P63,'CY Receving Query'!$B:$S,11,FALSE),0)</f>
        <v>10</v>
      </c>
      <c r="AB63" s="10">
        <f>IFERROR(AVERAGE(VLOOKUP($P63,'PY Receiving'!$C:$T,14,FALSE),VLOOKUP($P63,'CY Receiving'!$C:$T,14,FALSE)),0)</f>
        <v>0</v>
      </c>
      <c r="AC63" s="10">
        <f>IFERROR(VLOOKUP($P63,'CY Receving Query'!$B:$S,11,FALSE)/VLOOKUP($P63,'CY Receving Query'!$B:$S,5,FALSE),0)</f>
        <v>0.58823529411764708</v>
      </c>
      <c r="AD63" s="10">
        <f>IFERROR(VLOOKUP($P63,'CY Rushing Query'!$B:$O,7,FALSE)/VLOOKUP($P63,'CY Rushing Query'!$B:$O,5,FALSE),0)</f>
        <v>0</v>
      </c>
      <c r="AE63" s="10">
        <f>IFERROR(AVERAGE(VLOOKUP($P63,'PY Rushing'!$C:$P,8,FALSE)/VLOOKUP($P63,'PY Rushing'!$C:$P,5,FALSE),VLOOKUP($P63,'CY Rushing'!$C:$P,8,FALSE)/VLOOKUP($P63,'CY Rushing'!$C:$P,5,FALSE)),0)</f>
        <v>0</v>
      </c>
      <c r="AF63" s="10">
        <f>IFERROR(VLOOKUP($P63,'CY Rushing Query'!$B:$P,12,FALSE),0)</f>
        <v>0</v>
      </c>
      <c r="AG63" s="10">
        <f>IFERROR(VLOOKUP($P63,'CY Rushing Query'!$B:$P,9,FALSE)/VLOOKUP($P63,'CY Rushing Query'!$B:$P,5,FALSE),0)</f>
        <v>0</v>
      </c>
      <c r="AH63" s="10">
        <f>VLOOKUP($J63,'Vegas Odds'!$B:$S,18,FALSE)</f>
        <v>34.555825588251061</v>
      </c>
      <c r="AI63" s="10">
        <f>VLOOKUP($J63,'Vegas Odds'!$B:$S,17,FALSE)</f>
        <v>27.844174411748938</v>
      </c>
      <c r="AJ63">
        <f t="shared" si="13"/>
        <v>1</v>
      </c>
      <c r="AK63" s="10">
        <f t="shared" si="1"/>
        <v>0</v>
      </c>
      <c r="AL63" s="10">
        <f t="shared" si="2"/>
        <v>0</v>
      </c>
      <c r="AM63" s="10">
        <f>V63/'CY Defensive Stats Query'!$AD$34*'Fanduel Export'!Q63</f>
        <v>0</v>
      </c>
      <c r="AN63" s="10">
        <f t="shared" si="19"/>
        <v>0</v>
      </c>
      <c r="AO63" s="10">
        <f>IFERROR(IF(OR($B63="D",$B63="K"),0,VLOOKUP($P63,'CY Receving Query'!$B:$S,7,FALSE)/VLOOKUP($P63,'CY Receving Query'!$B:$S,5,FALSE)),0)*$AJ63</f>
        <v>3.2352941176470589</v>
      </c>
      <c r="AP63" s="10">
        <f t="shared" si="3"/>
        <v>25.587418300653596</v>
      </c>
      <c r="AQ63" s="10">
        <f t="shared" si="4"/>
        <v>4.369266877278144</v>
      </c>
      <c r="AR63" s="16">
        <f>Y63*AJ63</f>
        <v>2.1176470588235294</v>
      </c>
      <c r="AS63" s="16">
        <f t="shared" si="5"/>
        <v>2.8598837742184213</v>
      </c>
      <c r="AT63" s="16">
        <f>AA63/'CY Defensive Stats Query'!$AH$34
*'Fanduel Export'!S63</f>
        <v>8.0993685325546672</v>
      </c>
      <c r="AU63" s="10">
        <f t="shared" si="20"/>
        <v>23.163252647668358</v>
      </c>
      <c r="AV63" s="10">
        <f t="shared" si="15"/>
        <v>0</v>
      </c>
      <c r="AW63" s="10">
        <f t="shared" si="7"/>
        <v>12.022058823529411</v>
      </c>
      <c r="AX63" s="10">
        <f t="shared" si="16"/>
        <v>0</v>
      </c>
      <c r="AY63" s="10">
        <f>AF63/'CY Defensive Stats Query'!$AF$34
*R63</f>
        <v>0</v>
      </c>
      <c r="AZ63" s="10">
        <f t="shared" si="21"/>
        <v>0</v>
      </c>
      <c r="BA63" s="16">
        <f t="shared" si="17"/>
        <v>3.3751487941786005</v>
      </c>
      <c r="BB63" s="16">
        <f t="shared" si="8"/>
        <v>0.6617938812114903</v>
      </c>
      <c r="BC63" s="10">
        <f t="shared" si="9"/>
        <v>0.63437139561707045</v>
      </c>
      <c r="BD63" s="10">
        <f>IF(B63="QB",COUNTIFS($B$5:B63,B63,$J$5:J63,J63),1)</f>
        <v>1</v>
      </c>
      <c r="BE63" t="str">
        <f t="shared" si="10"/>
        <v>Tyler Johnson</v>
      </c>
      <c r="BF63">
        <f t="shared" si="11"/>
        <v>5100</v>
      </c>
      <c r="BG63" t="str">
        <f t="shared" si="12"/>
        <v>WR</v>
      </c>
      <c r="BH63" s="16">
        <f t="shared" si="18"/>
        <v>3.3751487941786005</v>
      </c>
    </row>
    <row r="64" spans="1:60" x14ac:dyDescent="0.2">
      <c r="A64" t="s">
        <v>2814</v>
      </c>
      <c r="B64" t="s">
        <v>83</v>
      </c>
      <c r="C64" t="s">
        <v>2815</v>
      </c>
      <c r="D64" t="s">
        <v>429</v>
      </c>
      <c r="E64" t="s">
        <v>2259</v>
      </c>
      <c r="F64">
        <v>5.5588235294117601</v>
      </c>
      <c r="G64">
        <v>17</v>
      </c>
      <c r="H64">
        <v>5100</v>
      </c>
      <c r="I64" t="s">
        <v>2720</v>
      </c>
      <c r="J64" t="s">
        <v>102</v>
      </c>
      <c r="K64" t="s">
        <v>728</v>
      </c>
      <c r="O64" t="str">
        <f t="shared" si="0"/>
        <v>Quez Watkins</v>
      </c>
      <c r="P64" t="str">
        <f>IFERROR(VLOOKUP(O:O,'Name Bridge'!A:B,2,FALSE),O:O)</f>
        <v>Quez Watkins</v>
      </c>
      <c r="Q64" s="10">
        <f>VLOOKUP($K64,'CY Defensive Stats Query'!$AC:$AH,2,FALSE)</f>
        <v>7.0486111111111107</v>
      </c>
      <c r="R64" s="10">
        <f>VLOOKUP($K64,'CY Defensive Stats Query'!$AC:$AH,4,FALSE)</f>
        <v>3.0806451612903225</v>
      </c>
      <c r="S64" s="10">
        <f>VLOOKUP($K64,'CY Defensive Stats Query'!$AC:$AH,6,FALSE)</f>
        <v>9.759615384615385</v>
      </c>
      <c r="T64" s="10">
        <f>IFERROR(VLOOKUP($P64,'CYPassing Query'!$B:$AE,9,FALSE)/VLOOKUP($P64,'CYPassing Query'!$B:$AE,5,FALSE),0)</f>
        <v>0</v>
      </c>
      <c r="U64" s="10">
        <f>IFERROR(VLOOKUP($P64,'CYPassing Query'!$B:$AE,11,FALSE)/VLOOKUP($P64,'CYPassing Query'!$B:$AE,5,FALSE),0)</f>
        <v>0</v>
      </c>
      <c r="V64" s="10">
        <f>IFERROR(VLOOKUP($P64,'CYPassing Query'!$B:$AE,18,FALSE),0)</f>
        <v>0</v>
      </c>
      <c r="W64" s="10">
        <f>IFERROR(VLOOKUP($P64,'CYPassing Query'!$B:$AE,12,FALSE)/VLOOKUP($P64,'CYPassing Query'!$B:$AE,5,FALSE),0)</f>
        <v>0</v>
      </c>
      <c r="X64" s="10">
        <f>IFERROR(IF(OR($B64="D",$B64="K"),0,VLOOKUP($P64,'CY Receving Query'!$B:$S,7,FALSE)/VLOOKUP($P64,'CY Receving Query'!$B:$S,5,FALSE)),0)*$AJ64</f>
        <v>3.6470588235294117</v>
      </c>
      <c r="Y64" s="10">
        <f>IFERROR(VLOOKUP($P64,'CY Receving Query'!$B:$S,8,FALSE)/VLOOKUP($P64,'CY Receving Query'!$B:$S,5,FALSE),0)</f>
        <v>2.5294117647058822</v>
      </c>
      <c r="Z64" s="10">
        <f>IFERROR(VLOOKUP($P64,'CY Receving Query'!$B:$S,10,FALSE)/VLOOKUP($P64,'CY Receving Query'!$B:$S,5,FALSE),0)</f>
        <v>38.058823529411768</v>
      </c>
      <c r="AA64" s="10">
        <f>IFERROR(VLOOKUP($P64,'CY Receving Query'!$B:$S,11,FALSE),0)</f>
        <v>15</v>
      </c>
      <c r="AB64" s="10">
        <f>IFERROR(AVERAGE(VLOOKUP($P64,'PY Receiving'!$C:$T,14,FALSE),VLOOKUP($P64,'CY Receiving'!$C:$T,14,FALSE)),0)</f>
        <v>27</v>
      </c>
      <c r="AC64" s="10">
        <f>IFERROR(VLOOKUP($P64,'CY Receving Query'!$B:$S,11,FALSE)/VLOOKUP($P64,'CY Receving Query'!$B:$S,5,FALSE),0)</f>
        <v>0.88235294117647056</v>
      </c>
      <c r="AD64" s="10">
        <f>IFERROR(VLOOKUP($P64,'CY Rushing Query'!$B:$O,7,FALSE)/VLOOKUP($P64,'CY Rushing Query'!$B:$O,5,FALSE),0)</f>
        <v>5.8823529411764705E-2</v>
      </c>
      <c r="AE64" s="10">
        <f>IFERROR(AVERAGE(VLOOKUP($P64,'PY Rushing'!$C:$P,8,FALSE)/VLOOKUP($P64,'PY Rushing'!$C:$P,5,FALSE),VLOOKUP($P64,'CY Rushing'!$C:$P,8,FALSE)/VLOOKUP($P64,'CY Rushing'!$C:$P,5,FALSE)),0)</f>
        <v>0</v>
      </c>
      <c r="AF64" s="10">
        <f>IFERROR(VLOOKUP($P64,'CY Rushing Query'!$B:$P,12,FALSE),0)</f>
        <v>3</v>
      </c>
      <c r="AG64" s="10">
        <f>IFERROR(VLOOKUP($P64,'CY Rushing Query'!$B:$P,9,FALSE)/VLOOKUP($P64,'CY Rushing Query'!$B:$P,5,FALSE),0)</f>
        <v>0</v>
      </c>
      <c r="AH64" s="10">
        <f>VLOOKUP($J64,'Vegas Odds'!$B:$S,18,FALSE)</f>
        <v>44.85966247691475</v>
      </c>
      <c r="AI64" s="10">
        <f>VLOOKUP($J64,'Vegas Odds'!$B:$S,17,FALSE)</f>
        <v>17.740337523085255</v>
      </c>
      <c r="AJ64">
        <f t="shared" si="13"/>
        <v>1</v>
      </c>
      <c r="AK64" s="10">
        <f t="shared" si="1"/>
        <v>0</v>
      </c>
      <c r="AL64" s="10">
        <f t="shared" si="2"/>
        <v>0</v>
      </c>
      <c r="AM64" s="10">
        <f>V64/'CY Defensive Stats Query'!$AD$34*'Fanduel Export'!Q64</f>
        <v>0</v>
      </c>
      <c r="AN64" s="10">
        <f t="shared" si="19"/>
        <v>0</v>
      </c>
      <c r="AO64" s="10">
        <f>IFERROR(IF(OR($B64="D",$B64="K"),0,VLOOKUP($P64,'CY Receving Query'!$B:$S,7,FALSE)/VLOOKUP($P64,'CY Receving Query'!$B:$S,5,FALSE)),0)*$AJ64</f>
        <v>3.6470588235294117</v>
      </c>
      <c r="AP64" s="10">
        <f t="shared" si="3"/>
        <v>28.54982492997199</v>
      </c>
      <c r="AQ64" s="10">
        <f t="shared" si="4"/>
        <v>5.7305369913224098</v>
      </c>
      <c r="AR64" s="16">
        <f t="shared" si="14"/>
        <v>2.5294117647058822</v>
      </c>
      <c r="AS64" s="16">
        <f t="shared" si="5"/>
        <v>3.974404687530058</v>
      </c>
      <c r="AT64" s="16">
        <f>AA64/'CY Defensive Stats Query'!$AH$34
*'Fanduel Export'!S64</f>
        <v>13.923826214045993</v>
      </c>
      <c r="AU64" s="10">
        <f t="shared" si="20"/>
        <v>55.338920173458298</v>
      </c>
      <c r="AV64" s="10">
        <f t="shared" si="15"/>
        <v>5.8823529411764705E-2</v>
      </c>
      <c r="AW64" s="10">
        <f t="shared" si="7"/>
        <v>56.303606442577035</v>
      </c>
      <c r="AX64" s="10">
        <f t="shared" si="16"/>
        <v>1.8534323678326615E-2</v>
      </c>
      <c r="AY64" s="10">
        <f>AF64/'CY Defensive Stats Query'!$AF$34
*R64</f>
        <v>2.2347928868404852</v>
      </c>
      <c r="AZ64" s="10">
        <f t="shared" si="21"/>
        <v>4.1420374718723493E-2</v>
      </c>
      <c r="BA64" s="16">
        <f t="shared" si="17"/>
        <v>6.8027399371706432</v>
      </c>
      <c r="BB64" s="16">
        <f t="shared" si="8"/>
        <v>1.3338705759158125</v>
      </c>
      <c r="BC64" s="10">
        <f t="shared" si="9"/>
        <v>0.71510957324106117</v>
      </c>
      <c r="BD64" s="10">
        <f>IF(B64="QB",COUNTIFS($B$5:B64,B64,$J$5:J64,J64),1)</f>
        <v>1</v>
      </c>
      <c r="BE64" t="str">
        <f t="shared" si="10"/>
        <v>Quez Watkins</v>
      </c>
      <c r="BF64">
        <f t="shared" si="11"/>
        <v>5100</v>
      </c>
      <c r="BG64" t="str">
        <f t="shared" si="12"/>
        <v>WR</v>
      </c>
      <c r="BH64" s="16">
        <f t="shared" si="18"/>
        <v>6.8027399371706432</v>
      </c>
    </row>
    <row r="65" spans="1:60" x14ac:dyDescent="0.2">
      <c r="A65" t="s">
        <v>2816</v>
      </c>
      <c r="B65" t="s">
        <v>68</v>
      </c>
      <c r="C65" t="s">
        <v>2518</v>
      </c>
      <c r="D65" t="s">
        <v>1741</v>
      </c>
      <c r="E65" t="s">
        <v>2519</v>
      </c>
      <c r="F65">
        <v>4.4499998092651296</v>
      </c>
      <c r="G65">
        <v>8</v>
      </c>
      <c r="H65">
        <v>5000</v>
      </c>
      <c r="I65" t="s">
        <v>2720</v>
      </c>
      <c r="J65" t="s">
        <v>728</v>
      </c>
      <c r="K65" t="s">
        <v>102</v>
      </c>
      <c r="O65" t="str">
        <f t="shared" si="0"/>
        <v>Le'Veon Bell</v>
      </c>
      <c r="P65" t="str">
        <f>IFERROR(VLOOKUP(O:O,'Name Bridge'!A:B,2,FALSE),O:O)</f>
        <v>Le'Veon Bell</v>
      </c>
      <c r="Q65" s="10">
        <f>VLOOKUP($K65,'CY Defensive Stats Query'!$AC:$AH,2,FALSE)</f>
        <v>5.9890109890109891</v>
      </c>
      <c r="R65" s="10">
        <f>VLOOKUP($K65,'CY Defensive Stats Query'!$AC:$AH,4,FALSE)</f>
        <v>3.8190476190476192</v>
      </c>
      <c r="S65" s="10">
        <f>VLOOKUP($K65,'CY Defensive Stats Query'!$AC:$AH,6,FALSE)</f>
        <v>8.515625</v>
      </c>
      <c r="T65" s="10">
        <f>IFERROR(VLOOKUP($P65,'CYPassing Query'!$B:$AE,9,FALSE)/VLOOKUP($P65,'CYPassing Query'!$B:$AE,5,FALSE),0)</f>
        <v>0</v>
      </c>
      <c r="U65" s="10">
        <f>IFERROR(VLOOKUP($P65,'CYPassing Query'!$B:$AE,11,FALSE)/VLOOKUP($P65,'CYPassing Query'!$B:$AE,5,FALSE),0)</f>
        <v>0</v>
      </c>
      <c r="V65" s="10">
        <f>IFERROR(VLOOKUP($P65,'CYPassing Query'!$B:$AE,18,FALSE),0)</f>
        <v>0</v>
      </c>
      <c r="W65" s="10">
        <f>IFERROR(VLOOKUP($P65,'CYPassing Query'!$B:$AE,12,FALSE)/VLOOKUP($P65,'CYPassing Query'!$B:$AE,5,FALSE),0)</f>
        <v>0</v>
      </c>
      <c r="X65" s="10">
        <f>IFERROR(IF(OR($B65="D",$B65="K"),0,VLOOKUP($P65,'CY Receving Query'!$B:$S,7,FALSE)/VLOOKUP($P65,'CY Receving Query'!$B:$S,5,FALSE)),0)*$AJ65</f>
        <v>0.875</v>
      </c>
      <c r="Y65" s="10">
        <f>IFERROR(VLOOKUP($P65,'CY Receving Query'!$B:$S,8,FALSE)/VLOOKUP($P65,'CY Receving Query'!$B:$S,5,FALSE),0)</f>
        <v>0.625</v>
      </c>
      <c r="Z65" s="10">
        <f>IFERROR(VLOOKUP($P65,'CY Receving Query'!$B:$S,10,FALSE)/VLOOKUP($P65,'CY Receving Query'!$B:$S,5,FALSE),0)</f>
        <v>3.75</v>
      </c>
      <c r="AA65" s="10">
        <f>IFERROR(VLOOKUP($P65,'CY Receving Query'!$B:$S,11,FALSE),0)</f>
        <v>6</v>
      </c>
      <c r="AB65" s="10">
        <f>IFERROR(AVERAGE(VLOOKUP($P65,'PY Receiving'!$C:$T,14,FALSE),VLOOKUP($P65,'CY Receiving'!$C:$T,14,FALSE)),0)</f>
        <v>0</v>
      </c>
      <c r="AC65" s="10">
        <f>IFERROR(VLOOKUP($P65,'CY Receving Query'!$B:$S,11,FALSE)/VLOOKUP($P65,'CY Receving Query'!$B:$S,5,FALSE),0)</f>
        <v>0.75</v>
      </c>
      <c r="AD65" s="10">
        <f>IFERROR(VLOOKUP($P65,'CY Rushing Query'!$B:$O,7,FALSE)/VLOOKUP($P65,'CY Rushing Query'!$B:$O,5,FALSE),0)</f>
        <v>4.875</v>
      </c>
      <c r="AE65" s="10">
        <f>IFERROR(AVERAGE(VLOOKUP($P65,'PY Rushing'!$C:$P,8,FALSE)/VLOOKUP($P65,'PY Rushing'!$C:$P,5,FALSE),VLOOKUP($P65,'CY Rushing'!$C:$P,8,FALSE)/VLOOKUP($P65,'CY Rushing'!$C:$P,5,FALSE)),0)</f>
        <v>0</v>
      </c>
      <c r="AF65" s="10">
        <f>IFERROR(VLOOKUP($P65,'CY Rushing Query'!$B:$P,12,FALSE),0)</f>
        <v>2.6</v>
      </c>
      <c r="AG65" s="10">
        <f>IFERROR(VLOOKUP($P65,'CY Rushing Query'!$B:$P,9,FALSE)/VLOOKUP($P65,'CY Rushing Query'!$B:$P,5,FALSE),0)</f>
        <v>0.25</v>
      </c>
      <c r="AH65" s="10">
        <f>VLOOKUP($J65,'Vegas Odds'!$B:$S,18,FALSE)</f>
        <v>34.555825588251061</v>
      </c>
      <c r="AI65" s="10">
        <f>VLOOKUP($J65,'Vegas Odds'!$B:$S,17,FALSE)</f>
        <v>27.844174411748938</v>
      </c>
      <c r="AJ65">
        <f t="shared" si="13"/>
        <v>1</v>
      </c>
      <c r="AK65" s="10">
        <f t="shared" si="1"/>
        <v>0</v>
      </c>
      <c r="AL65" s="10">
        <f t="shared" si="2"/>
        <v>0</v>
      </c>
      <c r="AM65" s="10">
        <f>V65/'CY Defensive Stats Query'!$AD$34*'Fanduel Export'!Q65</f>
        <v>0</v>
      </c>
      <c r="AN65" s="10">
        <f t="shared" si="19"/>
        <v>0</v>
      </c>
      <c r="AO65" s="10">
        <f>IFERROR(IF(OR($B65="D",$B65="K"),0,VLOOKUP($P65,'CY Receving Query'!$B:$S,7,FALSE)/VLOOKUP($P65,'CY Receving Query'!$B:$S,5,FALSE)),0)*$AJ65</f>
        <v>0.875</v>
      </c>
      <c r="AP65" s="10">
        <f t="shared" si="3"/>
        <v>25.587418300653596</v>
      </c>
      <c r="AQ65" s="10">
        <f t="shared" si="4"/>
        <v>1.1816880872638618</v>
      </c>
      <c r="AR65" s="16">
        <f t="shared" si="14"/>
        <v>0.625</v>
      </c>
      <c r="AS65" s="16">
        <f t="shared" si="5"/>
        <v>0.84406291947418699</v>
      </c>
      <c r="AT65" s="16">
        <f>AA65/'CY Defensive Stats Query'!$AH$34
*'Fanduel Export'!S65</f>
        <v>4.8596211195328003</v>
      </c>
      <c r="AU65" s="10">
        <f t="shared" si="20"/>
        <v>4.1018259896912728</v>
      </c>
      <c r="AV65" s="10">
        <f t="shared" si="15"/>
        <v>4.875</v>
      </c>
      <c r="AW65" s="10">
        <f t="shared" si="7"/>
        <v>12.022058823529411</v>
      </c>
      <c r="AX65" s="10">
        <f t="shared" si="16"/>
        <v>11.29094044953489</v>
      </c>
      <c r="AY65" s="10">
        <f>AF65/'CY Defensive Stats Query'!$AF$34
*R65</f>
        <v>2.401058654646941</v>
      </c>
      <c r="AZ65" s="10">
        <f t="shared" si="21"/>
        <v>27.110210285458972</v>
      </c>
      <c r="BA65" s="16">
        <f t="shared" si="17"/>
        <v>3.4337036275150248</v>
      </c>
      <c r="BB65" s="16">
        <f t="shared" si="8"/>
        <v>0.68674072550300491</v>
      </c>
      <c r="BC65" s="10">
        <f t="shared" si="9"/>
        <v>0.17499999999999999</v>
      </c>
      <c r="BD65" s="10">
        <f>IF(B65="QB",COUNTIFS($B$5:B65,B65,$J$5:J65,J65),1)</f>
        <v>1</v>
      </c>
      <c r="BE65" t="str">
        <f t="shared" si="10"/>
        <v>Le'Veon Bell</v>
      </c>
      <c r="BF65">
        <f t="shared" si="11"/>
        <v>5000</v>
      </c>
      <c r="BG65" t="str">
        <f t="shared" si="12"/>
        <v>RB</v>
      </c>
      <c r="BH65" s="16">
        <f t="shared" si="18"/>
        <v>3.4337036275150248</v>
      </c>
    </row>
    <row r="66" spans="1:60" x14ac:dyDescent="0.2">
      <c r="A66" t="s">
        <v>2817</v>
      </c>
      <c r="B66" t="s">
        <v>68</v>
      </c>
      <c r="C66" t="s">
        <v>2818</v>
      </c>
      <c r="D66" t="s">
        <v>373</v>
      </c>
      <c r="E66" t="s">
        <v>2819</v>
      </c>
      <c r="F66">
        <v>6.6812500953674299</v>
      </c>
      <c r="G66">
        <v>16</v>
      </c>
      <c r="H66">
        <v>5000</v>
      </c>
      <c r="I66" t="s">
        <v>2720</v>
      </c>
      <c r="J66" t="s">
        <v>102</v>
      </c>
      <c r="K66" t="s">
        <v>728</v>
      </c>
      <c r="O66" t="str">
        <f t="shared" si="0"/>
        <v>Kenneth Gainwell</v>
      </c>
      <c r="P66" t="str">
        <f>IFERROR(VLOOKUP(O:O,'Name Bridge'!A:B,2,FALSE),O:O)</f>
        <v>Kenneth Gainwell</v>
      </c>
      <c r="Q66" s="10">
        <f>VLOOKUP($K66,'CY Defensive Stats Query'!$AC:$AH,2,FALSE)</f>
        <v>7.0486111111111107</v>
      </c>
      <c r="R66" s="10">
        <f>VLOOKUP($K66,'CY Defensive Stats Query'!$AC:$AH,4,FALSE)</f>
        <v>3.0806451612903225</v>
      </c>
      <c r="S66" s="10">
        <f>VLOOKUP($K66,'CY Defensive Stats Query'!$AC:$AH,6,FALSE)</f>
        <v>9.759615384615385</v>
      </c>
      <c r="T66" s="10">
        <f>IFERROR(VLOOKUP($P66,'CYPassing Query'!$B:$AE,9,FALSE)/VLOOKUP($P66,'CYPassing Query'!$B:$AE,5,FALSE),0)</f>
        <v>0</v>
      </c>
      <c r="U66" s="10">
        <f>IFERROR(VLOOKUP($P66,'CYPassing Query'!$B:$AE,11,FALSE)/VLOOKUP($P66,'CYPassing Query'!$B:$AE,5,FALSE),0)</f>
        <v>0</v>
      </c>
      <c r="V66" s="10">
        <f>IFERROR(VLOOKUP($P66,'CYPassing Query'!$B:$AE,18,FALSE),0)</f>
        <v>0</v>
      </c>
      <c r="W66" s="10">
        <f>IFERROR(VLOOKUP($P66,'CYPassing Query'!$B:$AE,12,FALSE)/VLOOKUP($P66,'CYPassing Query'!$B:$AE,5,FALSE),0)</f>
        <v>0</v>
      </c>
      <c r="X66" s="10">
        <f>IFERROR(IF(OR($B66="D",$B66="K"),0,VLOOKUP($P66,'CY Receving Query'!$B:$S,7,FALSE)/VLOOKUP($P66,'CY Receving Query'!$B:$S,5,FALSE)),0)*$AJ66</f>
        <v>3.125</v>
      </c>
      <c r="Y66" s="10">
        <f>IFERROR(VLOOKUP($P66,'CY Receving Query'!$B:$S,8,FALSE)/VLOOKUP($P66,'CY Receving Query'!$B:$S,5,FALSE),0)</f>
        <v>2.0625</v>
      </c>
      <c r="Z66" s="10">
        <f>IFERROR(VLOOKUP($P66,'CY Receving Query'!$B:$S,10,FALSE)/VLOOKUP($P66,'CY Receving Query'!$B:$S,5,FALSE),0)</f>
        <v>15.8125</v>
      </c>
      <c r="AA66" s="10">
        <f>IFERROR(VLOOKUP($P66,'CY Receving Query'!$B:$S,11,FALSE),0)</f>
        <v>7.7</v>
      </c>
      <c r="AB66" s="10">
        <f>IFERROR(AVERAGE(VLOOKUP($P66,'PY Receiving'!$C:$T,14,FALSE),VLOOKUP($P66,'CY Receiving'!$C:$T,14,FALSE)),0)</f>
        <v>0</v>
      </c>
      <c r="AC66" s="10">
        <f>IFERROR(VLOOKUP($P66,'CY Receving Query'!$B:$S,11,FALSE)/VLOOKUP($P66,'CY Receving Query'!$B:$S,5,FALSE),0)</f>
        <v>0.48125000000000001</v>
      </c>
      <c r="AD66" s="10">
        <f>IFERROR(VLOOKUP($P66,'CY Rushing Query'!$B:$O,7,FALSE)/VLOOKUP($P66,'CY Rushing Query'!$B:$O,5,FALSE),0)</f>
        <v>4.25</v>
      </c>
      <c r="AE66" s="10">
        <f>IFERROR(AVERAGE(VLOOKUP($P66,'PY Rushing'!$C:$P,8,FALSE)/VLOOKUP($P66,'PY Rushing'!$C:$P,5,FALSE),VLOOKUP($P66,'CY Rushing'!$C:$P,8,FALSE)/VLOOKUP($P66,'CY Rushing'!$C:$P,5,FALSE)),0)</f>
        <v>0</v>
      </c>
      <c r="AF66" s="10">
        <f>IFERROR(VLOOKUP($P66,'CY Rushing Query'!$B:$P,12,FALSE),0)</f>
        <v>4.3</v>
      </c>
      <c r="AG66" s="10">
        <f>IFERROR(VLOOKUP($P66,'CY Rushing Query'!$B:$P,9,FALSE)/VLOOKUP($P66,'CY Rushing Query'!$B:$P,5,FALSE),0)</f>
        <v>0.3125</v>
      </c>
      <c r="AH66" s="10">
        <f>VLOOKUP($J66,'Vegas Odds'!$B:$S,18,FALSE)</f>
        <v>44.85966247691475</v>
      </c>
      <c r="AI66" s="10">
        <f>VLOOKUP($J66,'Vegas Odds'!$B:$S,17,FALSE)</f>
        <v>17.740337523085255</v>
      </c>
      <c r="AJ66">
        <f t="shared" si="13"/>
        <v>1</v>
      </c>
      <c r="AK66" s="10">
        <f t="shared" si="1"/>
        <v>0</v>
      </c>
      <c r="AL66" s="10">
        <f t="shared" si="2"/>
        <v>0</v>
      </c>
      <c r="AM66" s="10">
        <f>V66/'CY Defensive Stats Query'!$AD$34*'Fanduel Export'!Q66</f>
        <v>0</v>
      </c>
      <c r="AN66" s="10">
        <f t="shared" si="19"/>
        <v>0</v>
      </c>
      <c r="AO66" s="10">
        <f>IFERROR(IF(OR($B66="D",$B66="K"),0,VLOOKUP($P66,'CY Receving Query'!$B:$S,7,FALSE)/VLOOKUP($P66,'CY Receving Query'!$B:$S,5,FALSE)),0)*$AJ66</f>
        <v>3.125</v>
      </c>
      <c r="AP66" s="10">
        <f t="shared" si="3"/>
        <v>28.54982492997199</v>
      </c>
      <c r="AQ66" s="10">
        <f t="shared" si="4"/>
        <v>4.9102383494194033</v>
      </c>
      <c r="AR66" s="16">
        <f t="shared" si="14"/>
        <v>2.0625</v>
      </c>
      <c r="AS66" s="16">
        <f t="shared" si="5"/>
        <v>3.2407573106168064</v>
      </c>
      <c r="AT66" s="16">
        <f>AA66/'CY Defensive Stats Query'!$AH$34
*'Fanduel Export'!S66</f>
        <v>7.1475641232102767</v>
      </c>
      <c r="AU66" s="10">
        <f t="shared" si="20"/>
        <v>23.163520685396108</v>
      </c>
      <c r="AV66" s="10">
        <f t="shared" si="15"/>
        <v>4.25</v>
      </c>
      <c r="AW66" s="10">
        <f t="shared" si="7"/>
        <v>56.303606442577035</v>
      </c>
      <c r="AX66" s="10">
        <f t="shared" si="16"/>
        <v>1.3391048857590981</v>
      </c>
      <c r="AY66" s="10">
        <f>AF66/'CY Defensive Stats Query'!$AF$34
*R66</f>
        <v>3.2032031378046955</v>
      </c>
      <c r="AZ66" s="10">
        <f t="shared" si="21"/>
        <v>4.2894249719131414</v>
      </c>
      <c r="BA66" s="16">
        <f t="shared" si="17"/>
        <v>3.7765445657309247</v>
      </c>
      <c r="BB66" s="16">
        <f t="shared" si="8"/>
        <v>0.75530891314618498</v>
      </c>
      <c r="BC66" s="10">
        <f t="shared" si="9"/>
        <v>0.625</v>
      </c>
      <c r="BD66" s="10">
        <f>IF(B66="QB",COUNTIFS($B$5:B66,B66,$J$5:J66,J66),1)</f>
        <v>1</v>
      </c>
      <c r="BE66" t="str">
        <f t="shared" si="10"/>
        <v>Kenneth Gainwell</v>
      </c>
      <c r="BF66">
        <f t="shared" si="11"/>
        <v>5000</v>
      </c>
      <c r="BG66" t="str">
        <f t="shared" si="12"/>
        <v>RB</v>
      </c>
      <c r="BH66" s="16">
        <f t="shared" si="18"/>
        <v>3.7765445657309247</v>
      </c>
    </row>
    <row r="67" spans="1:60" x14ac:dyDescent="0.2">
      <c r="A67" t="s">
        <v>2820</v>
      </c>
      <c r="B67" t="s">
        <v>83</v>
      </c>
      <c r="C67" t="s">
        <v>2821</v>
      </c>
      <c r="D67" t="s">
        <v>343</v>
      </c>
      <c r="E67" t="s">
        <v>2247</v>
      </c>
      <c r="F67">
        <v>4.0642858232770598</v>
      </c>
      <c r="G67">
        <v>14</v>
      </c>
      <c r="H67">
        <v>5000</v>
      </c>
      <c r="I67" t="s">
        <v>2716</v>
      </c>
      <c r="J67" t="s">
        <v>81</v>
      </c>
      <c r="K67" t="s">
        <v>99</v>
      </c>
      <c r="O67" t="str">
        <f t="shared" si="0"/>
        <v>Demarcus Robinson</v>
      </c>
      <c r="P67" t="str">
        <f>IFERROR(VLOOKUP(O:O,'Name Bridge'!A:B,2,FALSE),O:O)</f>
        <v>Demarcus Robinson</v>
      </c>
      <c r="Q67" s="10">
        <f>VLOOKUP($K67,'CY Defensive Stats Query'!$AC:$AH,2,FALSE)</f>
        <v>7.5377358490566042</v>
      </c>
      <c r="R67" s="10">
        <f>VLOOKUP($K67,'CY Defensive Stats Query'!$AC:$AH,4,FALSE)</f>
        <v>3.5810810810810811</v>
      </c>
      <c r="S67" s="10">
        <f>VLOOKUP($K67,'CY Defensive Stats Query'!$AC:$AH,6,FALSE)</f>
        <v>11.097222222222221</v>
      </c>
      <c r="T67" s="10">
        <f>IFERROR(VLOOKUP($P67,'CYPassing Query'!$B:$AE,9,FALSE)/VLOOKUP($P67,'CYPassing Query'!$B:$AE,5,FALSE),0)</f>
        <v>0</v>
      </c>
      <c r="U67" s="10">
        <f>IFERROR(VLOOKUP($P67,'CYPassing Query'!$B:$AE,11,FALSE)/VLOOKUP($P67,'CYPassing Query'!$B:$AE,5,FALSE),0)</f>
        <v>0</v>
      </c>
      <c r="V67" s="10">
        <f>IFERROR(VLOOKUP($P67,'CYPassing Query'!$B:$AE,18,FALSE),0)</f>
        <v>0</v>
      </c>
      <c r="W67" s="10">
        <f>IFERROR(VLOOKUP($P67,'CYPassing Query'!$B:$AE,12,FALSE)/VLOOKUP($P67,'CYPassing Query'!$B:$AE,5,FALSE),0)</f>
        <v>0</v>
      </c>
      <c r="X67" s="10">
        <f>IFERROR(IF(OR($B67="D",$B67="K"),0,VLOOKUP($P67,'CY Receving Query'!$B:$S,7,FALSE)/VLOOKUP($P67,'CY Receving Query'!$B:$S,5,FALSE)),0)*$AJ67</f>
        <v>2.4117647058823528</v>
      </c>
      <c r="Y67" s="10">
        <f>IFERROR(VLOOKUP($P67,'CY Receving Query'!$B:$S,8,FALSE)/VLOOKUP($P67,'CY Receving Query'!$B:$S,5,FALSE),0)</f>
        <v>1.4705882352941178</v>
      </c>
      <c r="Z67" s="10">
        <f>IFERROR(VLOOKUP($P67,'CY Receving Query'!$B:$S,10,FALSE)/VLOOKUP($P67,'CY Receving Query'!$B:$S,5,FALSE),0)</f>
        <v>15.529411764705882</v>
      </c>
      <c r="AA67" s="10">
        <f>IFERROR(VLOOKUP($P67,'CY Receving Query'!$B:$S,11,FALSE),0)</f>
        <v>10.6</v>
      </c>
      <c r="AB67" s="10">
        <f>IFERROR(AVERAGE(VLOOKUP($P67,'PY Receiving'!$C:$T,14,FALSE),VLOOKUP($P67,'CY Receiving'!$C:$T,14,FALSE)),0)</f>
        <v>18.5</v>
      </c>
      <c r="AC67" s="10">
        <f>IFERROR(VLOOKUP($P67,'CY Receving Query'!$B:$S,11,FALSE)/VLOOKUP($P67,'CY Receving Query'!$B:$S,5,FALSE),0)</f>
        <v>0.62352941176470589</v>
      </c>
      <c r="AD67" s="10">
        <f>IFERROR(VLOOKUP($P67,'CY Rushing Query'!$B:$O,7,FALSE)/VLOOKUP($P67,'CY Rushing Query'!$B:$O,5,FALSE),0)</f>
        <v>0</v>
      </c>
      <c r="AE67" s="10">
        <f>IFERROR(AVERAGE(VLOOKUP($P67,'PY Rushing'!$C:$P,8,FALSE)/VLOOKUP($P67,'PY Rushing'!$C:$P,5,FALSE),VLOOKUP($P67,'CY Rushing'!$C:$P,8,FALSE)/VLOOKUP($P67,'CY Rushing'!$C:$P,5,FALSE)),0)</f>
        <v>0</v>
      </c>
      <c r="AF67" s="10">
        <f>IFERROR(VLOOKUP($P67,'CY Rushing Query'!$B:$P,12,FALSE),0)</f>
        <v>0</v>
      </c>
      <c r="AG67" s="10">
        <f>IFERROR(VLOOKUP($P67,'CY Rushing Query'!$B:$P,9,FALSE)/VLOOKUP($P67,'CY Rushing Query'!$B:$P,5,FALSE),0)</f>
        <v>0</v>
      </c>
      <c r="AH67" s="10">
        <f>VLOOKUP($J67,'Vegas Odds'!$B:$S,18,FALSE)</f>
        <v>37.933262350936971</v>
      </c>
      <c r="AI67" s="10">
        <f>VLOOKUP($J67,'Vegas Odds'!$B:$S,17,FALSE)</f>
        <v>27.766737649063032</v>
      </c>
      <c r="AJ67">
        <f t="shared" si="13"/>
        <v>1</v>
      </c>
      <c r="AK67" s="10">
        <f t="shared" si="1"/>
        <v>0</v>
      </c>
      <c r="AL67" s="10">
        <f t="shared" si="2"/>
        <v>0</v>
      </c>
      <c r="AM67" s="10">
        <f>V67/'CY Defensive Stats Query'!$AD$34*'Fanduel Export'!Q67</f>
        <v>0</v>
      </c>
      <c r="AN67" s="10">
        <f t="shared" si="19"/>
        <v>0</v>
      </c>
      <c r="AO67" s="10">
        <f>IFERROR(IF(OR($B67="D",$B67="K"),0,VLOOKUP($P67,'CY Receving Query'!$B:$S,7,FALSE)/VLOOKUP($P67,'CY Receving Query'!$B:$S,5,FALSE)),0)*$AJ67</f>
        <v>2.4117647058823528</v>
      </c>
      <c r="AP67" s="10">
        <f t="shared" si="3"/>
        <v>37.365221788015901</v>
      </c>
      <c r="AQ67" s="10">
        <f t="shared" si="4"/>
        <v>2.4484292863560051</v>
      </c>
      <c r="AR67" s="16">
        <f t="shared" si="14"/>
        <v>1.4705882352941178</v>
      </c>
      <c r="AS67" s="16">
        <f t="shared" si="5"/>
        <v>1.4929446868024423</v>
      </c>
      <c r="AT67" s="16">
        <f>AA67/'CY Defensive Stats Query'!$AH$34
*'Fanduel Export'!S67</f>
        <v>11.188059832761427</v>
      </c>
      <c r="AU67" s="10">
        <f t="shared" si="20"/>
        <v>16.703154482948992</v>
      </c>
      <c r="AV67" s="10">
        <f t="shared" si="15"/>
        <v>0</v>
      </c>
      <c r="AW67" s="10">
        <f t="shared" si="7"/>
        <v>19.787381735911151</v>
      </c>
      <c r="AX67" s="10">
        <f t="shared" si="16"/>
        <v>0</v>
      </c>
      <c r="AY67" s="10">
        <f>AF67/'CY Defensive Stats Query'!$AF$34
*R67</f>
        <v>0</v>
      </c>
      <c r="AZ67" s="10">
        <f t="shared" si="21"/>
        <v>0</v>
      </c>
      <c r="BA67" s="16">
        <f t="shared" si="17"/>
        <v>2.4056095659419583</v>
      </c>
      <c r="BB67" s="16">
        <f t="shared" si="8"/>
        <v>0.48112191318839165</v>
      </c>
      <c r="BC67" s="10">
        <f t="shared" si="9"/>
        <v>0.48235294117647054</v>
      </c>
      <c r="BD67" s="10">
        <f>IF(B67="QB",COUNTIFS($B$5:B67,B67,$J$5:J67,J67),1)</f>
        <v>1</v>
      </c>
      <c r="BE67" t="str">
        <f t="shared" si="10"/>
        <v>Demarcus Robinson</v>
      </c>
      <c r="BF67">
        <f t="shared" si="11"/>
        <v>5000</v>
      </c>
      <c r="BG67" t="str">
        <f t="shared" si="12"/>
        <v>WR</v>
      </c>
      <c r="BH67" s="16">
        <f t="shared" si="18"/>
        <v>2.4056095659419583</v>
      </c>
    </row>
    <row r="68" spans="1:60" x14ac:dyDescent="0.2">
      <c r="A68" t="s">
        <v>2822</v>
      </c>
      <c r="B68" t="s">
        <v>83</v>
      </c>
      <c r="C68" t="s">
        <v>2545</v>
      </c>
      <c r="D68" t="s">
        <v>2546</v>
      </c>
      <c r="E68" t="s">
        <v>2547</v>
      </c>
      <c r="F68">
        <v>2.91875004768371</v>
      </c>
      <c r="G68">
        <v>16</v>
      </c>
      <c r="H68">
        <v>4900</v>
      </c>
      <c r="I68" t="s">
        <v>2716</v>
      </c>
      <c r="J68" t="s">
        <v>99</v>
      </c>
      <c r="K68" t="s">
        <v>81</v>
      </c>
      <c r="O68" t="str">
        <f t="shared" si="0"/>
        <v>Ray-Ray McCloud III</v>
      </c>
      <c r="P68" t="str">
        <f>IFERROR(VLOOKUP(O:O,'Name Bridge'!A:B,2,FALSE),O:O)</f>
        <v>Ray-Ray McCloud</v>
      </c>
      <c r="Q68" s="10">
        <f>VLOOKUP($K68,'CY Defensive Stats Query'!$AC:$AH,2,FALSE)</f>
        <v>8.7934782608695645</v>
      </c>
      <c r="R68" s="10">
        <f>VLOOKUP($K68,'CY Defensive Stats Query'!$AC:$AH,4,FALSE)</f>
        <v>5.404494382022472</v>
      </c>
      <c r="S68" s="10">
        <f>VLOOKUP($K68,'CY Defensive Stats Query'!$AC:$AH,6,FALSE)</f>
        <v>12.446153846153846</v>
      </c>
      <c r="T68" s="10">
        <f>IFERROR(VLOOKUP($P68,'CYPassing Query'!$B:$AE,9,FALSE)/VLOOKUP($P68,'CYPassing Query'!$B:$AE,5,FALSE),0)</f>
        <v>0</v>
      </c>
      <c r="U68" s="10">
        <f>IFERROR(VLOOKUP($P68,'CYPassing Query'!$B:$AE,11,FALSE)/VLOOKUP($P68,'CYPassing Query'!$B:$AE,5,FALSE),0)</f>
        <v>0</v>
      </c>
      <c r="V68" s="10">
        <f>IFERROR(VLOOKUP($P68,'CYPassing Query'!$B:$AE,18,FALSE),0)</f>
        <v>0</v>
      </c>
      <c r="W68" s="10">
        <f>IFERROR(VLOOKUP($P68,'CYPassing Query'!$B:$AE,12,FALSE)/VLOOKUP($P68,'CYPassing Query'!$B:$AE,5,FALSE),0)</f>
        <v>0</v>
      </c>
      <c r="X68" s="10">
        <f>IFERROR(IF(OR($B68="D",$B68="K"),0,VLOOKUP($P68,'CY Receving Query'!$B:$S,7,FALSE)/VLOOKUP($P68,'CY Receving Query'!$B:$S,5,FALSE)),0)*$AJ68</f>
        <v>4.125</v>
      </c>
      <c r="Y68" s="10">
        <f>IFERROR(VLOOKUP($P68,'CY Receving Query'!$B:$S,8,FALSE)/VLOOKUP($P68,'CY Receving Query'!$B:$S,5,FALSE),0)</f>
        <v>2.4375</v>
      </c>
      <c r="Z68" s="10">
        <f>IFERROR(VLOOKUP($P68,'CY Receving Query'!$B:$S,10,FALSE)/VLOOKUP($P68,'CY Receving Query'!$B:$S,5,FALSE),0)</f>
        <v>17.3125</v>
      </c>
      <c r="AA68" s="10">
        <f>IFERROR(VLOOKUP($P68,'CY Receving Query'!$B:$S,11,FALSE),0)</f>
        <v>7.1</v>
      </c>
      <c r="AB68" s="10">
        <f>IFERROR(AVERAGE(VLOOKUP($P68,'PY Receiving'!$C:$T,14,FALSE),VLOOKUP($P68,'CY Receiving'!$C:$T,14,FALSE)),0)</f>
        <v>0</v>
      </c>
      <c r="AC68" s="10">
        <f>IFERROR(VLOOKUP($P68,'CY Receving Query'!$B:$S,11,FALSE)/VLOOKUP($P68,'CY Receving Query'!$B:$S,5,FALSE),0)</f>
        <v>0.44374999999999998</v>
      </c>
      <c r="AD68" s="10">
        <f>IFERROR(VLOOKUP($P68,'CY Rushing Query'!$B:$O,7,FALSE)/VLOOKUP($P68,'CY Rushing Query'!$B:$O,5,FALSE),0)</f>
        <v>0.125</v>
      </c>
      <c r="AE68" s="10">
        <f>IFERROR(AVERAGE(VLOOKUP($P68,'PY Rushing'!$C:$P,8,FALSE)/VLOOKUP($P68,'PY Rushing'!$C:$P,5,FALSE),VLOOKUP($P68,'CY Rushing'!$C:$P,8,FALSE)/VLOOKUP($P68,'CY Rushing'!$C:$P,5,FALSE)),0)</f>
        <v>0</v>
      </c>
      <c r="AF68" s="10">
        <f>IFERROR(VLOOKUP($P68,'CY Rushing Query'!$B:$P,12,FALSE),0)</f>
        <v>7.5</v>
      </c>
      <c r="AG68" s="10">
        <f>IFERROR(VLOOKUP($P68,'CY Rushing Query'!$B:$P,9,FALSE)/VLOOKUP($P68,'CY Rushing Query'!$B:$P,5,FALSE),0)</f>
        <v>0</v>
      </c>
      <c r="AH68" s="10">
        <f>VLOOKUP($J68,'Vegas Odds'!$B:$S,18,FALSE)</f>
        <v>40.088640957860363</v>
      </c>
      <c r="AI68" s="10">
        <f>VLOOKUP($J68,'Vegas Odds'!$B:$S,17,FALSE)</f>
        <v>25.511359042139631</v>
      </c>
      <c r="AJ68">
        <f t="shared" si="13"/>
        <v>1</v>
      </c>
      <c r="AK68" s="10">
        <f t="shared" si="1"/>
        <v>0</v>
      </c>
      <c r="AL68" s="10">
        <f t="shared" si="2"/>
        <v>0</v>
      </c>
      <c r="AM68" s="10">
        <f>V68/'CY Defensive Stats Query'!$AD$34*'Fanduel Export'!Q68</f>
        <v>0</v>
      </c>
      <c r="AN68" s="10">
        <f t="shared" si="19"/>
        <v>0</v>
      </c>
      <c r="AO68" s="10">
        <f>IFERROR(IF(OR($B68="D",$B68="K"),0,VLOOKUP($P68,'CY Receving Query'!$B:$S,7,FALSE)/VLOOKUP($P68,'CY Receving Query'!$B:$S,5,FALSE)),0)*$AJ68</f>
        <v>4.125</v>
      </c>
      <c r="AP68" s="10">
        <f t="shared" si="3"/>
        <v>32.289950980392156</v>
      </c>
      <c r="AQ68" s="10">
        <f t="shared" si="4"/>
        <v>5.1212726848545271</v>
      </c>
      <c r="AR68" s="16">
        <f t="shared" si="14"/>
        <v>2.4375</v>
      </c>
      <c r="AS68" s="16">
        <f t="shared" si="5"/>
        <v>3.0262065865049479</v>
      </c>
      <c r="AT68" s="16">
        <f>AA68/'CY Defensive Stats Query'!$AH$34
*'Fanduel Export'!S68</f>
        <v>8.4048147537191493</v>
      </c>
      <c r="AU68" s="10">
        <f t="shared" si="20"/>
        <v>25.434705766058851</v>
      </c>
      <c r="AV68" s="10">
        <f t="shared" si="15"/>
        <v>0.125</v>
      </c>
      <c r="AW68" s="10">
        <f t="shared" si="7"/>
        <v>7.4240196078431371</v>
      </c>
      <c r="AX68" s="10">
        <f t="shared" si="16"/>
        <v>0.42954087525556989</v>
      </c>
      <c r="AY68" s="10">
        <f>AF68/'CY Defensive Stats Query'!$AF$34
*R68</f>
        <v>9.8014579491965641</v>
      </c>
      <c r="AZ68" s="10">
        <f t="shared" si="21"/>
        <v>4.2101268262785556</v>
      </c>
      <c r="BA68" s="16">
        <f t="shared" si="17"/>
        <v>4.1832332592337407</v>
      </c>
      <c r="BB68" s="16">
        <f t="shared" si="8"/>
        <v>0.85372107331300828</v>
      </c>
      <c r="BC68" s="10">
        <f t="shared" si="9"/>
        <v>0.84183673469387754</v>
      </c>
      <c r="BD68" s="10">
        <f>IF(B68="QB",COUNTIFS($B$5:B68,B68,$J$5:J68,J68),1)</f>
        <v>1</v>
      </c>
      <c r="BE68" t="str">
        <f t="shared" si="10"/>
        <v>Ray-Ray McCloud III</v>
      </c>
      <c r="BF68">
        <f t="shared" si="11"/>
        <v>4900</v>
      </c>
      <c r="BG68" t="str">
        <f t="shared" si="12"/>
        <v>WR</v>
      </c>
      <c r="BH68" s="16">
        <f t="shared" si="18"/>
        <v>4.1832332592337407</v>
      </c>
    </row>
    <row r="69" spans="1:60" x14ac:dyDescent="0.2">
      <c r="A69" t="s">
        <v>2823</v>
      </c>
      <c r="B69" t="s">
        <v>68</v>
      </c>
      <c r="C69" t="s">
        <v>2548</v>
      </c>
      <c r="D69" t="s">
        <v>358</v>
      </c>
      <c r="E69" t="s">
        <v>2549</v>
      </c>
      <c r="F69">
        <v>0.93076926011305505</v>
      </c>
      <c r="G69">
        <v>13</v>
      </c>
      <c r="H69">
        <v>4900</v>
      </c>
      <c r="I69" t="s">
        <v>2716</v>
      </c>
      <c r="J69" t="s">
        <v>99</v>
      </c>
      <c r="K69" t="s">
        <v>81</v>
      </c>
      <c r="O69" t="str">
        <f t="shared" ref="O69:O132" si="22">D69</f>
        <v>Benny Snell Jr.</v>
      </c>
      <c r="P69" t="str">
        <f>IFERROR(VLOOKUP(O:O,'Name Bridge'!A:B,2,FALSE),O:O)</f>
        <v>Benny Snell Jr.</v>
      </c>
      <c r="Q69" s="10">
        <f>VLOOKUP($K69,'CY Defensive Stats Query'!$AC:$AH,2,FALSE)</f>
        <v>8.7934782608695645</v>
      </c>
      <c r="R69" s="10">
        <f>VLOOKUP($K69,'CY Defensive Stats Query'!$AC:$AH,4,FALSE)</f>
        <v>5.404494382022472</v>
      </c>
      <c r="S69" s="10">
        <f>VLOOKUP($K69,'CY Defensive Stats Query'!$AC:$AH,6,FALSE)</f>
        <v>12.446153846153846</v>
      </c>
      <c r="T69" s="10">
        <f>IFERROR(VLOOKUP($P69,'CYPassing Query'!$B:$AE,9,FALSE)/VLOOKUP($P69,'CYPassing Query'!$B:$AE,5,FALSE),0)</f>
        <v>0</v>
      </c>
      <c r="U69" s="10">
        <f>IFERROR(VLOOKUP($P69,'CYPassing Query'!$B:$AE,11,FALSE)/VLOOKUP($P69,'CYPassing Query'!$B:$AE,5,FALSE),0)</f>
        <v>0</v>
      </c>
      <c r="V69" s="10">
        <f>IFERROR(VLOOKUP($P69,'CYPassing Query'!$B:$AE,18,FALSE),0)</f>
        <v>0</v>
      </c>
      <c r="W69" s="10">
        <f>IFERROR(VLOOKUP($P69,'CYPassing Query'!$B:$AE,12,FALSE)/VLOOKUP($P69,'CYPassing Query'!$B:$AE,5,FALSE),0)</f>
        <v>0</v>
      </c>
      <c r="X69" s="10">
        <f>IFERROR(IF(OR($B69="D",$B69="K"),0,VLOOKUP($P69,'CY Receving Query'!$B:$S,7,FALSE)/VLOOKUP($P69,'CY Receving Query'!$B:$S,5,FALSE)),0)*$AJ69</f>
        <v>0.23529411764705882</v>
      </c>
      <c r="Y69" s="10">
        <f>IFERROR(VLOOKUP($P69,'CY Receving Query'!$B:$S,8,FALSE)/VLOOKUP($P69,'CY Receving Query'!$B:$S,5,FALSE),0)</f>
        <v>0.11764705882352941</v>
      </c>
      <c r="Z69" s="10">
        <f>IFERROR(VLOOKUP($P69,'CY Receving Query'!$B:$S,10,FALSE)/VLOOKUP($P69,'CY Receving Query'!$B:$S,5,FALSE),0)</f>
        <v>0.76470588235294112</v>
      </c>
      <c r="AA69" s="10">
        <f>IFERROR(VLOOKUP($P69,'CY Receving Query'!$B:$S,11,FALSE),0)</f>
        <v>6.5</v>
      </c>
      <c r="AB69" s="10">
        <f>IFERROR(AVERAGE(VLOOKUP($P69,'PY Receiving'!$C:$T,14,FALSE),VLOOKUP($P69,'CY Receiving'!$C:$T,14,FALSE)),0)</f>
        <v>0</v>
      </c>
      <c r="AC69" s="10">
        <f>IFERROR(VLOOKUP($P69,'CY Receving Query'!$B:$S,11,FALSE)/VLOOKUP($P69,'CY Receving Query'!$B:$S,5,FALSE),0)</f>
        <v>0.38235294117647056</v>
      </c>
      <c r="AD69" s="10">
        <f>IFERROR(VLOOKUP($P69,'CY Rushing Query'!$B:$O,7,FALSE)/VLOOKUP($P69,'CY Rushing Query'!$B:$O,5,FALSE),0)</f>
        <v>2.1176470588235294</v>
      </c>
      <c r="AE69" s="10">
        <f>IFERROR(AVERAGE(VLOOKUP($P69,'PY Rushing'!$C:$P,8,FALSE)/VLOOKUP($P69,'PY Rushing'!$C:$P,5,FALSE),VLOOKUP($P69,'CY Rushing'!$C:$P,8,FALSE)/VLOOKUP($P69,'CY Rushing'!$C:$P,5,FALSE)),0)</f>
        <v>0</v>
      </c>
      <c r="AF69" s="10">
        <f>IFERROR(VLOOKUP($P69,'CY Rushing Query'!$B:$P,12,FALSE),0)</f>
        <v>2.7</v>
      </c>
      <c r="AG69" s="10">
        <f>IFERROR(VLOOKUP($P69,'CY Rushing Query'!$B:$P,9,FALSE)/VLOOKUP($P69,'CY Rushing Query'!$B:$P,5,FALSE),0)</f>
        <v>0</v>
      </c>
      <c r="AH69" s="10">
        <f>VLOOKUP($J69,'Vegas Odds'!$B:$S,18,FALSE)</f>
        <v>40.088640957860363</v>
      </c>
      <c r="AI69" s="10">
        <f>VLOOKUP($J69,'Vegas Odds'!$B:$S,17,FALSE)</f>
        <v>25.511359042139631</v>
      </c>
      <c r="AJ69">
        <f t="shared" si="13"/>
        <v>1</v>
      </c>
      <c r="AK69" s="10">
        <f t="shared" ref="AK69:AK132" si="23">T69*AJ69</f>
        <v>0</v>
      </c>
      <c r="AL69" s="10">
        <f t="shared" ref="AL69:AL132" si="24">IF(AND(AJ69=1,B69="QB"),AH69,0)</f>
        <v>0</v>
      </c>
      <c r="AM69" s="10">
        <f>V69/'CY Defensive Stats Query'!$AD$34*'Fanduel Export'!Q69</f>
        <v>0</v>
      </c>
      <c r="AN69" s="10">
        <f t="shared" si="19"/>
        <v>0</v>
      </c>
      <c r="AO69" s="10">
        <f>IFERROR(IF(OR($B69="D",$B69="K"),0,VLOOKUP($P69,'CY Receving Query'!$B:$S,7,FALSE)/VLOOKUP($P69,'CY Receving Query'!$B:$S,5,FALSE)),0)*$AJ69</f>
        <v>0.23529411764705882</v>
      </c>
      <c r="AP69" s="10">
        <f t="shared" ref="AP69:AP132" si="25">SUMIF($J:$J,$J69,AO:AO)</f>
        <v>32.289950980392156</v>
      </c>
      <c r="AQ69" s="10">
        <f t="shared" ref="AQ69:AQ132" si="26">AO69/AP69*AH69</f>
        <v>0.29212250608795876</v>
      </c>
      <c r="AR69" s="16">
        <f t="shared" ref="AR69:AR132" si="27">Y69*AJ69</f>
        <v>0.11764705882352941</v>
      </c>
      <c r="AS69" s="16">
        <f t="shared" ref="AS69:AS132" si="28">IFERROR(AR69/AO69*AQ69,0)</f>
        <v>0.14606125304397938</v>
      </c>
      <c r="AT69" s="16">
        <f>AA69/'CY Defensive Stats Query'!$AH$34
*'Fanduel Export'!S69</f>
        <v>7.6945487181935874</v>
      </c>
      <c r="AU69" s="10">
        <f t="shared" si="20"/>
        <v>1.1238754273873008</v>
      </c>
      <c r="AV69" s="10">
        <f t="shared" ref="AV69:AV132" si="29">AD69*AJ69</f>
        <v>2.1176470588235294</v>
      </c>
      <c r="AW69" s="10">
        <f t="shared" ref="AW69:AW132" si="30">SUMIF($J:$J,$J69,AV:AV)</f>
        <v>7.4240196078431371</v>
      </c>
      <c r="AX69" s="10">
        <f t="shared" ref="AX69:AX132" si="31">IFERROR(AV69/AW69*AI69,0)</f>
        <v>7.2769277690355372</v>
      </c>
      <c r="AY69" s="10">
        <f>AF69/'CY Defensive Stats Query'!$AF$34
*R69</f>
        <v>3.5285248617107636</v>
      </c>
      <c r="AZ69" s="10">
        <f t="shared" si="21"/>
        <v>25.676820549915334</v>
      </c>
      <c r="BA69" s="16">
        <f t="shared" ref="BA69:BA132" si="32">AN69/25+AU69/10+AZ69/10+AR69*0.5</f>
        <v>2.738893127142028</v>
      </c>
      <c r="BB69" s="16">
        <f t="shared" ref="BB69:BB132" si="33">BA69/(H69/1000)</f>
        <v>0.55895778104939342</v>
      </c>
      <c r="BC69" s="10">
        <f t="shared" ref="BC69:BC132" si="34">AO69/(H69/1000)</f>
        <v>4.8019207683073224E-2</v>
      </c>
      <c r="BD69" s="10">
        <f>IF(B69="QB",COUNTIFS($B$5:B69,B69,$J$5:J69,J69),1)</f>
        <v>1</v>
      </c>
      <c r="BE69" t="str">
        <f t="shared" ref="BE69:BE132" si="35">D69</f>
        <v>Benny Snell Jr.</v>
      </c>
      <c r="BF69">
        <f t="shared" ref="BF69:BF132" si="36">H69</f>
        <v>4900</v>
      </c>
      <c r="BG69" t="str">
        <f t="shared" ref="BG69:BG132" si="37">B69</f>
        <v>RB</v>
      </c>
      <c r="BH69" s="16">
        <f t="shared" ref="BH69:BH132" si="38">BA69</f>
        <v>2.738893127142028</v>
      </c>
    </row>
    <row r="70" spans="1:60" x14ac:dyDescent="0.2">
      <c r="A70" t="s">
        <v>2824</v>
      </c>
      <c r="B70" t="s">
        <v>68</v>
      </c>
      <c r="C70" t="s">
        <v>2221</v>
      </c>
      <c r="D70" t="s">
        <v>1812</v>
      </c>
      <c r="E70" t="s">
        <v>2825</v>
      </c>
      <c r="F70">
        <v>3.6999999455043202</v>
      </c>
      <c r="G70">
        <v>7</v>
      </c>
      <c r="H70">
        <v>4900</v>
      </c>
      <c r="I70" t="s">
        <v>2718</v>
      </c>
      <c r="J70" t="s">
        <v>729</v>
      </c>
      <c r="K70" t="s">
        <v>138</v>
      </c>
      <c r="O70" t="str">
        <f t="shared" si="22"/>
        <v>Corey Clement</v>
      </c>
      <c r="P70" t="str">
        <f>IFERROR(VLOOKUP(O:O,'Name Bridge'!A:B,2,FALSE),O:O)</f>
        <v>Corey Clement</v>
      </c>
      <c r="Q70" s="10">
        <f>VLOOKUP($K70,'CY Defensive Stats Query'!$AC:$AH,2,FALSE)</f>
        <v>6.5263157894736841</v>
      </c>
      <c r="R70" s="10">
        <f>VLOOKUP($K70,'CY Defensive Stats Query'!$AC:$AH,4,FALSE)</f>
        <v>4.7051282051282053</v>
      </c>
      <c r="S70" s="10">
        <f>VLOOKUP($K70,'CY Defensive Stats Query'!$AC:$AH,6,FALSE)</f>
        <v>10.191780821917808</v>
      </c>
      <c r="T70" s="10">
        <f>IFERROR(VLOOKUP($P70,'CYPassing Query'!$B:$AE,9,FALSE)/VLOOKUP($P70,'CYPassing Query'!$B:$AE,5,FALSE),0)</f>
        <v>0</v>
      </c>
      <c r="U70" s="10">
        <f>IFERROR(VLOOKUP($P70,'CYPassing Query'!$B:$AE,11,FALSE)/VLOOKUP($P70,'CYPassing Query'!$B:$AE,5,FALSE),0)</f>
        <v>0</v>
      </c>
      <c r="V70" s="10">
        <f>IFERROR(VLOOKUP($P70,'CYPassing Query'!$B:$AE,18,FALSE),0)</f>
        <v>0</v>
      </c>
      <c r="W70" s="10">
        <f>IFERROR(VLOOKUP($P70,'CYPassing Query'!$B:$AE,12,FALSE)/VLOOKUP($P70,'CYPassing Query'!$B:$AE,5,FALSE),0)</f>
        <v>0</v>
      </c>
      <c r="X70" s="10">
        <f>IFERROR(IF(OR($B70="D",$B70="K"),0,VLOOKUP($P70,'CY Receving Query'!$B:$S,7,FALSE)/VLOOKUP($P70,'CY Receving Query'!$B:$S,5,FALSE)),0)*$AJ70</f>
        <v>0.41176470588235292</v>
      </c>
      <c r="Y70" s="10">
        <f>IFERROR(VLOOKUP($P70,'CY Receving Query'!$B:$S,8,FALSE)/VLOOKUP($P70,'CY Receving Query'!$B:$S,5,FALSE),0)</f>
        <v>0.35294117647058826</v>
      </c>
      <c r="Z70" s="10">
        <f>IFERROR(VLOOKUP($P70,'CY Receving Query'!$B:$S,10,FALSE)/VLOOKUP($P70,'CY Receving Query'!$B:$S,5,FALSE),0)</f>
        <v>1.7058823529411764</v>
      </c>
      <c r="AA70" s="10">
        <f>IFERROR(VLOOKUP($P70,'CY Receving Query'!$B:$S,11,FALSE),0)</f>
        <v>4.8</v>
      </c>
      <c r="AB70" s="10">
        <f>IFERROR(AVERAGE(VLOOKUP($P70,'PY Receiving'!$C:$T,14,FALSE),VLOOKUP($P70,'CY Receiving'!$C:$T,14,FALSE)),0)</f>
        <v>0</v>
      </c>
      <c r="AC70" s="10">
        <f>IFERROR(VLOOKUP($P70,'CY Receving Query'!$B:$S,11,FALSE)/VLOOKUP($P70,'CY Receving Query'!$B:$S,5,FALSE),0)</f>
        <v>0.28235294117647058</v>
      </c>
      <c r="AD70" s="10">
        <f>IFERROR(VLOOKUP($P70,'CY Rushing Query'!$B:$O,7,FALSE)/VLOOKUP($P70,'CY Rushing Query'!$B:$O,5,FALSE),0)</f>
        <v>1.9411764705882353</v>
      </c>
      <c r="AE70" s="10">
        <f>IFERROR(AVERAGE(VLOOKUP($P70,'PY Rushing'!$C:$P,8,FALSE)/VLOOKUP($P70,'PY Rushing'!$C:$P,5,FALSE),VLOOKUP($P70,'CY Rushing'!$C:$P,8,FALSE)/VLOOKUP($P70,'CY Rushing'!$C:$P,5,FALSE)),0)</f>
        <v>0</v>
      </c>
      <c r="AF70" s="10">
        <f>IFERROR(VLOOKUP($P70,'CY Rushing Query'!$B:$P,12,FALSE),0)</f>
        <v>4.2</v>
      </c>
      <c r="AG70" s="10">
        <f>IFERROR(VLOOKUP($P70,'CY Rushing Query'!$B:$P,9,FALSE)/VLOOKUP($P70,'CY Rushing Query'!$B:$P,5,FALSE),0)</f>
        <v>0</v>
      </c>
      <c r="AH70" s="10">
        <f>VLOOKUP($J70,'Vegas Odds'!$B:$S,18,FALSE)</f>
        <v>38.06292701199007</v>
      </c>
      <c r="AI70" s="10">
        <f>VLOOKUP($J70,'Vegas Odds'!$B:$S,17,FALSE)</f>
        <v>29.237072988009928</v>
      </c>
      <c r="AJ70">
        <f t="shared" ref="AJ70:AJ133" si="39">IF(AND(H70&gt;=4000,OR(L70="Q",L70=""),BD70=1),1,0)</f>
        <v>1</v>
      </c>
      <c r="AK70" s="10">
        <f t="shared" si="23"/>
        <v>0</v>
      </c>
      <c r="AL70" s="10">
        <f t="shared" si="24"/>
        <v>0</v>
      </c>
      <c r="AM70" s="10">
        <f>V70/'CY Defensive Stats Query'!$AD$34*'Fanduel Export'!Q70</f>
        <v>0</v>
      </c>
      <c r="AN70" s="10">
        <f t="shared" si="19"/>
        <v>0</v>
      </c>
      <c r="AO70" s="10">
        <f>IFERROR(IF(OR($B70="D",$B70="K"),0,VLOOKUP($P70,'CY Receving Query'!$B:$S,7,FALSE)/VLOOKUP($P70,'CY Receving Query'!$B:$S,5,FALSE)),0)*$AJ70</f>
        <v>0.41176470588235292</v>
      </c>
      <c r="AP70" s="10">
        <f t="shared" si="25"/>
        <v>30.199512497306614</v>
      </c>
      <c r="AQ70" s="10">
        <f t="shared" si="26"/>
        <v>0.51898089240716627</v>
      </c>
      <c r="AR70" s="16">
        <f t="shared" si="27"/>
        <v>0.35294117647058826</v>
      </c>
      <c r="AS70" s="16">
        <f t="shared" si="28"/>
        <v>0.44484076492042829</v>
      </c>
      <c r="AT70" s="16">
        <f>AA70/'CY Defensive Stats Query'!$AH$34
*'Fanduel Export'!S70</f>
        <v>4.6529238502485626</v>
      </c>
      <c r="AU70" s="10">
        <f t="shared" si="20"/>
        <v>2.0698102046610751</v>
      </c>
      <c r="AV70" s="10">
        <f t="shared" si="29"/>
        <v>1.9411764705882353</v>
      </c>
      <c r="AW70" s="10">
        <f t="shared" si="30"/>
        <v>30.007352941176471</v>
      </c>
      <c r="AX70" s="10">
        <f t="shared" si="31"/>
        <v>1.8913470396556289</v>
      </c>
      <c r="AY70" s="10">
        <f>AF70/'CY Defensive Stats Query'!$AF$34
*R70</f>
        <v>4.7785386149842779</v>
      </c>
      <c r="AZ70" s="10">
        <f t="shared" si="21"/>
        <v>9.0378748633306234</v>
      </c>
      <c r="BA70" s="16">
        <f t="shared" si="32"/>
        <v>1.2872390950344641</v>
      </c>
      <c r="BB70" s="16">
        <f t="shared" si="33"/>
        <v>0.26270185612948244</v>
      </c>
      <c r="BC70" s="10">
        <f t="shared" si="34"/>
        <v>8.4033613445378144E-2</v>
      </c>
      <c r="BD70" s="10">
        <f>IF(B70="QB",COUNTIFS($B$5:B70,B70,$J$5:J70,J70),1)</f>
        <v>1</v>
      </c>
      <c r="BE70" t="str">
        <f t="shared" si="35"/>
        <v>Corey Clement</v>
      </c>
      <c r="BF70">
        <f t="shared" si="36"/>
        <v>4900</v>
      </c>
      <c r="BG70" t="str">
        <f t="shared" si="37"/>
        <v>RB</v>
      </c>
      <c r="BH70" s="16">
        <f t="shared" si="38"/>
        <v>1.2872390950344641</v>
      </c>
    </row>
    <row r="71" spans="1:60" x14ac:dyDescent="0.2">
      <c r="A71" t="s">
        <v>2826</v>
      </c>
      <c r="B71" t="s">
        <v>83</v>
      </c>
      <c r="C71" t="s">
        <v>2209</v>
      </c>
      <c r="D71" t="s">
        <v>271</v>
      </c>
      <c r="E71" t="s">
        <v>2827</v>
      </c>
      <c r="F71">
        <v>3.6235293220071201</v>
      </c>
      <c r="G71">
        <v>17</v>
      </c>
      <c r="H71">
        <v>4900</v>
      </c>
      <c r="I71" t="s">
        <v>2720</v>
      </c>
      <c r="J71" t="s">
        <v>102</v>
      </c>
      <c r="K71" t="s">
        <v>728</v>
      </c>
      <c r="O71" t="str">
        <f t="shared" si="22"/>
        <v>Jalen Reagor</v>
      </c>
      <c r="P71" t="str">
        <f>IFERROR(VLOOKUP(O:O,'Name Bridge'!A:B,2,FALSE),O:O)</f>
        <v>Jalen Reagor</v>
      </c>
      <c r="Q71" s="10">
        <f>VLOOKUP($K71,'CY Defensive Stats Query'!$AC:$AH,2,FALSE)</f>
        <v>7.0486111111111107</v>
      </c>
      <c r="R71" s="10">
        <f>VLOOKUP($K71,'CY Defensive Stats Query'!$AC:$AH,4,FALSE)</f>
        <v>3.0806451612903225</v>
      </c>
      <c r="S71" s="10">
        <f>VLOOKUP($K71,'CY Defensive Stats Query'!$AC:$AH,6,FALSE)</f>
        <v>9.759615384615385</v>
      </c>
      <c r="T71" s="10">
        <f>IFERROR(VLOOKUP($P71,'CYPassing Query'!$B:$AE,9,FALSE)/VLOOKUP($P71,'CYPassing Query'!$B:$AE,5,FALSE),0)</f>
        <v>0</v>
      </c>
      <c r="U71" s="10">
        <f>IFERROR(VLOOKUP($P71,'CYPassing Query'!$B:$AE,11,FALSE)/VLOOKUP($P71,'CYPassing Query'!$B:$AE,5,FALSE),0)</f>
        <v>0</v>
      </c>
      <c r="V71" s="10">
        <f>IFERROR(VLOOKUP($P71,'CYPassing Query'!$B:$AE,18,FALSE),0)</f>
        <v>0</v>
      </c>
      <c r="W71" s="10">
        <f>IFERROR(VLOOKUP($P71,'CYPassing Query'!$B:$AE,12,FALSE)/VLOOKUP($P71,'CYPassing Query'!$B:$AE,5,FALSE),0)</f>
        <v>0</v>
      </c>
      <c r="X71" s="10">
        <f>IFERROR(IF(OR($B71="D",$B71="K"),0,VLOOKUP($P71,'CY Receving Query'!$B:$S,7,FALSE)/VLOOKUP($P71,'CY Receving Query'!$B:$S,5,FALSE)),0)*$AJ71</f>
        <v>3.3529411764705883</v>
      </c>
      <c r="Y71" s="10">
        <f>IFERROR(VLOOKUP($P71,'CY Receving Query'!$B:$S,8,FALSE)/VLOOKUP($P71,'CY Receving Query'!$B:$S,5,FALSE),0)</f>
        <v>1.9411764705882353</v>
      </c>
      <c r="Z71" s="10">
        <f>IFERROR(VLOOKUP($P71,'CY Receving Query'!$B:$S,10,FALSE)/VLOOKUP($P71,'CY Receving Query'!$B:$S,5,FALSE),0)</f>
        <v>17.588235294117649</v>
      </c>
      <c r="AA71" s="10">
        <f>IFERROR(VLOOKUP($P71,'CY Receving Query'!$B:$S,11,FALSE),0)</f>
        <v>9.1</v>
      </c>
      <c r="AB71" s="10">
        <f>IFERROR(AVERAGE(VLOOKUP($P71,'PY Receiving'!$C:$T,14,FALSE),VLOOKUP($P71,'CY Receiving'!$C:$T,14,FALSE)),0)</f>
        <v>39</v>
      </c>
      <c r="AC71" s="10">
        <f>IFERROR(VLOOKUP($P71,'CY Receving Query'!$B:$S,11,FALSE)/VLOOKUP($P71,'CY Receving Query'!$B:$S,5,FALSE),0)</f>
        <v>0.53529411764705881</v>
      </c>
      <c r="AD71" s="10">
        <f>IFERROR(VLOOKUP($P71,'CY Rushing Query'!$B:$O,7,FALSE)/VLOOKUP($P71,'CY Rushing Query'!$B:$O,5,FALSE),0)</f>
        <v>0.58823529411764708</v>
      </c>
      <c r="AE71" s="10">
        <f>IFERROR(AVERAGE(VLOOKUP($P71,'PY Rushing'!$C:$P,8,FALSE)/VLOOKUP($P71,'PY Rushing'!$C:$P,5,FALSE),VLOOKUP($P71,'CY Rushing'!$C:$P,8,FALSE)/VLOOKUP($P71,'CY Rushing'!$C:$P,5,FALSE)),0)</f>
        <v>0</v>
      </c>
      <c r="AF71" s="10">
        <f>IFERROR(VLOOKUP($P71,'CY Rushing Query'!$B:$P,12,FALSE),0)</f>
        <v>3.2</v>
      </c>
      <c r="AG71" s="10">
        <f>IFERROR(VLOOKUP($P71,'CY Rushing Query'!$B:$P,9,FALSE)/VLOOKUP($P71,'CY Rushing Query'!$B:$P,5,FALSE),0)</f>
        <v>0</v>
      </c>
      <c r="AH71" s="10">
        <f>VLOOKUP($J71,'Vegas Odds'!$B:$S,18,FALSE)</f>
        <v>44.85966247691475</v>
      </c>
      <c r="AI71" s="10">
        <f>VLOOKUP($J71,'Vegas Odds'!$B:$S,17,FALSE)</f>
        <v>17.740337523085255</v>
      </c>
      <c r="AJ71">
        <f t="shared" si="39"/>
        <v>1</v>
      </c>
      <c r="AK71" s="10">
        <f t="shared" si="23"/>
        <v>0</v>
      </c>
      <c r="AL71" s="10">
        <f t="shared" si="24"/>
        <v>0</v>
      </c>
      <c r="AM71" s="10">
        <f>V71/'CY Defensive Stats Query'!$AD$34*'Fanduel Export'!Q71</f>
        <v>0</v>
      </c>
      <c r="AN71" s="10">
        <f t="shared" si="19"/>
        <v>0</v>
      </c>
      <c r="AO71" s="10">
        <f>IFERROR(IF(OR($B71="D",$B71="K"),0,VLOOKUP($P71,'CY Receving Query'!$B:$S,7,FALSE)/VLOOKUP($P71,'CY Receving Query'!$B:$S,5,FALSE)),0)*$AJ71</f>
        <v>3.3529411764705883</v>
      </c>
      <c r="AP71" s="10">
        <f t="shared" si="25"/>
        <v>28.54982492997199</v>
      </c>
      <c r="AQ71" s="10">
        <f t="shared" si="26"/>
        <v>5.2683969113770539</v>
      </c>
      <c r="AR71" s="16">
        <f t="shared" si="27"/>
        <v>1.9411764705882353</v>
      </c>
      <c r="AS71" s="16">
        <f t="shared" si="28"/>
        <v>3.0501245276393472</v>
      </c>
      <c r="AT71" s="16">
        <f>AA71/'CY Defensive Stats Query'!$AH$34
*'Fanduel Export'!S71</f>
        <v>8.4471212365212356</v>
      </c>
      <c r="AU71" s="10">
        <f t="shared" si="20"/>
        <v>25.764771671456632</v>
      </c>
      <c r="AV71" s="10">
        <f t="shared" si="29"/>
        <v>0.58823529411764708</v>
      </c>
      <c r="AW71" s="10">
        <f t="shared" si="30"/>
        <v>56.303606442577035</v>
      </c>
      <c r="AX71" s="10">
        <f t="shared" si="31"/>
        <v>0.18534323678326617</v>
      </c>
      <c r="AY71" s="10">
        <f>AF71/'CY Defensive Stats Query'!$AF$34
*R71</f>
        <v>2.3837790792965179</v>
      </c>
      <c r="AZ71" s="10">
        <f t="shared" si="21"/>
        <v>0.44181733033305076</v>
      </c>
      <c r="BA71" s="16">
        <f t="shared" si="32"/>
        <v>3.5912471354730862</v>
      </c>
      <c r="BB71" s="16">
        <f t="shared" si="33"/>
        <v>0.73290757866797673</v>
      </c>
      <c r="BC71" s="10">
        <f t="shared" si="34"/>
        <v>0.68427370948379351</v>
      </c>
      <c r="BD71" s="10">
        <f>IF(B71="QB",COUNTIFS($B$5:B71,B71,$J$5:J71,J71),1)</f>
        <v>1</v>
      </c>
      <c r="BE71" t="str">
        <f t="shared" si="35"/>
        <v>Jalen Reagor</v>
      </c>
      <c r="BF71">
        <f t="shared" si="36"/>
        <v>4900</v>
      </c>
      <c r="BG71" t="str">
        <f t="shared" si="37"/>
        <v>WR</v>
      </c>
      <c r="BH71" s="16">
        <f t="shared" si="38"/>
        <v>3.5912471354730862</v>
      </c>
    </row>
    <row r="72" spans="1:60" x14ac:dyDescent="0.2">
      <c r="A72" t="s">
        <v>2828</v>
      </c>
      <c r="B72" t="s">
        <v>68</v>
      </c>
      <c r="C72" t="s">
        <v>2678</v>
      </c>
      <c r="D72" t="s">
        <v>2679</v>
      </c>
      <c r="E72" t="s">
        <v>2680</v>
      </c>
      <c r="F72">
        <v>3.4545454545454501</v>
      </c>
      <c r="G72">
        <v>11</v>
      </c>
      <c r="H72">
        <v>4800</v>
      </c>
      <c r="I72" t="s">
        <v>2718</v>
      </c>
      <c r="J72" t="s">
        <v>138</v>
      </c>
      <c r="K72" t="s">
        <v>729</v>
      </c>
      <c r="O72" t="str">
        <f t="shared" si="22"/>
        <v>JaMycal Hasty</v>
      </c>
      <c r="P72" t="str">
        <f>IFERROR(VLOOKUP(O:O,'Name Bridge'!A:B,2,FALSE),O:O)</f>
        <v>JaMycal Hasty</v>
      </c>
      <c r="Q72" s="10">
        <f>VLOOKUP($K72,'CY Defensive Stats Query'!$AC:$AH,2,FALSE)</f>
        <v>7.6538461538461542</v>
      </c>
      <c r="R72" s="10">
        <f>VLOOKUP($K72,'CY Defensive Stats Query'!$AC:$AH,4,FALSE)</f>
        <v>4.6888888888888891</v>
      </c>
      <c r="S72" s="10">
        <f>VLOOKUP($K72,'CY Defensive Stats Query'!$AC:$AH,6,FALSE)</f>
        <v>11.306818181818182</v>
      </c>
      <c r="T72" s="10">
        <f>IFERROR(VLOOKUP($P72,'CYPassing Query'!$B:$AE,9,FALSE)/VLOOKUP($P72,'CYPassing Query'!$B:$AE,5,FALSE),0)</f>
        <v>0</v>
      </c>
      <c r="U72" s="10">
        <f>IFERROR(VLOOKUP($P72,'CYPassing Query'!$B:$AE,11,FALSE)/VLOOKUP($P72,'CYPassing Query'!$B:$AE,5,FALSE),0)</f>
        <v>0</v>
      </c>
      <c r="V72" s="10">
        <f>IFERROR(VLOOKUP($P72,'CYPassing Query'!$B:$AE,18,FALSE),0)</f>
        <v>0</v>
      </c>
      <c r="W72" s="10">
        <f>IFERROR(VLOOKUP($P72,'CYPassing Query'!$B:$AE,12,FALSE)/VLOOKUP($P72,'CYPassing Query'!$B:$AE,5,FALSE),0)</f>
        <v>0</v>
      </c>
      <c r="X72" s="10">
        <f>IFERROR(IF(OR($B72="D",$B72="K"),0,VLOOKUP($P72,'CY Receving Query'!$B:$S,7,FALSE)/VLOOKUP($P72,'CY Receving Query'!$B:$S,5,FALSE)),0)*$AJ72</f>
        <v>2.6363636363636362</v>
      </c>
      <c r="Y72" s="10">
        <f>IFERROR(VLOOKUP($P72,'CY Receving Query'!$B:$S,8,FALSE)/VLOOKUP($P72,'CY Receving Query'!$B:$S,5,FALSE),0)</f>
        <v>2.0909090909090908</v>
      </c>
      <c r="Z72" s="10">
        <f>IFERROR(VLOOKUP($P72,'CY Receving Query'!$B:$S,10,FALSE)/VLOOKUP($P72,'CY Receving Query'!$B:$S,5,FALSE),0)</f>
        <v>14.272727272727273</v>
      </c>
      <c r="AA72" s="10">
        <f>IFERROR(VLOOKUP($P72,'CY Receving Query'!$B:$S,11,FALSE),0)</f>
        <v>6.8</v>
      </c>
      <c r="AB72" s="10">
        <f>IFERROR(AVERAGE(VLOOKUP($P72,'PY Receiving'!$C:$T,14,FALSE),VLOOKUP($P72,'CY Receiving'!$C:$T,14,FALSE)),0)</f>
        <v>15.5</v>
      </c>
      <c r="AC72" s="10">
        <f>IFERROR(VLOOKUP($P72,'CY Receving Query'!$B:$S,11,FALSE)/VLOOKUP($P72,'CY Receving Query'!$B:$S,5,FALSE),0)</f>
        <v>0.61818181818181817</v>
      </c>
      <c r="AD72" s="10">
        <f>IFERROR(VLOOKUP($P72,'CY Rushing Query'!$B:$O,7,FALSE)/VLOOKUP($P72,'CY Rushing Query'!$B:$O,5,FALSE),0)</f>
        <v>1.4545454545454546</v>
      </c>
      <c r="AE72" s="10">
        <f>IFERROR(AVERAGE(VLOOKUP($P72,'PY Rushing'!$C:$P,8,FALSE)/VLOOKUP($P72,'PY Rushing'!$C:$P,5,FALSE),VLOOKUP($P72,'CY Rushing'!$C:$P,8,FALSE)/VLOOKUP($P72,'CY Rushing'!$C:$P,5,FALSE)),0)</f>
        <v>10.75</v>
      </c>
      <c r="AF72" s="10">
        <f>IFERROR(VLOOKUP($P72,'CY Rushing Query'!$B:$P,12,FALSE),0)</f>
        <v>4.3</v>
      </c>
      <c r="AG72" s="10">
        <f>IFERROR(VLOOKUP($P72,'CY Rushing Query'!$B:$P,9,FALSE)/VLOOKUP($P72,'CY Rushing Query'!$B:$P,5,FALSE),0)</f>
        <v>9.0909090909090912E-2</v>
      </c>
      <c r="AH72" s="10">
        <f>VLOOKUP($J72,'Vegas Odds'!$B:$S,18,FALSE)</f>
        <v>32.679248170039784</v>
      </c>
      <c r="AI72" s="10">
        <f>VLOOKUP($J72,'Vegas Odds'!$B:$S,17,FALSE)</f>
        <v>32.620751829960213</v>
      </c>
      <c r="AJ72">
        <f t="shared" si="39"/>
        <v>1</v>
      </c>
      <c r="AK72" s="10">
        <f t="shared" si="23"/>
        <v>0</v>
      </c>
      <c r="AL72" s="10">
        <f t="shared" si="24"/>
        <v>0</v>
      </c>
      <c r="AM72" s="10">
        <f>V72/'CY Defensive Stats Query'!$AD$34*'Fanduel Export'!Q72</f>
        <v>0</v>
      </c>
      <c r="AN72" s="10">
        <f t="shared" si="19"/>
        <v>0</v>
      </c>
      <c r="AO72" s="10">
        <f>IFERROR(IF(OR($B72="D",$B72="K"),0,VLOOKUP($P72,'CY Receving Query'!$B:$S,7,FALSE)/VLOOKUP($P72,'CY Receving Query'!$B:$S,5,FALSE)),0)*$AJ72</f>
        <v>2.6363636363636362</v>
      </c>
      <c r="AP72" s="10">
        <f t="shared" si="25"/>
        <v>29.704370384517439</v>
      </c>
      <c r="AQ72" s="10">
        <f t="shared" si="26"/>
        <v>2.900394131366653</v>
      </c>
      <c r="AR72" s="16">
        <f t="shared" si="27"/>
        <v>2.0909090909090908</v>
      </c>
      <c r="AS72" s="16">
        <f t="shared" si="28"/>
        <v>2.3003125869459664</v>
      </c>
      <c r="AT72" s="16">
        <f>AA72/'CY Defensive Stats Query'!$AH$34
*'Fanduel Export'!S72</f>
        <v>7.3128043357818022</v>
      </c>
      <c r="AU72" s="10">
        <f t="shared" si="20"/>
        <v>16.821735859471918</v>
      </c>
      <c r="AV72" s="10">
        <f t="shared" si="29"/>
        <v>1.4545454545454546</v>
      </c>
      <c r="AW72" s="10">
        <f t="shared" si="30"/>
        <v>40.335297300738475</v>
      </c>
      <c r="AX72" s="10">
        <f t="shared" si="31"/>
        <v>1.1763484955707826</v>
      </c>
      <c r="AY72" s="10">
        <f>AF72/'CY Defensive Stats Query'!$AF$34
*R72</f>
        <v>4.8754279754230403</v>
      </c>
      <c r="AZ72" s="10">
        <f t="shared" si="21"/>
        <v>5.7352023641525998</v>
      </c>
      <c r="BA72" s="16">
        <f t="shared" si="32"/>
        <v>3.3011483678169973</v>
      </c>
      <c r="BB72" s="16">
        <f t="shared" si="33"/>
        <v>0.68773924329520775</v>
      </c>
      <c r="BC72" s="10">
        <f t="shared" si="34"/>
        <v>0.5492424242424242</v>
      </c>
      <c r="BD72" s="10">
        <f>IF(B72="QB",COUNTIFS($B$5:B72,B72,$J$5:J72,J72),1)</f>
        <v>1</v>
      </c>
      <c r="BE72" t="str">
        <f t="shared" si="35"/>
        <v>JaMycal Hasty</v>
      </c>
      <c r="BF72">
        <f t="shared" si="36"/>
        <v>4800</v>
      </c>
      <c r="BG72" t="str">
        <f t="shared" si="37"/>
        <v>RB</v>
      </c>
      <c r="BH72" s="16">
        <f t="shared" si="38"/>
        <v>3.3011483678169973</v>
      </c>
    </row>
    <row r="73" spans="1:60" hidden="1" x14ac:dyDescent="0.2">
      <c r="A73" t="s">
        <v>2829</v>
      </c>
      <c r="B73" t="s">
        <v>308</v>
      </c>
      <c r="C73" t="s">
        <v>2830</v>
      </c>
      <c r="D73" t="s">
        <v>695</v>
      </c>
      <c r="E73" t="s">
        <v>2831</v>
      </c>
      <c r="F73">
        <v>7.7058823529411704</v>
      </c>
      <c r="G73">
        <v>17</v>
      </c>
      <c r="H73">
        <v>4800</v>
      </c>
      <c r="I73" t="s">
        <v>2716</v>
      </c>
      <c r="J73" t="s">
        <v>81</v>
      </c>
      <c r="K73" t="s">
        <v>99</v>
      </c>
      <c r="O73" t="str">
        <f t="shared" si="22"/>
        <v>Kansas City Chiefs</v>
      </c>
      <c r="P73" t="str">
        <f>IFERROR(VLOOKUP(O:O,'Name Bridge'!A:B,2,FALSE),O:O)</f>
        <v>KC</v>
      </c>
      <c r="Q73" s="10">
        <f>VLOOKUP($K73,'CY Defensive Stats Query'!$AC:$AH,2,FALSE)</f>
        <v>7.5377358490566042</v>
      </c>
      <c r="R73" s="10">
        <f>VLOOKUP($K73,'CY Defensive Stats Query'!$AC:$AH,4,FALSE)</f>
        <v>3.5810810810810811</v>
      </c>
      <c r="S73" s="10">
        <f>VLOOKUP($K73,'CY Defensive Stats Query'!$AC:$AH,6,FALSE)</f>
        <v>11.097222222222221</v>
      </c>
      <c r="T73" s="10">
        <f>IFERROR(VLOOKUP($P73,'CYPassing Query'!$B:$AE,9,FALSE)/VLOOKUP($P73,'CYPassing Query'!$B:$AE,5,FALSE),0)</f>
        <v>0</v>
      </c>
      <c r="U73" s="10">
        <f>IFERROR(VLOOKUP($P73,'CYPassing Query'!$B:$AE,11,FALSE)/VLOOKUP($P73,'CYPassing Query'!$B:$AE,5,FALSE),0)</f>
        <v>0</v>
      </c>
      <c r="V73" s="10">
        <f>IFERROR(VLOOKUP($P73,'CYPassing Query'!$B:$AE,18,FALSE),0)</f>
        <v>0</v>
      </c>
      <c r="W73" s="10">
        <f>IFERROR(VLOOKUP($P73,'CYPassing Query'!$B:$AE,12,FALSE)/VLOOKUP($P73,'CYPassing Query'!$B:$AE,5,FALSE),0)</f>
        <v>0</v>
      </c>
      <c r="X73" s="10">
        <f>IFERROR(IF(OR($B73="D",$B73="K"),0,VLOOKUP($P73,'CY Receving Query'!$B:$S,7,FALSE)/VLOOKUP($P73,'CY Receving Query'!$B:$S,5,FALSE)),0)*$AJ73</f>
        <v>0</v>
      </c>
      <c r="Y73" s="10">
        <f>IFERROR(VLOOKUP($P73,'CY Receving Query'!$B:$S,8,FALSE)/VLOOKUP($P73,'CY Receving Query'!$B:$S,5,FALSE),0)</f>
        <v>0</v>
      </c>
      <c r="Z73" s="10">
        <f>IFERROR(VLOOKUP($P73,'CY Receving Query'!$B:$S,10,FALSE)/VLOOKUP($P73,'CY Receving Query'!$B:$S,5,FALSE),0)</f>
        <v>0</v>
      </c>
      <c r="AA73" s="10">
        <f>IFERROR(VLOOKUP($P73,'CY Receving Query'!$B:$S,11,FALSE),0)</f>
        <v>0</v>
      </c>
      <c r="AB73" s="10">
        <f>IFERROR(AVERAGE(VLOOKUP($P73,'PY Receiving'!$C:$T,14,FALSE),VLOOKUP($P73,'CY Receiving'!$C:$T,14,FALSE)),0)</f>
        <v>0</v>
      </c>
      <c r="AC73" s="10">
        <f>IFERROR(VLOOKUP($P73,'CY Receving Query'!$B:$S,11,FALSE)/VLOOKUP($P73,'CY Receving Query'!$B:$S,5,FALSE),0)</f>
        <v>0</v>
      </c>
      <c r="AD73" s="10">
        <f>IFERROR(VLOOKUP($P73,'CY Rushing Query'!$B:$O,7,FALSE)/VLOOKUP($P73,'CY Rushing Query'!$B:$O,5,FALSE),0)</f>
        <v>0</v>
      </c>
      <c r="AE73" s="10">
        <f>IFERROR(AVERAGE(VLOOKUP($P73,'PY Rushing'!$C:$P,8,FALSE)/VLOOKUP($P73,'PY Rushing'!$C:$P,5,FALSE),VLOOKUP($P73,'CY Rushing'!$C:$P,8,FALSE)/VLOOKUP($P73,'CY Rushing'!$C:$P,5,FALSE)),0)</f>
        <v>0</v>
      </c>
      <c r="AF73" s="10">
        <f>IFERROR(VLOOKUP($P73,'CY Rushing Query'!$B:$P,12,FALSE),0)</f>
        <v>0</v>
      </c>
      <c r="AG73" s="10">
        <f>IFERROR(VLOOKUP($P73,'CY Rushing Query'!$B:$P,9,FALSE)/VLOOKUP($P73,'CY Rushing Query'!$B:$P,5,FALSE),0)</f>
        <v>0</v>
      </c>
      <c r="AH73" s="10">
        <f>VLOOKUP($J73,'Vegas Odds'!$B:$S,18,FALSE)</f>
        <v>37.933262350936971</v>
      </c>
      <c r="AI73" s="10">
        <f>VLOOKUP($J73,'Vegas Odds'!$B:$S,17,FALSE)</f>
        <v>27.766737649063032</v>
      </c>
      <c r="AJ73">
        <f t="shared" si="39"/>
        <v>1</v>
      </c>
      <c r="AK73" s="10">
        <f t="shared" si="23"/>
        <v>0</v>
      </c>
      <c r="AL73" s="10">
        <f t="shared" si="24"/>
        <v>0</v>
      </c>
      <c r="AM73" s="10">
        <f>V73/'CY Defensive Stats Query'!$AD$34*'Fanduel Export'!Q73</f>
        <v>0</v>
      </c>
      <c r="AN73" s="10">
        <f t="shared" si="19"/>
        <v>0</v>
      </c>
      <c r="AO73" s="10">
        <f>IFERROR(IF(OR($B73="D",$B73="K"),0,VLOOKUP($P73,'CY Receving Query'!$B:$S,7,FALSE)/VLOOKUP($P73,'CY Receving Query'!$B:$S,5,FALSE)),0)*$AJ73</f>
        <v>0</v>
      </c>
      <c r="AP73" s="10">
        <f t="shared" si="25"/>
        <v>37.365221788015901</v>
      </c>
      <c r="AQ73" s="10">
        <f t="shared" si="26"/>
        <v>0</v>
      </c>
      <c r="AR73" s="16">
        <f t="shared" si="27"/>
        <v>0</v>
      </c>
      <c r="AS73" s="16">
        <f t="shared" si="28"/>
        <v>0</v>
      </c>
      <c r="AT73" s="16">
        <f>AA73/'CY Defensive Stats Query'!$AH$34
*'Fanduel Export'!S73</f>
        <v>0</v>
      </c>
      <c r="AU73" s="10">
        <f t="shared" si="20"/>
        <v>0</v>
      </c>
      <c r="AV73" s="10">
        <f t="shared" si="29"/>
        <v>0</v>
      </c>
      <c r="AW73" s="10">
        <f t="shared" si="30"/>
        <v>19.787381735911151</v>
      </c>
      <c r="AX73" s="10">
        <f t="shared" si="31"/>
        <v>0</v>
      </c>
      <c r="AY73" s="10">
        <f>AF73/'CY Defensive Stats Query'!$AF$34
*R73</f>
        <v>0</v>
      </c>
      <c r="AZ73" s="10">
        <f t="shared" si="21"/>
        <v>0</v>
      </c>
      <c r="BA73" s="16">
        <f t="shared" si="32"/>
        <v>0</v>
      </c>
      <c r="BB73" s="16">
        <f t="shared" si="33"/>
        <v>0</v>
      </c>
      <c r="BC73" s="10">
        <f t="shared" si="34"/>
        <v>0</v>
      </c>
      <c r="BD73" s="10">
        <f>IF(B73="QB",COUNTIFS($B$5:B73,B73,$J$5:J73,J73),1)</f>
        <v>1</v>
      </c>
      <c r="BE73" t="str">
        <f t="shared" si="35"/>
        <v>Kansas City Chiefs</v>
      </c>
      <c r="BF73">
        <f t="shared" si="36"/>
        <v>4800</v>
      </c>
      <c r="BG73" t="str">
        <f t="shared" si="37"/>
        <v>D</v>
      </c>
      <c r="BH73" s="16">
        <f t="shared" si="38"/>
        <v>0</v>
      </c>
    </row>
    <row r="74" spans="1:60" x14ac:dyDescent="0.2">
      <c r="A74" t="s">
        <v>2832</v>
      </c>
      <c r="B74" t="s">
        <v>83</v>
      </c>
      <c r="C74" t="s">
        <v>2243</v>
      </c>
      <c r="D74" t="s">
        <v>334</v>
      </c>
      <c r="E74" t="s">
        <v>2254</v>
      </c>
      <c r="F74">
        <v>3.5866666158040301</v>
      </c>
      <c r="G74">
        <v>15</v>
      </c>
      <c r="H74">
        <v>4800</v>
      </c>
      <c r="I74" t="s">
        <v>2716</v>
      </c>
      <c r="J74" t="s">
        <v>99</v>
      </c>
      <c r="K74" t="s">
        <v>81</v>
      </c>
      <c r="O74" t="str">
        <f t="shared" si="22"/>
        <v>James Washington</v>
      </c>
      <c r="P74" t="str">
        <f>IFERROR(VLOOKUP(O:O,'Name Bridge'!A:B,2,FALSE),O:O)</f>
        <v>James Washington</v>
      </c>
      <c r="Q74" s="10">
        <f>VLOOKUP($K74,'CY Defensive Stats Query'!$AC:$AH,2,FALSE)</f>
        <v>8.7934782608695645</v>
      </c>
      <c r="R74" s="10">
        <f>VLOOKUP($K74,'CY Defensive Stats Query'!$AC:$AH,4,FALSE)</f>
        <v>5.404494382022472</v>
      </c>
      <c r="S74" s="10">
        <f>VLOOKUP($K74,'CY Defensive Stats Query'!$AC:$AH,6,FALSE)</f>
        <v>12.446153846153846</v>
      </c>
      <c r="T74" s="10">
        <f>IFERROR(VLOOKUP($P74,'CYPassing Query'!$B:$AE,9,FALSE)/VLOOKUP($P74,'CYPassing Query'!$B:$AE,5,FALSE),0)</f>
        <v>0</v>
      </c>
      <c r="U74" s="10">
        <f>IFERROR(VLOOKUP($P74,'CYPassing Query'!$B:$AE,11,FALSE)/VLOOKUP($P74,'CYPassing Query'!$B:$AE,5,FALSE),0)</f>
        <v>0</v>
      </c>
      <c r="V74" s="10">
        <f>IFERROR(VLOOKUP($P74,'CYPassing Query'!$B:$AE,18,FALSE),0)</f>
        <v>0</v>
      </c>
      <c r="W74" s="10">
        <f>IFERROR(VLOOKUP($P74,'CYPassing Query'!$B:$AE,12,FALSE)/VLOOKUP($P74,'CYPassing Query'!$B:$AE,5,FALSE),0)</f>
        <v>0</v>
      </c>
      <c r="X74" s="10">
        <f>IFERROR(IF(OR($B74="D",$B74="K"),0,VLOOKUP($P74,'CY Receving Query'!$B:$S,7,FALSE)/VLOOKUP($P74,'CY Receving Query'!$B:$S,5,FALSE)),0)*$AJ74</f>
        <v>2.9333333333333331</v>
      </c>
      <c r="Y74" s="10">
        <f>IFERROR(VLOOKUP($P74,'CY Receving Query'!$B:$S,8,FALSE)/VLOOKUP($P74,'CY Receving Query'!$B:$S,5,FALSE),0)</f>
        <v>1.6</v>
      </c>
      <c r="Z74" s="10">
        <f>IFERROR(VLOOKUP($P74,'CY Receving Query'!$B:$S,10,FALSE)/VLOOKUP($P74,'CY Receving Query'!$B:$S,5,FALSE),0)</f>
        <v>19</v>
      </c>
      <c r="AA74" s="10">
        <f>IFERROR(VLOOKUP($P74,'CY Receving Query'!$B:$S,11,FALSE),0)</f>
        <v>11.9</v>
      </c>
      <c r="AB74" s="10">
        <f>IFERROR(AVERAGE(VLOOKUP($P74,'PY Receiving'!$C:$T,14,FALSE),VLOOKUP($P74,'CY Receiving'!$C:$T,14,FALSE)),0)</f>
        <v>29.5</v>
      </c>
      <c r="AC74" s="10">
        <f>IFERROR(VLOOKUP($P74,'CY Receving Query'!$B:$S,11,FALSE)/VLOOKUP($P74,'CY Receving Query'!$B:$S,5,FALSE),0)</f>
        <v>0.79333333333333333</v>
      </c>
      <c r="AD74" s="10">
        <f>IFERROR(VLOOKUP($P74,'CY Rushing Query'!$B:$O,7,FALSE)/VLOOKUP($P74,'CY Rushing Query'!$B:$O,5,FALSE),0)</f>
        <v>0.13333333333333333</v>
      </c>
      <c r="AE74" s="10">
        <f>IFERROR(AVERAGE(VLOOKUP($P74,'PY Rushing'!$C:$P,8,FALSE)/VLOOKUP($P74,'PY Rushing'!$C:$P,5,FALSE),VLOOKUP($P74,'CY Rushing'!$C:$P,8,FALSE)/VLOOKUP($P74,'CY Rushing'!$C:$P,5,FALSE)),0)</f>
        <v>0</v>
      </c>
      <c r="AF74" s="10">
        <f>IFERROR(VLOOKUP($P74,'CY Rushing Query'!$B:$P,12,FALSE),0)</f>
        <v>6.5</v>
      </c>
      <c r="AG74" s="10">
        <f>IFERROR(VLOOKUP($P74,'CY Rushing Query'!$B:$P,9,FALSE)/VLOOKUP($P74,'CY Rushing Query'!$B:$P,5,FALSE),0)</f>
        <v>0</v>
      </c>
      <c r="AH74" s="10">
        <f>VLOOKUP($J74,'Vegas Odds'!$B:$S,18,FALSE)</f>
        <v>40.088640957860363</v>
      </c>
      <c r="AI74" s="10">
        <f>VLOOKUP($J74,'Vegas Odds'!$B:$S,17,FALSE)</f>
        <v>25.511359042139631</v>
      </c>
      <c r="AJ74">
        <f t="shared" si="39"/>
        <v>1</v>
      </c>
      <c r="AK74" s="10">
        <f t="shared" si="23"/>
        <v>0</v>
      </c>
      <c r="AL74" s="10">
        <f t="shared" si="24"/>
        <v>0</v>
      </c>
      <c r="AM74" s="10">
        <f>V74/'CY Defensive Stats Query'!$AD$34*'Fanduel Export'!Q74</f>
        <v>0</v>
      </c>
      <c r="AN74" s="10">
        <f t="shared" si="19"/>
        <v>0</v>
      </c>
      <c r="AO74" s="10">
        <f>IFERROR(IF(OR($B74="D",$B74="K"),0,VLOOKUP($P74,'CY Receving Query'!$B:$S,7,FALSE)/VLOOKUP($P74,'CY Receving Query'!$B:$S,5,FALSE)),0)*$AJ74</f>
        <v>2.9333333333333331</v>
      </c>
      <c r="AP74" s="10">
        <f t="shared" si="25"/>
        <v>32.289950980392156</v>
      </c>
      <c r="AQ74" s="10">
        <f t="shared" si="26"/>
        <v>3.6417939092298854</v>
      </c>
      <c r="AR74" s="16">
        <f t="shared" si="27"/>
        <v>1.6</v>
      </c>
      <c r="AS74" s="16">
        <f t="shared" si="28"/>
        <v>1.9864330413981195</v>
      </c>
      <c r="AT74" s="16">
        <f>AA74/'CY Defensive Stats Query'!$AH$34
*'Fanduel Export'!S74</f>
        <v>14.086943037923644</v>
      </c>
      <c r="AU74" s="10">
        <f t="shared" si="20"/>
        <v>27.982769102824729</v>
      </c>
      <c r="AV74" s="10">
        <f t="shared" si="29"/>
        <v>0.13333333333333333</v>
      </c>
      <c r="AW74" s="10">
        <f t="shared" si="30"/>
        <v>7.4240196078431371</v>
      </c>
      <c r="AX74" s="10">
        <f t="shared" si="31"/>
        <v>0.45817693360594119</v>
      </c>
      <c r="AY74" s="10">
        <f>AF74/'CY Defensive Stats Query'!$AF$34
*R74</f>
        <v>8.4945968893036898</v>
      </c>
      <c r="AZ74" s="10">
        <f t="shared" si="21"/>
        <v>3.8920283549597312</v>
      </c>
      <c r="BA74" s="16">
        <f t="shared" si="32"/>
        <v>3.9874797457784457</v>
      </c>
      <c r="BB74" s="16">
        <f t="shared" si="33"/>
        <v>0.83072494703717625</v>
      </c>
      <c r="BC74" s="10">
        <f t="shared" si="34"/>
        <v>0.61111111111111105</v>
      </c>
      <c r="BD74" s="10">
        <f>IF(B74="QB",COUNTIFS($B$5:B74,B74,$J$5:J74,J74),1)</f>
        <v>1</v>
      </c>
      <c r="BE74" t="str">
        <f t="shared" si="35"/>
        <v>James Washington</v>
      </c>
      <c r="BF74">
        <f t="shared" si="36"/>
        <v>4800</v>
      </c>
      <c r="BG74" t="str">
        <f t="shared" si="37"/>
        <v>WR</v>
      </c>
      <c r="BH74" s="16">
        <f t="shared" si="38"/>
        <v>3.9874797457784457</v>
      </c>
    </row>
    <row r="75" spans="1:60" x14ac:dyDescent="0.2">
      <c r="A75" t="s">
        <v>2833</v>
      </c>
      <c r="B75" t="s">
        <v>68</v>
      </c>
      <c r="C75" t="s">
        <v>2608</v>
      </c>
      <c r="D75" t="s">
        <v>1696</v>
      </c>
      <c r="E75" t="s">
        <v>2263</v>
      </c>
      <c r="F75">
        <v>4.7599998474121001</v>
      </c>
      <c r="G75">
        <v>10</v>
      </c>
      <c r="H75">
        <v>4700</v>
      </c>
      <c r="I75" t="s">
        <v>2720</v>
      </c>
      <c r="J75" t="s">
        <v>728</v>
      </c>
      <c r="K75" t="s">
        <v>102</v>
      </c>
      <c r="L75" t="s">
        <v>94</v>
      </c>
      <c r="M75" t="s">
        <v>597</v>
      </c>
      <c r="O75" t="str">
        <f t="shared" si="22"/>
        <v>Giovani Bernard</v>
      </c>
      <c r="P75" t="str">
        <f>IFERROR(VLOOKUP(O:O,'Name Bridge'!A:B,2,FALSE),O:O)</f>
        <v>Giovani Bernard</v>
      </c>
      <c r="Q75" s="10">
        <f>VLOOKUP($K75,'CY Defensive Stats Query'!$AC:$AH,2,FALSE)</f>
        <v>5.9890109890109891</v>
      </c>
      <c r="R75" s="10">
        <f>VLOOKUP($K75,'CY Defensive Stats Query'!$AC:$AH,4,FALSE)</f>
        <v>3.8190476190476192</v>
      </c>
      <c r="S75" s="10">
        <f>VLOOKUP($K75,'CY Defensive Stats Query'!$AC:$AH,6,FALSE)</f>
        <v>8.515625</v>
      </c>
      <c r="T75" s="10">
        <f>IFERROR(VLOOKUP($P75,'CYPassing Query'!$B:$AE,9,FALSE)/VLOOKUP($P75,'CYPassing Query'!$B:$AE,5,FALSE),0)</f>
        <v>0</v>
      </c>
      <c r="U75" s="10">
        <f>IFERROR(VLOOKUP($P75,'CYPassing Query'!$B:$AE,11,FALSE)/VLOOKUP($P75,'CYPassing Query'!$B:$AE,5,FALSE),0)</f>
        <v>0</v>
      </c>
      <c r="V75" s="10">
        <f>IFERROR(VLOOKUP($P75,'CYPassing Query'!$B:$AE,18,FALSE),0)</f>
        <v>0</v>
      </c>
      <c r="W75" s="10">
        <f>IFERROR(VLOOKUP($P75,'CYPassing Query'!$B:$AE,12,FALSE)/VLOOKUP($P75,'CYPassing Query'!$B:$AE,5,FALSE),0)</f>
        <v>0</v>
      </c>
      <c r="X75" s="10">
        <f>IFERROR(IF(OR($B75="D",$B75="K"),0,VLOOKUP($P75,'CY Receving Query'!$B:$S,7,FALSE)/VLOOKUP($P75,'CY Receving Query'!$B:$S,5,FALSE)),0)*$AJ75</f>
        <v>2.4166666666666665</v>
      </c>
      <c r="Y75" s="10">
        <f>IFERROR(VLOOKUP($P75,'CY Receving Query'!$B:$S,8,FALSE)/VLOOKUP($P75,'CY Receving Query'!$B:$S,5,FALSE),0)</f>
        <v>1.9166666666666667</v>
      </c>
      <c r="Z75" s="10">
        <f>IFERROR(VLOOKUP($P75,'CY Receving Query'!$B:$S,10,FALSE)/VLOOKUP($P75,'CY Receving Query'!$B:$S,5,FALSE),0)</f>
        <v>10.25</v>
      </c>
      <c r="AA75" s="10">
        <f>IFERROR(VLOOKUP($P75,'CY Receving Query'!$B:$S,11,FALSE),0)</f>
        <v>5.3</v>
      </c>
      <c r="AB75" s="10">
        <f>IFERROR(AVERAGE(VLOOKUP($P75,'PY Receiving'!$C:$T,14,FALSE),VLOOKUP($P75,'CY Receiving'!$C:$T,14,FALSE)),0)</f>
        <v>25</v>
      </c>
      <c r="AC75" s="10">
        <f>IFERROR(VLOOKUP($P75,'CY Receving Query'!$B:$S,11,FALSE)/VLOOKUP($P75,'CY Receving Query'!$B:$S,5,FALSE),0)</f>
        <v>0.44166666666666665</v>
      </c>
      <c r="AD75" s="10">
        <f>IFERROR(VLOOKUP($P75,'CY Rushing Query'!$B:$O,7,FALSE)/VLOOKUP($P75,'CY Rushing Query'!$B:$O,5,FALSE),0)</f>
        <v>0.66666666666666663</v>
      </c>
      <c r="AE75" s="10">
        <f>IFERROR(AVERAGE(VLOOKUP($P75,'PY Rushing'!$C:$P,8,FALSE)/VLOOKUP($P75,'PY Rushing'!$C:$P,5,FALSE),VLOOKUP($P75,'CY Rushing'!$C:$P,8,FALSE)/VLOOKUP($P75,'CY Rushing'!$C:$P,5,FALSE)),0)</f>
        <v>0</v>
      </c>
      <c r="AF75" s="10">
        <f>IFERROR(VLOOKUP($P75,'CY Rushing Query'!$B:$P,12,FALSE),0)</f>
        <v>7.3</v>
      </c>
      <c r="AG75" s="10">
        <f>IFERROR(VLOOKUP($P75,'CY Rushing Query'!$B:$P,9,FALSE)/VLOOKUP($P75,'CY Rushing Query'!$B:$P,5,FALSE),0)</f>
        <v>0</v>
      </c>
      <c r="AH75" s="10">
        <f>VLOOKUP($J75,'Vegas Odds'!$B:$S,18,FALSE)</f>
        <v>34.555825588251061</v>
      </c>
      <c r="AI75" s="10">
        <f>VLOOKUP($J75,'Vegas Odds'!$B:$S,17,FALSE)</f>
        <v>27.844174411748938</v>
      </c>
      <c r="AJ75">
        <f t="shared" si="39"/>
        <v>1</v>
      </c>
      <c r="AK75" s="10">
        <f t="shared" si="23"/>
        <v>0</v>
      </c>
      <c r="AL75" s="10">
        <f t="shared" si="24"/>
        <v>0</v>
      </c>
      <c r="AM75" s="10">
        <f>V75/'CY Defensive Stats Query'!$AD$34*'Fanduel Export'!Q75</f>
        <v>0</v>
      </c>
      <c r="AN75" s="10">
        <f t="shared" si="19"/>
        <v>0</v>
      </c>
      <c r="AO75" s="10">
        <f>IFERROR(IF(OR($B75="D",$B75="K"),0,VLOOKUP($P75,'CY Receving Query'!$B:$S,7,FALSE)/VLOOKUP($P75,'CY Receving Query'!$B:$S,5,FALSE)),0)*$AJ75</f>
        <v>2.4166666666666665</v>
      </c>
      <c r="AP75" s="10">
        <f t="shared" si="25"/>
        <v>25.587418300653596</v>
      </c>
      <c r="AQ75" s="10">
        <f t="shared" si="26"/>
        <v>3.2637099553001891</v>
      </c>
      <c r="AR75" s="16">
        <f t="shared" si="27"/>
        <v>1.9166666666666667</v>
      </c>
      <c r="AS75" s="16">
        <f t="shared" si="28"/>
        <v>2.5884596197208398</v>
      </c>
      <c r="AT75" s="16">
        <f>AA75/'CY Defensive Stats Query'!$AH$34
*'Fanduel Export'!S75</f>
        <v>4.2926653222539741</v>
      </c>
      <c r="AU75" s="10">
        <f t="shared" si="20"/>
        <v>11.111390847630359</v>
      </c>
      <c r="AV75" s="10">
        <f t="shared" si="29"/>
        <v>0.66666666666666663</v>
      </c>
      <c r="AW75" s="10">
        <f t="shared" si="30"/>
        <v>12.022058823529411</v>
      </c>
      <c r="AX75" s="10">
        <f t="shared" si="31"/>
        <v>1.5440602324150279</v>
      </c>
      <c r="AY75" s="10">
        <f>AF75/'CY Defensive Stats Query'!$AF$34
*R75</f>
        <v>6.7414339149702576</v>
      </c>
      <c r="AZ75" s="10">
        <f t="shared" si="21"/>
        <v>10.409180017559526</v>
      </c>
      <c r="BA75" s="16">
        <f t="shared" si="32"/>
        <v>3.110390419852322</v>
      </c>
      <c r="BB75" s="16">
        <f t="shared" si="33"/>
        <v>0.66178519571326</v>
      </c>
      <c r="BC75" s="10">
        <f t="shared" si="34"/>
        <v>0.51418439716312048</v>
      </c>
      <c r="BD75" s="10">
        <f>IF(B75="QB",COUNTIFS($B$5:B75,B75,$J$5:J75,J75),1)</f>
        <v>1</v>
      </c>
      <c r="BE75" t="str">
        <f t="shared" si="35"/>
        <v>Giovani Bernard</v>
      </c>
      <c r="BF75">
        <f t="shared" si="36"/>
        <v>4700</v>
      </c>
      <c r="BG75" t="str">
        <f t="shared" si="37"/>
        <v>RB</v>
      </c>
      <c r="BH75" s="16">
        <f t="shared" si="38"/>
        <v>3.110390419852322</v>
      </c>
    </row>
    <row r="76" spans="1:60" x14ac:dyDescent="0.2">
      <c r="A76" t="s">
        <v>2834</v>
      </c>
      <c r="B76" t="s">
        <v>68</v>
      </c>
      <c r="C76" t="s">
        <v>2241</v>
      </c>
      <c r="D76" t="s">
        <v>450</v>
      </c>
      <c r="E76" t="s">
        <v>2672</v>
      </c>
      <c r="F76">
        <v>8</v>
      </c>
      <c r="G76">
        <v>6</v>
      </c>
      <c r="H76">
        <v>4700</v>
      </c>
      <c r="I76" t="s">
        <v>2718</v>
      </c>
      <c r="J76" t="s">
        <v>138</v>
      </c>
      <c r="K76" t="s">
        <v>729</v>
      </c>
      <c r="O76" t="str">
        <f t="shared" si="22"/>
        <v>Jeff Wilson Jr.</v>
      </c>
      <c r="P76" t="str">
        <f>IFERROR(VLOOKUP(O:O,'Name Bridge'!A:B,2,FALSE),O:O)</f>
        <v>Jeff Wilson</v>
      </c>
      <c r="Q76" s="10">
        <f>VLOOKUP($K76,'CY Defensive Stats Query'!$AC:$AH,2,FALSE)</f>
        <v>7.6538461538461542</v>
      </c>
      <c r="R76" s="10">
        <f>VLOOKUP($K76,'CY Defensive Stats Query'!$AC:$AH,4,FALSE)</f>
        <v>4.6888888888888891</v>
      </c>
      <c r="S76" s="10">
        <f>VLOOKUP($K76,'CY Defensive Stats Query'!$AC:$AH,6,FALSE)</f>
        <v>11.306818181818182</v>
      </c>
      <c r="T76" s="10">
        <f>IFERROR(VLOOKUP($P76,'CYPassing Query'!$B:$AE,9,FALSE)/VLOOKUP($P76,'CYPassing Query'!$B:$AE,5,FALSE),0)</f>
        <v>0</v>
      </c>
      <c r="U76" s="10">
        <f>IFERROR(VLOOKUP($P76,'CYPassing Query'!$B:$AE,11,FALSE)/VLOOKUP($P76,'CYPassing Query'!$B:$AE,5,FALSE),0)</f>
        <v>0</v>
      </c>
      <c r="V76" s="10">
        <f>IFERROR(VLOOKUP($P76,'CYPassing Query'!$B:$AE,18,FALSE),0)</f>
        <v>0</v>
      </c>
      <c r="W76" s="10">
        <f>IFERROR(VLOOKUP($P76,'CYPassing Query'!$B:$AE,12,FALSE)/VLOOKUP($P76,'CYPassing Query'!$B:$AE,5,FALSE),0)</f>
        <v>0</v>
      </c>
      <c r="X76" s="10">
        <f>IFERROR(IF(OR($B76="D",$B76="K"),0,VLOOKUP($P76,'CY Receving Query'!$B:$S,7,FALSE)/VLOOKUP($P76,'CY Receving Query'!$B:$S,5,FALSE)),0)*$AJ76</f>
        <v>0.88888888888888884</v>
      </c>
      <c r="Y76" s="10">
        <f>IFERROR(VLOOKUP($P76,'CY Receving Query'!$B:$S,8,FALSE)/VLOOKUP($P76,'CY Receving Query'!$B:$S,5,FALSE),0)</f>
        <v>0.77777777777777779</v>
      </c>
      <c r="Z76" s="10">
        <f>IFERROR(VLOOKUP($P76,'CY Receving Query'!$B:$S,10,FALSE)/VLOOKUP($P76,'CY Receving Query'!$B:$S,5,FALSE),0)</f>
        <v>3.4444444444444446</v>
      </c>
      <c r="AA76" s="10">
        <f>IFERROR(VLOOKUP($P76,'CY Receving Query'!$B:$S,11,FALSE),0)</f>
        <v>4.4000000000000004</v>
      </c>
      <c r="AB76" s="10">
        <f>IFERROR(AVERAGE(VLOOKUP($P76,'PY Receiving'!$C:$T,14,FALSE),VLOOKUP($P76,'CY Receiving'!$C:$T,14,FALSE)),0)</f>
        <v>0</v>
      </c>
      <c r="AC76" s="10">
        <f>IFERROR(VLOOKUP($P76,'CY Receving Query'!$B:$S,11,FALSE)/VLOOKUP($P76,'CY Receving Query'!$B:$S,5,FALSE),0)</f>
        <v>0.48888888888888893</v>
      </c>
      <c r="AD76" s="10">
        <f>IFERROR(VLOOKUP($P76,'CY Rushing Query'!$B:$O,7,FALSE)/VLOOKUP($P76,'CY Rushing Query'!$B:$O,5,FALSE),0)</f>
        <v>8.7777777777777786</v>
      </c>
      <c r="AE76" s="10">
        <f>IFERROR(AVERAGE(VLOOKUP($P76,'PY Rushing'!$C:$P,8,FALSE)/VLOOKUP($P76,'PY Rushing'!$C:$P,5,FALSE),VLOOKUP($P76,'CY Rushing'!$C:$P,8,FALSE)/VLOOKUP($P76,'CY Rushing'!$C:$P,5,FALSE)),0)</f>
        <v>0</v>
      </c>
      <c r="AF76" s="10">
        <f>IFERROR(VLOOKUP($P76,'CY Rushing Query'!$B:$P,12,FALSE),0)</f>
        <v>3.7</v>
      </c>
      <c r="AG76" s="10">
        <f>IFERROR(VLOOKUP($P76,'CY Rushing Query'!$B:$P,9,FALSE)/VLOOKUP($P76,'CY Rushing Query'!$B:$P,5,FALSE),0)</f>
        <v>0.22222222222222221</v>
      </c>
      <c r="AH76" s="10">
        <f>VLOOKUP($J76,'Vegas Odds'!$B:$S,18,FALSE)</f>
        <v>32.679248170039784</v>
      </c>
      <c r="AI76" s="10">
        <f>VLOOKUP($J76,'Vegas Odds'!$B:$S,17,FALSE)</f>
        <v>32.620751829960213</v>
      </c>
      <c r="AJ76">
        <f t="shared" si="39"/>
        <v>1</v>
      </c>
      <c r="AK76" s="10">
        <f t="shared" si="23"/>
        <v>0</v>
      </c>
      <c r="AL76" s="10">
        <f t="shared" si="24"/>
        <v>0</v>
      </c>
      <c r="AM76" s="10">
        <f>V76/'CY Defensive Stats Query'!$AD$34*'Fanduel Export'!Q76</f>
        <v>0</v>
      </c>
      <c r="AN76" s="10">
        <f t="shared" si="19"/>
        <v>0</v>
      </c>
      <c r="AO76" s="10">
        <f>IFERROR(IF(OR($B76="D",$B76="K"),0,VLOOKUP($P76,'CY Receving Query'!$B:$S,7,FALSE)/VLOOKUP($P76,'CY Receving Query'!$B:$S,5,FALSE)),0)*$AJ76</f>
        <v>0.88888888888888884</v>
      </c>
      <c r="AP76" s="10">
        <f t="shared" si="25"/>
        <v>29.704370384517439</v>
      </c>
      <c r="AQ76" s="10">
        <f t="shared" si="26"/>
        <v>0.97791066498186008</v>
      </c>
      <c r="AR76" s="16">
        <f t="shared" si="27"/>
        <v>0.77777777777777779</v>
      </c>
      <c r="AS76" s="16">
        <f t="shared" si="28"/>
        <v>0.85567183185912765</v>
      </c>
      <c r="AT76" s="16">
        <f>AA76/'CY Defensive Stats Query'!$AH$34
*'Fanduel Export'!S76</f>
        <v>4.7318145702117551</v>
      </c>
      <c r="AU76" s="10">
        <f t="shared" si="20"/>
        <v>4.0488804413108035</v>
      </c>
      <c r="AV76" s="10">
        <f t="shared" si="29"/>
        <v>8.7777777777777786</v>
      </c>
      <c r="AW76" s="10">
        <f t="shared" si="30"/>
        <v>40.335297300738475</v>
      </c>
      <c r="AX76" s="10">
        <f t="shared" si="31"/>
        <v>7.0989364072986803</v>
      </c>
      <c r="AY76" s="10">
        <f>AF76/'CY Defensive Stats Query'!$AF$34
*R76</f>
        <v>4.1951356997826164</v>
      </c>
      <c r="AZ76" s="10">
        <f t="shared" si="21"/>
        <v>29.781001552745241</v>
      </c>
      <c r="BA76" s="16">
        <f t="shared" si="32"/>
        <v>3.7718770882944934</v>
      </c>
      <c r="BB76" s="16">
        <f t="shared" si="33"/>
        <v>0.80252704006265818</v>
      </c>
      <c r="BC76" s="10">
        <f t="shared" si="34"/>
        <v>0.18912529550827423</v>
      </c>
      <c r="BD76" s="10">
        <f>IF(B76="QB",COUNTIFS($B$5:B76,B76,$J$5:J76,J76),1)</f>
        <v>1</v>
      </c>
      <c r="BE76" t="str">
        <f t="shared" si="35"/>
        <v>Jeff Wilson Jr.</v>
      </c>
      <c r="BF76">
        <f t="shared" si="36"/>
        <v>4700</v>
      </c>
      <c r="BG76" t="str">
        <f t="shared" si="37"/>
        <v>RB</v>
      </c>
      <c r="BH76" s="16">
        <f t="shared" si="38"/>
        <v>3.7718770882944934</v>
      </c>
    </row>
    <row r="77" spans="1:60" x14ac:dyDescent="0.2">
      <c r="A77" t="s">
        <v>2835</v>
      </c>
      <c r="B77" t="s">
        <v>83</v>
      </c>
      <c r="C77" t="s">
        <v>2836</v>
      </c>
      <c r="D77" t="s">
        <v>2003</v>
      </c>
      <c r="E77" t="s">
        <v>110</v>
      </c>
      <c r="F77">
        <v>2.9333332909477998</v>
      </c>
      <c r="G77">
        <v>9</v>
      </c>
      <c r="H77">
        <v>4700</v>
      </c>
      <c r="I77" t="s">
        <v>2718</v>
      </c>
      <c r="J77" t="s">
        <v>729</v>
      </c>
      <c r="K77" t="s">
        <v>138</v>
      </c>
      <c r="O77" t="str">
        <f t="shared" si="22"/>
        <v>Noah Brown</v>
      </c>
      <c r="P77" t="str">
        <f>IFERROR(VLOOKUP(O:O,'Name Bridge'!A:B,2,FALSE),O:O)</f>
        <v>Noah Brown</v>
      </c>
      <c r="Q77" s="10">
        <f>VLOOKUP($K77,'CY Defensive Stats Query'!$AC:$AH,2,FALSE)</f>
        <v>6.5263157894736841</v>
      </c>
      <c r="R77" s="10">
        <f>VLOOKUP($K77,'CY Defensive Stats Query'!$AC:$AH,4,FALSE)</f>
        <v>4.7051282051282053</v>
      </c>
      <c r="S77" s="10">
        <f>VLOOKUP($K77,'CY Defensive Stats Query'!$AC:$AH,6,FALSE)</f>
        <v>10.191780821917808</v>
      </c>
      <c r="T77" s="10">
        <f>IFERROR(VLOOKUP($P77,'CYPassing Query'!$B:$AE,9,FALSE)/VLOOKUP($P77,'CYPassing Query'!$B:$AE,5,FALSE),0)</f>
        <v>0</v>
      </c>
      <c r="U77" s="10">
        <f>IFERROR(VLOOKUP($P77,'CYPassing Query'!$B:$AE,11,FALSE)/VLOOKUP($P77,'CYPassing Query'!$B:$AE,5,FALSE),0)</f>
        <v>0</v>
      </c>
      <c r="V77" s="10">
        <f>IFERROR(VLOOKUP($P77,'CYPassing Query'!$B:$AE,18,FALSE),0)</f>
        <v>0</v>
      </c>
      <c r="W77" s="10">
        <f>IFERROR(VLOOKUP($P77,'CYPassing Query'!$B:$AE,12,FALSE)/VLOOKUP($P77,'CYPassing Query'!$B:$AE,5,FALSE),0)</f>
        <v>0</v>
      </c>
      <c r="X77" s="10">
        <f>IFERROR(IF(OR($B77="D",$B77="K"),0,VLOOKUP($P77,'CY Receving Query'!$B:$S,7,FALSE)/VLOOKUP($P77,'CY Receving Query'!$B:$S,5,FALSE)),0)*$AJ77</f>
        <v>1.9230769230769231</v>
      </c>
      <c r="Y77" s="10">
        <f>IFERROR(VLOOKUP($P77,'CY Receving Query'!$B:$S,8,FALSE)/VLOOKUP($P77,'CY Receving Query'!$B:$S,5,FALSE),0)</f>
        <v>1.2307692307692308</v>
      </c>
      <c r="Z77" s="10">
        <f>IFERROR(VLOOKUP($P77,'CY Receving Query'!$B:$S,10,FALSE)/VLOOKUP($P77,'CY Receving Query'!$B:$S,5,FALSE),0)</f>
        <v>14.153846153846153</v>
      </c>
      <c r="AA77" s="10">
        <f>IFERROR(VLOOKUP($P77,'CY Receving Query'!$B:$S,11,FALSE),0)</f>
        <v>11.5</v>
      </c>
      <c r="AB77" s="10">
        <f>IFERROR(AVERAGE(VLOOKUP($P77,'PY Receiving'!$C:$T,14,FALSE),VLOOKUP($P77,'CY Receiving'!$C:$T,14,FALSE)),0)</f>
        <v>0</v>
      </c>
      <c r="AC77" s="10">
        <f>IFERROR(VLOOKUP($P77,'CY Receving Query'!$B:$S,11,FALSE)/VLOOKUP($P77,'CY Receving Query'!$B:$S,5,FALSE),0)</f>
        <v>0.88461538461538458</v>
      </c>
      <c r="AD77" s="10">
        <f>IFERROR(VLOOKUP($P77,'CY Rushing Query'!$B:$O,7,FALSE)/VLOOKUP($P77,'CY Rushing Query'!$B:$O,5,FALSE),0)</f>
        <v>0</v>
      </c>
      <c r="AE77" s="10">
        <f>IFERROR(AVERAGE(VLOOKUP($P77,'PY Rushing'!$C:$P,8,FALSE)/VLOOKUP($P77,'PY Rushing'!$C:$P,5,FALSE),VLOOKUP($P77,'CY Rushing'!$C:$P,8,FALSE)/VLOOKUP($P77,'CY Rushing'!$C:$P,5,FALSE)),0)</f>
        <v>0</v>
      </c>
      <c r="AF77" s="10">
        <f>IFERROR(VLOOKUP($P77,'CY Rushing Query'!$B:$P,12,FALSE),0)</f>
        <v>0</v>
      </c>
      <c r="AG77" s="10">
        <f>IFERROR(VLOOKUP($P77,'CY Rushing Query'!$B:$P,9,FALSE)/VLOOKUP($P77,'CY Rushing Query'!$B:$P,5,FALSE),0)</f>
        <v>0</v>
      </c>
      <c r="AH77" s="10">
        <f>VLOOKUP($J77,'Vegas Odds'!$B:$S,18,FALSE)</f>
        <v>38.06292701199007</v>
      </c>
      <c r="AI77" s="10">
        <f>VLOOKUP($J77,'Vegas Odds'!$B:$S,17,FALSE)</f>
        <v>29.237072988009928</v>
      </c>
      <c r="AJ77">
        <f t="shared" si="39"/>
        <v>1</v>
      </c>
      <c r="AK77" s="10">
        <f t="shared" si="23"/>
        <v>0</v>
      </c>
      <c r="AL77" s="10">
        <f t="shared" si="24"/>
        <v>0</v>
      </c>
      <c r="AM77" s="10">
        <f>V77/'CY Defensive Stats Query'!$AD$34*'Fanduel Export'!Q77</f>
        <v>0</v>
      </c>
      <c r="AN77" s="10">
        <f t="shared" ref="AN77:AN140" si="40">AM77*AL77</f>
        <v>0</v>
      </c>
      <c r="AO77" s="10">
        <f>IFERROR(IF(OR($B77="D",$B77="K"),0,VLOOKUP($P77,'CY Receving Query'!$B:$S,7,FALSE)/VLOOKUP($P77,'CY Receving Query'!$B:$S,5,FALSE)),0)*$AJ77</f>
        <v>1.9230769230769231</v>
      </c>
      <c r="AP77" s="10">
        <f t="shared" si="25"/>
        <v>30.199512497306614</v>
      </c>
      <c r="AQ77" s="10">
        <f t="shared" si="26"/>
        <v>2.4238118601433589</v>
      </c>
      <c r="AR77" s="16">
        <f t="shared" si="27"/>
        <v>1.2307692307692308</v>
      </c>
      <c r="AS77" s="16">
        <f t="shared" si="28"/>
        <v>1.5512395904917498</v>
      </c>
      <c r="AT77" s="16">
        <f>AA77/'CY Defensive Stats Query'!$AH$34
*'Fanduel Export'!S77</f>
        <v>11.147630057887181</v>
      </c>
      <c r="AU77" s="10">
        <f t="shared" ref="AU77:AU140" si="41">AS77*AT77</f>
        <v>17.292645085950429</v>
      </c>
      <c r="AV77" s="10">
        <f t="shared" si="29"/>
        <v>0</v>
      </c>
      <c r="AW77" s="10">
        <f t="shared" si="30"/>
        <v>30.007352941176471</v>
      </c>
      <c r="AX77" s="10">
        <f t="shared" si="31"/>
        <v>0</v>
      </c>
      <c r="AY77" s="10">
        <f>AF77/'CY Defensive Stats Query'!$AF$34
*R77</f>
        <v>0</v>
      </c>
      <c r="AZ77" s="10">
        <f t="shared" ref="AZ77:AZ140" si="42">AY77*AX77</f>
        <v>0</v>
      </c>
      <c r="BA77" s="16">
        <f t="shared" si="32"/>
        <v>2.3446491239796581</v>
      </c>
      <c r="BB77" s="16">
        <f t="shared" si="33"/>
        <v>0.49886151574035276</v>
      </c>
      <c r="BC77" s="10">
        <f t="shared" si="34"/>
        <v>0.40916530278232405</v>
      </c>
      <c r="BD77" s="10">
        <f>IF(B77="QB",COUNTIFS($B$5:B77,B77,$J$5:J77,J77),1)</f>
        <v>1</v>
      </c>
      <c r="BE77" t="str">
        <f t="shared" si="35"/>
        <v>Noah Brown</v>
      </c>
      <c r="BF77">
        <f t="shared" si="36"/>
        <v>4700</v>
      </c>
      <c r="BG77" t="str">
        <f t="shared" si="37"/>
        <v>WR</v>
      </c>
      <c r="BH77" s="16">
        <f t="shared" si="38"/>
        <v>2.3446491239796581</v>
      </c>
    </row>
    <row r="78" spans="1:60" hidden="1" x14ac:dyDescent="0.2">
      <c r="A78" t="s">
        <v>2837</v>
      </c>
      <c r="B78" t="s">
        <v>83</v>
      </c>
      <c r="C78" t="s">
        <v>2683</v>
      </c>
      <c r="D78" t="s">
        <v>2684</v>
      </c>
      <c r="E78" t="s">
        <v>2685</v>
      </c>
      <c r="F78">
        <v>3.1500000953674299</v>
      </c>
      <c r="G78">
        <v>8</v>
      </c>
      <c r="H78">
        <v>4600</v>
      </c>
      <c r="I78" t="s">
        <v>2718</v>
      </c>
      <c r="J78" t="s">
        <v>138</v>
      </c>
      <c r="K78" t="s">
        <v>729</v>
      </c>
      <c r="L78" t="s">
        <v>182</v>
      </c>
      <c r="M78" t="s">
        <v>183</v>
      </c>
      <c r="O78" t="str">
        <f t="shared" si="22"/>
        <v>Mohamed Sanu Sr.</v>
      </c>
      <c r="P78" t="str">
        <f>IFERROR(VLOOKUP(O:O,'Name Bridge'!A:B,2,FALSE),O:O)</f>
        <v>Mohamed Sanu Sr.</v>
      </c>
      <c r="Q78" s="10">
        <f>VLOOKUP($K78,'CY Defensive Stats Query'!$AC:$AH,2,FALSE)</f>
        <v>7.6538461538461542</v>
      </c>
      <c r="R78" s="10">
        <f>VLOOKUP($K78,'CY Defensive Stats Query'!$AC:$AH,4,FALSE)</f>
        <v>4.6888888888888891</v>
      </c>
      <c r="S78" s="10">
        <f>VLOOKUP($K78,'CY Defensive Stats Query'!$AC:$AH,6,FALSE)</f>
        <v>11.306818181818182</v>
      </c>
      <c r="T78" s="10">
        <f>IFERROR(VLOOKUP($P78,'CYPassing Query'!$B:$AE,9,FALSE)/VLOOKUP($P78,'CYPassing Query'!$B:$AE,5,FALSE),0)</f>
        <v>0</v>
      </c>
      <c r="U78" s="10">
        <f>IFERROR(VLOOKUP($P78,'CYPassing Query'!$B:$AE,11,FALSE)/VLOOKUP($P78,'CYPassing Query'!$B:$AE,5,FALSE),0)</f>
        <v>0</v>
      </c>
      <c r="V78" s="10">
        <f>IFERROR(VLOOKUP($P78,'CYPassing Query'!$B:$AE,18,FALSE),0)</f>
        <v>0</v>
      </c>
      <c r="W78" s="10">
        <f>IFERROR(VLOOKUP($P78,'CYPassing Query'!$B:$AE,12,FALSE)/VLOOKUP($P78,'CYPassing Query'!$B:$AE,5,FALSE),0)</f>
        <v>0</v>
      </c>
      <c r="X78" s="10">
        <f>IFERROR(IF(OR($B78="D",$B78="K"),0,VLOOKUP($P78,'CY Receving Query'!$B:$S,7,FALSE)/VLOOKUP($P78,'CY Receving Query'!$B:$S,5,FALSE)),0)*$AJ78</f>
        <v>0</v>
      </c>
      <c r="Y78" s="10">
        <f>IFERROR(VLOOKUP($P78,'CY Receving Query'!$B:$S,8,FALSE)/VLOOKUP($P78,'CY Receving Query'!$B:$S,5,FALSE),0)</f>
        <v>0</v>
      </c>
      <c r="Z78" s="10">
        <f>IFERROR(VLOOKUP($P78,'CY Receving Query'!$B:$S,10,FALSE)/VLOOKUP($P78,'CY Receving Query'!$B:$S,5,FALSE),0)</f>
        <v>0</v>
      </c>
      <c r="AA78" s="10">
        <f>IFERROR(VLOOKUP($P78,'CY Receving Query'!$B:$S,11,FALSE),0)</f>
        <v>0</v>
      </c>
      <c r="AB78" s="10">
        <f>IFERROR(AVERAGE(VLOOKUP($P78,'PY Receiving'!$C:$T,14,FALSE),VLOOKUP($P78,'CY Receiving'!$C:$T,14,FALSE)),0)</f>
        <v>0</v>
      </c>
      <c r="AC78" s="10">
        <f>IFERROR(VLOOKUP($P78,'CY Receving Query'!$B:$S,11,FALSE)/VLOOKUP($P78,'CY Receving Query'!$B:$S,5,FALSE),0)</f>
        <v>0</v>
      </c>
      <c r="AD78" s="10">
        <f>IFERROR(VLOOKUP($P78,'CY Rushing Query'!$B:$O,7,FALSE)/VLOOKUP($P78,'CY Rushing Query'!$B:$O,5,FALSE),0)</f>
        <v>0</v>
      </c>
      <c r="AE78" s="10">
        <f>IFERROR(AVERAGE(VLOOKUP($P78,'PY Rushing'!$C:$P,8,FALSE)/VLOOKUP($P78,'PY Rushing'!$C:$P,5,FALSE),VLOOKUP($P78,'CY Rushing'!$C:$P,8,FALSE)/VLOOKUP($P78,'CY Rushing'!$C:$P,5,FALSE)),0)</f>
        <v>0</v>
      </c>
      <c r="AF78" s="10">
        <f>IFERROR(VLOOKUP($P78,'CY Rushing Query'!$B:$P,12,FALSE),0)</f>
        <v>0</v>
      </c>
      <c r="AG78" s="10">
        <f>IFERROR(VLOOKUP($P78,'CY Rushing Query'!$B:$P,9,FALSE)/VLOOKUP($P78,'CY Rushing Query'!$B:$P,5,FALSE),0)</f>
        <v>0</v>
      </c>
      <c r="AH78" s="10">
        <f>VLOOKUP($J78,'Vegas Odds'!$B:$S,18,FALSE)</f>
        <v>32.679248170039784</v>
      </c>
      <c r="AI78" s="10">
        <f>VLOOKUP($J78,'Vegas Odds'!$B:$S,17,FALSE)</f>
        <v>32.620751829960213</v>
      </c>
      <c r="AJ78">
        <f t="shared" si="39"/>
        <v>0</v>
      </c>
      <c r="AK78" s="10">
        <f t="shared" si="23"/>
        <v>0</v>
      </c>
      <c r="AL78" s="10">
        <f t="shared" si="24"/>
        <v>0</v>
      </c>
      <c r="AM78" s="10">
        <f>V78/'CY Defensive Stats Query'!$AD$34*'Fanduel Export'!Q78</f>
        <v>0</v>
      </c>
      <c r="AN78" s="10">
        <f t="shared" si="40"/>
        <v>0</v>
      </c>
      <c r="AO78" s="10">
        <f>IFERROR(IF(OR($B78="D",$B78="K"),0,VLOOKUP($P78,'CY Receving Query'!$B:$S,7,FALSE)/VLOOKUP($P78,'CY Receving Query'!$B:$S,5,FALSE)),0)*$AJ78</f>
        <v>0</v>
      </c>
      <c r="AP78" s="10">
        <f t="shared" si="25"/>
        <v>29.704370384517439</v>
      </c>
      <c r="AQ78" s="10">
        <f t="shared" si="26"/>
        <v>0</v>
      </c>
      <c r="AR78" s="16">
        <f t="shared" si="27"/>
        <v>0</v>
      </c>
      <c r="AS78" s="16">
        <f t="shared" si="28"/>
        <v>0</v>
      </c>
      <c r="AT78" s="16">
        <f>AA78/'CY Defensive Stats Query'!$AH$34
*'Fanduel Export'!S78</f>
        <v>0</v>
      </c>
      <c r="AU78" s="10">
        <f t="shared" si="41"/>
        <v>0</v>
      </c>
      <c r="AV78" s="10">
        <f t="shared" si="29"/>
        <v>0</v>
      </c>
      <c r="AW78" s="10">
        <f t="shared" si="30"/>
        <v>40.335297300738475</v>
      </c>
      <c r="AX78" s="10">
        <f t="shared" si="31"/>
        <v>0</v>
      </c>
      <c r="AY78" s="10">
        <f>AF78/'CY Defensive Stats Query'!$AF$34
*R78</f>
        <v>0</v>
      </c>
      <c r="AZ78" s="10">
        <f t="shared" si="42"/>
        <v>0</v>
      </c>
      <c r="BA78" s="16">
        <f t="shared" si="32"/>
        <v>0</v>
      </c>
      <c r="BB78" s="16">
        <f t="shared" si="33"/>
        <v>0</v>
      </c>
      <c r="BC78" s="10">
        <f t="shared" si="34"/>
        <v>0</v>
      </c>
      <c r="BD78" s="10">
        <f>IF(B78="QB",COUNTIFS($B$5:B78,B78,$J$5:J78,J78),1)</f>
        <v>1</v>
      </c>
      <c r="BE78" t="str">
        <f t="shared" si="35"/>
        <v>Mohamed Sanu Sr.</v>
      </c>
      <c r="BF78">
        <f t="shared" si="36"/>
        <v>4600</v>
      </c>
      <c r="BG78" t="str">
        <f t="shared" si="37"/>
        <v>WR</v>
      </c>
      <c r="BH78" s="16">
        <f t="shared" si="38"/>
        <v>0</v>
      </c>
    </row>
    <row r="79" spans="1:60" x14ac:dyDescent="0.2">
      <c r="A79" t="s">
        <v>2838</v>
      </c>
      <c r="B79" t="s">
        <v>68</v>
      </c>
      <c r="C79" t="s">
        <v>2275</v>
      </c>
      <c r="D79" t="s">
        <v>470</v>
      </c>
      <c r="E79" t="s">
        <v>2276</v>
      </c>
      <c r="F79">
        <v>5.0999999046325604</v>
      </c>
      <c r="G79">
        <v>1</v>
      </c>
      <c r="H79">
        <v>4600</v>
      </c>
      <c r="I79" t="s">
        <v>2720</v>
      </c>
      <c r="J79" t="s">
        <v>102</v>
      </c>
      <c r="K79" t="s">
        <v>728</v>
      </c>
      <c r="O79" t="str">
        <f t="shared" si="22"/>
        <v>Jason Huntley</v>
      </c>
      <c r="P79" t="str">
        <f>IFERROR(VLOOKUP(O:O,'Name Bridge'!A:B,2,FALSE),O:O)</f>
        <v>Jason Huntley</v>
      </c>
      <c r="Q79" s="10">
        <f>VLOOKUP($K79,'CY Defensive Stats Query'!$AC:$AH,2,FALSE)</f>
        <v>7.0486111111111107</v>
      </c>
      <c r="R79" s="10">
        <f>VLOOKUP($K79,'CY Defensive Stats Query'!$AC:$AH,4,FALSE)</f>
        <v>3.0806451612903225</v>
      </c>
      <c r="S79" s="10">
        <f>VLOOKUP($K79,'CY Defensive Stats Query'!$AC:$AH,6,FALSE)</f>
        <v>9.759615384615385</v>
      </c>
      <c r="T79" s="10">
        <f>IFERROR(VLOOKUP($P79,'CYPassing Query'!$B:$AE,9,FALSE)/VLOOKUP($P79,'CYPassing Query'!$B:$AE,5,FALSE),0)</f>
        <v>0</v>
      </c>
      <c r="U79" s="10">
        <f>IFERROR(VLOOKUP($P79,'CYPassing Query'!$B:$AE,11,FALSE)/VLOOKUP($P79,'CYPassing Query'!$B:$AE,5,FALSE),0)</f>
        <v>0</v>
      </c>
      <c r="V79" s="10">
        <f>IFERROR(VLOOKUP($P79,'CYPassing Query'!$B:$AE,18,FALSE),0)</f>
        <v>0</v>
      </c>
      <c r="W79" s="10">
        <f>IFERROR(VLOOKUP($P79,'CYPassing Query'!$B:$AE,12,FALSE)/VLOOKUP($P79,'CYPassing Query'!$B:$AE,5,FALSE),0)</f>
        <v>0</v>
      </c>
      <c r="X79" s="10">
        <f>IFERROR(IF(OR($B79="D",$B79="K"),0,VLOOKUP($P79,'CY Receving Query'!$B:$S,7,FALSE)/VLOOKUP($P79,'CY Receving Query'!$B:$S,5,FALSE)),0)*$AJ79</f>
        <v>1</v>
      </c>
      <c r="Y79" s="10">
        <f>IFERROR(VLOOKUP($P79,'CY Receving Query'!$B:$S,8,FALSE)/VLOOKUP($P79,'CY Receving Query'!$B:$S,5,FALSE),0)</f>
        <v>0</v>
      </c>
      <c r="Z79" s="10">
        <f>IFERROR(VLOOKUP($P79,'CY Receving Query'!$B:$S,10,FALSE)/VLOOKUP($P79,'CY Receving Query'!$B:$S,5,FALSE),0)</f>
        <v>0</v>
      </c>
      <c r="AA79" s="10">
        <f>IFERROR(VLOOKUP($P79,'CY Receving Query'!$B:$S,11,FALSE),0)</f>
        <v>0</v>
      </c>
      <c r="AB79" s="10">
        <f>IFERROR(AVERAGE(VLOOKUP($P79,'PY Receiving'!$C:$T,14,FALSE),VLOOKUP($P79,'CY Receiving'!$C:$T,14,FALSE)),0)</f>
        <v>0</v>
      </c>
      <c r="AC79" s="10">
        <f>IFERROR(VLOOKUP($P79,'CY Receving Query'!$B:$S,11,FALSE)/VLOOKUP($P79,'CY Receving Query'!$B:$S,5,FALSE),0)</f>
        <v>0</v>
      </c>
      <c r="AD79" s="10">
        <f>IFERROR(VLOOKUP($P79,'CY Rushing Query'!$B:$O,7,FALSE)/VLOOKUP($P79,'CY Rushing Query'!$B:$O,5,FALSE),0)</f>
        <v>13</v>
      </c>
      <c r="AE79" s="10">
        <f>IFERROR(AVERAGE(VLOOKUP($P79,'PY Rushing'!$C:$P,8,FALSE)/VLOOKUP($P79,'PY Rushing'!$C:$P,5,FALSE),VLOOKUP($P79,'CY Rushing'!$C:$P,8,FALSE)/VLOOKUP($P79,'CY Rushing'!$C:$P,5,FALSE)),0)</f>
        <v>0</v>
      </c>
      <c r="AF79" s="10">
        <f>IFERROR(VLOOKUP($P79,'CY Rushing Query'!$B:$P,12,FALSE),0)</f>
        <v>3.9</v>
      </c>
      <c r="AG79" s="10">
        <f>IFERROR(VLOOKUP($P79,'CY Rushing Query'!$B:$P,9,FALSE)/VLOOKUP($P79,'CY Rushing Query'!$B:$P,5,FALSE),0)</f>
        <v>0</v>
      </c>
      <c r="AH79" s="10">
        <f>VLOOKUP($J79,'Vegas Odds'!$B:$S,18,FALSE)</f>
        <v>44.85966247691475</v>
      </c>
      <c r="AI79" s="10">
        <f>VLOOKUP($J79,'Vegas Odds'!$B:$S,17,FALSE)</f>
        <v>17.740337523085255</v>
      </c>
      <c r="AJ79">
        <f t="shared" si="39"/>
        <v>1</v>
      </c>
      <c r="AK79" s="10">
        <f t="shared" si="23"/>
        <v>0</v>
      </c>
      <c r="AL79" s="10">
        <f t="shared" si="24"/>
        <v>0</v>
      </c>
      <c r="AM79" s="10">
        <f>V79/'CY Defensive Stats Query'!$AD$34*'Fanduel Export'!Q79</f>
        <v>0</v>
      </c>
      <c r="AN79" s="10">
        <f t="shared" si="40"/>
        <v>0</v>
      </c>
      <c r="AO79" s="10">
        <f>IFERROR(IF(OR($B79="D",$B79="K"),0,VLOOKUP($P79,'CY Receving Query'!$B:$S,7,FALSE)/VLOOKUP($P79,'CY Receving Query'!$B:$S,5,FALSE)),0)*$AJ79</f>
        <v>1</v>
      </c>
      <c r="AP79" s="10">
        <f t="shared" si="25"/>
        <v>28.54982492997199</v>
      </c>
      <c r="AQ79" s="10">
        <f t="shared" si="26"/>
        <v>1.571276271814209</v>
      </c>
      <c r="AR79" s="16">
        <f t="shared" si="27"/>
        <v>0</v>
      </c>
      <c r="AS79" s="16">
        <f t="shared" si="28"/>
        <v>0</v>
      </c>
      <c r="AT79" s="16">
        <f>AA79/'CY Defensive Stats Query'!$AH$34
*'Fanduel Export'!S79</f>
        <v>0</v>
      </c>
      <c r="AU79" s="10">
        <f t="shared" si="41"/>
        <v>0</v>
      </c>
      <c r="AV79" s="10">
        <f t="shared" si="29"/>
        <v>13</v>
      </c>
      <c r="AW79" s="10">
        <f t="shared" si="30"/>
        <v>56.303606442577035</v>
      </c>
      <c r="AX79" s="10">
        <f t="shared" si="31"/>
        <v>4.0960855329101822</v>
      </c>
      <c r="AY79" s="10">
        <f>AF79/'CY Defensive Stats Query'!$AF$34
*R79</f>
        <v>2.9052307528926309</v>
      </c>
      <c r="AZ79" s="10">
        <f t="shared" si="42"/>
        <v>11.900073656689262</v>
      </c>
      <c r="BA79" s="16">
        <f t="shared" si="32"/>
        <v>1.1900073656689263</v>
      </c>
      <c r="BB79" s="16">
        <f t="shared" si="33"/>
        <v>0.25869725340628835</v>
      </c>
      <c r="BC79" s="10">
        <f t="shared" si="34"/>
        <v>0.21739130434782611</v>
      </c>
      <c r="BD79" s="10">
        <f>IF(B79="QB",COUNTIFS($B$5:B79,B79,$J$5:J79,J79),1)</f>
        <v>1</v>
      </c>
      <c r="BE79" t="str">
        <f t="shared" si="35"/>
        <v>Jason Huntley</v>
      </c>
      <c r="BF79">
        <f t="shared" si="36"/>
        <v>4600</v>
      </c>
      <c r="BG79" t="str">
        <f t="shared" si="37"/>
        <v>RB</v>
      </c>
      <c r="BH79" s="16">
        <f t="shared" si="38"/>
        <v>1.1900073656689263</v>
      </c>
    </row>
    <row r="80" spans="1:60" x14ac:dyDescent="0.2">
      <c r="A80" t="s">
        <v>2839</v>
      </c>
      <c r="B80" t="s">
        <v>68</v>
      </c>
      <c r="C80" t="s">
        <v>2551</v>
      </c>
      <c r="D80" t="s">
        <v>525</v>
      </c>
      <c r="E80" t="s">
        <v>2552</v>
      </c>
      <c r="F80">
        <v>0.67500001192092896</v>
      </c>
      <c r="G80">
        <v>8</v>
      </c>
      <c r="H80">
        <v>4600</v>
      </c>
      <c r="I80" t="s">
        <v>2716</v>
      </c>
      <c r="J80" t="s">
        <v>99</v>
      </c>
      <c r="K80" t="s">
        <v>81</v>
      </c>
      <c r="O80" t="str">
        <f t="shared" si="22"/>
        <v>Kalen Ballage</v>
      </c>
      <c r="P80" t="str">
        <f>IFERROR(VLOOKUP(O:O,'Name Bridge'!A:B,2,FALSE),O:O)</f>
        <v>Kalen Ballage</v>
      </c>
      <c r="Q80" s="10">
        <f>VLOOKUP($K80,'CY Defensive Stats Query'!$AC:$AH,2,FALSE)</f>
        <v>8.7934782608695645</v>
      </c>
      <c r="R80" s="10">
        <f>VLOOKUP($K80,'CY Defensive Stats Query'!$AC:$AH,4,FALSE)</f>
        <v>5.404494382022472</v>
      </c>
      <c r="S80" s="10">
        <f>VLOOKUP($K80,'CY Defensive Stats Query'!$AC:$AH,6,FALSE)</f>
        <v>12.446153846153846</v>
      </c>
      <c r="T80" s="10">
        <f>IFERROR(VLOOKUP($P80,'CYPassing Query'!$B:$AE,9,FALSE)/VLOOKUP($P80,'CYPassing Query'!$B:$AE,5,FALSE),0)</f>
        <v>0</v>
      </c>
      <c r="U80" s="10">
        <f>IFERROR(VLOOKUP($P80,'CYPassing Query'!$B:$AE,11,FALSE)/VLOOKUP($P80,'CYPassing Query'!$B:$AE,5,FALSE),0)</f>
        <v>0</v>
      </c>
      <c r="V80" s="10">
        <f>IFERROR(VLOOKUP($P80,'CYPassing Query'!$B:$AE,18,FALSE),0)</f>
        <v>0</v>
      </c>
      <c r="W80" s="10">
        <f>IFERROR(VLOOKUP($P80,'CYPassing Query'!$B:$AE,12,FALSE)/VLOOKUP($P80,'CYPassing Query'!$B:$AE,5,FALSE),0)</f>
        <v>0</v>
      </c>
      <c r="X80" s="10">
        <f>IFERROR(IF(OR($B80="D",$B80="K"),0,VLOOKUP($P80,'CY Receving Query'!$B:$S,7,FALSE)/VLOOKUP($P80,'CY Receving Query'!$B:$S,5,FALSE)),0)*$AJ80</f>
        <v>0.41176470588235292</v>
      </c>
      <c r="Y80" s="10">
        <f>IFERROR(VLOOKUP($P80,'CY Receving Query'!$B:$S,8,FALSE)/VLOOKUP($P80,'CY Receving Query'!$B:$S,5,FALSE),0)</f>
        <v>0.11764705882352941</v>
      </c>
      <c r="Z80" s="10">
        <f>IFERROR(VLOOKUP($P80,'CY Receving Query'!$B:$S,10,FALSE)/VLOOKUP($P80,'CY Receving Query'!$B:$S,5,FALSE),0)</f>
        <v>0.47058823529411764</v>
      </c>
      <c r="AA80" s="10">
        <f>IFERROR(VLOOKUP($P80,'CY Receving Query'!$B:$S,11,FALSE),0)</f>
        <v>4</v>
      </c>
      <c r="AB80" s="10">
        <f>IFERROR(AVERAGE(VLOOKUP($P80,'PY Receiving'!$C:$T,14,FALSE),VLOOKUP($P80,'CY Receiving'!$C:$T,14,FALSE)),0)</f>
        <v>0</v>
      </c>
      <c r="AC80" s="10">
        <f>IFERROR(VLOOKUP($P80,'CY Receving Query'!$B:$S,11,FALSE)/VLOOKUP($P80,'CY Receving Query'!$B:$S,5,FALSE),0)</f>
        <v>0.23529411764705882</v>
      </c>
      <c r="AD80" s="10">
        <f>IFERROR(VLOOKUP($P80,'CY Rushing Query'!$B:$O,7,FALSE)/VLOOKUP($P80,'CY Rushing Query'!$B:$O,5,FALSE),0)</f>
        <v>0.70588235294117652</v>
      </c>
      <c r="AE80" s="10">
        <f>IFERROR(AVERAGE(VLOOKUP($P80,'PY Rushing'!$C:$P,8,FALSE)/VLOOKUP($P80,'PY Rushing'!$C:$P,5,FALSE),VLOOKUP($P80,'CY Rushing'!$C:$P,8,FALSE)/VLOOKUP($P80,'CY Rushing'!$C:$P,5,FALSE)),0)</f>
        <v>0</v>
      </c>
      <c r="AF80" s="10">
        <f>IFERROR(VLOOKUP($P80,'CY Rushing Query'!$B:$P,12,FALSE),0)</f>
        <v>3</v>
      </c>
      <c r="AG80" s="10">
        <f>IFERROR(VLOOKUP($P80,'CY Rushing Query'!$B:$P,9,FALSE)/VLOOKUP($P80,'CY Rushing Query'!$B:$P,5,FALSE),0)</f>
        <v>0</v>
      </c>
      <c r="AH80" s="10">
        <f>VLOOKUP($J80,'Vegas Odds'!$B:$S,18,FALSE)</f>
        <v>40.088640957860363</v>
      </c>
      <c r="AI80" s="10">
        <f>VLOOKUP($J80,'Vegas Odds'!$B:$S,17,FALSE)</f>
        <v>25.511359042139631</v>
      </c>
      <c r="AJ80">
        <f t="shared" si="39"/>
        <v>1</v>
      </c>
      <c r="AK80" s="10">
        <f t="shared" si="23"/>
        <v>0</v>
      </c>
      <c r="AL80" s="10">
        <f t="shared" si="24"/>
        <v>0</v>
      </c>
      <c r="AM80" s="10">
        <f>V80/'CY Defensive Stats Query'!$AD$34*'Fanduel Export'!Q80</f>
        <v>0</v>
      </c>
      <c r="AN80" s="10">
        <f t="shared" si="40"/>
        <v>0</v>
      </c>
      <c r="AO80" s="10">
        <f>IFERROR(IF(OR($B80="D",$B80="K"),0,VLOOKUP($P80,'CY Receving Query'!$B:$S,7,FALSE)/VLOOKUP($P80,'CY Receving Query'!$B:$S,5,FALSE)),0)*$AJ80</f>
        <v>0.41176470588235292</v>
      </c>
      <c r="AP80" s="10">
        <f t="shared" si="25"/>
        <v>32.289950980392156</v>
      </c>
      <c r="AQ80" s="10">
        <f t="shared" si="26"/>
        <v>0.51121438565392774</v>
      </c>
      <c r="AR80" s="16">
        <f t="shared" si="27"/>
        <v>0.11764705882352941</v>
      </c>
      <c r="AS80" s="16">
        <f t="shared" si="28"/>
        <v>0.14606125304397935</v>
      </c>
      <c r="AT80" s="16">
        <f>AA80/'CY Defensive Stats Query'!$AH$34
*'Fanduel Export'!S80</f>
        <v>4.7351069035037456</v>
      </c>
      <c r="AU80" s="10">
        <f t="shared" si="41"/>
        <v>0.69161564762295413</v>
      </c>
      <c r="AV80" s="10">
        <f t="shared" si="29"/>
        <v>0.70588235294117652</v>
      </c>
      <c r="AW80" s="10">
        <f t="shared" si="30"/>
        <v>7.4240196078431371</v>
      </c>
      <c r="AX80" s="10">
        <f t="shared" si="31"/>
        <v>2.4256425896785125</v>
      </c>
      <c r="AY80" s="10">
        <f>AF80/'CY Defensive Stats Query'!$AF$34
*R80</f>
        <v>3.9205831796786255</v>
      </c>
      <c r="AZ80" s="10">
        <f t="shared" si="42"/>
        <v>9.5099335370056775</v>
      </c>
      <c r="BA80" s="16">
        <f t="shared" si="32"/>
        <v>1.0789784478746278</v>
      </c>
      <c r="BB80" s="16">
        <f t="shared" si="33"/>
        <v>0.23456053214665823</v>
      </c>
      <c r="BC80" s="10">
        <f t="shared" si="34"/>
        <v>8.9514066496163683E-2</v>
      </c>
      <c r="BD80" s="10">
        <f>IF(B80="QB",COUNTIFS($B$5:B80,B80,$J$5:J80,J80),1)</f>
        <v>1</v>
      </c>
      <c r="BE80" t="str">
        <f t="shared" si="35"/>
        <v>Kalen Ballage</v>
      </c>
      <c r="BF80">
        <f t="shared" si="36"/>
        <v>4600</v>
      </c>
      <c r="BG80" t="str">
        <f t="shared" si="37"/>
        <v>RB</v>
      </c>
      <c r="BH80" s="16">
        <f t="shared" si="38"/>
        <v>1.0789784478746278</v>
      </c>
    </row>
    <row r="81" spans="1:60" x14ac:dyDescent="0.2">
      <c r="A81" t="s">
        <v>2840</v>
      </c>
      <c r="B81" t="s">
        <v>83</v>
      </c>
      <c r="C81" t="s">
        <v>2207</v>
      </c>
      <c r="D81" t="s">
        <v>2379</v>
      </c>
      <c r="E81" t="s">
        <v>2841</v>
      </c>
      <c r="F81">
        <v>1.2999999788072301</v>
      </c>
      <c r="G81">
        <v>9</v>
      </c>
      <c r="H81">
        <v>4600</v>
      </c>
      <c r="I81" t="s">
        <v>2716</v>
      </c>
      <c r="J81" t="s">
        <v>81</v>
      </c>
      <c r="K81" t="s">
        <v>99</v>
      </c>
      <c r="O81" t="str">
        <f t="shared" si="22"/>
        <v>Josh Gordon</v>
      </c>
      <c r="P81" t="str">
        <f>IFERROR(VLOOKUP(O:O,'Name Bridge'!A:B,2,FALSE),O:O)</f>
        <v>Josh Gordon</v>
      </c>
      <c r="Q81" s="10">
        <f>VLOOKUP($K81,'CY Defensive Stats Query'!$AC:$AH,2,FALSE)</f>
        <v>7.5377358490566042</v>
      </c>
      <c r="R81" s="10">
        <f>VLOOKUP($K81,'CY Defensive Stats Query'!$AC:$AH,4,FALSE)</f>
        <v>3.5810810810810811</v>
      </c>
      <c r="S81" s="10">
        <f>VLOOKUP($K81,'CY Defensive Stats Query'!$AC:$AH,6,FALSE)</f>
        <v>11.097222222222221</v>
      </c>
      <c r="T81" s="10">
        <f>IFERROR(VLOOKUP($P81,'CYPassing Query'!$B:$AE,9,FALSE)/VLOOKUP($P81,'CYPassing Query'!$B:$AE,5,FALSE),0)</f>
        <v>0</v>
      </c>
      <c r="U81" s="10">
        <f>IFERROR(VLOOKUP($P81,'CYPassing Query'!$B:$AE,11,FALSE)/VLOOKUP($P81,'CYPassing Query'!$B:$AE,5,FALSE),0)</f>
        <v>0</v>
      </c>
      <c r="V81" s="10">
        <f>IFERROR(VLOOKUP($P81,'CYPassing Query'!$B:$AE,18,FALSE),0)</f>
        <v>0</v>
      </c>
      <c r="W81" s="10">
        <f>IFERROR(VLOOKUP($P81,'CYPassing Query'!$B:$AE,12,FALSE)/VLOOKUP($P81,'CYPassing Query'!$B:$AE,5,FALSE),0)</f>
        <v>0</v>
      </c>
      <c r="X81" s="10">
        <f>IFERROR(IF(OR($B81="D",$B81="K"),0,VLOOKUP($P81,'CY Receving Query'!$B:$S,7,FALSE)/VLOOKUP($P81,'CY Receving Query'!$B:$S,5,FALSE)),0)*$AJ81</f>
        <v>1.1666666666666667</v>
      </c>
      <c r="Y81" s="10">
        <f>IFERROR(VLOOKUP($P81,'CY Receving Query'!$B:$S,8,FALSE)/VLOOKUP($P81,'CY Receving Query'!$B:$S,5,FALSE),0)</f>
        <v>0.41666666666666669</v>
      </c>
      <c r="Z81" s="10">
        <f>IFERROR(VLOOKUP($P81,'CY Receving Query'!$B:$S,10,FALSE)/VLOOKUP($P81,'CY Receving Query'!$B:$S,5,FALSE),0)</f>
        <v>2.6666666666666665</v>
      </c>
      <c r="AA81" s="10">
        <f>IFERROR(VLOOKUP($P81,'CY Receving Query'!$B:$S,11,FALSE),0)</f>
        <v>6.4</v>
      </c>
      <c r="AB81" s="10">
        <f>IFERROR(AVERAGE(VLOOKUP($P81,'PY Receiving'!$C:$T,14,FALSE),VLOOKUP($P81,'CY Receiving'!$C:$T,14,FALSE)),0)</f>
        <v>0</v>
      </c>
      <c r="AC81" s="10">
        <f>IFERROR(VLOOKUP($P81,'CY Receving Query'!$B:$S,11,FALSE)/VLOOKUP($P81,'CY Receving Query'!$B:$S,5,FALSE),0)</f>
        <v>0.53333333333333333</v>
      </c>
      <c r="AD81" s="10">
        <f>IFERROR(VLOOKUP($P81,'CY Rushing Query'!$B:$O,7,FALSE)/VLOOKUP($P81,'CY Rushing Query'!$B:$O,5,FALSE),0)</f>
        <v>0</v>
      </c>
      <c r="AE81" s="10">
        <f>IFERROR(AVERAGE(VLOOKUP($P81,'PY Rushing'!$C:$P,8,FALSE)/VLOOKUP($P81,'PY Rushing'!$C:$P,5,FALSE),VLOOKUP($P81,'CY Rushing'!$C:$P,8,FALSE)/VLOOKUP($P81,'CY Rushing'!$C:$P,5,FALSE)),0)</f>
        <v>0</v>
      </c>
      <c r="AF81" s="10">
        <f>IFERROR(VLOOKUP($P81,'CY Rushing Query'!$B:$P,12,FALSE),0)</f>
        <v>0</v>
      </c>
      <c r="AG81" s="10">
        <f>IFERROR(VLOOKUP($P81,'CY Rushing Query'!$B:$P,9,FALSE)/VLOOKUP($P81,'CY Rushing Query'!$B:$P,5,FALSE),0)</f>
        <v>0</v>
      </c>
      <c r="AH81" s="10">
        <f>VLOOKUP($J81,'Vegas Odds'!$B:$S,18,FALSE)</f>
        <v>37.933262350936971</v>
      </c>
      <c r="AI81" s="10">
        <f>VLOOKUP($J81,'Vegas Odds'!$B:$S,17,FALSE)</f>
        <v>27.766737649063032</v>
      </c>
      <c r="AJ81">
        <f t="shared" si="39"/>
        <v>1</v>
      </c>
      <c r="AK81" s="10">
        <f t="shared" si="23"/>
        <v>0</v>
      </c>
      <c r="AL81" s="10">
        <f t="shared" si="24"/>
        <v>0</v>
      </c>
      <c r="AM81" s="10">
        <f>V81/'CY Defensive Stats Query'!$AD$34*'Fanduel Export'!Q81</f>
        <v>0</v>
      </c>
      <c r="AN81" s="10">
        <f t="shared" si="40"/>
        <v>0</v>
      </c>
      <c r="AO81" s="10">
        <f>IFERROR(IF(OR($B81="D",$B81="K"),0,VLOOKUP($P81,'CY Receving Query'!$B:$S,7,FALSE)/VLOOKUP($P81,'CY Receving Query'!$B:$S,5,FALSE)),0)*$AJ81</f>
        <v>1.1666666666666667</v>
      </c>
      <c r="AP81" s="10">
        <f t="shared" si="25"/>
        <v>37.365221788015901</v>
      </c>
      <c r="AQ81" s="10">
        <f t="shared" si="26"/>
        <v>1.184402784863271</v>
      </c>
      <c r="AR81" s="16">
        <f t="shared" si="27"/>
        <v>0.41666666666666669</v>
      </c>
      <c r="AS81" s="16">
        <f t="shared" si="28"/>
        <v>0.42300099459402535</v>
      </c>
      <c r="AT81" s="16">
        <f>AA81/'CY Defensive Stats Query'!$AH$34
*'Fanduel Export'!S81</f>
        <v>6.7550549933653912</v>
      </c>
      <c r="AU81" s="10">
        <f t="shared" si="41"/>
        <v>2.8573949807308976</v>
      </c>
      <c r="AV81" s="10">
        <f t="shared" si="29"/>
        <v>0</v>
      </c>
      <c r="AW81" s="10">
        <f t="shared" si="30"/>
        <v>19.787381735911151</v>
      </c>
      <c r="AX81" s="10">
        <f t="shared" si="31"/>
        <v>0</v>
      </c>
      <c r="AY81" s="10">
        <f>AF81/'CY Defensive Stats Query'!$AF$34
*R81</f>
        <v>0</v>
      </c>
      <c r="AZ81" s="10">
        <f t="shared" si="42"/>
        <v>0</v>
      </c>
      <c r="BA81" s="16">
        <f t="shared" si="32"/>
        <v>0.49407283140642311</v>
      </c>
      <c r="BB81" s="16">
        <f t="shared" si="33"/>
        <v>0.1074071372622659</v>
      </c>
      <c r="BC81" s="10">
        <f t="shared" si="34"/>
        <v>0.25362318840579712</v>
      </c>
      <c r="BD81" s="10">
        <f>IF(B81="QB",COUNTIFS($B$5:B81,B81,$J$5:J81,J81),1)</f>
        <v>1</v>
      </c>
      <c r="BE81" t="str">
        <f t="shared" si="35"/>
        <v>Josh Gordon</v>
      </c>
      <c r="BF81">
        <f t="shared" si="36"/>
        <v>4600</v>
      </c>
      <c r="BG81" t="str">
        <f t="shared" si="37"/>
        <v>WR</v>
      </c>
      <c r="BH81" s="16">
        <f t="shared" si="38"/>
        <v>0.49407283140642311</v>
      </c>
    </row>
    <row r="82" spans="1:60" x14ac:dyDescent="0.2">
      <c r="A82" t="s">
        <v>2842</v>
      </c>
      <c r="B82" t="s">
        <v>68</v>
      </c>
      <c r="C82" t="s">
        <v>2258</v>
      </c>
      <c r="D82" t="s">
        <v>445</v>
      </c>
      <c r="E82" t="s">
        <v>2554</v>
      </c>
      <c r="F82">
        <v>0.94999998807907104</v>
      </c>
      <c r="G82">
        <v>2</v>
      </c>
      <c r="H82">
        <v>4600</v>
      </c>
      <c r="I82" t="s">
        <v>2716</v>
      </c>
      <c r="J82" t="s">
        <v>99</v>
      </c>
      <c r="K82" t="s">
        <v>81</v>
      </c>
      <c r="O82" t="str">
        <f t="shared" si="22"/>
        <v>Anthony McFarland Jr.</v>
      </c>
      <c r="P82" t="str">
        <f>IFERROR(VLOOKUP(O:O,'Name Bridge'!A:B,2,FALSE),O:O)</f>
        <v>Anthony McFarland Jr.</v>
      </c>
      <c r="Q82" s="10">
        <f>VLOOKUP($K82,'CY Defensive Stats Query'!$AC:$AH,2,FALSE)</f>
        <v>8.7934782608695645</v>
      </c>
      <c r="R82" s="10">
        <f>VLOOKUP($K82,'CY Defensive Stats Query'!$AC:$AH,4,FALSE)</f>
        <v>5.404494382022472</v>
      </c>
      <c r="S82" s="10">
        <f>VLOOKUP($K82,'CY Defensive Stats Query'!$AC:$AH,6,FALSE)</f>
        <v>12.446153846153846</v>
      </c>
      <c r="T82" s="10">
        <f>IFERROR(VLOOKUP($P82,'CYPassing Query'!$B:$AE,9,FALSE)/VLOOKUP($P82,'CYPassing Query'!$B:$AE,5,FALSE),0)</f>
        <v>0</v>
      </c>
      <c r="U82" s="10">
        <f>IFERROR(VLOOKUP($P82,'CYPassing Query'!$B:$AE,11,FALSE)/VLOOKUP($P82,'CYPassing Query'!$B:$AE,5,FALSE),0)</f>
        <v>0</v>
      </c>
      <c r="V82" s="10">
        <f>IFERROR(VLOOKUP($P82,'CYPassing Query'!$B:$AE,18,FALSE),0)</f>
        <v>0</v>
      </c>
      <c r="W82" s="10">
        <f>IFERROR(VLOOKUP($P82,'CYPassing Query'!$B:$AE,12,FALSE)/VLOOKUP($P82,'CYPassing Query'!$B:$AE,5,FALSE),0)</f>
        <v>0</v>
      </c>
      <c r="X82" s="10">
        <f>IFERROR(IF(OR($B82="D",$B82="K"),0,VLOOKUP($P82,'CY Receving Query'!$B:$S,7,FALSE)/VLOOKUP($P82,'CY Receving Query'!$B:$S,5,FALSE)),0)*$AJ82</f>
        <v>0.5</v>
      </c>
      <c r="Y82" s="10">
        <f>IFERROR(VLOOKUP($P82,'CY Receving Query'!$B:$S,8,FALSE)/VLOOKUP($P82,'CY Receving Query'!$B:$S,5,FALSE),0)</f>
        <v>0.5</v>
      </c>
      <c r="Z82" s="10">
        <f>IFERROR(VLOOKUP($P82,'CY Receving Query'!$B:$S,10,FALSE)/VLOOKUP($P82,'CY Receving Query'!$B:$S,5,FALSE),0)</f>
        <v>5.5</v>
      </c>
      <c r="AA82" s="10">
        <f>IFERROR(VLOOKUP($P82,'CY Receving Query'!$B:$S,11,FALSE),0)</f>
        <v>11</v>
      </c>
      <c r="AB82" s="10">
        <f>IFERROR(AVERAGE(VLOOKUP($P82,'PY Receiving'!$C:$T,14,FALSE),VLOOKUP($P82,'CY Receiving'!$C:$T,14,FALSE)),0)</f>
        <v>0</v>
      </c>
      <c r="AC82" s="10">
        <f>IFERROR(VLOOKUP($P82,'CY Receving Query'!$B:$S,11,FALSE)/VLOOKUP($P82,'CY Receving Query'!$B:$S,5,FALSE),0)</f>
        <v>5.5</v>
      </c>
      <c r="AD82" s="10">
        <f>IFERROR(VLOOKUP($P82,'CY Rushing Query'!$B:$O,7,FALSE)/VLOOKUP($P82,'CY Rushing Query'!$B:$O,5,FALSE),0)</f>
        <v>1.5</v>
      </c>
      <c r="AE82" s="10">
        <f>IFERROR(AVERAGE(VLOOKUP($P82,'PY Rushing'!$C:$P,8,FALSE)/VLOOKUP($P82,'PY Rushing'!$C:$P,5,FALSE),VLOOKUP($P82,'CY Rushing'!$C:$P,8,FALSE)/VLOOKUP($P82,'CY Rushing'!$C:$P,5,FALSE)),0)</f>
        <v>0</v>
      </c>
      <c r="AF82" s="10">
        <f>IFERROR(VLOOKUP($P82,'CY Rushing Query'!$B:$P,12,FALSE),0)</f>
        <v>1</v>
      </c>
      <c r="AG82" s="10">
        <f>IFERROR(VLOOKUP($P82,'CY Rushing Query'!$B:$P,9,FALSE)/VLOOKUP($P82,'CY Rushing Query'!$B:$P,5,FALSE),0)</f>
        <v>0</v>
      </c>
      <c r="AH82" s="10">
        <f>VLOOKUP($J82,'Vegas Odds'!$B:$S,18,FALSE)</f>
        <v>40.088640957860363</v>
      </c>
      <c r="AI82" s="10">
        <f>VLOOKUP($J82,'Vegas Odds'!$B:$S,17,FALSE)</f>
        <v>25.511359042139631</v>
      </c>
      <c r="AJ82">
        <f t="shared" si="39"/>
        <v>1</v>
      </c>
      <c r="AK82" s="10">
        <f t="shared" si="23"/>
        <v>0</v>
      </c>
      <c r="AL82" s="10">
        <f t="shared" si="24"/>
        <v>0</v>
      </c>
      <c r="AM82" s="10">
        <f>V82/'CY Defensive Stats Query'!$AD$34*'Fanduel Export'!Q82</f>
        <v>0</v>
      </c>
      <c r="AN82" s="10">
        <f t="shared" si="40"/>
        <v>0</v>
      </c>
      <c r="AO82" s="10">
        <f>IFERROR(IF(OR($B82="D",$B82="K"),0,VLOOKUP($P82,'CY Receving Query'!$B:$S,7,FALSE)/VLOOKUP($P82,'CY Receving Query'!$B:$S,5,FALSE)),0)*$AJ82</f>
        <v>0.5</v>
      </c>
      <c r="AP82" s="10">
        <f t="shared" si="25"/>
        <v>32.289950980392156</v>
      </c>
      <c r="AQ82" s="10">
        <f t="shared" si="26"/>
        <v>0.6207603254369124</v>
      </c>
      <c r="AR82" s="16">
        <f t="shared" si="27"/>
        <v>0.5</v>
      </c>
      <c r="AS82" s="16">
        <f t="shared" si="28"/>
        <v>0.6207603254369124</v>
      </c>
      <c r="AT82" s="16">
        <f>AA82/'CY Defensive Stats Query'!$AH$34
*'Fanduel Export'!S82</f>
        <v>13.021543984635302</v>
      </c>
      <c r="AU82" s="10">
        <f t="shared" si="41"/>
        <v>8.0832578815932798</v>
      </c>
      <c r="AV82" s="10">
        <f t="shared" si="29"/>
        <v>1.5</v>
      </c>
      <c r="AW82" s="10">
        <f t="shared" si="30"/>
        <v>7.4240196078431371</v>
      </c>
      <c r="AX82" s="10">
        <f t="shared" si="31"/>
        <v>5.1544905030668389</v>
      </c>
      <c r="AY82" s="10">
        <f>AF82/'CY Defensive Stats Query'!$AF$34
*R82</f>
        <v>1.3068610598928754</v>
      </c>
      <c r="AZ82" s="10">
        <f t="shared" si="42"/>
        <v>6.7362029220456892</v>
      </c>
      <c r="BA82" s="16">
        <f t="shared" si="32"/>
        <v>1.7319460803638969</v>
      </c>
      <c r="BB82" s="16">
        <f t="shared" si="33"/>
        <v>0.37651001747041241</v>
      </c>
      <c r="BC82" s="10">
        <f t="shared" si="34"/>
        <v>0.10869565217391305</v>
      </c>
      <c r="BD82" s="10">
        <f>IF(B82="QB",COUNTIFS($B$5:B82,B82,$J$5:J82,J82),1)</f>
        <v>1</v>
      </c>
      <c r="BE82" t="str">
        <f t="shared" si="35"/>
        <v>Anthony McFarland Jr.</v>
      </c>
      <c r="BF82">
        <f t="shared" si="36"/>
        <v>4600</v>
      </c>
      <c r="BG82" t="str">
        <f t="shared" si="37"/>
        <v>RB</v>
      </c>
      <c r="BH82" s="16">
        <f t="shared" si="38"/>
        <v>1.7319460803638969</v>
      </c>
    </row>
    <row r="83" spans="1:60" x14ac:dyDescent="0.2">
      <c r="A83" t="s">
        <v>2843</v>
      </c>
      <c r="B83" t="s">
        <v>68</v>
      </c>
      <c r="C83" t="s">
        <v>2844</v>
      </c>
      <c r="D83" t="s">
        <v>2527</v>
      </c>
      <c r="E83" t="s">
        <v>2516</v>
      </c>
      <c r="F83">
        <v>4.4499998092651296</v>
      </c>
      <c r="G83">
        <v>2</v>
      </c>
      <c r="H83">
        <v>4600</v>
      </c>
      <c r="I83" t="s">
        <v>2718</v>
      </c>
      <c r="J83" t="s">
        <v>729</v>
      </c>
      <c r="K83" t="s">
        <v>138</v>
      </c>
      <c r="O83" t="str">
        <f t="shared" si="22"/>
        <v>JaQuan Hardy</v>
      </c>
      <c r="P83" t="str">
        <f>IFERROR(VLOOKUP(O:O,'Name Bridge'!A:B,2,FALSE),O:O)</f>
        <v>JaQuan Hardy</v>
      </c>
      <c r="Q83" s="10">
        <f>VLOOKUP($K83,'CY Defensive Stats Query'!$AC:$AH,2,FALSE)</f>
        <v>6.5263157894736841</v>
      </c>
      <c r="R83" s="10">
        <f>VLOOKUP($K83,'CY Defensive Stats Query'!$AC:$AH,4,FALSE)</f>
        <v>4.7051282051282053</v>
      </c>
      <c r="S83" s="10">
        <f>VLOOKUP($K83,'CY Defensive Stats Query'!$AC:$AH,6,FALSE)</f>
        <v>10.191780821917808</v>
      </c>
      <c r="T83" s="10">
        <f>IFERROR(VLOOKUP($P83,'CYPassing Query'!$B:$AE,9,FALSE)/VLOOKUP($P83,'CYPassing Query'!$B:$AE,5,FALSE),0)</f>
        <v>0</v>
      </c>
      <c r="U83" s="10">
        <f>IFERROR(VLOOKUP($P83,'CYPassing Query'!$B:$AE,11,FALSE)/VLOOKUP($P83,'CYPassing Query'!$B:$AE,5,FALSE),0)</f>
        <v>0</v>
      </c>
      <c r="V83" s="10">
        <f>IFERROR(VLOOKUP($P83,'CYPassing Query'!$B:$AE,18,FALSE),0)</f>
        <v>0</v>
      </c>
      <c r="W83" s="10">
        <f>IFERROR(VLOOKUP($P83,'CYPassing Query'!$B:$AE,12,FALSE)/VLOOKUP($P83,'CYPassing Query'!$B:$AE,5,FALSE),0)</f>
        <v>0</v>
      </c>
      <c r="X83" s="10">
        <f>IFERROR(IF(OR($B83="D",$B83="K"),0,VLOOKUP($P83,'CY Receving Query'!$B:$S,7,FALSE)/VLOOKUP($P83,'CY Receving Query'!$B:$S,5,FALSE)),0)*$AJ83</f>
        <v>0</v>
      </c>
      <c r="Y83" s="10">
        <f>IFERROR(VLOOKUP($P83,'CY Receving Query'!$B:$S,8,FALSE)/VLOOKUP($P83,'CY Receving Query'!$B:$S,5,FALSE),0)</f>
        <v>0</v>
      </c>
      <c r="Z83" s="10">
        <f>IFERROR(VLOOKUP($P83,'CY Receving Query'!$B:$S,10,FALSE)/VLOOKUP($P83,'CY Receving Query'!$B:$S,5,FALSE),0)</f>
        <v>0</v>
      </c>
      <c r="AA83" s="10">
        <f>IFERROR(VLOOKUP($P83,'CY Receving Query'!$B:$S,11,FALSE),0)</f>
        <v>0</v>
      </c>
      <c r="AB83" s="10">
        <f>IFERROR(AVERAGE(VLOOKUP($P83,'PY Receiving'!$C:$T,14,FALSE),VLOOKUP($P83,'CY Receiving'!$C:$T,14,FALSE)),0)</f>
        <v>0</v>
      </c>
      <c r="AC83" s="10">
        <f>IFERROR(VLOOKUP($P83,'CY Receving Query'!$B:$S,11,FALSE)/VLOOKUP($P83,'CY Receving Query'!$B:$S,5,FALSE),0)</f>
        <v>0</v>
      </c>
      <c r="AD83" s="10">
        <f>IFERROR(VLOOKUP($P83,'CY Rushing Query'!$B:$O,7,FALSE)/VLOOKUP($P83,'CY Rushing Query'!$B:$O,5,FALSE),0)</f>
        <v>1.3333333333333333</v>
      </c>
      <c r="AE83" s="10">
        <f>IFERROR(AVERAGE(VLOOKUP($P83,'PY Rushing'!$C:$P,8,FALSE)/VLOOKUP($P83,'PY Rushing'!$C:$P,5,FALSE),VLOOKUP($P83,'CY Rushing'!$C:$P,8,FALSE)/VLOOKUP($P83,'CY Rushing'!$C:$P,5,FALSE)),0)</f>
        <v>0</v>
      </c>
      <c r="AF83" s="10">
        <f>IFERROR(VLOOKUP($P83,'CY Rushing Query'!$B:$P,12,FALSE),0)</f>
        <v>7.3</v>
      </c>
      <c r="AG83" s="10">
        <f>IFERROR(VLOOKUP($P83,'CY Rushing Query'!$B:$P,9,FALSE)/VLOOKUP($P83,'CY Rushing Query'!$B:$P,5,FALSE),0)</f>
        <v>0.33333333333333331</v>
      </c>
      <c r="AH83" s="10">
        <f>VLOOKUP($J83,'Vegas Odds'!$B:$S,18,FALSE)</f>
        <v>38.06292701199007</v>
      </c>
      <c r="AI83" s="10">
        <f>VLOOKUP($J83,'Vegas Odds'!$B:$S,17,FALSE)</f>
        <v>29.237072988009928</v>
      </c>
      <c r="AJ83">
        <f t="shared" si="39"/>
        <v>1</v>
      </c>
      <c r="AK83" s="10">
        <f t="shared" si="23"/>
        <v>0</v>
      </c>
      <c r="AL83" s="10">
        <f t="shared" si="24"/>
        <v>0</v>
      </c>
      <c r="AM83" s="10">
        <f>V83/'CY Defensive Stats Query'!$AD$34*'Fanduel Export'!Q83</f>
        <v>0</v>
      </c>
      <c r="AN83" s="10">
        <f t="shared" si="40"/>
        <v>0</v>
      </c>
      <c r="AO83" s="10">
        <f>IFERROR(IF(OR($B83="D",$B83="K"),0,VLOOKUP($P83,'CY Receving Query'!$B:$S,7,FALSE)/VLOOKUP($P83,'CY Receving Query'!$B:$S,5,FALSE)),0)*$AJ83</f>
        <v>0</v>
      </c>
      <c r="AP83" s="10">
        <f t="shared" si="25"/>
        <v>30.199512497306614</v>
      </c>
      <c r="AQ83" s="10">
        <f t="shared" si="26"/>
        <v>0</v>
      </c>
      <c r="AR83" s="16">
        <f t="shared" si="27"/>
        <v>0</v>
      </c>
      <c r="AS83" s="16">
        <f t="shared" si="28"/>
        <v>0</v>
      </c>
      <c r="AT83" s="16">
        <f>AA83/'CY Defensive Stats Query'!$AH$34
*'Fanduel Export'!S83</f>
        <v>0</v>
      </c>
      <c r="AU83" s="10">
        <f t="shared" si="41"/>
        <v>0</v>
      </c>
      <c r="AV83" s="10">
        <f t="shared" si="29"/>
        <v>1.3333333333333333</v>
      </c>
      <c r="AW83" s="10">
        <f t="shared" si="30"/>
        <v>30.007352941176471</v>
      </c>
      <c r="AX83" s="10">
        <f t="shared" si="31"/>
        <v>1.2991070575412398</v>
      </c>
      <c r="AY83" s="10">
        <f>AF83/'CY Defensive Stats Query'!$AF$34
*R83</f>
        <v>8.3055552117583886</v>
      </c>
      <c r="AZ83" s="10">
        <f t="shared" si="42"/>
        <v>10.789805392393749</v>
      </c>
      <c r="BA83" s="16">
        <f t="shared" si="32"/>
        <v>1.078980539239375</v>
      </c>
      <c r="BB83" s="16">
        <f t="shared" si="33"/>
        <v>0.23456098679116849</v>
      </c>
      <c r="BC83" s="10">
        <f t="shared" si="34"/>
        <v>0</v>
      </c>
      <c r="BD83" s="10">
        <f>IF(B83="QB",COUNTIFS($B$5:B83,B83,$J$5:J83,J83),1)</f>
        <v>1</v>
      </c>
      <c r="BE83" t="str">
        <f t="shared" si="35"/>
        <v>JaQuan Hardy</v>
      </c>
      <c r="BF83">
        <f t="shared" si="36"/>
        <v>4600</v>
      </c>
      <c r="BG83" t="str">
        <f t="shared" si="37"/>
        <v>RB</v>
      </c>
      <c r="BH83" s="16">
        <f t="shared" si="38"/>
        <v>1.078980539239375</v>
      </c>
    </row>
    <row r="84" spans="1:60" x14ac:dyDescent="0.2">
      <c r="A84" t="s">
        <v>2845</v>
      </c>
      <c r="B84" t="s">
        <v>83</v>
      </c>
      <c r="C84" t="s">
        <v>2261</v>
      </c>
      <c r="D84" t="s">
        <v>490</v>
      </c>
      <c r="E84" t="s">
        <v>2682</v>
      </c>
      <c r="F84">
        <v>2.1333334181043799</v>
      </c>
      <c r="G84">
        <v>9</v>
      </c>
      <c r="H84">
        <v>4600</v>
      </c>
      <c r="I84" t="s">
        <v>2718</v>
      </c>
      <c r="J84" t="s">
        <v>138</v>
      </c>
      <c r="K84" t="s">
        <v>729</v>
      </c>
      <c r="O84" t="str">
        <f t="shared" si="22"/>
        <v>Trent Sherfield</v>
      </c>
      <c r="P84" t="str">
        <f>IFERROR(VLOOKUP(O:O,'Name Bridge'!A:B,2,FALSE),O:O)</f>
        <v>Trent Sherfield</v>
      </c>
      <c r="Q84" s="10">
        <f>VLOOKUP($K84,'CY Defensive Stats Query'!$AC:$AH,2,FALSE)</f>
        <v>7.6538461538461542</v>
      </c>
      <c r="R84" s="10">
        <f>VLOOKUP($K84,'CY Defensive Stats Query'!$AC:$AH,4,FALSE)</f>
        <v>4.6888888888888891</v>
      </c>
      <c r="S84" s="10">
        <f>VLOOKUP($K84,'CY Defensive Stats Query'!$AC:$AH,6,FALSE)</f>
        <v>11.306818181818182</v>
      </c>
      <c r="T84" s="10">
        <f>IFERROR(VLOOKUP($P84,'CYPassing Query'!$B:$AE,9,FALSE)/VLOOKUP($P84,'CYPassing Query'!$B:$AE,5,FALSE),0)</f>
        <v>0</v>
      </c>
      <c r="U84" s="10">
        <f>IFERROR(VLOOKUP($P84,'CYPassing Query'!$B:$AE,11,FALSE)/VLOOKUP($P84,'CYPassing Query'!$B:$AE,5,FALSE),0)</f>
        <v>0</v>
      </c>
      <c r="V84" s="10">
        <f>IFERROR(VLOOKUP($P84,'CYPassing Query'!$B:$AE,18,FALSE),0)</f>
        <v>0</v>
      </c>
      <c r="W84" s="10">
        <f>IFERROR(VLOOKUP($P84,'CYPassing Query'!$B:$AE,12,FALSE)/VLOOKUP($P84,'CYPassing Query'!$B:$AE,5,FALSE),0)</f>
        <v>0</v>
      </c>
      <c r="X84" s="10">
        <f>IFERROR(IF(OR($B84="D",$B84="K"),0,VLOOKUP($P84,'CY Receving Query'!$B:$S,7,FALSE)/VLOOKUP($P84,'CY Receving Query'!$B:$S,5,FALSE)),0)*$AJ84</f>
        <v>1.1764705882352942</v>
      </c>
      <c r="Y84" s="10">
        <f>IFERROR(VLOOKUP($P84,'CY Receving Query'!$B:$S,8,FALSE)/VLOOKUP($P84,'CY Receving Query'!$B:$S,5,FALSE),0)</f>
        <v>0.52941176470588236</v>
      </c>
      <c r="Z84" s="10">
        <f>IFERROR(VLOOKUP($P84,'CY Receving Query'!$B:$S,10,FALSE)/VLOOKUP($P84,'CY Receving Query'!$B:$S,5,FALSE),0)</f>
        <v>5.117647058823529</v>
      </c>
      <c r="AA84" s="10">
        <f>IFERROR(VLOOKUP($P84,'CY Receving Query'!$B:$S,11,FALSE),0)</f>
        <v>9.6999999999999993</v>
      </c>
      <c r="AB84" s="10">
        <f>IFERROR(AVERAGE(VLOOKUP($P84,'PY Receiving'!$C:$T,14,FALSE),VLOOKUP($P84,'CY Receiving'!$C:$T,14,FALSE)),0)</f>
        <v>22</v>
      </c>
      <c r="AC84" s="10">
        <f>IFERROR(VLOOKUP($P84,'CY Receving Query'!$B:$S,11,FALSE)/VLOOKUP($P84,'CY Receving Query'!$B:$S,5,FALSE),0)</f>
        <v>0.57058823529411762</v>
      </c>
      <c r="AD84" s="10">
        <f>IFERROR(VLOOKUP($P84,'CY Rushing Query'!$B:$O,7,FALSE)/VLOOKUP($P84,'CY Rushing Query'!$B:$O,5,FALSE),0)</f>
        <v>0</v>
      </c>
      <c r="AE84" s="10">
        <f>IFERROR(AVERAGE(VLOOKUP($P84,'PY Rushing'!$C:$P,8,FALSE)/VLOOKUP($P84,'PY Rushing'!$C:$P,5,FALSE),VLOOKUP($P84,'CY Rushing'!$C:$P,8,FALSE)/VLOOKUP($P84,'CY Rushing'!$C:$P,5,FALSE)),0)</f>
        <v>0</v>
      </c>
      <c r="AF84" s="10">
        <f>IFERROR(VLOOKUP($P84,'CY Rushing Query'!$B:$P,12,FALSE),0)</f>
        <v>0</v>
      </c>
      <c r="AG84" s="10">
        <f>IFERROR(VLOOKUP($P84,'CY Rushing Query'!$B:$P,9,FALSE)/VLOOKUP($P84,'CY Rushing Query'!$B:$P,5,FALSE),0)</f>
        <v>0</v>
      </c>
      <c r="AH84" s="10">
        <f>VLOOKUP($J84,'Vegas Odds'!$B:$S,18,FALSE)</f>
        <v>32.679248170039784</v>
      </c>
      <c r="AI84" s="10">
        <f>VLOOKUP($J84,'Vegas Odds'!$B:$S,17,FALSE)</f>
        <v>32.620751829960213</v>
      </c>
      <c r="AJ84">
        <f t="shared" si="39"/>
        <v>1</v>
      </c>
      <c r="AK84" s="10">
        <f t="shared" si="23"/>
        <v>0</v>
      </c>
      <c r="AL84" s="10">
        <f t="shared" si="24"/>
        <v>0</v>
      </c>
      <c r="AM84" s="10">
        <f>V84/'CY Defensive Stats Query'!$AD$34*'Fanduel Export'!Q84</f>
        <v>0</v>
      </c>
      <c r="AN84" s="10">
        <f t="shared" si="40"/>
        <v>0</v>
      </c>
      <c r="AO84" s="10">
        <f>IFERROR(IF(OR($B84="D",$B84="K"),0,VLOOKUP($P84,'CY Receving Query'!$B:$S,7,FALSE)/VLOOKUP($P84,'CY Receving Query'!$B:$S,5,FALSE)),0)*$AJ84</f>
        <v>1.1764705882352942</v>
      </c>
      <c r="AP84" s="10">
        <f t="shared" si="25"/>
        <v>29.704370384517439</v>
      </c>
      <c r="AQ84" s="10">
        <f t="shared" si="26"/>
        <v>1.2942935271818736</v>
      </c>
      <c r="AR84" s="16">
        <f t="shared" si="27"/>
        <v>0.52941176470588236</v>
      </c>
      <c r="AS84" s="16">
        <f t="shared" si="28"/>
        <v>0.58243208723184314</v>
      </c>
      <c r="AT84" s="16">
        <f>AA84/'CY Defensive Stats Query'!$AH$34
*'Fanduel Export'!S84</f>
        <v>10.431500302512276</v>
      </c>
      <c r="AU84" s="10">
        <f t="shared" si="41"/>
        <v>6.0756404941518278</v>
      </c>
      <c r="AV84" s="10">
        <f t="shared" si="29"/>
        <v>0</v>
      </c>
      <c r="AW84" s="10">
        <f t="shared" si="30"/>
        <v>40.335297300738475</v>
      </c>
      <c r="AX84" s="10">
        <f t="shared" si="31"/>
        <v>0</v>
      </c>
      <c r="AY84" s="10">
        <f>AF84/'CY Defensive Stats Query'!$AF$34
*R84</f>
        <v>0</v>
      </c>
      <c r="AZ84" s="10">
        <f t="shared" si="42"/>
        <v>0</v>
      </c>
      <c r="BA84" s="16">
        <f t="shared" si="32"/>
        <v>0.87226993176812395</v>
      </c>
      <c r="BB84" s="16">
        <f t="shared" si="33"/>
        <v>0.18962389821046174</v>
      </c>
      <c r="BC84" s="10">
        <f t="shared" si="34"/>
        <v>0.25575447570332482</v>
      </c>
      <c r="BD84" s="10">
        <f>IF(B84="QB",COUNTIFS($B$5:B84,B84,$J$5:J84,J84),1)</f>
        <v>1</v>
      </c>
      <c r="BE84" t="str">
        <f t="shared" si="35"/>
        <v>Trent Sherfield</v>
      </c>
      <c r="BF84">
        <f t="shared" si="36"/>
        <v>4600</v>
      </c>
      <c r="BG84" t="str">
        <f t="shared" si="37"/>
        <v>WR</v>
      </c>
      <c r="BH84" s="16">
        <f t="shared" si="38"/>
        <v>0.87226993176812395</v>
      </c>
    </row>
    <row r="85" spans="1:60" x14ac:dyDescent="0.2">
      <c r="A85" t="s">
        <v>2846</v>
      </c>
      <c r="B85" t="s">
        <v>83</v>
      </c>
      <c r="C85" t="s">
        <v>2707</v>
      </c>
      <c r="D85" t="s">
        <v>2464</v>
      </c>
      <c r="E85" t="s">
        <v>2847</v>
      </c>
      <c r="F85">
        <v>5.5571430751255502</v>
      </c>
      <c r="G85">
        <v>7</v>
      </c>
      <c r="H85">
        <v>4600</v>
      </c>
      <c r="I85" t="s">
        <v>2718</v>
      </c>
      <c r="J85" t="s">
        <v>729</v>
      </c>
      <c r="K85" t="s">
        <v>138</v>
      </c>
      <c r="O85" t="str">
        <f t="shared" si="22"/>
        <v>Malik Turner</v>
      </c>
      <c r="P85" t="str">
        <f>IFERROR(VLOOKUP(O:O,'Name Bridge'!A:B,2,FALSE),O:O)</f>
        <v>Malik Turner</v>
      </c>
      <c r="Q85" s="10">
        <f>VLOOKUP($K85,'CY Defensive Stats Query'!$AC:$AH,2,FALSE)</f>
        <v>6.5263157894736841</v>
      </c>
      <c r="R85" s="10">
        <f>VLOOKUP($K85,'CY Defensive Stats Query'!$AC:$AH,4,FALSE)</f>
        <v>4.7051282051282053</v>
      </c>
      <c r="S85" s="10">
        <f>VLOOKUP($K85,'CY Defensive Stats Query'!$AC:$AH,6,FALSE)</f>
        <v>10.191780821917808</v>
      </c>
      <c r="T85" s="10">
        <f>IFERROR(VLOOKUP($P85,'CYPassing Query'!$B:$AE,9,FALSE)/VLOOKUP($P85,'CYPassing Query'!$B:$AE,5,FALSE),0)</f>
        <v>0</v>
      </c>
      <c r="U85" s="10">
        <f>IFERROR(VLOOKUP($P85,'CYPassing Query'!$B:$AE,11,FALSE)/VLOOKUP($P85,'CYPassing Query'!$B:$AE,5,FALSE),0)</f>
        <v>0</v>
      </c>
      <c r="V85" s="10">
        <f>IFERROR(VLOOKUP($P85,'CYPassing Query'!$B:$AE,18,FALSE),0)</f>
        <v>0</v>
      </c>
      <c r="W85" s="10">
        <f>IFERROR(VLOOKUP($P85,'CYPassing Query'!$B:$AE,12,FALSE)/VLOOKUP($P85,'CYPassing Query'!$B:$AE,5,FALSE),0)</f>
        <v>0</v>
      </c>
      <c r="X85" s="10">
        <f>IFERROR(IF(OR($B85="D",$B85="K"),0,VLOOKUP($P85,'CY Receving Query'!$B:$S,7,FALSE)/VLOOKUP($P85,'CY Receving Query'!$B:$S,5,FALSE)),0)*$AJ85</f>
        <v>1.1428571428571428</v>
      </c>
      <c r="Y85" s="10">
        <f>IFERROR(VLOOKUP($P85,'CY Receving Query'!$B:$S,8,FALSE)/VLOOKUP($P85,'CY Receving Query'!$B:$S,5,FALSE),0)</f>
        <v>0.8571428571428571</v>
      </c>
      <c r="Z85" s="10">
        <f>IFERROR(VLOOKUP($P85,'CY Receving Query'!$B:$S,10,FALSE)/VLOOKUP($P85,'CY Receving Query'!$B:$S,5,FALSE),0)</f>
        <v>10.642857142857142</v>
      </c>
      <c r="AA85" s="10">
        <f>IFERROR(VLOOKUP($P85,'CY Receving Query'!$B:$S,11,FALSE),0)</f>
        <v>12.4</v>
      </c>
      <c r="AB85" s="10">
        <f>IFERROR(AVERAGE(VLOOKUP($P85,'PY Receiving'!$C:$T,14,FALSE),VLOOKUP($P85,'CY Receiving'!$C:$T,14,FALSE)),0)</f>
        <v>0</v>
      </c>
      <c r="AC85" s="10">
        <f>IFERROR(VLOOKUP($P85,'CY Receving Query'!$B:$S,11,FALSE)/VLOOKUP($P85,'CY Receving Query'!$B:$S,5,FALSE),0)</f>
        <v>0.88571428571428579</v>
      </c>
      <c r="AD85" s="10">
        <f>IFERROR(VLOOKUP($P85,'CY Rushing Query'!$B:$O,7,FALSE)/VLOOKUP($P85,'CY Rushing Query'!$B:$O,5,FALSE),0)</f>
        <v>0</v>
      </c>
      <c r="AE85" s="10">
        <f>IFERROR(AVERAGE(VLOOKUP($P85,'PY Rushing'!$C:$P,8,FALSE)/VLOOKUP($P85,'PY Rushing'!$C:$P,5,FALSE),VLOOKUP($P85,'CY Rushing'!$C:$P,8,FALSE)/VLOOKUP($P85,'CY Rushing'!$C:$P,5,FALSE)),0)</f>
        <v>0</v>
      </c>
      <c r="AF85" s="10">
        <f>IFERROR(VLOOKUP($P85,'CY Rushing Query'!$B:$P,12,FALSE),0)</f>
        <v>0</v>
      </c>
      <c r="AG85" s="10">
        <f>IFERROR(VLOOKUP($P85,'CY Rushing Query'!$B:$P,9,FALSE)/VLOOKUP($P85,'CY Rushing Query'!$B:$P,5,FALSE),0)</f>
        <v>0</v>
      </c>
      <c r="AH85" s="10">
        <f>VLOOKUP($J85,'Vegas Odds'!$B:$S,18,FALSE)</f>
        <v>38.06292701199007</v>
      </c>
      <c r="AI85" s="10">
        <f>VLOOKUP($J85,'Vegas Odds'!$B:$S,17,FALSE)</f>
        <v>29.237072988009928</v>
      </c>
      <c r="AJ85">
        <f t="shared" si="39"/>
        <v>1</v>
      </c>
      <c r="AK85" s="10">
        <f t="shared" si="23"/>
        <v>0</v>
      </c>
      <c r="AL85" s="10">
        <f t="shared" si="24"/>
        <v>0</v>
      </c>
      <c r="AM85" s="10">
        <f>V85/'CY Defensive Stats Query'!$AD$34*'Fanduel Export'!Q85</f>
        <v>0</v>
      </c>
      <c r="AN85" s="10">
        <f t="shared" si="40"/>
        <v>0</v>
      </c>
      <c r="AO85" s="10">
        <f>IFERROR(IF(OR($B85="D",$B85="K"),0,VLOOKUP($P85,'CY Receving Query'!$B:$S,7,FALSE)/VLOOKUP($P85,'CY Receving Query'!$B:$S,5,FALSE)),0)*$AJ85</f>
        <v>1.1428571428571428</v>
      </c>
      <c r="AP85" s="10">
        <f t="shared" si="25"/>
        <v>30.199512497306614</v>
      </c>
      <c r="AQ85" s="10">
        <f t="shared" si="26"/>
        <v>1.4404367625994821</v>
      </c>
      <c r="AR85" s="16">
        <f t="shared" si="27"/>
        <v>0.8571428571428571</v>
      </c>
      <c r="AS85" s="16">
        <f t="shared" si="28"/>
        <v>1.0803275719496115</v>
      </c>
      <c r="AT85" s="16">
        <f>AA85/'CY Defensive Stats Query'!$AH$34
*'Fanduel Export'!S85</f>
        <v>12.020053279808787</v>
      </c>
      <c r="AU85" s="10">
        <f t="shared" si="41"/>
        <v>12.98559497448079</v>
      </c>
      <c r="AV85" s="10">
        <f t="shared" si="29"/>
        <v>0</v>
      </c>
      <c r="AW85" s="10">
        <f t="shared" si="30"/>
        <v>30.007352941176471</v>
      </c>
      <c r="AX85" s="10">
        <f t="shared" si="31"/>
        <v>0</v>
      </c>
      <c r="AY85" s="10">
        <f>AF85/'CY Defensive Stats Query'!$AF$34
*R85</f>
        <v>0</v>
      </c>
      <c r="AZ85" s="10">
        <f t="shared" si="42"/>
        <v>0</v>
      </c>
      <c r="BA85" s="16">
        <f t="shared" si="32"/>
        <v>1.7271309260195076</v>
      </c>
      <c r="BB85" s="16">
        <f t="shared" si="33"/>
        <v>0.3754632447868495</v>
      </c>
      <c r="BC85" s="10">
        <f t="shared" si="34"/>
        <v>0.2484472049689441</v>
      </c>
      <c r="BD85" s="10">
        <f>IF(B85="QB",COUNTIFS($B$5:B85,B85,$J$5:J85,J85),1)</f>
        <v>1</v>
      </c>
      <c r="BE85" t="str">
        <f t="shared" si="35"/>
        <v>Malik Turner</v>
      </c>
      <c r="BF85">
        <f t="shared" si="36"/>
        <v>4600</v>
      </c>
      <c r="BG85" t="str">
        <f t="shared" si="37"/>
        <v>WR</v>
      </c>
      <c r="BH85" s="16">
        <f t="shared" si="38"/>
        <v>1.7271309260195076</v>
      </c>
    </row>
    <row r="86" spans="1:60" x14ac:dyDescent="0.2">
      <c r="A86" t="s">
        <v>2848</v>
      </c>
      <c r="B86" t="s">
        <v>68</v>
      </c>
      <c r="C86" t="s">
        <v>2849</v>
      </c>
      <c r="D86" t="s">
        <v>1764</v>
      </c>
      <c r="E86" t="s">
        <v>209</v>
      </c>
      <c r="F86">
        <v>6.4000000953674299</v>
      </c>
      <c r="G86">
        <v>1</v>
      </c>
      <c r="H86">
        <v>4600</v>
      </c>
      <c r="I86" t="s">
        <v>2718</v>
      </c>
      <c r="J86" t="s">
        <v>729</v>
      </c>
      <c r="K86" t="s">
        <v>138</v>
      </c>
      <c r="O86" t="str">
        <f t="shared" si="22"/>
        <v>Ito Smith</v>
      </c>
      <c r="P86" t="str">
        <f>IFERROR(VLOOKUP(O:O,'Name Bridge'!A:B,2,FALSE),O:O)</f>
        <v>Ito Smith</v>
      </c>
      <c r="Q86" s="10">
        <f>VLOOKUP($K86,'CY Defensive Stats Query'!$AC:$AH,2,FALSE)</f>
        <v>6.5263157894736841</v>
      </c>
      <c r="R86" s="10">
        <f>VLOOKUP($K86,'CY Defensive Stats Query'!$AC:$AH,4,FALSE)</f>
        <v>4.7051282051282053</v>
      </c>
      <c r="S86" s="10">
        <f>VLOOKUP($K86,'CY Defensive Stats Query'!$AC:$AH,6,FALSE)</f>
        <v>10.191780821917808</v>
      </c>
      <c r="T86" s="10">
        <f>IFERROR(VLOOKUP($P86,'CYPassing Query'!$B:$AE,9,FALSE)/VLOOKUP($P86,'CYPassing Query'!$B:$AE,5,FALSE),0)</f>
        <v>0</v>
      </c>
      <c r="U86" s="10">
        <f>IFERROR(VLOOKUP($P86,'CYPassing Query'!$B:$AE,11,FALSE)/VLOOKUP($P86,'CYPassing Query'!$B:$AE,5,FALSE),0)</f>
        <v>0</v>
      </c>
      <c r="V86" s="10">
        <f>IFERROR(VLOOKUP($P86,'CYPassing Query'!$B:$AE,18,FALSE),0)</f>
        <v>0</v>
      </c>
      <c r="W86" s="10">
        <f>IFERROR(VLOOKUP($P86,'CYPassing Query'!$B:$AE,12,FALSE)/VLOOKUP($P86,'CYPassing Query'!$B:$AE,5,FALSE),0)</f>
        <v>0</v>
      </c>
      <c r="X86" s="10">
        <f>IFERROR(IF(OR($B86="D",$B86="K"),0,VLOOKUP($P86,'CY Receving Query'!$B:$S,7,FALSE)/VLOOKUP($P86,'CY Receving Query'!$B:$S,5,FALSE)),0)*$AJ86</f>
        <v>0</v>
      </c>
      <c r="Y86" s="10">
        <f>IFERROR(VLOOKUP($P86,'CY Receving Query'!$B:$S,8,FALSE)/VLOOKUP($P86,'CY Receving Query'!$B:$S,5,FALSE),0)</f>
        <v>0</v>
      </c>
      <c r="Z86" s="10">
        <f>IFERROR(VLOOKUP($P86,'CY Receving Query'!$B:$S,10,FALSE)/VLOOKUP($P86,'CY Receving Query'!$B:$S,5,FALSE),0)</f>
        <v>0</v>
      </c>
      <c r="AA86" s="10">
        <f>IFERROR(VLOOKUP($P86,'CY Receving Query'!$B:$S,11,FALSE),0)</f>
        <v>0</v>
      </c>
      <c r="AB86" s="10">
        <f>IFERROR(AVERAGE(VLOOKUP($P86,'PY Receiving'!$C:$T,14,FALSE),VLOOKUP($P86,'CY Receiving'!$C:$T,14,FALSE)),0)</f>
        <v>0</v>
      </c>
      <c r="AC86" s="10">
        <f>IFERROR(VLOOKUP($P86,'CY Receving Query'!$B:$S,11,FALSE)/VLOOKUP($P86,'CY Receving Query'!$B:$S,5,FALSE),0)</f>
        <v>0</v>
      </c>
      <c r="AD86" s="10">
        <f>IFERROR(VLOOKUP($P86,'CY Rushing Query'!$B:$O,7,FALSE)/VLOOKUP($P86,'CY Rushing Query'!$B:$O,5,FALSE),0)</f>
        <v>1</v>
      </c>
      <c r="AE86" s="10">
        <f>IFERROR(AVERAGE(VLOOKUP($P86,'PY Rushing'!$C:$P,8,FALSE)/VLOOKUP($P86,'PY Rushing'!$C:$P,5,FALSE),VLOOKUP($P86,'CY Rushing'!$C:$P,8,FALSE)/VLOOKUP($P86,'CY Rushing'!$C:$P,5,FALSE)),0)</f>
        <v>0</v>
      </c>
      <c r="AF86" s="10">
        <f>IFERROR(VLOOKUP($P86,'CY Rushing Query'!$B:$P,12,FALSE),0)</f>
        <v>4</v>
      </c>
      <c r="AG86" s="10">
        <f>IFERROR(VLOOKUP($P86,'CY Rushing Query'!$B:$P,9,FALSE)/VLOOKUP($P86,'CY Rushing Query'!$B:$P,5,FALSE),0)</f>
        <v>1</v>
      </c>
      <c r="AH86" s="10">
        <f>VLOOKUP($J86,'Vegas Odds'!$B:$S,18,FALSE)</f>
        <v>38.06292701199007</v>
      </c>
      <c r="AI86" s="10">
        <f>VLOOKUP($J86,'Vegas Odds'!$B:$S,17,FALSE)</f>
        <v>29.237072988009928</v>
      </c>
      <c r="AJ86">
        <f t="shared" si="39"/>
        <v>1</v>
      </c>
      <c r="AK86" s="10">
        <f t="shared" si="23"/>
        <v>0</v>
      </c>
      <c r="AL86" s="10">
        <f t="shared" si="24"/>
        <v>0</v>
      </c>
      <c r="AM86" s="10">
        <f>V86/'CY Defensive Stats Query'!$AD$34*'Fanduel Export'!Q86</f>
        <v>0</v>
      </c>
      <c r="AN86" s="10">
        <f t="shared" si="40"/>
        <v>0</v>
      </c>
      <c r="AO86" s="10">
        <f>IFERROR(IF(OR($B86="D",$B86="K"),0,VLOOKUP($P86,'CY Receving Query'!$B:$S,7,FALSE)/VLOOKUP($P86,'CY Receving Query'!$B:$S,5,FALSE)),0)*$AJ86</f>
        <v>0</v>
      </c>
      <c r="AP86" s="10">
        <f t="shared" si="25"/>
        <v>30.199512497306614</v>
      </c>
      <c r="AQ86" s="10">
        <f t="shared" si="26"/>
        <v>0</v>
      </c>
      <c r="AR86" s="16">
        <f t="shared" si="27"/>
        <v>0</v>
      </c>
      <c r="AS86" s="16">
        <f t="shared" si="28"/>
        <v>0</v>
      </c>
      <c r="AT86" s="16">
        <f>AA86/'CY Defensive Stats Query'!$AH$34
*'Fanduel Export'!S86</f>
        <v>0</v>
      </c>
      <c r="AU86" s="10">
        <f t="shared" si="41"/>
        <v>0</v>
      </c>
      <c r="AV86" s="10">
        <f t="shared" si="29"/>
        <v>1</v>
      </c>
      <c r="AW86" s="10">
        <f t="shared" si="30"/>
        <v>30.007352941176471</v>
      </c>
      <c r="AX86" s="10">
        <f t="shared" si="31"/>
        <v>0.97433029315592989</v>
      </c>
      <c r="AY86" s="10">
        <f>AF86/'CY Defensive Stats Query'!$AF$34
*R86</f>
        <v>4.5509891571278835</v>
      </c>
      <c r="AZ86" s="10">
        <f t="shared" si="42"/>
        <v>4.4341665996138691</v>
      </c>
      <c r="BA86" s="16">
        <f t="shared" si="32"/>
        <v>0.44341665996138691</v>
      </c>
      <c r="BB86" s="16">
        <f t="shared" si="33"/>
        <v>9.6394926078562385E-2</v>
      </c>
      <c r="BC86" s="10">
        <f t="shared" si="34"/>
        <v>0</v>
      </c>
      <c r="BD86" s="10">
        <f>IF(B86="QB",COUNTIFS($B$5:B86,B86,$J$5:J86,J86),1)</f>
        <v>1</v>
      </c>
      <c r="BE86" t="str">
        <f t="shared" si="35"/>
        <v>Ito Smith</v>
      </c>
      <c r="BF86">
        <f t="shared" si="36"/>
        <v>4600</v>
      </c>
      <c r="BG86" t="str">
        <f t="shared" si="37"/>
        <v>RB</v>
      </c>
      <c r="BH86" s="16">
        <f t="shared" si="38"/>
        <v>0.44341665996138691</v>
      </c>
    </row>
    <row r="87" spans="1:60" x14ac:dyDescent="0.2">
      <c r="A87" t="s">
        <v>2850</v>
      </c>
      <c r="B87" t="s">
        <v>83</v>
      </c>
      <c r="C87" t="s">
        <v>2609</v>
      </c>
      <c r="D87" t="s">
        <v>2295</v>
      </c>
      <c r="E87" t="s">
        <v>2610</v>
      </c>
      <c r="F87">
        <v>0.93333329094780804</v>
      </c>
      <c r="G87">
        <v>9</v>
      </c>
      <c r="H87">
        <v>4600</v>
      </c>
      <c r="I87" t="s">
        <v>2720</v>
      </c>
      <c r="J87" t="s">
        <v>728</v>
      </c>
      <c r="K87" t="s">
        <v>102</v>
      </c>
      <c r="O87" t="str">
        <f t="shared" si="22"/>
        <v>Jaelon Darden</v>
      </c>
      <c r="P87" t="str">
        <f>IFERROR(VLOOKUP(O:O,'Name Bridge'!A:B,2,FALSE),O:O)</f>
        <v>Jaelon Darden</v>
      </c>
      <c r="Q87" s="10">
        <f>VLOOKUP($K87,'CY Defensive Stats Query'!$AC:$AH,2,FALSE)</f>
        <v>5.9890109890109891</v>
      </c>
      <c r="R87" s="10">
        <f>VLOOKUP($K87,'CY Defensive Stats Query'!$AC:$AH,4,FALSE)</f>
        <v>3.8190476190476192</v>
      </c>
      <c r="S87" s="10">
        <f>VLOOKUP($K87,'CY Defensive Stats Query'!$AC:$AH,6,FALSE)</f>
        <v>8.515625</v>
      </c>
      <c r="T87" s="10">
        <f>IFERROR(VLOOKUP($P87,'CYPassing Query'!$B:$AE,9,FALSE)/VLOOKUP($P87,'CYPassing Query'!$B:$AE,5,FALSE),0)</f>
        <v>0</v>
      </c>
      <c r="U87" s="10">
        <f>IFERROR(VLOOKUP($P87,'CYPassing Query'!$B:$AE,11,FALSE)/VLOOKUP($P87,'CYPassing Query'!$B:$AE,5,FALSE),0)</f>
        <v>0</v>
      </c>
      <c r="V87" s="10">
        <f>IFERROR(VLOOKUP($P87,'CYPassing Query'!$B:$AE,18,FALSE),0)</f>
        <v>0</v>
      </c>
      <c r="W87" s="10">
        <f>IFERROR(VLOOKUP($P87,'CYPassing Query'!$B:$AE,12,FALSE)/VLOOKUP($P87,'CYPassing Query'!$B:$AE,5,FALSE),0)</f>
        <v>0</v>
      </c>
      <c r="X87" s="10">
        <f>IFERROR(IF(OR($B87="D",$B87="K"),0,VLOOKUP($P87,'CY Receving Query'!$B:$S,7,FALSE)/VLOOKUP($P87,'CY Receving Query'!$B:$S,5,FALSE)),0)*$AJ87</f>
        <v>1.3333333333333333</v>
      </c>
      <c r="Y87" s="10">
        <f>IFERROR(VLOOKUP($P87,'CY Receving Query'!$B:$S,8,FALSE)/VLOOKUP($P87,'CY Receving Query'!$B:$S,5,FALSE),0)</f>
        <v>0.66666666666666663</v>
      </c>
      <c r="Z87" s="10">
        <f>IFERROR(VLOOKUP($P87,'CY Receving Query'!$B:$S,10,FALSE)/VLOOKUP($P87,'CY Receving Query'!$B:$S,5,FALSE),0)</f>
        <v>4.7777777777777777</v>
      </c>
      <c r="AA87" s="10">
        <f>IFERROR(VLOOKUP($P87,'CY Receving Query'!$B:$S,11,FALSE),0)</f>
        <v>7.2</v>
      </c>
      <c r="AB87" s="10">
        <f>IFERROR(AVERAGE(VLOOKUP($P87,'PY Receiving'!$C:$T,14,FALSE),VLOOKUP($P87,'CY Receiving'!$C:$T,14,FALSE)),0)</f>
        <v>0</v>
      </c>
      <c r="AC87" s="10">
        <f>IFERROR(VLOOKUP($P87,'CY Receving Query'!$B:$S,11,FALSE)/VLOOKUP($P87,'CY Receving Query'!$B:$S,5,FALSE),0)</f>
        <v>0.8</v>
      </c>
      <c r="AD87" s="10">
        <f>IFERROR(VLOOKUP($P87,'CY Rushing Query'!$B:$O,7,FALSE)/VLOOKUP($P87,'CY Rushing Query'!$B:$O,5,FALSE),0)</f>
        <v>0.1111111111111111</v>
      </c>
      <c r="AE87" s="10">
        <f>IFERROR(AVERAGE(VLOOKUP($P87,'PY Rushing'!$C:$P,8,FALSE)/VLOOKUP($P87,'PY Rushing'!$C:$P,5,FALSE),VLOOKUP($P87,'CY Rushing'!$C:$P,8,FALSE)/VLOOKUP($P87,'CY Rushing'!$C:$P,5,FALSE)),0)</f>
        <v>0</v>
      </c>
      <c r="AF87" s="10">
        <f>IFERROR(VLOOKUP($P87,'CY Rushing Query'!$B:$P,12,FALSE),0)</f>
        <v>11</v>
      </c>
      <c r="AG87" s="10">
        <f>IFERROR(VLOOKUP($P87,'CY Rushing Query'!$B:$P,9,FALSE)/VLOOKUP($P87,'CY Rushing Query'!$B:$P,5,FALSE),0)</f>
        <v>0</v>
      </c>
      <c r="AH87" s="10">
        <f>VLOOKUP($J87,'Vegas Odds'!$B:$S,18,FALSE)</f>
        <v>34.555825588251061</v>
      </c>
      <c r="AI87" s="10">
        <f>VLOOKUP($J87,'Vegas Odds'!$B:$S,17,FALSE)</f>
        <v>27.844174411748938</v>
      </c>
      <c r="AJ87">
        <f t="shared" si="39"/>
        <v>1</v>
      </c>
      <c r="AK87" s="10">
        <f t="shared" si="23"/>
        <v>0</v>
      </c>
      <c r="AL87" s="10">
        <f t="shared" si="24"/>
        <v>0</v>
      </c>
      <c r="AM87" s="10">
        <f>V87/'CY Defensive Stats Query'!$AD$34*'Fanduel Export'!Q87</f>
        <v>0</v>
      </c>
      <c r="AN87" s="10">
        <f t="shared" si="40"/>
        <v>0</v>
      </c>
      <c r="AO87" s="10">
        <f>IFERROR(IF(OR($B87="D",$B87="K"),0,VLOOKUP($P87,'CY Receving Query'!$B:$S,7,FALSE)/VLOOKUP($P87,'CY Receving Query'!$B:$S,5,FALSE)),0)*$AJ87</f>
        <v>1.3333333333333333</v>
      </c>
      <c r="AP87" s="10">
        <f t="shared" si="25"/>
        <v>25.587418300653596</v>
      </c>
      <c r="AQ87" s="10">
        <f t="shared" si="26"/>
        <v>1.8006675615449321</v>
      </c>
      <c r="AR87" s="16">
        <f t="shared" si="27"/>
        <v>0.66666666666666663</v>
      </c>
      <c r="AS87" s="16">
        <f t="shared" si="28"/>
        <v>0.90033378077246606</v>
      </c>
      <c r="AT87" s="16">
        <f>AA87/'CY Defensive Stats Query'!$AH$34
*'Fanduel Export'!S87</f>
        <v>5.8315453434393607</v>
      </c>
      <c r="AU87" s="10">
        <f t="shared" si="41"/>
        <v>5.2503372668048289</v>
      </c>
      <c r="AV87" s="10">
        <f t="shared" si="29"/>
        <v>0.1111111111111111</v>
      </c>
      <c r="AW87" s="10">
        <f t="shared" si="30"/>
        <v>12.022058823529411</v>
      </c>
      <c r="AX87" s="10">
        <f t="shared" si="31"/>
        <v>0.25734337206917129</v>
      </c>
      <c r="AY87" s="10">
        <f>AF87/'CY Defensive Stats Query'!$AF$34
*R87</f>
        <v>10.158325077352442</v>
      </c>
      <c r="AZ87" s="10">
        <f t="shared" si="42"/>
        <v>2.6141776299807029</v>
      </c>
      <c r="BA87" s="16">
        <f t="shared" si="32"/>
        <v>1.1197848230118865</v>
      </c>
      <c r="BB87" s="16">
        <f t="shared" si="33"/>
        <v>0.24343148326345362</v>
      </c>
      <c r="BC87" s="10">
        <f t="shared" si="34"/>
        <v>0.28985507246376813</v>
      </c>
      <c r="BD87" s="10">
        <f>IF(B87="QB",COUNTIFS($B$5:B87,B87,$J$5:J87,J87),1)</f>
        <v>1</v>
      </c>
      <c r="BE87" t="str">
        <f t="shared" si="35"/>
        <v>Jaelon Darden</v>
      </c>
      <c r="BF87">
        <f t="shared" si="36"/>
        <v>4600</v>
      </c>
      <c r="BG87" t="str">
        <f t="shared" si="37"/>
        <v>WR</v>
      </c>
      <c r="BH87" s="16">
        <f t="shared" si="38"/>
        <v>1.1197848230118865</v>
      </c>
    </row>
    <row r="88" spans="1:60" x14ac:dyDescent="0.2">
      <c r="A88" t="s">
        <v>2851</v>
      </c>
      <c r="B88" t="s">
        <v>83</v>
      </c>
      <c r="C88" t="s">
        <v>2258</v>
      </c>
      <c r="D88" t="s">
        <v>293</v>
      </c>
      <c r="E88" t="s">
        <v>294</v>
      </c>
      <c r="F88">
        <v>3.8333333333333299</v>
      </c>
      <c r="G88">
        <v>3</v>
      </c>
      <c r="H88">
        <v>4600</v>
      </c>
      <c r="I88" t="s">
        <v>2716</v>
      </c>
      <c r="J88" t="s">
        <v>99</v>
      </c>
      <c r="K88" t="s">
        <v>81</v>
      </c>
      <c r="O88" t="str">
        <f t="shared" si="22"/>
        <v>Anthony Miller</v>
      </c>
      <c r="P88" t="str">
        <f>IFERROR(VLOOKUP(O:O,'Name Bridge'!A:B,2,FALSE),O:O)</f>
        <v>Anthony Miller</v>
      </c>
      <c r="Q88" s="10">
        <f>VLOOKUP($K88,'CY Defensive Stats Query'!$AC:$AH,2,FALSE)</f>
        <v>8.7934782608695645</v>
      </c>
      <c r="R88" s="10">
        <f>VLOOKUP($K88,'CY Defensive Stats Query'!$AC:$AH,4,FALSE)</f>
        <v>5.404494382022472</v>
      </c>
      <c r="S88" s="10">
        <f>VLOOKUP($K88,'CY Defensive Stats Query'!$AC:$AH,6,FALSE)</f>
        <v>12.446153846153846</v>
      </c>
      <c r="T88" s="10">
        <f>IFERROR(VLOOKUP($P88,'CYPassing Query'!$B:$AE,9,FALSE)/VLOOKUP($P88,'CYPassing Query'!$B:$AE,5,FALSE),0)</f>
        <v>0</v>
      </c>
      <c r="U88" s="10">
        <f>IFERROR(VLOOKUP($P88,'CYPassing Query'!$B:$AE,11,FALSE)/VLOOKUP($P88,'CYPassing Query'!$B:$AE,5,FALSE),0)</f>
        <v>0</v>
      </c>
      <c r="V88" s="10">
        <f>IFERROR(VLOOKUP($P88,'CYPassing Query'!$B:$AE,18,FALSE),0)</f>
        <v>0</v>
      </c>
      <c r="W88" s="10">
        <f>IFERROR(VLOOKUP($P88,'CYPassing Query'!$B:$AE,12,FALSE)/VLOOKUP($P88,'CYPassing Query'!$B:$AE,5,FALSE),0)</f>
        <v>0</v>
      </c>
      <c r="X88" s="10">
        <f>IFERROR(IF(OR($B88="D",$B88="K"),0,VLOOKUP($P88,'CY Receving Query'!$B:$S,7,FALSE)/VLOOKUP($P88,'CY Receving Query'!$B:$S,5,FALSE)),0)*$AJ88</f>
        <v>4</v>
      </c>
      <c r="Y88" s="10">
        <f>IFERROR(VLOOKUP($P88,'CY Receving Query'!$B:$S,8,FALSE)/VLOOKUP($P88,'CY Receving Query'!$B:$S,5,FALSE),0)</f>
        <v>2</v>
      </c>
      <c r="Z88" s="10">
        <f>IFERROR(VLOOKUP($P88,'CY Receving Query'!$B:$S,10,FALSE)/VLOOKUP($P88,'CY Receving Query'!$B:$S,5,FALSE),0)</f>
        <v>8.3333333333333339</v>
      </c>
      <c r="AA88" s="10">
        <f>IFERROR(VLOOKUP($P88,'CY Receving Query'!$B:$S,11,FALSE),0)</f>
        <v>4.2</v>
      </c>
      <c r="AB88" s="10">
        <f>IFERROR(AVERAGE(VLOOKUP($P88,'PY Receiving'!$C:$T,14,FALSE),VLOOKUP($P88,'CY Receiving'!$C:$T,14,FALSE)),0)</f>
        <v>0</v>
      </c>
      <c r="AC88" s="10">
        <f>IFERROR(VLOOKUP($P88,'CY Receving Query'!$B:$S,11,FALSE)/VLOOKUP($P88,'CY Receving Query'!$B:$S,5,FALSE),0)</f>
        <v>1.4000000000000001</v>
      </c>
      <c r="AD88" s="10">
        <f>IFERROR(VLOOKUP($P88,'CY Rushing Query'!$B:$O,7,FALSE)/VLOOKUP($P88,'CY Rushing Query'!$B:$O,5,FALSE),0)</f>
        <v>0</v>
      </c>
      <c r="AE88" s="10">
        <f>IFERROR(VLOOKUP($P88,'CY Rushing'!$C:$P,8,FALSE)/VLOOKUP($P88,'CY Rushing'!$C:$P,5,FALSE),0)</f>
        <v>0</v>
      </c>
      <c r="AF88" s="10">
        <f>IFERROR(VLOOKUP($P88,'CY Rushing Query'!$B:$P,12,FALSE),0)</f>
        <v>0</v>
      </c>
      <c r="AG88" s="10">
        <f>IFERROR(VLOOKUP($P88,'CY Rushing Query'!$B:$P,9,FALSE)/VLOOKUP($P88,'CY Rushing Query'!$B:$P,5,FALSE),0)</f>
        <v>0</v>
      </c>
      <c r="AH88" s="10">
        <f>VLOOKUP($J88,'Vegas Odds'!$B:$S,18,FALSE)</f>
        <v>40.088640957860363</v>
      </c>
      <c r="AI88" s="10">
        <f>VLOOKUP($J88,'Vegas Odds'!$B:$S,17,FALSE)</f>
        <v>25.511359042139631</v>
      </c>
      <c r="AJ88">
        <f t="shared" si="39"/>
        <v>1</v>
      </c>
      <c r="AK88" s="10">
        <f t="shared" si="23"/>
        <v>0</v>
      </c>
      <c r="AL88" s="10">
        <f t="shared" si="24"/>
        <v>0</v>
      </c>
      <c r="AM88" s="10">
        <f>V88/'CY Defensive Stats Query'!$AD$34*'Fanduel Export'!Q88</f>
        <v>0</v>
      </c>
      <c r="AN88" s="10">
        <f t="shared" si="40"/>
        <v>0</v>
      </c>
      <c r="AO88" s="10">
        <f>IFERROR(IF(OR($B88="D",$B88="K"),0,VLOOKUP($P88,'CY Receving Query'!$B:$S,7,FALSE)/VLOOKUP($P88,'CY Receving Query'!$B:$S,5,FALSE)),0)*$AJ88</f>
        <v>4</v>
      </c>
      <c r="AP88" s="10">
        <f t="shared" si="25"/>
        <v>32.289950980392156</v>
      </c>
      <c r="AQ88" s="10">
        <f t="shared" si="26"/>
        <v>4.9660826034952992</v>
      </c>
      <c r="AR88" s="16">
        <f t="shared" si="27"/>
        <v>2</v>
      </c>
      <c r="AS88" s="16">
        <f t="shared" si="28"/>
        <v>2.4830413017476496</v>
      </c>
      <c r="AT88" s="16">
        <f>AA88/'CY Defensive Stats Query'!$AH$34
*'Fanduel Export'!S88</f>
        <v>4.9718622486789332</v>
      </c>
      <c r="AU88" s="10">
        <f t="shared" si="41"/>
        <v>12.345339310069734</v>
      </c>
      <c r="AV88" s="10">
        <f t="shared" si="29"/>
        <v>0</v>
      </c>
      <c r="AW88" s="10">
        <f t="shared" si="30"/>
        <v>7.4240196078431371</v>
      </c>
      <c r="AX88" s="10">
        <f t="shared" si="31"/>
        <v>0</v>
      </c>
      <c r="AY88" s="10">
        <f>AF88/'CY Defensive Stats Query'!$AF$34
*R88</f>
        <v>0</v>
      </c>
      <c r="AZ88" s="10">
        <f t="shared" si="42"/>
        <v>0</v>
      </c>
      <c r="BA88" s="16">
        <f t="shared" si="32"/>
        <v>2.2345339310069736</v>
      </c>
      <c r="BB88" s="16">
        <f t="shared" si="33"/>
        <v>0.48576824587108125</v>
      </c>
      <c r="BC88" s="10">
        <f t="shared" si="34"/>
        <v>0.86956521739130443</v>
      </c>
      <c r="BD88" s="10">
        <f>IF(B88="QB",COUNTIFS($B$5:B88,B88,$J$5:J88,J88),1)</f>
        <v>1</v>
      </c>
      <c r="BE88" t="str">
        <f t="shared" si="35"/>
        <v>Anthony Miller</v>
      </c>
      <c r="BF88">
        <f t="shared" si="36"/>
        <v>4600</v>
      </c>
      <c r="BG88" t="str">
        <f t="shared" si="37"/>
        <v>WR</v>
      </c>
      <c r="BH88" s="16">
        <f t="shared" si="38"/>
        <v>2.2345339310069736</v>
      </c>
    </row>
    <row r="89" spans="1:60" x14ac:dyDescent="0.2">
      <c r="A89" t="s">
        <v>2852</v>
      </c>
      <c r="B89" t="s">
        <v>83</v>
      </c>
      <c r="C89" t="s">
        <v>2553</v>
      </c>
      <c r="D89" t="s">
        <v>323</v>
      </c>
      <c r="E89" t="s">
        <v>2267</v>
      </c>
      <c r="F89">
        <v>3.4533333248562199</v>
      </c>
      <c r="G89">
        <v>9</v>
      </c>
      <c r="H89">
        <v>4600</v>
      </c>
      <c r="I89" t="s">
        <v>2720</v>
      </c>
      <c r="J89" t="s">
        <v>102</v>
      </c>
      <c r="K89" t="s">
        <v>728</v>
      </c>
      <c r="O89" t="str">
        <f t="shared" si="22"/>
        <v>Greg Ward</v>
      </c>
      <c r="P89" t="str">
        <f>IFERROR(VLOOKUP(O:O,'Name Bridge'!A:B,2,FALSE),O:O)</f>
        <v>Greg Ward</v>
      </c>
      <c r="Q89" s="10">
        <f>VLOOKUP($K89,'CY Defensive Stats Query'!$AC:$AH,2,FALSE)</f>
        <v>7.0486111111111107</v>
      </c>
      <c r="R89" s="10">
        <f>VLOOKUP($K89,'CY Defensive Stats Query'!$AC:$AH,4,FALSE)</f>
        <v>3.0806451612903225</v>
      </c>
      <c r="S89" s="10">
        <f>VLOOKUP($K89,'CY Defensive Stats Query'!$AC:$AH,6,FALSE)</f>
        <v>9.759615384615385</v>
      </c>
      <c r="T89" s="10">
        <f>IFERROR(VLOOKUP($P89,'CYPassing Query'!$B:$AE,9,FALSE)/VLOOKUP($P89,'CYPassing Query'!$B:$AE,5,FALSE),0)</f>
        <v>0.11764705882352941</v>
      </c>
      <c r="U89" s="10">
        <f>IFERROR(VLOOKUP($P89,'CYPassing Query'!$B:$AE,11,FALSE)/VLOOKUP($P89,'CYPassing Query'!$B:$AE,5,FALSE),0)</f>
        <v>0.11764705882352941</v>
      </c>
      <c r="V89" s="10">
        <f>IFERROR(VLOOKUP($P89,'CYPassing Query'!$B:$AE,18,FALSE),0)</f>
        <v>1</v>
      </c>
      <c r="W89" s="10">
        <f>IFERROR(VLOOKUP($P89,'CYPassing Query'!$B:$AE,12,FALSE)/VLOOKUP($P89,'CYPassing Query'!$B:$AE,5,FALSE),0)</f>
        <v>0</v>
      </c>
      <c r="X89" s="10">
        <f>IFERROR(IF(OR($B89="D",$B89="K"),0,VLOOKUP($P89,'CY Receving Query'!$B:$S,7,FALSE)/VLOOKUP($P89,'CY Receving Query'!$B:$S,5,FALSE)),0)*$AJ89</f>
        <v>0.6470588235294118</v>
      </c>
      <c r="Y89" s="10">
        <f>IFERROR(VLOOKUP($P89,'CY Receving Query'!$B:$S,8,FALSE)/VLOOKUP($P89,'CY Receving Query'!$B:$S,5,FALSE),0)</f>
        <v>0.41176470588235292</v>
      </c>
      <c r="Z89" s="10">
        <f>IFERROR(VLOOKUP($P89,'CY Receving Query'!$B:$S,10,FALSE)/VLOOKUP($P89,'CY Receving Query'!$B:$S,5,FALSE),0)</f>
        <v>5.5882352941176467</v>
      </c>
      <c r="AA89" s="10">
        <f>IFERROR(VLOOKUP($P89,'CY Receving Query'!$B:$S,11,FALSE),0)</f>
        <v>13.6</v>
      </c>
      <c r="AB89" s="10">
        <f>IFERROR(AVERAGE(VLOOKUP($P89,'PY Receiving'!$C:$T,14,FALSE),VLOOKUP($P89,'CY Receiving'!$C:$T,14,FALSE)),0)</f>
        <v>0</v>
      </c>
      <c r="AC89" s="10">
        <f>IFERROR(VLOOKUP($P89,'CY Receving Query'!$B:$S,11,FALSE)/VLOOKUP($P89,'CY Receving Query'!$B:$S,5,FALSE),0)</f>
        <v>0.79999999999999993</v>
      </c>
      <c r="AD89" s="10">
        <f>IFERROR(VLOOKUP($P89,'CY Rushing Query'!$B:$O,7,FALSE)/VLOOKUP($P89,'CY Rushing Query'!$B:$O,5,FALSE),0)</f>
        <v>0</v>
      </c>
      <c r="AE89" s="10">
        <f>IFERROR(AVERAGE(VLOOKUP($P89,'PY Rushing'!$C:$P,8,FALSE)/VLOOKUP($P89,'PY Rushing'!$C:$P,5,FALSE),VLOOKUP($P89,'CY Rushing'!$C:$P,8,FALSE)/VLOOKUP($P89,'CY Rushing'!$C:$P,5,FALSE)),0)</f>
        <v>0</v>
      </c>
      <c r="AF89" s="10">
        <f>IFERROR(VLOOKUP($P89,'CY Rushing Query'!$B:$P,12,FALSE),0)</f>
        <v>0</v>
      </c>
      <c r="AG89" s="10">
        <f>IFERROR(VLOOKUP($P89,'CY Rushing Query'!$B:$P,9,FALSE)/VLOOKUP($P89,'CY Rushing Query'!$B:$P,5,FALSE),0)</f>
        <v>0</v>
      </c>
      <c r="AH89" s="10">
        <f>VLOOKUP($J89,'Vegas Odds'!$B:$S,18,FALSE)</f>
        <v>44.85966247691475</v>
      </c>
      <c r="AI89" s="10">
        <f>VLOOKUP($J89,'Vegas Odds'!$B:$S,17,FALSE)</f>
        <v>17.740337523085255</v>
      </c>
      <c r="AJ89">
        <f t="shared" si="39"/>
        <v>1</v>
      </c>
      <c r="AK89" s="10">
        <f t="shared" si="23"/>
        <v>0.11764705882352941</v>
      </c>
      <c r="AL89" s="10">
        <f t="shared" si="24"/>
        <v>0</v>
      </c>
      <c r="AM89" s="10">
        <f>V89/'CY Defensive Stats Query'!$AD$34*'Fanduel Export'!Q89</f>
        <v>1.0011589774769067</v>
      </c>
      <c r="AN89" s="10">
        <f t="shared" si="40"/>
        <v>0</v>
      </c>
      <c r="AO89" s="10">
        <f>IFERROR(IF(OR($B89="D",$B89="K"),0,VLOOKUP($P89,'CY Receving Query'!$B:$S,7,FALSE)/VLOOKUP($P89,'CY Receving Query'!$B:$S,5,FALSE)),0)*$AJ89</f>
        <v>0.6470588235294118</v>
      </c>
      <c r="AP89" s="10">
        <f t="shared" si="25"/>
        <v>28.54982492997199</v>
      </c>
      <c r="AQ89" s="10">
        <f t="shared" si="26"/>
        <v>1.0167081758797825</v>
      </c>
      <c r="AR89" s="16">
        <f t="shared" si="27"/>
        <v>0.41176470588235292</v>
      </c>
      <c r="AS89" s="16">
        <f t="shared" si="28"/>
        <v>0.64699611192349793</v>
      </c>
      <c r="AT89" s="16">
        <f>AA89/'CY Defensive Stats Query'!$AH$34
*'Fanduel Export'!S89</f>
        <v>12.624269100735033</v>
      </c>
      <c r="AU89" s="10">
        <f t="shared" si="41"/>
        <v>8.167853024051519</v>
      </c>
      <c r="AV89" s="10">
        <f t="shared" si="29"/>
        <v>0</v>
      </c>
      <c r="AW89" s="10">
        <f t="shared" si="30"/>
        <v>56.303606442577035</v>
      </c>
      <c r="AX89" s="10">
        <f t="shared" si="31"/>
        <v>0</v>
      </c>
      <c r="AY89" s="10">
        <f>AF89/'CY Defensive Stats Query'!$AF$34
*R89</f>
        <v>0</v>
      </c>
      <c r="AZ89" s="10">
        <f t="shared" si="42"/>
        <v>0</v>
      </c>
      <c r="BA89" s="16">
        <f t="shared" si="32"/>
        <v>1.0226676553463283</v>
      </c>
      <c r="BB89" s="16">
        <f t="shared" si="33"/>
        <v>0.22231905551007139</v>
      </c>
      <c r="BC89" s="10">
        <f t="shared" si="34"/>
        <v>0.14066496163682865</v>
      </c>
      <c r="BD89" s="10">
        <f>IF(B89="QB",COUNTIFS($B$5:B89,B89,$J$5:J89,J89),1)</f>
        <v>1</v>
      </c>
      <c r="BE89" t="str">
        <f t="shared" si="35"/>
        <v>Greg Ward</v>
      </c>
      <c r="BF89">
        <f t="shared" si="36"/>
        <v>4600</v>
      </c>
      <c r="BG89" t="str">
        <f t="shared" si="37"/>
        <v>WR</v>
      </c>
      <c r="BH89" s="16">
        <f t="shared" si="38"/>
        <v>1.0226676553463283</v>
      </c>
    </row>
    <row r="90" spans="1:60" x14ac:dyDescent="0.2">
      <c r="A90" t="s">
        <v>2853</v>
      </c>
      <c r="B90" t="s">
        <v>88</v>
      </c>
      <c r="C90" t="s">
        <v>2505</v>
      </c>
      <c r="D90" t="s">
        <v>2117</v>
      </c>
      <c r="E90" t="s">
        <v>2618</v>
      </c>
      <c r="F90">
        <v>3.96875</v>
      </c>
      <c r="G90">
        <v>16</v>
      </c>
      <c r="H90">
        <v>4600</v>
      </c>
      <c r="I90" t="s">
        <v>2720</v>
      </c>
      <c r="J90" t="s">
        <v>728</v>
      </c>
      <c r="K90" t="s">
        <v>102</v>
      </c>
      <c r="O90" t="str">
        <f t="shared" si="22"/>
        <v>Cameron Brate</v>
      </c>
      <c r="P90" t="str">
        <f>IFERROR(VLOOKUP(O:O,'Name Bridge'!A:B,2,FALSE),O:O)</f>
        <v>Cameron Brate</v>
      </c>
      <c r="Q90" s="10">
        <f>VLOOKUP($K90,'CY Defensive Stats Query'!$AC:$AH,2,FALSE)</f>
        <v>5.9890109890109891</v>
      </c>
      <c r="R90" s="10">
        <f>VLOOKUP($K90,'CY Defensive Stats Query'!$AC:$AH,4,FALSE)</f>
        <v>3.8190476190476192</v>
      </c>
      <c r="S90" s="10">
        <f>VLOOKUP($K90,'CY Defensive Stats Query'!$AC:$AH,6,FALSE)</f>
        <v>8.515625</v>
      </c>
      <c r="T90" s="10">
        <f>IFERROR(VLOOKUP($P90,'CYPassing Query'!$B:$AE,9,FALSE)/VLOOKUP($P90,'CYPassing Query'!$B:$AE,5,FALSE),0)</f>
        <v>0</v>
      </c>
      <c r="U90" s="10">
        <f>IFERROR(VLOOKUP($P90,'CYPassing Query'!$B:$AE,11,FALSE)/VLOOKUP($P90,'CYPassing Query'!$B:$AE,5,FALSE),0)</f>
        <v>0</v>
      </c>
      <c r="V90" s="10">
        <f>IFERROR(VLOOKUP($P90,'CYPassing Query'!$B:$AE,18,FALSE),0)</f>
        <v>0</v>
      </c>
      <c r="W90" s="10">
        <f>IFERROR(VLOOKUP($P90,'CYPassing Query'!$B:$AE,12,FALSE)/VLOOKUP($P90,'CYPassing Query'!$B:$AE,5,FALSE),0)</f>
        <v>0</v>
      </c>
      <c r="X90" s="10">
        <f>IFERROR(IF(OR($B90="D",$B90="K"),0,VLOOKUP($P90,'CY Receving Query'!$B:$S,7,FALSE)/VLOOKUP($P90,'CY Receving Query'!$B:$S,5,FALSE)),0)*$AJ90</f>
        <v>3.3529411764705883</v>
      </c>
      <c r="Y90" s="10">
        <f>IFERROR(VLOOKUP($P90,'CY Receving Query'!$B:$S,8,FALSE)/VLOOKUP($P90,'CY Receving Query'!$B:$S,5,FALSE),0)</f>
        <v>1.7647058823529411</v>
      </c>
      <c r="Z90" s="10">
        <f>IFERROR(VLOOKUP($P90,'CY Receving Query'!$B:$S,10,FALSE)/VLOOKUP($P90,'CY Receving Query'!$B:$S,5,FALSE),0)</f>
        <v>14.411764705882353</v>
      </c>
      <c r="AA90" s="10">
        <f>IFERROR(VLOOKUP($P90,'CY Receving Query'!$B:$S,11,FALSE),0)</f>
        <v>8.1999999999999993</v>
      </c>
      <c r="AB90" s="10">
        <f>IFERROR(AVERAGE(VLOOKUP($P90,'PY Receiving'!$C:$T,14,FALSE),VLOOKUP($P90,'CY Receiving'!$C:$T,14,FALSE)),0)</f>
        <v>0</v>
      </c>
      <c r="AC90" s="10">
        <f>IFERROR(VLOOKUP($P90,'CY Receving Query'!$B:$S,11,FALSE)/VLOOKUP($P90,'CY Receving Query'!$B:$S,5,FALSE),0)</f>
        <v>0.48235294117647054</v>
      </c>
      <c r="AD90" s="10">
        <f>IFERROR(VLOOKUP($P90,'CY Rushing Query'!$B:$O,7,FALSE)/VLOOKUP($P90,'CY Rushing Query'!$B:$O,5,FALSE),0)</f>
        <v>0</v>
      </c>
      <c r="AE90" s="10">
        <f>IFERROR(AVERAGE(VLOOKUP($P90,'PY Rushing'!$C:$P,8,FALSE)/VLOOKUP($P90,'PY Rushing'!$C:$P,5,FALSE),VLOOKUP($P90,'CY Rushing'!$C:$P,8,FALSE)/VLOOKUP($P90,'CY Rushing'!$C:$P,5,FALSE)),0)</f>
        <v>0</v>
      </c>
      <c r="AF90" s="10">
        <f>IFERROR(VLOOKUP($P90,'CY Rushing Query'!$B:$P,12,FALSE),0)</f>
        <v>0</v>
      </c>
      <c r="AG90" s="10">
        <f>IFERROR(VLOOKUP($P90,'CY Rushing Query'!$B:$P,9,FALSE)/VLOOKUP($P90,'CY Rushing Query'!$B:$P,5,FALSE),0)</f>
        <v>0</v>
      </c>
      <c r="AH90" s="10">
        <f>VLOOKUP($J90,'Vegas Odds'!$B:$S,18,FALSE)</f>
        <v>34.555825588251061</v>
      </c>
      <c r="AI90" s="10">
        <f>VLOOKUP($J90,'Vegas Odds'!$B:$S,17,FALSE)</f>
        <v>27.844174411748938</v>
      </c>
      <c r="AJ90">
        <f t="shared" si="39"/>
        <v>1</v>
      </c>
      <c r="AK90" s="10">
        <f t="shared" si="23"/>
        <v>0</v>
      </c>
      <c r="AL90" s="10">
        <f t="shared" si="24"/>
        <v>0</v>
      </c>
      <c r="AM90" s="10">
        <f>V90/'CY Defensive Stats Query'!$AD$34*'Fanduel Export'!Q90</f>
        <v>0</v>
      </c>
      <c r="AN90" s="10">
        <f t="shared" si="40"/>
        <v>0</v>
      </c>
      <c r="AO90" s="10">
        <f>IFERROR(IF(OR($B90="D",$B90="K"),0,VLOOKUP($P90,'CY Receving Query'!$B:$S,7,FALSE)/VLOOKUP($P90,'CY Receving Query'!$B:$S,5,FALSE)),0)*$AJ90</f>
        <v>3.3529411764705883</v>
      </c>
      <c r="AP90" s="10">
        <f t="shared" si="25"/>
        <v>25.587418300653596</v>
      </c>
      <c r="AQ90" s="10">
        <f t="shared" si="26"/>
        <v>4.5281493091791676</v>
      </c>
      <c r="AR90" s="16">
        <f t="shared" si="27"/>
        <v>1.7647058823529411</v>
      </c>
      <c r="AS90" s="16">
        <f t="shared" si="28"/>
        <v>2.383236478515351</v>
      </c>
      <c r="AT90" s="16">
        <f>AA90/'CY Defensive Stats Query'!$AH$34
*'Fanduel Export'!S90</f>
        <v>6.6414821966948274</v>
      </c>
      <c r="AU90" s="10">
        <f t="shared" si="41"/>
        <v>15.828222642573378</v>
      </c>
      <c r="AV90" s="10">
        <f t="shared" si="29"/>
        <v>0</v>
      </c>
      <c r="AW90" s="10">
        <f t="shared" si="30"/>
        <v>12.022058823529411</v>
      </c>
      <c r="AX90" s="10">
        <f t="shared" si="31"/>
        <v>0</v>
      </c>
      <c r="AY90" s="10">
        <f>AF90/'CY Defensive Stats Query'!$AF$34
*R90</f>
        <v>0</v>
      </c>
      <c r="AZ90" s="10">
        <f t="shared" si="42"/>
        <v>0</v>
      </c>
      <c r="BA90" s="16">
        <f t="shared" si="32"/>
        <v>2.4651752054338081</v>
      </c>
      <c r="BB90" s="16">
        <f t="shared" si="33"/>
        <v>0.53590765335517576</v>
      </c>
      <c r="BC90" s="10">
        <f t="shared" si="34"/>
        <v>0.72890025575447581</v>
      </c>
      <c r="BD90" s="10">
        <f>IF(B90="QB",COUNTIFS($B$5:B90,B90,$J$5:J90,J90),1)</f>
        <v>1</v>
      </c>
      <c r="BE90" t="str">
        <f t="shared" si="35"/>
        <v>Cameron Brate</v>
      </c>
      <c r="BF90">
        <f t="shared" si="36"/>
        <v>4600</v>
      </c>
      <c r="BG90" t="str">
        <f t="shared" si="37"/>
        <v>TE</v>
      </c>
      <c r="BH90" s="16">
        <f t="shared" si="38"/>
        <v>2.4651752054338081</v>
      </c>
    </row>
    <row r="91" spans="1:60" x14ac:dyDescent="0.2">
      <c r="A91" t="s">
        <v>2854</v>
      </c>
      <c r="B91" t="s">
        <v>68</v>
      </c>
      <c r="C91" t="s">
        <v>211</v>
      </c>
      <c r="D91" t="s">
        <v>468</v>
      </c>
      <c r="E91" t="s">
        <v>2681</v>
      </c>
      <c r="F91">
        <v>3.9199999491373698</v>
      </c>
      <c r="G91">
        <v>15</v>
      </c>
      <c r="H91">
        <v>4500</v>
      </c>
      <c r="I91" t="s">
        <v>2718</v>
      </c>
      <c r="J91" t="s">
        <v>138</v>
      </c>
      <c r="K91" t="s">
        <v>729</v>
      </c>
      <c r="O91" t="str">
        <f t="shared" si="22"/>
        <v>Kyle Juszczyk</v>
      </c>
      <c r="P91" t="str">
        <f>IFERROR(VLOOKUP(O:O,'Name Bridge'!A:B,2,FALSE),O:O)</f>
        <v>Kyle Juszczyk</v>
      </c>
      <c r="Q91" s="10">
        <f>VLOOKUP($K91,'CY Defensive Stats Query'!$AC:$AH,2,FALSE)</f>
        <v>7.6538461538461542</v>
      </c>
      <c r="R91" s="10">
        <f>VLOOKUP($K91,'CY Defensive Stats Query'!$AC:$AH,4,FALSE)</f>
        <v>4.6888888888888891</v>
      </c>
      <c r="S91" s="10">
        <f>VLOOKUP($K91,'CY Defensive Stats Query'!$AC:$AH,6,FALSE)</f>
        <v>11.306818181818182</v>
      </c>
      <c r="T91" s="10">
        <f>IFERROR(VLOOKUP($P91,'CYPassing Query'!$B:$AE,9,FALSE)/VLOOKUP($P91,'CYPassing Query'!$B:$AE,5,FALSE),0)</f>
        <v>0</v>
      </c>
      <c r="U91" s="10">
        <f>IFERROR(VLOOKUP($P91,'CYPassing Query'!$B:$AE,11,FALSE)/VLOOKUP($P91,'CYPassing Query'!$B:$AE,5,FALSE),0)</f>
        <v>0</v>
      </c>
      <c r="V91" s="10">
        <f>IFERROR(VLOOKUP($P91,'CYPassing Query'!$B:$AE,18,FALSE),0)</f>
        <v>0</v>
      </c>
      <c r="W91" s="10">
        <f>IFERROR(VLOOKUP($P91,'CYPassing Query'!$B:$AE,12,FALSE)/VLOOKUP($P91,'CYPassing Query'!$B:$AE,5,FALSE),0)</f>
        <v>0</v>
      </c>
      <c r="X91" s="10">
        <f>IFERROR(IF(OR($B91="D",$B91="K"),0,VLOOKUP($P91,'CY Receving Query'!$B:$S,7,FALSE)/VLOOKUP($P91,'CY Receving Query'!$B:$S,5,FALSE)),0)*$AJ91</f>
        <v>0</v>
      </c>
      <c r="Y91" s="10">
        <f>IFERROR(VLOOKUP($P91,'CY Receving Query'!$B:$S,8,FALSE)/VLOOKUP($P91,'CY Receving Query'!$B:$S,5,FALSE),0)</f>
        <v>0</v>
      </c>
      <c r="Z91" s="10">
        <f>IFERROR(VLOOKUP($P91,'CY Receving Query'!$B:$S,10,FALSE)/VLOOKUP($P91,'CY Receving Query'!$B:$S,5,FALSE),0)</f>
        <v>0</v>
      </c>
      <c r="AA91" s="10">
        <f>IFERROR(VLOOKUP($P91,'CY Receving Query'!$B:$S,11,FALSE),0)</f>
        <v>0</v>
      </c>
      <c r="AB91" s="10">
        <f>IFERROR(AVERAGE(VLOOKUP($P91,'PY Receiving'!$C:$T,14,FALSE),VLOOKUP($P91,'CY Receiving'!$C:$T,14,FALSE)),0)</f>
        <v>24</v>
      </c>
      <c r="AC91" s="10">
        <f>IFERROR(VLOOKUP($P91,'CY Receving Query'!$B:$S,11,FALSE)/VLOOKUP($P91,'CY Receving Query'!$B:$S,5,FALSE),0)</f>
        <v>0</v>
      </c>
      <c r="AD91" s="10">
        <f>IFERROR(VLOOKUP($P91,'CY Rushing Query'!$B:$O,7,FALSE)/VLOOKUP($P91,'CY Rushing Query'!$B:$O,5,FALSE),0)</f>
        <v>0</v>
      </c>
      <c r="AE91" s="10">
        <f>IFERROR(AVERAGE(VLOOKUP($P91,'PY Rushing'!$C:$P,8,FALSE)/VLOOKUP($P91,'PY Rushing'!$C:$P,5,FALSE),VLOOKUP($P91,'CY Rushing'!$C:$P,8,FALSE)/VLOOKUP($P91,'CY Rushing'!$C:$P,5,FALSE)),0)</f>
        <v>0</v>
      </c>
      <c r="AF91" s="10">
        <f>IFERROR(VLOOKUP($P91,'CY Rushing Query'!$B:$P,12,FALSE),0)</f>
        <v>0</v>
      </c>
      <c r="AG91" s="10">
        <f>IFERROR(VLOOKUP($P91,'CY Rushing Query'!$B:$P,9,FALSE)/VLOOKUP($P91,'CY Rushing Query'!$B:$P,5,FALSE),0)</f>
        <v>0</v>
      </c>
      <c r="AH91" s="10">
        <f>VLOOKUP($J91,'Vegas Odds'!$B:$S,18,FALSE)</f>
        <v>32.679248170039784</v>
      </c>
      <c r="AI91" s="10">
        <f>VLOOKUP($J91,'Vegas Odds'!$B:$S,17,FALSE)</f>
        <v>32.620751829960213</v>
      </c>
      <c r="AJ91">
        <f t="shared" si="39"/>
        <v>1</v>
      </c>
      <c r="AK91" s="10">
        <f t="shared" si="23"/>
        <v>0</v>
      </c>
      <c r="AL91" s="10">
        <f t="shared" si="24"/>
        <v>0</v>
      </c>
      <c r="AM91" s="10">
        <f>V91/'CY Defensive Stats Query'!$AD$34*'Fanduel Export'!Q91</f>
        <v>0</v>
      </c>
      <c r="AN91" s="10">
        <f t="shared" si="40"/>
        <v>0</v>
      </c>
      <c r="AO91" s="10">
        <f>IFERROR(IF(OR($B91="D",$B91="K"),0,VLOOKUP($P91,'CY Receving Query'!$B:$S,7,FALSE)/VLOOKUP($P91,'CY Receving Query'!$B:$S,5,FALSE)),0)*$AJ91</f>
        <v>0</v>
      </c>
      <c r="AP91" s="10">
        <f t="shared" si="25"/>
        <v>29.704370384517439</v>
      </c>
      <c r="AQ91" s="10">
        <f t="shared" si="26"/>
        <v>0</v>
      </c>
      <c r="AR91" s="16">
        <f t="shared" si="27"/>
        <v>0</v>
      </c>
      <c r="AS91" s="16">
        <f t="shared" si="28"/>
        <v>0</v>
      </c>
      <c r="AT91" s="16">
        <f>AA91/'CY Defensive Stats Query'!$AH$34
*'Fanduel Export'!S91</f>
        <v>0</v>
      </c>
      <c r="AU91" s="10">
        <f t="shared" si="41"/>
        <v>0</v>
      </c>
      <c r="AV91" s="10">
        <f t="shared" si="29"/>
        <v>0</v>
      </c>
      <c r="AW91" s="10">
        <f t="shared" si="30"/>
        <v>40.335297300738475</v>
      </c>
      <c r="AX91" s="10">
        <f t="shared" si="31"/>
        <v>0</v>
      </c>
      <c r="AY91" s="10">
        <f>AF91/'CY Defensive Stats Query'!$AF$34
*R91</f>
        <v>0</v>
      </c>
      <c r="AZ91" s="10">
        <f t="shared" si="42"/>
        <v>0</v>
      </c>
      <c r="BA91" s="16">
        <f t="shared" si="32"/>
        <v>0</v>
      </c>
      <c r="BB91" s="16">
        <f t="shared" si="33"/>
        <v>0</v>
      </c>
      <c r="BC91" s="10">
        <f t="shared" si="34"/>
        <v>0</v>
      </c>
      <c r="BD91" s="10">
        <f>IF(B91="QB",COUNTIFS($B$5:B91,B91,$J$5:J91,J91),1)</f>
        <v>1</v>
      </c>
      <c r="BE91" t="str">
        <f t="shared" si="35"/>
        <v>Kyle Juszczyk</v>
      </c>
      <c r="BF91">
        <f t="shared" si="36"/>
        <v>4500</v>
      </c>
      <c r="BG91" t="str">
        <f t="shared" si="37"/>
        <v>RB</v>
      </c>
      <c r="BH91" s="16">
        <f t="shared" si="38"/>
        <v>0</v>
      </c>
    </row>
    <row r="92" spans="1:60" x14ac:dyDescent="0.2">
      <c r="A92" t="s">
        <v>2855</v>
      </c>
      <c r="B92" t="s">
        <v>83</v>
      </c>
      <c r="C92" t="s">
        <v>2211</v>
      </c>
      <c r="D92" t="s">
        <v>2555</v>
      </c>
      <c r="E92" t="s">
        <v>2556</v>
      </c>
      <c r="H92">
        <v>4500</v>
      </c>
      <c r="I92" t="s">
        <v>2716</v>
      </c>
      <c r="J92" t="s">
        <v>99</v>
      </c>
      <c r="K92" t="s">
        <v>81</v>
      </c>
      <c r="O92" t="str">
        <f t="shared" si="22"/>
        <v>Tyler Vaughns</v>
      </c>
      <c r="P92" t="str">
        <f>IFERROR(VLOOKUP(O:O,'Name Bridge'!A:B,2,FALSE),O:O)</f>
        <v>Tyler Vaughns</v>
      </c>
      <c r="Q92" s="10">
        <f>VLOOKUP($K92,'CY Defensive Stats Query'!$AC:$AH,2,FALSE)</f>
        <v>8.7934782608695645</v>
      </c>
      <c r="R92" s="10">
        <f>VLOOKUP($K92,'CY Defensive Stats Query'!$AC:$AH,4,FALSE)</f>
        <v>5.404494382022472</v>
      </c>
      <c r="S92" s="10">
        <f>VLOOKUP($K92,'CY Defensive Stats Query'!$AC:$AH,6,FALSE)</f>
        <v>12.446153846153846</v>
      </c>
      <c r="T92" s="10">
        <f>IFERROR(VLOOKUP($P92,'CYPassing Query'!$B:$AE,9,FALSE)/VLOOKUP($P92,'CYPassing Query'!$B:$AE,5,FALSE),0)</f>
        <v>0</v>
      </c>
      <c r="U92" s="10">
        <f>IFERROR(VLOOKUP($P92,'CYPassing Query'!$B:$AE,11,FALSE)/VLOOKUP($P92,'CYPassing Query'!$B:$AE,5,FALSE),0)</f>
        <v>0</v>
      </c>
      <c r="V92" s="10">
        <f>IFERROR(VLOOKUP($P92,'CYPassing Query'!$B:$AE,18,FALSE),0)</f>
        <v>0</v>
      </c>
      <c r="W92" s="10">
        <f>IFERROR(VLOOKUP($P92,'CYPassing Query'!$B:$AE,12,FALSE)/VLOOKUP($P92,'CYPassing Query'!$B:$AE,5,FALSE),0)</f>
        <v>0</v>
      </c>
      <c r="X92" s="10">
        <f>IFERROR(IF(OR($B92="D",$B92="K"),0,VLOOKUP($P92,'CY Receving Query'!$B:$S,7,FALSE)/VLOOKUP($P92,'CY Receving Query'!$B:$S,5,FALSE)),0)*$AJ92</f>
        <v>0</v>
      </c>
      <c r="Y92" s="10">
        <f>IFERROR(VLOOKUP($P92,'CY Receving Query'!$B:$S,8,FALSE)/VLOOKUP($P92,'CY Receving Query'!$B:$S,5,FALSE),0)</f>
        <v>0</v>
      </c>
      <c r="Z92" s="10">
        <f>IFERROR(VLOOKUP($P92,'CY Receving Query'!$B:$S,10,FALSE)/VLOOKUP($P92,'CY Receving Query'!$B:$S,5,FALSE),0)</f>
        <v>0</v>
      </c>
      <c r="AA92" s="10">
        <f>IFERROR(VLOOKUP($P92,'CY Receving Query'!$B:$S,11,FALSE),0)</f>
        <v>0</v>
      </c>
      <c r="AB92" s="10">
        <f>IFERROR(AVERAGE(VLOOKUP($P92,'PY Receiving'!$C:$T,14,FALSE),VLOOKUP($P92,'CY Receiving'!$C:$T,14,FALSE)),0)</f>
        <v>0</v>
      </c>
      <c r="AC92" s="10">
        <f>IFERROR(VLOOKUP($P92,'CY Receving Query'!$B:$S,11,FALSE)/VLOOKUP($P92,'CY Receving Query'!$B:$S,5,FALSE),0)</f>
        <v>0</v>
      </c>
      <c r="AD92" s="10">
        <f>IFERROR(VLOOKUP($P92,'CY Rushing Query'!$B:$O,7,FALSE)/VLOOKUP($P92,'CY Rushing Query'!$B:$O,5,FALSE),0)</f>
        <v>0</v>
      </c>
      <c r="AE92" s="10">
        <f>IFERROR(AVERAGE(VLOOKUP($P92,'PY Rushing'!$C:$P,8,FALSE)/VLOOKUP($P92,'PY Rushing'!$C:$P,5,FALSE),VLOOKUP($P92,'CY Rushing'!$C:$P,8,FALSE)/VLOOKUP($P92,'CY Rushing'!$C:$P,5,FALSE)),0)</f>
        <v>0</v>
      </c>
      <c r="AF92" s="10">
        <f>IFERROR(VLOOKUP($P92,'CY Rushing Query'!$B:$P,12,FALSE),0)</f>
        <v>0</v>
      </c>
      <c r="AG92" s="10">
        <f>IFERROR(VLOOKUP($P92,'CY Rushing Query'!$B:$P,9,FALSE)/VLOOKUP($P92,'CY Rushing Query'!$B:$P,5,FALSE),0)</f>
        <v>0</v>
      </c>
      <c r="AH92" s="10">
        <f>VLOOKUP($J92,'Vegas Odds'!$B:$S,18,FALSE)</f>
        <v>40.088640957860363</v>
      </c>
      <c r="AI92" s="10">
        <f>VLOOKUP($J92,'Vegas Odds'!$B:$S,17,FALSE)</f>
        <v>25.511359042139631</v>
      </c>
      <c r="AJ92">
        <f t="shared" si="39"/>
        <v>1</v>
      </c>
      <c r="AK92" s="10">
        <f t="shared" si="23"/>
        <v>0</v>
      </c>
      <c r="AL92" s="10">
        <f t="shared" si="24"/>
        <v>0</v>
      </c>
      <c r="AM92" s="10">
        <f>V92/'CY Defensive Stats Query'!$AD$34*'Fanduel Export'!Q92</f>
        <v>0</v>
      </c>
      <c r="AN92" s="10">
        <f t="shared" si="40"/>
        <v>0</v>
      </c>
      <c r="AO92" s="10">
        <f>IFERROR(IF(OR($B92="D",$B92="K"),0,VLOOKUP($P92,'CY Receving Query'!$B:$S,7,FALSE)/VLOOKUP($P92,'CY Receving Query'!$B:$S,5,FALSE)),0)*$AJ92</f>
        <v>0</v>
      </c>
      <c r="AP92" s="10">
        <f t="shared" si="25"/>
        <v>32.289950980392156</v>
      </c>
      <c r="AQ92" s="10">
        <f t="shared" si="26"/>
        <v>0</v>
      </c>
      <c r="AR92" s="16">
        <f t="shared" si="27"/>
        <v>0</v>
      </c>
      <c r="AS92" s="16">
        <f t="shared" si="28"/>
        <v>0</v>
      </c>
      <c r="AT92" s="16">
        <f>AA92/'CY Defensive Stats Query'!$AH$34
*'Fanduel Export'!S92</f>
        <v>0</v>
      </c>
      <c r="AU92" s="10">
        <f t="shared" si="41"/>
        <v>0</v>
      </c>
      <c r="AV92" s="10">
        <f t="shared" si="29"/>
        <v>0</v>
      </c>
      <c r="AW92" s="10">
        <f t="shared" si="30"/>
        <v>7.4240196078431371</v>
      </c>
      <c r="AX92" s="10">
        <f t="shared" si="31"/>
        <v>0</v>
      </c>
      <c r="AY92" s="10">
        <f>AF92/'CY Defensive Stats Query'!$AF$34
*R92</f>
        <v>0</v>
      </c>
      <c r="AZ92" s="10">
        <f t="shared" si="42"/>
        <v>0</v>
      </c>
      <c r="BA92" s="16">
        <f t="shared" si="32"/>
        <v>0</v>
      </c>
      <c r="BB92" s="16">
        <f t="shared" si="33"/>
        <v>0</v>
      </c>
      <c r="BC92" s="10">
        <f t="shared" si="34"/>
        <v>0</v>
      </c>
      <c r="BD92" s="10">
        <f>IF(B92="QB",COUNTIFS($B$5:B92,B92,$J$5:J92,J92),1)</f>
        <v>1</v>
      </c>
      <c r="BE92" t="str">
        <f t="shared" si="35"/>
        <v>Tyler Vaughns</v>
      </c>
      <c r="BF92">
        <f t="shared" si="36"/>
        <v>4500</v>
      </c>
      <c r="BG92" t="str">
        <f t="shared" si="37"/>
        <v>WR</v>
      </c>
      <c r="BH92" s="16">
        <f t="shared" si="38"/>
        <v>0</v>
      </c>
    </row>
    <row r="93" spans="1:60" x14ac:dyDescent="0.2">
      <c r="A93" t="s">
        <v>2856</v>
      </c>
      <c r="B93" t="s">
        <v>83</v>
      </c>
      <c r="C93" t="s">
        <v>2513</v>
      </c>
      <c r="D93" t="s">
        <v>2687</v>
      </c>
      <c r="E93" t="s">
        <v>2688</v>
      </c>
      <c r="F93">
        <v>0</v>
      </c>
      <c r="G93">
        <v>1</v>
      </c>
      <c r="H93">
        <v>4500</v>
      </c>
      <c r="I93" t="s">
        <v>2716</v>
      </c>
      <c r="J93" t="s">
        <v>99</v>
      </c>
      <c r="K93" t="s">
        <v>81</v>
      </c>
      <c r="O93" t="str">
        <f t="shared" si="22"/>
        <v>Damion Willis</v>
      </c>
      <c r="P93" t="str">
        <f>IFERROR(VLOOKUP(O:O,'Name Bridge'!A:B,2,FALSE),O:O)</f>
        <v>Damion Willis</v>
      </c>
      <c r="Q93" s="10">
        <f>VLOOKUP($K93,'CY Defensive Stats Query'!$AC:$AH,2,FALSE)</f>
        <v>8.7934782608695645</v>
      </c>
      <c r="R93" s="10">
        <f>VLOOKUP($K93,'CY Defensive Stats Query'!$AC:$AH,4,FALSE)</f>
        <v>5.404494382022472</v>
      </c>
      <c r="S93" s="10">
        <f>VLOOKUP($K93,'CY Defensive Stats Query'!$AC:$AH,6,FALSE)</f>
        <v>12.446153846153846</v>
      </c>
      <c r="T93" s="10">
        <f>IFERROR(VLOOKUP($P93,'CYPassing Query'!$B:$AE,9,FALSE)/VLOOKUP($P93,'CYPassing Query'!$B:$AE,5,FALSE),0)</f>
        <v>0</v>
      </c>
      <c r="U93" s="10">
        <f>IFERROR(VLOOKUP($P93,'CYPassing Query'!$B:$AE,11,FALSE)/VLOOKUP($P93,'CYPassing Query'!$B:$AE,5,FALSE),0)</f>
        <v>0</v>
      </c>
      <c r="V93" s="10">
        <f>IFERROR(VLOOKUP($P93,'CYPassing Query'!$B:$AE,18,FALSE),0)</f>
        <v>0</v>
      </c>
      <c r="W93" s="10">
        <f>IFERROR(VLOOKUP($P93,'CYPassing Query'!$B:$AE,12,FALSE)/VLOOKUP($P93,'CYPassing Query'!$B:$AE,5,FALSE),0)</f>
        <v>0</v>
      </c>
      <c r="X93" s="10">
        <f>IFERROR(IF(OR($B93="D",$B93="K"),0,VLOOKUP($P93,'CY Receving Query'!$B:$S,7,FALSE)/VLOOKUP($P93,'CY Receving Query'!$B:$S,5,FALSE)),0)*$AJ93</f>
        <v>0</v>
      </c>
      <c r="Y93" s="10">
        <f>IFERROR(VLOOKUP($P93,'CY Receving Query'!$B:$S,8,FALSE)/VLOOKUP($P93,'CY Receving Query'!$B:$S,5,FALSE),0)</f>
        <v>0</v>
      </c>
      <c r="Z93" s="10">
        <f>IFERROR(VLOOKUP($P93,'CY Receving Query'!$B:$S,10,FALSE)/VLOOKUP($P93,'CY Receving Query'!$B:$S,5,FALSE),0)</f>
        <v>0</v>
      </c>
      <c r="AA93" s="10">
        <f>IFERROR(VLOOKUP($P93,'CY Receving Query'!$B:$S,11,FALSE),0)</f>
        <v>0</v>
      </c>
      <c r="AB93" s="10">
        <f>IFERROR(AVERAGE(VLOOKUP($P93,'PY Receiving'!$C:$T,14,FALSE),VLOOKUP($P93,'CY Receiving'!$C:$T,14,FALSE)),0)</f>
        <v>0</v>
      </c>
      <c r="AC93" s="10">
        <f>IFERROR(VLOOKUP($P93,'CY Receving Query'!$B:$S,11,FALSE)/VLOOKUP($P93,'CY Receving Query'!$B:$S,5,FALSE),0)</f>
        <v>0</v>
      </c>
      <c r="AD93" s="10">
        <f>IFERROR(VLOOKUP($P93,'CY Rushing Query'!$B:$O,7,FALSE)/VLOOKUP($P93,'CY Rushing Query'!$B:$O,5,FALSE),0)</f>
        <v>0</v>
      </c>
      <c r="AE93" s="10">
        <f>IFERROR(AVERAGE(VLOOKUP($P93,'PY Rushing'!$C:$P,8,FALSE)/VLOOKUP($P93,'PY Rushing'!$C:$P,5,FALSE),VLOOKUP($P93,'CY Rushing'!$C:$P,8,FALSE)/VLOOKUP($P93,'CY Rushing'!$C:$P,5,FALSE)),0)</f>
        <v>0</v>
      </c>
      <c r="AF93" s="10">
        <f>IFERROR(VLOOKUP($P93,'CY Rushing Query'!$B:$P,12,FALSE),0)</f>
        <v>0</v>
      </c>
      <c r="AG93" s="10">
        <f>IFERROR(VLOOKUP($P93,'CY Rushing Query'!$B:$P,9,FALSE)/VLOOKUP($P93,'CY Rushing Query'!$B:$P,5,FALSE),0)</f>
        <v>0</v>
      </c>
      <c r="AH93" s="10">
        <f>VLOOKUP($J93,'Vegas Odds'!$B:$S,18,FALSE)</f>
        <v>40.088640957860363</v>
      </c>
      <c r="AI93" s="10">
        <f>VLOOKUP($J93,'Vegas Odds'!$B:$S,17,FALSE)</f>
        <v>25.511359042139631</v>
      </c>
      <c r="AJ93">
        <f t="shared" si="39"/>
        <v>1</v>
      </c>
      <c r="AK93" s="10">
        <f t="shared" si="23"/>
        <v>0</v>
      </c>
      <c r="AL93" s="10">
        <f t="shared" si="24"/>
        <v>0</v>
      </c>
      <c r="AM93" s="10">
        <f>V93/'CY Defensive Stats Query'!$AD$34*'Fanduel Export'!Q93</f>
        <v>0</v>
      </c>
      <c r="AN93" s="10">
        <f t="shared" si="40"/>
        <v>0</v>
      </c>
      <c r="AO93" s="10">
        <f>IFERROR(IF(OR($B93="D",$B93="K"),0,VLOOKUP($P93,'CY Receving Query'!$B:$S,7,FALSE)/VLOOKUP($P93,'CY Receving Query'!$B:$S,5,FALSE)),0)*$AJ93</f>
        <v>0</v>
      </c>
      <c r="AP93" s="10">
        <f t="shared" si="25"/>
        <v>32.289950980392156</v>
      </c>
      <c r="AQ93" s="10">
        <f t="shared" si="26"/>
        <v>0</v>
      </c>
      <c r="AR93" s="16">
        <f t="shared" si="27"/>
        <v>0</v>
      </c>
      <c r="AS93" s="16">
        <f t="shared" si="28"/>
        <v>0</v>
      </c>
      <c r="AT93" s="16">
        <f>AA93/'CY Defensive Stats Query'!$AH$34
*'Fanduel Export'!S93</f>
        <v>0</v>
      </c>
      <c r="AU93" s="10">
        <f t="shared" si="41"/>
        <v>0</v>
      </c>
      <c r="AV93" s="10">
        <f t="shared" si="29"/>
        <v>0</v>
      </c>
      <c r="AW93" s="10">
        <f t="shared" si="30"/>
        <v>7.4240196078431371</v>
      </c>
      <c r="AX93" s="10">
        <f t="shared" si="31"/>
        <v>0</v>
      </c>
      <c r="AY93" s="10">
        <f>AF93/'CY Defensive Stats Query'!$AF$34
*R93</f>
        <v>0</v>
      </c>
      <c r="AZ93" s="10">
        <f t="shared" si="42"/>
        <v>0</v>
      </c>
      <c r="BA93" s="16">
        <f t="shared" si="32"/>
        <v>0</v>
      </c>
      <c r="BB93" s="16">
        <f t="shared" si="33"/>
        <v>0</v>
      </c>
      <c r="BC93" s="10">
        <f t="shared" si="34"/>
        <v>0</v>
      </c>
      <c r="BD93" s="10">
        <f>IF(B93="QB",COUNTIFS($B$5:B93,B93,$J$5:J93,J93),1)</f>
        <v>1</v>
      </c>
      <c r="BE93" t="str">
        <f t="shared" si="35"/>
        <v>Damion Willis</v>
      </c>
      <c r="BF93">
        <f t="shared" si="36"/>
        <v>4500</v>
      </c>
      <c r="BG93" t="str">
        <f t="shared" si="37"/>
        <v>WR</v>
      </c>
      <c r="BH93" s="16">
        <f t="shared" si="38"/>
        <v>0</v>
      </c>
    </row>
    <row r="94" spans="1:60" x14ac:dyDescent="0.2">
      <c r="A94" t="s">
        <v>2857</v>
      </c>
      <c r="B94" t="s">
        <v>83</v>
      </c>
      <c r="C94" t="s">
        <v>2858</v>
      </c>
      <c r="D94" t="s">
        <v>2459</v>
      </c>
      <c r="E94" t="s">
        <v>2859</v>
      </c>
      <c r="H94">
        <v>4500</v>
      </c>
      <c r="I94" t="s">
        <v>2718</v>
      </c>
      <c r="J94" t="s">
        <v>729</v>
      </c>
      <c r="K94" t="s">
        <v>138</v>
      </c>
      <c r="O94" t="str">
        <f t="shared" si="22"/>
        <v>Simi Fehoko</v>
      </c>
      <c r="P94" t="str">
        <f>IFERROR(VLOOKUP(O:O,'Name Bridge'!A:B,2,FALSE),O:O)</f>
        <v>Simi Fehoko</v>
      </c>
      <c r="Q94" s="10">
        <f>VLOOKUP($K94,'CY Defensive Stats Query'!$AC:$AH,2,FALSE)</f>
        <v>6.5263157894736841</v>
      </c>
      <c r="R94" s="10">
        <f>VLOOKUP($K94,'CY Defensive Stats Query'!$AC:$AH,4,FALSE)</f>
        <v>4.7051282051282053</v>
      </c>
      <c r="S94" s="10">
        <f>VLOOKUP($K94,'CY Defensive Stats Query'!$AC:$AH,6,FALSE)</f>
        <v>10.191780821917808</v>
      </c>
      <c r="T94" s="10">
        <f>IFERROR(VLOOKUP($P94,'CYPassing Query'!$B:$AE,9,FALSE)/VLOOKUP($P94,'CYPassing Query'!$B:$AE,5,FALSE),0)</f>
        <v>0</v>
      </c>
      <c r="U94" s="10">
        <f>IFERROR(VLOOKUP($P94,'CYPassing Query'!$B:$AE,11,FALSE)/VLOOKUP($P94,'CYPassing Query'!$B:$AE,5,FALSE),0)</f>
        <v>0</v>
      </c>
      <c r="V94" s="10">
        <f>IFERROR(VLOOKUP($P94,'CYPassing Query'!$B:$AE,18,FALSE),0)</f>
        <v>0</v>
      </c>
      <c r="W94" s="10">
        <f>IFERROR(VLOOKUP($P94,'CYPassing Query'!$B:$AE,12,FALSE)/VLOOKUP($P94,'CYPassing Query'!$B:$AE,5,FALSE),0)</f>
        <v>0</v>
      </c>
      <c r="X94" s="10">
        <f>IFERROR(IF(OR($B94="D",$B94="K"),0,VLOOKUP($P94,'CY Receving Query'!$B:$S,7,FALSE)/VLOOKUP($P94,'CY Receving Query'!$B:$S,5,FALSE)),0)*$AJ94</f>
        <v>0</v>
      </c>
      <c r="Y94" s="10">
        <f>IFERROR(VLOOKUP($P94,'CY Receving Query'!$B:$S,8,FALSE)/VLOOKUP($P94,'CY Receving Query'!$B:$S,5,FALSE),0)</f>
        <v>0</v>
      </c>
      <c r="Z94" s="10">
        <f>IFERROR(VLOOKUP($P94,'CY Receving Query'!$B:$S,10,FALSE)/VLOOKUP($P94,'CY Receving Query'!$B:$S,5,FALSE),0)</f>
        <v>0</v>
      </c>
      <c r="AA94" s="10">
        <f>IFERROR(VLOOKUP($P94,'CY Receving Query'!$B:$S,11,FALSE),0)</f>
        <v>0</v>
      </c>
      <c r="AB94" s="10">
        <f>IFERROR(AVERAGE(VLOOKUP($P94,'PY Receiving'!$C:$T,14,FALSE),VLOOKUP($P94,'CY Receiving'!$C:$T,14,FALSE)),0)</f>
        <v>0</v>
      </c>
      <c r="AC94" s="10">
        <f>IFERROR(VLOOKUP($P94,'CY Receving Query'!$B:$S,11,FALSE)/VLOOKUP($P94,'CY Receving Query'!$B:$S,5,FALSE),0)</f>
        <v>0</v>
      </c>
      <c r="AD94" s="10">
        <f>IFERROR(VLOOKUP($P94,'CY Rushing Query'!$B:$O,7,FALSE)/VLOOKUP($P94,'CY Rushing Query'!$B:$O,5,FALSE),0)</f>
        <v>0</v>
      </c>
      <c r="AE94" s="10">
        <f>IFERROR(AVERAGE(VLOOKUP($P94,'PY Rushing'!$C:$P,8,FALSE)/VLOOKUP($P94,'PY Rushing'!$C:$P,5,FALSE),VLOOKUP($P94,'CY Rushing'!$C:$P,8,FALSE)/VLOOKUP($P94,'CY Rushing'!$C:$P,5,FALSE)),0)</f>
        <v>0</v>
      </c>
      <c r="AF94" s="10">
        <f>IFERROR(VLOOKUP($P94,'CY Rushing Query'!$B:$P,12,FALSE),0)</f>
        <v>0</v>
      </c>
      <c r="AG94" s="10">
        <f>IFERROR(VLOOKUP($P94,'CY Rushing Query'!$B:$P,9,FALSE)/VLOOKUP($P94,'CY Rushing Query'!$B:$P,5,FALSE),0)</f>
        <v>0</v>
      </c>
      <c r="AH94" s="10">
        <f>VLOOKUP($J94,'Vegas Odds'!$B:$S,18,FALSE)</f>
        <v>38.06292701199007</v>
      </c>
      <c r="AI94" s="10">
        <f>VLOOKUP($J94,'Vegas Odds'!$B:$S,17,FALSE)</f>
        <v>29.237072988009928</v>
      </c>
      <c r="AJ94">
        <f t="shared" si="39"/>
        <v>1</v>
      </c>
      <c r="AK94" s="10">
        <f t="shared" si="23"/>
        <v>0</v>
      </c>
      <c r="AL94" s="10">
        <f t="shared" si="24"/>
        <v>0</v>
      </c>
      <c r="AM94" s="10">
        <f>V94/'CY Defensive Stats Query'!$AD$34*'Fanduel Export'!Q94</f>
        <v>0</v>
      </c>
      <c r="AN94" s="10">
        <f t="shared" si="40"/>
        <v>0</v>
      </c>
      <c r="AO94" s="10">
        <f>IFERROR(IF(OR($B94="D",$B94="K"),0,VLOOKUP($P94,'CY Receving Query'!$B:$S,7,FALSE)/VLOOKUP($P94,'CY Receving Query'!$B:$S,5,FALSE)),0)*$AJ94</f>
        <v>0</v>
      </c>
      <c r="AP94" s="10">
        <f t="shared" si="25"/>
        <v>30.199512497306614</v>
      </c>
      <c r="AQ94" s="10">
        <f t="shared" si="26"/>
        <v>0</v>
      </c>
      <c r="AR94" s="16">
        <f t="shared" si="27"/>
        <v>0</v>
      </c>
      <c r="AS94" s="16">
        <f t="shared" si="28"/>
        <v>0</v>
      </c>
      <c r="AT94" s="16">
        <f>AA94/'CY Defensive Stats Query'!$AH$34
*'Fanduel Export'!S94</f>
        <v>0</v>
      </c>
      <c r="AU94" s="10">
        <f t="shared" si="41"/>
        <v>0</v>
      </c>
      <c r="AV94" s="10">
        <f t="shared" si="29"/>
        <v>0</v>
      </c>
      <c r="AW94" s="10">
        <f t="shared" si="30"/>
        <v>30.007352941176471</v>
      </c>
      <c r="AX94" s="10">
        <f t="shared" si="31"/>
        <v>0</v>
      </c>
      <c r="AY94" s="10">
        <f>AF94/'CY Defensive Stats Query'!$AF$34
*R94</f>
        <v>0</v>
      </c>
      <c r="AZ94" s="10">
        <f t="shared" si="42"/>
        <v>0</v>
      </c>
      <c r="BA94" s="16">
        <f t="shared" si="32"/>
        <v>0</v>
      </c>
      <c r="BB94" s="16">
        <f t="shared" si="33"/>
        <v>0</v>
      </c>
      <c r="BC94" s="10">
        <f t="shared" si="34"/>
        <v>0</v>
      </c>
      <c r="BD94" s="10">
        <f>IF(B94="QB",COUNTIFS($B$5:B94,B94,$J$5:J94,J94),1)</f>
        <v>1</v>
      </c>
      <c r="BE94" t="str">
        <f t="shared" si="35"/>
        <v>Simi Fehoko</v>
      </c>
      <c r="BF94">
        <f t="shared" si="36"/>
        <v>4500</v>
      </c>
      <c r="BG94" t="str">
        <f t="shared" si="37"/>
        <v>WR</v>
      </c>
      <c r="BH94" s="16">
        <f t="shared" si="38"/>
        <v>0</v>
      </c>
    </row>
    <row r="95" spans="1:60" x14ac:dyDescent="0.2">
      <c r="A95" t="s">
        <v>2860</v>
      </c>
      <c r="B95" t="s">
        <v>83</v>
      </c>
      <c r="C95" t="s">
        <v>2694</v>
      </c>
      <c r="D95" t="s">
        <v>513</v>
      </c>
      <c r="E95" t="s">
        <v>2695</v>
      </c>
      <c r="F95">
        <v>1.41999998092651</v>
      </c>
      <c r="G95">
        <v>5</v>
      </c>
      <c r="H95">
        <v>4500</v>
      </c>
      <c r="I95" t="s">
        <v>2718</v>
      </c>
      <c r="J95" t="s">
        <v>138</v>
      </c>
      <c r="K95" t="s">
        <v>729</v>
      </c>
      <c r="O95" t="str">
        <f t="shared" si="22"/>
        <v>River Cracraft</v>
      </c>
      <c r="P95" t="str">
        <f>IFERROR(VLOOKUP(O:O,'Name Bridge'!A:B,2,FALSE),O:O)</f>
        <v>River Cracraft</v>
      </c>
      <c r="Q95" s="10">
        <f>VLOOKUP($K95,'CY Defensive Stats Query'!$AC:$AH,2,FALSE)</f>
        <v>7.6538461538461542</v>
      </c>
      <c r="R95" s="10">
        <f>VLOOKUP($K95,'CY Defensive Stats Query'!$AC:$AH,4,FALSE)</f>
        <v>4.6888888888888891</v>
      </c>
      <c r="S95" s="10">
        <f>VLOOKUP($K95,'CY Defensive Stats Query'!$AC:$AH,6,FALSE)</f>
        <v>11.306818181818182</v>
      </c>
      <c r="T95" s="10">
        <f>IFERROR(VLOOKUP($P95,'CYPassing Query'!$B:$AE,9,FALSE)/VLOOKUP($P95,'CYPassing Query'!$B:$AE,5,FALSE),0)</f>
        <v>0</v>
      </c>
      <c r="U95" s="10">
        <f>IFERROR(VLOOKUP($P95,'CYPassing Query'!$B:$AE,11,FALSE)/VLOOKUP($P95,'CYPassing Query'!$B:$AE,5,FALSE),0)</f>
        <v>0</v>
      </c>
      <c r="V95" s="10">
        <f>IFERROR(VLOOKUP($P95,'CYPassing Query'!$B:$AE,18,FALSE),0)</f>
        <v>0</v>
      </c>
      <c r="W95" s="10">
        <f>IFERROR(VLOOKUP($P95,'CYPassing Query'!$B:$AE,12,FALSE)/VLOOKUP($P95,'CYPassing Query'!$B:$AE,5,FALSE),0)</f>
        <v>0</v>
      </c>
      <c r="X95" s="10">
        <f>IFERROR(IF(OR($B95="D",$B95="K"),0,VLOOKUP($P95,'CY Receving Query'!$B:$S,7,FALSE)/VLOOKUP($P95,'CY Receving Query'!$B:$S,5,FALSE)),0)*$AJ95</f>
        <v>0</v>
      </c>
      <c r="Y95" s="10">
        <f>IFERROR(VLOOKUP($P95,'CY Receving Query'!$B:$S,8,FALSE)/VLOOKUP($P95,'CY Receving Query'!$B:$S,5,FALSE),0)</f>
        <v>0</v>
      </c>
      <c r="Z95" s="10">
        <f>IFERROR(VLOOKUP($P95,'CY Receving Query'!$B:$S,10,FALSE)/VLOOKUP($P95,'CY Receving Query'!$B:$S,5,FALSE),0)</f>
        <v>0</v>
      </c>
      <c r="AA95" s="10">
        <f>IFERROR(VLOOKUP($P95,'CY Receving Query'!$B:$S,11,FALSE),0)</f>
        <v>0</v>
      </c>
      <c r="AB95" s="10">
        <f>IFERROR(AVERAGE(VLOOKUP($P95,'PY Receiving'!$C:$T,14,FALSE),VLOOKUP($P95,'CY Receiving'!$C:$T,14,FALSE)),0)</f>
        <v>0</v>
      </c>
      <c r="AC95" s="10">
        <f>IFERROR(VLOOKUP($P95,'CY Receving Query'!$B:$S,11,FALSE)/VLOOKUP($P95,'CY Receving Query'!$B:$S,5,FALSE),0)</f>
        <v>0</v>
      </c>
      <c r="AD95" s="10">
        <f>IFERROR(VLOOKUP($P95,'CY Rushing Query'!$B:$O,7,FALSE)/VLOOKUP($P95,'CY Rushing Query'!$B:$O,5,FALSE),0)</f>
        <v>0</v>
      </c>
      <c r="AE95" s="10">
        <f>IFERROR(AVERAGE(VLOOKUP($P95,'PY Rushing'!$C:$P,8,FALSE)/VLOOKUP($P95,'PY Rushing'!$C:$P,5,FALSE),VLOOKUP($P95,'CY Rushing'!$C:$P,8,FALSE)/VLOOKUP($P95,'CY Rushing'!$C:$P,5,FALSE)),0)</f>
        <v>0</v>
      </c>
      <c r="AF95" s="10">
        <f>IFERROR(VLOOKUP($P95,'CY Rushing Query'!$B:$P,12,FALSE),0)</f>
        <v>0</v>
      </c>
      <c r="AG95" s="10">
        <f>IFERROR(VLOOKUP($P95,'CY Rushing Query'!$B:$P,9,FALSE)/VLOOKUP($P95,'CY Rushing Query'!$B:$P,5,FALSE),0)</f>
        <v>0</v>
      </c>
      <c r="AH95" s="10">
        <f>VLOOKUP($J95,'Vegas Odds'!$B:$S,18,FALSE)</f>
        <v>32.679248170039784</v>
      </c>
      <c r="AI95" s="10">
        <f>VLOOKUP($J95,'Vegas Odds'!$B:$S,17,FALSE)</f>
        <v>32.620751829960213</v>
      </c>
      <c r="AJ95">
        <f t="shared" si="39"/>
        <v>1</v>
      </c>
      <c r="AK95" s="10">
        <f t="shared" si="23"/>
        <v>0</v>
      </c>
      <c r="AL95" s="10">
        <f t="shared" si="24"/>
        <v>0</v>
      </c>
      <c r="AM95" s="10">
        <f>V95/'CY Defensive Stats Query'!$AD$34*'Fanduel Export'!Q95</f>
        <v>0</v>
      </c>
      <c r="AN95" s="10">
        <f t="shared" si="40"/>
        <v>0</v>
      </c>
      <c r="AO95" s="10">
        <f>IFERROR(IF(OR($B95="D",$B95="K"),0,VLOOKUP($P95,'CY Receving Query'!$B:$S,7,FALSE)/VLOOKUP($P95,'CY Receving Query'!$B:$S,5,FALSE)),0)*$AJ95</f>
        <v>0</v>
      </c>
      <c r="AP95" s="10">
        <f t="shared" si="25"/>
        <v>29.704370384517439</v>
      </c>
      <c r="AQ95" s="10">
        <f t="shared" si="26"/>
        <v>0</v>
      </c>
      <c r="AR95" s="16">
        <f t="shared" si="27"/>
        <v>0</v>
      </c>
      <c r="AS95" s="16">
        <f t="shared" si="28"/>
        <v>0</v>
      </c>
      <c r="AT95" s="16">
        <f>AA95/'CY Defensive Stats Query'!$AH$34
*'Fanduel Export'!S95</f>
        <v>0</v>
      </c>
      <c r="AU95" s="10">
        <f t="shared" si="41"/>
        <v>0</v>
      </c>
      <c r="AV95" s="10">
        <f t="shared" si="29"/>
        <v>0</v>
      </c>
      <c r="AW95" s="10">
        <f t="shared" si="30"/>
        <v>40.335297300738475</v>
      </c>
      <c r="AX95" s="10">
        <f t="shared" si="31"/>
        <v>0</v>
      </c>
      <c r="AY95" s="10">
        <f>AF95/'CY Defensive Stats Query'!$AF$34
*R95</f>
        <v>0</v>
      </c>
      <c r="AZ95" s="10">
        <f t="shared" si="42"/>
        <v>0</v>
      </c>
      <c r="BA95" s="16">
        <f t="shared" si="32"/>
        <v>0</v>
      </c>
      <c r="BB95" s="16">
        <f t="shared" si="33"/>
        <v>0</v>
      </c>
      <c r="BC95" s="10">
        <f t="shared" si="34"/>
        <v>0</v>
      </c>
      <c r="BD95" s="10">
        <f>IF(B95="QB",COUNTIFS($B$5:B95,B95,$J$5:J95,J95),1)</f>
        <v>1</v>
      </c>
      <c r="BE95" t="str">
        <f t="shared" si="35"/>
        <v>River Cracraft</v>
      </c>
      <c r="BF95">
        <f t="shared" si="36"/>
        <v>4500</v>
      </c>
      <c r="BG95" t="str">
        <f t="shared" si="37"/>
        <v>WR</v>
      </c>
      <c r="BH95" s="16">
        <f t="shared" si="38"/>
        <v>0</v>
      </c>
    </row>
    <row r="96" spans="1:60" x14ac:dyDescent="0.2">
      <c r="A96" t="s">
        <v>2861</v>
      </c>
      <c r="B96" t="s">
        <v>83</v>
      </c>
      <c r="C96" t="s">
        <v>2508</v>
      </c>
      <c r="D96" t="s">
        <v>2568</v>
      </c>
      <c r="E96" t="s">
        <v>2569</v>
      </c>
      <c r="F96">
        <v>3.9285714285714199</v>
      </c>
      <c r="G96">
        <v>14</v>
      </c>
      <c r="H96">
        <v>4500</v>
      </c>
      <c r="I96" t="s">
        <v>2716</v>
      </c>
      <c r="J96" t="s">
        <v>99</v>
      </c>
      <c r="K96" t="s">
        <v>81</v>
      </c>
      <c r="O96" t="str">
        <f t="shared" si="22"/>
        <v>Steven Sims Jr.</v>
      </c>
      <c r="P96" t="str">
        <f>IFERROR(VLOOKUP(O:O,'Name Bridge'!A:B,2,FALSE),O:O)</f>
        <v>Steven Sims Jr.</v>
      </c>
      <c r="Q96" s="10">
        <f>VLOOKUP($K96,'CY Defensive Stats Query'!$AC:$AH,2,FALSE)</f>
        <v>8.7934782608695645</v>
      </c>
      <c r="R96" s="10">
        <f>VLOOKUP($K96,'CY Defensive Stats Query'!$AC:$AH,4,FALSE)</f>
        <v>5.404494382022472</v>
      </c>
      <c r="S96" s="10">
        <f>VLOOKUP($K96,'CY Defensive Stats Query'!$AC:$AH,6,FALSE)</f>
        <v>12.446153846153846</v>
      </c>
      <c r="T96" s="10">
        <f>IFERROR(VLOOKUP($P96,'CYPassing Query'!$B:$AE,9,FALSE)/VLOOKUP($P96,'CYPassing Query'!$B:$AE,5,FALSE),0)</f>
        <v>0</v>
      </c>
      <c r="U96" s="10">
        <f>IFERROR(VLOOKUP($P96,'CYPassing Query'!$B:$AE,11,FALSE)/VLOOKUP($P96,'CYPassing Query'!$B:$AE,5,FALSE),0)</f>
        <v>0</v>
      </c>
      <c r="V96" s="10">
        <f>IFERROR(VLOOKUP($P96,'CYPassing Query'!$B:$AE,18,FALSE),0)</f>
        <v>0</v>
      </c>
      <c r="W96" s="10">
        <f>IFERROR(VLOOKUP($P96,'CYPassing Query'!$B:$AE,12,FALSE)/VLOOKUP($P96,'CYPassing Query'!$B:$AE,5,FALSE),0)</f>
        <v>0</v>
      </c>
      <c r="X96" s="10">
        <f>IFERROR(IF(OR($B96="D",$B96="K"),0,VLOOKUP($P96,'CY Receving Query'!$B:$S,7,FALSE)/VLOOKUP($P96,'CY Receving Query'!$B:$S,5,FALSE)),0)*$AJ96</f>
        <v>0</v>
      </c>
      <c r="Y96" s="10">
        <f>IFERROR(VLOOKUP($P96,'CY Receving Query'!$B:$S,8,FALSE)/VLOOKUP($P96,'CY Receving Query'!$B:$S,5,FALSE),0)</f>
        <v>0</v>
      </c>
      <c r="Z96" s="10">
        <f>IFERROR(VLOOKUP($P96,'CY Receving Query'!$B:$S,10,FALSE)/VLOOKUP($P96,'CY Receving Query'!$B:$S,5,FALSE),0)</f>
        <v>0</v>
      </c>
      <c r="AA96" s="10">
        <f>IFERROR(VLOOKUP($P96,'CY Receving Query'!$B:$S,11,FALSE),0)</f>
        <v>0</v>
      </c>
      <c r="AB96" s="10">
        <f>IFERROR(AVERAGE(VLOOKUP($P96,'PY Receiving'!$C:$T,14,FALSE),VLOOKUP($P96,'CY Receiving'!$C:$T,14,FALSE)),0)</f>
        <v>0</v>
      </c>
      <c r="AC96" s="10">
        <f>IFERROR(VLOOKUP($P96,'CY Receving Query'!$B:$S,11,FALSE)/VLOOKUP($P96,'CY Receving Query'!$B:$S,5,FALSE),0)</f>
        <v>0</v>
      </c>
      <c r="AD96" s="10">
        <f>IFERROR(VLOOKUP($P96,'CY Rushing Query'!$B:$O,7,FALSE)/VLOOKUP($P96,'CY Rushing Query'!$B:$O,5,FALSE),0)</f>
        <v>0</v>
      </c>
      <c r="AE96" s="10">
        <f>IFERROR(AVERAGE(VLOOKUP($P96,'PY Rushing'!$C:$P,8,FALSE)/VLOOKUP($P96,'PY Rushing'!$C:$P,5,FALSE),VLOOKUP($P96,'CY Rushing'!$C:$P,8,FALSE)/VLOOKUP($P96,'CY Rushing'!$C:$P,5,FALSE)),0)</f>
        <v>0</v>
      </c>
      <c r="AF96" s="10">
        <f>IFERROR(VLOOKUP($P96,'CY Rushing Query'!$B:$P,12,FALSE),0)</f>
        <v>0</v>
      </c>
      <c r="AG96" s="10">
        <f>IFERROR(VLOOKUP($P96,'CY Rushing Query'!$B:$P,9,FALSE)/VLOOKUP($P96,'CY Rushing Query'!$B:$P,5,FALSE),0)</f>
        <v>0</v>
      </c>
      <c r="AH96" s="10">
        <f>VLOOKUP($J96,'Vegas Odds'!$B:$S,18,FALSE)</f>
        <v>40.088640957860363</v>
      </c>
      <c r="AI96" s="10">
        <f>VLOOKUP($J96,'Vegas Odds'!$B:$S,17,FALSE)</f>
        <v>25.511359042139631</v>
      </c>
      <c r="AJ96">
        <f t="shared" si="39"/>
        <v>1</v>
      </c>
      <c r="AK96" s="10">
        <f t="shared" si="23"/>
        <v>0</v>
      </c>
      <c r="AL96" s="10">
        <f t="shared" si="24"/>
        <v>0</v>
      </c>
      <c r="AM96" s="10">
        <f>V96/'CY Defensive Stats Query'!$AD$34*'Fanduel Export'!Q96</f>
        <v>0</v>
      </c>
      <c r="AN96" s="10">
        <f t="shared" si="40"/>
        <v>0</v>
      </c>
      <c r="AO96" s="10">
        <f>IFERROR(IF(OR($B96="D",$B96="K"),0,VLOOKUP($P96,'CY Receving Query'!$B:$S,7,FALSE)/VLOOKUP($P96,'CY Receving Query'!$B:$S,5,FALSE)),0)*$AJ96</f>
        <v>0</v>
      </c>
      <c r="AP96" s="10">
        <f t="shared" si="25"/>
        <v>32.289950980392156</v>
      </c>
      <c r="AQ96" s="10">
        <f t="shared" si="26"/>
        <v>0</v>
      </c>
      <c r="AR96" s="16">
        <f t="shared" si="27"/>
        <v>0</v>
      </c>
      <c r="AS96" s="16">
        <f t="shared" si="28"/>
        <v>0</v>
      </c>
      <c r="AT96" s="16">
        <f>AA96/'CY Defensive Stats Query'!$AH$34
*'Fanduel Export'!S96</f>
        <v>0</v>
      </c>
      <c r="AU96" s="10">
        <f t="shared" si="41"/>
        <v>0</v>
      </c>
      <c r="AV96" s="10">
        <f t="shared" si="29"/>
        <v>0</v>
      </c>
      <c r="AW96" s="10">
        <f t="shared" si="30"/>
        <v>7.4240196078431371</v>
      </c>
      <c r="AX96" s="10">
        <f t="shared" si="31"/>
        <v>0</v>
      </c>
      <c r="AY96" s="10">
        <f>AF96/'CY Defensive Stats Query'!$AF$34
*R96</f>
        <v>0</v>
      </c>
      <c r="AZ96" s="10">
        <f t="shared" si="42"/>
        <v>0</v>
      </c>
      <c r="BA96" s="16">
        <f t="shared" si="32"/>
        <v>0</v>
      </c>
      <c r="BB96" s="16">
        <f t="shared" si="33"/>
        <v>0</v>
      </c>
      <c r="BC96" s="10">
        <f t="shared" si="34"/>
        <v>0</v>
      </c>
      <c r="BD96" s="10">
        <f>IF(B96="QB",COUNTIFS($B$5:B96,B96,$J$5:J96,J96),1)</f>
        <v>1</v>
      </c>
      <c r="BE96" t="str">
        <f t="shared" si="35"/>
        <v>Steven Sims Jr.</v>
      </c>
      <c r="BF96">
        <f t="shared" si="36"/>
        <v>4500</v>
      </c>
      <c r="BG96" t="str">
        <f t="shared" si="37"/>
        <v>WR</v>
      </c>
      <c r="BH96" s="16">
        <f t="shared" si="38"/>
        <v>0</v>
      </c>
    </row>
    <row r="97" spans="1:60" x14ac:dyDescent="0.2">
      <c r="A97" t="s">
        <v>2862</v>
      </c>
      <c r="B97" t="s">
        <v>83</v>
      </c>
      <c r="C97" t="s">
        <v>2238</v>
      </c>
      <c r="D97" t="s">
        <v>2426</v>
      </c>
      <c r="E97" t="s">
        <v>425</v>
      </c>
      <c r="F97">
        <v>-0.4</v>
      </c>
      <c r="G97">
        <v>5</v>
      </c>
      <c r="H97">
        <v>4500</v>
      </c>
      <c r="I97" t="s">
        <v>2718</v>
      </c>
      <c r="J97" t="s">
        <v>138</v>
      </c>
      <c r="K97" t="s">
        <v>729</v>
      </c>
      <c r="O97" t="str">
        <f t="shared" si="22"/>
        <v>Travis Benjamin</v>
      </c>
      <c r="P97" t="str">
        <f>IFERROR(VLOOKUP(O:O,'Name Bridge'!A:B,2,FALSE),O:O)</f>
        <v>Travis Benjamin</v>
      </c>
      <c r="Q97" s="10">
        <f>VLOOKUP($K97,'CY Defensive Stats Query'!$AC:$AH,2,FALSE)</f>
        <v>7.6538461538461542</v>
      </c>
      <c r="R97" s="10">
        <f>VLOOKUP($K97,'CY Defensive Stats Query'!$AC:$AH,4,FALSE)</f>
        <v>4.6888888888888891</v>
      </c>
      <c r="S97" s="10">
        <f>VLOOKUP($K97,'CY Defensive Stats Query'!$AC:$AH,6,FALSE)</f>
        <v>11.306818181818182</v>
      </c>
      <c r="T97" s="10">
        <f>IFERROR(VLOOKUP($P97,'CYPassing Query'!$B:$AE,9,FALSE)/VLOOKUP($P97,'CYPassing Query'!$B:$AE,5,FALSE),0)</f>
        <v>0</v>
      </c>
      <c r="U97" s="10">
        <f>IFERROR(VLOOKUP($P97,'CYPassing Query'!$B:$AE,11,FALSE)/VLOOKUP($P97,'CYPassing Query'!$B:$AE,5,FALSE),0)</f>
        <v>0</v>
      </c>
      <c r="V97" s="10">
        <f>IFERROR(VLOOKUP($P97,'CYPassing Query'!$B:$AE,18,FALSE),0)</f>
        <v>0</v>
      </c>
      <c r="W97" s="10">
        <f>IFERROR(VLOOKUP($P97,'CYPassing Query'!$B:$AE,12,FALSE)/VLOOKUP($P97,'CYPassing Query'!$B:$AE,5,FALSE),0)</f>
        <v>0</v>
      </c>
      <c r="X97" s="10">
        <f>IFERROR(IF(OR($B97="D",$B97="K"),0,VLOOKUP($P97,'CY Receving Query'!$B:$S,7,FALSE)/VLOOKUP($P97,'CY Receving Query'!$B:$S,5,FALSE)),0)*$AJ97</f>
        <v>0.5</v>
      </c>
      <c r="Y97" s="10">
        <f>IFERROR(VLOOKUP($P97,'CY Receving Query'!$B:$S,8,FALSE)/VLOOKUP($P97,'CY Receving Query'!$B:$S,5,FALSE),0)</f>
        <v>0</v>
      </c>
      <c r="Z97" s="10">
        <f>IFERROR(VLOOKUP($P97,'CY Receving Query'!$B:$S,10,FALSE)/VLOOKUP($P97,'CY Receving Query'!$B:$S,5,FALSE),0)</f>
        <v>0</v>
      </c>
      <c r="AA97" s="10">
        <f>IFERROR(VLOOKUP($P97,'CY Receving Query'!$B:$S,11,FALSE),0)</f>
        <v>0</v>
      </c>
      <c r="AB97" s="10">
        <f>IFERROR(AVERAGE(VLOOKUP($P97,'PY Receiving'!$C:$T,14,FALSE),VLOOKUP($P97,'CY Receiving'!$C:$T,14,FALSE)),0)</f>
        <v>0</v>
      </c>
      <c r="AC97" s="10">
        <f>IFERROR(VLOOKUP($P97,'CY Receving Query'!$B:$S,11,FALSE)/VLOOKUP($P97,'CY Receving Query'!$B:$S,5,FALSE),0)</f>
        <v>0</v>
      </c>
      <c r="AD97" s="10">
        <f>IFERROR(VLOOKUP($P97,'CY Rushing Query'!$B:$O,7,FALSE)/VLOOKUP($P97,'CY Rushing Query'!$B:$O,5,FALSE),0)</f>
        <v>0</v>
      </c>
      <c r="AE97" s="10">
        <f>IFERROR(AVERAGE(VLOOKUP($P97,'PY Rushing'!$C:$P,8,FALSE)/VLOOKUP($P97,'PY Rushing'!$C:$P,5,FALSE),VLOOKUP($P97,'CY Rushing'!$C:$P,8,FALSE)/VLOOKUP($P97,'CY Rushing'!$C:$P,5,FALSE)),0)</f>
        <v>0</v>
      </c>
      <c r="AF97" s="10">
        <f>IFERROR(VLOOKUP($P97,'CY Rushing Query'!$B:$P,12,FALSE),0)</f>
        <v>0</v>
      </c>
      <c r="AG97" s="10">
        <f>IFERROR(VLOOKUP($P97,'CY Rushing Query'!$B:$P,9,FALSE)/VLOOKUP($P97,'CY Rushing Query'!$B:$P,5,FALSE),0)</f>
        <v>0</v>
      </c>
      <c r="AH97" s="10">
        <f>VLOOKUP($J97,'Vegas Odds'!$B:$S,18,FALSE)</f>
        <v>32.679248170039784</v>
      </c>
      <c r="AI97" s="10">
        <f>VLOOKUP($J97,'Vegas Odds'!$B:$S,17,FALSE)</f>
        <v>32.620751829960213</v>
      </c>
      <c r="AJ97">
        <f t="shared" si="39"/>
        <v>1</v>
      </c>
      <c r="AK97" s="10">
        <f t="shared" si="23"/>
        <v>0</v>
      </c>
      <c r="AL97" s="10">
        <f t="shared" si="24"/>
        <v>0</v>
      </c>
      <c r="AM97" s="10">
        <f>V97/'CY Defensive Stats Query'!$AD$34*'Fanduel Export'!Q97</f>
        <v>0</v>
      </c>
      <c r="AN97" s="10">
        <f t="shared" si="40"/>
        <v>0</v>
      </c>
      <c r="AO97" s="10">
        <f>IFERROR(IF(OR($B97="D",$B97="K"),0,VLOOKUP($P97,'CY Receving Query'!$B:$S,7,FALSE)/VLOOKUP($P97,'CY Receving Query'!$B:$S,5,FALSE)),0)*$AJ97</f>
        <v>0.5</v>
      </c>
      <c r="AP97" s="10">
        <f t="shared" si="25"/>
        <v>29.704370384517439</v>
      </c>
      <c r="AQ97" s="10">
        <f t="shared" si="26"/>
        <v>0.55007474905229625</v>
      </c>
      <c r="AR97" s="16">
        <f t="shared" si="27"/>
        <v>0</v>
      </c>
      <c r="AS97" s="16">
        <f t="shared" si="28"/>
        <v>0</v>
      </c>
      <c r="AT97" s="16">
        <f>AA97/'CY Defensive Stats Query'!$AH$34
*'Fanduel Export'!S97</f>
        <v>0</v>
      </c>
      <c r="AU97" s="10">
        <f t="shared" si="41"/>
        <v>0</v>
      </c>
      <c r="AV97" s="10">
        <f t="shared" si="29"/>
        <v>0</v>
      </c>
      <c r="AW97" s="10">
        <f t="shared" si="30"/>
        <v>40.335297300738475</v>
      </c>
      <c r="AX97" s="10">
        <f t="shared" si="31"/>
        <v>0</v>
      </c>
      <c r="AY97" s="10">
        <f>AF97/'CY Defensive Stats Query'!$AF$34
*R97</f>
        <v>0</v>
      </c>
      <c r="AZ97" s="10">
        <f t="shared" si="42"/>
        <v>0</v>
      </c>
      <c r="BA97" s="16">
        <f t="shared" si="32"/>
        <v>0</v>
      </c>
      <c r="BB97" s="16">
        <f t="shared" si="33"/>
        <v>0</v>
      </c>
      <c r="BC97" s="10">
        <f t="shared" si="34"/>
        <v>0.1111111111111111</v>
      </c>
      <c r="BD97" s="10">
        <f>IF(B97="QB",COUNTIFS($B$5:B97,B97,$J$5:J97,J97),1)</f>
        <v>1</v>
      </c>
      <c r="BE97" t="str">
        <f t="shared" si="35"/>
        <v>Travis Benjamin</v>
      </c>
      <c r="BF97">
        <f t="shared" si="36"/>
        <v>4500</v>
      </c>
      <c r="BG97" t="str">
        <f t="shared" si="37"/>
        <v>WR</v>
      </c>
      <c r="BH97" s="16">
        <f t="shared" si="38"/>
        <v>0</v>
      </c>
    </row>
    <row r="98" spans="1:60" x14ac:dyDescent="0.2">
      <c r="A98" t="s">
        <v>2863</v>
      </c>
      <c r="B98" t="s">
        <v>83</v>
      </c>
      <c r="C98" t="s">
        <v>2704</v>
      </c>
      <c r="D98" t="s">
        <v>574</v>
      </c>
      <c r="E98" t="s">
        <v>2705</v>
      </c>
      <c r="H98">
        <v>4500</v>
      </c>
      <c r="I98" t="s">
        <v>2718</v>
      </c>
      <c r="J98" t="s">
        <v>138</v>
      </c>
      <c r="K98" t="s">
        <v>729</v>
      </c>
      <c r="O98" t="str">
        <f t="shared" si="22"/>
        <v>Connor Wedington</v>
      </c>
      <c r="P98" t="str">
        <f>IFERROR(VLOOKUP(O:O,'Name Bridge'!A:B,2,FALSE),O:O)</f>
        <v>Connor Wedington</v>
      </c>
      <c r="Q98" s="10">
        <f>VLOOKUP($K98,'CY Defensive Stats Query'!$AC:$AH,2,FALSE)</f>
        <v>7.6538461538461542</v>
      </c>
      <c r="R98" s="10">
        <f>VLOOKUP($K98,'CY Defensive Stats Query'!$AC:$AH,4,FALSE)</f>
        <v>4.6888888888888891</v>
      </c>
      <c r="S98" s="10">
        <f>VLOOKUP($K98,'CY Defensive Stats Query'!$AC:$AH,6,FALSE)</f>
        <v>11.306818181818182</v>
      </c>
      <c r="T98" s="10">
        <f>IFERROR(VLOOKUP($P98,'CYPassing Query'!$B:$AE,9,FALSE)/VLOOKUP($P98,'CYPassing Query'!$B:$AE,5,FALSE),0)</f>
        <v>0</v>
      </c>
      <c r="U98" s="10">
        <f>IFERROR(VLOOKUP($P98,'CYPassing Query'!$B:$AE,11,FALSE)/VLOOKUP($P98,'CYPassing Query'!$B:$AE,5,FALSE),0)</f>
        <v>0</v>
      </c>
      <c r="V98" s="10">
        <f>IFERROR(VLOOKUP($P98,'CYPassing Query'!$B:$AE,18,FALSE),0)</f>
        <v>0</v>
      </c>
      <c r="W98" s="10">
        <f>IFERROR(VLOOKUP($P98,'CYPassing Query'!$B:$AE,12,FALSE)/VLOOKUP($P98,'CYPassing Query'!$B:$AE,5,FALSE),0)</f>
        <v>0</v>
      </c>
      <c r="X98" s="10">
        <f>IFERROR(IF(OR($B98="D",$B98="K"),0,VLOOKUP($P98,'CY Receving Query'!$B:$S,7,FALSE)/VLOOKUP($P98,'CY Receving Query'!$B:$S,5,FALSE)),0)*$AJ98</f>
        <v>0</v>
      </c>
      <c r="Y98" s="10">
        <f>IFERROR(VLOOKUP($P98,'CY Receving Query'!$B:$S,8,FALSE)/VLOOKUP($P98,'CY Receving Query'!$B:$S,5,FALSE),0)</f>
        <v>0</v>
      </c>
      <c r="Z98" s="10">
        <f>IFERROR(VLOOKUP($P98,'CY Receving Query'!$B:$S,10,FALSE)/VLOOKUP($P98,'CY Receving Query'!$B:$S,5,FALSE),0)</f>
        <v>0</v>
      </c>
      <c r="AA98" s="10">
        <f>IFERROR(VLOOKUP($P98,'CY Receving Query'!$B:$S,11,FALSE),0)</f>
        <v>0</v>
      </c>
      <c r="AB98" s="10">
        <f>IFERROR(AVERAGE(VLOOKUP($P98,'PY Receiving'!$C:$T,14,FALSE),VLOOKUP($P98,'CY Receiving'!$C:$T,14,FALSE)),0)</f>
        <v>0</v>
      </c>
      <c r="AC98" s="10">
        <f>IFERROR(VLOOKUP($P98,'CY Receving Query'!$B:$S,11,FALSE)/VLOOKUP($P98,'CY Receving Query'!$B:$S,5,FALSE),0)</f>
        <v>0</v>
      </c>
      <c r="AD98" s="10">
        <f>IFERROR(VLOOKUP($P98,'CY Rushing Query'!$B:$O,7,FALSE)/VLOOKUP($P98,'CY Rushing Query'!$B:$O,5,FALSE),0)</f>
        <v>0</v>
      </c>
      <c r="AE98" s="10">
        <f>IFERROR(AVERAGE(VLOOKUP($P98,'PY Rushing'!$C:$P,8,FALSE)/VLOOKUP($P98,'PY Rushing'!$C:$P,5,FALSE),VLOOKUP($P98,'CY Rushing'!$C:$P,8,FALSE)/VLOOKUP($P98,'CY Rushing'!$C:$P,5,FALSE)),0)</f>
        <v>0</v>
      </c>
      <c r="AF98" s="10">
        <f>IFERROR(VLOOKUP($P98,'CY Rushing Query'!$B:$P,12,FALSE),0)</f>
        <v>0</v>
      </c>
      <c r="AG98" s="10">
        <f>IFERROR(VLOOKUP($P98,'CY Rushing Query'!$B:$P,9,FALSE)/VLOOKUP($P98,'CY Rushing Query'!$B:$P,5,FALSE),0)</f>
        <v>0</v>
      </c>
      <c r="AH98" s="10">
        <f>VLOOKUP($J98,'Vegas Odds'!$B:$S,18,FALSE)</f>
        <v>32.679248170039784</v>
      </c>
      <c r="AI98" s="10">
        <f>VLOOKUP($J98,'Vegas Odds'!$B:$S,17,FALSE)</f>
        <v>32.620751829960213</v>
      </c>
      <c r="AJ98">
        <f t="shared" si="39"/>
        <v>1</v>
      </c>
      <c r="AK98" s="10">
        <f t="shared" si="23"/>
        <v>0</v>
      </c>
      <c r="AL98" s="10">
        <f t="shared" si="24"/>
        <v>0</v>
      </c>
      <c r="AM98" s="10">
        <f>V98/'CY Defensive Stats Query'!$AD$34*'Fanduel Export'!Q98</f>
        <v>0</v>
      </c>
      <c r="AN98" s="10">
        <f t="shared" si="40"/>
        <v>0</v>
      </c>
      <c r="AO98" s="10">
        <f>IFERROR(IF(OR($B98="D",$B98="K"),0,VLOOKUP($P98,'CY Receving Query'!$B:$S,7,FALSE)/VLOOKUP($P98,'CY Receving Query'!$B:$S,5,FALSE)),0)*$AJ98</f>
        <v>0</v>
      </c>
      <c r="AP98" s="10">
        <f t="shared" si="25"/>
        <v>29.704370384517439</v>
      </c>
      <c r="AQ98" s="10">
        <f t="shared" si="26"/>
        <v>0</v>
      </c>
      <c r="AR98" s="16">
        <f t="shared" si="27"/>
        <v>0</v>
      </c>
      <c r="AS98" s="16">
        <f t="shared" si="28"/>
        <v>0</v>
      </c>
      <c r="AT98" s="16">
        <f>AA98/'CY Defensive Stats Query'!$AH$34
*'Fanduel Export'!S98</f>
        <v>0</v>
      </c>
      <c r="AU98" s="10">
        <f t="shared" si="41"/>
        <v>0</v>
      </c>
      <c r="AV98" s="10">
        <f t="shared" si="29"/>
        <v>0</v>
      </c>
      <c r="AW98" s="10">
        <f t="shared" si="30"/>
        <v>40.335297300738475</v>
      </c>
      <c r="AX98" s="10">
        <f t="shared" si="31"/>
        <v>0</v>
      </c>
      <c r="AY98" s="10">
        <f>AF98/'CY Defensive Stats Query'!$AF$34
*R98</f>
        <v>0</v>
      </c>
      <c r="AZ98" s="10">
        <f t="shared" si="42"/>
        <v>0</v>
      </c>
      <c r="BA98" s="16">
        <f t="shared" si="32"/>
        <v>0</v>
      </c>
      <c r="BB98" s="16">
        <f t="shared" si="33"/>
        <v>0</v>
      </c>
      <c r="BC98" s="10">
        <f t="shared" si="34"/>
        <v>0</v>
      </c>
      <c r="BD98" s="10">
        <f>IF(B98="QB",COUNTIFS($B$5:B98,B98,$J$5:J98,J98),1)</f>
        <v>1</v>
      </c>
      <c r="BE98" t="str">
        <f t="shared" si="35"/>
        <v>Connor Wedington</v>
      </c>
      <c r="BF98">
        <f t="shared" si="36"/>
        <v>4500</v>
      </c>
      <c r="BG98" t="str">
        <f t="shared" si="37"/>
        <v>WR</v>
      </c>
      <c r="BH98" s="16">
        <f t="shared" si="38"/>
        <v>0</v>
      </c>
    </row>
    <row r="99" spans="1:60" x14ac:dyDescent="0.2">
      <c r="A99" t="s">
        <v>2864</v>
      </c>
      <c r="B99" t="s">
        <v>83</v>
      </c>
      <c r="C99" t="s">
        <v>2389</v>
      </c>
      <c r="D99" t="s">
        <v>2390</v>
      </c>
      <c r="E99" t="s">
        <v>2865</v>
      </c>
      <c r="H99">
        <v>4500</v>
      </c>
      <c r="I99" t="s">
        <v>2720</v>
      </c>
      <c r="J99" t="s">
        <v>102</v>
      </c>
      <c r="K99" t="s">
        <v>728</v>
      </c>
      <c r="L99" t="s">
        <v>94</v>
      </c>
      <c r="M99" t="s">
        <v>210</v>
      </c>
      <c r="O99" t="str">
        <f t="shared" si="22"/>
        <v>Trevon Grimes</v>
      </c>
      <c r="P99" t="str">
        <f>IFERROR(VLOOKUP(O:O,'Name Bridge'!A:B,2,FALSE),O:O)</f>
        <v>Trevon Grimes</v>
      </c>
      <c r="Q99" s="10">
        <f>VLOOKUP($K99,'CY Defensive Stats Query'!$AC:$AH,2,FALSE)</f>
        <v>7.0486111111111107</v>
      </c>
      <c r="R99" s="10">
        <f>VLOOKUP($K99,'CY Defensive Stats Query'!$AC:$AH,4,FALSE)</f>
        <v>3.0806451612903225</v>
      </c>
      <c r="S99" s="10">
        <f>VLOOKUP($K99,'CY Defensive Stats Query'!$AC:$AH,6,FALSE)</f>
        <v>9.759615384615385</v>
      </c>
      <c r="T99" s="10">
        <f>IFERROR(VLOOKUP($P99,'CYPassing Query'!$B:$AE,9,FALSE)/VLOOKUP($P99,'CYPassing Query'!$B:$AE,5,FALSE),0)</f>
        <v>0</v>
      </c>
      <c r="U99" s="10">
        <f>IFERROR(VLOOKUP($P99,'CYPassing Query'!$B:$AE,11,FALSE)/VLOOKUP($P99,'CYPassing Query'!$B:$AE,5,FALSE),0)</f>
        <v>0</v>
      </c>
      <c r="V99" s="10">
        <f>IFERROR(VLOOKUP($P99,'CYPassing Query'!$B:$AE,18,FALSE),0)</f>
        <v>0</v>
      </c>
      <c r="W99" s="10">
        <f>IFERROR(VLOOKUP($P99,'CYPassing Query'!$B:$AE,12,FALSE)/VLOOKUP($P99,'CYPassing Query'!$B:$AE,5,FALSE),0)</f>
        <v>0</v>
      </c>
      <c r="X99" s="10">
        <f>IFERROR(IF(OR($B99="D",$B99="K"),0,VLOOKUP($P99,'CY Receving Query'!$B:$S,7,FALSE)/VLOOKUP($P99,'CY Receving Query'!$B:$S,5,FALSE)),0)*$AJ99</f>
        <v>0</v>
      </c>
      <c r="Y99" s="10">
        <f>IFERROR(VLOOKUP($P99,'CY Receving Query'!$B:$S,8,FALSE)/VLOOKUP($P99,'CY Receving Query'!$B:$S,5,FALSE),0)</f>
        <v>0</v>
      </c>
      <c r="Z99" s="10">
        <f>IFERROR(VLOOKUP($P99,'CY Receving Query'!$B:$S,10,FALSE)/VLOOKUP($P99,'CY Receving Query'!$B:$S,5,FALSE),0)</f>
        <v>0</v>
      </c>
      <c r="AA99" s="10">
        <f>IFERROR(VLOOKUP($P99,'CY Receving Query'!$B:$S,11,FALSE),0)</f>
        <v>0</v>
      </c>
      <c r="AB99" s="10">
        <f>IFERROR(AVERAGE(VLOOKUP($P99,'PY Receiving'!$C:$T,14,FALSE),VLOOKUP($P99,'CY Receiving'!$C:$T,14,FALSE)),0)</f>
        <v>0</v>
      </c>
      <c r="AC99" s="10">
        <f>IFERROR(VLOOKUP($P99,'CY Receving Query'!$B:$S,11,FALSE)/VLOOKUP($P99,'CY Receving Query'!$B:$S,5,FALSE),0)</f>
        <v>0</v>
      </c>
      <c r="AD99" s="10">
        <f>IFERROR(VLOOKUP($P99,'CY Rushing Query'!$B:$O,7,FALSE)/VLOOKUP($P99,'CY Rushing Query'!$B:$O,5,FALSE),0)</f>
        <v>0</v>
      </c>
      <c r="AE99" s="10">
        <f>IFERROR(AVERAGE(VLOOKUP($P99,'PY Rushing'!$C:$P,8,FALSE)/VLOOKUP($P99,'PY Rushing'!$C:$P,5,FALSE),VLOOKUP($P99,'CY Rushing'!$C:$P,8,FALSE)/VLOOKUP($P99,'CY Rushing'!$C:$P,5,FALSE)),0)</f>
        <v>0</v>
      </c>
      <c r="AF99" s="10">
        <f>IFERROR(VLOOKUP($P99,'CY Rushing Query'!$B:$P,12,FALSE),0)</f>
        <v>0</v>
      </c>
      <c r="AG99" s="10">
        <f>IFERROR(VLOOKUP($P99,'CY Rushing Query'!$B:$P,9,FALSE)/VLOOKUP($P99,'CY Rushing Query'!$B:$P,5,FALSE),0)</f>
        <v>0</v>
      </c>
      <c r="AH99" s="10">
        <f>VLOOKUP($J99,'Vegas Odds'!$B:$S,18,FALSE)</f>
        <v>44.85966247691475</v>
      </c>
      <c r="AI99" s="10">
        <f>VLOOKUP($J99,'Vegas Odds'!$B:$S,17,FALSE)</f>
        <v>17.740337523085255</v>
      </c>
      <c r="AJ99">
        <f t="shared" si="39"/>
        <v>1</v>
      </c>
      <c r="AK99" s="10">
        <f t="shared" si="23"/>
        <v>0</v>
      </c>
      <c r="AL99" s="10">
        <f t="shared" si="24"/>
        <v>0</v>
      </c>
      <c r="AM99" s="10">
        <f>V99/'CY Defensive Stats Query'!$AD$34*'Fanduel Export'!Q99</f>
        <v>0</v>
      </c>
      <c r="AN99" s="10">
        <f t="shared" si="40"/>
        <v>0</v>
      </c>
      <c r="AO99" s="10">
        <f>IFERROR(IF(OR($B99="D",$B99="K"),0,VLOOKUP($P99,'CY Receving Query'!$B:$S,7,FALSE)/VLOOKUP($P99,'CY Receving Query'!$B:$S,5,FALSE)),0)*$AJ99</f>
        <v>0</v>
      </c>
      <c r="AP99" s="10">
        <f t="shared" si="25"/>
        <v>28.54982492997199</v>
      </c>
      <c r="AQ99" s="10">
        <f t="shared" si="26"/>
        <v>0</v>
      </c>
      <c r="AR99" s="16">
        <f t="shared" si="27"/>
        <v>0</v>
      </c>
      <c r="AS99" s="16">
        <f t="shared" si="28"/>
        <v>0</v>
      </c>
      <c r="AT99" s="16">
        <f>AA99/'CY Defensive Stats Query'!$AH$34
*'Fanduel Export'!S99</f>
        <v>0</v>
      </c>
      <c r="AU99" s="10">
        <f t="shared" si="41"/>
        <v>0</v>
      </c>
      <c r="AV99" s="10">
        <f t="shared" si="29"/>
        <v>0</v>
      </c>
      <c r="AW99" s="10">
        <f t="shared" si="30"/>
        <v>56.303606442577035</v>
      </c>
      <c r="AX99" s="10">
        <f t="shared" si="31"/>
        <v>0</v>
      </c>
      <c r="AY99" s="10">
        <f>AF99/'CY Defensive Stats Query'!$AF$34
*R99</f>
        <v>0</v>
      </c>
      <c r="AZ99" s="10">
        <f t="shared" si="42"/>
        <v>0</v>
      </c>
      <c r="BA99" s="16">
        <f t="shared" si="32"/>
        <v>0</v>
      </c>
      <c r="BB99" s="16">
        <f t="shared" si="33"/>
        <v>0</v>
      </c>
      <c r="BC99" s="10">
        <f t="shared" si="34"/>
        <v>0</v>
      </c>
      <c r="BD99" s="10">
        <f>IF(B99="QB",COUNTIFS($B$5:B99,B99,$J$5:J99,J99),1)</f>
        <v>1</v>
      </c>
      <c r="BE99" t="str">
        <f t="shared" si="35"/>
        <v>Trevon Grimes</v>
      </c>
      <c r="BF99">
        <f t="shared" si="36"/>
        <v>4500</v>
      </c>
      <c r="BG99" t="str">
        <f t="shared" si="37"/>
        <v>WR</v>
      </c>
      <c r="BH99" s="16">
        <f t="shared" si="38"/>
        <v>0</v>
      </c>
    </row>
    <row r="100" spans="1:60" x14ac:dyDescent="0.2">
      <c r="A100" t="s">
        <v>2866</v>
      </c>
      <c r="B100" t="s">
        <v>83</v>
      </c>
      <c r="C100" t="s">
        <v>2219</v>
      </c>
      <c r="D100" t="s">
        <v>2867</v>
      </c>
      <c r="E100" t="s">
        <v>2868</v>
      </c>
      <c r="F100">
        <v>0</v>
      </c>
      <c r="G100">
        <v>1</v>
      </c>
      <c r="H100">
        <v>4500</v>
      </c>
      <c r="I100" t="s">
        <v>2716</v>
      </c>
      <c r="J100" t="s">
        <v>81</v>
      </c>
      <c r="K100" t="s">
        <v>99</v>
      </c>
      <c r="O100" t="str">
        <f t="shared" si="22"/>
        <v>Dalton Schoen</v>
      </c>
      <c r="P100" t="str">
        <f>IFERROR(VLOOKUP(O:O,'Name Bridge'!A:B,2,FALSE),O:O)</f>
        <v>Dalton Schoen</v>
      </c>
      <c r="Q100" s="10">
        <f>VLOOKUP($K100,'CY Defensive Stats Query'!$AC:$AH,2,FALSE)</f>
        <v>7.5377358490566042</v>
      </c>
      <c r="R100" s="10">
        <f>VLOOKUP($K100,'CY Defensive Stats Query'!$AC:$AH,4,FALSE)</f>
        <v>3.5810810810810811</v>
      </c>
      <c r="S100" s="10">
        <f>VLOOKUP($K100,'CY Defensive Stats Query'!$AC:$AH,6,FALSE)</f>
        <v>11.097222222222221</v>
      </c>
      <c r="T100" s="10">
        <f>IFERROR(VLOOKUP($P100,'CYPassing Query'!$B:$AE,9,FALSE)/VLOOKUP($P100,'CYPassing Query'!$B:$AE,5,FALSE),0)</f>
        <v>0</v>
      </c>
      <c r="U100" s="10">
        <f>IFERROR(VLOOKUP($P100,'CYPassing Query'!$B:$AE,11,FALSE)/VLOOKUP($P100,'CYPassing Query'!$B:$AE,5,FALSE),0)</f>
        <v>0</v>
      </c>
      <c r="V100" s="10">
        <f>IFERROR(VLOOKUP($P100,'CYPassing Query'!$B:$AE,18,FALSE),0)</f>
        <v>0</v>
      </c>
      <c r="W100" s="10">
        <f>IFERROR(VLOOKUP($P100,'CYPassing Query'!$B:$AE,12,FALSE)/VLOOKUP($P100,'CYPassing Query'!$B:$AE,5,FALSE),0)</f>
        <v>0</v>
      </c>
      <c r="X100" s="10">
        <f>IFERROR(IF(OR($B100="D",$B100="K"),0,VLOOKUP($P100,'CY Receving Query'!$B:$S,7,FALSE)/VLOOKUP($P100,'CY Receving Query'!$B:$S,5,FALSE)),0)*$AJ100</f>
        <v>0</v>
      </c>
      <c r="Y100" s="10">
        <f>IFERROR(VLOOKUP($P100,'CY Receving Query'!$B:$S,8,FALSE)/VLOOKUP($P100,'CY Receving Query'!$B:$S,5,FALSE),0)</f>
        <v>0</v>
      </c>
      <c r="Z100" s="10">
        <f>IFERROR(VLOOKUP($P100,'CY Receving Query'!$B:$S,10,FALSE)/VLOOKUP($P100,'CY Receving Query'!$B:$S,5,FALSE),0)</f>
        <v>0</v>
      </c>
      <c r="AA100" s="10">
        <f>IFERROR(VLOOKUP($P100,'CY Receving Query'!$B:$S,11,FALSE),0)</f>
        <v>0</v>
      </c>
      <c r="AB100" s="10">
        <f>IFERROR(AVERAGE(VLOOKUP($P100,'PY Receiving'!$C:$T,14,FALSE),VLOOKUP($P100,'CY Receiving'!$C:$T,14,FALSE)),0)</f>
        <v>0</v>
      </c>
      <c r="AC100" s="10">
        <f>IFERROR(VLOOKUP($P100,'CY Receving Query'!$B:$S,11,FALSE)/VLOOKUP($P100,'CY Receving Query'!$B:$S,5,FALSE),0)</f>
        <v>0</v>
      </c>
      <c r="AD100" s="10">
        <f>IFERROR(VLOOKUP($P100,'CY Rushing Query'!$B:$O,7,FALSE)/VLOOKUP($P100,'CY Rushing Query'!$B:$O,5,FALSE),0)</f>
        <v>0</v>
      </c>
      <c r="AE100" s="10">
        <f>IFERROR(AVERAGE(VLOOKUP($P100,'PY Rushing'!$C:$P,8,FALSE)/VLOOKUP($P100,'PY Rushing'!$C:$P,5,FALSE),VLOOKUP($P100,'CY Rushing'!$C:$P,8,FALSE)/VLOOKUP($P100,'CY Rushing'!$C:$P,5,FALSE)),0)</f>
        <v>0</v>
      </c>
      <c r="AF100" s="10">
        <f>IFERROR(VLOOKUP($P100,'CY Rushing Query'!$B:$P,12,FALSE),0)</f>
        <v>0</v>
      </c>
      <c r="AG100" s="10">
        <f>IFERROR(VLOOKUP($P100,'CY Rushing Query'!$B:$P,9,FALSE)/VLOOKUP($P100,'CY Rushing Query'!$B:$P,5,FALSE),0)</f>
        <v>0</v>
      </c>
      <c r="AH100" s="10">
        <f>VLOOKUP($J100,'Vegas Odds'!$B:$S,18,FALSE)</f>
        <v>37.933262350936971</v>
      </c>
      <c r="AI100" s="10">
        <f>VLOOKUP($J100,'Vegas Odds'!$B:$S,17,FALSE)</f>
        <v>27.766737649063032</v>
      </c>
      <c r="AJ100">
        <f t="shared" si="39"/>
        <v>1</v>
      </c>
      <c r="AK100" s="10">
        <f t="shared" si="23"/>
        <v>0</v>
      </c>
      <c r="AL100" s="10">
        <f t="shared" si="24"/>
        <v>0</v>
      </c>
      <c r="AM100" s="10">
        <f>V100/'CY Defensive Stats Query'!$AD$34*'Fanduel Export'!Q100</f>
        <v>0</v>
      </c>
      <c r="AN100" s="10">
        <f t="shared" si="40"/>
        <v>0</v>
      </c>
      <c r="AO100" s="10">
        <f>IFERROR(IF(OR($B100="D",$B100="K"),0,VLOOKUP($P100,'CY Receving Query'!$B:$S,7,FALSE)/VLOOKUP($P100,'CY Receving Query'!$B:$S,5,FALSE)),0)*$AJ100</f>
        <v>0</v>
      </c>
      <c r="AP100" s="10">
        <f t="shared" si="25"/>
        <v>37.365221788015901</v>
      </c>
      <c r="AQ100" s="10">
        <f t="shared" si="26"/>
        <v>0</v>
      </c>
      <c r="AR100" s="16">
        <f t="shared" si="27"/>
        <v>0</v>
      </c>
      <c r="AS100" s="16">
        <f t="shared" si="28"/>
        <v>0</v>
      </c>
      <c r="AT100" s="16">
        <f>AA100/'CY Defensive Stats Query'!$AH$34
*'Fanduel Export'!S100</f>
        <v>0</v>
      </c>
      <c r="AU100" s="10">
        <f t="shared" si="41"/>
        <v>0</v>
      </c>
      <c r="AV100" s="10">
        <f t="shared" si="29"/>
        <v>0</v>
      </c>
      <c r="AW100" s="10">
        <f t="shared" si="30"/>
        <v>19.787381735911151</v>
      </c>
      <c r="AX100" s="10">
        <f t="shared" si="31"/>
        <v>0</v>
      </c>
      <c r="AY100" s="10">
        <f>AF100/'CY Defensive Stats Query'!$AF$34
*R100</f>
        <v>0</v>
      </c>
      <c r="AZ100" s="10">
        <f t="shared" si="42"/>
        <v>0</v>
      </c>
      <c r="BA100" s="16">
        <f t="shared" si="32"/>
        <v>0</v>
      </c>
      <c r="BB100" s="16">
        <f t="shared" si="33"/>
        <v>0</v>
      </c>
      <c r="BC100" s="10">
        <f t="shared" si="34"/>
        <v>0</v>
      </c>
      <c r="BD100" s="10">
        <f>IF(B100="QB",COUNTIFS($B$5:B100,B100,$J$5:J100,J100),1)</f>
        <v>1</v>
      </c>
      <c r="BE100" t="str">
        <f t="shared" si="35"/>
        <v>Dalton Schoen</v>
      </c>
      <c r="BF100">
        <f t="shared" si="36"/>
        <v>4500</v>
      </c>
      <c r="BG100" t="str">
        <f t="shared" si="37"/>
        <v>WR</v>
      </c>
      <c r="BH100" s="16">
        <f t="shared" si="38"/>
        <v>0</v>
      </c>
    </row>
    <row r="101" spans="1:60" x14ac:dyDescent="0.2">
      <c r="A101" t="s">
        <v>2869</v>
      </c>
      <c r="B101" t="s">
        <v>68</v>
      </c>
      <c r="C101" t="s">
        <v>2251</v>
      </c>
      <c r="D101" t="s">
        <v>2870</v>
      </c>
      <c r="E101" t="s">
        <v>2871</v>
      </c>
      <c r="F101">
        <v>0</v>
      </c>
      <c r="G101">
        <v>1</v>
      </c>
      <c r="H101">
        <v>4500</v>
      </c>
      <c r="I101" t="s">
        <v>2716</v>
      </c>
      <c r="J101" t="s">
        <v>81</v>
      </c>
      <c r="K101" t="s">
        <v>99</v>
      </c>
      <c r="O101" t="str">
        <f t="shared" si="22"/>
        <v>Elijah McGuire</v>
      </c>
      <c r="P101" t="str">
        <f>IFERROR(VLOOKUP(O:O,'Name Bridge'!A:B,2,FALSE),O:O)</f>
        <v>Elijah McGuire</v>
      </c>
      <c r="Q101" s="10">
        <f>VLOOKUP($K101,'CY Defensive Stats Query'!$AC:$AH,2,FALSE)</f>
        <v>7.5377358490566042</v>
      </c>
      <c r="R101" s="10">
        <f>VLOOKUP($K101,'CY Defensive Stats Query'!$AC:$AH,4,FALSE)</f>
        <v>3.5810810810810811</v>
      </c>
      <c r="S101" s="10">
        <f>VLOOKUP($K101,'CY Defensive Stats Query'!$AC:$AH,6,FALSE)</f>
        <v>11.097222222222221</v>
      </c>
      <c r="T101" s="10">
        <f>IFERROR(VLOOKUP($P101,'CYPassing Query'!$B:$AE,9,FALSE)/VLOOKUP($P101,'CYPassing Query'!$B:$AE,5,FALSE),0)</f>
        <v>0</v>
      </c>
      <c r="U101" s="10">
        <f>IFERROR(VLOOKUP($P101,'CYPassing Query'!$B:$AE,11,FALSE)/VLOOKUP($P101,'CYPassing Query'!$B:$AE,5,FALSE),0)</f>
        <v>0</v>
      </c>
      <c r="V101" s="10">
        <f>IFERROR(VLOOKUP($P101,'CYPassing Query'!$B:$AE,18,FALSE),0)</f>
        <v>0</v>
      </c>
      <c r="W101" s="10">
        <f>IFERROR(VLOOKUP($P101,'CYPassing Query'!$B:$AE,12,FALSE)/VLOOKUP($P101,'CYPassing Query'!$B:$AE,5,FALSE),0)</f>
        <v>0</v>
      </c>
      <c r="X101" s="10">
        <f>IFERROR(IF(OR($B101="D",$B101="K"),0,VLOOKUP($P101,'CY Receving Query'!$B:$S,7,FALSE)/VLOOKUP($P101,'CY Receving Query'!$B:$S,5,FALSE)),0)*$AJ101</f>
        <v>0</v>
      </c>
      <c r="Y101" s="10">
        <f>IFERROR(VLOOKUP($P101,'CY Receving Query'!$B:$S,8,FALSE)/VLOOKUP($P101,'CY Receving Query'!$B:$S,5,FALSE),0)</f>
        <v>0</v>
      </c>
      <c r="Z101" s="10">
        <f>IFERROR(VLOOKUP($P101,'CY Receving Query'!$B:$S,10,FALSE)/VLOOKUP($P101,'CY Receving Query'!$B:$S,5,FALSE),0)</f>
        <v>0</v>
      </c>
      <c r="AA101" s="10">
        <f>IFERROR(VLOOKUP($P101,'CY Receving Query'!$B:$S,11,FALSE),0)</f>
        <v>0</v>
      </c>
      <c r="AB101" s="10">
        <f>IFERROR(AVERAGE(VLOOKUP($P101,'PY Receiving'!$C:$T,14,FALSE),VLOOKUP($P101,'CY Receiving'!$C:$T,14,FALSE)),0)</f>
        <v>0</v>
      </c>
      <c r="AC101" s="10">
        <f>IFERROR(VLOOKUP($P101,'CY Receving Query'!$B:$S,11,FALSE)/VLOOKUP($P101,'CY Receving Query'!$B:$S,5,FALSE),0)</f>
        <v>0</v>
      </c>
      <c r="AD101" s="10">
        <f>IFERROR(VLOOKUP($P101,'CY Rushing Query'!$B:$O,7,FALSE)/VLOOKUP($P101,'CY Rushing Query'!$B:$O,5,FALSE),0)</f>
        <v>0</v>
      </c>
      <c r="AE101" s="10">
        <f>IFERROR(AVERAGE(VLOOKUP($P101,'PY Rushing'!$C:$P,8,FALSE)/VLOOKUP($P101,'PY Rushing'!$C:$P,5,FALSE),VLOOKUP($P101,'CY Rushing'!$C:$P,8,FALSE)/VLOOKUP($P101,'CY Rushing'!$C:$P,5,FALSE)),0)</f>
        <v>0</v>
      </c>
      <c r="AF101" s="10">
        <f>IFERROR(VLOOKUP($P101,'CY Rushing Query'!$B:$P,12,FALSE),0)</f>
        <v>0</v>
      </c>
      <c r="AG101" s="10">
        <f>IFERROR(VLOOKUP($P101,'CY Rushing Query'!$B:$P,9,FALSE)/VLOOKUP($P101,'CY Rushing Query'!$B:$P,5,FALSE),0)</f>
        <v>0</v>
      </c>
      <c r="AH101" s="10">
        <f>VLOOKUP($J101,'Vegas Odds'!$B:$S,18,FALSE)</f>
        <v>37.933262350936971</v>
      </c>
      <c r="AI101" s="10">
        <f>VLOOKUP($J101,'Vegas Odds'!$B:$S,17,FALSE)</f>
        <v>27.766737649063032</v>
      </c>
      <c r="AJ101">
        <f t="shared" si="39"/>
        <v>1</v>
      </c>
      <c r="AK101" s="10">
        <f t="shared" si="23"/>
        <v>0</v>
      </c>
      <c r="AL101" s="10">
        <f t="shared" si="24"/>
        <v>0</v>
      </c>
      <c r="AM101" s="10">
        <f>V101/'CY Defensive Stats Query'!$AD$34*'Fanduel Export'!Q101</f>
        <v>0</v>
      </c>
      <c r="AN101" s="10">
        <f t="shared" si="40"/>
        <v>0</v>
      </c>
      <c r="AO101" s="10">
        <f>IFERROR(IF(OR($B101="D",$B101="K"),0,VLOOKUP($P101,'CY Receving Query'!$B:$S,7,FALSE)/VLOOKUP($P101,'CY Receving Query'!$B:$S,5,FALSE)),0)*$AJ101</f>
        <v>0</v>
      </c>
      <c r="AP101" s="10">
        <f t="shared" si="25"/>
        <v>37.365221788015901</v>
      </c>
      <c r="AQ101" s="10">
        <f t="shared" si="26"/>
        <v>0</v>
      </c>
      <c r="AR101" s="16">
        <f t="shared" si="27"/>
        <v>0</v>
      </c>
      <c r="AS101" s="16">
        <f t="shared" si="28"/>
        <v>0</v>
      </c>
      <c r="AT101" s="16">
        <f>AA101/'CY Defensive Stats Query'!$AH$34
*'Fanduel Export'!S101</f>
        <v>0</v>
      </c>
      <c r="AU101" s="10">
        <f t="shared" si="41"/>
        <v>0</v>
      </c>
      <c r="AV101" s="10">
        <f t="shared" si="29"/>
        <v>0</v>
      </c>
      <c r="AW101" s="10">
        <f t="shared" si="30"/>
        <v>19.787381735911151</v>
      </c>
      <c r="AX101" s="10">
        <f t="shared" si="31"/>
        <v>0</v>
      </c>
      <c r="AY101" s="10">
        <f>AF101/'CY Defensive Stats Query'!$AF$34
*R101</f>
        <v>0</v>
      </c>
      <c r="AZ101" s="10">
        <f t="shared" si="42"/>
        <v>0</v>
      </c>
      <c r="BA101" s="16">
        <f t="shared" si="32"/>
        <v>0</v>
      </c>
      <c r="BB101" s="16">
        <f t="shared" si="33"/>
        <v>0</v>
      </c>
      <c r="BC101" s="10">
        <f t="shared" si="34"/>
        <v>0</v>
      </c>
      <c r="BD101" s="10">
        <f>IF(B101="QB",COUNTIFS($B$5:B101,B101,$J$5:J101,J101),1)</f>
        <v>1</v>
      </c>
      <c r="BE101" t="str">
        <f t="shared" si="35"/>
        <v>Elijah McGuire</v>
      </c>
      <c r="BF101">
        <f t="shared" si="36"/>
        <v>4500</v>
      </c>
      <c r="BG101" t="str">
        <f t="shared" si="37"/>
        <v>RB</v>
      </c>
      <c r="BH101" s="16">
        <f t="shared" si="38"/>
        <v>0</v>
      </c>
    </row>
    <row r="102" spans="1:60" hidden="1" x14ac:dyDescent="0.2">
      <c r="A102" t="s">
        <v>2872</v>
      </c>
      <c r="B102" t="s">
        <v>68</v>
      </c>
      <c r="C102" t="s">
        <v>2689</v>
      </c>
      <c r="D102" t="s">
        <v>199</v>
      </c>
      <c r="E102" t="s">
        <v>2690</v>
      </c>
      <c r="F102">
        <v>2</v>
      </c>
      <c r="G102">
        <v>1</v>
      </c>
      <c r="H102">
        <v>4500</v>
      </c>
      <c r="I102" t="s">
        <v>2718</v>
      </c>
      <c r="J102" t="s">
        <v>138</v>
      </c>
      <c r="K102" t="s">
        <v>729</v>
      </c>
      <c r="L102" t="s">
        <v>182</v>
      </c>
      <c r="M102" t="s">
        <v>2236</v>
      </c>
      <c r="O102" t="str">
        <f t="shared" si="22"/>
        <v>Raheem Mostert</v>
      </c>
      <c r="P102" t="str">
        <f>IFERROR(VLOOKUP(O:O,'Name Bridge'!A:B,2,FALSE),O:O)</f>
        <v>Raheem Mostert</v>
      </c>
      <c r="Q102" s="10">
        <f>VLOOKUP($K102,'CY Defensive Stats Query'!$AC:$AH,2,FALSE)</f>
        <v>7.6538461538461542</v>
      </c>
      <c r="R102" s="10">
        <f>VLOOKUP($K102,'CY Defensive Stats Query'!$AC:$AH,4,FALSE)</f>
        <v>4.6888888888888891</v>
      </c>
      <c r="S102" s="10">
        <f>VLOOKUP($K102,'CY Defensive Stats Query'!$AC:$AH,6,FALSE)</f>
        <v>11.306818181818182</v>
      </c>
      <c r="T102" s="10">
        <f>IFERROR(VLOOKUP($P102,'CYPassing Query'!$B:$AE,9,FALSE)/VLOOKUP($P102,'CYPassing Query'!$B:$AE,5,FALSE),0)</f>
        <v>0</v>
      </c>
      <c r="U102" s="10">
        <f>IFERROR(VLOOKUP($P102,'CYPassing Query'!$B:$AE,11,FALSE)/VLOOKUP($P102,'CYPassing Query'!$B:$AE,5,FALSE),0)</f>
        <v>0</v>
      </c>
      <c r="V102" s="10">
        <f>IFERROR(VLOOKUP($P102,'CYPassing Query'!$B:$AE,18,FALSE),0)</f>
        <v>0</v>
      </c>
      <c r="W102" s="10">
        <f>IFERROR(VLOOKUP($P102,'CYPassing Query'!$B:$AE,12,FALSE)/VLOOKUP($P102,'CYPassing Query'!$B:$AE,5,FALSE),0)</f>
        <v>0</v>
      </c>
      <c r="X102" s="10">
        <f>IFERROR(IF(OR($B102="D",$B102="K"),0,VLOOKUP($P102,'CY Receving Query'!$B:$S,7,FALSE)/VLOOKUP($P102,'CY Receving Query'!$B:$S,5,FALSE)),0)*$AJ102</f>
        <v>0</v>
      </c>
      <c r="Y102" s="10">
        <f>IFERROR(VLOOKUP($P102,'CY Receving Query'!$B:$S,8,FALSE)/VLOOKUP($P102,'CY Receving Query'!$B:$S,5,FALSE),0)</f>
        <v>0</v>
      </c>
      <c r="Z102" s="10">
        <f>IFERROR(VLOOKUP($P102,'CY Receving Query'!$B:$S,10,FALSE)/VLOOKUP($P102,'CY Receving Query'!$B:$S,5,FALSE),0)</f>
        <v>0</v>
      </c>
      <c r="AA102" s="10">
        <f>IFERROR(VLOOKUP($P102,'CY Receving Query'!$B:$S,11,FALSE),0)</f>
        <v>0</v>
      </c>
      <c r="AB102" s="10">
        <f>IFERROR(AVERAGE(VLOOKUP($P102,'PY Receiving'!$C:$T,14,FALSE),VLOOKUP($P102,'CY Receiving'!$C:$T,14,FALSE)),0)</f>
        <v>0</v>
      </c>
      <c r="AC102" s="10">
        <f>IFERROR(VLOOKUP($P102,'CY Receving Query'!$B:$S,11,FALSE)/VLOOKUP($P102,'CY Receving Query'!$B:$S,5,FALSE),0)</f>
        <v>0</v>
      </c>
      <c r="AD102" s="10">
        <f>IFERROR(VLOOKUP($P102,'CY Rushing Query'!$B:$O,7,FALSE)/VLOOKUP($P102,'CY Rushing Query'!$B:$O,5,FALSE),0)</f>
        <v>2</v>
      </c>
      <c r="AE102" s="10">
        <f>IFERROR(AVERAGE(VLOOKUP($P102,'PY Rushing'!$C:$P,8,FALSE)/VLOOKUP($P102,'PY Rushing'!$C:$P,5,FALSE),VLOOKUP($P102,'CY Rushing'!$C:$P,8,FALSE)/VLOOKUP($P102,'CY Rushing'!$C:$P,5,FALSE)),0)</f>
        <v>42.5625</v>
      </c>
      <c r="AF102" s="10">
        <f>IFERROR(VLOOKUP($P102,'CY Rushing Query'!$B:$P,12,FALSE),0)</f>
        <v>10</v>
      </c>
      <c r="AG102" s="10">
        <f>IFERROR(VLOOKUP($P102,'CY Rushing Query'!$B:$P,9,FALSE)/VLOOKUP($P102,'CY Rushing Query'!$B:$P,5,FALSE),0)</f>
        <v>0</v>
      </c>
      <c r="AH102" s="10">
        <f>VLOOKUP($J102,'Vegas Odds'!$B:$S,18,FALSE)</f>
        <v>32.679248170039784</v>
      </c>
      <c r="AI102" s="10">
        <f>VLOOKUP($J102,'Vegas Odds'!$B:$S,17,FALSE)</f>
        <v>32.620751829960213</v>
      </c>
      <c r="AJ102">
        <f t="shared" si="39"/>
        <v>0</v>
      </c>
      <c r="AK102" s="10">
        <f t="shared" si="23"/>
        <v>0</v>
      </c>
      <c r="AL102" s="10">
        <f t="shared" si="24"/>
        <v>0</v>
      </c>
      <c r="AM102" s="10">
        <f>V102/'CY Defensive Stats Query'!$AD$34*'Fanduel Export'!Q102</f>
        <v>0</v>
      </c>
      <c r="AN102" s="10">
        <f t="shared" si="40"/>
        <v>0</v>
      </c>
      <c r="AO102" s="10">
        <f>IFERROR(IF(OR($B102="D",$B102="K"),0,VLOOKUP($P102,'CY Receving Query'!$B:$S,7,FALSE)/VLOOKUP($P102,'CY Receving Query'!$B:$S,5,FALSE)),0)*$AJ102</f>
        <v>0</v>
      </c>
      <c r="AP102" s="10">
        <f t="shared" si="25"/>
        <v>29.704370384517439</v>
      </c>
      <c r="AQ102" s="10">
        <f t="shared" si="26"/>
        <v>0</v>
      </c>
      <c r="AR102" s="16">
        <f t="shared" si="27"/>
        <v>0</v>
      </c>
      <c r="AS102" s="16">
        <f t="shared" si="28"/>
        <v>0</v>
      </c>
      <c r="AT102" s="16">
        <f>AA102/'CY Defensive Stats Query'!$AH$34
*'Fanduel Export'!S102</f>
        <v>0</v>
      </c>
      <c r="AU102" s="10">
        <f t="shared" si="41"/>
        <v>0</v>
      </c>
      <c r="AV102" s="10">
        <f t="shared" si="29"/>
        <v>0</v>
      </c>
      <c r="AW102" s="10">
        <f t="shared" si="30"/>
        <v>40.335297300738475</v>
      </c>
      <c r="AX102" s="10">
        <f t="shared" si="31"/>
        <v>0</v>
      </c>
      <c r="AY102" s="10">
        <f>AF102/'CY Defensive Stats Query'!$AF$34
*R102</f>
        <v>11.33820459400707</v>
      </c>
      <c r="AZ102" s="10">
        <f t="shared" si="42"/>
        <v>0</v>
      </c>
      <c r="BA102" s="16">
        <f t="shared" si="32"/>
        <v>0</v>
      </c>
      <c r="BB102" s="16">
        <f t="shared" si="33"/>
        <v>0</v>
      </c>
      <c r="BC102" s="10">
        <f t="shared" si="34"/>
        <v>0</v>
      </c>
      <c r="BD102" s="10">
        <f>IF(B102="QB",COUNTIFS($B$5:B102,B102,$J$5:J102,J102),1)</f>
        <v>1</v>
      </c>
      <c r="BE102" t="str">
        <f t="shared" si="35"/>
        <v>Raheem Mostert</v>
      </c>
      <c r="BF102">
        <f t="shared" si="36"/>
        <v>4500</v>
      </c>
      <c r="BG102" t="str">
        <f t="shared" si="37"/>
        <v>RB</v>
      </c>
      <c r="BH102" s="16">
        <f t="shared" si="38"/>
        <v>0</v>
      </c>
    </row>
    <row r="103" spans="1:60" x14ac:dyDescent="0.2">
      <c r="A103" t="s">
        <v>2873</v>
      </c>
      <c r="B103" t="s">
        <v>83</v>
      </c>
      <c r="C103" t="s">
        <v>144</v>
      </c>
      <c r="D103" t="s">
        <v>518</v>
      </c>
      <c r="E103" t="s">
        <v>353</v>
      </c>
      <c r="F103">
        <v>2.5200000762939401</v>
      </c>
      <c r="G103">
        <v>5</v>
      </c>
      <c r="H103">
        <v>4500</v>
      </c>
      <c r="I103" t="s">
        <v>2718</v>
      </c>
      <c r="J103" t="s">
        <v>138</v>
      </c>
      <c r="K103" t="s">
        <v>729</v>
      </c>
      <c r="O103" t="str">
        <f t="shared" si="22"/>
        <v>Austin Mack</v>
      </c>
      <c r="P103" t="str">
        <f>IFERROR(VLOOKUP(O:O,'Name Bridge'!A:B,2,FALSE),O:O)</f>
        <v>Austin Mack</v>
      </c>
      <c r="Q103" s="10">
        <f>VLOOKUP($K103,'CY Defensive Stats Query'!$AC:$AH,2,FALSE)</f>
        <v>7.6538461538461542</v>
      </c>
      <c r="R103" s="10">
        <f>VLOOKUP($K103,'CY Defensive Stats Query'!$AC:$AH,4,FALSE)</f>
        <v>4.6888888888888891</v>
      </c>
      <c r="S103" s="10">
        <f>VLOOKUP($K103,'CY Defensive Stats Query'!$AC:$AH,6,FALSE)</f>
        <v>11.306818181818182</v>
      </c>
      <c r="T103" s="10">
        <f>IFERROR(VLOOKUP($P103,'CYPassing Query'!$B:$AE,9,FALSE)/VLOOKUP($P103,'CYPassing Query'!$B:$AE,5,FALSE),0)</f>
        <v>0</v>
      </c>
      <c r="U103" s="10">
        <f>IFERROR(VLOOKUP($P103,'CYPassing Query'!$B:$AE,11,FALSE)/VLOOKUP($P103,'CYPassing Query'!$B:$AE,5,FALSE),0)</f>
        <v>0</v>
      </c>
      <c r="V103" s="10">
        <f>IFERROR(VLOOKUP($P103,'CYPassing Query'!$B:$AE,18,FALSE),0)</f>
        <v>0</v>
      </c>
      <c r="W103" s="10">
        <f>IFERROR(VLOOKUP($P103,'CYPassing Query'!$B:$AE,12,FALSE)/VLOOKUP($P103,'CYPassing Query'!$B:$AE,5,FALSE),0)</f>
        <v>0</v>
      </c>
      <c r="X103" s="10">
        <f>IFERROR(IF(OR($B103="D",$B103="K"),0,VLOOKUP($P103,'CY Receving Query'!$B:$S,7,FALSE)/VLOOKUP($P103,'CY Receving Query'!$B:$S,5,FALSE)),0)*$AJ103</f>
        <v>0</v>
      </c>
      <c r="Y103" s="10">
        <f>IFERROR(VLOOKUP($P103,'CY Receving Query'!$B:$S,8,FALSE)/VLOOKUP($P103,'CY Receving Query'!$B:$S,5,FALSE),0)</f>
        <v>0</v>
      </c>
      <c r="Z103" s="10">
        <f>IFERROR(VLOOKUP($P103,'CY Receving Query'!$B:$S,10,FALSE)/VLOOKUP($P103,'CY Receving Query'!$B:$S,5,FALSE),0)</f>
        <v>0</v>
      </c>
      <c r="AA103" s="10">
        <f>IFERROR(VLOOKUP($P103,'CY Receving Query'!$B:$S,11,FALSE),0)</f>
        <v>0</v>
      </c>
      <c r="AB103" s="10">
        <f>IFERROR(AVERAGE(VLOOKUP($P103,'PY Receiving'!$C:$T,14,FALSE),VLOOKUP($P103,'CY Receiving'!$C:$T,14,FALSE)),0)</f>
        <v>0</v>
      </c>
      <c r="AC103" s="10">
        <f>IFERROR(VLOOKUP($P103,'CY Receving Query'!$B:$S,11,FALSE)/VLOOKUP($P103,'CY Receving Query'!$B:$S,5,FALSE),0)</f>
        <v>0</v>
      </c>
      <c r="AD103" s="10">
        <f>IFERROR(VLOOKUP($P103,'CY Rushing Query'!$B:$O,7,FALSE)/VLOOKUP($P103,'CY Rushing Query'!$B:$O,5,FALSE),0)</f>
        <v>0</v>
      </c>
      <c r="AE103" s="10">
        <f>IFERROR(AVERAGE(VLOOKUP($P103,'PY Rushing'!$C:$P,8,FALSE)/VLOOKUP($P103,'PY Rushing'!$C:$P,5,FALSE),VLOOKUP($P103,'CY Rushing'!$C:$P,8,FALSE)/VLOOKUP($P103,'CY Rushing'!$C:$P,5,FALSE)),0)</f>
        <v>0</v>
      </c>
      <c r="AF103" s="10">
        <f>IFERROR(VLOOKUP($P103,'CY Rushing Query'!$B:$P,12,FALSE),0)</f>
        <v>0</v>
      </c>
      <c r="AG103" s="10">
        <f>IFERROR(VLOOKUP($P103,'CY Rushing Query'!$B:$P,9,FALSE)/VLOOKUP($P103,'CY Rushing Query'!$B:$P,5,FALSE),0)</f>
        <v>0</v>
      </c>
      <c r="AH103" s="10">
        <f>VLOOKUP($J103,'Vegas Odds'!$B:$S,18,FALSE)</f>
        <v>32.679248170039784</v>
      </c>
      <c r="AI103" s="10">
        <f>VLOOKUP($J103,'Vegas Odds'!$B:$S,17,FALSE)</f>
        <v>32.620751829960213</v>
      </c>
      <c r="AJ103">
        <f t="shared" si="39"/>
        <v>1</v>
      </c>
      <c r="AK103" s="10">
        <f t="shared" si="23"/>
        <v>0</v>
      </c>
      <c r="AL103" s="10">
        <f t="shared" si="24"/>
        <v>0</v>
      </c>
      <c r="AM103" s="10">
        <f>V103/'CY Defensive Stats Query'!$AD$34*'Fanduel Export'!Q103</f>
        <v>0</v>
      </c>
      <c r="AN103" s="10">
        <f t="shared" si="40"/>
        <v>0</v>
      </c>
      <c r="AO103" s="10">
        <f>IFERROR(IF(OR($B103="D",$B103="K"),0,VLOOKUP($P103,'CY Receving Query'!$B:$S,7,FALSE)/VLOOKUP($P103,'CY Receving Query'!$B:$S,5,FALSE)),0)*$AJ103</f>
        <v>0</v>
      </c>
      <c r="AP103" s="10">
        <f t="shared" si="25"/>
        <v>29.704370384517439</v>
      </c>
      <c r="AQ103" s="10">
        <f t="shared" si="26"/>
        <v>0</v>
      </c>
      <c r="AR103" s="16">
        <f t="shared" si="27"/>
        <v>0</v>
      </c>
      <c r="AS103" s="16">
        <f t="shared" si="28"/>
        <v>0</v>
      </c>
      <c r="AT103" s="16">
        <f>AA103/'CY Defensive Stats Query'!$AH$34
*'Fanduel Export'!S103</f>
        <v>0</v>
      </c>
      <c r="AU103" s="10">
        <f t="shared" si="41"/>
        <v>0</v>
      </c>
      <c r="AV103" s="10">
        <f t="shared" si="29"/>
        <v>0</v>
      </c>
      <c r="AW103" s="10">
        <f t="shared" si="30"/>
        <v>40.335297300738475</v>
      </c>
      <c r="AX103" s="10">
        <f t="shared" si="31"/>
        <v>0</v>
      </c>
      <c r="AY103" s="10">
        <f>AF103/'CY Defensive Stats Query'!$AF$34
*R103</f>
        <v>0</v>
      </c>
      <c r="AZ103" s="10">
        <f t="shared" si="42"/>
        <v>0</v>
      </c>
      <c r="BA103" s="16">
        <f t="shared" si="32"/>
        <v>0</v>
      </c>
      <c r="BB103" s="16">
        <f t="shared" si="33"/>
        <v>0</v>
      </c>
      <c r="BC103" s="10">
        <f t="shared" si="34"/>
        <v>0</v>
      </c>
      <c r="BD103" s="10">
        <f>IF(B103="QB",COUNTIFS($B$5:B103,B103,$J$5:J103,J103),1)</f>
        <v>1</v>
      </c>
      <c r="BE103" t="str">
        <f t="shared" si="35"/>
        <v>Austin Mack</v>
      </c>
      <c r="BF103">
        <f t="shared" si="36"/>
        <v>4500</v>
      </c>
      <c r="BG103" t="str">
        <f t="shared" si="37"/>
        <v>WR</v>
      </c>
      <c r="BH103" s="16">
        <f t="shared" si="38"/>
        <v>0</v>
      </c>
    </row>
    <row r="104" spans="1:60" hidden="1" x14ac:dyDescent="0.2">
      <c r="A104" t="s">
        <v>2874</v>
      </c>
      <c r="B104" t="s">
        <v>68</v>
      </c>
      <c r="C104" t="s">
        <v>2207</v>
      </c>
      <c r="D104" t="s">
        <v>2696</v>
      </c>
      <c r="E104" t="s">
        <v>2697</v>
      </c>
      <c r="F104">
        <v>0</v>
      </c>
      <c r="G104">
        <v>1</v>
      </c>
      <c r="H104">
        <v>4500</v>
      </c>
      <c r="I104" t="s">
        <v>2718</v>
      </c>
      <c r="J104" t="s">
        <v>138</v>
      </c>
      <c r="K104" t="s">
        <v>729</v>
      </c>
      <c r="L104" t="s">
        <v>124</v>
      </c>
      <c r="M104" t="s">
        <v>210</v>
      </c>
      <c r="O104" t="str">
        <f t="shared" si="22"/>
        <v>Josh Hokit</v>
      </c>
      <c r="P104" t="str">
        <f>IFERROR(VLOOKUP(O:O,'Name Bridge'!A:B,2,FALSE),O:O)</f>
        <v>Josh Hokit</v>
      </c>
      <c r="Q104" s="10">
        <f>VLOOKUP($K104,'CY Defensive Stats Query'!$AC:$AH,2,FALSE)</f>
        <v>7.6538461538461542</v>
      </c>
      <c r="R104" s="10">
        <f>VLOOKUP($K104,'CY Defensive Stats Query'!$AC:$AH,4,FALSE)</f>
        <v>4.6888888888888891</v>
      </c>
      <c r="S104" s="10">
        <f>VLOOKUP($K104,'CY Defensive Stats Query'!$AC:$AH,6,FALSE)</f>
        <v>11.306818181818182</v>
      </c>
      <c r="T104" s="10">
        <f>IFERROR(VLOOKUP($P104,'CYPassing Query'!$B:$AE,9,FALSE)/VLOOKUP($P104,'CYPassing Query'!$B:$AE,5,FALSE),0)</f>
        <v>0</v>
      </c>
      <c r="U104" s="10">
        <f>IFERROR(VLOOKUP($P104,'CYPassing Query'!$B:$AE,11,FALSE)/VLOOKUP($P104,'CYPassing Query'!$B:$AE,5,FALSE),0)</f>
        <v>0</v>
      </c>
      <c r="V104" s="10">
        <f>IFERROR(VLOOKUP($P104,'CYPassing Query'!$B:$AE,18,FALSE),0)</f>
        <v>0</v>
      </c>
      <c r="W104" s="10">
        <f>IFERROR(VLOOKUP($P104,'CYPassing Query'!$B:$AE,12,FALSE)/VLOOKUP($P104,'CYPassing Query'!$B:$AE,5,FALSE),0)</f>
        <v>0</v>
      </c>
      <c r="X104" s="10">
        <f>IFERROR(IF(OR($B104="D",$B104="K"),0,VLOOKUP($P104,'CY Receving Query'!$B:$S,7,FALSE)/VLOOKUP($P104,'CY Receving Query'!$B:$S,5,FALSE)),0)*$AJ104</f>
        <v>0</v>
      </c>
      <c r="Y104" s="10">
        <f>IFERROR(VLOOKUP($P104,'CY Receving Query'!$B:$S,8,FALSE)/VLOOKUP($P104,'CY Receving Query'!$B:$S,5,FALSE),0)</f>
        <v>0</v>
      </c>
      <c r="Z104" s="10">
        <f>IFERROR(VLOOKUP($P104,'CY Receving Query'!$B:$S,10,FALSE)/VLOOKUP($P104,'CY Receving Query'!$B:$S,5,FALSE),0)</f>
        <v>0</v>
      </c>
      <c r="AA104" s="10">
        <f>IFERROR(VLOOKUP($P104,'CY Receving Query'!$B:$S,11,FALSE),0)</f>
        <v>0</v>
      </c>
      <c r="AB104" s="10">
        <f>IFERROR(AVERAGE(VLOOKUP($P104,'PY Receiving'!$C:$T,14,FALSE),VLOOKUP($P104,'CY Receiving'!$C:$T,14,FALSE)),0)</f>
        <v>0</v>
      </c>
      <c r="AC104" s="10">
        <f>IFERROR(VLOOKUP($P104,'CY Receving Query'!$B:$S,11,FALSE)/VLOOKUP($P104,'CY Receving Query'!$B:$S,5,FALSE),0)</f>
        <v>0</v>
      </c>
      <c r="AD104" s="10">
        <f>IFERROR(VLOOKUP($P104,'CY Rushing Query'!$B:$O,7,FALSE)/VLOOKUP($P104,'CY Rushing Query'!$B:$O,5,FALSE),0)</f>
        <v>0</v>
      </c>
      <c r="AE104" s="10">
        <f>IFERROR(AVERAGE(VLOOKUP($P104,'PY Rushing'!$C:$P,8,FALSE)/VLOOKUP($P104,'PY Rushing'!$C:$P,5,FALSE),VLOOKUP($P104,'CY Rushing'!$C:$P,8,FALSE)/VLOOKUP($P104,'CY Rushing'!$C:$P,5,FALSE)),0)</f>
        <v>0</v>
      </c>
      <c r="AF104" s="10">
        <f>IFERROR(VLOOKUP($P104,'CY Rushing Query'!$B:$P,12,FALSE),0)</f>
        <v>0</v>
      </c>
      <c r="AG104" s="10">
        <f>IFERROR(VLOOKUP($P104,'CY Rushing Query'!$B:$P,9,FALSE)/VLOOKUP($P104,'CY Rushing Query'!$B:$P,5,FALSE),0)</f>
        <v>0</v>
      </c>
      <c r="AH104" s="10">
        <f>VLOOKUP($J104,'Vegas Odds'!$B:$S,18,FALSE)</f>
        <v>32.679248170039784</v>
      </c>
      <c r="AI104" s="10">
        <f>VLOOKUP($J104,'Vegas Odds'!$B:$S,17,FALSE)</f>
        <v>32.620751829960213</v>
      </c>
      <c r="AJ104">
        <f t="shared" si="39"/>
        <v>0</v>
      </c>
      <c r="AK104" s="10">
        <f t="shared" si="23"/>
        <v>0</v>
      </c>
      <c r="AL104" s="10">
        <f t="shared" si="24"/>
        <v>0</v>
      </c>
      <c r="AM104" s="10">
        <f>V104/'CY Defensive Stats Query'!$AD$34*'Fanduel Export'!Q104</f>
        <v>0</v>
      </c>
      <c r="AN104" s="10">
        <f t="shared" si="40"/>
        <v>0</v>
      </c>
      <c r="AO104" s="10">
        <f>IFERROR(IF(OR($B104="D",$B104="K"),0,VLOOKUP($P104,'CY Receving Query'!$B:$S,7,FALSE)/VLOOKUP($P104,'CY Receving Query'!$B:$S,5,FALSE)),0)*$AJ104</f>
        <v>0</v>
      </c>
      <c r="AP104" s="10">
        <f t="shared" si="25"/>
        <v>29.704370384517439</v>
      </c>
      <c r="AQ104" s="10">
        <f t="shared" si="26"/>
        <v>0</v>
      </c>
      <c r="AR104" s="16">
        <f t="shared" si="27"/>
        <v>0</v>
      </c>
      <c r="AS104" s="16">
        <f t="shared" si="28"/>
        <v>0</v>
      </c>
      <c r="AT104" s="16">
        <f>AA104/'CY Defensive Stats Query'!$AH$34
*'Fanduel Export'!S104</f>
        <v>0</v>
      </c>
      <c r="AU104" s="10">
        <f t="shared" si="41"/>
        <v>0</v>
      </c>
      <c r="AV104" s="10">
        <f t="shared" si="29"/>
        <v>0</v>
      </c>
      <c r="AW104" s="10">
        <f t="shared" si="30"/>
        <v>40.335297300738475</v>
      </c>
      <c r="AX104" s="10">
        <f t="shared" si="31"/>
        <v>0</v>
      </c>
      <c r="AY104" s="10">
        <f>AF104/'CY Defensive Stats Query'!$AF$34
*R104</f>
        <v>0</v>
      </c>
      <c r="AZ104" s="10">
        <f t="shared" si="42"/>
        <v>0</v>
      </c>
      <c r="BA104" s="16">
        <f t="shared" si="32"/>
        <v>0</v>
      </c>
      <c r="BB104" s="16">
        <f t="shared" si="33"/>
        <v>0</v>
      </c>
      <c r="BC104" s="10">
        <f t="shared" si="34"/>
        <v>0</v>
      </c>
      <c r="BD104" s="10">
        <f>IF(B104="QB",COUNTIFS($B$5:B104,B104,$J$5:J104,J104),1)</f>
        <v>1</v>
      </c>
      <c r="BE104" t="str">
        <f t="shared" si="35"/>
        <v>Josh Hokit</v>
      </c>
      <c r="BF104">
        <f t="shared" si="36"/>
        <v>4500</v>
      </c>
      <c r="BG104" t="str">
        <f t="shared" si="37"/>
        <v>RB</v>
      </c>
      <c r="BH104" s="16">
        <f t="shared" si="38"/>
        <v>0</v>
      </c>
    </row>
    <row r="105" spans="1:60" x14ac:dyDescent="0.2">
      <c r="A105" t="s">
        <v>2875</v>
      </c>
      <c r="B105" t="s">
        <v>83</v>
      </c>
      <c r="C105" t="s">
        <v>219</v>
      </c>
      <c r="D105" t="s">
        <v>2461</v>
      </c>
      <c r="E105" t="s">
        <v>2512</v>
      </c>
      <c r="F105">
        <v>0</v>
      </c>
      <c r="G105">
        <v>5</v>
      </c>
      <c r="H105">
        <v>4500</v>
      </c>
      <c r="I105" t="s">
        <v>2718</v>
      </c>
      <c r="J105" t="s">
        <v>729</v>
      </c>
      <c r="K105" t="s">
        <v>138</v>
      </c>
      <c r="O105" t="str">
        <f t="shared" si="22"/>
        <v>C.J. Goodwin</v>
      </c>
      <c r="P105" t="str">
        <f>IFERROR(VLOOKUP(O:O,'Name Bridge'!A:B,2,FALSE),O:O)</f>
        <v>C.J. Goodwin</v>
      </c>
      <c r="Q105" s="10">
        <f>VLOOKUP($K105,'CY Defensive Stats Query'!$AC:$AH,2,FALSE)</f>
        <v>6.5263157894736841</v>
      </c>
      <c r="R105" s="10">
        <f>VLOOKUP($K105,'CY Defensive Stats Query'!$AC:$AH,4,FALSE)</f>
        <v>4.7051282051282053</v>
      </c>
      <c r="S105" s="10">
        <f>VLOOKUP($K105,'CY Defensive Stats Query'!$AC:$AH,6,FALSE)</f>
        <v>10.191780821917808</v>
      </c>
      <c r="T105" s="10">
        <f>IFERROR(VLOOKUP($P105,'CYPassing Query'!$B:$AE,9,FALSE)/VLOOKUP($P105,'CYPassing Query'!$B:$AE,5,FALSE),0)</f>
        <v>0</v>
      </c>
      <c r="U105" s="10">
        <f>IFERROR(VLOOKUP($P105,'CYPassing Query'!$B:$AE,11,FALSE)/VLOOKUP($P105,'CYPassing Query'!$B:$AE,5,FALSE),0)</f>
        <v>0</v>
      </c>
      <c r="V105" s="10">
        <f>IFERROR(VLOOKUP($P105,'CYPassing Query'!$B:$AE,18,FALSE),0)</f>
        <v>0</v>
      </c>
      <c r="W105" s="10">
        <f>IFERROR(VLOOKUP($P105,'CYPassing Query'!$B:$AE,12,FALSE)/VLOOKUP($P105,'CYPassing Query'!$B:$AE,5,FALSE),0)</f>
        <v>0</v>
      </c>
      <c r="X105" s="10">
        <f>IFERROR(IF(OR($B105="D",$B105="K"),0,VLOOKUP($P105,'CY Receving Query'!$B:$S,7,FALSE)/VLOOKUP($P105,'CY Receving Query'!$B:$S,5,FALSE)),0)*$AJ105</f>
        <v>0</v>
      </c>
      <c r="Y105" s="10">
        <f>IFERROR(VLOOKUP($P105,'CY Receving Query'!$B:$S,8,FALSE)/VLOOKUP($P105,'CY Receving Query'!$B:$S,5,FALSE),0)</f>
        <v>0</v>
      </c>
      <c r="Z105" s="10">
        <f>IFERROR(VLOOKUP($P105,'CY Receving Query'!$B:$S,10,FALSE)/VLOOKUP($P105,'CY Receving Query'!$B:$S,5,FALSE),0)</f>
        <v>0</v>
      </c>
      <c r="AA105" s="10">
        <f>IFERROR(VLOOKUP($P105,'CY Receving Query'!$B:$S,11,FALSE),0)</f>
        <v>0</v>
      </c>
      <c r="AB105" s="10">
        <f>IFERROR(AVERAGE(VLOOKUP($P105,'PY Receiving'!$C:$T,14,FALSE),VLOOKUP($P105,'CY Receiving'!$C:$T,14,FALSE)),0)</f>
        <v>0</v>
      </c>
      <c r="AC105" s="10">
        <f>IFERROR(VLOOKUP($P105,'CY Receving Query'!$B:$S,11,FALSE)/VLOOKUP($P105,'CY Receving Query'!$B:$S,5,FALSE),0)</f>
        <v>0</v>
      </c>
      <c r="AD105" s="10">
        <f>IFERROR(VLOOKUP($P105,'CY Rushing Query'!$B:$O,7,FALSE)/VLOOKUP($P105,'CY Rushing Query'!$B:$O,5,FALSE),0)</f>
        <v>0</v>
      </c>
      <c r="AE105" s="10">
        <f>IFERROR(AVERAGE(VLOOKUP($P105,'PY Rushing'!$C:$P,8,FALSE)/VLOOKUP($P105,'PY Rushing'!$C:$P,5,FALSE),VLOOKUP($P105,'CY Rushing'!$C:$P,8,FALSE)/VLOOKUP($P105,'CY Rushing'!$C:$P,5,FALSE)),0)</f>
        <v>0</v>
      </c>
      <c r="AF105" s="10">
        <f>IFERROR(VLOOKUP($P105,'CY Rushing Query'!$B:$P,12,FALSE),0)</f>
        <v>0</v>
      </c>
      <c r="AG105" s="10">
        <f>IFERROR(VLOOKUP($P105,'CY Rushing Query'!$B:$P,9,FALSE)/VLOOKUP($P105,'CY Rushing Query'!$B:$P,5,FALSE),0)</f>
        <v>0</v>
      </c>
      <c r="AH105" s="10">
        <f>VLOOKUP($J105,'Vegas Odds'!$B:$S,18,FALSE)</f>
        <v>38.06292701199007</v>
      </c>
      <c r="AI105" s="10">
        <f>VLOOKUP($J105,'Vegas Odds'!$B:$S,17,FALSE)</f>
        <v>29.237072988009928</v>
      </c>
      <c r="AJ105">
        <f t="shared" si="39"/>
        <v>1</v>
      </c>
      <c r="AK105" s="10">
        <f t="shared" si="23"/>
        <v>0</v>
      </c>
      <c r="AL105" s="10">
        <f t="shared" si="24"/>
        <v>0</v>
      </c>
      <c r="AM105" s="10">
        <f>V105/'CY Defensive Stats Query'!$AD$34*'Fanduel Export'!Q105</f>
        <v>0</v>
      </c>
      <c r="AN105" s="10">
        <f t="shared" si="40"/>
        <v>0</v>
      </c>
      <c r="AO105" s="10">
        <f>IFERROR(IF(OR($B105="D",$B105="K"),0,VLOOKUP($P105,'CY Receving Query'!$B:$S,7,FALSE)/VLOOKUP($P105,'CY Receving Query'!$B:$S,5,FALSE)),0)*$AJ105</f>
        <v>0</v>
      </c>
      <c r="AP105" s="10">
        <f t="shared" si="25"/>
        <v>30.199512497306614</v>
      </c>
      <c r="AQ105" s="10">
        <f t="shared" si="26"/>
        <v>0</v>
      </c>
      <c r="AR105" s="16">
        <f t="shared" si="27"/>
        <v>0</v>
      </c>
      <c r="AS105" s="16">
        <f t="shared" si="28"/>
        <v>0</v>
      </c>
      <c r="AT105" s="16">
        <f>AA105/'CY Defensive Stats Query'!$AH$34
*'Fanduel Export'!S105</f>
        <v>0</v>
      </c>
      <c r="AU105" s="10">
        <f t="shared" si="41"/>
        <v>0</v>
      </c>
      <c r="AV105" s="10">
        <f t="shared" si="29"/>
        <v>0</v>
      </c>
      <c r="AW105" s="10">
        <f t="shared" si="30"/>
        <v>30.007352941176471</v>
      </c>
      <c r="AX105" s="10">
        <f t="shared" si="31"/>
        <v>0</v>
      </c>
      <c r="AY105" s="10">
        <f>AF105/'CY Defensive Stats Query'!$AF$34
*R105</f>
        <v>0</v>
      </c>
      <c r="AZ105" s="10">
        <f t="shared" si="42"/>
        <v>0</v>
      </c>
      <c r="BA105" s="16">
        <f t="shared" si="32"/>
        <v>0</v>
      </c>
      <c r="BB105" s="16">
        <f t="shared" si="33"/>
        <v>0</v>
      </c>
      <c r="BC105" s="10">
        <f t="shared" si="34"/>
        <v>0</v>
      </c>
      <c r="BD105" s="10">
        <f>IF(B105="QB",COUNTIFS($B$5:B105,B105,$J$5:J105,J105),1)</f>
        <v>1</v>
      </c>
      <c r="BE105" t="str">
        <f t="shared" si="35"/>
        <v>C.J. Goodwin</v>
      </c>
      <c r="BF105">
        <f t="shared" si="36"/>
        <v>4500</v>
      </c>
      <c r="BG105" t="str">
        <f t="shared" si="37"/>
        <v>WR</v>
      </c>
      <c r="BH105" s="16">
        <f t="shared" si="38"/>
        <v>0</v>
      </c>
    </row>
    <row r="106" spans="1:60" x14ac:dyDescent="0.2">
      <c r="A106" t="s">
        <v>2876</v>
      </c>
      <c r="B106" t="s">
        <v>83</v>
      </c>
      <c r="C106" t="s">
        <v>2264</v>
      </c>
      <c r="D106" t="s">
        <v>2450</v>
      </c>
      <c r="E106" t="s">
        <v>2877</v>
      </c>
      <c r="F106">
        <v>0</v>
      </c>
      <c r="G106">
        <v>1</v>
      </c>
      <c r="H106">
        <v>4500</v>
      </c>
      <c r="I106" t="s">
        <v>2718</v>
      </c>
      <c r="J106" t="s">
        <v>729</v>
      </c>
      <c r="K106" t="s">
        <v>138</v>
      </c>
      <c r="O106" t="str">
        <f t="shared" si="22"/>
        <v>Stephen Guidry</v>
      </c>
      <c r="P106" t="str">
        <f>IFERROR(VLOOKUP(O:O,'Name Bridge'!A:B,2,FALSE),O:O)</f>
        <v>Stephen Guidry</v>
      </c>
      <c r="Q106" s="10">
        <f>VLOOKUP($K106,'CY Defensive Stats Query'!$AC:$AH,2,FALSE)</f>
        <v>6.5263157894736841</v>
      </c>
      <c r="R106" s="10">
        <f>VLOOKUP($K106,'CY Defensive Stats Query'!$AC:$AH,4,FALSE)</f>
        <v>4.7051282051282053</v>
      </c>
      <c r="S106" s="10">
        <f>VLOOKUP($K106,'CY Defensive Stats Query'!$AC:$AH,6,FALSE)</f>
        <v>10.191780821917808</v>
      </c>
      <c r="T106" s="10">
        <f>IFERROR(VLOOKUP($P106,'CYPassing Query'!$B:$AE,9,FALSE)/VLOOKUP($P106,'CYPassing Query'!$B:$AE,5,FALSE),0)</f>
        <v>0</v>
      </c>
      <c r="U106" s="10">
        <f>IFERROR(VLOOKUP($P106,'CYPassing Query'!$B:$AE,11,FALSE)/VLOOKUP($P106,'CYPassing Query'!$B:$AE,5,FALSE),0)</f>
        <v>0</v>
      </c>
      <c r="V106" s="10">
        <f>IFERROR(VLOOKUP($P106,'CYPassing Query'!$B:$AE,18,FALSE),0)</f>
        <v>0</v>
      </c>
      <c r="W106" s="10">
        <f>IFERROR(VLOOKUP($P106,'CYPassing Query'!$B:$AE,12,FALSE)/VLOOKUP($P106,'CYPassing Query'!$B:$AE,5,FALSE),0)</f>
        <v>0</v>
      </c>
      <c r="X106" s="10">
        <f>IFERROR(IF(OR($B106="D",$B106="K"),0,VLOOKUP($P106,'CY Receving Query'!$B:$S,7,FALSE)/VLOOKUP($P106,'CY Receving Query'!$B:$S,5,FALSE)),0)*$AJ106</f>
        <v>0</v>
      </c>
      <c r="Y106" s="10">
        <f>IFERROR(VLOOKUP($P106,'CY Receving Query'!$B:$S,8,FALSE)/VLOOKUP($P106,'CY Receving Query'!$B:$S,5,FALSE),0)</f>
        <v>0</v>
      </c>
      <c r="Z106" s="10">
        <f>IFERROR(VLOOKUP($P106,'CY Receving Query'!$B:$S,10,FALSE)/VLOOKUP($P106,'CY Receving Query'!$B:$S,5,FALSE),0)</f>
        <v>0</v>
      </c>
      <c r="AA106" s="10">
        <f>IFERROR(VLOOKUP($P106,'CY Receving Query'!$B:$S,11,FALSE),0)</f>
        <v>0</v>
      </c>
      <c r="AB106" s="10">
        <f>IFERROR(AVERAGE(VLOOKUP($P106,'PY Receiving'!$C:$T,14,FALSE),VLOOKUP($P106,'CY Receiving'!$C:$T,14,FALSE)),0)</f>
        <v>0</v>
      </c>
      <c r="AC106" s="10">
        <f>IFERROR(VLOOKUP($P106,'CY Receving Query'!$B:$S,11,FALSE)/VLOOKUP($P106,'CY Receving Query'!$B:$S,5,FALSE),0)</f>
        <v>0</v>
      </c>
      <c r="AD106" s="10">
        <f>IFERROR(VLOOKUP($P106,'CY Rushing Query'!$B:$O,7,FALSE)/VLOOKUP($P106,'CY Rushing Query'!$B:$O,5,FALSE),0)</f>
        <v>0</v>
      </c>
      <c r="AE106" s="10">
        <f>IFERROR(AVERAGE(VLOOKUP($P106,'PY Rushing'!$C:$P,8,FALSE)/VLOOKUP($P106,'PY Rushing'!$C:$P,5,FALSE),VLOOKUP($P106,'CY Rushing'!$C:$P,8,FALSE)/VLOOKUP($P106,'CY Rushing'!$C:$P,5,FALSE)),0)</f>
        <v>0</v>
      </c>
      <c r="AF106" s="10">
        <f>IFERROR(VLOOKUP($P106,'CY Rushing Query'!$B:$P,12,FALSE),0)</f>
        <v>0</v>
      </c>
      <c r="AG106" s="10">
        <f>IFERROR(VLOOKUP($P106,'CY Rushing Query'!$B:$P,9,FALSE)/VLOOKUP($P106,'CY Rushing Query'!$B:$P,5,FALSE),0)</f>
        <v>0</v>
      </c>
      <c r="AH106" s="10">
        <f>VLOOKUP($J106,'Vegas Odds'!$B:$S,18,FALSE)</f>
        <v>38.06292701199007</v>
      </c>
      <c r="AI106" s="10">
        <f>VLOOKUP($J106,'Vegas Odds'!$B:$S,17,FALSE)</f>
        <v>29.237072988009928</v>
      </c>
      <c r="AJ106">
        <f t="shared" si="39"/>
        <v>1</v>
      </c>
      <c r="AK106" s="10">
        <f t="shared" si="23"/>
        <v>0</v>
      </c>
      <c r="AL106" s="10">
        <f t="shared" si="24"/>
        <v>0</v>
      </c>
      <c r="AM106" s="10">
        <f>V106/'CY Defensive Stats Query'!$AD$34*'Fanduel Export'!Q106</f>
        <v>0</v>
      </c>
      <c r="AN106" s="10">
        <f t="shared" si="40"/>
        <v>0</v>
      </c>
      <c r="AO106" s="10">
        <f>IFERROR(IF(OR($B106="D",$B106="K"),0,VLOOKUP($P106,'CY Receving Query'!$B:$S,7,FALSE)/VLOOKUP($P106,'CY Receving Query'!$B:$S,5,FALSE)),0)*$AJ106</f>
        <v>0</v>
      </c>
      <c r="AP106" s="10">
        <f t="shared" si="25"/>
        <v>30.199512497306614</v>
      </c>
      <c r="AQ106" s="10">
        <f t="shared" si="26"/>
        <v>0</v>
      </c>
      <c r="AR106" s="16">
        <f t="shared" si="27"/>
        <v>0</v>
      </c>
      <c r="AS106" s="16">
        <f t="shared" si="28"/>
        <v>0</v>
      </c>
      <c r="AT106" s="16">
        <f>AA106/'CY Defensive Stats Query'!$AH$34
*'Fanduel Export'!S106</f>
        <v>0</v>
      </c>
      <c r="AU106" s="10">
        <f t="shared" si="41"/>
        <v>0</v>
      </c>
      <c r="AV106" s="10">
        <f t="shared" si="29"/>
        <v>0</v>
      </c>
      <c r="AW106" s="10">
        <f t="shared" si="30"/>
        <v>30.007352941176471</v>
      </c>
      <c r="AX106" s="10">
        <f t="shared" si="31"/>
        <v>0</v>
      </c>
      <c r="AY106" s="10">
        <f>AF106/'CY Defensive Stats Query'!$AF$34
*R106</f>
        <v>0</v>
      </c>
      <c r="AZ106" s="10">
        <f t="shared" si="42"/>
        <v>0</v>
      </c>
      <c r="BA106" s="16">
        <f t="shared" si="32"/>
        <v>0</v>
      </c>
      <c r="BB106" s="16">
        <f t="shared" si="33"/>
        <v>0</v>
      </c>
      <c r="BC106" s="10">
        <f t="shared" si="34"/>
        <v>0</v>
      </c>
      <c r="BD106" s="10">
        <f>IF(B106="QB",COUNTIFS($B$5:B106,B106,$J$5:J106,J106),1)</f>
        <v>1</v>
      </c>
      <c r="BE106" t="str">
        <f t="shared" si="35"/>
        <v>Stephen Guidry</v>
      </c>
      <c r="BF106">
        <f t="shared" si="36"/>
        <v>4500</v>
      </c>
      <c r="BG106" t="str">
        <f t="shared" si="37"/>
        <v>WR</v>
      </c>
      <c r="BH106" s="16">
        <f t="shared" si="38"/>
        <v>0</v>
      </c>
    </row>
    <row r="107" spans="1:60" x14ac:dyDescent="0.2">
      <c r="A107" t="s">
        <v>2878</v>
      </c>
      <c r="B107" t="s">
        <v>83</v>
      </c>
      <c r="C107" t="s">
        <v>2282</v>
      </c>
      <c r="D107" t="s">
        <v>2343</v>
      </c>
      <c r="E107" t="s">
        <v>2879</v>
      </c>
      <c r="F107">
        <v>0</v>
      </c>
      <c r="G107">
        <v>1</v>
      </c>
      <c r="H107">
        <v>4500</v>
      </c>
      <c r="I107" t="s">
        <v>2720</v>
      </c>
      <c r="J107" t="s">
        <v>102</v>
      </c>
      <c r="K107" t="s">
        <v>728</v>
      </c>
      <c r="O107" t="str">
        <f t="shared" si="22"/>
        <v>Deon Cain</v>
      </c>
      <c r="P107" t="str">
        <f>IFERROR(VLOOKUP(O:O,'Name Bridge'!A:B,2,FALSE),O:O)</f>
        <v>Deon Cain</v>
      </c>
      <c r="Q107" s="10">
        <f>VLOOKUP($K107,'CY Defensive Stats Query'!$AC:$AH,2,FALSE)</f>
        <v>7.0486111111111107</v>
      </c>
      <c r="R107" s="10">
        <f>VLOOKUP($K107,'CY Defensive Stats Query'!$AC:$AH,4,FALSE)</f>
        <v>3.0806451612903225</v>
      </c>
      <c r="S107" s="10">
        <f>VLOOKUP($K107,'CY Defensive Stats Query'!$AC:$AH,6,FALSE)</f>
        <v>9.759615384615385</v>
      </c>
      <c r="T107" s="10">
        <f>IFERROR(VLOOKUP($P107,'CYPassing Query'!$B:$AE,9,FALSE)/VLOOKUP($P107,'CYPassing Query'!$B:$AE,5,FALSE),0)</f>
        <v>0</v>
      </c>
      <c r="U107" s="10">
        <f>IFERROR(VLOOKUP($P107,'CYPassing Query'!$B:$AE,11,FALSE)/VLOOKUP($P107,'CYPassing Query'!$B:$AE,5,FALSE),0)</f>
        <v>0</v>
      </c>
      <c r="V107" s="10">
        <f>IFERROR(VLOOKUP($P107,'CYPassing Query'!$B:$AE,18,FALSE),0)</f>
        <v>0</v>
      </c>
      <c r="W107" s="10">
        <f>IFERROR(VLOOKUP($P107,'CYPassing Query'!$B:$AE,12,FALSE)/VLOOKUP($P107,'CYPassing Query'!$B:$AE,5,FALSE),0)</f>
        <v>0</v>
      </c>
      <c r="X107" s="10">
        <f>IFERROR(IF(OR($B107="D",$B107="K"),0,VLOOKUP($P107,'CY Receving Query'!$B:$S,7,FALSE)/VLOOKUP($P107,'CY Receving Query'!$B:$S,5,FALSE)),0)*$AJ107</f>
        <v>0</v>
      </c>
      <c r="Y107" s="10">
        <f>IFERROR(VLOOKUP($P107,'CY Receving Query'!$B:$S,8,FALSE)/VLOOKUP($P107,'CY Receving Query'!$B:$S,5,FALSE),0)</f>
        <v>0</v>
      </c>
      <c r="Z107" s="10">
        <f>IFERROR(VLOOKUP($P107,'CY Receving Query'!$B:$S,10,FALSE)/VLOOKUP($P107,'CY Receving Query'!$B:$S,5,FALSE),0)</f>
        <v>0</v>
      </c>
      <c r="AA107" s="10">
        <f>IFERROR(VLOOKUP($P107,'CY Receving Query'!$B:$S,11,FALSE),0)</f>
        <v>0</v>
      </c>
      <c r="AB107" s="10">
        <f>IFERROR(AVERAGE(VLOOKUP($P107,'PY Receiving'!$C:$T,14,FALSE),VLOOKUP($P107,'CY Receiving'!$C:$T,14,FALSE)),0)</f>
        <v>0</v>
      </c>
      <c r="AC107" s="10">
        <f>IFERROR(VLOOKUP($P107,'CY Receving Query'!$B:$S,11,FALSE)/VLOOKUP($P107,'CY Receving Query'!$B:$S,5,FALSE),0)</f>
        <v>0</v>
      </c>
      <c r="AD107" s="10">
        <f>IFERROR(VLOOKUP($P107,'CY Rushing Query'!$B:$O,7,FALSE)/VLOOKUP($P107,'CY Rushing Query'!$B:$O,5,FALSE),0)</f>
        <v>0</v>
      </c>
      <c r="AE107" s="10">
        <f>IFERROR(AVERAGE(VLOOKUP($P107,'PY Rushing'!$C:$P,8,FALSE)/VLOOKUP($P107,'PY Rushing'!$C:$P,5,FALSE),VLOOKUP($P107,'CY Rushing'!$C:$P,8,FALSE)/VLOOKUP($P107,'CY Rushing'!$C:$P,5,FALSE)),0)</f>
        <v>0</v>
      </c>
      <c r="AF107" s="10">
        <f>IFERROR(VLOOKUP($P107,'CY Rushing Query'!$B:$P,12,FALSE),0)</f>
        <v>0</v>
      </c>
      <c r="AG107" s="10">
        <f>IFERROR(VLOOKUP($P107,'CY Rushing Query'!$B:$P,9,FALSE)/VLOOKUP($P107,'CY Rushing Query'!$B:$P,5,FALSE),0)</f>
        <v>0</v>
      </c>
      <c r="AH107" s="10">
        <f>VLOOKUP($J107,'Vegas Odds'!$B:$S,18,FALSE)</f>
        <v>44.85966247691475</v>
      </c>
      <c r="AI107" s="10">
        <f>VLOOKUP($J107,'Vegas Odds'!$B:$S,17,FALSE)</f>
        <v>17.740337523085255</v>
      </c>
      <c r="AJ107">
        <f t="shared" si="39"/>
        <v>1</v>
      </c>
      <c r="AK107" s="10">
        <f t="shared" si="23"/>
        <v>0</v>
      </c>
      <c r="AL107" s="10">
        <f t="shared" si="24"/>
        <v>0</v>
      </c>
      <c r="AM107" s="10">
        <f>V107/'CY Defensive Stats Query'!$AD$34*'Fanduel Export'!Q107</f>
        <v>0</v>
      </c>
      <c r="AN107" s="10">
        <f t="shared" si="40"/>
        <v>0</v>
      </c>
      <c r="AO107" s="10">
        <f>IFERROR(IF(OR($B107="D",$B107="K"),0,VLOOKUP($P107,'CY Receving Query'!$B:$S,7,FALSE)/VLOOKUP($P107,'CY Receving Query'!$B:$S,5,FALSE)),0)*$AJ107</f>
        <v>0</v>
      </c>
      <c r="AP107" s="10">
        <f t="shared" si="25"/>
        <v>28.54982492997199</v>
      </c>
      <c r="AQ107" s="10">
        <f t="shared" si="26"/>
        <v>0</v>
      </c>
      <c r="AR107" s="16">
        <f t="shared" si="27"/>
        <v>0</v>
      </c>
      <c r="AS107" s="16">
        <f t="shared" si="28"/>
        <v>0</v>
      </c>
      <c r="AT107" s="16">
        <f>AA107/'CY Defensive Stats Query'!$AH$34
*'Fanduel Export'!S107</f>
        <v>0</v>
      </c>
      <c r="AU107" s="10">
        <f t="shared" si="41"/>
        <v>0</v>
      </c>
      <c r="AV107" s="10">
        <f t="shared" si="29"/>
        <v>0</v>
      </c>
      <c r="AW107" s="10">
        <f t="shared" si="30"/>
        <v>56.303606442577035</v>
      </c>
      <c r="AX107" s="10">
        <f t="shared" si="31"/>
        <v>0</v>
      </c>
      <c r="AY107" s="10">
        <f>AF107/'CY Defensive Stats Query'!$AF$34
*R107</f>
        <v>0</v>
      </c>
      <c r="AZ107" s="10">
        <f t="shared" si="42"/>
        <v>0</v>
      </c>
      <c r="BA107" s="16">
        <f t="shared" si="32"/>
        <v>0</v>
      </c>
      <c r="BB107" s="16">
        <f t="shared" si="33"/>
        <v>0</v>
      </c>
      <c r="BC107" s="10">
        <f t="shared" si="34"/>
        <v>0</v>
      </c>
      <c r="BD107" s="10">
        <f>IF(B107="QB",COUNTIFS($B$5:B107,B107,$J$5:J107,J107),1)</f>
        <v>1</v>
      </c>
      <c r="BE107" t="str">
        <f t="shared" si="35"/>
        <v>Deon Cain</v>
      </c>
      <c r="BF107">
        <f t="shared" si="36"/>
        <v>4500</v>
      </c>
      <c r="BG107" t="str">
        <f t="shared" si="37"/>
        <v>WR</v>
      </c>
      <c r="BH107" s="16">
        <f t="shared" si="38"/>
        <v>0</v>
      </c>
    </row>
    <row r="108" spans="1:60" x14ac:dyDescent="0.2">
      <c r="A108" t="s">
        <v>2880</v>
      </c>
      <c r="B108" t="s">
        <v>83</v>
      </c>
      <c r="C108" t="s">
        <v>2281</v>
      </c>
      <c r="D108" t="s">
        <v>2335</v>
      </c>
      <c r="E108" t="s">
        <v>248</v>
      </c>
      <c r="H108">
        <v>4500</v>
      </c>
      <c r="I108" t="s">
        <v>2716</v>
      </c>
      <c r="J108" t="s">
        <v>81</v>
      </c>
      <c r="K108" t="s">
        <v>99</v>
      </c>
      <c r="L108" t="s">
        <v>94</v>
      </c>
      <c r="M108" t="s">
        <v>210</v>
      </c>
      <c r="O108" t="str">
        <f t="shared" si="22"/>
        <v>Chad Williams</v>
      </c>
      <c r="P108" t="str">
        <f>IFERROR(VLOOKUP(O:O,'Name Bridge'!A:B,2,FALSE),O:O)</f>
        <v>Chad Williams</v>
      </c>
      <c r="Q108" s="10">
        <f>VLOOKUP($K108,'CY Defensive Stats Query'!$AC:$AH,2,FALSE)</f>
        <v>7.5377358490566042</v>
      </c>
      <c r="R108" s="10">
        <f>VLOOKUP($K108,'CY Defensive Stats Query'!$AC:$AH,4,FALSE)</f>
        <v>3.5810810810810811</v>
      </c>
      <c r="S108" s="10">
        <f>VLOOKUP($K108,'CY Defensive Stats Query'!$AC:$AH,6,FALSE)</f>
        <v>11.097222222222221</v>
      </c>
      <c r="T108" s="10">
        <f>IFERROR(VLOOKUP($P108,'CYPassing Query'!$B:$AE,9,FALSE)/VLOOKUP($P108,'CYPassing Query'!$B:$AE,5,FALSE),0)</f>
        <v>0</v>
      </c>
      <c r="U108" s="10">
        <f>IFERROR(VLOOKUP($P108,'CYPassing Query'!$B:$AE,11,FALSE)/VLOOKUP($P108,'CYPassing Query'!$B:$AE,5,FALSE),0)</f>
        <v>0</v>
      </c>
      <c r="V108" s="10">
        <f>IFERROR(VLOOKUP($P108,'CYPassing Query'!$B:$AE,18,FALSE),0)</f>
        <v>0</v>
      </c>
      <c r="W108" s="10">
        <f>IFERROR(VLOOKUP($P108,'CYPassing Query'!$B:$AE,12,FALSE)/VLOOKUP($P108,'CYPassing Query'!$B:$AE,5,FALSE),0)</f>
        <v>0</v>
      </c>
      <c r="X108" s="10">
        <f>IFERROR(IF(OR($B108="D",$B108="K"),0,VLOOKUP($P108,'CY Receving Query'!$B:$S,7,FALSE)/VLOOKUP($P108,'CY Receving Query'!$B:$S,5,FALSE)),0)*$AJ108</f>
        <v>0</v>
      </c>
      <c r="Y108" s="10">
        <f>IFERROR(VLOOKUP($P108,'CY Receving Query'!$B:$S,8,FALSE)/VLOOKUP($P108,'CY Receving Query'!$B:$S,5,FALSE),0)</f>
        <v>0</v>
      </c>
      <c r="Z108" s="10">
        <f>IFERROR(VLOOKUP($P108,'CY Receving Query'!$B:$S,10,FALSE)/VLOOKUP($P108,'CY Receving Query'!$B:$S,5,FALSE),0)</f>
        <v>0</v>
      </c>
      <c r="AA108" s="10">
        <f>IFERROR(VLOOKUP($P108,'CY Receving Query'!$B:$S,11,FALSE),0)</f>
        <v>0</v>
      </c>
      <c r="AB108" s="10">
        <f>IFERROR(AVERAGE(VLOOKUP($P108,'PY Receiving'!$C:$T,14,FALSE),VLOOKUP($P108,'CY Receiving'!$C:$T,14,FALSE)),0)</f>
        <v>0</v>
      </c>
      <c r="AC108" s="10">
        <f>IFERROR(VLOOKUP($P108,'CY Receving Query'!$B:$S,11,FALSE)/VLOOKUP($P108,'CY Receving Query'!$B:$S,5,FALSE),0)</f>
        <v>0</v>
      </c>
      <c r="AD108" s="10">
        <f>IFERROR(VLOOKUP($P108,'CY Rushing Query'!$B:$O,7,FALSE)/VLOOKUP($P108,'CY Rushing Query'!$B:$O,5,FALSE),0)</f>
        <v>0</v>
      </c>
      <c r="AE108" s="10">
        <f>IFERROR(AVERAGE(VLOOKUP($P108,'PY Rushing'!$C:$P,8,FALSE)/VLOOKUP($P108,'PY Rushing'!$C:$P,5,FALSE),VLOOKUP($P108,'CY Rushing'!$C:$P,8,FALSE)/VLOOKUP($P108,'CY Rushing'!$C:$P,5,FALSE)),0)</f>
        <v>0</v>
      </c>
      <c r="AF108" s="10">
        <f>IFERROR(VLOOKUP($P108,'CY Rushing Query'!$B:$P,12,FALSE),0)</f>
        <v>0</v>
      </c>
      <c r="AG108" s="10">
        <f>IFERROR(VLOOKUP($P108,'CY Rushing Query'!$B:$P,9,FALSE)/VLOOKUP($P108,'CY Rushing Query'!$B:$P,5,FALSE),0)</f>
        <v>0</v>
      </c>
      <c r="AH108" s="10">
        <f>VLOOKUP($J108,'Vegas Odds'!$B:$S,18,FALSE)</f>
        <v>37.933262350936971</v>
      </c>
      <c r="AI108" s="10">
        <f>VLOOKUP($J108,'Vegas Odds'!$B:$S,17,FALSE)</f>
        <v>27.766737649063032</v>
      </c>
      <c r="AJ108">
        <f t="shared" si="39"/>
        <v>1</v>
      </c>
      <c r="AK108" s="10">
        <f t="shared" si="23"/>
        <v>0</v>
      </c>
      <c r="AL108" s="10">
        <f t="shared" si="24"/>
        <v>0</v>
      </c>
      <c r="AM108" s="10">
        <f>V108/'CY Defensive Stats Query'!$AD$34*'Fanduel Export'!Q108</f>
        <v>0</v>
      </c>
      <c r="AN108" s="10">
        <f t="shared" si="40"/>
        <v>0</v>
      </c>
      <c r="AO108" s="10">
        <f>IFERROR(IF(OR($B108="D",$B108="K"),0,VLOOKUP($P108,'CY Receving Query'!$B:$S,7,FALSE)/VLOOKUP($P108,'CY Receving Query'!$B:$S,5,FALSE)),0)*$AJ108</f>
        <v>0</v>
      </c>
      <c r="AP108" s="10">
        <f t="shared" si="25"/>
        <v>37.365221788015901</v>
      </c>
      <c r="AQ108" s="10">
        <f t="shared" si="26"/>
        <v>0</v>
      </c>
      <c r="AR108" s="16">
        <f t="shared" si="27"/>
        <v>0</v>
      </c>
      <c r="AS108" s="16">
        <f t="shared" si="28"/>
        <v>0</v>
      </c>
      <c r="AT108" s="16">
        <f>AA108/'CY Defensive Stats Query'!$AH$34
*'Fanduel Export'!S108</f>
        <v>0</v>
      </c>
      <c r="AU108" s="10">
        <f t="shared" si="41"/>
        <v>0</v>
      </c>
      <c r="AV108" s="10">
        <f t="shared" si="29"/>
        <v>0</v>
      </c>
      <c r="AW108" s="10">
        <f t="shared" si="30"/>
        <v>19.787381735911151</v>
      </c>
      <c r="AX108" s="10">
        <f t="shared" si="31"/>
        <v>0</v>
      </c>
      <c r="AY108" s="10">
        <f>AF108/'CY Defensive Stats Query'!$AF$34
*R108</f>
        <v>0</v>
      </c>
      <c r="AZ108" s="10">
        <f t="shared" si="42"/>
        <v>0</v>
      </c>
      <c r="BA108" s="16">
        <f t="shared" si="32"/>
        <v>0</v>
      </c>
      <c r="BB108" s="16">
        <f t="shared" si="33"/>
        <v>0</v>
      </c>
      <c r="BC108" s="10">
        <f t="shared" si="34"/>
        <v>0</v>
      </c>
      <c r="BD108" s="10">
        <f>IF(B108="QB",COUNTIFS($B$5:B108,B108,$J$5:J108,J108),1)</f>
        <v>1</v>
      </c>
      <c r="BE108" t="str">
        <f t="shared" si="35"/>
        <v>Chad Williams</v>
      </c>
      <c r="BF108">
        <f t="shared" si="36"/>
        <v>4500</v>
      </c>
      <c r="BG108" t="str">
        <f t="shared" si="37"/>
        <v>WR</v>
      </c>
      <c r="BH108" s="16">
        <f t="shared" si="38"/>
        <v>0</v>
      </c>
    </row>
    <row r="109" spans="1:60" hidden="1" x14ac:dyDescent="0.2">
      <c r="A109" t="s">
        <v>2881</v>
      </c>
      <c r="B109" t="s">
        <v>68</v>
      </c>
      <c r="C109" t="s">
        <v>2421</v>
      </c>
      <c r="D109" t="s">
        <v>1884</v>
      </c>
      <c r="E109" t="s">
        <v>2882</v>
      </c>
      <c r="F109">
        <v>0.80000003178914303</v>
      </c>
      <c r="G109">
        <v>3</v>
      </c>
      <c r="H109">
        <v>4500</v>
      </c>
      <c r="I109" t="s">
        <v>2718</v>
      </c>
      <c r="J109" t="s">
        <v>729</v>
      </c>
      <c r="K109" t="s">
        <v>138</v>
      </c>
      <c r="L109" t="s">
        <v>182</v>
      </c>
      <c r="M109" t="s">
        <v>597</v>
      </c>
      <c r="O109" t="str">
        <f t="shared" si="22"/>
        <v>Rico Dowdle</v>
      </c>
      <c r="P109" t="str">
        <f>IFERROR(VLOOKUP(O:O,'Name Bridge'!A:B,2,FALSE),O:O)</f>
        <v>Rico Dowdle</v>
      </c>
      <c r="Q109" s="10">
        <f>VLOOKUP($K109,'CY Defensive Stats Query'!$AC:$AH,2,FALSE)</f>
        <v>6.5263157894736841</v>
      </c>
      <c r="R109" s="10">
        <f>VLOOKUP($K109,'CY Defensive Stats Query'!$AC:$AH,4,FALSE)</f>
        <v>4.7051282051282053</v>
      </c>
      <c r="S109" s="10">
        <f>VLOOKUP($K109,'CY Defensive Stats Query'!$AC:$AH,6,FALSE)</f>
        <v>10.191780821917808</v>
      </c>
      <c r="T109" s="10">
        <f>IFERROR(VLOOKUP($P109,'CYPassing Query'!$B:$AE,9,FALSE)/VLOOKUP($P109,'CYPassing Query'!$B:$AE,5,FALSE),0)</f>
        <v>0</v>
      </c>
      <c r="U109" s="10">
        <f>IFERROR(VLOOKUP($P109,'CYPassing Query'!$B:$AE,11,FALSE)/VLOOKUP($P109,'CYPassing Query'!$B:$AE,5,FALSE),0)</f>
        <v>0</v>
      </c>
      <c r="V109" s="10">
        <f>IFERROR(VLOOKUP($P109,'CYPassing Query'!$B:$AE,18,FALSE),0)</f>
        <v>0</v>
      </c>
      <c r="W109" s="10">
        <f>IFERROR(VLOOKUP($P109,'CYPassing Query'!$B:$AE,12,FALSE)/VLOOKUP($P109,'CYPassing Query'!$B:$AE,5,FALSE),0)</f>
        <v>0</v>
      </c>
      <c r="X109" s="10">
        <f>IFERROR(IF(OR($B109="D",$B109="K"),0,VLOOKUP($P109,'CY Receving Query'!$B:$S,7,FALSE)/VLOOKUP($P109,'CY Receving Query'!$B:$S,5,FALSE)),0)*$AJ109</f>
        <v>0</v>
      </c>
      <c r="Y109" s="10">
        <f>IFERROR(VLOOKUP($P109,'CY Receving Query'!$B:$S,8,FALSE)/VLOOKUP($P109,'CY Receving Query'!$B:$S,5,FALSE),0)</f>
        <v>0</v>
      </c>
      <c r="Z109" s="10">
        <f>IFERROR(VLOOKUP($P109,'CY Receving Query'!$B:$S,10,FALSE)/VLOOKUP($P109,'CY Receving Query'!$B:$S,5,FALSE),0)</f>
        <v>0</v>
      </c>
      <c r="AA109" s="10">
        <f>IFERROR(VLOOKUP($P109,'CY Receving Query'!$B:$S,11,FALSE),0)</f>
        <v>0</v>
      </c>
      <c r="AB109" s="10">
        <f>IFERROR(AVERAGE(VLOOKUP($P109,'PY Receiving'!$C:$T,14,FALSE),VLOOKUP($P109,'CY Receiving'!$C:$T,14,FALSE)),0)</f>
        <v>0</v>
      </c>
      <c r="AC109" s="10">
        <f>IFERROR(VLOOKUP($P109,'CY Receving Query'!$B:$S,11,FALSE)/VLOOKUP($P109,'CY Receving Query'!$B:$S,5,FALSE),0)</f>
        <v>0</v>
      </c>
      <c r="AD109" s="10">
        <f>IFERROR(VLOOKUP($P109,'CY Rushing Query'!$B:$O,7,FALSE)/VLOOKUP($P109,'CY Rushing Query'!$B:$O,5,FALSE),0)</f>
        <v>0</v>
      </c>
      <c r="AE109" s="10">
        <f>IFERROR(AVERAGE(VLOOKUP($P109,'PY Rushing'!$C:$P,8,FALSE)/VLOOKUP($P109,'PY Rushing'!$C:$P,5,FALSE),VLOOKUP($P109,'CY Rushing'!$C:$P,8,FALSE)/VLOOKUP($P109,'CY Rushing'!$C:$P,5,FALSE)),0)</f>
        <v>0</v>
      </c>
      <c r="AF109" s="10">
        <f>IFERROR(VLOOKUP($P109,'CY Rushing Query'!$B:$P,12,FALSE),0)</f>
        <v>0</v>
      </c>
      <c r="AG109" s="10">
        <f>IFERROR(VLOOKUP($P109,'CY Rushing Query'!$B:$P,9,FALSE)/VLOOKUP($P109,'CY Rushing Query'!$B:$P,5,FALSE),0)</f>
        <v>0</v>
      </c>
      <c r="AH109" s="10">
        <f>VLOOKUP($J109,'Vegas Odds'!$B:$S,18,FALSE)</f>
        <v>38.06292701199007</v>
      </c>
      <c r="AI109" s="10">
        <f>VLOOKUP($J109,'Vegas Odds'!$B:$S,17,FALSE)</f>
        <v>29.237072988009928</v>
      </c>
      <c r="AJ109">
        <f t="shared" si="39"/>
        <v>0</v>
      </c>
      <c r="AK109" s="10">
        <f t="shared" si="23"/>
        <v>0</v>
      </c>
      <c r="AL109" s="10">
        <f t="shared" si="24"/>
        <v>0</v>
      </c>
      <c r="AM109" s="10">
        <f>V109/'CY Defensive Stats Query'!$AD$34*'Fanduel Export'!Q109</f>
        <v>0</v>
      </c>
      <c r="AN109" s="10">
        <f t="shared" si="40"/>
        <v>0</v>
      </c>
      <c r="AO109" s="10">
        <f>IFERROR(IF(OR($B109="D",$B109="K"),0,VLOOKUP($P109,'CY Receving Query'!$B:$S,7,FALSE)/VLOOKUP($P109,'CY Receving Query'!$B:$S,5,FALSE)),0)*$AJ109</f>
        <v>0</v>
      </c>
      <c r="AP109" s="10">
        <f t="shared" si="25"/>
        <v>30.199512497306614</v>
      </c>
      <c r="AQ109" s="10">
        <f t="shared" si="26"/>
        <v>0</v>
      </c>
      <c r="AR109" s="16">
        <f t="shared" si="27"/>
        <v>0</v>
      </c>
      <c r="AS109" s="16">
        <f t="shared" si="28"/>
        <v>0</v>
      </c>
      <c r="AT109" s="16">
        <f>AA109/'CY Defensive Stats Query'!$AH$34
*'Fanduel Export'!S109</f>
        <v>0</v>
      </c>
      <c r="AU109" s="10">
        <f t="shared" si="41"/>
        <v>0</v>
      </c>
      <c r="AV109" s="10">
        <f t="shared" si="29"/>
        <v>0</v>
      </c>
      <c r="AW109" s="10">
        <f t="shared" si="30"/>
        <v>30.007352941176471</v>
      </c>
      <c r="AX109" s="10">
        <f t="shared" si="31"/>
        <v>0</v>
      </c>
      <c r="AY109" s="10">
        <f>AF109/'CY Defensive Stats Query'!$AF$34
*R109</f>
        <v>0</v>
      </c>
      <c r="AZ109" s="10">
        <f t="shared" si="42"/>
        <v>0</v>
      </c>
      <c r="BA109" s="16">
        <f t="shared" si="32"/>
        <v>0</v>
      </c>
      <c r="BB109" s="16">
        <f t="shared" si="33"/>
        <v>0</v>
      </c>
      <c r="BC109" s="10">
        <f t="shared" si="34"/>
        <v>0</v>
      </c>
      <c r="BD109" s="10">
        <f>IF(B109="QB",COUNTIFS($B$5:B109,B109,$J$5:J109,J109),1)</f>
        <v>1</v>
      </c>
      <c r="BE109" t="str">
        <f t="shared" si="35"/>
        <v>Rico Dowdle</v>
      </c>
      <c r="BF109">
        <f t="shared" si="36"/>
        <v>4500</v>
      </c>
      <c r="BG109" t="str">
        <f t="shared" si="37"/>
        <v>RB</v>
      </c>
      <c r="BH109" s="16">
        <f t="shared" si="38"/>
        <v>0</v>
      </c>
    </row>
    <row r="110" spans="1:60" x14ac:dyDescent="0.2">
      <c r="A110" t="s">
        <v>2883</v>
      </c>
      <c r="B110" t="s">
        <v>83</v>
      </c>
      <c r="C110" t="s">
        <v>2227</v>
      </c>
      <c r="D110" t="s">
        <v>2451</v>
      </c>
      <c r="E110" t="s">
        <v>209</v>
      </c>
      <c r="H110">
        <v>4500</v>
      </c>
      <c r="I110" t="s">
        <v>2718</v>
      </c>
      <c r="J110" t="s">
        <v>729</v>
      </c>
      <c r="K110" t="s">
        <v>138</v>
      </c>
      <c r="O110" t="str">
        <f t="shared" si="22"/>
        <v>Brandon Smith</v>
      </c>
      <c r="P110" t="str">
        <f>IFERROR(VLOOKUP(O:O,'Name Bridge'!A:B,2,FALSE),O:O)</f>
        <v>Brandon Smith</v>
      </c>
      <c r="Q110" s="10">
        <f>VLOOKUP($K110,'CY Defensive Stats Query'!$AC:$AH,2,FALSE)</f>
        <v>6.5263157894736841</v>
      </c>
      <c r="R110" s="10">
        <f>VLOOKUP($K110,'CY Defensive Stats Query'!$AC:$AH,4,FALSE)</f>
        <v>4.7051282051282053</v>
      </c>
      <c r="S110" s="10">
        <f>VLOOKUP($K110,'CY Defensive Stats Query'!$AC:$AH,6,FALSE)</f>
        <v>10.191780821917808</v>
      </c>
      <c r="T110" s="10">
        <f>IFERROR(VLOOKUP($P110,'CYPassing Query'!$B:$AE,9,FALSE)/VLOOKUP($P110,'CYPassing Query'!$B:$AE,5,FALSE),0)</f>
        <v>0</v>
      </c>
      <c r="U110" s="10">
        <f>IFERROR(VLOOKUP($P110,'CYPassing Query'!$B:$AE,11,FALSE)/VLOOKUP($P110,'CYPassing Query'!$B:$AE,5,FALSE),0)</f>
        <v>0</v>
      </c>
      <c r="V110" s="10">
        <f>IFERROR(VLOOKUP($P110,'CYPassing Query'!$B:$AE,18,FALSE),0)</f>
        <v>0</v>
      </c>
      <c r="W110" s="10">
        <f>IFERROR(VLOOKUP($P110,'CYPassing Query'!$B:$AE,12,FALSE)/VLOOKUP($P110,'CYPassing Query'!$B:$AE,5,FALSE),0)</f>
        <v>0</v>
      </c>
      <c r="X110" s="10">
        <f>IFERROR(IF(OR($B110="D",$B110="K"),0,VLOOKUP($P110,'CY Receving Query'!$B:$S,7,FALSE)/VLOOKUP($P110,'CY Receving Query'!$B:$S,5,FALSE)),0)*$AJ110</f>
        <v>0</v>
      </c>
      <c r="Y110" s="10">
        <f>IFERROR(VLOOKUP($P110,'CY Receving Query'!$B:$S,8,FALSE)/VLOOKUP($P110,'CY Receving Query'!$B:$S,5,FALSE),0)</f>
        <v>0</v>
      </c>
      <c r="Z110" s="10">
        <f>IFERROR(VLOOKUP($P110,'CY Receving Query'!$B:$S,10,FALSE)/VLOOKUP($P110,'CY Receving Query'!$B:$S,5,FALSE),0)</f>
        <v>0</v>
      </c>
      <c r="AA110" s="10">
        <f>IFERROR(VLOOKUP($P110,'CY Receving Query'!$B:$S,11,FALSE),0)</f>
        <v>0</v>
      </c>
      <c r="AB110" s="10">
        <f>IFERROR(AVERAGE(VLOOKUP($P110,'PY Receiving'!$C:$T,14,FALSE),VLOOKUP($P110,'CY Receiving'!$C:$T,14,FALSE)),0)</f>
        <v>0</v>
      </c>
      <c r="AC110" s="10">
        <f>IFERROR(VLOOKUP($P110,'CY Receving Query'!$B:$S,11,FALSE)/VLOOKUP($P110,'CY Receving Query'!$B:$S,5,FALSE),0)</f>
        <v>0</v>
      </c>
      <c r="AD110" s="10">
        <f>IFERROR(VLOOKUP($P110,'CY Rushing Query'!$B:$O,7,FALSE)/VLOOKUP($P110,'CY Rushing Query'!$B:$O,5,FALSE),0)</f>
        <v>0</v>
      </c>
      <c r="AE110" s="10">
        <f>IFERROR(AVERAGE(VLOOKUP($P110,'PY Rushing'!$C:$P,8,FALSE)/VLOOKUP($P110,'PY Rushing'!$C:$P,5,FALSE),VLOOKUP($P110,'CY Rushing'!$C:$P,8,FALSE)/VLOOKUP($P110,'CY Rushing'!$C:$P,5,FALSE)),0)</f>
        <v>0</v>
      </c>
      <c r="AF110" s="10">
        <f>IFERROR(VLOOKUP($P110,'CY Rushing Query'!$B:$P,12,FALSE),0)</f>
        <v>0</v>
      </c>
      <c r="AG110" s="10">
        <f>IFERROR(VLOOKUP($P110,'CY Rushing Query'!$B:$P,9,FALSE)/VLOOKUP($P110,'CY Rushing Query'!$B:$P,5,FALSE),0)</f>
        <v>0</v>
      </c>
      <c r="AH110" s="10">
        <f>VLOOKUP($J110,'Vegas Odds'!$B:$S,18,FALSE)</f>
        <v>38.06292701199007</v>
      </c>
      <c r="AI110" s="10">
        <f>VLOOKUP($J110,'Vegas Odds'!$B:$S,17,FALSE)</f>
        <v>29.237072988009928</v>
      </c>
      <c r="AJ110">
        <f t="shared" si="39"/>
        <v>1</v>
      </c>
      <c r="AK110" s="10">
        <f t="shared" si="23"/>
        <v>0</v>
      </c>
      <c r="AL110" s="10">
        <f t="shared" si="24"/>
        <v>0</v>
      </c>
      <c r="AM110" s="10">
        <f>V110/'CY Defensive Stats Query'!$AD$34*'Fanduel Export'!Q110</f>
        <v>0</v>
      </c>
      <c r="AN110" s="10">
        <f t="shared" si="40"/>
        <v>0</v>
      </c>
      <c r="AO110" s="10">
        <f>IFERROR(IF(OR($B110="D",$B110="K"),0,VLOOKUP($P110,'CY Receving Query'!$B:$S,7,FALSE)/VLOOKUP($P110,'CY Receving Query'!$B:$S,5,FALSE)),0)*$AJ110</f>
        <v>0</v>
      </c>
      <c r="AP110" s="10">
        <f t="shared" si="25"/>
        <v>30.199512497306614</v>
      </c>
      <c r="AQ110" s="10">
        <f t="shared" si="26"/>
        <v>0</v>
      </c>
      <c r="AR110" s="16">
        <f t="shared" si="27"/>
        <v>0</v>
      </c>
      <c r="AS110" s="16">
        <f t="shared" si="28"/>
        <v>0</v>
      </c>
      <c r="AT110" s="16">
        <f>AA110/'CY Defensive Stats Query'!$AH$34
*'Fanduel Export'!S110</f>
        <v>0</v>
      </c>
      <c r="AU110" s="10">
        <f t="shared" si="41"/>
        <v>0</v>
      </c>
      <c r="AV110" s="10">
        <f t="shared" si="29"/>
        <v>0</v>
      </c>
      <c r="AW110" s="10">
        <f t="shared" si="30"/>
        <v>30.007352941176471</v>
      </c>
      <c r="AX110" s="10">
        <f t="shared" si="31"/>
        <v>0</v>
      </c>
      <c r="AY110" s="10">
        <f>AF110/'CY Defensive Stats Query'!$AF$34
*R110</f>
        <v>0</v>
      </c>
      <c r="AZ110" s="10">
        <f t="shared" si="42"/>
        <v>0</v>
      </c>
      <c r="BA110" s="16">
        <f t="shared" si="32"/>
        <v>0</v>
      </c>
      <c r="BB110" s="16">
        <f t="shared" si="33"/>
        <v>0</v>
      </c>
      <c r="BC110" s="10">
        <f t="shared" si="34"/>
        <v>0</v>
      </c>
      <c r="BD110" s="10">
        <f>IF(B110="QB",COUNTIFS($B$5:B110,B110,$J$5:J110,J110),1)</f>
        <v>1</v>
      </c>
      <c r="BE110" t="str">
        <f t="shared" si="35"/>
        <v>Brandon Smith</v>
      </c>
      <c r="BF110">
        <f t="shared" si="36"/>
        <v>4500</v>
      </c>
      <c r="BG110" t="str">
        <f t="shared" si="37"/>
        <v>WR</v>
      </c>
      <c r="BH110" s="16">
        <f t="shared" si="38"/>
        <v>0</v>
      </c>
    </row>
    <row r="111" spans="1:60" x14ac:dyDescent="0.2">
      <c r="A111" t="s">
        <v>2884</v>
      </c>
      <c r="B111" t="s">
        <v>83</v>
      </c>
      <c r="C111" t="s">
        <v>2260</v>
      </c>
      <c r="D111" t="s">
        <v>2420</v>
      </c>
      <c r="E111" t="s">
        <v>2691</v>
      </c>
      <c r="H111">
        <v>4500</v>
      </c>
      <c r="I111" t="s">
        <v>2718</v>
      </c>
      <c r="J111" t="s">
        <v>138</v>
      </c>
      <c r="K111" t="s">
        <v>729</v>
      </c>
      <c r="O111" t="str">
        <f t="shared" si="22"/>
        <v>Jordan Matthews</v>
      </c>
      <c r="P111" t="str">
        <f>IFERROR(VLOOKUP(O:O,'Name Bridge'!A:B,2,FALSE),O:O)</f>
        <v>Jordan Matthews</v>
      </c>
      <c r="Q111" s="10">
        <f>VLOOKUP($K111,'CY Defensive Stats Query'!$AC:$AH,2,FALSE)</f>
        <v>7.6538461538461542</v>
      </c>
      <c r="R111" s="10">
        <f>VLOOKUP($K111,'CY Defensive Stats Query'!$AC:$AH,4,FALSE)</f>
        <v>4.6888888888888891</v>
      </c>
      <c r="S111" s="10">
        <f>VLOOKUP($K111,'CY Defensive Stats Query'!$AC:$AH,6,FALSE)</f>
        <v>11.306818181818182</v>
      </c>
      <c r="T111" s="10">
        <f>IFERROR(VLOOKUP($P111,'CYPassing Query'!$B:$AE,9,FALSE)/VLOOKUP($P111,'CYPassing Query'!$B:$AE,5,FALSE),0)</f>
        <v>0</v>
      </c>
      <c r="U111" s="10">
        <f>IFERROR(VLOOKUP($P111,'CYPassing Query'!$B:$AE,11,FALSE)/VLOOKUP($P111,'CYPassing Query'!$B:$AE,5,FALSE),0)</f>
        <v>0</v>
      </c>
      <c r="V111" s="10">
        <f>IFERROR(VLOOKUP($P111,'CYPassing Query'!$B:$AE,18,FALSE),0)</f>
        <v>0</v>
      </c>
      <c r="W111" s="10">
        <f>IFERROR(VLOOKUP($P111,'CYPassing Query'!$B:$AE,12,FALSE)/VLOOKUP($P111,'CYPassing Query'!$B:$AE,5,FALSE),0)</f>
        <v>0</v>
      </c>
      <c r="X111" s="10">
        <f>IFERROR(IF(OR($B111="D",$B111="K"),0,VLOOKUP($P111,'CY Receving Query'!$B:$S,7,FALSE)/VLOOKUP($P111,'CY Receving Query'!$B:$S,5,FALSE)),0)*$AJ111</f>
        <v>0</v>
      </c>
      <c r="Y111" s="10">
        <f>IFERROR(VLOOKUP($P111,'CY Receving Query'!$B:$S,8,FALSE)/VLOOKUP($P111,'CY Receving Query'!$B:$S,5,FALSE),0)</f>
        <v>0</v>
      </c>
      <c r="Z111" s="10">
        <f>IFERROR(VLOOKUP($P111,'CY Receving Query'!$B:$S,10,FALSE)/VLOOKUP($P111,'CY Receving Query'!$B:$S,5,FALSE),0)</f>
        <v>0</v>
      </c>
      <c r="AA111" s="10">
        <f>IFERROR(VLOOKUP($P111,'CY Receving Query'!$B:$S,11,FALSE),0)</f>
        <v>0</v>
      </c>
      <c r="AB111" s="10">
        <f>IFERROR(AVERAGE(VLOOKUP($P111,'PY Receiving'!$C:$T,14,FALSE),VLOOKUP($P111,'CY Receiving'!$C:$T,14,FALSE)),0)</f>
        <v>0</v>
      </c>
      <c r="AC111" s="10">
        <f>IFERROR(VLOOKUP($P111,'CY Receving Query'!$B:$S,11,FALSE)/VLOOKUP($P111,'CY Receving Query'!$B:$S,5,FALSE),0)</f>
        <v>0</v>
      </c>
      <c r="AD111" s="10">
        <f>IFERROR(VLOOKUP($P111,'CY Rushing Query'!$B:$O,7,FALSE)/VLOOKUP($P111,'CY Rushing Query'!$B:$O,5,FALSE),0)</f>
        <v>0</v>
      </c>
      <c r="AE111" s="10">
        <f>IFERROR(AVERAGE(VLOOKUP($P111,'PY Rushing'!$C:$P,8,FALSE)/VLOOKUP($P111,'PY Rushing'!$C:$P,5,FALSE),VLOOKUP($P111,'CY Rushing'!$C:$P,8,FALSE)/VLOOKUP($P111,'CY Rushing'!$C:$P,5,FALSE)),0)</f>
        <v>0</v>
      </c>
      <c r="AF111" s="10">
        <f>IFERROR(VLOOKUP($P111,'CY Rushing Query'!$B:$P,12,FALSE),0)</f>
        <v>0</v>
      </c>
      <c r="AG111" s="10">
        <f>IFERROR(VLOOKUP($P111,'CY Rushing Query'!$B:$P,9,FALSE)/VLOOKUP($P111,'CY Rushing Query'!$B:$P,5,FALSE),0)</f>
        <v>0</v>
      </c>
      <c r="AH111" s="10">
        <f>VLOOKUP($J111,'Vegas Odds'!$B:$S,18,FALSE)</f>
        <v>32.679248170039784</v>
      </c>
      <c r="AI111" s="10">
        <f>VLOOKUP($J111,'Vegas Odds'!$B:$S,17,FALSE)</f>
        <v>32.620751829960213</v>
      </c>
      <c r="AJ111">
        <f t="shared" si="39"/>
        <v>1</v>
      </c>
      <c r="AK111" s="10">
        <f t="shared" si="23"/>
        <v>0</v>
      </c>
      <c r="AL111" s="10">
        <f t="shared" si="24"/>
        <v>0</v>
      </c>
      <c r="AM111" s="10">
        <f>V111/'CY Defensive Stats Query'!$AD$34*'Fanduel Export'!Q111</f>
        <v>0</v>
      </c>
      <c r="AN111" s="10">
        <f t="shared" si="40"/>
        <v>0</v>
      </c>
      <c r="AO111" s="10">
        <f>IFERROR(IF(OR($B111="D",$B111="K"),0,VLOOKUP($P111,'CY Receving Query'!$B:$S,7,FALSE)/VLOOKUP($P111,'CY Receving Query'!$B:$S,5,FALSE)),0)*$AJ111</f>
        <v>0</v>
      </c>
      <c r="AP111" s="10">
        <f t="shared" si="25"/>
        <v>29.704370384517439</v>
      </c>
      <c r="AQ111" s="10">
        <f t="shared" si="26"/>
        <v>0</v>
      </c>
      <c r="AR111" s="16">
        <f t="shared" si="27"/>
        <v>0</v>
      </c>
      <c r="AS111" s="16">
        <f t="shared" si="28"/>
        <v>0</v>
      </c>
      <c r="AT111" s="16">
        <f>AA111/'CY Defensive Stats Query'!$AH$34
*'Fanduel Export'!S111</f>
        <v>0</v>
      </c>
      <c r="AU111" s="10">
        <f t="shared" si="41"/>
        <v>0</v>
      </c>
      <c r="AV111" s="10">
        <f t="shared" si="29"/>
        <v>0</v>
      </c>
      <c r="AW111" s="10">
        <f t="shared" si="30"/>
        <v>40.335297300738475</v>
      </c>
      <c r="AX111" s="10">
        <f t="shared" si="31"/>
        <v>0</v>
      </c>
      <c r="AY111" s="10">
        <f>AF111/'CY Defensive Stats Query'!$AF$34
*R111</f>
        <v>0</v>
      </c>
      <c r="AZ111" s="10">
        <f t="shared" si="42"/>
        <v>0</v>
      </c>
      <c r="BA111" s="16">
        <f t="shared" si="32"/>
        <v>0</v>
      </c>
      <c r="BB111" s="16">
        <f t="shared" si="33"/>
        <v>0</v>
      </c>
      <c r="BC111" s="10">
        <f t="shared" si="34"/>
        <v>0</v>
      </c>
      <c r="BD111" s="10">
        <f>IF(B111="QB",COUNTIFS($B$5:B111,B111,$J$5:J111,J111),1)</f>
        <v>1</v>
      </c>
      <c r="BE111" t="str">
        <f t="shared" si="35"/>
        <v>Jordan Matthews</v>
      </c>
      <c r="BF111">
        <f t="shared" si="36"/>
        <v>4500</v>
      </c>
      <c r="BG111" t="str">
        <f t="shared" si="37"/>
        <v>WR</v>
      </c>
      <c r="BH111" s="16">
        <f t="shared" si="38"/>
        <v>0</v>
      </c>
    </row>
    <row r="112" spans="1:60" x14ac:dyDescent="0.2">
      <c r="A112" t="s">
        <v>2885</v>
      </c>
      <c r="B112" t="s">
        <v>68</v>
      </c>
      <c r="C112" t="s">
        <v>2220</v>
      </c>
      <c r="D112" t="s">
        <v>291</v>
      </c>
      <c r="E112" t="s">
        <v>2693</v>
      </c>
      <c r="F112">
        <v>5.3599998474120998</v>
      </c>
      <c r="G112">
        <v>5</v>
      </c>
      <c r="H112">
        <v>4500</v>
      </c>
      <c r="I112" t="s">
        <v>2718</v>
      </c>
      <c r="J112" t="s">
        <v>138</v>
      </c>
      <c r="K112" t="s">
        <v>729</v>
      </c>
      <c r="O112" t="str">
        <f t="shared" si="22"/>
        <v>Trey Sermon</v>
      </c>
      <c r="P112" t="str">
        <f>IFERROR(VLOOKUP(O:O,'Name Bridge'!A:B,2,FALSE),O:O)</f>
        <v>Trey Sermon</v>
      </c>
      <c r="Q112" s="10">
        <f>VLOOKUP($K112,'CY Defensive Stats Query'!$AC:$AH,2,FALSE)</f>
        <v>7.6538461538461542</v>
      </c>
      <c r="R112" s="10">
        <f>VLOOKUP($K112,'CY Defensive Stats Query'!$AC:$AH,4,FALSE)</f>
        <v>4.6888888888888891</v>
      </c>
      <c r="S112" s="10">
        <f>VLOOKUP($K112,'CY Defensive Stats Query'!$AC:$AH,6,FALSE)</f>
        <v>11.306818181818182</v>
      </c>
      <c r="T112" s="10">
        <f>IFERROR(VLOOKUP($P112,'CYPassing Query'!$B:$AE,9,FALSE)/VLOOKUP($P112,'CYPassing Query'!$B:$AE,5,FALSE),0)</f>
        <v>0</v>
      </c>
      <c r="U112" s="10">
        <f>IFERROR(VLOOKUP($P112,'CYPassing Query'!$B:$AE,11,FALSE)/VLOOKUP($P112,'CYPassing Query'!$B:$AE,5,FALSE),0)</f>
        <v>0</v>
      </c>
      <c r="V112" s="10">
        <f>IFERROR(VLOOKUP($P112,'CYPassing Query'!$B:$AE,18,FALSE),0)</f>
        <v>0</v>
      </c>
      <c r="W112" s="10">
        <f>IFERROR(VLOOKUP($P112,'CYPassing Query'!$B:$AE,12,FALSE)/VLOOKUP($P112,'CYPassing Query'!$B:$AE,5,FALSE),0)</f>
        <v>0</v>
      </c>
      <c r="X112" s="10">
        <f>IFERROR(IF(OR($B112="D",$B112="K"),0,VLOOKUP($P112,'CY Receving Query'!$B:$S,7,FALSE)/VLOOKUP($P112,'CY Receving Query'!$B:$S,5,FALSE)),0)*$AJ112</f>
        <v>0.44444444444444442</v>
      </c>
      <c r="Y112" s="10">
        <f>IFERROR(VLOOKUP($P112,'CY Receving Query'!$B:$S,8,FALSE)/VLOOKUP($P112,'CY Receving Query'!$B:$S,5,FALSE),0)</f>
        <v>0.33333333333333331</v>
      </c>
      <c r="Z112" s="10">
        <f>IFERROR(VLOOKUP($P112,'CY Receving Query'!$B:$S,10,FALSE)/VLOOKUP($P112,'CY Receving Query'!$B:$S,5,FALSE),0)</f>
        <v>2.8888888888888888</v>
      </c>
      <c r="AA112" s="10">
        <f>IFERROR(VLOOKUP($P112,'CY Receving Query'!$B:$S,11,FALSE),0)</f>
        <v>8.6999999999999993</v>
      </c>
      <c r="AB112" s="10">
        <f>IFERROR(AVERAGE(VLOOKUP($P112,'PY Receiving'!$C:$T,14,FALSE),VLOOKUP($P112,'CY Receiving'!$C:$T,14,FALSE)),0)</f>
        <v>0</v>
      </c>
      <c r="AC112" s="10">
        <f>IFERROR(VLOOKUP($P112,'CY Receving Query'!$B:$S,11,FALSE)/VLOOKUP($P112,'CY Receving Query'!$B:$S,5,FALSE),0)</f>
        <v>0.96666666666666656</v>
      </c>
      <c r="AD112" s="10">
        <f>IFERROR(VLOOKUP($P112,'CY Rushing Query'!$B:$O,7,FALSE)/VLOOKUP($P112,'CY Rushing Query'!$B:$O,5,FALSE),0)</f>
        <v>4.5555555555555554</v>
      </c>
      <c r="AE112" s="10">
        <f>IFERROR(AVERAGE(VLOOKUP($P112,'PY Rushing'!$C:$P,8,FALSE)/VLOOKUP($P112,'PY Rushing'!$C:$P,5,FALSE),VLOOKUP($P112,'CY Rushing'!$C:$P,8,FALSE)/VLOOKUP($P112,'CY Rushing'!$C:$P,5,FALSE)),0)</f>
        <v>0</v>
      </c>
      <c r="AF112" s="10">
        <f>IFERROR(VLOOKUP($P112,'CY Rushing Query'!$B:$P,12,FALSE),0)</f>
        <v>4.0999999999999996</v>
      </c>
      <c r="AG112" s="10">
        <f>IFERROR(VLOOKUP($P112,'CY Rushing Query'!$B:$P,9,FALSE)/VLOOKUP($P112,'CY Rushing Query'!$B:$P,5,FALSE),0)</f>
        <v>0.1111111111111111</v>
      </c>
      <c r="AH112" s="10">
        <f>VLOOKUP($J112,'Vegas Odds'!$B:$S,18,FALSE)</f>
        <v>32.679248170039784</v>
      </c>
      <c r="AI112" s="10">
        <f>VLOOKUP($J112,'Vegas Odds'!$B:$S,17,FALSE)</f>
        <v>32.620751829960213</v>
      </c>
      <c r="AJ112">
        <f t="shared" si="39"/>
        <v>1</v>
      </c>
      <c r="AK112" s="10">
        <f t="shared" si="23"/>
        <v>0</v>
      </c>
      <c r="AL112" s="10">
        <f t="shared" si="24"/>
        <v>0</v>
      </c>
      <c r="AM112" s="10">
        <f>V112/'CY Defensive Stats Query'!$AD$34*'Fanduel Export'!Q112</f>
        <v>0</v>
      </c>
      <c r="AN112" s="10">
        <f t="shared" si="40"/>
        <v>0</v>
      </c>
      <c r="AO112" s="10">
        <f>IFERROR(IF(OR($B112="D",$B112="K"),0,VLOOKUP($P112,'CY Receving Query'!$B:$S,7,FALSE)/VLOOKUP($P112,'CY Receving Query'!$B:$S,5,FALSE)),0)*$AJ112</f>
        <v>0.44444444444444442</v>
      </c>
      <c r="AP112" s="10">
        <f t="shared" si="25"/>
        <v>29.704370384517439</v>
      </c>
      <c r="AQ112" s="10">
        <f t="shared" si="26"/>
        <v>0.48895533249093004</v>
      </c>
      <c r="AR112" s="16">
        <f t="shared" si="27"/>
        <v>0.33333333333333331</v>
      </c>
      <c r="AS112" s="16">
        <f t="shared" si="28"/>
        <v>0.3667164993681975</v>
      </c>
      <c r="AT112" s="16">
        <f>AA112/'CY Defensive Stats Query'!$AH$34
*'Fanduel Export'!S112</f>
        <v>9.3560879001914223</v>
      </c>
      <c r="AU112" s="10">
        <f t="shared" si="41"/>
        <v>3.4310318025393478</v>
      </c>
      <c r="AV112" s="10">
        <f t="shared" si="29"/>
        <v>4.5555555555555554</v>
      </c>
      <c r="AW112" s="10">
        <f t="shared" si="30"/>
        <v>40.335297300738475</v>
      </c>
      <c r="AX112" s="10">
        <f t="shared" si="31"/>
        <v>3.6842581354334922</v>
      </c>
      <c r="AY112" s="10">
        <f>AF112/'CY Defensive Stats Query'!$AF$34
*R112</f>
        <v>4.6486638835428984</v>
      </c>
      <c r="AZ112" s="10">
        <f t="shared" si="42"/>
        <v>17.126877731838775</v>
      </c>
      <c r="BA112" s="16">
        <f t="shared" si="32"/>
        <v>2.2224576201044788</v>
      </c>
      <c r="BB112" s="16">
        <f t="shared" si="33"/>
        <v>0.49387947113432862</v>
      </c>
      <c r="BC112" s="10">
        <f t="shared" si="34"/>
        <v>9.8765432098765427E-2</v>
      </c>
      <c r="BD112" s="10">
        <f>IF(B112="QB",COUNTIFS($B$5:B112,B112,$J$5:J112,J112),1)</f>
        <v>1</v>
      </c>
      <c r="BE112" t="str">
        <f t="shared" si="35"/>
        <v>Trey Sermon</v>
      </c>
      <c r="BF112">
        <f t="shared" si="36"/>
        <v>4500</v>
      </c>
      <c r="BG112" t="str">
        <f t="shared" si="37"/>
        <v>RB</v>
      </c>
      <c r="BH112" s="16">
        <f t="shared" si="38"/>
        <v>2.2224576201044788</v>
      </c>
    </row>
    <row r="113" spans="1:60" x14ac:dyDescent="0.2">
      <c r="A113" t="s">
        <v>2886</v>
      </c>
      <c r="B113" t="s">
        <v>83</v>
      </c>
      <c r="C113" t="s">
        <v>2217</v>
      </c>
      <c r="D113" t="s">
        <v>523</v>
      </c>
      <c r="E113" t="s">
        <v>2887</v>
      </c>
      <c r="F113">
        <v>1.56666660308837</v>
      </c>
      <c r="G113">
        <v>3</v>
      </c>
      <c r="H113">
        <v>4500</v>
      </c>
      <c r="I113" t="s">
        <v>2718</v>
      </c>
      <c r="J113" t="s">
        <v>729</v>
      </c>
      <c r="K113" t="s">
        <v>138</v>
      </c>
      <c r="O113" t="str">
        <f t="shared" si="22"/>
        <v>Robert Foster</v>
      </c>
      <c r="P113" t="str">
        <f>IFERROR(VLOOKUP(O:O,'Name Bridge'!A:B,2,FALSE),O:O)</f>
        <v>Robert Foster</v>
      </c>
      <c r="Q113" s="10">
        <f>VLOOKUP($K113,'CY Defensive Stats Query'!$AC:$AH,2,FALSE)</f>
        <v>6.5263157894736841</v>
      </c>
      <c r="R113" s="10">
        <f>VLOOKUP($K113,'CY Defensive Stats Query'!$AC:$AH,4,FALSE)</f>
        <v>4.7051282051282053</v>
      </c>
      <c r="S113" s="10">
        <f>VLOOKUP($K113,'CY Defensive Stats Query'!$AC:$AH,6,FALSE)</f>
        <v>10.191780821917808</v>
      </c>
      <c r="T113" s="10">
        <f>IFERROR(VLOOKUP($P113,'CYPassing Query'!$B:$AE,9,FALSE)/VLOOKUP($P113,'CYPassing Query'!$B:$AE,5,FALSE),0)</f>
        <v>0</v>
      </c>
      <c r="U113" s="10">
        <f>IFERROR(VLOOKUP($P113,'CYPassing Query'!$B:$AE,11,FALSE)/VLOOKUP($P113,'CYPassing Query'!$B:$AE,5,FALSE),0)</f>
        <v>0</v>
      </c>
      <c r="V113" s="10">
        <f>IFERROR(VLOOKUP($P113,'CYPassing Query'!$B:$AE,18,FALSE),0)</f>
        <v>0</v>
      </c>
      <c r="W113" s="10">
        <f>IFERROR(VLOOKUP($P113,'CYPassing Query'!$B:$AE,12,FALSE)/VLOOKUP($P113,'CYPassing Query'!$B:$AE,5,FALSE),0)</f>
        <v>0</v>
      </c>
      <c r="X113" s="10">
        <f>IFERROR(IF(OR($B113="D",$B113="K"),0,VLOOKUP($P113,'CY Receving Query'!$B:$S,7,FALSE)/VLOOKUP($P113,'CY Receving Query'!$B:$S,5,FALSE)),0)*$AJ113</f>
        <v>0</v>
      </c>
      <c r="Y113" s="10">
        <f>IFERROR(VLOOKUP($P113,'CY Receving Query'!$B:$S,8,FALSE)/VLOOKUP($P113,'CY Receving Query'!$B:$S,5,FALSE),0)</f>
        <v>0</v>
      </c>
      <c r="Z113" s="10">
        <f>IFERROR(VLOOKUP($P113,'CY Receving Query'!$B:$S,10,FALSE)/VLOOKUP($P113,'CY Receving Query'!$B:$S,5,FALSE),0)</f>
        <v>0</v>
      </c>
      <c r="AA113" s="10">
        <f>IFERROR(VLOOKUP($P113,'CY Receving Query'!$B:$S,11,FALSE),0)</f>
        <v>0</v>
      </c>
      <c r="AB113" s="10">
        <f>IFERROR(AVERAGE(VLOOKUP($P113,'PY Receiving'!$C:$T,14,FALSE),VLOOKUP($P113,'CY Receiving'!$C:$T,14,FALSE)),0)</f>
        <v>0</v>
      </c>
      <c r="AC113" s="10">
        <f>IFERROR(VLOOKUP($P113,'CY Receving Query'!$B:$S,11,FALSE)/VLOOKUP($P113,'CY Receving Query'!$B:$S,5,FALSE),0)</f>
        <v>0</v>
      </c>
      <c r="AD113" s="10">
        <f>IFERROR(VLOOKUP($P113,'CY Rushing Query'!$B:$O,7,FALSE)/VLOOKUP($P113,'CY Rushing Query'!$B:$O,5,FALSE),0)</f>
        <v>0</v>
      </c>
      <c r="AE113" s="10">
        <f>IFERROR(AVERAGE(VLOOKUP($P113,'PY Rushing'!$C:$P,8,FALSE)/VLOOKUP($P113,'PY Rushing'!$C:$P,5,FALSE),VLOOKUP($P113,'CY Rushing'!$C:$P,8,FALSE)/VLOOKUP($P113,'CY Rushing'!$C:$P,5,FALSE)),0)</f>
        <v>0</v>
      </c>
      <c r="AF113" s="10">
        <f>IFERROR(VLOOKUP($P113,'CY Rushing Query'!$B:$P,12,FALSE),0)</f>
        <v>0</v>
      </c>
      <c r="AG113" s="10">
        <f>IFERROR(VLOOKUP($P113,'CY Rushing Query'!$B:$P,9,FALSE)/VLOOKUP($P113,'CY Rushing Query'!$B:$P,5,FALSE),0)</f>
        <v>0</v>
      </c>
      <c r="AH113" s="10">
        <f>VLOOKUP($J113,'Vegas Odds'!$B:$S,18,FALSE)</f>
        <v>38.06292701199007</v>
      </c>
      <c r="AI113" s="10">
        <f>VLOOKUP($J113,'Vegas Odds'!$B:$S,17,FALSE)</f>
        <v>29.237072988009928</v>
      </c>
      <c r="AJ113">
        <f t="shared" si="39"/>
        <v>1</v>
      </c>
      <c r="AK113" s="10">
        <f t="shared" si="23"/>
        <v>0</v>
      </c>
      <c r="AL113" s="10">
        <f t="shared" si="24"/>
        <v>0</v>
      </c>
      <c r="AM113" s="10">
        <f>V113/'CY Defensive Stats Query'!$AD$34*'Fanduel Export'!Q113</f>
        <v>0</v>
      </c>
      <c r="AN113" s="10">
        <f t="shared" si="40"/>
        <v>0</v>
      </c>
      <c r="AO113" s="10">
        <f>IFERROR(IF(OR($B113="D",$B113="K"),0,VLOOKUP($P113,'CY Receving Query'!$B:$S,7,FALSE)/VLOOKUP($P113,'CY Receving Query'!$B:$S,5,FALSE)),0)*$AJ113</f>
        <v>0</v>
      </c>
      <c r="AP113" s="10">
        <f t="shared" si="25"/>
        <v>30.199512497306614</v>
      </c>
      <c r="AQ113" s="10">
        <f t="shared" si="26"/>
        <v>0</v>
      </c>
      <c r="AR113" s="16">
        <f t="shared" si="27"/>
        <v>0</v>
      </c>
      <c r="AS113" s="16">
        <f t="shared" si="28"/>
        <v>0</v>
      </c>
      <c r="AT113" s="16">
        <f>AA113/'CY Defensive Stats Query'!$AH$34
*'Fanduel Export'!S113</f>
        <v>0</v>
      </c>
      <c r="AU113" s="10">
        <f t="shared" si="41"/>
        <v>0</v>
      </c>
      <c r="AV113" s="10">
        <f t="shared" si="29"/>
        <v>0</v>
      </c>
      <c r="AW113" s="10">
        <f t="shared" si="30"/>
        <v>30.007352941176471</v>
      </c>
      <c r="AX113" s="10">
        <f t="shared" si="31"/>
        <v>0</v>
      </c>
      <c r="AY113" s="10">
        <f>AF113/'CY Defensive Stats Query'!$AF$34
*R113</f>
        <v>0</v>
      </c>
      <c r="AZ113" s="10">
        <f t="shared" si="42"/>
        <v>0</v>
      </c>
      <c r="BA113" s="16">
        <f t="shared" si="32"/>
        <v>0</v>
      </c>
      <c r="BB113" s="16">
        <f t="shared" si="33"/>
        <v>0</v>
      </c>
      <c r="BC113" s="10">
        <f t="shared" si="34"/>
        <v>0</v>
      </c>
      <c r="BD113" s="10">
        <f>IF(B113="QB",COUNTIFS($B$5:B113,B113,$J$5:J113,J113),1)</f>
        <v>1</v>
      </c>
      <c r="BE113" t="str">
        <f t="shared" si="35"/>
        <v>Robert Foster</v>
      </c>
      <c r="BF113">
        <f t="shared" si="36"/>
        <v>4500</v>
      </c>
      <c r="BG113" t="str">
        <f t="shared" si="37"/>
        <v>WR</v>
      </c>
      <c r="BH113" s="16">
        <f t="shared" si="38"/>
        <v>0</v>
      </c>
    </row>
    <row r="114" spans="1:60" x14ac:dyDescent="0.2">
      <c r="A114" t="s">
        <v>2888</v>
      </c>
      <c r="B114" t="s">
        <v>83</v>
      </c>
      <c r="C114" t="s">
        <v>2889</v>
      </c>
      <c r="D114" t="s">
        <v>2393</v>
      </c>
      <c r="E114" t="s">
        <v>2890</v>
      </c>
      <c r="H114">
        <v>4500</v>
      </c>
      <c r="I114" t="s">
        <v>2720</v>
      </c>
      <c r="J114" t="s">
        <v>102</v>
      </c>
      <c r="K114" t="s">
        <v>728</v>
      </c>
      <c r="O114" t="str">
        <f t="shared" si="22"/>
        <v>Jhamon Ausbon</v>
      </c>
      <c r="P114" t="str">
        <f>IFERROR(VLOOKUP(O:O,'Name Bridge'!A:B,2,FALSE),O:O)</f>
        <v>Jhamon Ausbon</v>
      </c>
      <c r="Q114" s="10">
        <f>VLOOKUP($K114,'CY Defensive Stats Query'!$AC:$AH,2,FALSE)</f>
        <v>7.0486111111111107</v>
      </c>
      <c r="R114" s="10">
        <f>VLOOKUP($K114,'CY Defensive Stats Query'!$AC:$AH,4,FALSE)</f>
        <v>3.0806451612903225</v>
      </c>
      <c r="S114" s="10">
        <f>VLOOKUP($K114,'CY Defensive Stats Query'!$AC:$AH,6,FALSE)</f>
        <v>9.759615384615385</v>
      </c>
      <c r="T114" s="10">
        <f>IFERROR(VLOOKUP($P114,'CYPassing Query'!$B:$AE,9,FALSE)/VLOOKUP($P114,'CYPassing Query'!$B:$AE,5,FALSE),0)</f>
        <v>0</v>
      </c>
      <c r="U114" s="10">
        <f>IFERROR(VLOOKUP($P114,'CYPassing Query'!$B:$AE,11,FALSE)/VLOOKUP($P114,'CYPassing Query'!$B:$AE,5,FALSE),0)</f>
        <v>0</v>
      </c>
      <c r="V114" s="10">
        <f>IFERROR(VLOOKUP($P114,'CYPassing Query'!$B:$AE,18,FALSE),0)</f>
        <v>0</v>
      </c>
      <c r="W114" s="10">
        <f>IFERROR(VLOOKUP($P114,'CYPassing Query'!$B:$AE,12,FALSE)/VLOOKUP($P114,'CYPassing Query'!$B:$AE,5,FALSE),0)</f>
        <v>0</v>
      </c>
      <c r="X114" s="10">
        <f>IFERROR(IF(OR($B114="D",$B114="K"),0,VLOOKUP($P114,'CY Receving Query'!$B:$S,7,FALSE)/VLOOKUP($P114,'CY Receving Query'!$B:$S,5,FALSE)),0)*$AJ114</f>
        <v>0</v>
      </c>
      <c r="Y114" s="10">
        <f>IFERROR(VLOOKUP($P114,'CY Receving Query'!$B:$S,8,FALSE)/VLOOKUP($P114,'CY Receving Query'!$B:$S,5,FALSE),0)</f>
        <v>0</v>
      </c>
      <c r="Z114" s="10">
        <f>IFERROR(VLOOKUP($P114,'CY Receving Query'!$B:$S,10,FALSE)/VLOOKUP($P114,'CY Receving Query'!$B:$S,5,FALSE),0)</f>
        <v>0</v>
      </c>
      <c r="AA114" s="10">
        <f>IFERROR(VLOOKUP($P114,'CY Receving Query'!$B:$S,11,FALSE),0)</f>
        <v>0</v>
      </c>
      <c r="AB114" s="10">
        <f>IFERROR(AVERAGE(VLOOKUP($P114,'PY Receiving'!$C:$T,14,FALSE),VLOOKUP($P114,'CY Receiving'!$C:$T,14,FALSE)),0)</f>
        <v>0</v>
      </c>
      <c r="AC114" s="10">
        <f>IFERROR(VLOOKUP($P114,'CY Receving Query'!$B:$S,11,FALSE)/VLOOKUP($P114,'CY Receving Query'!$B:$S,5,FALSE),0)</f>
        <v>0</v>
      </c>
      <c r="AD114" s="10">
        <f>IFERROR(VLOOKUP($P114,'CY Rushing Query'!$B:$O,7,FALSE)/VLOOKUP($P114,'CY Rushing Query'!$B:$O,5,FALSE),0)</f>
        <v>0</v>
      </c>
      <c r="AE114" s="10">
        <f>IFERROR(AVERAGE(VLOOKUP($P114,'PY Rushing'!$C:$P,8,FALSE)/VLOOKUP($P114,'PY Rushing'!$C:$P,5,FALSE),VLOOKUP($P114,'CY Rushing'!$C:$P,8,FALSE)/VLOOKUP($P114,'CY Rushing'!$C:$P,5,FALSE)),0)</f>
        <v>0</v>
      </c>
      <c r="AF114" s="10">
        <f>IFERROR(VLOOKUP($P114,'CY Rushing Query'!$B:$P,12,FALSE),0)</f>
        <v>0</v>
      </c>
      <c r="AG114" s="10">
        <f>IFERROR(VLOOKUP($P114,'CY Rushing Query'!$B:$P,9,FALSE)/VLOOKUP($P114,'CY Rushing Query'!$B:$P,5,FALSE),0)</f>
        <v>0</v>
      </c>
      <c r="AH114" s="10">
        <f>VLOOKUP($J114,'Vegas Odds'!$B:$S,18,FALSE)</f>
        <v>44.85966247691475</v>
      </c>
      <c r="AI114" s="10">
        <f>VLOOKUP($J114,'Vegas Odds'!$B:$S,17,FALSE)</f>
        <v>17.740337523085255</v>
      </c>
      <c r="AJ114">
        <f t="shared" si="39"/>
        <v>1</v>
      </c>
      <c r="AK114" s="10">
        <f t="shared" si="23"/>
        <v>0</v>
      </c>
      <c r="AL114" s="10">
        <f t="shared" si="24"/>
        <v>0</v>
      </c>
      <c r="AM114" s="10">
        <f>V114/'CY Defensive Stats Query'!$AD$34*'Fanduel Export'!Q114</f>
        <v>0</v>
      </c>
      <c r="AN114" s="10">
        <f t="shared" si="40"/>
        <v>0</v>
      </c>
      <c r="AO114" s="10">
        <f>IFERROR(IF(OR($B114="D",$B114="K"),0,VLOOKUP($P114,'CY Receving Query'!$B:$S,7,FALSE)/VLOOKUP($P114,'CY Receving Query'!$B:$S,5,FALSE)),0)*$AJ114</f>
        <v>0</v>
      </c>
      <c r="AP114" s="10">
        <f t="shared" si="25"/>
        <v>28.54982492997199</v>
      </c>
      <c r="AQ114" s="10">
        <f t="shared" si="26"/>
        <v>0</v>
      </c>
      <c r="AR114" s="16">
        <f t="shared" si="27"/>
        <v>0</v>
      </c>
      <c r="AS114" s="16">
        <f t="shared" si="28"/>
        <v>0</v>
      </c>
      <c r="AT114" s="16">
        <f>AA114/'CY Defensive Stats Query'!$AH$34
*'Fanduel Export'!S114</f>
        <v>0</v>
      </c>
      <c r="AU114" s="10">
        <f t="shared" si="41"/>
        <v>0</v>
      </c>
      <c r="AV114" s="10">
        <f t="shared" si="29"/>
        <v>0</v>
      </c>
      <c r="AW114" s="10">
        <f t="shared" si="30"/>
        <v>56.303606442577035</v>
      </c>
      <c r="AX114" s="10">
        <f t="shared" si="31"/>
        <v>0</v>
      </c>
      <c r="AY114" s="10">
        <f>AF114/'CY Defensive Stats Query'!$AF$34
*R114</f>
        <v>0</v>
      </c>
      <c r="AZ114" s="10">
        <f t="shared" si="42"/>
        <v>0</v>
      </c>
      <c r="BA114" s="16">
        <f t="shared" si="32"/>
        <v>0</v>
      </c>
      <c r="BB114" s="16">
        <f t="shared" si="33"/>
        <v>0</v>
      </c>
      <c r="BC114" s="10">
        <f t="shared" si="34"/>
        <v>0</v>
      </c>
      <c r="BD114" s="10">
        <f>IF(B114="QB",COUNTIFS($B$5:B114,B114,$J$5:J114,J114),1)</f>
        <v>1</v>
      </c>
      <c r="BE114" t="str">
        <f t="shared" si="35"/>
        <v>Jhamon Ausbon</v>
      </c>
      <c r="BF114">
        <f t="shared" si="36"/>
        <v>4500</v>
      </c>
      <c r="BG114" t="str">
        <f t="shared" si="37"/>
        <v>WR</v>
      </c>
      <c r="BH114" s="16">
        <f t="shared" si="38"/>
        <v>0</v>
      </c>
    </row>
    <row r="115" spans="1:60" x14ac:dyDescent="0.2">
      <c r="A115" t="s">
        <v>2891</v>
      </c>
      <c r="B115" t="s">
        <v>83</v>
      </c>
      <c r="C115" t="s">
        <v>2210</v>
      </c>
      <c r="D115" t="s">
        <v>2134</v>
      </c>
      <c r="E115" t="s">
        <v>2218</v>
      </c>
      <c r="F115">
        <v>2.5799999237060498</v>
      </c>
      <c r="G115">
        <v>5</v>
      </c>
      <c r="H115">
        <v>4500</v>
      </c>
      <c r="I115" t="s">
        <v>2720</v>
      </c>
      <c r="J115" t="s">
        <v>728</v>
      </c>
      <c r="K115" t="s">
        <v>102</v>
      </c>
      <c r="L115" t="s">
        <v>94</v>
      </c>
      <c r="M115" t="s">
        <v>2229</v>
      </c>
      <c r="O115" t="str">
        <f t="shared" si="22"/>
        <v>Justin Watson</v>
      </c>
      <c r="P115" t="str">
        <f>IFERROR(VLOOKUP(O:O,'Name Bridge'!A:B,2,FALSE),O:O)</f>
        <v>Justin Watson</v>
      </c>
      <c r="Q115" s="10">
        <f>VLOOKUP($K115,'CY Defensive Stats Query'!$AC:$AH,2,FALSE)</f>
        <v>5.9890109890109891</v>
      </c>
      <c r="R115" s="10">
        <f>VLOOKUP($K115,'CY Defensive Stats Query'!$AC:$AH,4,FALSE)</f>
        <v>3.8190476190476192</v>
      </c>
      <c r="S115" s="10">
        <f>VLOOKUP($K115,'CY Defensive Stats Query'!$AC:$AH,6,FALSE)</f>
        <v>8.515625</v>
      </c>
      <c r="T115" s="10">
        <f>IFERROR(VLOOKUP($P115,'CYPassing Query'!$B:$AE,9,FALSE)/VLOOKUP($P115,'CYPassing Query'!$B:$AE,5,FALSE),0)</f>
        <v>0</v>
      </c>
      <c r="U115" s="10">
        <f>IFERROR(VLOOKUP($P115,'CYPassing Query'!$B:$AE,11,FALSE)/VLOOKUP($P115,'CYPassing Query'!$B:$AE,5,FALSE),0)</f>
        <v>0</v>
      </c>
      <c r="V115" s="10">
        <f>IFERROR(VLOOKUP($P115,'CYPassing Query'!$B:$AE,18,FALSE),0)</f>
        <v>0</v>
      </c>
      <c r="W115" s="10">
        <f>IFERROR(VLOOKUP($P115,'CYPassing Query'!$B:$AE,12,FALSE)/VLOOKUP($P115,'CYPassing Query'!$B:$AE,5,FALSE),0)</f>
        <v>0</v>
      </c>
      <c r="X115" s="10">
        <f>IFERROR(IF(OR($B115="D",$B115="K"),0,VLOOKUP($P115,'CY Receving Query'!$B:$S,7,FALSE)/VLOOKUP($P115,'CY Receving Query'!$B:$S,5,FALSE)),0)*$AJ115</f>
        <v>0</v>
      </c>
      <c r="Y115" s="10">
        <f>IFERROR(VLOOKUP($P115,'CY Receving Query'!$B:$S,8,FALSE)/VLOOKUP($P115,'CY Receving Query'!$B:$S,5,FALSE),0)</f>
        <v>0</v>
      </c>
      <c r="Z115" s="10">
        <f>IFERROR(VLOOKUP($P115,'CY Receving Query'!$B:$S,10,FALSE)/VLOOKUP($P115,'CY Receving Query'!$B:$S,5,FALSE),0)</f>
        <v>0</v>
      </c>
      <c r="AA115" s="10">
        <f>IFERROR(VLOOKUP($P115,'CY Receving Query'!$B:$S,11,FALSE),0)</f>
        <v>0</v>
      </c>
      <c r="AB115" s="10">
        <f>IFERROR(AVERAGE(VLOOKUP($P115,'PY Receiving'!$C:$T,14,FALSE),VLOOKUP($P115,'CY Receiving'!$C:$T,14,FALSE)),0)</f>
        <v>0</v>
      </c>
      <c r="AC115" s="10">
        <f>IFERROR(VLOOKUP($P115,'CY Receving Query'!$B:$S,11,FALSE)/VLOOKUP($P115,'CY Receving Query'!$B:$S,5,FALSE),0)</f>
        <v>0</v>
      </c>
      <c r="AD115" s="10">
        <f>IFERROR(VLOOKUP($P115,'CY Rushing Query'!$B:$O,7,FALSE)/VLOOKUP($P115,'CY Rushing Query'!$B:$O,5,FALSE),0)</f>
        <v>0</v>
      </c>
      <c r="AE115" s="10">
        <f>IFERROR(AVERAGE(VLOOKUP($P115,'PY Rushing'!$C:$P,8,FALSE)/VLOOKUP($P115,'PY Rushing'!$C:$P,5,FALSE),VLOOKUP($P115,'CY Rushing'!$C:$P,8,FALSE)/VLOOKUP($P115,'CY Rushing'!$C:$P,5,FALSE)),0)</f>
        <v>0</v>
      </c>
      <c r="AF115" s="10">
        <f>IFERROR(VLOOKUP($P115,'CY Rushing Query'!$B:$P,12,FALSE),0)</f>
        <v>0</v>
      </c>
      <c r="AG115" s="10">
        <f>IFERROR(VLOOKUP($P115,'CY Rushing Query'!$B:$P,9,FALSE)/VLOOKUP($P115,'CY Rushing Query'!$B:$P,5,FALSE),0)</f>
        <v>0</v>
      </c>
      <c r="AH115" s="10">
        <f>VLOOKUP($J115,'Vegas Odds'!$B:$S,18,FALSE)</f>
        <v>34.555825588251061</v>
      </c>
      <c r="AI115" s="10">
        <f>VLOOKUP($J115,'Vegas Odds'!$B:$S,17,FALSE)</f>
        <v>27.844174411748938</v>
      </c>
      <c r="AJ115">
        <f t="shared" si="39"/>
        <v>1</v>
      </c>
      <c r="AK115" s="10">
        <f t="shared" si="23"/>
        <v>0</v>
      </c>
      <c r="AL115" s="10">
        <f t="shared" si="24"/>
        <v>0</v>
      </c>
      <c r="AM115" s="10">
        <f>V115/'CY Defensive Stats Query'!$AD$34*'Fanduel Export'!Q115</f>
        <v>0</v>
      </c>
      <c r="AN115" s="10">
        <f t="shared" si="40"/>
        <v>0</v>
      </c>
      <c r="AO115" s="10">
        <f>IFERROR(IF(OR($B115="D",$B115="K"),0,VLOOKUP($P115,'CY Receving Query'!$B:$S,7,FALSE)/VLOOKUP($P115,'CY Receving Query'!$B:$S,5,FALSE)),0)*$AJ115</f>
        <v>0</v>
      </c>
      <c r="AP115" s="10">
        <f t="shared" si="25"/>
        <v>25.587418300653596</v>
      </c>
      <c r="AQ115" s="10">
        <f t="shared" si="26"/>
        <v>0</v>
      </c>
      <c r="AR115" s="16">
        <f t="shared" si="27"/>
        <v>0</v>
      </c>
      <c r="AS115" s="16">
        <f t="shared" si="28"/>
        <v>0</v>
      </c>
      <c r="AT115" s="16">
        <f>AA115/'CY Defensive Stats Query'!$AH$34
*'Fanduel Export'!S115</f>
        <v>0</v>
      </c>
      <c r="AU115" s="10">
        <f t="shared" si="41"/>
        <v>0</v>
      </c>
      <c r="AV115" s="10">
        <f t="shared" si="29"/>
        <v>0</v>
      </c>
      <c r="AW115" s="10">
        <f t="shared" si="30"/>
        <v>12.022058823529411</v>
      </c>
      <c r="AX115" s="10">
        <f t="shared" si="31"/>
        <v>0</v>
      </c>
      <c r="AY115" s="10">
        <f>AF115/'CY Defensive Stats Query'!$AF$34
*R115</f>
        <v>0</v>
      </c>
      <c r="AZ115" s="10">
        <f t="shared" si="42"/>
        <v>0</v>
      </c>
      <c r="BA115" s="16">
        <f t="shared" si="32"/>
        <v>0</v>
      </c>
      <c r="BB115" s="16">
        <f t="shared" si="33"/>
        <v>0</v>
      </c>
      <c r="BC115" s="10">
        <f t="shared" si="34"/>
        <v>0</v>
      </c>
      <c r="BD115" s="10">
        <f>IF(B115="QB",COUNTIFS($B$5:B115,B115,$J$5:J115,J115),1)</f>
        <v>1</v>
      </c>
      <c r="BE115" t="str">
        <f t="shared" si="35"/>
        <v>Justin Watson</v>
      </c>
      <c r="BF115">
        <f t="shared" si="36"/>
        <v>4500</v>
      </c>
      <c r="BG115" t="str">
        <f t="shared" si="37"/>
        <v>WR</v>
      </c>
      <c r="BH115" s="16">
        <f t="shared" si="38"/>
        <v>0</v>
      </c>
    </row>
    <row r="116" spans="1:60" x14ac:dyDescent="0.2">
      <c r="A116" t="s">
        <v>2892</v>
      </c>
      <c r="B116" t="s">
        <v>83</v>
      </c>
      <c r="C116" t="s">
        <v>2893</v>
      </c>
      <c r="D116" t="s">
        <v>524</v>
      </c>
      <c r="E116" t="s">
        <v>2894</v>
      </c>
      <c r="F116">
        <v>1.09999998410542</v>
      </c>
      <c r="G116">
        <v>3</v>
      </c>
      <c r="H116">
        <v>4500</v>
      </c>
      <c r="I116" t="s">
        <v>2716</v>
      </c>
      <c r="J116" t="s">
        <v>81</v>
      </c>
      <c r="K116" t="s">
        <v>99</v>
      </c>
      <c r="O116" t="str">
        <f t="shared" si="22"/>
        <v>Daurice Fountain</v>
      </c>
      <c r="P116" t="str">
        <f>IFERROR(VLOOKUP(O:O,'Name Bridge'!A:B,2,FALSE),O:O)</f>
        <v>Daurice Fountain</v>
      </c>
      <c r="Q116" s="10">
        <f>VLOOKUP($K116,'CY Defensive Stats Query'!$AC:$AH,2,FALSE)</f>
        <v>7.5377358490566042</v>
      </c>
      <c r="R116" s="10">
        <f>VLOOKUP($K116,'CY Defensive Stats Query'!$AC:$AH,4,FALSE)</f>
        <v>3.5810810810810811</v>
      </c>
      <c r="S116" s="10">
        <f>VLOOKUP($K116,'CY Defensive Stats Query'!$AC:$AH,6,FALSE)</f>
        <v>11.097222222222221</v>
      </c>
      <c r="T116" s="10">
        <f>IFERROR(VLOOKUP($P116,'CYPassing Query'!$B:$AE,9,FALSE)/VLOOKUP($P116,'CYPassing Query'!$B:$AE,5,FALSE),0)</f>
        <v>0</v>
      </c>
      <c r="U116" s="10">
        <f>IFERROR(VLOOKUP($P116,'CYPassing Query'!$B:$AE,11,FALSE)/VLOOKUP($P116,'CYPassing Query'!$B:$AE,5,FALSE),0)</f>
        <v>0</v>
      </c>
      <c r="V116" s="10">
        <f>IFERROR(VLOOKUP($P116,'CYPassing Query'!$B:$AE,18,FALSE),0)</f>
        <v>0</v>
      </c>
      <c r="W116" s="10">
        <f>IFERROR(VLOOKUP($P116,'CYPassing Query'!$B:$AE,12,FALSE)/VLOOKUP($P116,'CYPassing Query'!$B:$AE,5,FALSE),0)</f>
        <v>0</v>
      </c>
      <c r="X116" s="10">
        <f>IFERROR(IF(OR($B116="D",$B116="K"),0,VLOOKUP($P116,'CY Receving Query'!$B:$S,7,FALSE)/VLOOKUP($P116,'CY Receving Query'!$B:$S,5,FALSE)),0)*$AJ116</f>
        <v>0</v>
      </c>
      <c r="Y116" s="10">
        <f>IFERROR(VLOOKUP($P116,'CY Receving Query'!$B:$S,8,FALSE)/VLOOKUP($P116,'CY Receving Query'!$B:$S,5,FALSE),0)</f>
        <v>0</v>
      </c>
      <c r="Z116" s="10">
        <f>IFERROR(VLOOKUP($P116,'CY Receving Query'!$B:$S,10,FALSE)/VLOOKUP($P116,'CY Receving Query'!$B:$S,5,FALSE),0)</f>
        <v>0</v>
      </c>
      <c r="AA116" s="10">
        <f>IFERROR(VLOOKUP($P116,'CY Receving Query'!$B:$S,11,FALSE),0)</f>
        <v>0</v>
      </c>
      <c r="AB116" s="10">
        <f>IFERROR(AVERAGE(VLOOKUP($P116,'PY Receiving'!$C:$T,14,FALSE),VLOOKUP($P116,'CY Receiving'!$C:$T,14,FALSE)),0)</f>
        <v>0</v>
      </c>
      <c r="AC116" s="10">
        <f>IFERROR(VLOOKUP($P116,'CY Receving Query'!$B:$S,11,FALSE)/VLOOKUP($P116,'CY Receving Query'!$B:$S,5,FALSE),0)</f>
        <v>0</v>
      </c>
      <c r="AD116" s="10">
        <f>IFERROR(VLOOKUP($P116,'CY Rushing Query'!$B:$O,7,FALSE)/VLOOKUP($P116,'CY Rushing Query'!$B:$O,5,FALSE),0)</f>
        <v>0</v>
      </c>
      <c r="AE116" s="10">
        <f>IFERROR(AVERAGE(VLOOKUP($P116,'PY Rushing'!$C:$P,8,FALSE)/VLOOKUP($P116,'PY Rushing'!$C:$P,5,FALSE),VLOOKUP($P116,'CY Rushing'!$C:$P,8,FALSE)/VLOOKUP($P116,'CY Rushing'!$C:$P,5,FALSE)),0)</f>
        <v>0</v>
      </c>
      <c r="AF116" s="10">
        <f>IFERROR(VLOOKUP($P116,'CY Rushing Query'!$B:$P,12,FALSE),0)</f>
        <v>0</v>
      </c>
      <c r="AG116" s="10">
        <f>IFERROR(VLOOKUP($P116,'CY Rushing Query'!$B:$P,9,FALSE)/VLOOKUP($P116,'CY Rushing Query'!$B:$P,5,FALSE),0)</f>
        <v>0</v>
      </c>
      <c r="AH116" s="10">
        <f>VLOOKUP($J116,'Vegas Odds'!$B:$S,18,FALSE)</f>
        <v>37.933262350936971</v>
      </c>
      <c r="AI116" s="10">
        <f>VLOOKUP($J116,'Vegas Odds'!$B:$S,17,FALSE)</f>
        <v>27.766737649063032</v>
      </c>
      <c r="AJ116">
        <f t="shared" si="39"/>
        <v>1</v>
      </c>
      <c r="AK116" s="10">
        <f t="shared" si="23"/>
        <v>0</v>
      </c>
      <c r="AL116" s="10">
        <f t="shared" si="24"/>
        <v>0</v>
      </c>
      <c r="AM116" s="10">
        <f>V116/'CY Defensive Stats Query'!$AD$34*'Fanduel Export'!Q116</f>
        <v>0</v>
      </c>
      <c r="AN116" s="10">
        <f t="shared" si="40"/>
        <v>0</v>
      </c>
      <c r="AO116" s="10">
        <f>IFERROR(IF(OR($B116="D",$B116="K"),0,VLOOKUP($P116,'CY Receving Query'!$B:$S,7,FALSE)/VLOOKUP($P116,'CY Receving Query'!$B:$S,5,FALSE)),0)*$AJ116</f>
        <v>0</v>
      </c>
      <c r="AP116" s="10">
        <f t="shared" si="25"/>
        <v>37.365221788015901</v>
      </c>
      <c r="AQ116" s="10">
        <f t="shared" si="26"/>
        <v>0</v>
      </c>
      <c r="AR116" s="16">
        <f t="shared" si="27"/>
        <v>0</v>
      </c>
      <c r="AS116" s="16">
        <f t="shared" si="28"/>
        <v>0</v>
      </c>
      <c r="AT116" s="16">
        <f>AA116/'CY Defensive Stats Query'!$AH$34
*'Fanduel Export'!S116</f>
        <v>0</v>
      </c>
      <c r="AU116" s="10">
        <f t="shared" si="41"/>
        <v>0</v>
      </c>
      <c r="AV116" s="10">
        <f t="shared" si="29"/>
        <v>0</v>
      </c>
      <c r="AW116" s="10">
        <f t="shared" si="30"/>
        <v>19.787381735911151</v>
      </c>
      <c r="AX116" s="10">
        <f t="shared" si="31"/>
        <v>0</v>
      </c>
      <c r="AY116" s="10">
        <f>AF116/'CY Defensive Stats Query'!$AF$34
*R116</f>
        <v>0</v>
      </c>
      <c r="AZ116" s="10">
        <f t="shared" si="42"/>
        <v>0</v>
      </c>
      <c r="BA116" s="16">
        <f t="shared" si="32"/>
        <v>0</v>
      </c>
      <c r="BB116" s="16">
        <f t="shared" si="33"/>
        <v>0</v>
      </c>
      <c r="BC116" s="10">
        <f t="shared" si="34"/>
        <v>0</v>
      </c>
      <c r="BD116" s="10">
        <f>IF(B116="QB",COUNTIFS($B$5:B116,B116,$J$5:J116,J116),1)</f>
        <v>1</v>
      </c>
      <c r="BE116" t="str">
        <f t="shared" si="35"/>
        <v>Daurice Fountain</v>
      </c>
      <c r="BF116">
        <f t="shared" si="36"/>
        <v>4500</v>
      </c>
      <c r="BG116" t="str">
        <f t="shared" si="37"/>
        <v>WR</v>
      </c>
      <c r="BH116" s="16">
        <f t="shared" si="38"/>
        <v>0</v>
      </c>
    </row>
    <row r="117" spans="1:60" hidden="1" x14ac:dyDescent="0.2">
      <c r="A117" t="s">
        <v>2895</v>
      </c>
      <c r="B117" t="s">
        <v>68</v>
      </c>
      <c r="C117" t="s">
        <v>2288</v>
      </c>
      <c r="D117" t="s">
        <v>1527</v>
      </c>
      <c r="E117" t="s">
        <v>2699</v>
      </c>
      <c r="F117">
        <v>-0.17777778042687301</v>
      </c>
      <c r="G117">
        <v>9</v>
      </c>
      <c r="H117">
        <v>4500</v>
      </c>
      <c r="I117" t="s">
        <v>2718</v>
      </c>
      <c r="J117" t="s">
        <v>138</v>
      </c>
      <c r="K117" t="s">
        <v>729</v>
      </c>
      <c r="L117" t="s">
        <v>182</v>
      </c>
      <c r="M117" t="s">
        <v>235</v>
      </c>
      <c r="O117" t="str">
        <f t="shared" si="22"/>
        <v>Trenton Cannon</v>
      </c>
      <c r="P117" t="str">
        <f>IFERROR(VLOOKUP(O:O,'Name Bridge'!A:B,2,FALSE),O:O)</f>
        <v>Trenton Cannon</v>
      </c>
      <c r="Q117" s="10">
        <f>VLOOKUP($K117,'CY Defensive Stats Query'!$AC:$AH,2,FALSE)</f>
        <v>7.6538461538461542</v>
      </c>
      <c r="R117" s="10">
        <f>VLOOKUP($K117,'CY Defensive Stats Query'!$AC:$AH,4,FALSE)</f>
        <v>4.6888888888888891</v>
      </c>
      <c r="S117" s="10">
        <f>VLOOKUP($K117,'CY Defensive Stats Query'!$AC:$AH,6,FALSE)</f>
        <v>11.306818181818182</v>
      </c>
      <c r="T117" s="10">
        <f>IFERROR(VLOOKUP($P117,'CYPassing Query'!$B:$AE,9,FALSE)/VLOOKUP($P117,'CYPassing Query'!$B:$AE,5,FALSE),0)</f>
        <v>0</v>
      </c>
      <c r="U117" s="10">
        <f>IFERROR(VLOOKUP($P117,'CYPassing Query'!$B:$AE,11,FALSE)/VLOOKUP($P117,'CYPassing Query'!$B:$AE,5,FALSE),0)</f>
        <v>0</v>
      </c>
      <c r="V117" s="10">
        <f>IFERROR(VLOOKUP($P117,'CYPassing Query'!$B:$AE,18,FALSE),0)</f>
        <v>0</v>
      </c>
      <c r="W117" s="10">
        <f>IFERROR(VLOOKUP($P117,'CYPassing Query'!$B:$AE,12,FALSE)/VLOOKUP($P117,'CYPassing Query'!$B:$AE,5,FALSE),0)</f>
        <v>0</v>
      </c>
      <c r="X117" s="10">
        <f>IFERROR(IF(OR($B117="D",$B117="K"),0,VLOOKUP($P117,'CY Receving Query'!$B:$S,7,FALSE)/VLOOKUP($P117,'CY Receving Query'!$B:$S,5,FALSE)),0)*$AJ117</f>
        <v>0</v>
      </c>
      <c r="Y117" s="10">
        <f>IFERROR(VLOOKUP($P117,'CY Receving Query'!$B:$S,8,FALSE)/VLOOKUP($P117,'CY Receving Query'!$B:$S,5,FALSE),0)</f>
        <v>0</v>
      </c>
      <c r="Z117" s="10">
        <f>IFERROR(VLOOKUP($P117,'CY Receving Query'!$B:$S,10,FALSE)/VLOOKUP($P117,'CY Receving Query'!$B:$S,5,FALSE),0)</f>
        <v>0</v>
      </c>
      <c r="AA117" s="10">
        <f>IFERROR(VLOOKUP($P117,'CY Receving Query'!$B:$S,11,FALSE),0)</f>
        <v>0</v>
      </c>
      <c r="AB117" s="10">
        <f>IFERROR(AVERAGE(VLOOKUP($P117,'PY Receiving'!$C:$T,14,FALSE),VLOOKUP($P117,'CY Receiving'!$C:$T,14,FALSE)),0)</f>
        <v>0</v>
      </c>
      <c r="AC117" s="10">
        <f>IFERROR(VLOOKUP($P117,'CY Receving Query'!$B:$S,11,FALSE)/VLOOKUP($P117,'CY Receving Query'!$B:$S,5,FALSE),0)</f>
        <v>0</v>
      </c>
      <c r="AD117" s="10">
        <f>IFERROR(VLOOKUP($P117,'CY Rushing Query'!$B:$O,7,FALSE)/VLOOKUP($P117,'CY Rushing Query'!$B:$O,5,FALSE),0)</f>
        <v>0.25</v>
      </c>
      <c r="AE117" s="10">
        <f>IFERROR(AVERAGE(VLOOKUP($P117,'PY Rushing'!$C:$P,8,FALSE)/VLOOKUP($P117,'PY Rushing'!$C:$P,5,FALSE),VLOOKUP($P117,'CY Rushing'!$C:$P,8,FALSE)/VLOOKUP($P117,'CY Rushing'!$C:$P,5,FALSE)),0)</f>
        <v>3.6785714285714288</v>
      </c>
      <c r="AF117" s="10">
        <f>IFERROR(VLOOKUP($P117,'CY Rushing Query'!$B:$P,12,FALSE),0)</f>
        <v>1.3</v>
      </c>
      <c r="AG117" s="10">
        <f>IFERROR(VLOOKUP($P117,'CY Rushing Query'!$B:$P,9,FALSE)/VLOOKUP($P117,'CY Rushing Query'!$B:$P,5,FALSE),0)</f>
        <v>0</v>
      </c>
      <c r="AH117" s="10">
        <f>VLOOKUP($J117,'Vegas Odds'!$B:$S,18,FALSE)</f>
        <v>32.679248170039784</v>
      </c>
      <c r="AI117" s="10">
        <f>VLOOKUP($J117,'Vegas Odds'!$B:$S,17,FALSE)</f>
        <v>32.620751829960213</v>
      </c>
      <c r="AJ117">
        <f t="shared" si="39"/>
        <v>0</v>
      </c>
      <c r="AK117" s="10">
        <f t="shared" si="23"/>
        <v>0</v>
      </c>
      <c r="AL117" s="10">
        <f t="shared" si="24"/>
        <v>0</v>
      </c>
      <c r="AM117" s="10">
        <f>V117/'CY Defensive Stats Query'!$AD$34*'Fanduel Export'!Q117</f>
        <v>0</v>
      </c>
      <c r="AN117" s="10">
        <f t="shared" si="40"/>
        <v>0</v>
      </c>
      <c r="AO117" s="10">
        <f>IFERROR(IF(OR($B117="D",$B117="K"),0,VLOOKUP($P117,'CY Receving Query'!$B:$S,7,FALSE)/VLOOKUP($P117,'CY Receving Query'!$B:$S,5,FALSE)),0)*$AJ117</f>
        <v>0</v>
      </c>
      <c r="AP117" s="10">
        <f t="shared" si="25"/>
        <v>29.704370384517439</v>
      </c>
      <c r="AQ117" s="10">
        <f t="shared" si="26"/>
        <v>0</v>
      </c>
      <c r="AR117" s="16">
        <f t="shared" si="27"/>
        <v>0</v>
      </c>
      <c r="AS117" s="16">
        <f t="shared" si="28"/>
        <v>0</v>
      </c>
      <c r="AT117" s="16">
        <f>AA117/'CY Defensive Stats Query'!$AH$34
*'Fanduel Export'!S117</f>
        <v>0</v>
      </c>
      <c r="AU117" s="10">
        <f t="shared" si="41"/>
        <v>0</v>
      </c>
      <c r="AV117" s="10">
        <f t="shared" si="29"/>
        <v>0</v>
      </c>
      <c r="AW117" s="10">
        <f t="shared" si="30"/>
        <v>40.335297300738475</v>
      </c>
      <c r="AX117" s="10">
        <f t="shared" si="31"/>
        <v>0</v>
      </c>
      <c r="AY117" s="10">
        <f>AF117/'CY Defensive Stats Query'!$AF$34
*R117</f>
        <v>1.4739665972209195</v>
      </c>
      <c r="AZ117" s="10">
        <f t="shared" si="42"/>
        <v>0</v>
      </c>
      <c r="BA117" s="16">
        <f t="shared" si="32"/>
        <v>0</v>
      </c>
      <c r="BB117" s="16">
        <f t="shared" si="33"/>
        <v>0</v>
      </c>
      <c r="BC117" s="10">
        <f t="shared" si="34"/>
        <v>0</v>
      </c>
      <c r="BD117" s="10">
        <f>IF(B117="QB",COUNTIFS($B$5:B117,B117,$J$5:J117,J117),1)</f>
        <v>1</v>
      </c>
      <c r="BE117" t="str">
        <f t="shared" si="35"/>
        <v>Trenton Cannon</v>
      </c>
      <c r="BF117">
        <f t="shared" si="36"/>
        <v>4500</v>
      </c>
      <c r="BG117" t="str">
        <f t="shared" si="37"/>
        <v>RB</v>
      </c>
      <c r="BH117" s="16">
        <f t="shared" si="38"/>
        <v>0</v>
      </c>
    </row>
    <row r="118" spans="1:60" x14ac:dyDescent="0.2">
      <c r="A118" t="s">
        <v>2896</v>
      </c>
      <c r="B118" t="s">
        <v>68</v>
      </c>
      <c r="C118" t="s">
        <v>2897</v>
      </c>
      <c r="D118" t="s">
        <v>2898</v>
      </c>
      <c r="E118" t="s">
        <v>2524</v>
      </c>
      <c r="H118">
        <v>4500</v>
      </c>
      <c r="I118" t="s">
        <v>2718</v>
      </c>
      <c r="J118" t="s">
        <v>729</v>
      </c>
      <c r="K118" t="s">
        <v>138</v>
      </c>
      <c r="O118" t="str">
        <f t="shared" si="22"/>
        <v>Brenden Knox</v>
      </c>
      <c r="P118" t="str">
        <f>IFERROR(VLOOKUP(O:O,'Name Bridge'!A:B,2,FALSE),O:O)</f>
        <v>Brenden Knox</v>
      </c>
      <c r="Q118" s="10">
        <f>VLOOKUP($K118,'CY Defensive Stats Query'!$AC:$AH,2,FALSE)</f>
        <v>6.5263157894736841</v>
      </c>
      <c r="R118" s="10">
        <f>VLOOKUP($K118,'CY Defensive Stats Query'!$AC:$AH,4,FALSE)</f>
        <v>4.7051282051282053</v>
      </c>
      <c r="S118" s="10">
        <f>VLOOKUP($K118,'CY Defensive Stats Query'!$AC:$AH,6,FALSE)</f>
        <v>10.191780821917808</v>
      </c>
      <c r="T118" s="10">
        <f>IFERROR(VLOOKUP($P118,'CYPassing Query'!$B:$AE,9,FALSE)/VLOOKUP($P118,'CYPassing Query'!$B:$AE,5,FALSE),0)</f>
        <v>0</v>
      </c>
      <c r="U118" s="10">
        <f>IFERROR(VLOOKUP($P118,'CYPassing Query'!$B:$AE,11,FALSE)/VLOOKUP($P118,'CYPassing Query'!$B:$AE,5,FALSE),0)</f>
        <v>0</v>
      </c>
      <c r="V118" s="10">
        <f>IFERROR(VLOOKUP($P118,'CYPassing Query'!$B:$AE,18,FALSE),0)</f>
        <v>0</v>
      </c>
      <c r="W118" s="10">
        <f>IFERROR(VLOOKUP($P118,'CYPassing Query'!$B:$AE,12,FALSE)/VLOOKUP($P118,'CYPassing Query'!$B:$AE,5,FALSE),0)</f>
        <v>0</v>
      </c>
      <c r="X118" s="10">
        <f>IFERROR(IF(OR($B118="D",$B118="K"),0,VLOOKUP($P118,'CY Receving Query'!$B:$S,7,FALSE)/VLOOKUP($P118,'CY Receving Query'!$B:$S,5,FALSE)),0)*$AJ118</f>
        <v>0</v>
      </c>
      <c r="Y118" s="10">
        <f>IFERROR(VLOOKUP($P118,'CY Receving Query'!$B:$S,8,FALSE)/VLOOKUP($P118,'CY Receving Query'!$B:$S,5,FALSE),0)</f>
        <v>0</v>
      </c>
      <c r="Z118" s="10">
        <f>IFERROR(VLOOKUP($P118,'CY Receving Query'!$B:$S,10,FALSE)/VLOOKUP($P118,'CY Receving Query'!$B:$S,5,FALSE),0)</f>
        <v>0</v>
      </c>
      <c r="AA118" s="10">
        <f>IFERROR(VLOOKUP($P118,'CY Receving Query'!$B:$S,11,FALSE),0)</f>
        <v>0</v>
      </c>
      <c r="AB118" s="10">
        <f>IFERROR(AVERAGE(VLOOKUP($P118,'PY Receiving'!$C:$T,14,FALSE),VLOOKUP($P118,'CY Receiving'!$C:$T,14,FALSE)),0)</f>
        <v>0</v>
      </c>
      <c r="AC118" s="10">
        <f>IFERROR(VLOOKUP($P118,'CY Receving Query'!$B:$S,11,FALSE)/VLOOKUP($P118,'CY Receving Query'!$B:$S,5,FALSE),0)</f>
        <v>0</v>
      </c>
      <c r="AD118" s="10">
        <f>IFERROR(VLOOKUP($P118,'CY Rushing Query'!$B:$O,7,FALSE)/VLOOKUP($P118,'CY Rushing Query'!$B:$O,5,FALSE),0)</f>
        <v>0</v>
      </c>
      <c r="AE118" s="10">
        <f>IFERROR(AVERAGE(VLOOKUP($P118,'PY Rushing'!$C:$P,8,FALSE)/VLOOKUP($P118,'PY Rushing'!$C:$P,5,FALSE),VLOOKUP($P118,'CY Rushing'!$C:$P,8,FALSE)/VLOOKUP($P118,'CY Rushing'!$C:$P,5,FALSE)),0)</f>
        <v>0</v>
      </c>
      <c r="AF118" s="10">
        <f>IFERROR(VLOOKUP($P118,'CY Rushing Query'!$B:$P,12,FALSE),0)</f>
        <v>0</v>
      </c>
      <c r="AG118" s="10">
        <f>IFERROR(VLOOKUP($P118,'CY Rushing Query'!$B:$P,9,FALSE)/VLOOKUP($P118,'CY Rushing Query'!$B:$P,5,FALSE),0)</f>
        <v>0</v>
      </c>
      <c r="AH118" s="10">
        <f>VLOOKUP($J118,'Vegas Odds'!$B:$S,18,FALSE)</f>
        <v>38.06292701199007</v>
      </c>
      <c r="AI118" s="10">
        <f>VLOOKUP($J118,'Vegas Odds'!$B:$S,17,FALSE)</f>
        <v>29.237072988009928</v>
      </c>
      <c r="AJ118">
        <f t="shared" si="39"/>
        <v>1</v>
      </c>
      <c r="AK118" s="10">
        <f t="shared" si="23"/>
        <v>0</v>
      </c>
      <c r="AL118" s="10">
        <f t="shared" si="24"/>
        <v>0</v>
      </c>
      <c r="AM118" s="10">
        <f>V118/'CY Defensive Stats Query'!$AD$34*'Fanduel Export'!Q118</f>
        <v>0</v>
      </c>
      <c r="AN118" s="10">
        <f t="shared" si="40"/>
        <v>0</v>
      </c>
      <c r="AO118" s="10">
        <f>IFERROR(IF(OR($B118="D",$B118="K"),0,VLOOKUP($P118,'CY Receving Query'!$B:$S,7,FALSE)/VLOOKUP($P118,'CY Receving Query'!$B:$S,5,FALSE)),0)*$AJ118</f>
        <v>0</v>
      </c>
      <c r="AP118" s="10">
        <f t="shared" si="25"/>
        <v>30.199512497306614</v>
      </c>
      <c r="AQ118" s="10">
        <f t="shared" si="26"/>
        <v>0</v>
      </c>
      <c r="AR118" s="16">
        <f t="shared" si="27"/>
        <v>0</v>
      </c>
      <c r="AS118" s="16">
        <f t="shared" si="28"/>
        <v>0</v>
      </c>
      <c r="AT118" s="16">
        <f>AA118/'CY Defensive Stats Query'!$AH$34
*'Fanduel Export'!S118</f>
        <v>0</v>
      </c>
      <c r="AU118" s="10">
        <f t="shared" si="41"/>
        <v>0</v>
      </c>
      <c r="AV118" s="10">
        <f t="shared" si="29"/>
        <v>0</v>
      </c>
      <c r="AW118" s="10">
        <f t="shared" si="30"/>
        <v>30.007352941176471</v>
      </c>
      <c r="AX118" s="10">
        <f t="shared" si="31"/>
        <v>0</v>
      </c>
      <c r="AY118" s="10">
        <f>AF118/'CY Defensive Stats Query'!$AF$34
*R118</f>
        <v>0</v>
      </c>
      <c r="AZ118" s="10">
        <f t="shared" si="42"/>
        <v>0</v>
      </c>
      <c r="BA118" s="16">
        <f t="shared" si="32"/>
        <v>0</v>
      </c>
      <c r="BB118" s="16">
        <f t="shared" si="33"/>
        <v>0</v>
      </c>
      <c r="BC118" s="10">
        <f t="shared" si="34"/>
        <v>0</v>
      </c>
      <c r="BD118" s="10">
        <f>IF(B118="QB",COUNTIFS($B$5:B118,B118,$J$5:J118,J118),1)</f>
        <v>1</v>
      </c>
      <c r="BE118" t="str">
        <f t="shared" si="35"/>
        <v>Brenden Knox</v>
      </c>
      <c r="BF118">
        <f t="shared" si="36"/>
        <v>4500</v>
      </c>
      <c r="BG118" t="str">
        <f t="shared" si="37"/>
        <v>RB</v>
      </c>
      <c r="BH118" s="16">
        <f t="shared" si="38"/>
        <v>0</v>
      </c>
    </row>
    <row r="119" spans="1:60" x14ac:dyDescent="0.2">
      <c r="A119" t="s">
        <v>2899</v>
      </c>
      <c r="B119" t="s">
        <v>68</v>
      </c>
      <c r="C119" t="s">
        <v>479</v>
      </c>
      <c r="D119" t="s">
        <v>480</v>
      </c>
      <c r="E119" t="s">
        <v>2570</v>
      </c>
      <c r="F119">
        <v>0.40000000596046398</v>
      </c>
      <c r="G119">
        <v>1</v>
      </c>
      <c r="H119">
        <v>4500</v>
      </c>
      <c r="I119" t="s">
        <v>2716</v>
      </c>
      <c r="J119" t="s">
        <v>99</v>
      </c>
      <c r="K119" t="s">
        <v>81</v>
      </c>
      <c r="O119" t="str">
        <f t="shared" si="22"/>
        <v>Tony Brooks-James</v>
      </c>
      <c r="P119" t="str">
        <f>IFERROR(VLOOKUP(O:O,'Name Bridge'!A:B,2,FALSE),O:O)</f>
        <v>Tony Brooks-James</v>
      </c>
      <c r="Q119" s="10">
        <f>VLOOKUP($K119,'CY Defensive Stats Query'!$AC:$AH,2,FALSE)</f>
        <v>8.7934782608695645</v>
      </c>
      <c r="R119" s="10">
        <f>VLOOKUP($K119,'CY Defensive Stats Query'!$AC:$AH,4,FALSE)</f>
        <v>5.404494382022472</v>
      </c>
      <c r="S119" s="10">
        <f>VLOOKUP($K119,'CY Defensive Stats Query'!$AC:$AH,6,FALSE)</f>
        <v>12.446153846153846</v>
      </c>
      <c r="T119" s="10">
        <f>IFERROR(VLOOKUP($P119,'CYPassing Query'!$B:$AE,9,FALSE)/VLOOKUP($P119,'CYPassing Query'!$B:$AE,5,FALSE),0)</f>
        <v>0</v>
      </c>
      <c r="U119" s="10">
        <f>IFERROR(VLOOKUP($P119,'CYPassing Query'!$B:$AE,11,FALSE)/VLOOKUP($P119,'CYPassing Query'!$B:$AE,5,FALSE),0)</f>
        <v>0</v>
      </c>
      <c r="V119" s="10">
        <f>IFERROR(VLOOKUP($P119,'CYPassing Query'!$B:$AE,18,FALSE),0)</f>
        <v>0</v>
      </c>
      <c r="W119" s="10">
        <f>IFERROR(VLOOKUP($P119,'CYPassing Query'!$B:$AE,12,FALSE)/VLOOKUP($P119,'CYPassing Query'!$B:$AE,5,FALSE),0)</f>
        <v>0</v>
      </c>
      <c r="X119" s="10">
        <f>IFERROR(IF(OR($B119="D",$B119="K"),0,VLOOKUP($P119,'CY Receving Query'!$B:$S,7,FALSE)/VLOOKUP($P119,'CY Receving Query'!$B:$S,5,FALSE)),0)*$AJ119</f>
        <v>0</v>
      </c>
      <c r="Y119" s="10">
        <f>IFERROR(VLOOKUP($P119,'CY Receving Query'!$B:$S,8,FALSE)/VLOOKUP($P119,'CY Receving Query'!$B:$S,5,FALSE),0)</f>
        <v>0</v>
      </c>
      <c r="Z119" s="10">
        <f>IFERROR(VLOOKUP($P119,'CY Receving Query'!$B:$S,10,FALSE)/VLOOKUP($P119,'CY Receving Query'!$B:$S,5,FALSE),0)</f>
        <v>0</v>
      </c>
      <c r="AA119" s="10">
        <f>IFERROR(VLOOKUP($P119,'CY Receving Query'!$B:$S,11,FALSE),0)</f>
        <v>0</v>
      </c>
      <c r="AB119" s="10">
        <f>IFERROR(AVERAGE(VLOOKUP($P119,'PY Receiving'!$C:$T,14,FALSE),VLOOKUP($P119,'CY Receiving'!$C:$T,14,FALSE)),0)</f>
        <v>0</v>
      </c>
      <c r="AC119" s="10">
        <f>IFERROR(VLOOKUP($P119,'CY Receving Query'!$B:$S,11,FALSE)/VLOOKUP($P119,'CY Receving Query'!$B:$S,5,FALSE),0)</f>
        <v>0</v>
      </c>
      <c r="AD119" s="10">
        <f>IFERROR(VLOOKUP($P119,'CY Rushing Query'!$B:$O,7,FALSE)/VLOOKUP($P119,'CY Rushing Query'!$B:$O,5,FALSE),0)</f>
        <v>0</v>
      </c>
      <c r="AE119" s="10">
        <f>IFERROR(AVERAGE(VLOOKUP($P119,'PY Rushing'!$C:$P,8,FALSE)/VLOOKUP($P119,'PY Rushing'!$C:$P,5,FALSE),VLOOKUP($P119,'CY Rushing'!$C:$P,8,FALSE)/VLOOKUP($P119,'CY Rushing'!$C:$P,5,FALSE)),0)</f>
        <v>0</v>
      </c>
      <c r="AF119" s="10">
        <f>IFERROR(VLOOKUP($P119,'CY Rushing Query'!$B:$P,12,FALSE),0)</f>
        <v>0</v>
      </c>
      <c r="AG119" s="10">
        <f>IFERROR(VLOOKUP($P119,'CY Rushing Query'!$B:$P,9,FALSE)/VLOOKUP($P119,'CY Rushing Query'!$B:$P,5,FALSE),0)</f>
        <v>0</v>
      </c>
      <c r="AH119" s="10">
        <f>VLOOKUP($J119,'Vegas Odds'!$B:$S,18,FALSE)</f>
        <v>40.088640957860363</v>
      </c>
      <c r="AI119" s="10">
        <f>VLOOKUP($J119,'Vegas Odds'!$B:$S,17,FALSE)</f>
        <v>25.511359042139631</v>
      </c>
      <c r="AJ119">
        <f t="shared" si="39"/>
        <v>1</v>
      </c>
      <c r="AK119" s="10">
        <f t="shared" si="23"/>
        <v>0</v>
      </c>
      <c r="AL119" s="10">
        <f t="shared" si="24"/>
        <v>0</v>
      </c>
      <c r="AM119" s="10">
        <f>V119/'CY Defensive Stats Query'!$AD$34*'Fanduel Export'!Q119</f>
        <v>0</v>
      </c>
      <c r="AN119" s="10">
        <f t="shared" si="40"/>
        <v>0</v>
      </c>
      <c r="AO119" s="10">
        <f>IFERROR(IF(OR($B119="D",$B119="K"),0,VLOOKUP($P119,'CY Receving Query'!$B:$S,7,FALSE)/VLOOKUP($P119,'CY Receving Query'!$B:$S,5,FALSE)),0)*$AJ119</f>
        <v>0</v>
      </c>
      <c r="AP119" s="10">
        <f t="shared" si="25"/>
        <v>32.289950980392156</v>
      </c>
      <c r="AQ119" s="10">
        <f t="shared" si="26"/>
        <v>0</v>
      </c>
      <c r="AR119" s="16">
        <f t="shared" si="27"/>
        <v>0</v>
      </c>
      <c r="AS119" s="16">
        <f t="shared" si="28"/>
        <v>0</v>
      </c>
      <c r="AT119" s="16">
        <f>AA119/'CY Defensive Stats Query'!$AH$34
*'Fanduel Export'!S119</f>
        <v>0</v>
      </c>
      <c r="AU119" s="10">
        <f t="shared" si="41"/>
        <v>0</v>
      </c>
      <c r="AV119" s="10">
        <f t="shared" si="29"/>
        <v>0</v>
      </c>
      <c r="AW119" s="10">
        <f t="shared" si="30"/>
        <v>7.4240196078431371</v>
      </c>
      <c r="AX119" s="10">
        <f t="shared" si="31"/>
        <v>0</v>
      </c>
      <c r="AY119" s="10">
        <f>AF119/'CY Defensive Stats Query'!$AF$34
*R119</f>
        <v>0</v>
      </c>
      <c r="AZ119" s="10">
        <f t="shared" si="42"/>
        <v>0</v>
      </c>
      <c r="BA119" s="16">
        <f t="shared" si="32"/>
        <v>0</v>
      </c>
      <c r="BB119" s="16">
        <f t="shared" si="33"/>
        <v>0</v>
      </c>
      <c r="BC119" s="10">
        <f t="shared" si="34"/>
        <v>0</v>
      </c>
      <c r="BD119" s="10">
        <f>IF(B119="QB",COUNTIFS($B$5:B119,B119,$J$5:J119,J119),1)</f>
        <v>1</v>
      </c>
      <c r="BE119" t="str">
        <f t="shared" si="35"/>
        <v>Tony Brooks-James</v>
      </c>
      <c r="BF119">
        <f t="shared" si="36"/>
        <v>4500</v>
      </c>
      <c r="BG119" t="str">
        <f t="shared" si="37"/>
        <v>RB</v>
      </c>
      <c r="BH119" s="16">
        <f t="shared" si="38"/>
        <v>0</v>
      </c>
    </row>
    <row r="120" spans="1:60" x14ac:dyDescent="0.2">
      <c r="A120" t="s">
        <v>2900</v>
      </c>
      <c r="B120" t="s">
        <v>68</v>
      </c>
      <c r="C120" t="s">
        <v>2557</v>
      </c>
      <c r="D120" t="s">
        <v>2558</v>
      </c>
      <c r="E120" t="s">
        <v>2559</v>
      </c>
      <c r="F120">
        <v>0</v>
      </c>
      <c r="G120">
        <v>2</v>
      </c>
      <c r="H120">
        <v>4500</v>
      </c>
      <c r="I120" t="s">
        <v>2716</v>
      </c>
      <c r="J120" t="s">
        <v>99</v>
      </c>
      <c r="K120" t="s">
        <v>81</v>
      </c>
      <c r="O120" t="str">
        <f t="shared" si="22"/>
        <v>Pete Guerriero</v>
      </c>
      <c r="P120" t="str">
        <f>IFERROR(VLOOKUP(O:O,'Name Bridge'!A:B,2,FALSE),O:O)</f>
        <v>Pete Guerriero</v>
      </c>
      <c r="Q120" s="10">
        <f>VLOOKUP($K120,'CY Defensive Stats Query'!$AC:$AH,2,FALSE)</f>
        <v>8.7934782608695645</v>
      </c>
      <c r="R120" s="10">
        <f>VLOOKUP($K120,'CY Defensive Stats Query'!$AC:$AH,4,FALSE)</f>
        <v>5.404494382022472</v>
      </c>
      <c r="S120" s="10">
        <f>VLOOKUP($K120,'CY Defensive Stats Query'!$AC:$AH,6,FALSE)</f>
        <v>12.446153846153846</v>
      </c>
      <c r="T120" s="10">
        <f>IFERROR(VLOOKUP($P120,'CYPassing Query'!$B:$AE,9,FALSE)/VLOOKUP($P120,'CYPassing Query'!$B:$AE,5,FALSE),0)</f>
        <v>0</v>
      </c>
      <c r="U120" s="10">
        <f>IFERROR(VLOOKUP($P120,'CYPassing Query'!$B:$AE,11,FALSE)/VLOOKUP($P120,'CYPassing Query'!$B:$AE,5,FALSE),0)</f>
        <v>0</v>
      </c>
      <c r="V120" s="10">
        <f>IFERROR(VLOOKUP($P120,'CYPassing Query'!$B:$AE,18,FALSE),0)</f>
        <v>0</v>
      </c>
      <c r="W120" s="10">
        <f>IFERROR(VLOOKUP($P120,'CYPassing Query'!$B:$AE,12,FALSE)/VLOOKUP($P120,'CYPassing Query'!$B:$AE,5,FALSE),0)</f>
        <v>0</v>
      </c>
      <c r="X120" s="10">
        <f>IFERROR(IF(OR($B120="D",$B120="K"),0,VLOOKUP($P120,'CY Receving Query'!$B:$S,7,FALSE)/VLOOKUP($P120,'CY Receving Query'!$B:$S,5,FALSE)),0)*$AJ120</f>
        <v>0</v>
      </c>
      <c r="Y120" s="10">
        <f>IFERROR(VLOOKUP($P120,'CY Receving Query'!$B:$S,8,FALSE)/VLOOKUP($P120,'CY Receving Query'!$B:$S,5,FALSE),0)</f>
        <v>0</v>
      </c>
      <c r="Z120" s="10">
        <f>IFERROR(VLOOKUP($P120,'CY Receving Query'!$B:$S,10,FALSE)/VLOOKUP($P120,'CY Receving Query'!$B:$S,5,FALSE),0)</f>
        <v>0</v>
      </c>
      <c r="AA120" s="10">
        <f>IFERROR(VLOOKUP($P120,'CY Receving Query'!$B:$S,11,FALSE),0)</f>
        <v>0</v>
      </c>
      <c r="AB120" s="10">
        <f>IFERROR(AVERAGE(VLOOKUP($P120,'PY Receiving'!$C:$T,14,FALSE),VLOOKUP($P120,'CY Receiving'!$C:$T,14,FALSE)),0)</f>
        <v>0</v>
      </c>
      <c r="AC120" s="10">
        <f>IFERROR(VLOOKUP($P120,'CY Receving Query'!$B:$S,11,FALSE)/VLOOKUP($P120,'CY Receving Query'!$B:$S,5,FALSE),0)</f>
        <v>0</v>
      </c>
      <c r="AD120" s="10">
        <f>IFERROR(VLOOKUP($P120,'CY Rushing Query'!$B:$O,7,FALSE)/VLOOKUP($P120,'CY Rushing Query'!$B:$O,5,FALSE),0)</f>
        <v>0</v>
      </c>
      <c r="AE120" s="10">
        <f>IFERROR(AVERAGE(VLOOKUP($P120,'PY Rushing'!$C:$P,8,FALSE)/VLOOKUP($P120,'PY Rushing'!$C:$P,5,FALSE),VLOOKUP($P120,'CY Rushing'!$C:$P,8,FALSE)/VLOOKUP($P120,'CY Rushing'!$C:$P,5,FALSE)),0)</f>
        <v>0</v>
      </c>
      <c r="AF120" s="10">
        <f>IFERROR(VLOOKUP($P120,'CY Rushing Query'!$B:$P,12,FALSE),0)</f>
        <v>0</v>
      </c>
      <c r="AG120" s="10">
        <f>IFERROR(VLOOKUP($P120,'CY Rushing Query'!$B:$P,9,FALSE)/VLOOKUP($P120,'CY Rushing Query'!$B:$P,5,FALSE),0)</f>
        <v>0</v>
      </c>
      <c r="AH120" s="10">
        <f>VLOOKUP($J120,'Vegas Odds'!$B:$S,18,FALSE)</f>
        <v>40.088640957860363</v>
      </c>
      <c r="AI120" s="10">
        <f>VLOOKUP($J120,'Vegas Odds'!$B:$S,17,FALSE)</f>
        <v>25.511359042139631</v>
      </c>
      <c r="AJ120">
        <f t="shared" si="39"/>
        <v>1</v>
      </c>
      <c r="AK120" s="10">
        <f t="shared" si="23"/>
        <v>0</v>
      </c>
      <c r="AL120" s="10">
        <f t="shared" si="24"/>
        <v>0</v>
      </c>
      <c r="AM120" s="10">
        <f>V120/'CY Defensive Stats Query'!$AD$34*'Fanduel Export'!Q120</f>
        <v>0</v>
      </c>
      <c r="AN120" s="10">
        <f t="shared" si="40"/>
        <v>0</v>
      </c>
      <c r="AO120" s="10">
        <f>IFERROR(IF(OR($B120="D",$B120="K"),0,VLOOKUP($P120,'CY Receving Query'!$B:$S,7,FALSE)/VLOOKUP($P120,'CY Receving Query'!$B:$S,5,FALSE)),0)*$AJ120</f>
        <v>0</v>
      </c>
      <c r="AP120" s="10">
        <f t="shared" si="25"/>
        <v>32.289950980392156</v>
      </c>
      <c r="AQ120" s="10">
        <f t="shared" si="26"/>
        <v>0</v>
      </c>
      <c r="AR120" s="16">
        <f t="shared" si="27"/>
        <v>0</v>
      </c>
      <c r="AS120" s="16">
        <f t="shared" si="28"/>
        <v>0</v>
      </c>
      <c r="AT120" s="16">
        <f>AA120/'CY Defensive Stats Query'!$AH$34
*'Fanduel Export'!S120</f>
        <v>0</v>
      </c>
      <c r="AU120" s="10">
        <f t="shared" si="41"/>
        <v>0</v>
      </c>
      <c r="AV120" s="10">
        <f t="shared" si="29"/>
        <v>0</v>
      </c>
      <c r="AW120" s="10">
        <f t="shared" si="30"/>
        <v>7.4240196078431371</v>
      </c>
      <c r="AX120" s="10">
        <f t="shared" si="31"/>
        <v>0</v>
      </c>
      <c r="AY120" s="10">
        <f>AF120/'CY Defensive Stats Query'!$AF$34
*R120</f>
        <v>0</v>
      </c>
      <c r="AZ120" s="10">
        <f t="shared" si="42"/>
        <v>0</v>
      </c>
      <c r="BA120" s="16">
        <f t="shared" si="32"/>
        <v>0</v>
      </c>
      <c r="BB120" s="16">
        <f t="shared" si="33"/>
        <v>0</v>
      </c>
      <c r="BC120" s="10">
        <f t="shared" si="34"/>
        <v>0</v>
      </c>
      <c r="BD120" s="10">
        <f>IF(B120="QB",COUNTIFS($B$5:B120,B120,$J$5:J120,J120),1)</f>
        <v>1</v>
      </c>
      <c r="BE120" t="str">
        <f t="shared" si="35"/>
        <v>Pete Guerriero</v>
      </c>
      <c r="BF120">
        <f t="shared" si="36"/>
        <v>4500</v>
      </c>
      <c r="BG120" t="str">
        <f t="shared" si="37"/>
        <v>RB</v>
      </c>
      <c r="BH120" s="16">
        <f t="shared" si="38"/>
        <v>0</v>
      </c>
    </row>
    <row r="121" spans="1:60" x14ac:dyDescent="0.2">
      <c r="A121" t="s">
        <v>2901</v>
      </c>
      <c r="B121" t="s">
        <v>68</v>
      </c>
      <c r="C121" t="s">
        <v>2619</v>
      </c>
      <c r="D121" t="s">
        <v>2620</v>
      </c>
      <c r="E121" t="s">
        <v>2621</v>
      </c>
      <c r="F121">
        <v>0</v>
      </c>
      <c r="G121">
        <v>3</v>
      </c>
      <c r="H121">
        <v>4500</v>
      </c>
      <c r="I121" t="s">
        <v>2720</v>
      </c>
      <c r="J121" t="s">
        <v>728</v>
      </c>
      <c r="K121" t="s">
        <v>102</v>
      </c>
      <c r="O121" t="str">
        <f t="shared" si="22"/>
        <v>Kenjon Barner</v>
      </c>
      <c r="P121" t="str">
        <f>IFERROR(VLOOKUP(O:O,'Name Bridge'!A:B,2,FALSE),O:O)</f>
        <v>Kenjon Barner</v>
      </c>
      <c r="Q121" s="10">
        <f>VLOOKUP($K121,'CY Defensive Stats Query'!$AC:$AH,2,FALSE)</f>
        <v>5.9890109890109891</v>
      </c>
      <c r="R121" s="10">
        <f>VLOOKUP($K121,'CY Defensive Stats Query'!$AC:$AH,4,FALSE)</f>
        <v>3.8190476190476192</v>
      </c>
      <c r="S121" s="10">
        <f>VLOOKUP($K121,'CY Defensive Stats Query'!$AC:$AH,6,FALSE)</f>
        <v>8.515625</v>
      </c>
      <c r="T121" s="10">
        <f>IFERROR(VLOOKUP($P121,'CYPassing Query'!$B:$AE,9,FALSE)/VLOOKUP($P121,'CYPassing Query'!$B:$AE,5,FALSE),0)</f>
        <v>0</v>
      </c>
      <c r="U121" s="10">
        <f>IFERROR(VLOOKUP($P121,'CYPassing Query'!$B:$AE,11,FALSE)/VLOOKUP($P121,'CYPassing Query'!$B:$AE,5,FALSE),0)</f>
        <v>0</v>
      </c>
      <c r="V121" s="10">
        <f>IFERROR(VLOOKUP($P121,'CYPassing Query'!$B:$AE,18,FALSE),0)</f>
        <v>0</v>
      </c>
      <c r="W121" s="10">
        <f>IFERROR(VLOOKUP($P121,'CYPassing Query'!$B:$AE,12,FALSE)/VLOOKUP($P121,'CYPassing Query'!$B:$AE,5,FALSE),0)</f>
        <v>0</v>
      </c>
      <c r="X121" s="10">
        <f>IFERROR(IF(OR($B121="D",$B121="K"),0,VLOOKUP($P121,'CY Receving Query'!$B:$S,7,FALSE)/VLOOKUP($P121,'CY Receving Query'!$B:$S,5,FALSE)),0)*$AJ121</f>
        <v>0</v>
      </c>
      <c r="Y121" s="10">
        <f>IFERROR(VLOOKUP($P121,'CY Receving Query'!$B:$S,8,FALSE)/VLOOKUP($P121,'CY Receving Query'!$B:$S,5,FALSE),0)</f>
        <v>0</v>
      </c>
      <c r="Z121" s="10">
        <f>IFERROR(VLOOKUP($P121,'CY Receving Query'!$B:$S,10,FALSE)/VLOOKUP($P121,'CY Receving Query'!$B:$S,5,FALSE),0)</f>
        <v>0</v>
      </c>
      <c r="AA121" s="10">
        <f>IFERROR(VLOOKUP($P121,'CY Receving Query'!$B:$S,11,FALSE),0)</f>
        <v>0</v>
      </c>
      <c r="AB121" s="10">
        <f>IFERROR(AVERAGE(VLOOKUP($P121,'PY Receiving'!$C:$T,14,FALSE),VLOOKUP($P121,'CY Receiving'!$C:$T,14,FALSE)),0)</f>
        <v>0</v>
      </c>
      <c r="AC121" s="10">
        <f>IFERROR(VLOOKUP($P121,'CY Receving Query'!$B:$S,11,FALSE)/VLOOKUP($P121,'CY Receving Query'!$B:$S,5,FALSE),0)</f>
        <v>0</v>
      </c>
      <c r="AD121" s="10">
        <f>IFERROR(VLOOKUP($P121,'CY Rushing Query'!$B:$O,7,FALSE)/VLOOKUP($P121,'CY Rushing Query'!$B:$O,5,FALSE),0)</f>
        <v>1.3333333333333333</v>
      </c>
      <c r="AE121" s="10">
        <f>IFERROR(AVERAGE(VLOOKUP($P121,'PY Rushing'!$C:$P,8,FALSE)/VLOOKUP($P121,'PY Rushing'!$C:$P,5,FALSE),VLOOKUP($P121,'CY Rushing'!$C:$P,8,FALSE)/VLOOKUP($P121,'CY Rushing'!$C:$P,5,FALSE)),0)</f>
        <v>0</v>
      </c>
      <c r="AF121" s="10">
        <f>IFERROR(VLOOKUP($P121,'CY Rushing Query'!$B:$P,12,FALSE),0)</f>
        <v>0</v>
      </c>
      <c r="AG121" s="10">
        <f>IFERROR(VLOOKUP($P121,'CY Rushing Query'!$B:$P,9,FALSE)/VLOOKUP($P121,'CY Rushing Query'!$B:$P,5,FALSE),0)</f>
        <v>0</v>
      </c>
      <c r="AH121" s="10">
        <f>VLOOKUP($J121,'Vegas Odds'!$B:$S,18,FALSE)</f>
        <v>34.555825588251061</v>
      </c>
      <c r="AI121" s="10">
        <f>VLOOKUP($J121,'Vegas Odds'!$B:$S,17,FALSE)</f>
        <v>27.844174411748938</v>
      </c>
      <c r="AJ121">
        <f t="shared" si="39"/>
        <v>1</v>
      </c>
      <c r="AK121" s="10">
        <f t="shared" si="23"/>
        <v>0</v>
      </c>
      <c r="AL121" s="10">
        <f t="shared" si="24"/>
        <v>0</v>
      </c>
      <c r="AM121" s="10">
        <f>V121/'CY Defensive Stats Query'!$AD$34*'Fanduel Export'!Q121</f>
        <v>0</v>
      </c>
      <c r="AN121" s="10">
        <f t="shared" si="40"/>
        <v>0</v>
      </c>
      <c r="AO121" s="10">
        <f>IFERROR(IF(OR($B121="D",$B121="K"),0,VLOOKUP($P121,'CY Receving Query'!$B:$S,7,FALSE)/VLOOKUP($P121,'CY Receving Query'!$B:$S,5,FALSE)),0)*$AJ121</f>
        <v>0</v>
      </c>
      <c r="AP121" s="10">
        <f t="shared" si="25"/>
        <v>25.587418300653596</v>
      </c>
      <c r="AQ121" s="10">
        <f t="shared" si="26"/>
        <v>0</v>
      </c>
      <c r="AR121" s="16">
        <f t="shared" si="27"/>
        <v>0</v>
      </c>
      <c r="AS121" s="16">
        <f t="shared" si="28"/>
        <v>0</v>
      </c>
      <c r="AT121" s="16">
        <f>AA121/'CY Defensive Stats Query'!$AH$34
*'Fanduel Export'!S121</f>
        <v>0</v>
      </c>
      <c r="AU121" s="10">
        <f t="shared" si="41"/>
        <v>0</v>
      </c>
      <c r="AV121" s="10">
        <f t="shared" si="29"/>
        <v>1.3333333333333333</v>
      </c>
      <c r="AW121" s="10">
        <f t="shared" si="30"/>
        <v>12.022058823529411</v>
      </c>
      <c r="AX121" s="10">
        <f t="shared" si="31"/>
        <v>3.0881204648300558</v>
      </c>
      <c r="AY121" s="10">
        <f>AF121/'CY Defensive Stats Query'!$AF$34
*R121</f>
        <v>0</v>
      </c>
      <c r="AZ121" s="10">
        <f t="shared" si="42"/>
        <v>0</v>
      </c>
      <c r="BA121" s="16">
        <f t="shared" si="32"/>
        <v>0</v>
      </c>
      <c r="BB121" s="16">
        <f t="shared" si="33"/>
        <v>0</v>
      </c>
      <c r="BC121" s="10">
        <f t="shared" si="34"/>
        <v>0</v>
      </c>
      <c r="BD121" s="10">
        <f>IF(B121="QB",COUNTIFS($B$5:B121,B121,$J$5:J121,J121),1)</f>
        <v>1</v>
      </c>
      <c r="BE121" t="str">
        <f t="shared" si="35"/>
        <v>Kenjon Barner</v>
      </c>
      <c r="BF121">
        <f t="shared" si="36"/>
        <v>4500</v>
      </c>
      <c r="BG121" t="str">
        <f t="shared" si="37"/>
        <v>RB</v>
      </c>
      <c r="BH121" s="16">
        <f t="shared" si="38"/>
        <v>0</v>
      </c>
    </row>
    <row r="122" spans="1:60" x14ac:dyDescent="0.2">
      <c r="A122" t="s">
        <v>2902</v>
      </c>
      <c r="B122" t="s">
        <v>83</v>
      </c>
      <c r="C122" t="s">
        <v>2903</v>
      </c>
      <c r="D122" t="s">
        <v>2394</v>
      </c>
      <c r="E122" t="s">
        <v>2904</v>
      </c>
      <c r="F122">
        <v>0</v>
      </c>
      <c r="G122">
        <v>2</v>
      </c>
      <c r="H122">
        <v>4500</v>
      </c>
      <c r="I122" t="s">
        <v>2720</v>
      </c>
      <c r="J122" t="s">
        <v>102</v>
      </c>
      <c r="K122" t="s">
        <v>728</v>
      </c>
      <c r="O122" t="str">
        <f t="shared" si="22"/>
        <v>Hakeem Butler</v>
      </c>
      <c r="P122" t="str">
        <f>IFERROR(VLOOKUP(O:O,'Name Bridge'!A:B,2,FALSE),O:O)</f>
        <v>Hakeem Butler</v>
      </c>
      <c r="Q122" s="10">
        <f>VLOOKUP($K122,'CY Defensive Stats Query'!$AC:$AH,2,FALSE)</f>
        <v>7.0486111111111107</v>
      </c>
      <c r="R122" s="10">
        <f>VLOOKUP($K122,'CY Defensive Stats Query'!$AC:$AH,4,FALSE)</f>
        <v>3.0806451612903225</v>
      </c>
      <c r="S122" s="10">
        <f>VLOOKUP($K122,'CY Defensive Stats Query'!$AC:$AH,6,FALSE)</f>
        <v>9.759615384615385</v>
      </c>
      <c r="T122" s="10">
        <f>IFERROR(VLOOKUP($P122,'CYPassing Query'!$B:$AE,9,FALSE)/VLOOKUP($P122,'CYPassing Query'!$B:$AE,5,FALSE),0)</f>
        <v>0</v>
      </c>
      <c r="U122" s="10">
        <f>IFERROR(VLOOKUP($P122,'CYPassing Query'!$B:$AE,11,FALSE)/VLOOKUP($P122,'CYPassing Query'!$B:$AE,5,FALSE),0)</f>
        <v>0</v>
      </c>
      <c r="V122" s="10">
        <f>IFERROR(VLOOKUP($P122,'CYPassing Query'!$B:$AE,18,FALSE),0)</f>
        <v>0</v>
      </c>
      <c r="W122" s="10">
        <f>IFERROR(VLOOKUP($P122,'CYPassing Query'!$B:$AE,12,FALSE)/VLOOKUP($P122,'CYPassing Query'!$B:$AE,5,FALSE),0)</f>
        <v>0</v>
      </c>
      <c r="X122" s="10">
        <f>IFERROR(IF(OR($B122="D",$B122="K"),0,VLOOKUP($P122,'CY Receving Query'!$B:$S,7,FALSE)/VLOOKUP($P122,'CY Receving Query'!$B:$S,5,FALSE)),0)*$AJ122</f>
        <v>0</v>
      </c>
      <c r="Y122" s="10">
        <f>IFERROR(VLOOKUP($P122,'CY Receving Query'!$B:$S,8,FALSE)/VLOOKUP($P122,'CY Receving Query'!$B:$S,5,FALSE),0)</f>
        <v>0</v>
      </c>
      <c r="Z122" s="10">
        <f>IFERROR(VLOOKUP($P122,'CY Receving Query'!$B:$S,10,FALSE)/VLOOKUP($P122,'CY Receving Query'!$B:$S,5,FALSE),0)</f>
        <v>0</v>
      </c>
      <c r="AA122" s="10">
        <f>IFERROR(VLOOKUP($P122,'CY Receving Query'!$B:$S,11,FALSE),0)</f>
        <v>0</v>
      </c>
      <c r="AB122" s="10">
        <f>IFERROR(AVERAGE(VLOOKUP($P122,'PY Receiving'!$C:$T,14,FALSE),VLOOKUP($P122,'CY Receiving'!$C:$T,14,FALSE)),0)</f>
        <v>0</v>
      </c>
      <c r="AC122" s="10">
        <f>IFERROR(VLOOKUP($P122,'CY Receving Query'!$B:$S,11,FALSE)/VLOOKUP($P122,'CY Receving Query'!$B:$S,5,FALSE),0)</f>
        <v>0</v>
      </c>
      <c r="AD122" s="10">
        <f>IFERROR(VLOOKUP($P122,'CY Rushing Query'!$B:$O,7,FALSE)/VLOOKUP($P122,'CY Rushing Query'!$B:$O,5,FALSE),0)</f>
        <v>0</v>
      </c>
      <c r="AE122" s="10">
        <f>IFERROR(AVERAGE(VLOOKUP($P122,'PY Rushing'!$C:$P,8,FALSE)/VLOOKUP($P122,'PY Rushing'!$C:$P,5,FALSE),VLOOKUP($P122,'CY Rushing'!$C:$P,8,FALSE)/VLOOKUP($P122,'CY Rushing'!$C:$P,5,FALSE)),0)</f>
        <v>0</v>
      </c>
      <c r="AF122" s="10">
        <f>IFERROR(VLOOKUP($P122,'CY Rushing Query'!$B:$P,12,FALSE),0)</f>
        <v>0</v>
      </c>
      <c r="AG122" s="10">
        <f>IFERROR(VLOOKUP($P122,'CY Rushing Query'!$B:$P,9,FALSE)/VLOOKUP($P122,'CY Rushing Query'!$B:$P,5,FALSE),0)</f>
        <v>0</v>
      </c>
      <c r="AH122" s="10">
        <f>VLOOKUP($J122,'Vegas Odds'!$B:$S,18,FALSE)</f>
        <v>44.85966247691475</v>
      </c>
      <c r="AI122" s="10">
        <f>VLOOKUP($J122,'Vegas Odds'!$B:$S,17,FALSE)</f>
        <v>17.740337523085255</v>
      </c>
      <c r="AJ122">
        <f t="shared" si="39"/>
        <v>1</v>
      </c>
      <c r="AK122" s="10">
        <f t="shared" si="23"/>
        <v>0</v>
      </c>
      <c r="AL122" s="10">
        <f t="shared" si="24"/>
        <v>0</v>
      </c>
      <c r="AM122" s="10">
        <f>V122/'CY Defensive Stats Query'!$AD$34*'Fanduel Export'!Q122</f>
        <v>0</v>
      </c>
      <c r="AN122" s="10">
        <f t="shared" si="40"/>
        <v>0</v>
      </c>
      <c r="AO122" s="10">
        <f>IFERROR(IF(OR($B122="D",$B122="K"),0,VLOOKUP($P122,'CY Receving Query'!$B:$S,7,FALSE)/VLOOKUP($P122,'CY Receving Query'!$B:$S,5,FALSE)),0)*$AJ122</f>
        <v>0</v>
      </c>
      <c r="AP122" s="10">
        <f t="shared" si="25"/>
        <v>28.54982492997199</v>
      </c>
      <c r="AQ122" s="10">
        <f t="shared" si="26"/>
        <v>0</v>
      </c>
      <c r="AR122" s="16">
        <f t="shared" si="27"/>
        <v>0</v>
      </c>
      <c r="AS122" s="16">
        <f t="shared" si="28"/>
        <v>0</v>
      </c>
      <c r="AT122" s="16">
        <f>AA122/'CY Defensive Stats Query'!$AH$34
*'Fanduel Export'!S122</f>
        <v>0</v>
      </c>
      <c r="AU122" s="10">
        <f t="shared" si="41"/>
        <v>0</v>
      </c>
      <c r="AV122" s="10">
        <f t="shared" si="29"/>
        <v>0</v>
      </c>
      <c r="AW122" s="10">
        <f t="shared" si="30"/>
        <v>56.303606442577035</v>
      </c>
      <c r="AX122" s="10">
        <f t="shared" si="31"/>
        <v>0</v>
      </c>
      <c r="AY122" s="10">
        <f>AF122/'CY Defensive Stats Query'!$AF$34
*R122</f>
        <v>0</v>
      </c>
      <c r="AZ122" s="10">
        <f t="shared" si="42"/>
        <v>0</v>
      </c>
      <c r="BA122" s="16">
        <f t="shared" si="32"/>
        <v>0</v>
      </c>
      <c r="BB122" s="16">
        <f t="shared" si="33"/>
        <v>0</v>
      </c>
      <c r="BC122" s="10">
        <f t="shared" si="34"/>
        <v>0</v>
      </c>
      <c r="BD122" s="10">
        <f>IF(B122="QB",COUNTIFS($B$5:B122,B122,$J$5:J122,J122),1)</f>
        <v>1</v>
      </c>
      <c r="BE122" t="str">
        <f t="shared" si="35"/>
        <v>Hakeem Butler</v>
      </c>
      <c r="BF122">
        <f t="shared" si="36"/>
        <v>4500</v>
      </c>
      <c r="BG122" t="str">
        <f t="shared" si="37"/>
        <v>WR</v>
      </c>
      <c r="BH122" s="16">
        <f t="shared" si="38"/>
        <v>0</v>
      </c>
    </row>
    <row r="123" spans="1:60" x14ac:dyDescent="0.2">
      <c r="A123" t="s">
        <v>2905</v>
      </c>
      <c r="B123" t="s">
        <v>83</v>
      </c>
      <c r="C123" t="s">
        <v>2571</v>
      </c>
      <c r="D123" t="s">
        <v>179</v>
      </c>
      <c r="E123" t="s">
        <v>2572</v>
      </c>
      <c r="F123">
        <v>5.4599998474121003</v>
      </c>
      <c r="G123">
        <v>5</v>
      </c>
      <c r="H123">
        <v>4500</v>
      </c>
      <c r="I123" t="s">
        <v>2716</v>
      </c>
      <c r="J123" t="s">
        <v>99</v>
      </c>
      <c r="K123" t="s">
        <v>81</v>
      </c>
      <c r="O123" t="str">
        <f t="shared" si="22"/>
        <v>JuJu Smith-Schuster</v>
      </c>
      <c r="P123" t="str">
        <f>IFERROR(VLOOKUP(O:O,'Name Bridge'!A:B,2,FALSE),O:O)</f>
        <v>JuJu Smith-Schuster</v>
      </c>
      <c r="Q123" s="10">
        <f>VLOOKUP($K123,'CY Defensive Stats Query'!$AC:$AH,2,FALSE)</f>
        <v>8.7934782608695645</v>
      </c>
      <c r="R123" s="10">
        <f>VLOOKUP($K123,'CY Defensive Stats Query'!$AC:$AH,4,FALSE)</f>
        <v>5.404494382022472</v>
      </c>
      <c r="S123" s="10">
        <f>VLOOKUP($K123,'CY Defensive Stats Query'!$AC:$AH,6,FALSE)</f>
        <v>12.446153846153846</v>
      </c>
      <c r="T123" s="10">
        <f>IFERROR(VLOOKUP($P123,'CYPassing Query'!$B:$AE,9,FALSE)/VLOOKUP($P123,'CYPassing Query'!$B:$AE,5,FALSE),0)</f>
        <v>0</v>
      </c>
      <c r="U123" s="10">
        <f>IFERROR(VLOOKUP($P123,'CYPassing Query'!$B:$AE,11,FALSE)/VLOOKUP($P123,'CYPassing Query'!$B:$AE,5,FALSE),0)</f>
        <v>0</v>
      </c>
      <c r="V123" s="10">
        <f>IFERROR(VLOOKUP($P123,'CYPassing Query'!$B:$AE,18,FALSE),0)</f>
        <v>0</v>
      </c>
      <c r="W123" s="10">
        <f>IFERROR(VLOOKUP($P123,'CYPassing Query'!$B:$AE,12,FALSE)/VLOOKUP($P123,'CYPassing Query'!$B:$AE,5,FALSE),0)</f>
        <v>0</v>
      </c>
      <c r="X123" s="10">
        <f>IFERROR(IF(OR($B123="D",$B123="K"),0,VLOOKUP($P123,'CY Receving Query'!$B:$S,7,FALSE)/VLOOKUP($P123,'CY Receving Query'!$B:$S,5,FALSE)),0)*$AJ123</f>
        <v>5.6</v>
      </c>
      <c r="Y123" s="10">
        <f>IFERROR(VLOOKUP($P123,'CY Receving Query'!$B:$S,8,FALSE)/VLOOKUP($P123,'CY Receving Query'!$B:$S,5,FALSE),0)</f>
        <v>3</v>
      </c>
      <c r="Z123" s="10">
        <f>IFERROR(VLOOKUP($P123,'CY Receving Query'!$B:$S,10,FALSE)/VLOOKUP($P123,'CY Receving Query'!$B:$S,5,FALSE),0)</f>
        <v>25.8</v>
      </c>
      <c r="AA123" s="10">
        <f>IFERROR(VLOOKUP($P123,'CY Receving Query'!$B:$S,11,FALSE),0)</f>
        <v>8.6</v>
      </c>
      <c r="AB123" s="10">
        <f>IFERROR(AVERAGE(VLOOKUP($P123,'PY Receiving'!$C:$T,14,FALSE),VLOOKUP($P123,'CY Receiving'!$C:$T,14,FALSE)),0)</f>
        <v>27.5</v>
      </c>
      <c r="AC123" s="10">
        <f>IFERROR(VLOOKUP($P123,'CY Receving Query'!$B:$S,11,FALSE)/VLOOKUP($P123,'CY Receving Query'!$B:$S,5,FALSE),0)</f>
        <v>1.72</v>
      </c>
      <c r="AD123" s="10">
        <f>IFERROR(VLOOKUP($P123,'CY Rushing Query'!$B:$O,7,FALSE)/VLOOKUP($P123,'CY Rushing Query'!$B:$O,5,FALSE),0)</f>
        <v>0.6</v>
      </c>
      <c r="AE123" s="10">
        <f>IFERROR(AVERAGE(VLOOKUP($P123,'PY Rushing'!$C:$P,8,FALSE)/VLOOKUP($P123,'PY Rushing'!$C:$P,5,FALSE),VLOOKUP($P123,'CY Rushing'!$C:$P,8,FALSE)/VLOOKUP($P123,'CY Rushing'!$C:$P,5,FALSE)),0)</f>
        <v>0</v>
      </c>
      <c r="AF123" s="10">
        <f>IFERROR(VLOOKUP($P123,'CY Rushing Query'!$B:$P,12,FALSE),0)</f>
        <v>3</v>
      </c>
      <c r="AG123" s="10">
        <f>IFERROR(VLOOKUP($P123,'CY Rushing Query'!$B:$P,9,FALSE)/VLOOKUP($P123,'CY Rushing Query'!$B:$P,5,FALSE),0)</f>
        <v>0.2</v>
      </c>
      <c r="AH123" s="10">
        <f>VLOOKUP($J123,'Vegas Odds'!$B:$S,18,FALSE)</f>
        <v>40.088640957860363</v>
      </c>
      <c r="AI123" s="10">
        <f>VLOOKUP($J123,'Vegas Odds'!$B:$S,17,FALSE)</f>
        <v>25.511359042139631</v>
      </c>
      <c r="AJ123">
        <f t="shared" si="39"/>
        <v>1</v>
      </c>
      <c r="AK123" s="10">
        <f t="shared" si="23"/>
        <v>0</v>
      </c>
      <c r="AL123" s="10">
        <f t="shared" si="24"/>
        <v>0</v>
      </c>
      <c r="AM123" s="10">
        <f>V123/'CY Defensive Stats Query'!$AD$34*'Fanduel Export'!Q123</f>
        <v>0</v>
      </c>
      <c r="AN123" s="10">
        <f t="shared" si="40"/>
        <v>0</v>
      </c>
      <c r="AO123" s="10">
        <f>IFERROR(IF(OR($B123="D",$B123="K"),0,VLOOKUP($P123,'CY Receving Query'!$B:$S,7,FALSE)/VLOOKUP($P123,'CY Receving Query'!$B:$S,5,FALSE)),0)*$AJ123</f>
        <v>5.6</v>
      </c>
      <c r="AP123" s="10">
        <f t="shared" si="25"/>
        <v>32.289950980392156</v>
      </c>
      <c r="AQ123" s="10">
        <f t="shared" si="26"/>
        <v>6.9525156448934178</v>
      </c>
      <c r="AR123" s="16">
        <f t="shared" si="27"/>
        <v>3</v>
      </c>
      <c r="AS123" s="16">
        <f t="shared" si="28"/>
        <v>3.7245619526214737</v>
      </c>
      <c r="AT123" s="16">
        <f>AA123/'CY Defensive Stats Query'!$AH$34
*'Fanduel Export'!S123</f>
        <v>10.180479842533053</v>
      </c>
      <c r="AU123" s="10">
        <f t="shared" si="41"/>
        <v>37.917827880928463</v>
      </c>
      <c r="AV123" s="10">
        <f t="shared" si="29"/>
        <v>0.6</v>
      </c>
      <c r="AW123" s="10">
        <f t="shared" si="30"/>
        <v>7.4240196078431371</v>
      </c>
      <c r="AX123" s="10">
        <f t="shared" si="31"/>
        <v>2.0617962012267355</v>
      </c>
      <c r="AY123" s="10">
        <f>AF123/'CY Defensive Stats Query'!$AF$34
*R123</f>
        <v>3.9205831796786255</v>
      </c>
      <c r="AZ123" s="10">
        <f t="shared" si="42"/>
        <v>8.0834435064548256</v>
      </c>
      <c r="BA123" s="16">
        <f t="shared" si="32"/>
        <v>6.1001271387383289</v>
      </c>
      <c r="BB123" s="16">
        <f t="shared" si="33"/>
        <v>1.3555838086085175</v>
      </c>
      <c r="BC123" s="10">
        <f t="shared" si="34"/>
        <v>1.2444444444444445</v>
      </c>
      <c r="BD123" s="10">
        <f>IF(B123="QB",COUNTIFS($B$5:B123,B123,$J$5:J123,J123),1)</f>
        <v>1</v>
      </c>
      <c r="BE123" t="str">
        <f t="shared" si="35"/>
        <v>JuJu Smith-Schuster</v>
      </c>
      <c r="BF123">
        <f t="shared" si="36"/>
        <v>4500</v>
      </c>
      <c r="BG123" t="str">
        <f t="shared" si="37"/>
        <v>WR</v>
      </c>
      <c r="BH123" s="16">
        <f t="shared" si="38"/>
        <v>6.1001271387383289</v>
      </c>
    </row>
    <row r="124" spans="1:60" hidden="1" x14ac:dyDescent="0.2">
      <c r="A124" t="s">
        <v>2906</v>
      </c>
      <c r="B124" t="s">
        <v>83</v>
      </c>
      <c r="C124" t="s">
        <v>2209</v>
      </c>
      <c r="D124" t="s">
        <v>2423</v>
      </c>
      <c r="E124" t="s">
        <v>2700</v>
      </c>
      <c r="F124">
        <v>0</v>
      </c>
      <c r="G124">
        <v>1</v>
      </c>
      <c r="H124">
        <v>4500</v>
      </c>
      <c r="I124" t="s">
        <v>2718</v>
      </c>
      <c r="J124" t="s">
        <v>138</v>
      </c>
      <c r="K124" t="s">
        <v>729</v>
      </c>
      <c r="L124" t="s">
        <v>124</v>
      </c>
      <c r="M124" t="s">
        <v>183</v>
      </c>
      <c r="O124" t="str">
        <f t="shared" si="22"/>
        <v>Jalen Hurd</v>
      </c>
      <c r="P124" t="str">
        <f>IFERROR(VLOOKUP(O:O,'Name Bridge'!A:B,2,FALSE),O:O)</f>
        <v>Jalen Hurd</v>
      </c>
      <c r="Q124" s="10">
        <f>VLOOKUP($K124,'CY Defensive Stats Query'!$AC:$AH,2,FALSE)</f>
        <v>7.6538461538461542</v>
      </c>
      <c r="R124" s="10">
        <f>VLOOKUP($K124,'CY Defensive Stats Query'!$AC:$AH,4,FALSE)</f>
        <v>4.6888888888888891</v>
      </c>
      <c r="S124" s="10">
        <f>VLOOKUP($K124,'CY Defensive Stats Query'!$AC:$AH,6,FALSE)</f>
        <v>11.306818181818182</v>
      </c>
      <c r="T124" s="10">
        <f>IFERROR(VLOOKUP($P124,'CYPassing Query'!$B:$AE,9,FALSE)/VLOOKUP($P124,'CYPassing Query'!$B:$AE,5,FALSE),0)</f>
        <v>0</v>
      </c>
      <c r="U124" s="10">
        <f>IFERROR(VLOOKUP($P124,'CYPassing Query'!$B:$AE,11,FALSE)/VLOOKUP($P124,'CYPassing Query'!$B:$AE,5,FALSE),0)</f>
        <v>0</v>
      </c>
      <c r="V124" s="10">
        <f>IFERROR(VLOOKUP($P124,'CYPassing Query'!$B:$AE,18,FALSE),0)</f>
        <v>0</v>
      </c>
      <c r="W124" s="10">
        <f>IFERROR(VLOOKUP($P124,'CYPassing Query'!$B:$AE,12,FALSE)/VLOOKUP($P124,'CYPassing Query'!$B:$AE,5,FALSE),0)</f>
        <v>0</v>
      </c>
      <c r="X124" s="10">
        <f>IFERROR(IF(OR($B124="D",$B124="K"),0,VLOOKUP($P124,'CY Receving Query'!$B:$S,7,FALSE)/VLOOKUP($P124,'CY Receving Query'!$B:$S,5,FALSE)),0)*$AJ124</f>
        <v>0</v>
      </c>
      <c r="Y124" s="10">
        <f>IFERROR(VLOOKUP($P124,'CY Receving Query'!$B:$S,8,FALSE)/VLOOKUP($P124,'CY Receving Query'!$B:$S,5,FALSE),0)</f>
        <v>0</v>
      </c>
      <c r="Z124" s="10">
        <f>IFERROR(VLOOKUP($P124,'CY Receving Query'!$B:$S,10,FALSE)/VLOOKUP($P124,'CY Receving Query'!$B:$S,5,FALSE),0)</f>
        <v>0</v>
      </c>
      <c r="AA124" s="10">
        <f>IFERROR(VLOOKUP($P124,'CY Receving Query'!$B:$S,11,FALSE),0)</f>
        <v>0</v>
      </c>
      <c r="AB124" s="10">
        <f>IFERROR(AVERAGE(VLOOKUP($P124,'PY Receiving'!$C:$T,14,FALSE),VLOOKUP($P124,'CY Receiving'!$C:$T,14,FALSE)),0)</f>
        <v>0</v>
      </c>
      <c r="AC124" s="10">
        <f>IFERROR(VLOOKUP($P124,'CY Receving Query'!$B:$S,11,FALSE)/VLOOKUP($P124,'CY Receving Query'!$B:$S,5,FALSE),0)</f>
        <v>0</v>
      </c>
      <c r="AD124" s="10">
        <f>IFERROR(VLOOKUP($P124,'CY Rushing Query'!$B:$O,7,FALSE)/VLOOKUP($P124,'CY Rushing Query'!$B:$O,5,FALSE),0)</f>
        <v>0</v>
      </c>
      <c r="AE124" s="10">
        <f>IFERROR(AVERAGE(VLOOKUP($P124,'PY Rushing'!$C:$P,8,FALSE)/VLOOKUP($P124,'PY Rushing'!$C:$P,5,FALSE),VLOOKUP($P124,'CY Rushing'!$C:$P,8,FALSE)/VLOOKUP($P124,'CY Rushing'!$C:$P,5,FALSE)),0)</f>
        <v>0</v>
      </c>
      <c r="AF124" s="10">
        <f>IFERROR(VLOOKUP($P124,'CY Rushing Query'!$B:$P,12,FALSE),0)</f>
        <v>0</v>
      </c>
      <c r="AG124" s="10">
        <f>IFERROR(VLOOKUP($P124,'CY Rushing Query'!$B:$P,9,FALSE)/VLOOKUP($P124,'CY Rushing Query'!$B:$P,5,FALSE),0)</f>
        <v>0</v>
      </c>
      <c r="AH124" s="10">
        <f>VLOOKUP($J124,'Vegas Odds'!$B:$S,18,FALSE)</f>
        <v>32.679248170039784</v>
      </c>
      <c r="AI124" s="10">
        <f>VLOOKUP($J124,'Vegas Odds'!$B:$S,17,FALSE)</f>
        <v>32.620751829960213</v>
      </c>
      <c r="AJ124">
        <f t="shared" si="39"/>
        <v>0</v>
      </c>
      <c r="AK124" s="10">
        <f t="shared" si="23"/>
        <v>0</v>
      </c>
      <c r="AL124" s="10">
        <f t="shared" si="24"/>
        <v>0</v>
      </c>
      <c r="AM124" s="10">
        <f>V124/'CY Defensive Stats Query'!$AD$34*'Fanduel Export'!Q124</f>
        <v>0</v>
      </c>
      <c r="AN124" s="10">
        <f t="shared" si="40"/>
        <v>0</v>
      </c>
      <c r="AO124" s="10">
        <f>IFERROR(IF(OR($B124="D",$B124="K"),0,VLOOKUP($P124,'CY Receving Query'!$B:$S,7,FALSE)/VLOOKUP($P124,'CY Receving Query'!$B:$S,5,FALSE)),0)*$AJ124</f>
        <v>0</v>
      </c>
      <c r="AP124" s="10">
        <f t="shared" si="25"/>
        <v>29.704370384517439</v>
      </c>
      <c r="AQ124" s="10">
        <f t="shared" si="26"/>
        <v>0</v>
      </c>
      <c r="AR124" s="16">
        <f t="shared" si="27"/>
        <v>0</v>
      </c>
      <c r="AS124" s="16">
        <f t="shared" si="28"/>
        <v>0</v>
      </c>
      <c r="AT124" s="16">
        <f>AA124/'CY Defensive Stats Query'!$AH$34
*'Fanduel Export'!S124</f>
        <v>0</v>
      </c>
      <c r="AU124" s="10">
        <f t="shared" si="41"/>
        <v>0</v>
      </c>
      <c r="AV124" s="10">
        <f t="shared" si="29"/>
        <v>0</v>
      </c>
      <c r="AW124" s="10">
        <f t="shared" si="30"/>
        <v>40.335297300738475</v>
      </c>
      <c r="AX124" s="10">
        <f t="shared" si="31"/>
        <v>0</v>
      </c>
      <c r="AY124" s="10">
        <f>AF124/'CY Defensive Stats Query'!$AF$34
*R124</f>
        <v>0</v>
      </c>
      <c r="AZ124" s="10">
        <f t="shared" si="42"/>
        <v>0</v>
      </c>
      <c r="BA124" s="16">
        <f t="shared" si="32"/>
        <v>0</v>
      </c>
      <c r="BB124" s="16">
        <f t="shared" si="33"/>
        <v>0</v>
      </c>
      <c r="BC124" s="10">
        <f t="shared" si="34"/>
        <v>0</v>
      </c>
      <c r="BD124" s="10">
        <f>IF(B124="QB",COUNTIFS($B$5:B124,B124,$J$5:J124,J124),1)</f>
        <v>1</v>
      </c>
      <c r="BE124" t="str">
        <f t="shared" si="35"/>
        <v>Jalen Hurd</v>
      </c>
      <c r="BF124">
        <f t="shared" si="36"/>
        <v>4500</v>
      </c>
      <c r="BG124" t="str">
        <f t="shared" si="37"/>
        <v>WR</v>
      </c>
      <c r="BH124" s="16">
        <f t="shared" si="38"/>
        <v>0</v>
      </c>
    </row>
    <row r="125" spans="1:60" hidden="1" x14ac:dyDescent="0.2">
      <c r="A125" t="s">
        <v>2907</v>
      </c>
      <c r="B125" t="s">
        <v>88</v>
      </c>
      <c r="C125" t="s">
        <v>2255</v>
      </c>
      <c r="D125" t="s">
        <v>292</v>
      </c>
      <c r="E125" t="s">
        <v>2550</v>
      </c>
      <c r="F125">
        <v>3.3125</v>
      </c>
      <c r="G125">
        <v>8</v>
      </c>
      <c r="H125">
        <v>4500</v>
      </c>
      <c r="I125" t="s">
        <v>2716</v>
      </c>
      <c r="J125" t="s">
        <v>99</v>
      </c>
      <c r="K125" t="s">
        <v>81</v>
      </c>
      <c r="L125" t="s">
        <v>182</v>
      </c>
      <c r="M125" t="s">
        <v>183</v>
      </c>
      <c r="O125" t="str">
        <f t="shared" si="22"/>
        <v>Eric Ebron</v>
      </c>
      <c r="P125" t="str">
        <f>IFERROR(VLOOKUP(O:O,'Name Bridge'!A:B,2,FALSE),O:O)</f>
        <v>Eric Ebron</v>
      </c>
      <c r="Q125" s="10">
        <f>VLOOKUP($K125,'CY Defensive Stats Query'!$AC:$AH,2,FALSE)</f>
        <v>8.7934782608695645</v>
      </c>
      <c r="R125" s="10">
        <f>VLOOKUP($K125,'CY Defensive Stats Query'!$AC:$AH,4,FALSE)</f>
        <v>5.404494382022472</v>
      </c>
      <c r="S125" s="10">
        <f>VLOOKUP($K125,'CY Defensive Stats Query'!$AC:$AH,6,FALSE)</f>
        <v>12.446153846153846</v>
      </c>
      <c r="T125" s="10">
        <f>IFERROR(VLOOKUP($P125,'CYPassing Query'!$B:$AE,9,FALSE)/VLOOKUP($P125,'CYPassing Query'!$B:$AE,5,FALSE),0)</f>
        <v>0</v>
      </c>
      <c r="U125" s="10">
        <f>IFERROR(VLOOKUP($P125,'CYPassing Query'!$B:$AE,11,FALSE)/VLOOKUP($P125,'CYPassing Query'!$B:$AE,5,FALSE),0)</f>
        <v>0</v>
      </c>
      <c r="V125" s="10">
        <f>IFERROR(VLOOKUP($P125,'CYPassing Query'!$B:$AE,18,FALSE),0)</f>
        <v>0</v>
      </c>
      <c r="W125" s="10">
        <f>IFERROR(VLOOKUP($P125,'CYPassing Query'!$B:$AE,12,FALSE)/VLOOKUP($P125,'CYPassing Query'!$B:$AE,5,FALSE),0)</f>
        <v>0</v>
      </c>
      <c r="X125" s="10">
        <f>IFERROR(IF(OR($B125="D",$B125="K"),0,VLOOKUP($P125,'CY Receving Query'!$B:$S,7,FALSE)/VLOOKUP($P125,'CY Receving Query'!$B:$S,5,FALSE)),0)*$AJ125</f>
        <v>0</v>
      </c>
      <c r="Y125" s="10">
        <f>IFERROR(VLOOKUP($P125,'CY Receving Query'!$B:$S,8,FALSE)/VLOOKUP($P125,'CY Receving Query'!$B:$S,5,FALSE),0)</f>
        <v>1.5</v>
      </c>
      <c r="Z125" s="10">
        <f>IFERROR(VLOOKUP($P125,'CY Receving Query'!$B:$S,10,FALSE)/VLOOKUP($P125,'CY Receving Query'!$B:$S,5,FALSE),0)</f>
        <v>10.5</v>
      </c>
      <c r="AA125" s="10">
        <f>IFERROR(VLOOKUP($P125,'CY Receving Query'!$B:$S,11,FALSE),0)</f>
        <v>7</v>
      </c>
      <c r="AB125" s="10">
        <f>IFERROR(AVERAGE(VLOOKUP($P125,'PY Receiving'!$C:$T,14,FALSE),VLOOKUP($P125,'CY Receiving'!$C:$T,14,FALSE)),0)</f>
        <v>23</v>
      </c>
      <c r="AC125" s="10">
        <f>IFERROR(VLOOKUP($P125,'CY Receving Query'!$B:$S,11,FALSE)/VLOOKUP($P125,'CY Receving Query'!$B:$S,5,FALSE),0)</f>
        <v>0.875</v>
      </c>
      <c r="AD125" s="10">
        <f>IFERROR(VLOOKUP($P125,'CY Rushing Query'!$B:$O,7,FALSE)/VLOOKUP($P125,'CY Rushing Query'!$B:$O,5,FALSE),0)</f>
        <v>0.125</v>
      </c>
      <c r="AE125" s="10">
        <f>IFERROR(AVERAGE(VLOOKUP($P125,'PY Rushing'!$C:$P,8,FALSE)/VLOOKUP($P125,'PY Rushing'!$C:$P,5,FALSE),VLOOKUP($P125,'CY Rushing'!$C:$P,8,FALSE)/VLOOKUP($P125,'CY Rushing'!$C:$P,5,FALSE)),0)</f>
        <v>0</v>
      </c>
      <c r="AF125" s="10">
        <f>IFERROR(VLOOKUP($P125,'CY Rushing Query'!$B:$P,12,FALSE),0)</f>
        <v>1</v>
      </c>
      <c r="AG125" s="10">
        <f>IFERROR(VLOOKUP($P125,'CY Rushing Query'!$B:$P,9,FALSE)/VLOOKUP($P125,'CY Rushing Query'!$B:$P,5,FALSE),0)</f>
        <v>0.125</v>
      </c>
      <c r="AH125" s="10">
        <f>VLOOKUP($J125,'Vegas Odds'!$B:$S,18,FALSE)</f>
        <v>40.088640957860363</v>
      </c>
      <c r="AI125" s="10">
        <f>VLOOKUP($J125,'Vegas Odds'!$B:$S,17,FALSE)</f>
        <v>25.511359042139631</v>
      </c>
      <c r="AJ125">
        <f t="shared" si="39"/>
        <v>0</v>
      </c>
      <c r="AK125" s="10">
        <f t="shared" si="23"/>
        <v>0</v>
      </c>
      <c r="AL125" s="10">
        <f t="shared" si="24"/>
        <v>0</v>
      </c>
      <c r="AM125" s="10">
        <f>V125/'CY Defensive Stats Query'!$AD$34*'Fanduel Export'!Q125</f>
        <v>0</v>
      </c>
      <c r="AN125" s="10">
        <f t="shared" si="40"/>
        <v>0</v>
      </c>
      <c r="AO125" s="10">
        <f>IFERROR(IF(OR($B125="D",$B125="K"),0,VLOOKUP($P125,'CY Receving Query'!$B:$S,7,FALSE)/VLOOKUP($P125,'CY Receving Query'!$B:$S,5,FALSE)),0)*$AJ125</f>
        <v>0</v>
      </c>
      <c r="AP125" s="10">
        <f t="shared" si="25"/>
        <v>32.289950980392156</v>
      </c>
      <c r="AQ125" s="10">
        <f t="shared" si="26"/>
        <v>0</v>
      </c>
      <c r="AR125" s="16">
        <f t="shared" si="27"/>
        <v>0</v>
      </c>
      <c r="AS125" s="16">
        <f t="shared" si="28"/>
        <v>0</v>
      </c>
      <c r="AT125" s="16">
        <f>AA125/'CY Defensive Stats Query'!$AH$34
*'Fanduel Export'!S125</f>
        <v>8.2864370811315542</v>
      </c>
      <c r="AU125" s="10">
        <f t="shared" si="41"/>
        <v>0</v>
      </c>
      <c r="AV125" s="10">
        <f t="shared" si="29"/>
        <v>0</v>
      </c>
      <c r="AW125" s="10">
        <f t="shared" si="30"/>
        <v>7.4240196078431371</v>
      </c>
      <c r="AX125" s="10">
        <f t="shared" si="31"/>
        <v>0</v>
      </c>
      <c r="AY125" s="10">
        <f>AF125/'CY Defensive Stats Query'!$AF$34
*R125</f>
        <v>1.3068610598928754</v>
      </c>
      <c r="AZ125" s="10">
        <f t="shared" si="42"/>
        <v>0</v>
      </c>
      <c r="BA125" s="16">
        <f t="shared" si="32"/>
        <v>0</v>
      </c>
      <c r="BB125" s="16">
        <f t="shared" si="33"/>
        <v>0</v>
      </c>
      <c r="BC125" s="10">
        <f t="shared" si="34"/>
        <v>0</v>
      </c>
      <c r="BD125" s="10">
        <f>IF(B125="QB",COUNTIFS($B$5:B125,B125,$J$5:J125,J125),1)</f>
        <v>1</v>
      </c>
      <c r="BE125" t="str">
        <f t="shared" si="35"/>
        <v>Eric Ebron</v>
      </c>
      <c r="BF125">
        <f t="shared" si="36"/>
        <v>4500</v>
      </c>
      <c r="BG125" t="str">
        <f t="shared" si="37"/>
        <v>TE</v>
      </c>
      <c r="BH125" s="16">
        <f t="shared" si="38"/>
        <v>0</v>
      </c>
    </row>
    <row r="126" spans="1:60" x14ac:dyDescent="0.2">
      <c r="A126" t="s">
        <v>2908</v>
      </c>
      <c r="B126" t="s">
        <v>83</v>
      </c>
      <c r="C126" t="s">
        <v>2622</v>
      </c>
      <c r="D126" t="s">
        <v>587</v>
      </c>
      <c r="E126" t="s">
        <v>2623</v>
      </c>
      <c r="F126">
        <v>0.72857141494750899</v>
      </c>
      <c r="G126">
        <v>7</v>
      </c>
      <c r="H126">
        <v>4500</v>
      </c>
      <c r="I126" t="s">
        <v>2716</v>
      </c>
      <c r="J126" t="s">
        <v>99</v>
      </c>
      <c r="K126" t="s">
        <v>81</v>
      </c>
      <c r="O126" t="str">
        <f t="shared" si="22"/>
        <v>Darrius Shepherd</v>
      </c>
      <c r="P126" t="str">
        <f>IFERROR(VLOOKUP(O:O,'Name Bridge'!A:B,2,FALSE),O:O)</f>
        <v>Darrius Shepherd</v>
      </c>
      <c r="Q126" s="10">
        <f>VLOOKUP($K126,'CY Defensive Stats Query'!$AC:$AH,2,FALSE)</f>
        <v>8.7934782608695645</v>
      </c>
      <c r="R126" s="10">
        <f>VLOOKUP($K126,'CY Defensive Stats Query'!$AC:$AH,4,FALSE)</f>
        <v>5.404494382022472</v>
      </c>
      <c r="S126" s="10">
        <f>VLOOKUP($K126,'CY Defensive Stats Query'!$AC:$AH,6,FALSE)</f>
        <v>12.446153846153846</v>
      </c>
      <c r="T126" s="10">
        <f>IFERROR(VLOOKUP($P126,'CYPassing Query'!$B:$AE,9,FALSE)/VLOOKUP($P126,'CYPassing Query'!$B:$AE,5,FALSE),0)</f>
        <v>0</v>
      </c>
      <c r="U126" s="10">
        <f>IFERROR(VLOOKUP($P126,'CYPassing Query'!$B:$AE,11,FALSE)/VLOOKUP($P126,'CYPassing Query'!$B:$AE,5,FALSE),0)</f>
        <v>0</v>
      </c>
      <c r="V126" s="10">
        <f>IFERROR(VLOOKUP($P126,'CYPassing Query'!$B:$AE,18,FALSE),0)</f>
        <v>0</v>
      </c>
      <c r="W126" s="10">
        <f>IFERROR(VLOOKUP($P126,'CYPassing Query'!$B:$AE,12,FALSE)/VLOOKUP($P126,'CYPassing Query'!$B:$AE,5,FALSE),0)</f>
        <v>0</v>
      </c>
      <c r="X126" s="10">
        <f>IFERROR(IF(OR($B126="D",$B126="K"),0,VLOOKUP($P126,'CY Receving Query'!$B:$S,7,FALSE)/VLOOKUP($P126,'CY Receving Query'!$B:$S,5,FALSE)),0)*$AJ126</f>
        <v>0</v>
      </c>
      <c r="Y126" s="10">
        <f>IFERROR(VLOOKUP($P126,'CY Receving Query'!$B:$S,8,FALSE)/VLOOKUP($P126,'CY Receving Query'!$B:$S,5,FALSE),0)</f>
        <v>0</v>
      </c>
      <c r="Z126" s="10">
        <f>IFERROR(VLOOKUP($P126,'CY Receving Query'!$B:$S,10,FALSE)/VLOOKUP($P126,'CY Receving Query'!$B:$S,5,FALSE),0)</f>
        <v>0</v>
      </c>
      <c r="AA126" s="10">
        <f>IFERROR(VLOOKUP($P126,'CY Receving Query'!$B:$S,11,FALSE),0)</f>
        <v>0</v>
      </c>
      <c r="AB126" s="10">
        <f>IFERROR(AVERAGE(VLOOKUP($P126,'PY Receiving'!$C:$T,14,FALSE),VLOOKUP($P126,'CY Receiving'!$C:$T,14,FALSE)),0)</f>
        <v>0</v>
      </c>
      <c r="AC126" s="10">
        <f>IFERROR(VLOOKUP($P126,'CY Receving Query'!$B:$S,11,FALSE)/VLOOKUP($P126,'CY Receving Query'!$B:$S,5,FALSE),0)</f>
        <v>0</v>
      </c>
      <c r="AD126" s="10">
        <f>IFERROR(VLOOKUP($P126,'CY Rushing Query'!$B:$O,7,FALSE)/VLOOKUP($P126,'CY Rushing Query'!$B:$O,5,FALSE),0)</f>
        <v>0</v>
      </c>
      <c r="AE126" s="10">
        <f>IFERROR(AVERAGE(VLOOKUP($P126,'PY Rushing'!$C:$P,8,FALSE)/VLOOKUP($P126,'PY Rushing'!$C:$P,5,FALSE),VLOOKUP($P126,'CY Rushing'!$C:$P,8,FALSE)/VLOOKUP($P126,'CY Rushing'!$C:$P,5,FALSE)),0)</f>
        <v>0</v>
      </c>
      <c r="AF126" s="10">
        <f>IFERROR(VLOOKUP($P126,'CY Rushing Query'!$B:$P,12,FALSE),0)</f>
        <v>0</v>
      </c>
      <c r="AG126" s="10">
        <f>IFERROR(VLOOKUP($P126,'CY Rushing Query'!$B:$P,9,FALSE)/VLOOKUP($P126,'CY Rushing Query'!$B:$P,5,FALSE),0)</f>
        <v>0</v>
      </c>
      <c r="AH126" s="10">
        <f>VLOOKUP($J126,'Vegas Odds'!$B:$S,18,FALSE)</f>
        <v>40.088640957860363</v>
      </c>
      <c r="AI126" s="10">
        <f>VLOOKUP($J126,'Vegas Odds'!$B:$S,17,FALSE)</f>
        <v>25.511359042139631</v>
      </c>
      <c r="AJ126">
        <f t="shared" si="39"/>
        <v>1</v>
      </c>
      <c r="AK126" s="10">
        <f t="shared" si="23"/>
        <v>0</v>
      </c>
      <c r="AL126" s="10">
        <f t="shared" si="24"/>
        <v>0</v>
      </c>
      <c r="AM126" s="10">
        <f>V126/'CY Defensive Stats Query'!$AD$34*'Fanduel Export'!Q126</f>
        <v>0</v>
      </c>
      <c r="AN126" s="10">
        <f t="shared" si="40"/>
        <v>0</v>
      </c>
      <c r="AO126" s="10">
        <f>IFERROR(IF(OR($B126="D",$B126="K"),0,VLOOKUP($P126,'CY Receving Query'!$B:$S,7,FALSE)/VLOOKUP($P126,'CY Receving Query'!$B:$S,5,FALSE)),0)*$AJ126</f>
        <v>0</v>
      </c>
      <c r="AP126" s="10">
        <f t="shared" si="25"/>
        <v>32.289950980392156</v>
      </c>
      <c r="AQ126" s="10">
        <f t="shared" si="26"/>
        <v>0</v>
      </c>
      <c r="AR126" s="16">
        <f t="shared" si="27"/>
        <v>0</v>
      </c>
      <c r="AS126" s="16">
        <f t="shared" si="28"/>
        <v>0</v>
      </c>
      <c r="AT126" s="16">
        <f>AA126/'CY Defensive Stats Query'!$AH$34
*'Fanduel Export'!S126</f>
        <v>0</v>
      </c>
      <c r="AU126" s="10">
        <f t="shared" si="41"/>
        <v>0</v>
      </c>
      <c r="AV126" s="10">
        <f t="shared" si="29"/>
        <v>0</v>
      </c>
      <c r="AW126" s="10">
        <f t="shared" si="30"/>
        <v>7.4240196078431371</v>
      </c>
      <c r="AX126" s="10">
        <f t="shared" si="31"/>
        <v>0</v>
      </c>
      <c r="AY126" s="10">
        <f>AF126/'CY Defensive Stats Query'!$AF$34
*R126</f>
        <v>0</v>
      </c>
      <c r="AZ126" s="10">
        <f t="shared" si="42"/>
        <v>0</v>
      </c>
      <c r="BA126" s="16">
        <f t="shared" si="32"/>
        <v>0</v>
      </c>
      <c r="BB126" s="16">
        <f t="shared" si="33"/>
        <v>0</v>
      </c>
      <c r="BC126" s="10">
        <f t="shared" si="34"/>
        <v>0</v>
      </c>
      <c r="BD126" s="10">
        <f>IF(B126="QB",COUNTIFS($B$5:B126,B126,$J$5:J126,J126),1)</f>
        <v>1</v>
      </c>
      <c r="BE126" t="str">
        <f t="shared" si="35"/>
        <v>Darrius Shepherd</v>
      </c>
      <c r="BF126">
        <f t="shared" si="36"/>
        <v>4500</v>
      </c>
      <c r="BG126" t="str">
        <f t="shared" si="37"/>
        <v>WR</v>
      </c>
      <c r="BH126" s="16">
        <f t="shared" si="38"/>
        <v>0</v>
      </c>
    </row>
    <row r="127" spans="1:60" x14ac:dyDescent="0.2">
      <c r="A127" t="s">
        <v>2909</v>
      </c>
      <c r="B127" t="s">
        <v>68</v>
      </c>
      <c r="C127" t="s">
        <v>219</v>
      </c>
      <c r="D127" t="s">
        <v>1857</v>
      </c>
      <c r="E127" t="s">
        <v>2624</v>
      </c>
      <c r="F127">
        <v>2.0399999618530198</v>
      </c>
      <c r="G127">
        <v>5</v>
      </c>
      <c r="H127">
        <v>4500</v>
      </c>
      <c r="I127" t="s">
        <v>2720</v>
      </c>
      <c r="J127" t="s">
        <v>728</v>
      </c>
      <c r="K127" t="s">
        <v>102</v>
      </c>
      <c r="O127" t="str">
        <f t="shared" si="22"/>
        <v>C.J. Prosise</v>
      </c>
      <c r="P127" t="str">
        <f>IFERROR(VLOOKUP(O:O,'Name Bridge'!A:B,2,FALSE),O:O)</f>
        <v>C.J. Prosise</v>
      </c>
      <c r="Q127" s="10">
        <f>VLOOKUP($K127,'CY Defensive Stats Query'!$AC:$AH,2,FALSE)</f>
        <v>5.9890109890109891</v>
      </c>
      <c r="R127" s="10">
        <f>VLOOKUP($K127,'CY Defensive Stats Query'!$AC:$AH,4,FALSE)</f>
        <v>3.8190476190476192</v>
      </c>
      <c r="S127" s="10">
        <f>VLOOKUP($K127,'CY Defensive Stats Query'!$AC:$AH,6,FALSE)</f>
        <v>8.515625</v>
      </c>
      <c r="T127" s="10">
        <f>IFERROR(VLOOKUP($P127,'CYPassing Query'!$B:$AE,9,FALSE)/VLOOKUP($P127,'CYPassing Query'!$B:$AE,5,FALSE),0)</f>
        <v>0</v>
      </c>
      <c r="U127" s="10">
        <f>IFERROR(VLOOKUP($P127,'CYPassing Query'!$B:$AE,11,FALSE)/VLOOKUP($P127,'CYPassing Query'!$B:$AE,5,FALSE),0)</f>
        <v>0</v>
      </c>
      <c r="V127" s="10">
        <f>IFERROR(VLOOKUP($P127,'CYPassing Query'!$B:$AE,18,FALSE),0)</f>
        <v>0</v>
      </c>
      <c r="W127" s="10">
        <f>IFERROR(VLOOKUP($P127,'CYPassing Query'!$B:$AE,12,FALSE)/VLOOKUP($P127,'CYPassing Query'!$B:$AE,5,FALSE),0)</f>
        <v>0</v>
      </c>
      <c r="X127" s="10">
        <f>IFERROR(IF(OR($B127="D",$B127="K"),0,VLOOKUP($P127,'CY Receving Query'!$B:$S,7,FALSE)/VLOOKUP($P127,'CY Receving Query'!$B:$S,5,FALSE)),0)*$AJ127</f>
        <v>0</v>
      </c>
      <c r="Y127" s="10">
        <f>IFERROR(VLOOKUP($P127,'CY Receving Query'!$B:$S,8,FALSE)/VLOOKUP($P127,'CY Receving Query'!$B:$S,5,FALSE),0)</f>
        <v>0</v>
      </c>
      <c r="Z127" s="10">
        <f>IFERROR(VLOOKUP($P127,'CY Receving Query'!$B:$S,10,FALSE)/VLOOKUP($P127,'CY Receving Query'!$B:$S,5,FALSE),0)</f>
        <v>0</v>
      </c>
      <c r="AA127" s="10">
        <f>IFERROR(VLOOKUP($P127,'CY Receving Query'!$B:$S,11,FALSE),0)</f>
        <v>0</v>
      </c>
      <c r="AB127" s="10">
        <f>IFERROR(AVERAGE(VLOOKUP($P127,'PY Receiving'!$C:$T,14,FALSE),VLOOKUP($P127,'CY Receiving'!$C:$T,14,FALSE)),0)</f>
        <v>0</v>
      </c>
      <c r="AC127" s="10">
        <f>IFERROR(VLOOKUP($P127,'CY Receving Query'!$B:$S,11,FALSE)/VLOOKUP($P127,'CY Receving Query'!$B:$S,5,FALSE),0)</f>
        <v>0</v>
      </c>
      <c r="AD127" s="10">
        <f>IFERROR(VLOOKUP($P127,'CY Rushing Query'!$B:$O,7,FALSE)/VLOOKUP($P127,'CY Rushing Query'!$B:$O,5,FALSE),0)</f>
        <v>0</v>
      </c>
      <c r="AE127" s="10">
        <f>IFERROR(AVERAGE(VLOOKUP($P127,'PY Rushing'!$C:$P,8,FALSE)/VLOOKUP($P127,'PY Rushing'!$C:$P,5,FALSE),VLOOKUP($P127,'CY Rushing'!$C:$P,8,FALSE)/VLOOKUP($P127,'CY Rushing'!$C:$P,5,FALSE)),0)</f>
        <v>0</v>
      </c>
      <c r="AF127" s="10">
        <f>IFERROR(VLOOKUP($P127,'CY Rushing Query'!$B:$P,12,FALSE),0)</f>
        <v>0</v>
      </c>
      <c r="AG127" s="10">
        <f>IFERROR(VLOOKUP($P127,'CY Rushing Query'!$B:$P,9,FALSE)/VLOOKUP($P127,'CY Rushing Query'!$B:$P,5,FALSE),0)</f>
        <v>0</v>
      </c>
      <c r="AH127" s="10">
        <f>VLOOKUP($J127,'Vegas Odds'!$B:$S,18,FALSE)</f>
        <v>34.555825588251061</v>
      </c>
      <c r="AI127" s="10">
        <f>VLOOKUP($J127,'Vegas Odds'!$B:$S,17,FALSE)</f>
        <v>27.844174411748938</v>
      </c>
      <c r="AJ127">
        <f t="shared" si="39"/>
        <v>1</v>
      </c>
      <c r="AK127" s="10">
        <f t="shared" si="23"/>
        <v>0</v>
      </c>
      <c r="AL127" s="10">
        <f t="shared" si="24"/>
        <v>0</v>
      </c>
      <c r="AM127" s="10">
        <f>V127/'CY Defensive Stats Query'!$AD$34*'Fanduel Export'!Q127</f>
        <v>0</v>
      </c>
      <c r="AN127" s="10">
        <f t="shared" si="40"/>
        <v>0</v>
      </c>
      <c r="AO127" s="10">
        <f>IFERROR(IF(OR($B127="D",$B127="K"),0,VLOOKUP($P127,'CY Receving Query'!$B:$S,7,FALSE)/VLOOKUP($P127,'CY Receving Query'!$B:$S,5,FALSE)),0)*$AJ127</f>
        <v>0</v>
      </c>
      <c r="AP127" s="10">
        <f t="shared" si="25"/>
        <v>25.587418300653596</v>
      </c>
      <c r="AQ127" s="10">
        <f t="shared" si="26"/>
        <v>0</v>
      </c>
      <c r="AR127" s="16">
        <f t="shared" si="27"/>
        <v>0</v>
      </c>
      <c r="AS127" s="16">
        <f t="shared" si="28"/>
        <v>0</v>
      </c>
      <c r="AT127" s="16">
        <f>AA127/'CY Defensive Stats Query'!$AH$34
*'Fanduel Export'!S127</f>
        <v>0</v>
      </c>
      <c r="AU127" s="10">
        <f t="shared" si="41"/>
        <v>0</v>
      </c>
      <c r="AV127" s="10">
        <f t="shared" si="29"/>
        <v>0</v>
      </c>
      <c r="AW127" s="10">
        <f t="shared" si="30"/>
        <v>12.022058823529411</v>
      </c>
      <c r="AX127" s="10">
        <f t="shared" si="31"/>
        <v>0</v>
      </c>
      <c r="AY127" s="10">
        <f>AF127/'CY Defensive Stats Query'!$AF$34
*R127</f>
        <v>0</v>
      </c>
      <c r="AZ127" s="10">
        <f t="shared" si="42"/>
        <v>0</v>
      </c>
      <c r="BA127" s="16">
        <f t="shared" si="32"/>
        <v>0</v>
      </c>
      <c r="BB127" s="16">
        <f t="shared" si="33"/>
        <v>0</v>
      </c>
      <c r="BC127" s="10">
        <f t="shared" si="34"/>
        <v>0</v>
      </c>
      <c r="BD127" s="10">
        <f>IF(B127="QB",COUNTIFS($B$5:B127,B127,$J$5:J127,J127),1)</f>
        <v>1</v>
      </c>
      <c r="BE127" t="str">
        <f t="shared" si="35"/>
        <v>C.J. Prosise</v>
      </c>
      <c r="BF127">
        <f t="shared" si="36"/>
        <v>4500</v>
      </c>
      <c r="BG127" t="str">
        <f t="shared" si="37"/>
        <v>RB</v>
      </c>
      <c r="BH127" s="16">
        <f t="shared" si="38"/>
        <v>0</v>
      </c>
    </row>
    <row r="128" spans="1:60" x14ac:dyDescent="0.2">
      <c r="A128" t="s">
        <v>2910</v>
      </c>
      <c r="B128" t="s">
        <v>83</v>
      </c>
      <c r="C128" t="s">
        <v>2211</v>
      </c>
      <c r="D128" t="s">
        <v>2573</v>
      </c>
      <c r="E128" t="s">
        <v>2574</v>
      </c>
      <c r="H128">
        <v>4500</v>
      </c>
      <c r="I128" t="s">
        <v>2716</v>
      </c>
      <c r="J128" t="s">
        <v>99</v>
      </c>
      <c r="K128" t="s">
        <v>81</v>
      </c>
      <c r="O128" t="str">
        <f t="shared" si="22"/>
        <v>Tyler Simmons</v>
      </c>
      <c r="P128" t="str">
        <f>IFERROR(VLOOKUP(O:O,'Name Bridge'!A:B,2,FALSE),O:O)</f>
        <v>Tyler Simmons</v>
      </c>
      <c r="Q128" s="10">
        <f>VLOOKUP($K128,'CY Defensive Stats Query'!$AC:$AH,2,FALSE)</f>
        <v>8.7934782608695645</v>
      </c>
      <c r="R128" s="10">
        <f>VLOOKUP($K128,'CY Defensive Stats Query'!$AC:$AH,4,FALSE)</f>
        <v>5.404494382022472</v>
      </c>
      <c r="S128" s="10">
        <f>VLOOKUP($K128,'CY Defensive Stats Query'!$AC:$AH,6,FALSE)</f>
        <v>12.446153846153846</v>
      </c>
      <c r="T128" s="10">
        <f>IFERROR(VLOOKUP($P128,'CYPassing Query'!$B:$AE,9,FALSE)/VLOOKUP($P128,'CYPassing Query'!$B:$AE,5,FALSE),0)</f>
        <v>0</v>
      </c>
      <c r="U128" s="10">
        <f>IFERROR(VLOOKUP($P128,'CYPassing Query'!$B:$AE,11,FALSE)/VLOOKUP($P128,'CYPassing Query'!$B:$AE,5,FALSE),0)</f>
        <v>0</v>
      </c>
      <c r="V128" s="10">
        <f>IFERROR(VLOOKUP($P128,'CYPassing Query'!$B:$AE,18,FALSE),0)</f>
        <v>0</v>
      </c>
      <c r="W128" s="10">
        <f>IFERROR(VLOOKUP($P128,'CYPassing Query'!$B:$AE,12,FALSE)/VLOOKUP($P128,'CYPassing Query'!$B:$AE,5,FALSE),0)</f>
        <v>0</v>
      </c>
      <c r="X128" s="10">
        <f>IFERROR(IF(OR($B128="D",$B128="K"),0,VLOOKUP($P128,'CY Receving Query'!$B:$S,7,FALSE)/VLOOKUP($P128,'CY Receving Query'!$B:$S,5,FALSE)),0)*$AJ128</f>
        <v>0</v>
      </c>
      <c r="Y128" s="10">
        <f>IFERROR(VLOOKUP($P128,'CY Receving Query'!$B:$S,8,FALSE)/VLOOKUP($P128,'CY Receving Query'!$B:$S,5,FALSE),0)</f>
        <v>0</v>
      </c>
      <c r="Z128" s="10">
        <f>IFERROR(VLOOKUP($P128,'CY Receving Query'!$B:$S,10,FALSE)/VLOOKUP($P128,'CY Receving Query'!$B:$S,5,FALSE),0)</f>
        <v>0</v>
      </c>
      <c r="AA128" s="10">
        <f>IFERROR(VLOOKUP($P128,'CY Receving Query'!$B:$S,11,FALSE),0)</f>
        <v>0</v>
      </c>
      <c r="AB128" s="10">
        <f>IFERROR(AVERAGE(VLOOKUP($P128,'PY Receiving'!$C:$T,14,FALSE),VLOOKUP($P128,'CY Receiving'!$C:$T,14,FALSE)),0)</f>
        <v>0</v>
      </c>
      <c r="AC128" s="10">
        <f>IFERROR(VLOOKUP($P128,'CY Receving Query'!$B:$S,11,FALSE)/VLOOKUP($P128,'CY Receving Query'!$B:$S,5,FALSE),0)</f>
        <v>0</v>
      </c>
      <c r="AD128" s="10">
        <f>IFERROR(VLOOKUP($P128,'CY Rushing Query'!$B:$O,7,FALSE)/VLOOKUP($P128,'CY Rushing Query'!$B:$O,5,FALSE),0)</f>
        <v>0</v>
      </c>
      <c r="AE128" s="10">
        <f>IFERROR(AVERAGE(VLOOKUP($P128,'PY Rushing'!$C:$P,8,FALSE)/VLOOKUP($P128,'PY Rushing'!$C:$P,5,FALSE),VLOOKUP($P128,'CY Rushing'!$C:$P,8,FALSE)/VLOOKUP($P128,'CY Rushing'!$C:$P,5,FALSE)),0)</f>
        <v>0</v>
      </c>
      <c r="AF128" s="10">
        <f>IFERROR(VLOOKUP($P128,'CY Rushing Query'!$B:$P,12,FALSE),0)</f>
        <v>0</v>
      </c>
      <c r="AG128" s="10">
        <f>IFERROR(VLOOKUP($P128,'CY Rushing Query'!$B:$P,9,FALSE)/VLOOKUP($P128,'CY Rushing Query'!$B:$P,5,FALSE),0)</f>
        <v>0</v>
      </c>
      <c r="AH128" s="10">
        <f>VLOOKUP($J128,'Vegas Odds'!$B:$S,18,FALSE)</f>
        <v>40.088640957860363</v>
      </c>
      <c r="AI128" s="10">
        <f>VLOOKUP($J128,'Vegas Odds'!$B:$S,17,FALSE)</f>
        <v>25.511359042139631</v>
      </c>
      <c r="AJ128">
        <f t="shared" si="39"/>
        <v>1</v>
      </c>
      <c r="AK128" s="10">
        <f t="shared" si="23"/>
        <v>0</v>
      </c>
      <c r="AL128" s="10">
        <f t="shared" si="24"/>
        <v>0</v>
      </c>
      <c r="AM128" s="10">
        <f>V128/'CY Defensive Stats Query'!$AD$34*'Fanduel Export'!Q128</f>
        <v>0</v>
      </c>
      <c r="AN128" s="10">
        <f t="shared" si="40"/>
        <v>0</v>
      </c>
      <c r="AO128" s="10">
        <f>IFERROR(IF(OR($B128="D",$B128="K"),0,VLOOKUP($P128,'CY Receving Query'!$B:$S,7,FALSE)/VLOOKUP($P128,'CY Receving Query'!$B:$S,5,FALSE)),0)*$AJ128</f>
        <v>0</v>
      </c>
      <c r="AP128" s="10">
        <f t="shared" si="25"/>
        <v>32.289950980392156</v>
      </c>
      <c r="AQ128" s="10">
        <f t="shared" si="26"/>
        <v>0</v>
      </c>
      <c r="AR128" s="16">
        <f t="shared" si="27"/>
        <v>0</v>
      </c>
      <c r="AS128" s="16">
        <f t="shared" si="28"/>
        <v>0</v>
      </c>
      <c r="AT128" s="16">
        <f>AA128/'CY Defensive Stats Query'!$AH$34
*'Fanduel Export'!S128</f>
        <v>0</v>
      </c>
      <c r="AU128" s="10">
        <f t="shared" si="41"/>
        <v>0</v>
      </c>
      <c r="AV128" s="10">
        <f t="shared" si="29"/>
        <v>0</v>
      </c>
      <c r="AW128" s="10">
        <f t="shared" si="30"/>
        <v>7.4240196078431371</v>
      </c>
      <c r="AX128" s="10">
        <f t="shared" si="31"/>
        <v>0</v>
      </c>
      <c r="AY128" s="10">
        <f>AF128/'CY Defensive Stats Query'!$AF$34
*R128</f>
        <v>0</v>
      </c>
      <c r="AZ128" s="10">
        <f t="shared" si="42"/>
        <v>0</v>
      </c>
      <c r="BA128" s="16">
        <f t="shared" si="32"/>
        <v>0</v>
      </c>
      <c r="BB128" s="16">
        <f t="shared" si="33"/>
        <v>0</v>
      </c>
      <c r="BC128" s="10">
        <f t="shared" si="34"/>
        <v>0</v>
      </c>
      <c r="BD128" s="10">
        <f>IF(B128="QB",COUNTIFS($B$5:B128,B128,$J$5:J128,J128),1)</f>
        <v>1</v>
      </c>
      <c r="BE128" t="str">
        <f t="shared" si="35"/>
        <v>Tyler Simmons</v>
      </c>
      <c r="BF128">
        <f t="shared" si="36"/>
        <v>4500</v>
      </c>
      <c r="BG128" t="str">
        <f t="shared" si="37"/>
        <v>WR</v>
      </c>
      <c r="BH128" s="16">
        <f t="shared" si="38"/>
        <v>0</v>
      </c>
    </row>
    <row r="129" spans="1:60" x14ac:dyDescent="0.2">
      <c r="A129" t="s">
        <v>2911</v>
      </c>
      <c r="B129" t="s">
        <v>83</v>
      </c>
      <c r="C129" t="s">
        <v>2912</v>
      </c>
      <c r="D129" t="s">
        <v>2462</v>
      </c>
      <c r="E129" t="s">
        <v>2225</v>
      </c>
      <c r="H129">
        <v>4500</v>
      </c>
      <c r="I129" t="s">
        <v>2718</v>
      </c>
      <c r="J129" t="s">
        <v>729</v>
      </c>
      <c r="K129" t="s">
        <v>138</v>
      </c>
      <c r="O129" t="str">
        <f t="shared" si="22"/>
        <v>Osirus Mitchell</v>
      </c>
      <c r="P129" t="str">
        <f>IFERROR(VLOOKUP(O:O,'Name Bridge'!A:B,2,FALSE),O:O)</f>
        <v>Osirus Mitchell</v>
      </c>
      <c r="Q129" s="10">
        <f>VLOOKUP($K129,'CY Defensive Stats Query'!$AC:$AH,2,FALSE)</f>
        <v>6.5263157894736841</v>
      </c>
      <c r="R129" s="10">
        <f>VLOOKUP($K129,'CY Defensive Stats Query'!$AC:$AH,4,FALSE)</f>
        <v>4.7051282051282053</v>
      </c>
      <c r="S129" s="10">
        <f>VLOOKUP($K129,'CY Defensive Stats Query'!$AC:$AH,6,FALSE)</f>
        <v>10.191780821917808</v>
      </c>
      <c r="T129" s="10">
        <f>IFERROR(VLOOKUP($P129,'CYPassing Query'!$B:$AE,9,FALSE)/VLOOKUP($P129,'CYPassing Query'!$B:$AE,5,FALSE),0)</f>
        <v>0</v>
      </c>
      <c r="U129" s="10">
        <f>IFERROR(VLOOKUP($P129,'CYPassing Query'!$B:$AE,11,FALSE)/VLOOKUP($P129,'CYPassing Query'!$B:$AE,5,FALSE),0)</f>
        <v>0</v>
      </c>
      <c r="V129" s="10">
        <f>IFERROR(VLOOKUP($P129,'CYPassing Query'!$B:$AE,18,FALSE),0)</f>
        <v>0</v>
      </c>
      <c r="W129" s="10">
        <f>IFERROR(VLOOKUP($P129,'CYPassing Query'!$B:$AE,12,FALSE)/VLOOKUP($P129,'CYPassing Query'!$B:$AE,5,FALSE),0)</f>
        <v>0</v>
      </c>
      <c r="X129" s="10">
        <f>IFERROR(IF(OR($B129="D",$B129="K"),0,VLOOKUP($P129,'CY Receving Query'!$B:$S,7,FALSE)/VLOOKUP($P129,'CY Receving Query'!$B:$S,5,FALSE)),0)*$AJ129</f>
        <v>0</v>
      </c>
      <c r="Y129" s="10">
        <f>IFERROR(VLOOKUP($P129,'CY Receving Query'!$B:$S,8,FALSE)/VLOOKUP($P129,'CY Receving Query'!$B:$S,5,FALSE),0)</f>
        <v>0</v>
      </c>
      <c r="Z129" s="10">
        <f>IFERROR(VLOOKUP($P129,'CY Receving Query'!$B:$S,10,FALSE)/VLOOKUP($P129,'CY Receving Query'!$B:$S,5,FALSE),0)</f>
        <v>0</v>
      </c>
      <c r="AA129" s="10">
        <f>IFERROR(VLOOKUP($P129,'CY Receving Query'!$B:$S,11,FALSE),0)</f>
        <v>0</v>
      </c>
      <c r="AB129" s="10">
        <f>IFERROR(AVERAGE(VLOOKUP($P129,'PY Receiving'!$C:$T,14,FALSE),VLOOKUP($P129,'CY Receiving'!$C:$T,14,FALSE)),0)</f>
        <v>0</v>
      </c>
      <c r="AC129" s="10">
        <f>IFERROR(VLOOKUP($P129,'CY Receving Query'!$B:$S,11,FALSE)/VLOOKUP($P129,'CY Receving Query'!$B:$S,5,FALSE),0)</f>
        <v>0</v>
      </c>
      <c r="AD129" s="10">
        <f>IFERROR(VLOOKUP($P129,'CY Rushing Query'!$B:$O,7,FALSE)/VLOOKUP($P129,'CY Rushing Query'!$B:$O,5,FALSE),0)</f>
        <v>0</v>
      </c>
      <c r="AE129" s="10">
        <f>IFERROR(AVERAGE(VLOOKUP($P129,'PY Rushing'!$C:$P,8,FALSE)/VLOOKUP($P129,'PY Rushing'!$C:$P,5,FALSE),VLOOKUP($P129,'CY Rushing'!$C:$P,8,FALSE)/VLOOKUP($P129,'CY Rushing'!$C:$P,5,FALSE)),0)</f>
        <v>0</v>
      </c>
      <c r="AF129" s="10">
        <f>IFERROR(VLOOKUP($P129,'CY Rushing Query'!$B:$P,12,FALSE),0)</f>
        <v>0</v>
      </c>
      <c r="AG129" s="10">
        <f>IFERROR(VLOOKUP($P129,'CY Rushing Query'!$B:$P,9,FALSE)/VLOOKUP($P129,'CY Rushing Query'!$B:$P,5,FALSE),0)</f>
        <v>0</v>
      </c>
      <c r="AH129" s="10">
        <f>VLOOKUP($J129,'Vegas Odds'!$B:$S,18,FALSE)</f>
        <v>38.06292701199007</v>
      </c>
      <c r="AI129" s="10">
        <f>VLOOKUP($J129,'Vegas Odds'!$B:$S,17,FALSE)</f>
        <v>29.237072988009928</v>
      </c>
      <c r="AJ129">
        <f t="shared" si="39"/>
        <v>1</v>
      </c>
      <c r="AK129" s="10">
        <f t="shared" si="23"/>
        <v>0</v>
      </c>
      <c r="AL129" s="10">
        <f t="shared" si="24"/>
        <v>0</v>
      </c>
      <c r="AM129" s="10">
        <f>V129/'CY Defensive Stats Query'!$AD$34*'Fanduel Export'!Q129</f>
        <v>0</v>
      </c>
      <c r="AN129" s="10">
        <f t="shared" si="40"/>
        <v>0</v>
      </c>
      <c r="AO129" s="10">
        <f>IFERROR(IF(OR($B129="D",$B129="K"),0,VLOOKUP($P129,'CY Receving Query'!$B:$S,7,FALSE)/VLOOKUP($P129,'CY Receving Query'!$B:$S,5,FALSE)),0)*$AJ129</f>
        <v>0</v>
      </c>
      <c r="AP129" s="10">
        <f t="shared" si="25"/>
        <v>30.199512497306614</v>
      </c>
      <c r="AQ129" s="10">
        <f t="shared" si="26"/>
        <v>0</v>
      </c>
      <c r="AR129" s="16">
        <f t="shared" si="27"/>
        <v>0</v>
      </c>
      <c r="AS129" s="16">
        <f t="shared" si="28"/>
        <v>0</v>
      </c>
      <c r="AT129" s="16">
        <f>AA129/'CY Defensive Stats Query'!$AH$34
*'Fanduel Export'!S129</f>
        <v>0</v>
      </c>
      <c r="AU129" s="10">
        <f t="shared" si="41"/>
        <v>0</v>
      </c>
      <c r="AV129" s="10">
        <f t="shared" si="29"/>
        <v>0</v>
      </c>
      <c r="AW129" s="10">
        <f t="shared" si="30"/>
        <v>30.007352941176471</v>
      </c>
      <c r="AX129" s="10">
        <f t="shared" si="31"/>
        <v>0</v>
      </c>
      <c r="AY129" s="10">
        <f>AF129/'CY Defensive Stats Query'!$AF$34
*R129</f>
        <v>0</v>
      </c>
      <c r="AZ129" s="10">
        <f t="shared" si="42"/>
        <v>0</v>
      </c>
      <c r="BA129" s="16">
        <f t="shared" si="32"/>
        <v>0</v>
      </c>
      <c r="BB129" s="16">
        <f t="shared" si="33"/>
        <v>0</v>
      </c>
      <c r="BC129" s="10">
        <f t="shared" si="34"/>
        <v>0</v>
      </c>
      <c r="BD129" s="10">
        <f>IF(B129="QB",COUNTIFS($B$5:B129,B129,$J$5:J129,J129),1)</f>
        <v>1</v>
      </c>
      <c r="BE129" t="str">
        <f t="shared" si="35"/>
        <v>Osirus Mitchell</v>
      </c>
      <c r="BF129">
        <f t="shared" si="36"/>
        <v>4500</v>
      </c>
      <c r="BG129" t="str">
        <f t="shared" si="37"/>
        <v>WR</v>
      </c>
      <c r="BH129" s="16">
        <f t="shared" si="38"/>
        <v>0</v>
      </c>
    </row>
    <row r="130" spans="1:60" x14ac:dyDescent="0.2">
      <c r="A130" t="s">
        <v>2913</v>
      </c>
      <c r="B130" t="s">
        <v>83</v>
      </c>
      <c r="C130" t="s">
        <v>144</v>
      </c>
      <c r="D130" t="s">
        <v>2430</v>
      </c>
      <c r="E130" t="s">
        <v>2706</v>
      </c>
      <c r="H130">
        <v>4500</v>
      </c>
      <c r="I130" t="s">
        <v>2718</v>
      </c>
      <c r="J130" t="s">
        <v>138</v>
      </c>
      <c r="K130" t="s">
        <v>729</v>
      </c>
      <c r="O130" t="str">
        <f t="shared" si="22"/>
        <v>Austin Watkins Jr.</v>
      </c>
      <c r="P130" t="str">
        <f>IFERROR(VLOOKUP(O:O,'Name Bridge'!A:B,2,FALSE),O:O)</f>
        <v>Austin Watkins Jr.</v>
      </c>
      <c r="Q130" s="10">
        <f>VLOOKUP($K130,'CY Defensive Stats Query'!$AC:$AH,2,FALSE)</f>
        <v>7.6538461538461542</v>
      </c>
      <c r="R130" s="10">
        <f>VLOOKUP($K130,'CY Defensive Stats Query'!$AC:$AH,4,FALSE)</f>
        <v>4.6888888888888891</v>
      </c>
      <c r="S130" s="10">
        <f>VLOOKUP($K130,'CY Defensive Stats Query'!$AC:$AH,6,FALSE)</f>
        <v>11.306818181818182</v>
      </c>
      <c r="T130" s="10">
        <f>IFERROR(VLOOKUP($P130,'CYPassing Query'!$B:$AE,9,FALSE)/VLOOKUP($P130,'CYPassing Query'!$B:$AE,5,FALSE),0)</f>
        <v>0</v>
      </c>
      <c r="U130" s="10">
        <f>IFERROR(VLOOKUP($P130,'CYPassing Query'!$B:$AE,11,FALSE)/VLOOKUP($P130,'CYPassing Query'!$B:$AE,5,FALSE),0)</f>
        <v>0</v>
      </c>
      <c r="V130" s="10">
        <f>IFERROR(VLOOKUP($P130,'CYPassing Query'!$B:$AE,18,FALSE),0)</f>
        <v>0</v>
      </c>
      <c r="W130" s="10">
        <f>IFERROR(VLOOKUP($P130,'CYPassing Query'!$B:$AE,12,FALSE)/VLOOKUP($P130,'CYPassing Query'!$B:$AE,5,FALSE),0)</f>
        <v>0</v>
      </c>
      <c r="X130" s="10">
        <f>IFERROR(IF(OR($B130="D",$B130="K"),0,VLOOKUP($P130,'CY Receving Query'!$B:$S,7,FALSE)/VLOOKUP($P130,'CY Receving Query'!$B:$S,5,FALSE)),0)*$AJ130</f>
        <v>0</v>
      </c>
      <c r="Y130" s="10">
        <f>IFERROR(VLOOKUP($P130,'CY Receving Query'!$B:$S,8,FALSE)/VLOOKUP($P130,'CY Receving Query'!$B:$S,5,FALSE),0)</f>
        <v>0</v>
      </c>
      <c r="Z130" s="10">
        <f>IFERROR(VLOOKUP($P130,'CY Receving Query'!$B:$S,10,FALSE)/VLOOKUP($P130,'CY Receving Query'!$B:$S,5,FALSE),0)</f>
        <v>0</v>
      </c>
      <c r="AA130" s="10">
        <f>IFERROR(VLOOKUP($P130,'CY Receving Query'!$B:$S,11,FALSE),0)</f>
        <v>0</v>
      </c>
      <c r="AB130" s="10">
        <f>IFERROR(AVERAGE(VLOOKUP($P130,'PY Receiving'!$C:$T,14,FALSE),VLOOKUP($P130,'CY Receiving'!$C:$T,14,FALSE)),0)</f>
        <v>0</v>
      </c>
      <c r="AC130" s="10">
        <f>IFERROR(VLOOKUP($P130,'CY Receving Query'!$B:$S,11,FALSE)/VLOOKUP($P130,'CY Receving Query'!$B:$S,5,FALSE),0)</f>
        <v>0</v>
      </c>
      <c r="AD130" s="10">
        <f>IFERROR(VLOOKUP($P130,'CY Rushing Query'!$B:$O,7,FALSE)/VLOOKUP($P130,'CY Rushing Query'!$B:$O,5,FALSE),0)</f>
        <v>0</v>
      </c>
      <c r="AE130" s="10">
        <f>IFERROR(AVERAGE(VLOOKUP($P130,'PY Rushing'!$C:$P,8,FALSE)/VLOOKUP($P130,'PY Rushing'!$C:$P,5,FALSE),VLOOKUP($P130,'CY Rushing'!$C:$P,8,FALSE)/VLOOKUP($P130,'CY Rushing'!$C:$P,5,FALSE)),0)</f>
        <v>0</v>
      </c>
      <c r="AF130" s="10">
        <f>IFERROR(VLOOKUP($P130,'CY Rushing Query'!$B:$P,12,FALSE),0)</f>
        <v>0</v>
      </c>
      <c r="AG130" s="10">
        <f>IFERROR(VLOOKUP($P130,'CY Rushing Query'!$B:$P,9,FALSE)/VLOOKUP($P130,'CY Rushing Query'!$B:$P,5,FALSE),0)</f>
        <v>0</v>
      </c>
      <c r="AH130" s="10">
        <f>VLOOKUP($J130,'Vegas Odds'!$B:$S,18,FALSE)</f>
        <v>32.679248170039784</v>
      </c>
      <c r="AI130" s="10">
        <f>VLOOKUP($J130,'Vegas Odds'!$B:$S,17,FALSE)</f>
        <v>32.620751829960213</v>
      </c>
      <c r="AJ130">
        <f t="shared" si="39"/>
        <v>1</v>
      </c>
      <c r="AK130" s="10">
        <f t="shared" si="23"/>
        <v>0</v>
      </c>
      <c r="AL130" s="10">
        <f t="shared" si="24"/>
        <v>0</v>
      </c>
      <c r="AM130" s="10">
        <f>V130/'CY Defensive Stats Query'!$AD$34*'Fanduel Export'!Q130</f>
        <v>0</v>
      </c>
      <c r="AN130" s="10">
        <f t="shared" si="40"/>
        <v>0</v>
      </c>
      <c r="AO130" s="10">
        <f>IFERROR(IF(OR($B130="D",$B130="K"),0,VLOOKUP($P130,'CY Receving Query'!$B:$S,7,FALSE)/VLOOKUP($P130,'CY Receving Query'!$B:$S,5,FALSE)),0)*$AJ130</f>
        <v>0</v>
      </c>
      <c r="AP130" s="10">
        <f t="shared" si="25"/>
        <v>29.704370384517439</v>
      </c>
      <c r="AQ130" s="10">
        <f t="shared" si="26"/>
        <v>0</v>
      </c>
      <c r="AR130" s="16">
        <f t="shared" si="27"/>
        <v>0</v>
      </c>
      <c r="AS130" s="16">
        <f t="shared" si="28"/>
        <v>0</v>
      </c>
      <c r="AT130" s="16">
        <f>AA130/'CY Defensive Stats Query'!$AH$34
*'Fanduel Export'!S130</f>
        <v>0</v>
      </c>
      <c r="AU130" s="10">
        <f t="shared" si="41"/>
        <v>0</v>
      </c>
      <c r="AV130" s="10">
        <f t="shared" si="29"/>
        <v>0</v>
      </c>
      <c r="AW130" s="10">
        <f t="shared" si="30"/>
        <v>40.335297300738475</v>
      </c>
      <c r="AX130" s="10">
        <f t="shared" si="31"/>
        <v>0</v>
      </c>
      <c r="AY130" s="10">
        <f>AF130/'CY Defensive Stats Query'!$AF$34
*R130</f>
        <v>0</v>
      </c>
      <c r="AZ130" s="10">
        <f t="shared" si="42"/>
        <v>0</v>
      </c>
      <c r="BA130" s="16">
        <f t="shared" si="32"/>
        <v>0</v>
      </c>
      <c r="BB130" s="16">
        <f t="shared" si="33"/>
        <v>0</v>
      </c>
      <c r="BC130" s="10">
        <f t="shared" si="34"/>
        <v>0</v>
      </c>
      <c r="BD130" s="10">
        <f>IF(B130="QB",COUNTIFS($B$5:B130,B130,$J$5:J130,J130),1)</f>
        <v>1</v>
      </c>
      <c r="BE130" t="str">
        <f t="shared" si="35"/>
        <v>Austin Watkins Jr.</v>
      </c>
      <c r="BF130">
        <f t="shared" si="36"/>
        <v>4500</v>
      </c>
      <c r="BG130" t="str">
        <f t="shared" si="37"/>
        <v>WR</v>
      </c>
      <c r="BH130" s="16">
        <f t="shared" si="38"/>
        <v>0</v>
      </c>
    </row>
    <row r="131" spans="1:60" x14ac:dyDescent="0.2">
      <c r="A131" t="s">
        <v>2914</v>
      </c>
      <c r="B131" t="s">
        <v>83</v>
      </c>
      <c r="C131" t="s">
        <v>406</v>
      </c>
      <c r="D131" t="s">
        <v>2613</v>
      </c>
      <c r="E131" t="s">
        <v>2387</v>
      </c>
      <c r="H131">
        <v>4500</v>
      </c>
      <c r="I131" t="s">
        <v>2720</v>
      </c>
      <c r="J131" t="s">
        <v>728</v>
      </c>
      <c r="K131" t="s">
        <v>102</v>
      </c>
      <c r="O131" t="str">
        <f t="shared" si="22"/>
        <v>John Hurst</v>
      </c>
      <c r="P131" t="str">
        <f>IFERROR(VLOOKUP(O:O,'Name Bridge'!A:B,2,FALSE),O:O)</f>
        <v>John Hurst</v>
      </c>
      <c r="Q131" s="10">
        <f>VLOOKUP($K131,'CY Defensive Stats Query'!$AC:$AH,2,FALSE)</f>
        <v>5.9890109890109891</v>
      </c>
      <c r="R131" s="10">
        <f>VLOOKUP($K131,'CY Defensive Stats Query'!$AC:$AH,4,FALSE)</f>
        <v>3.8190476190476192</v>
      </c>
      <c r="S131" s="10">
        <f>VLOOKUP($K131,'CY Defensive Stats Query'!$AC:$AH,6,FALSE)</f>
        <v>8.515625</v>
      </c>
      <c r="T131" s="10">
        <f>IFERROR(VLOOKUP($P131,'CYPassing Query'!$B:$AE,9,FALSE)/VLOOKUP($P131,'CYPassing Query'!$B:$AE,5,FALSE),0)</f>
        <v>0</v>
      </c>
      <c r="U131" s="10">
        <f>IFERROR(VLOOKUP($P131,'CYPassing Query'!$B:$AE,11,FALSE)/VLOOKUP($P131,'CYPassing Query'!$B:$AE,5,FALSE),0)</f>
        <v>0</v>
      </c>
      <c r="V131" s="10">
        <f>IFERROR(VLOOKUP($P131,'CYPassing Query'!$B:$AE,18,FALSE),0)</f>
        <v>0</v>
      </c>
      <c r="W131" s="10">
        <f>IFERROR(VLOOKUP($P131,'CYPassing Query'!$B:$AE,12,FALSE)/VLOOKUP($P131,'CYPassing Query'!$B:$AE,5,FALSE),0)</f>
        <v>0</v>
      </c>
      <c r="X131" s="10">
        <f>IFERROR(IF(OR($B131="D",$B131="K"),0,VLOOKUP($P131,'CY Receving Query'!$B:$S,7,FALSE)/VLOOKUP($P131,'CY Receving Query'!$B:$S,5,FALSE)),0)*$AJ131</f>
        <v>0</v>
      </c>
      <c r="Y131" s="10">
        <f>IFERROR(VLOOKUP($P131,'CY Receving Query'!$B:$S,8,FALSE)/VLOOKUP($P131,'CY Receving Query'!$B:$S,5,FALSE),0)</f>
        <v>0</v>
      </c>
      <c r="Z131" s="10">
        <f>IFERROR(VLOOKUP($P131,'CY Receving Query'!$B:$S,10,FALSE)/VLOOKUP($P131,'CY Receving Query'!$B:$S,5,FALSE),0)</f>
        <v>0</v>
      </c>
      <c r="AA131" s="10">
        <f>IFERROR(VLOOKUP($P131,'CY Receving Query'!$B:$S,11,FALSE),0)</f>
        <v>0</v>
      </c>
      <c r="AB131" s="10">
        <f>IFERROR(AVERAGE(VLOOKUP($P131,'PY Receiving'!$C:$T,14,FALSE),VLOOKUP($P131,'CY Receiving'!$C:$T,14,FALSE)),0)</f>
        <v>0</v>
      </c>
      <c r="AC131" s="10">
        <f>IFERROR(VLOOKUP($P131,'CY Receving Query'!$B:$S,11,FALSE)/VLOOKUP($P131,'CY Receving Query'!$B:$S,5,FALSE),0)</f>
        <v>0</v>
      </c>
      <c r="AD131" s="10">
        <f>IFERROR(VLOOKUP($P131,'CY Rushing Query'!$B:$O,7,FALSE)/VLOOKUP($P131,'CY Rushing Query'!$B:$O,5,FALSE),0)</f>
        <v>0</v>
      </c>
      <c r="AE131" s="10">
        <f>IFERROR(AVERAGE(VLOOKUP($P131,'PY Rushing'!$C:$P,8,FALSE)/VLOOKUP($P131,'PY Rushing'!$C:$P,5,FALSE),VLOOKUP($P131,'CY Rushing'!$C:$P,8,FALSE)/VLOOKUP($P131,'CY Rushing'!$C:$P,5,FALSE)),0)</f>
        <v>0</v>
      </c>
      <c r="AF131" s="10">
        <f>IFERROR(VLOOKUP($P131,'CY Rushing Query'!$B:$P,12,FALSE),0)</f>
        <v>0</v>
      </c>
      <c r="AG131" s="10">
        <f>IFERROR(VLOOKUP($P131,'CY Rushing Query'!$B:$P,9,FALSE)/VLOOKUP($P131,'CY Rushing Query'!$B:$P,5,FALSE),0)</f>
        <v>0</v>
      </c>
      <c r="AH131" s="10">
        <f>VLOOKUP($J131,'Vegas Odds'!$B:$S,18,FALSE)</f>
        <v>34.555825588251061</v>
      </c>
      <c r="AI131" s="10">
        <f>VLOOKUP($J131,'Vegas Odds'!$B:$S,17,FALSE)</f>
        <v>27.844174411748938</v>
      </c>
      <c r="AJ131">
        <f t="shared" si="39"/>
        <v>1</v>
      </c>
      <c r="AK131" s="10">
        <f t="shared" si="23"/>
        <v>0</v>
      </c>
      <c r="AL131" s="10">
        <f t="shared" si="24"/>
        <v>0</v>
      </c>
      <c r="AM131" s="10">
        <f>V131/'CY Defensive Stats Query'!$AD$34*'Fanduel Export'!Q131</f>
        <v>0</v>
      </c>
      <c r="AN131" s="10">
        <f t="shared" si="40"/>
        <v>0</v>
      </c>
      <c r="AO131" s="10">
        <f>IFERROR(IF(OR($B131="D",$B131="K"),0,VLOOKUP($P131,'CY Receving Query'!$B:$S,7,FALSE)/VLOOKUP($P131,'CY Receving Query'!$B:$S,5,FALSE)),0)*$AJ131</f>
        <v>0</v>
      </c>
      <c r="AP131" s="10">
        <f t="shared" si="25"/>
        <v>25.587418300653596</v>
      </c>
      <c r="AQ131" s="10">
        <f t="shared" si="26"/>
        <v>0</v>
      </c>
      <c r="AR131" s="16">
        <f t="shared" si="27"/>
        <v>0</v>
      </c>
      <c r="AS131" s="16">
        <f t="shared" si="28"/>
        <v>0</v>
      </c>
      <c r="AT131" s="16">
        <f>AA131/'CY Defensive Stats Query'!$AH$34
*'Fanduel Export'!S131</f>
        <v>0</v>
      </c>
      <c r="AU131" s="10">
        <f t="shared" si="41"/>
        <v>0</v>
      </c>
      <c r="AV131" s="10">
        <f t="shared" si="29"/>
        <v>0</v>
      </c>
      <c r="AW131" s="10">
        <f t="shared" si="30"/>
        <v>12.022058823529411</v>
      </c>
      <c r="AX131" s="10">
        <f t="shared" si="31"/>
        <v>0</v>
      </c>
      <c r="AY131" s="10">
        <f>AF131/'CY Defensive Stats Query'!$AF$34
*R131</f>
        <v>0</v>
      </c>
      <c r="AZ131" s="10">
        <f t="shared" si="42"/>
        <v>0</v>
      </c>
      <c r="BA131" s="16">
        <f t="shared" si="32"/>
        <v>0</v>
      </c>
      <c r="BB131" s="16">
        <f t="shared" si="33"/>
        <v>0</v>
      </c>
      <c r="BC131" s="10">
        <f t="shared" si="34"/>
        <v>0</v>
      </c>
      <c r="BD131" s="10">
        <f>IF(B131="QB",COUNTIFS($B$5:B131,B131,$J$5:J131,J131),1)</f>
        <v>1</v>
      </c>
      <c r="BE131" t="str">
        <f t="shared" si="35"/>
        <v>John Hurst</v>
      </c>
      <c r="BF131">
        <f t="shared" si="36"/>
        <v>4500</v>
      </c>
      <c r="BG131" t="str">
        <f t="shared" si="37"/>
        <v>WR</v>
      </c>
      <c r="BH131" s="16">
        <f t="shared" si="38"/>
        <v>0</v>
      </c>
    </row>
    <row r="132" spans="1:60" x14ac:dyDescent="0.2">
      <c r="A132" t="s">
        <v>2915</v>
      </c>
      <c r="B132" t="s">
        <v>68</v>
      </c>
      <c r="C132" t="s">
        <v>2216</v>
      </c>
      <c r="D132" t="s">
        <v>2269</v>
      </c>
      <c r="E132" t="s">
        <v>2560</v>
      </c>
      <c r="F132">
        <v>0.77499997615814198</v>
      </c>
      <c r="G132">
        <v>4</v>
      </c>
      <c r="H132">
        <v>4500</v>
      </c>
      <c r="I132" t="s">
        <v>2716</v>
      </c>
      <c r="J132" t="s">
        <v>99</v>
      </c>
      <c r="K132" t="s">
        <v>81</v>
      </c>
      <c r="O132" t="str">
        <f t="shared" si="22"/>
        <v>Derek Watt</v>
      </c>
      <c r="P132" t="str">
        <f>IFERROR(VLOOKUP(O:O,'Name Bridge'!A:B,2,FALSE),O:O)</f>
        <v>Derek Watt</v>
      </c>
      <c r="Q132" s="10">
        <f>VLOOKUP($K132,'CY Defensive Stats Query'!$AC:$AH,2,FALSE)</f>
        <v>8.7934782608695645</v>
      </c>
      <c r="R132" s="10">
        <f>VLOOKUP($K132,'CY Defensive Stats Query'!$AC:$AH,4,FALSE)</f>
        <v>5.404494382022472</v>
      </c>
      <c r="S132" s="10">
        <f>VLOOKUP($K132,'CY Defensive Stats Query'!$AC:$AH,6,FALSE)</f>
        <v>12.446153846153846</v>
      </c>
      <c r="T132" s="10">
        <f>IFERROR(VLOOKUP($P132,'CYPassing Query'!$B:$AE,9,FALSE)/VLOOKUP($P132,'CYPassing Query'!$B:$AE,5,FALSE),0)</f>
        <v>0</v>
      </c>
      <c r="U132" s="10">
        <f>IFERROR(VLOOKUP($P132,'CYPassing Query'!$B:$AE,11,FALSE)/VLOOKUP($P132,'CYPassing Query'!$B:$AE,5,FALSE),0)</f>
        <v>0</v>
      </c>
      <c r="V132" s="10">
        <f>IFERROR(VLOOKUP($P132,'CYPassing Query'!$B:$AE,18,FALSE),0)</f>
        <v>0</v>
      </c>
      <c r="W132" s="10">
        <f>IFERROR(VLOOKUP($P132,'CYPassing Query'!$B:$AE,12,FALSE)/VLOOKUP($P132,'CYPassing Query'!$B:$AE,5,FALSE),0)</f>
        <v>0</v>
      </c>
      <c r="X132" s="10">
        <f>IFERROR(IF(OR($B132="D",$B132="K"),0,VLOOKUP($P132,'CY Receving Query'!$B:$S,7,FALSE)/VLOOKUP($P132,'CY Receving Query'!$B:$S,5,FALSE)),0)*$AJ132</f>
        <v>0.17647058823529413</v>
      </c>
      <c r="Y132" s="10">
        <f>IFERROR(VLOOKUP($P132,'CY Receving Query'!$B:$S,8,FALSE)/VLOOKUP($P132,'CY Receving Query'!$B:$S,5,FALSE),0)</f>
        <v>0.17647058823529413</v>
      </c>
      <c r="Z132" s="10">
        <f>IFERROR(VLOOKUP($P132,'CY Receving Query'!$B:$S,10,FALSE)/VLOOKUP($P132,'CY Receving Query'!$B:$S,5,FALSE),0)</f>
        <v>0.88235294117647056</v>
      </c>
      <c r="AA132" s="10">
        <f>IFERROR(VLOOKUP($P132,'CY Receving Query'!$B:$S,11,FALSE),0)</f>
        <v>5</v>
      </c>
      <c r="AB132" s="10">
        <f>IFERROR(AVERAGE(VLOOKUP($P132,'PY Receiving'!$C:$T,14,FALSE),VLOOKUP($P132,'CY Receiving'!$C:$T,14,FALSE)),0)</f>
        <v>0</v>
      </c>
      <c r="AC132" s="10">
        <f>IFERROR(VLOOKUP($P132,'CY Receving Query'!$B:$S,11,FALSE)/VLOOKUP($P132,'CY Receving Query'!$B:$S,5,FALSE),0)</f>
        <v>0.29411764705882354</v>
      </c>
      <c r="AD132" s="10">
        <f>IFERROR(VLOOKUP($P132,'CY Rushing Query'!$B:$O,7,FALSE)/VLOOKUP($P132,'CY Rushing Query'!$B:$O,5,FALSE),0)</f>
        <v>5.8823529411764705E-2</v>
      </c>
      <c r="AE132" s="10">
        <f>IFERROR(AVERAGE(VLOOKUP($P132,'PY Rushing'!$C:$P,8,FALSE)/VLOOKUP($P132,'PY Rushing'!$C:$P,5,FALSE),VLOOKUP($P132,'CY Rushing'!$C:$P,8,FALSE)/VLOOKUP($P132,'CY Rushing'!$C:$P,5,FALSE)),0)</f>
        <v>0</v>
      </c>
      <c r="AF132" s="10">
        <f>IFERROR(VLOOKUP($P132,'CY Rushing Query'!$B:$P,12,FALSE),0)</f>
        <v>1</v>
      </c>
      <c r="AG132" s="10">
        <f>IFERROR(VLOOKUP($P132,'CY Rushing Query'!$B:$P,9,FALSE)/VLOOKUP($P132,'CY Rushing Query'!$B:$P,5,FALSE),0)</f>
        <v>0</v>
      </c>
      <c r="AH132" s="10">
        <f>VLOOKUP($J132,'Vegas Odds'!$B:$S,18,FALSE)</f>
        <v>40.088640957860363</v>
      </c>
      <c r="AI132" s="10">
        <f>VLOOKUP($J132,'Vegas Odds'!$B:$S,17,FALSE)</f>
        <v>25.511359042139631</v>
      </c>
      <c r="AJ132">
        <f t="shared" si="39"/>
        <v>1</v>
      </c>
      <c r="AK132" s="10">
        <f t="shared" si="23"/>
        <v>0</v>
      </c>
      <c r="AL132" s="10">
        <f t="shared" si="24"/>
        <v>0</v>
      </c>
      <c r="AM132" s="10">
        <f>V132/'CY Defensive Stats Query'!$AD$34*'Fanduel Export'!Q132</f>
        <v>0</v>
      </c>
      <c r="AN132" s="10">
        <f t="shared" si="40"/>
        <v>0</v>
      </c>
      <c r="AO132" s="10">
        <f>IFERROR(IF(OR($B132="D",$B132="K"),0,VLOOKUP($P132,'CY Receving Query'!$B:$S,7,FALSE)/VLOOKUP($P132,'CY Receving Query'!$B:$S,5,FALSE)),0)*$AJ132</f>
        <v>0.17647058823529413</v>
      </c>
      <c r="AP132" s="10">
        <f t="shared" si="25"/>
        <v>32.289950980392156</v>
      </c>
      <c r="AQ132" s="10">
        <f t="shared" si="26"/>
        <v>0.21909187956596909</v>
      </c>
      <c r="AR132" s="16">
        <f t="shared" si="27"/>
        <v>0.17647058823529413</v>
      </c>
      <c r="AS132" s="16">
        <f t="shared" si="28"/>
        <v>0.21909187956596909</v>
      </c>
      <c r="AT132" s="16">
        <f>AA132/'CY Defensive Stats Query'!$AH$34
*'Fanduel Export'!S132</f>
        <v>5.9188836293796818</v>
      </c>
      <c r="AU132" s="10">
        <f t="shared" si="41"/>
        <v>1.2967793392930393</v>
      </c>
      <c r="AV132" s="10">
        <f t="shared" si="29"/>
        <v>5.8823529411764705E-2</v>
      </c>
      <c r="AW132" s="10">
        <f t="shared" si="30"/>
        <v>7.4240196078431371</v>
      </c>
      <c r="AX132" s="10">
        <f t="shared" si="31"/>
        <v>0.20213688247320938</v>
      </c>
      <c r="AY132" s="10">
        <f>AF132/'CY Defensive Stats Query'!$AF$34
*R132</f>
        <v>1.3068610598928754</v>
      </c>
      <c r="AZ132" s="10">
        <f t="shared" si="42"/>
        <v>0.26416482047237999</v>
      </c>
      <c r="BA132" s="16">
        <f t="shared" si="32"/>
        <v>0.24432971009418902</v>
      </c>
      <c r="BB132" s="16">
        <f t="shared" si="33"/>
        <v>5.4295491132042004E-2</v>
      </c>
      <c r="BC132" s="10">
        <f t="shared" si="34"/>
        <v>3.9215686274509803E-2</v>
      </c>
      <c r="BD132" s="10">
        <f>IF(B132="QB",COUNTIFS($B$5:B132,B132,$J$5:J132,J132),1)</f>
        <v>1</v>
      </c>
      <c r="BE132" t="str">
        <f t="shared" si="35"/>
        <v>Derek Watt</v>
      </c>
      <c r="BF132">
        <f t="shared" si="36"/>
        <v>4500</v>
      </c>
      <c r="BG132" t="str">
        <f t="shared" si="37"/>
        <v>RB</v>
      </c>
      <c r="BH132" s="16">
        <f t="shared" si="38"/>
        <v>0.24432971009418902</v>
      </c>
    </row>
    <row r="133" spans="1:60" x14ac:dyDescent="0.2">
      <c r="A133" t="s">
        <v>2916</v>
      </c>
      <c r="B133" t="s">
        <v>83</v>
      </c>
      <c r="C133" t="s">
        <v>2506</v>
      </c>
      <c r="D133" t="s">
        <v>487</v>
      </c>
      <c r="E133" t="s">
        <v>2257</v>
      </c>
      <c r="F133">
        <v>1.93333339691162</v>
      </c>
      <c r="G133">
        <v>3</v>
      </c>
      <c r="H133">
        <v>4500</v>
      </c>
      <c r="I133" t="s">
        <v>2716</v>
      </c>
      <c r="J133" t="s">
        <v>99</v>
      </c>
      <c r="K133" t="s">
        <v>81</v>
      </c>
      <c r="O133" t="str">
        <f t="shared" ref="O133:O188" si="43">D133</f>
        <v>Cody White</v>
      </c>
      <c r="P133" t="str">
        <f>IFERROR(VLOOKUP(O:O,'Name Bridge'!A:B,2,FALSE),O:O)</f>
        <v>Cody White</v>
      </c>
      <c r="Q133" s="10">
        <f>VLOOKUP($K133,'CY Defensive Stats Query'!$AC:$AH,2,FALSE)</f>
        <v>8.7934782608695645</v>
      </c>
      <c r="R133" s="10">
        <f>VLOOKUP($K133,'CY Defensive Stats Query'!$AC:$AH,4,FALSE)</f>
        <v>5.404494382022472</v>
      </c>
      <c r="S133" s="10">
        <f>VLOOKUP($K133,'CY Defensive Stats Query'!$AC:$AH,6,FALSE)</f>
        <v>12.446153846153846</v>
      </c>
      <c r="T133" s="10">
        <f>IFERROR(VLOOKUP($P133,'CYPassing Query'!$B:$AE,9,FALSE)/VLOOKUP($P133,'CYPassing Query'!$B:$AE,5,FALSE),0)</f>
        <v>0</v>
      </c>
      <c r="U133" s="10">
        <f>IFERROR(VLOOKUP($P133,'CYPassing Query'!$B:$AE,11,FALSE)/VLOOKUP($P133,'CYPassing Query'!$B:$AE,5,FALSE),0)</f>
        <v>0</v>
      </c>
      <c r="V133" s="10">
        <f>IFERROR(VLOOKUP($P133,'CYPassing Query'!$B:$AE,18,FALSE),0)</f>
        <v>0</v>
      </c>
      <c r="W133" s="10">
        <f>IFERROR(VLOOKUP($P133,'CYPassing Query'!$B:$AE,12,FALSE)/VLOOKUP($P133,'CYPassing Query'!$B:$AE,5,FALSE),0)</f>
        <v>0</v>
      </c>
      <c r="X133" s="10">
        <f>IFERROR(IF(OR($B133="D",$B133="K"),0,VLOOKUP($P133,'CY Receving Query'!$B:$S,7,FALSE)/VLOOKUP($P133,'CY Receving Query'!$B:$S,5,FALSE)),0)*$AJ133</f>
        <v>0.4</v>
      </c>
      <c r="Y133" s="10">
        <f>IFERROR(VLOOKUP($P133,'CY Receving Query'!$B:$S,8,FALSE)/VLOOKUP($P133,'CY Receving Query'!$B:$S,5,FALSE),0)</f>
        <v>0.33333333333333331</v>
      </c>
      <c r="Z133" s="10">
        <f>IFERROR(VLOOKUP($P133,'CY Receving Query'!$B:$S,10,FALSE)/VLOOKUP($P133,'CY Receving Query'!$B:$S,5,FALSE),0)</f>
        <v>2.2000000000000002</v>
      </c>
      <c r="AA133" s="10">
        <f>IFERROR(VLOOKUP($P133,'CY Receving Query'!$B:$S,11,FALSE),0)</f>
        <v>6.6</v>
      </c>
      <c r="AB133" s="10">
        <f>IFERROR(AVERAGE(VLOOKUP($P133,'PY Receiving'!$C:$T,14,FALSE),VLOOKUP($P133,'CY Receiving'!$C:$T,14,FALSE)),0)</f>
        <v>0</v>
      </c>
      <c r="AC133" s="10">
        <f>IFERROR(VLOOKUP($P133,'CY Receving Query'!$B:$S,11,FALSE)/VLOOKUP($P133,'CY Receving Query'!$B:$S,5,FALSE),0)</f>
        <v>0.44</v>
      </c>
      <c r="AD133" s="10">
        <f>IFERROR(VLOOKUP($P133,'CY Rushing Query'!$B:$O,7,FALSE)/VLOOKUP($P133,'CY Rushing Query'!$B:$O,5,FALSE),0)</f>
        <v>0</v>
      </c>
      <c r="AE133" s="10">
        <f>IFERROR(AVERAGE(VLOOKUP($P133,'PY Rushing'!$C:$P,8,FALSE)/VLOOKUP($P133,'PY Rushing'!$C:$P,5,FALSE),VLOOKUP($P133,'CY Rushing'!$C:$P,8,FALSE)/VLOOKUP($P133,'CY Rushing'!$C:$P,5,FALSE)),0)</f>
        <v>0</v>
      </c>
      <c r="AF133" s="10">
        <f>IFERROR(VLOOKUP($P133,'CY Rushing Query'!$B:$P,12,FALSE),0)</f>
        <v>0</v>
      </c>
      <c r="AG133" s="10">
        <f>IFERROR(VLOOKUP($P133,'CY Rushing Query'!$B:$P,9,FALSE)/VLOOKUP($P133,'CY Rushing Query'!$B:$P,5,FALSE),0)</f>
        <v>0</v>
      </c>
      <c r="AH133" s="10">
        <f>VLOOKUP($J133,'Vegas Odds'!$B:$S,18,FALSE)</f>
        <v>40.088640957860363</v>
      </c>
      <c r="AI133" s="10">
        <f>VLOOKUP($J133,'Vegas Odds'!$B:$S,17,FALSE)</f>
        <v>25.511359042139631</v>
      </c>
      <c r="AJ133">
        <f t="shared" si="39"/>
        <v>1</v>
      </c>
      <c r="AK133" s="10">
        <f t="shared" ref="AK133:AK188" si="44">T133*AJ133</f>
        <v>0</v>
      </c>
      <c r="AL133" s="10">
        <f t="shared" ref="AL133:AL188" si="45">IF(AND(AJ133=1,B133="QB"),AH133,0)</f>
        <v>0</v>
      </c>
      <c r="AM133" s="10">
        <f>V133/'CY Defensive Stats Query'!$AD$34*'Fanduel Export'!Q133</f>
        <v>0</v>
      </c>
      <c r="AN133" s="10">
        <f t="shared" si="40"/>
        <v>0</v>
      </c>
      <c r="AO133" s="10">
        <f>IFERROR(IF(OR($B133="D",$B133="K"),0,VLOOKUP($P133,'CY Receving Query'!$B:$S,7,FALSE)/VLOOKUP($P133,'CY Receving Query'!$B:$S,5,FALSE)),0)*$AJ133</f>
        <v>0.4</v>
      </c>
      <c r="AP133" s="10">
        <f t="shared" ref="AP133:AP188" si="46">SUMIF($J:$J,$J133,AO:AO)</f>
        <v>32.289950980392156</v>
      </c>
      <c r="AQ133" s="10">
        <f t="shared" ref="AQ133:AQ188" si="47">AO133/AP133*AH133</f>
        <v>0.49660826034952993</v>
      </c>
      <c r="AR133" s="16">
        <f t="shared" ref="AR133:AR188" si="48">Y133*AJ133</f>
        <v>0.33333333333333331</v>
      </c>
      <c r="AS133" s="16">
        <f t="shared" ref="AS133:AS188" si="49">IFERROR(AR133/AO133*AQ133,0)</f>
        <v>0.4138402169579416</v>
      </c>
      <c r="AT133" s="16">
        <f>AA133/'CY Defensive Stats Query'!$AH$34
*'Fanduel Export'!S133</f>
        <v>7.8129263907811799</v>
      </c>
      <c r="AU133" s="10">
        <f t="shared" si="41"/>
        <v>3.2333031526373111</v>
      </c>
      <c r="AV133" s="10">
        <f t="shared" ref="AV133:AV188" si="50">AD133*AJ133</f>
        <v>0</v>
      </c>
      <c r="AW133" s="10">
        <f t="shared" ref="AW133:AW188" si="51">SUMIF($J:$J,$J133,AV:AV)</f>
        <v>7.4240196078431371</v>
      </c>
      <c r="AX133" s="10">
        <f t="shared" ref="AX133:AX188" si="52">IFERROR(AV133/AW133*AI133,0)</f>
        <v>0</v>
      </c>
      <c r="AY133" s="10">
        <f>AF133/'CY Defensive Stats Query'!$AF$34
*R133</f>
        <v>0</v>
      </c>
      <c r="AZ133" s="10">
        <f t="shared" si="42"/>
        <v>0</v>
      </c>
      <c r="BA133" s="16">
        <f t="shared" ref="BA133:BA188" si="53">AN133/25+AU133/10+AZ133/10+AR133*0.5</f>
        <v>0.48999698193039776</v>
      </c>
      <c r="BB133" s="16">
        <f t="shared" ref="BB133:BB188" si="54">BA133/(H133/1000)</f>
        <v>0.10888821820675505</v>
      </c>
      <c r="BC133" s="10">
        <f t="shared" ref="BC133:BC188" si="55">AO133/(H133/1000)</f>
        <v>8.8888888888888892E-2</v>
      </c>
      <c r="BD133" s="10">
        <f>IF(B133="QB",COUNTIFS($B$5:B133,B133,$J$5:J133,J133),1)</f>
        <v>1</v>
      </c>
      <c r="BE133" t="str">
        <f t="shared" ref="BE133:BE188" si="56">D133</f>
        <v>Cody White</v>
      </c>
      <c r="BF133">
        <f t="shared" ref="BF133:BF188" si="57">H133</f>
        <v>4500</v>
      </c>
      <c r="BG133" t="str">
        <f t="shared" ref="BG133:BG188" si="58">B133</f>
        <v>WR</v>
      </c>
      <c r="BH133" s="16">
        <f t="shared" ref="BH133:BH188" si="59">BA133</f>
        <v>0.48999698193039776</v>
      </c>
    </row>
    <row r="134" spans="1:60" x14ac:dyDescent="0.2">
      <c r="A134" t="s">
        <v>2917</v>
      </c>
      <c r="B134" t="s">
        <v>88</v>
      </c>
      <c r="C134" t="s">
        <v>2215</v>
      </c>
      <c r="D134" t="s">
        <v>670</v>
      </c>
      <c r="E134" t="s">
        <v>2425</v>
      </c>
      <c r="F134">
        <v>2.6200000762939402</v>
      </c>
      <c r="G134">
        <v>10</v>
      </c>
      <c r="H134">
        <v>4500</v>
      </c>
      <c r="I134" t="s">
        <v>2716</v>
      </c>
      <c r="J134" t="s">
        <v>99</v>
      </c>
      <c r="K134" t="s">
        <v>81</v>
      </c>
      <c r="O134" t="str">
        <f t="shared" si="43"/>
        <v>Zach Gentry</v>
      </c>
      <c r="P134" t="str">
        <f>IFERROR(VLOOKUP(O:O,'Name Bridge'!A:B,2,FALSE),O:O)</f>
        <v>Zach Gentry</v>
      </c>
      <c r="Q134" s="10">
        <f>VLOOKUP($K134,'CY Defensive Stats Query'!$AC:$AH,2,FALSE)</f>
        <v>8.7934782608695645</v>
      </c>
      <c r="R134" s="10">
        <f>VLOOKUP($K134,'CY Defensive Stats Query'!$AC:$AH,4,FALSE)</f>
        <v>5.404494382022472</v>
      </c>
      <c r="S134" s="10">
        <f>VLOOKUP($K134,'CY Defensive Stats Query'!$AC:$AH,6,FALSE)</f>
        <v>12.446153846153846</v>
      </c>
      <c r="T134" s="10">
        <f>IFERROR(VLOOKUP($P134,'CYPassing Query'!$B:$AE,9,FALSE)/VLOOKUP($P134,'CYPassing Query'!$B:$AE,5,FALSE),0)</f>
        <v>0</v>
      </c>
      <c r="U134" s="10">
        <f>IFERROR(VLOOKUP($P134,'CYPassing Query'!$B:$AE,11,FALSE)/VLOOKUP($P134,'CYPassing Query'!$B:$AE,5,FALSE),0)</f>
        <v>0</v>
      </c>
      <c r="V134" s="10">
        <f>IFERROR(VLOOKUP($P134,'CYPassing Query'!$B:$AE,18,FALSE),0)</f>
        <v>0</v>
      </c>
      <c r="W134" s="10">
        <f>IFERROR(VLOOKUP($P134,'CYPassing Query'!$B:$AE,12,FALSE)/VLOOKUP($P134,'CYPassing Query'!$B:$AE,5,FALSE),0)</f>
        <v>0</v>
      </c>
      <c r="X134" s="10">
        <f>IFERROR(IF(OR($B134="D",$B134="K"),0,VLOOKUP($P134,'CY Receving Query'!$B:$S,7,FALSE)/VLOOKUP($P134,'CY Receving Query'!$B:$S,5,FALSE)),0)*$AJ134</f>
        <v>1.4705882352941178</v>
      </c>
      <c r="Y134" s="10">
        <f>IFERROR(VLOOKUP($P134,'CY Receving Query'!$B:$S,8,FALSE)/VLOOKUP($P134,'CY Receving Query'!$B:$S,5,FALSE),0)</f>
        <v>1.1176470588235294</v>
      </c>
      <c r="Z134" s="10">
        <f>IFERROR(VLOOKUP($P134,'CY Receving Query'!$B:$S,10,FALSE)/VLOOKUP($P134,'CY Receving Query'!$B:$S,5,FALSE),0)</f>
        <v>9.8235294117647065</v>
      </c>
      <c r="AA134" s="10">
        <f>IFERROR(VLOOKUP($P134,'CY Receving Query'!$B:$S,11,FALSE),0)</f>
        <v>8.8000000000000007</v>
      </c>
      <c r="AB134" s="10">
        <f>IFERROR(AVERAGE(VLOOKUP($P134,'PY Receiving'!$C:$T,14,FALSE),VLOOKUP($P134,'CY Receiving'!$C:$T,14,FALSE)),0)</f>
        <v>0</v>
      </c>
      <c r="AC134" s="10">
        <f>IFERROR(VLOOKUP($P134,'CY Receving Query'!$B:$S,11,FALSE)/VLOOKUP($P134,'CY Receving Query'!$B:$S,5,FALSE),0)</f>
        <v>0.51764705882352946</v>
      </c>
      <c r="AD134" s="10">
        <f>IFERROR(VLOOKUP($P134,'CY Rushing Query'!$B:$O,7,FALSE)/VLOOKUP($P134,'CY Rushing Query'!$B:$O,5,FALSE),0)</f>
        <v>0</v>
      </c>
      <c r="AE134" s="10">
        <f>IFERROR(AVERAGE(VLOOKUP($P134,'PY Rushing'!$C:$P,8,FALSE)/VLOOKUP($P134,'PY Rushing'!$C:$P,5,FALSE),VLOOKUP($P134,'CY Rushing'!$C:$P,8,FALSE)/VLOOKUP($P134,'CY Rushing'!$C:$P,5,FALSE)),0)</f>
        <v>0</v>
      </c>
      <c r="AF134" s="10">
        <f>IFERROR(VLOOKUP($P134,'CY Rushing Query'!$B:$P,12,FALSE),0)</f>
        <v>0</v>
      </c>
      <c r="AG134" s="10">
        <f>IFERROR(VLOOKUP($P134,'CY Rushing Query'!$B:$P,9,FALSE)/VLOOKUP($P134,'CY Rushing Query'!$B:$P,5,FALSE),0)</f>
        <v>0</v>
      </c>
      <c r="AH134" s="10">
        <f>VLOOKUP($J134,'Vegas Odds'!$B:$S,18,FALSE)</f>
        <v>40.088640957860363</v>
      </c>
      <c r="AI134" s="10">
        <f>VLOOKUP($J134,'Vegas Odds'!$B:$S,17,FALSE)</f>
        <v>25.511359042139631</v>
      </c>
      <c r="AJ134">
        <f t="shared" ref="AJ134:AJ197" si="60">IF(AND(H134&gt;=4000,OR(L134="Q",L134=""),BD134=1),1,0)</f>
        <v>1</v>
      </c>
      <c r="AK134" s="10">
        <f t="shared" si="44"/>
        <v>0</v>
      </c>
      <c r="AL134" s="10">
        <f t="shared" si="45"/>
        <v>0</v>
      </c>
      <c r="AM134" s="10">
        <f>V134/'CY Defensive Stats Query'!$AD$34*'Fanduel Export'!Q134</f>
        <v>0</v>
      </c>
      <c r="AN134" s="10">
        <f t="shared" si="40"/>
        <v>0</v>
      </c>
      <c r="AO134" s="10">
        <f>IFERROR(IF(OR($B134="D",$B134="K"),0,VLOOKUP($P134,'CY Receving Query'!$B:$S,7,FALSE)/VLOOKUP($P134,'CY Receving Query'!$B:$S,5,FALSE)),0)*$AJ134</f>
        <v>1.4705882352941178</v>
      </c>
      <c r="AP134" s="10">
        <f t="shared" si="46"/>
        <v>32.289950980392156</v>
      </c>
      <c r="AQ134" s="10">
        <f t="shared" si="47"/>
        <v>1.8257656630497425</v>
      </c>
      <c r="AR134" s="16">
        <f t="shared" si="48"/>
        <v>1.1176470588235294</v>
      </c>
      <c r="AS134" s="16">
        <f t="shared" si="49"/>
        <v>1.3875819039178043</v>
      </c>
      <c r="AT134" s="16">
        <f>AA134/'CY Defensive Stats Query'!$AH$34
*'Fanduel Export'!S134</f>
        <v>10.417235187708242</v>
      </c>
      <c r="AU134" s="10">
        <f t="shared" si="41"/>
        <v>14.454767035319747</v>
      </c>
      <c r="AV134" s="10">
        <f t="shared" si="50"/>
        <v>0</v>
      </c>
      <c r="AW134" s="10">
        <f t="shared" si="51"/>
        <v>7.4240196078431371</v>
      </c>
      <c r="AX134" s="10">
        <f t="shared" si="52"/>
        <v>0</v>
      </c>
      <c r="AY134" s="10">
        <f>AF134/'CY Defensive Stats Query'!$AF$34
*R134</f>
        <v>0</v>
      </c>
      <c r="AZ134" s="10">
        <f t="shared" si="42"/>
        <v>0</v>
      </c>
      <c r="BA134" s="16">
        <f t="shared" si="53"/>
        <v>2.0043002329437396</v>
      </c>
      <c r="BB134" s="16">
        <f t="shared" si="54"/>
        <v>0.44540005176527547</v>
      </c>
      <c r="BC134" s="10">
        <f t="shared" si="55"/>
        <v>0.32679738562091504</v>
      </c>
      <c r="BD134" s="10">
        <f>IF(B134="QB",COUNTIFS($B$5:B134,B134,$J$5:J134,J134),1)</f>
        <v>1</v>
      </c>
      <c r="BE134" t="str">
        <f t="shared" si="56"/>
        <v>Zach Gentry</v>
      </c>
      <c r="BF134">
        <f t="shared" si="57"/>
        <v>4500</v>
      </c>
      <c r="BG134" t="str">
        <f t="shared" si="58"/>
        <v>TE</v>
      </c>
      <c r="BH134" s="16">
        <f t="shared" si="59"/>
        <v>2.0043002329437396</v>
      </c>
    </row>
    <row r="135" spans="1:60" x14ac:dyDescent="0.2">
      <c r="A135" t="s">
        <v>2918</v>
      </c>
      <c r="B135" t="s">
        <v>83</v>
      </c>
      <c r="C135" t="s">
        <v>2207</v>
      </c>
      <c r="D135" t="s">
        <v>2614</v>
      </c>
      <c r="E135" t="s">
        <v>2615</v>
      </c>
      <c r="H135">
        <v>4500</v>
      </c>
      <c r="I135" t="s">
        <v>2720</v>
      </c>
      <c r="J135" t="s">
        <v>728</v>
      </c>
      <c r="K135" t="s">
        <v>102</v>
      </c>
      <c r="O135" t="str">
        <f t="shared" si="43"/>
        <v>Josh Pearson</v>
      </c>
      <c r="P135" t="str">
        <f>IFERROR(VLOOKUP(O:O,'Name Bridge'!A:B,2,FALSE),O:O)</f>
        <v>Josh Pearson</v>
      </c>
      <c r="Q135" s="10">
        <f>VLOOKUP($K135,'CY Defensive Stats Query'!$AC:$AH,2,FALSE)</f>
        <v>5.9890109890109891</v>
      </c>
      <c r="R135" s="10">
        <f>VLOOKUP($K135,'CY Defensive Stats Query'!$AC:$AH,4,FALSE)</f>
        <v>3.8190476190476192</v>
      </c>
      <c r="S135" s="10">
        <f>VLOOKUP($K135,'CY Defensive Stats Query'!$AC:$AH,6,FALSE)</f>
        <v>8.515625</v>
      </c>
      <c r="T135" s="10">
        <f>IFERROR(VLOOKUP($P135,'CYPassing Query'!$B:$AE,9,FALSE)/VLOOKUP($P135,'CYPassing Query'!$B:$AE,5,FALSE),0)</f>
        <v>0</v>
      </c>
      <c r="U135" s="10">
        <f>IFERROR(VLOOKUP($P135,'CYPassing Query'!$B:$AE,11,FALSE)/VLOOKUP($P135,'CYPassing Query'!$B:$AE,5,FALSE),0)</f>
        <v>0</v>
      </c>
      <c r="V135" s="10">
        <f>IFERROR(VLOOKUP($P135,'CYPassing Query'!$B:$AE,18,FALSE),0)</f>
        <v>0</v>
      </c>
      <c r="W135" s="10">
        <f>IFERROR(VLOOKUP($P135,'CYPassing Query'!$B:$AE,12,FALSE)/VLOOKUP($P135,'CYPassing Query'!$B:$AE,5,FALSE),0)</f>
        <v>0</v>
      </c>
      <c r="X135" s="10">
        <f>IFERROR(IF(OR($B135="D",$B135="K"),0,VLOOKUP($P135,'CY Receving Query'!$B:$S,7,FALSE)/VLOOKUP($P135,'CY Receving Query'!$B:$S,5,FALSE)),0)*$AJ135</f>
        <v>0</v>
      </c>
      <c r="Y135" s="10">
        <f>IFERROR(VLOOKUP($P135,'CY Receving Query'!$B:$S,8,FALSE)/VLOOKUP($P135,'CY Receving Query'!$B:$S,5,FALSE),0)</f>
        <v>0</v>
      </c>
      <c r="Z135" s="10">
        <f>IFERROR(VLOOKUP($P135,'CY Receving Query'!$B:$S,10,FALSE)/VLOOKUP($P135,'CY Receving Query'!$B:$S,5,FALSE),0)</f>
        <v>0</v>
      </c>
      <c r="AA135" s="10">
        <f>IFERROR(VLOOKUP($P135,'CY Receving Query'!$B:$S,11,FALSE),0)</f>
        <v>0</v>
      </c>
      <c r="AB135" s="10">
        <f>IFERROR(AVERAGE(VLOOKUP($P135,'PY Receiving'!$C:$T,14,FALSE),VLOOKUP($P135,'CY Receiving'!$C:$T,14,FALSE)),0)</f>
        <v>0</v>
      </c>
      <c r="AC135" s="10">
        <f>IFERROR(VLOOKUP($P135,'CY Receving Query'!$B:$S,11,FALSE)/VLOOKUP($P135,'CY Receving Query'!$B:$S,5,FALSE),0)</f>
        <v>0</v>
      </c>
      <c r="AD135" s="10">
        <f>IFERROR(VLOOKUP($P135,'CY Rushing Query'!$B:$O,7,FALSE)/VLOOKUP($P135,'CY Rushing Query'!$B:$O,5,FALSE),0)</f>
        <v>0</v>
      </c>
      <c r="AE135" s="10">
        <f>IFERROR(AVERAGE(VLOOKUP($P135,'PY Rushing'!$C:$P,8,FALSE)/VLOOKUP($P135,'PY Rushing'!$C:$P,5,FALSE),VLOOKUP($P135,'CY Rushing'!$C:$P,8,FALSE)/VLOOKUP($P135,'CY Rushing'!$C:$P,5,FALSE)),0)</f>
        <v>0</v>
      </c>
      <c r="AF135" s="10">
        <f>IFERROR(VLOOKUP($P135,'CY Rushing Query'!$B:$P,12,FALSE),0)</f>
        <v>0</v>
      </c>
      <c r="AG135" s="10">
        <f>IFERROR(VLOOKUP($P135,'CY Rushing Query'!$B:$P,9,FALSE)/VLOOKUP($P135,'CY Rushing Query'!$B:$P,5,FALSE),0)</f>
        <v>0</v>
      </c>
      <c r="AH135" s="10">
        <f>VLOOKUP($J135,'Vegas Odds'!$B:$S,18,FALSE)</f>
        <v>34.555825588251061</v>
      </c>
      <c r="AI135" s="10">
        <f>VLOOKUP($J135,'Vegas Odds'!$B:$S,17,FALSE)</f>
        <v>27.844174411748938</v>
      </c>
      <c r="AJ135">
        <f t="shared" si="60"/>
        <v>1</v>
      </c>
      <c r="AK135" s="10">
        <f t="shared" si="44"/>
        <v>0</v>
      </c>
      <c r="AL135" s="10">
        <f t="shared" si="45"/>
        <v>0</v>
      </c>
      <c r="AM135" s="10">
        <f>V135/'CY Defensive Stats Query'!$AD$34*'Fanduel Export'!Q135</f>
        <v>0</v>
      </c>
      <c r="AN135" s="10">
        <f t="shared" si="40"/>
        <v>0</v>
      </c>
      <c r="AO135" s="10">
        <f>IFERROR(IF(OR($B135="D",$B135="K"),0,VLOOKUP($P135,'CY Receving Query'!$B:$S,7,FALSE)/VLOOKUP($P135,'CY Receving Query'!$B:$S,5,FALSE)),0)*$AJ135</f>
        <v>0</v>
      </c>
      <c r="AP135" s="10">
        <f t="shared" si="46"/>
        <v>25.587418300653596</v>
      </c>
      <c r="AQ135" s="10">
        <f t="shared" si="47"/>
        <v>0</v>
      </c>
      <c r="AR135" s="16">
        <f t="shared" si="48"/>
        <v>0</v>
      </c>
      <c r="AS135" s="16">
        <f t="shared" si="49"/>
        <v>0</v>
      </c>
      <c r="AT135" s="16">
        <f>AA135/'CY Defensive Stats Query'!$AH$34
*'Fanduel Export'!S135</f>
        <v>0</v>
      </c>
      <c r="AU135" s="10">
        <f t="shared" si="41"/>
        <v>0</v>
      </c>
      <c r="AV135" s="10">
        <f t="shared" si="50"/>
        <v>0</v>
      </c>
      <c r="AW135" s="10">
        <f t="shared" si="51"/>
        <v>12.022058823529411</v>
      </c>
      <c r="AX135" s="10">
        <f t="shared" si="52"/>
        <v>0</v>
      </c>
      <c r="AY135" s="10">
        <f>AF135/'CY Defensive Stats Query'!$AF$34
*R135</f>
        <v>0</v>
      </c>
      <c r="AZ135" s="10">
        <f t="shared" si="42"/>
        <v>0</v>
      </c>
      <c r="BA135" s="16">
        <f t="shared" si="53"/>
        <v>0</v>
      </c>
      <c r="BB135" s="16">
        <f t="shared" si="54"/>
        <v>0</v>
      </c>
      <c r="BC135" s="10">
        <f t="shared" si="55"/>
        <v>0</v>
      </c>
      <c r="BD135" s="10">
        <f>IF(B135="QB",COUNTIFS($B$5:B135,B135,$J$5:J135,J135),1)</f>
        <v>1</v>
      </c>
      <c r="BE135" t="str">
        <f t="shared" si="56"/>
        <v>Josh Pearson</v>
      </c>
      <c r="BF135">
        <f t="shared" si="57"/>
        <v>4500</v>
      </c>
      <c r="BG135" t="str">
        <f t="shared" si="58"/>
        <v>WR</v>
      </c>
      <c r="BH135" s="16">
        <f t="shared" si="59"/>
        <v>0</v>
      </c>
    </row>
    <row r="136" spans="1:60" x14ac:dyDescent="0.2">
      <c r="A136" t="s">
        <v>2919</v>
      </c>
      <c r="B136" t="s">
        <v>83</v>
      </c>
      <c r="C136" t="s">
        <v>2421</v>
      </c>
      <c r="D136" t="s">
        <v>2561</v>
      </c>
      <c r="E136" t="s">
        <v>2562</v>
      </c>
      <c r="H136">
        <v>4500</v>
      </c>
      <c r="I136" t="s">
        <v>2716</v>
      </c>
      <c r="J136" t="s">
        <v>99</v>
      </c>
      <c r="K136" t="s">
        <v>81</v>
      </c>
      <c r="O136" t="str">
        <f t="shared" si="43"/>
        <v>Rico Bussey</v>
      </c>
      <c r="P136" t="str">
        <f>IFERROR(VLOOKUP(O:O,'Name Bridge'!A:B,2,FALSE),O:O)</f>
        <v>Rico Bussey</v>
      </c>
      <c r="Q136" s="10">
        <f>VLOOKUP($K136,'CY Defensive Stats Query'!$AC:$AH,2,FALSE)</f>
        <v>8.7934782608695645</v>
      </c>
      <c r="R136" s="10">
        <f>VLOOKUP($K136,'CY Defensive Stats Query'!$AC:$AH,4,FALSE)</f>
        <v>5.404494382022472</v>
      </c>
      <c r="S136" s="10">
        <f>VLOOKUP($K136,'CY Defensive Stats Query'!$AC:$AH,6,FALSE)</f>
        <v>12.446153846153846</v>
      </c>
      <c r="T136" s="10">
        <f>IFERROR(VLOOKUP($P136,'CYPassing Query'!$B:$AE,9,FALSE)/VLOOKUP($P136,'CYPassing Query'!$B:$AE,5,FALSE),0)</f>
        <v>0</v>
      </c>
      <c r="U136" s="10">
        <f>IFERROR(VLOOKUP($P136,'CYPassing Query'!$B:$AE,11,FALSE)/VLOOKUP($P136,'CYPassing Query'!$B:$AE,5,FALSE),0)</f>
        <v>0</v>
      </c>
      <c r="V136" s="10">
        <f>IFERROR(VLOOKUP($P136,'CYPassing Query'!$B:$AE,18,FALSE),0)</f>
        <v>0</v>
      </c>
      <c r="W136" s="10">
        <f>IFERROR(VLOOKUP($P136,'CYPassing Query'!$B:$AE,12,FALSE)/VLOOKUP($P136,'CYPassing Query'!$B:$AE,5,FALSE),0)</f>
        <v>0</v>
      </c>
      <c r="X136" s="10">
        <f>IFERROR(IF(OR($B136="D",$B136="K"),0,VLOOKUP($P136,'CY Receving Query'!$B:$S,7,FALSE)/VLOOKUP($P136,'CY Receving Query'!$B:$S,5,FALSE)),0)*$AJ136</f>
        <v>0</v>
      </c>
      <c r="Y136" s="10">
        <f>IFERROR(VLOOKUP($P136,'CY Receving Query'!$B:$S,8,FALSE)/VLOOKUP($P136,'CY Receving Query'!$B:$S,5,FALSE),0)</f>
        <v>0</v>
      </c>
      <c r="Z136" s="10">
        <f>IFERROR(VLOOKUP($P136,'CY Receving Query'!$B:$S,10,FALSE)/VLOOKUP($P136,'CY Receving Query'!$B:$S,5,FALSE),0)</f>
        <v>0</v>
      </c>
      <c r="AA136" s="10">
        <f>IFERROR(VLOOKUP($P136,'CY Receving Query'!$B:$S,11,FALSE),0)</f>
        <v>0</v>
      </c>
      <c r="AB136" s="10">
        <f>IFERROR(AVERAGE(VLOOKUP($P136,'PY Receiving'!$C:$T,14,FALSE),VLOOKUP($P136,'CY Receiving'!$C:$T,14,FALSE)),0)</f>
        <v>0</v>
      </c>
      <c r="AC136" s="10">
        <f>IFERROR(VLOOKUP($P136,'CY Receving Query'!$B:$S,11,FALSE)/VLOOKUP($P136,'CY Receving Query'!$B:$S,5,FALSE),0)</f>
        <v>0</v>
      </c>
      <c r="AD136" s="10">
        <f>IFERROR(VLOOKUP($P136,'CY Rushing Query'!$B:$O,7,FALSE)/VLOOKUP($P136,'CY Rushing Query'!$B:$O,5,FALSE),0)</f>
        <v>0</v>
      </c>
      <c r="AE136" s="10">
        <f>IFERROR(AVERAGE(VLOOKUP($P136,'PY Rushing'!$C:$P,8,FALSE)/VLOOKUP($P136,'PY Rushing'!$C:$P,5,FALSE),VLOOKUP($P136,'CY Rushing'!$C:$P,8,FALSE)/VLOOKUP($P136,'CY Rushing'!$C:$P,5,FALSE)),0)</f>
        <v>0</v>
      </c>
      <c r="AF136" s="10">
        <f>IFERROR(VLOOKUP($P136,'CY Rushing Query'!$B:$P,12,FALSE),0)</f>
        <v>0</v>
      </c>
      <c r="AG136" s="10">
        <f>IFERROR(VLOOKUP($P136,'CY Rushing Query'!$B:$P,9,FALSE)/VLOOKUP($P136,'CY Rushing Query'!$B:$P,5,FALSE),0)</f>
        <v>0</v>
      </c>
      <c r="AH136" s="10">
        <f>VLOOKUP($J136,'Vegas Odds'!$B:$S,18,FALSE)</f>
        <v>40.088640957860363</v>
      </c>
      <c r="AI136" s="10">
        <f>VLOOKUP($J136,'Vegas Odds'!$B:$S,17,FALSE)</f>
        <v>25.511359042139631</v>
      </c>
      <c r="AJ136">
        <f t="shared" si="60"/>
        <v>1</v>
      </c>
      <c r="AK136" s="10">
        <f t="shared" si="44"/>
        <v>0</v>
      </c>
      <c r="AL136" s="10">
        <f t="shared" si="45"/>
        <v>0</v>
      </c>
      <c r="AM136" s="10">
        <f>V136/'CY Defensive Stats Query'!$AD$34*'Fanduel Export'!Q136</f>
        <v>0</v>
      </c>
      <c r="AN136" s="10">
        <f t="shared" si="40"/>
        <v>0</v>
      </c>
      <c r="AO136" s="10">
        <f>IFERROR(IF(OR($B136="D",$B136="K"),0,VLOOKUP($P136,'CY Receving Query'!$B:$S,7,FALSE)/VLOOKUP($P136,'CY Receving Query'!$B:$S,5,FALSE)),0)*$AJ136</f>
        <v>0</v>
      </c>
      <c r="AP136" s="10">
        <f t="shared" si="46"/>
        <v>32.289950980392156</v>
      </c>
      <c r="AQ136" s="10">
        <f t="shared" si="47"/>
        <v>0</v>
      </c>
      <c r="AR136" s="16">
        <f t="shared" si="48"/>
        <v>0</v>
      </c>
      <c r="AS136" s="16">
        <f t="shared" si="49"/>
        <v>0</v>
      </c>
      <c r="AT136" s="16">
        <f>AA136/'CY Defensive Stats Query'!$AH$34
*'Fanduel Export'!S136</f>
        <v>0</v>
      </c>
      <c r="AU136" s="10">
        <f t="shared" si="41"/>
        <v>0</v>
      </c>
      <c r="AV136" s="10">
        <f t="shared" si="50"/>
        <v>0</v>
      </c>
      <c r="AW136" s="10">
        <f t="shared" si="51"/>
        <v>7.4240196078431371</v>
      </c>
      <c r="AX136" s="10">
        <f t="shared" si="52"/>
        <v>0</v>
      </c>
      <c r="AY136" s="10">
        <f>AF136/'CY Defensive Stats Query'!$AF$34
*R136</f>
        <v>0</v>
      </c>
      <c r="AZ136" s="10">
        <f t="shared" si="42"/>
        <v>0</v>
      </c>
      <c r="BA136" s="16">
        <f t="shared" si="53"/>
        <v>0</v>
      </c>
      <c r="BB136" s="16">
        <f t="shared" si="54"/>
        <v>0</v>
      </c>
      <c r="BC136" s="10">
        <f t="shared" si="55"/>
        <v>0</v>
      </c>
      <c r="BD136" s="10">
        <f>IF(B136="QB",COUNTIFS($B$5:B136,B136,$J$5:J136,J136),1)</f>
        <v>1</v>
      </c>
      <c r="BE136" t="str">
        <f t="shared" si="56"/>
        <v>Rico Bussey</v>
      </c>
      <c r="BF136">
        <f t="shared" si="57"/>
        <v>4500</v>
      </c>
      <c r="BG136" t="str">
        <f t="shared" si="58"/>
        <v>WR</v>
      </c>
      <c r="BH136" s="16">
        <f t="shared" si="59"/>
        <v>0</v>
      </c>
    </row>
    <row r="137" spans="1:60" x14ac:dyDescent="0.2">
      <c r="A137" t="s">
        <v>2920</v>
      </c>
      <c r="B137" t="s">
        <v>68</v>
      </c>
      <c r="C137" t="s">
        <v>2616</v>
      </c>
      <c r="D137" t="s">
        <v>1803</v>
      </c>
      <c r="E137" t="s">
        <v>2266</v>
      </c>
      <c r="F137">
        <v>5.9400001525878903</v>
      </c>
      <c r="G137">
        <v>5</v>
      </c>
      <c r="H137">
        <v>4500</v>
      </c>
      <c r="I137" t="s">
        <v>2716</v>
      </c>
      <c r="J137" t="s">
        <v>81</v>
      </c>
      <c r="K137" t="s">
        <v>99</v>
      </c>
      <c r="O137" t="str">
        <f t="shared" si="43"/>
        <v>Darwin Thompson</v>
      </c>
      <c r="P137" t="str">
        <f>IFERROR(VLOOKUP(O:O,'Name Bridge'!A:B,2,FALSE),O:O)</f>
        <v>Darwin Thompson</v>
      </c>
      <c r="Q137" s="10">
        <f>VLOOKUP($K137,'CY Defensive Stats Query'!$AC:$AH,2,FALSE)</f>
        <v>7.5377358490566042</v>
      </c>
      <c r="R137" s="10">
        <f>VLOOKUP($K137,'CY Defensive Stats Query'!$AC:$AH,4,FALSE)</f>
        <v>3.5810810810810811</v>
      </c>
      <c r="S137" s="10">
        <f>VLOOKUP($K137,'CY Defensive Stats Query'!$AC:$AH,6,FALSE)</f>
        <v>11.097222222222221</v>
      </c>
      <c r="T137" s="10">
        <f>IFERROR(VLOOKUP($P137,'CYPassing Query'!$B:$AE,9,FALSE)/VLOOKUP($P137,'CYPassing Query'!$B:$AE,5,FALSE),0)</f>
        <v>0</v>
      </c>
      <c r="U137" s="10">
        <f>IFERROR(VLOOKUP($P137,'CYPassing Query'!$B:$AE,11,FALSE)/VLOOKUP($P137,'CYPassing Query'!$B:$AE,5,FALSE),0)</f>
        <v>0</v>
      </c>
      <c r="V137" s="10">
        <f>IFERROR(VLOOKUP($P137,'CYPassing Query'!$B:$AE,18,FALSE),0)</f>
        <v>0</v>
      </c>
      <c r="W137" s="10">
        <f>IFERROR(VLOOKUP($P137,'CYPassing Query'!$B:$AE,12,FALSE)/VLOOKUP($P137,'CYPassing Query'!$B:$AE,5,FALSE),0)</f>
        <v>0</v>
      </c>
      <c r="X137" s="10">
        <f>IFERROR(IF(OR($B137="D",$B137="K"),0,VLOOKUP($P137,'CY Receving Query'!$B:$S,7,FALSE)/VLOOKUP($P137,'CY Receving Query'!$B:$S,5,FALSE)),0)*$AJ137</f>
        <v>0</v>
      </c>
      <c r="Y137" s="10">
        <f>IFERROR(VLOOKUP($P137,'CY Receving Query'!$B:$S,8,FALSE)/VLOOKUP($P137,'CY Receving Query'!$B:$S,5,FALSE),0)</f>
        <v>0</v>
      </c>
      <c r="Z137" s="10">
        <f>IFERROR(VLOOKUP($P137,'CY Receving Query'!$B:$S,10,FALSE)/VLOOKUP($P137,'CY Receving Query'!$B:$S,5,FALSE),0)</f>
        <v>0</v>
      </c>
      <c r="AA137" s="10">
        <f>IFERROR(VLOOKUP($P137,'CY Receving Query'!$B:$S,11,FALSE),0)</f>
        <v>0</v>
      </c>
      <c r="AB137" s="10">
        <f>IFERROR(AVERAGE(VLOOKUP($P137,'PY Receiving'!$C:$T,14,FALSE),VLOOKUP($P137,'CY Receiving'!$C:$T,14,FALSE)),0)</f>
        <v>0</v>
      </c>
      <c r="AC137" s="10">
        <f>IFERROR(VLOOKUP($P137,'CY Receving Query'!$B:$S,11,FALSE)/VLOOKUP($P137,'CY Receving Query'!$B:$S,5,FALSE),0)</f>
        <v>0</v>
      </c>
      <c r="AD137" s="10">
        <f>IFERROR(VLOOKUP($P137,'CY Rushing Query'!$B:$O,7,FALSE)/VLOOKUP($P137,'CY Rushing Query'!$B:$O,5,FALSE),0)</f>
        <v>0</v>
      </c>
      <c r="AE137" s="10">
        <f>IFERROR(AVERAGE(VLOOKUP($P137,'PY Rushing'!$C:$P,8,FALSE)/VLOOKUP($P137,'PY Rushing'!$C:$P,5,FALSE),VLOOKUP($P137,'CY Rushing'!$C:$P,8,FALSE)/VLOOKUP($P137,'CY Rushing'!$C:$P,5,FALSE)),0)</f>
        <v>0</v>
      </c>
      <c r="AF137" s="10">
        <f>IFERROR(VLOOKUP($P137,'CY Rushing Query'!$B:$P,12,FALSE),0)</f>
        <v>0</v>
      </c>
      <c r="AG137" s="10">
        <f>IFERROR(VLOOKUP($P137,'CY Rushing Query'!$B:$P,9,FALSE)/VLOOKUP($P137,'CY Rushing Query'!$B:$P,5,FALSE),0)</f>
        <v>0</v>
      </c>
      <c r="AH137" s="10">
        <f>VLOOKUP($J137,'Vegas Odds'!$B:$S,18,FALSE)</f>
        <v>37.933262350936971</v>
      </c>
      <c r="AI137" s="10">
        <f>VLOOKUP($J137,'Vegas Odds'!$B:$S,17,FALSE)</f>
        <v>27.766737649063032</v>
      </c>
      <c r="AJ137">
        <f t="shared" si="60"/>
        <v>1</v>
      </c>
      <c r="AK137" s="10">
        <f t="shared" si="44"/>
        <v>0</v>
      </c>
      <c r="AL137" s="10">
        <f t="shared" si="45"/>
        <v>0</v>
      </c>
      <c r="AM137" s="10">
        <f>V137/'CY Defensive Stats Query'!$AD$34*'Fanduel Export'!Q137</f>
        <v>0</v>
      </c>
      <c r="AN137" s="10">
        <f t="shared" si="40"/>
        <v>0</v>
      </c>
      <c r="AO137" s="10">
        <f>IFERROR(IF(OR($B137="D",$B137="K"),0,VLOOKUP($P137,'CY Receving Query'!$B:$S,7,FALSE)/VLOOKUP($P137,'CY Receving Query'!$B:$S,5,FALSE)),0)*$AJ137</f>
        <v>0</v>
      </c>
      <c r="AP137" s="10">
        <f t="shared" si="46"/>
        <v>37.365221788015901</v>
      </c>
      <c r="AQ137" s="10">
        <f t="shared" si="47"/>
        <v>0</v>
      </c>
      <c r="AR137" s="16">
        <f t="shared" si="48"/>
        <v>0</v>
      </c>
      <c r="AS137" s="16">
        <f t="shared" si="49"/>
        <v>0</v>
      </c>
      <c r="AT137" s="16">
        <f>AA137/'CY Defensive Stats Query'!$AH$34
*'Fanduel Export'!S137</f>
        <v>0</v>
      </c>
      <c r="AU137" s="10">
        <f t="shared" si="41"/>
        <v>0</v>
      </c>
      <c r="AV137" s="10">
        <f t="shared" si="50"/>
        <v>0</v>
      </c>
      <c r="AW137" s="10">
        <f t="shared" si="51"/>
        <v>19.787381735911151</v>
      </c>
      <c r="AX137" s="10">
        <f t="shared" si="52"/>
        <v>0</v>
      </c>
      <c r="AY137" s="10">
        <f>AF137/'CY Defensive Stats Query'!$AF$34
*R137</f>
        <v>0</v>
      </c>
      <c r="AZ137" s="10">
        <f t="shared" si="42"/>
        <v>0</v>
      </c>
      <c r="BA137" s="16">
        <f t="shared" si="53"/>
        <v>0</v>
      </c>
      <c r="BB137" s="16">
        <f t="shared" si="54"/>
        <v>0</v>
      </c>
      <c r="BC137" s="10">
        <f t="shared" si="55"/>
        <v>0</v>
      </c>
      <c r="BD137" s="10">
        <f>IF(B137="QB",COUNTIFS($B$5:B137,B137,$J$5:J137,J137),1)</f>
        <v>1</v>
      </c>
      <c r="BE137" t="str">
        <f t="shared" si="56"/>
        <v>Darwin Thompson</v>
      </c>
      <c r="BF137">
        <f t="shared" si="57"/>
        <v>4500</v>
      </c>
      <c r="BG137" t="str">
        <f t="shared" si="58"/>
        <v>RB</v>
      </c>
      <c r="BH137" s="16">
        <f t="shared" si="59"/>
        <v>0</v>
      </c>
    </row>
    <row r="138" spans="1:60" hidden="1" x14ac:dyDescent="0.2">
      <c r="A138" t="s">
        <v>2921</v>
      </c>
      <c r="B138" t="s">
        <v>83</v>
      </c>
      <c r="C138" t="s">
        <v>2692</v>
      </c>
      <c r="D138" t="s">
        <v>400</v>
      </c>
      <c r="E138" t="s">
        <v>2243</v>
      </c>
      <c r="F138">
        <v>5.2900001525878899</v>
      </c>
      <c r="G138">
        <v>10</v>
      </c>
      <c r="H138">
        <v>4500</v>
      </c>
      <c r="I138" t="s">
        <v>2718</v>
      </c>
      <c r="J138" t="s">
        <v>138</v>
      </c>
      <c r="K138" t="s">
        <v>729</v>
      </c>
      <c r="L138" t="s">
        <v>182</v>
      </c>
      <c r="M138" t="s">
        <v>183</v>
      </c>
      <c r="O138" t="str">
        <f t="shared" si="43"/>
        <v>Richie James</v>
      </c>
      <c r="P138" t="str">
        <f>IFERROR(VLOOKUP(O:O,'Name Bridge'!A:B,2,FALSE),O:O)</f>
        <v>Richie James</v>
      </c>
      <c r="Q138" s="10">
        <f>VLOOKUP($K138,'CY Defensive Stats Query'!$AC:$AH,2,FALSE)</f>
        <v>7.6538461538461542</v>
      </c>
      <c r="R138" s="10">
        <f>VLOOKUP($K138,'CY Defensive Stats Query'!$AC:$AH,4,FALSE)</f>
        <v>4.6888888888888891</v>
      </c>
      <c r="S138" s="10">
        <f>VLOOKUP($K138,'CY Defensive Stats Query'!$AC:$AH,6,FALSE)</f>
        <v>11.306818181818182</v>
      </c>
      <c r="T138" s="10">
        <f>IFERROR(VLOOKUP($P138,'CYPassing Query'!$B:$AE,9,FALSE)/VLOOKUP($P138,'CYPassing Query'!$B:$AE,5,FALSE),0)</f>
        <v>0</v>
      </c>
      <c r="U138" s="10">
        <f>IFERROR(VLOOKUP($P138,'CYPassing Query'!$B:$AE,11,FALSE)/VLOOKUP($P138,'CYPassing Query'!$B:$AE,5,FALSE),0)</f>
        <v>0</v>
      </c>
      <c r="V138" s="10">
        <f>IFERROR(VLOOKUP($P138,'CYPassing Query'!$B:$AE,18,FALSE),0)</f>
        <v>0</v>
      </c>
      <c r="W138" s="10">
        <f>IFERROR(VLOOKUP($P138,'CYPassing Query'!$B:$AE,12,FALSE)/VLOOKUP($P138,'CYPassing Query'!$B:$AE,5,FALSE),0)</f>
        <v>0</v>
      </c>
      <c r="X138" s="10">
        <f>IFERROR(IF(OR($B138="D",$B138="K"),0,VLOOKUP($P138,'CY Receving Query'!$B:$S,7,FALSE)/VLOOKUP($P138,'CY Receving Query'!$B:$S,5,FALSE)),0)*$AJ138</f>
        <v>0</v>
      </c>
      <c r="Y138" s="10">
        <f>IFERROR(VLOOKUP($P138,'CY Receving Query'!$B:$S,8,FALSE)/VLOOKUP($P138,'CY Receving Query'!$B:$S,5,FALSE),0)</f>
        <v>0</v>
      </c>
      <c r="Z138" s="10">
        <f>IFERROR(VLOOKUP($P138,'CY Receving Query'!$B:$S,10,FALSE)/VLOOKUP($P138,'CY Receving Query'!$B:$S,5,FALSE),0)</f>
        <v>0</v>
      </c>
      <c r="AA138" s="10">
        <f>IFERROR(VLOOKUP($P138,'CY Receving Query'!$B:$S,11,FALSE),0)</f>
        <v>0</v>
      </c>
      <c r="AB138" s="10">
        <f>IFERROR(AVERAGE(VLOOKUP($P138,'PY Receiving'!$C:$T,14,FALSE),VLOOKUP($P138,'CY Receiving'!$C:$T,14,FALSE)),0)</f>
        <v>0</v>
      </c>
      <c r="AC138" s="10">
        <f>IFERROR(VLOOKUP($P138,'CY Receving Query'!$B:$S,11,FALSE)/VLOOKUP($P138,'CY Receving Query'!$B:$S,5,FALSE),0)</f>
        <v>0</v>
      </c>
      <c r="AD138" s="10">
        <f>IFERROR(VLOOKUP($P138,'CY Rushing Query'!$B:$O,7,FALSE)/VLOOKUP($P138,'CY Rushing Query'!$B:$O,5,FALSE),0)</f>
        <v>0</v>
      </c>
      <c r="AE138" s="10">
        <f>IFERROR(AVERAGE(VLOOKUP($P138,'PY Rushing'!$C:$P,8,FALSE)/VLOOKUP($P138,'PY Rushing'!$C:$P,5,FALSE),VLOOKUP($P138,'CY Rushing'!$C:$P,8,FALSE)/VLOOKUP($P138,'CY Rushing'!$C:$P,5,FALSE)),0)</f>
        <v>0</v>
      </c>
      <c r="AF138" s="10">
        <f>IFERROR(VLOOKUP($P138,'CY Rushing Query'!$B:$P,12,FALSE),0)</f>
        <v>0</v>
      </c>
      <c r="AG138" s="10">
        <f>IFERROR(VLOOKUP($P138,'CY Rushing Query'!$B:$P,9,FALSE)/VLOOKUP($P138,'CY Rushing Query'!$B:$P,5,FALSE),0)</f>
        <v>0</v>
      </c>
      <c r="AH138" s="10">
        <f>VLOOKUP($J138,'Vegas Odds'!$B:$S,18,FALSE)</f>
        <v>32.679248170039784</v>
      </c>
      <c r="AI138" s="10">
        <f>VLOOKUP($J138,'Vegas Odds'!$B:$S,17,FALSE)</f>
        <v>32.620751829960213</v>
      </c>
      <c r="AJ138">
        <f t="shared" si="60"/>
        <v>0</v>
      </c>
      <c r="AK138" s="10">
        <f t="shared" si="44"/>
        <v>0</v>
      </c>
      <c r="AL138" s="10">
        <f t="shared" si="45"/>
        <v>0</v>
      </c>
      <c r="AM138" s="10">
        <f>V138/'CY Defensive Stats Query'!$AD$34*'Fanduel Export'!Q138</f>
        <v>0</v>
      </c>
      <c r="AN138" s="10">
        <f t="shared" si="40"/>
        <v>0</v>
      </c>
      <c r="AO138" s="10">
        <f>IFERROR(IF(OR($B138="D",$B138="K"),0,VLOOKUP($P138,'CY Receving Query'!$B:$S,7,FALSE)/VLOOKUP($P138,'CY Receving Query'!$B:$S,5,FALSE)),0)*$AJ138</f>
        <v>0</v>
      </c>
      <c r="AP138" s="10">
        <f t="shared" si="46"/>
        <v>29.704370384517439</v>
      </c>
      <c r="AQ138" s="10">
        <f t="shared" si="47"/>
        <v>0</v>
      </c>
      <c r="AR138" s="16">
        <f t="shared" si="48"/>
        <v>0</v>
      </c>
      <c r="AS138" s="16">
        <f t="shared" si="49"/>
        <v>0</v>
      </c>
      <c r="AT138" s="16">
        <f>AA138/'CY Defensive Stats Query'!$AH$34
*'Fanduel Export'!S138</f>
        <v>0</v>
      </c>
      <c r="AU138" s="10">
        <f t="shared" si="41"/>
        <v>0</v>
      </c>
      <c r="AV138" s="10">
        <f t="shared" si="50"/>
        <v>0</v>
      </c>
      <c r="AW138" s="10">
        <f t="shared" si="51"/>
        <v>40.335297300738475</v>
      </c>
      <c r="AX138" s="10">
        <f t="shared" si="52"/>
        <v>0</v>
      </c>
      <c r="AY138" s="10">
        <f>AF138/'CY Defensive Stats Query'!$AF$34
*R138</f>
        <v>0</v>
      </c>
      <c r="AZ138" s="10">
        <f t="shared" si="42"/>
        <v>0</v>
      </c>
      <c r="BA138" s="16">
        <f t="shared" si="53"/>
        <v>0</v>
      </c>
      <c r="BB138" s="16">
        <f t="shared" si="54"/>
        <v>0</v>
      </c>
      <c r="BC138" s="10">
        <f t="shared" si="55"/>
        <v>0</v>
      </c>
      <c r="BD138" s="10">
        <f>IF(B138="QB",COUNTIFS($B$5:B138,B138,$J$5:J138,J138),1)</f>
        <v>1</v>
      </c>
      <c r="BE138" t="str">
        <f t="shared" si="56"/>
        <v>Richie James</v>
      </c>
      <c r="BF138">
        <f t="shared" si="57"/>
        <v>4500</v>
      </c>
      <c r="BG138" t="str">
        <f t="shared" si="58"/>
        <v>WR</v>
      </c>
      <c r="BH138" s="16">
        <f t="shared" si="59"/>
        <v>0</v>
      </c>
    </row>
    <row r="139" spans="1:60" x14ac:dyDescent="0.2">
      <c r="A139" t="s">
        <v>2922</v>
      </c>
      <c r="B139" t="s">
        <v>68</v>
      </c>
      <c r="C139" t="s">
        <v>230</v>
      </c>
      <c r="D139" t="s">
        <v>372</v>
      </c>
      <c r="E139" t="s">
        <v>2223</v>
      </c>
      <c r="F139">
        <v>5.1812500953674299</v>
      </c>
      <c r="G139">
        <v>16</v>
      </c>
      <c r="H139">
        <v>4500</v>
      </c>
      <c r="I139" t="s">
        <v>2718</v>
      </c>
      <c r="J139" t="s">
        <v>138</v>
      </c>
      <c r="K139" t="s">
        <v>729</v>
      </c>
      <c r="O139" t="str">
        <f t="shared" si="43"/>
        <v>Brian Hill</v>
      </c>
      <c r="P139" t="str">
        <f>IFERROR(VLOOKUP(O:O,'Name Bridge'!A:B,2,FALSE),O:O)</f>
        <v>Brian Hill</v>
      </c>
      <c r="Q139" s="10">
        <f>VLOOKUP($K139,'CY Defensive Stats Query'!$AC:$AH,2,FALSE)</f>
        <v>7.6538461538461542</v>
      </c>
      <c r="R139" s="10">
        <f>VLOOKUP($K139,'CY Defensive Stats Query'!$AC:$AH,4,FALSE)</f>
        <v>4.6888888888888891</v>
      </c>
      <c r="S139" s="10">
        <f>VLOOKUP($K139,'CY Defensive Stats Query'!$AC:$AH,6,FALSE)</f>
        <v>11.306818181818182</v>
      </c>
      <c r="T139" s="10">
        <f>IFERROR(VLOOKUP($P139,'CYPassing Query'!$B:$AE,9,FALSE)/VLOOKUP($P139,'CYPassing Query'!$B:$AE,5,FALSE),0)</f>
        <v>0</v>
      </c>
      <c r="U139" s="10">
        <f>IFERROR(VLOOKUP($P139,'CYPassing Query'!$B:$AE,11,FALSE)/VLOOKUP($P139,'CYPassing Query'!$B:$AE,5,FALSE),0)</f>
        <v>0</v>
      </c>
      <c r="V139" s="10">
        <f>IFERROR(VLOOKUP($P139,'CYPassing Query'!$B:$AE,18,FALSE),0)</f>
        <v>0</v>
      </c>
      <c r="W139" s="10">
        <f>IFERROR(VLOOKUP($P139,'CYPassing Query'!$B:$AE,12,FALSE)/VLOOKUP($P139,'CYPassing Query'!$B:$AE,5,FALSE),0)</f>
        <v>0</v>
      </c>
      <c r="X139" s="10">
        <f>IFERROR(IF(OR($B139="D",$B139="K"),0,VLOOKUP($P139,'CY Receving Query'!$B:$S,7,FALSE)/VLOOKUP($P139,'CY Receving Query'!$B:$S,5,FALSE)),0)*$AJ139</f>
        <v>0</v>
      </c>
      <c r="Y139" s="10">
        <f>IFERROR(VLOOKUP($P139,'CY Receving Query'!$B:$S,8,FALSE)/VLOOKUP($P139,'CY Receving Query'!$B:$S,5,FALSE),0)</f>
        <v>0</v>
      </c>
      <c r="Z139" s="10">
        <f>IFERROR(VLOOKUP($P139,'CY Receving Query'!$B:$S,10,FALSE)/VLOOKUP($P139,'CY Receving Query'!$B:$S,5,FALSE),0)</f>
        <v>0</v>
      </c>
      <c r="AA139" s="10">
        <f>IFERROR(VLOOKUP($P139,'CY Receving Query'!$B:$S,11,FALSE),0)</f>
        <v>0</v>
      </c>
      <c r="AB139" s="10">
        <f>IFERROR(AVERAGE(VLOOKUP($P139,'PY Receiving'!$C:$T,14,FALSE),VLOOKUP($P139,'CY Receiving'!$C:$T,14,FALSE)),0)</f>
        <v>0</v>
      </c>
      <c r="AC139" s="10">
        <f>IFERROR(VLOOKUP($P139,'CY Receving Query'!$B:$S,11,FALSE)/VLOOKUP($P139,'CY Receving Query'!$B:$S,5,FALSE),0)</f>
        <v>0</v>
      </c>
      <c r="AD139" s="10">
        <f>IFERROR(VLOOKUP($P139,'CY Rushing Query'!$B:$O,7,FALSE)/VLOOKUP($P139,'CY Rushing Query'!$B:$O,5,FALSE),0)</f>
        <v>0</v>
      </c>
      <c r="AE139" s="10">
        <f>IFERROR(AVERAGE(VLOOKUP($P139,'PY Rushing'!$C:$P,8,FALSE)/VLOOKUP($P139,'PY Rushing'!$C:$P,5,FALSE),VLOOKUP($P139,'CY Rushing'!$C:$P,8,FALSE)/VLOOKUP($P139,'CY Rushing'!$C:$P,5,FALSE)),0)</f>
        <v>0</v>
      </c>
      <c r="AF139" s="10">
        <f>IFERROR(VLOOKUP($P139,'CY Rushing Query'!$B:$P,12,FALSE),0)</f>
        <v>0</v>
      </c>
      <c r="AG139" s="10">
        <f>IFERROR(VLOOKUP($P139,'CY Rushing Query'!$B:$P,9,FALSE)/VLOOKUP($P139,'CY Rushing Query'!$B:$P,5,FALSE),0)</f>
        <v>0</v>
      </c>
      <c r="AH139" s="10">
        <f>VLOOKUP($J139,'Vegas Odds'!$B:$S,18,FALSE)</f>
        <v>32.679248170039784</v>
      </c>
      <c r="AI139" s="10">
        <f>VLOOKUP($J139,'Vegas Odds'!$B:$S,17,FALSE)</f>
        <v>32.620751829960213</v>
      </c>
      <c r="AJ139">
        <f t="shared" si="60"/>
        <v>1</v>
      </c>
      <c r="AK139" s="10">
        <f t="shared" si="44"/>
        <v>0</v>
      </c>
      <c r="AL139" s="10">
        <f t="shared" si="45"/>
        <v>0</v>
      </c>
      <c r="AM139" s="10">
        <f>V139/'CY Defensive Stats Query'!$AD$34*'Fanduel Export'!Q139</f>
        <v>0</v>
      </c>
      <c r="AN139" s="10">
        <f t="shared" si="40"/>
        <v>0</v>
      </c>
      <c r="AO139" s="10">
        <f>IFERROR(IF(OR($B139="D",$B139="K"),0,VLOOKUP($P139,'CY Receving Query'!$B:$S,7,FALSE)/VLOOKUP($P139,'CY Receving Query'!$B:$S,5,FALSE)),0)*$AJ139</f>
        <v>0</v>
      </c>
      <c r="AP139" s="10">
        <f t="shared" si="46"/>
        <v>29.704370384517439</v>
      </c>
      <c r="AQ139" s="10">
        <f t="shared" si="47"/>
        <v>0</v>
      </c>
      <c r="AR139" s="16">
        <f t="shared" si="48"/>
        <v>0</v>
      </c>
      <c r="AS139" s="16">
        <f t="shared" si="49"/>
        <v>0</v>
      </c>
      <c r="AT139" s="16">
        <f>AA139/'CY Defensive Stats Query'!$AH$34
*'Fanduel Export'!S139</f>
        <v>0</v>
      </c>
      <c r="AU139" s="10">
        <f t="shared" si="41"/>
        <v>0</v>
      </c>
      <c r="AV139" s="10">
        <f t="shared" si="50"/>
        <v>0</v>
      </c>
      <c r="AW139" s="10">
        <f t="shared" si="51"/>
        <v>40.335297300738475</v>
      </c>
      <c r="AX139" s="10">
        <f t="shared" si="52"/>
        <v>0</v>
      </c>
      <c r="AY139" s="10">
        <f>AF139/'CY Defensive Stats Query'!$AF$34
*R139</f>
        <v>0</v>
      </c>
      <c r="AZ139" s="10">
        <f t="shared" si="42"/>
        <v>0</v>
      </c>
      <c r="BA139" s="16">
        <f t="shared" si="53"/>
        <v>0</v>
      </c>
      <c r="BB139" s="16">
        <f t="shared" si="54"/>
        <v>0</v>
      </c>
      <c r="BC139" s="10">
        <f t="shared" si="55"/>
        <v>0</v>
      </c>
      <c r="BD139" s="10">
        <f>IF(B139="QB",COUNTIFS($B$5:B139,B139,$J$5:J139,J139),1)</f>
        <v>1</v>
      </c>
      <c r="BE139" t="str">
        <f t="shared" si="56"/>
        <v>Brian Hill</v>
      </c>
      <c r="BF139">
        <f t="shared" si="57"/>
        <v>4500</v>
      </c>
      <c r="BG139" t="str">
        <f t="shared" si="58"/>
        <v>RB</v>
      </c>
      <c r="BH139" s="16">
        <f t="shared" si="59"/>
        <v>0</v>
      </c>
    </row>
    <row r="140" spans="1:60" x14ac:dyDescent="0.2">
      <c r="A140" t="s">
        <v>2923</v>
      </c>
      <c r="B140" t="s">
        <v>83</v>
      </c>
      <c r="C140" t="s">
        <v>2258</v>
      </c>
      <c r="D140" t="s">
        <v>2563</v>
      </c>
      <c r="E140" t="s">
        <v>163</v>
      </c>
      <c r="F140">
        <v>0</v>
      </c>
      <c r="G140">
        <v>1</v>
      </c>
      <c r="H140">
        <v>4500</v>
      </c>
      <c r="I140" t="s">
        <v>2716</v>
      </c>
      <c r="J140" t="s">
        <v>99</v>
      </c>
      <c r="K140" t="s">
        <v>81</v>
      </c>
      <c r="O140" t="str">
        <f t="shared" si="43"/>
        <v>Anthony Johnson</v>
      </c>
      <c r="P140" t="str">
        <f>IFERROR(VLOOKUP(O:O,'Name Bridge'!A:B,2,FALSE),O:O)</f>
        <v>Anthony Johnson</v>
      </c>
      <c r="Q140" s="10">
        <f>VLOOKUP($K140,'CY Defensive Stats Query'!$AC:$AH,2,FALSE)</f>
        <v>8.7934782608695645</v>
      </c>
      <c r="R140" s="10">
        <f>VLOOKUP($K140,'CY Defensive Stats Query'!$AC:$AH,4,FALSE)</f>
        <v>5.404494382022472</v>
      </c>
      <c r="S140" s="10">
        <f>VLOOKUP($K140,'CY Defensive Stats Query'!$AC:$AH,6,FALSE)</f>
        <v>12.446153846153846</v>
      </c>
      <c r="T140" s="10">
        <f>IFERROR(VLOOKUP($P140,'CYPassing Query'!$B:$AE,9,FALSE)/VLOOKUP($P140,'CYPassing Query'!$B:$AE,5,FALSE),0)</f>
        <v>0</v>
      </c>
      <c r="U140" s="10">
        <f>IFERROR(VLOOKUP($P140,'CYPassing Query'!$B:$AE,11,FALSE)/VLOOKUP($P140,'CYPassing Query'!$B:$AE,5,FALSE),0)</f>
        <v>0</v>
      </c>
      <c r="V140" s="10">
        <f>IFERROR(VLOOKUP($P140,'CYPassing Query'!$B:$AE,18,FALSE),0)</f>
        <v>0</v>
      </c>
      <c r="W140" s="10">
        <f>IFERROR(VLOOKUP($P140,'CYPassing Query'!$B:$AE,12,FALSE)/VLOOKUP($P140,'CYPassing Query'!$B:$AE,5,FALSE),0)</f>
        <v>0</v>
      </c>
      <c r="X140" s="10">
        <f>IFERROR(IF(OR($B140="D",$B140="K"),0,VLOOKUP($P140,'CY Receving Query'!$B:$S,7,FALSE)/VLOOKUP($P140,'CY Receving Query'!$B:$S,5,FALSE)),0)*$AJ140</f>
        <v>0</v>
      </c>
      <c r="Y140" s="10">
        <f>IFERROR(VLOOKUP($P140,'CY Receving Query'!$B:$S,8,FALSE)/VLOOKUP($P140,'CY Receving Query'!$B:$S,5,FALSE),0)</f>
        <v>0</v>
      </c>
      <c r="Z140" s="10">
        <f>IFERROR(VLOOKUP($P140,'CY Receving Query'!$B:$S,10,FALSE)/VLOOKUP($P140,'CY Receving Query'!$B:$S,5,FALSE),0)</f>
        <v>0</v>
      </c>
      <c r="AA140" s="10">
        <f>IFERROR(VLOOKUP($P140,'CY Receving Query'!$B:$S,11,FALSE),0)</f>
        <v>0</v>
      </c>
      <c r="AB140" s="10">
        <f>IFERROR(AVERAGE(VLOOKUP($P140,'PY Receiving'!$C:$T,14,FALSE),VLOOKUP($P140,'CY Receiving'!$C:$T,14,FALSE)),0)</f>
        <v>0</v>
      </c>
      <c r="AC140" s="10">
        <f>IFERROR(VLOOKUP($P140,'CY Receving Query'!$B:$S,11,FALSE)/VLOOKUP($P140,'CY Receving Query'!$B:$S,5,FALSE),0)</f>
        <v>0</v>
      </c>
      <c r="AD140" s="10">
        <f>IFERROR(VLOOKUP($P140,'CY Rushing Query'!$B:$O,7,FALSE)/VLOOKUP($P140,'CY Rushing Query'!$B:$O,5,FALSE),0)</f>
        <v>0</v>
      </c>
      <c r="AE140" s="10">
        <f>IFERROR(AVERAGE(VLOOKUP($P140,'PY Rushing'!$C:$P,8,FALSE)/VLOOKUP($P140,'PY Rushing'!$C:$P,5,FALSE),VLOOKUP($P140,'CY Rushing'!$C:$P,8,FALSE)/VLOOKUP($P140,'CY Rushing'!$C:$P,5,FALSE)),0)</f>
        <v>0</v>
      </c>
      <c r="AF140" s="10">
        <f>IFERROR(VLOOKUP($P140,'CY Rushing Query'!$B:$P,12,FALSE),0)</f>
        <v>0</v>
      </c>
      <c r="AG140" s="10">
        <f>IFERROR(VLOOKUP($P140,'CY Rushing Query'!$B:$P,9,FALSE)/VLOOKUP($P140,'CY Rushing Query'!$B:$P,5,FALSE),0)</f>
        <v>0</v>
      </c>
      <c r="AH140" s="10">
        <f>VLOOKUP($J140,'Vegas Odds'!$B:$S,18,FALSE)</f>
        <v>40.088640957860363</v>
      </c>
      <c r="AI140" s="10">
        <f>VLOOKUP($J140,'Vegas Odds'!$B:$S,17,FALSE)</f>
        <v>25.511359042139631</v>
      </c>
      <c r="AJ140">
        <f t="shared" si="60"/>
        <v>1</v>
      </c>
      <c r="AK140" s="10">
        <f t="shared" si="44"/>
        <v>0</v>
      </c>
      <c r="AL140" s="10">
        <f t="shared" si="45"/>
        <v>0</v>
      </c>
      <c r="AM140" s="10">
        <f>V140/'CY Defensive Stats Query'!$AD$34*'Fanduel Export'!Q140</f>
        <v>0</v>
      </c>
      <c r="AN140" s="10">
        <f t="shared" si="40"/>
        <v>0</v>
      </c>
      <c r="AO140" s="10">
        <f>IFERROR(IF(OR($B140="D",$B140="K"),0,VLOOKUP($P140,'CY Receving Query'!$B:$S,7,FALSE)/VLOOKUP($P140,'CY Receving Query'!$B:$S,5,FALSE)),0)*$AJ140</f>
        <v>0</v>
      </c>
      <c r="AP140" s="10">
        <f t="shared" si="46"/>
        <v>32.289950980392156</v>
      </c>
      <c r="AQ140" s="10">
        <f t="shared" si="47"/>
        <v>0</v>
      </c>
      <c r="AR140" s="16">
        <f t="shared" si="48"/>
        <v>0</v>
      </c>
      <c r="AS140" s="16">
        <f t="shared" si="49"/>
        <v>0</v>
      </c>
      <c r="AT140" s="16">
        <f>AA140/'CY Defensive Stats Query'!$AH$34
*'Fanduel Export'!S140</f>
        <v>0</v>
      </c>
      <c r="AU140" s="10">
        <f t="shared" si="41"/>
        <v>0</v>
      </c>
      <c r="AV140" s="10">
        <f t="shared" si="50"/>
        <v>0</v>
      </c>
      <c r="AW140" s="10">
        <f t="shared" si="51"/>
        <v>7.4240196078431371</v>
      </c>
      <c r="AX140" s="10">
        <f t="shared" si="52"/>
        <v>0</v>
      </c>
      <c r="AY140" s="10">
        <f>AF140/'CY Defensive Stats Query'!$AF$34
*R140</f>
        <v>0</v>
      </c>
      <c r="AZ140" s="10">
        <f t="shared" si="42"/>
        <v>0</v>
      </c>
      <c r="BA140" s="16">
        <f t="shared" si="53"/>
        <v>0</v>
      </c>
      <c r="BB140" s="16">
        <f t="shared" si="54"/>
        <v>0</v>
      </c>
      <c r="BC140" s="10">
        <f t="shared" si="55"/>
        <v>0</v>
      </c>
      <c r="BD140" s="10">
        <f>IF(B140="QB",COUNTIFS($B$5:B140,B140,$J$5:J140,J140),1)</f>
        <v>1</v>
      </c>
      <c r="BE140" t="str">
        <f t="shared" si="56"/>
        <v>Anthony Johnson</v>
      </c>
      <c r="BF140">
        <f t="shared" si="57"/>
        <v>4500</v>
      </c>
      <c r="BG140" t="str">
        <f t="shared" si="58"/>
        <v>WR</v>
      </c>
      <c r="BH140" s="16">
        <f t="shared" si="59"/>
        <v>0</v>
      </c>
    </row>
    <row r="141" spans="1:60" x14ac:dyDescent="0.2">
      <c r="A141" t="s">
        <v>2924</v>
      </c>
      <c r="B141" t="s">
        <v>83</v>
      </c>
      <c r="C141" t="s">
        <v>2271</v>
      </c>
      <c r="D141" t="s">
        <v>2391</v>
      </c>
      <c r="E141" t="s">
        <v>2925</v>
      </c>
      <c r="F141">
        <v>0</v>
      </c>
      <c r="G141">
        <v>2</v>
      </c>
      <c r="H141">
        <v>4500</v>
      </c>
      <c r="I141" t="s">
        <v>2720</v>
      </c>
      <c r="J141" t="s">
        <v>102</v>
      </c>
      <c r="K141" t="s">
        <v>728</v>
      </c>
      <c r="O141" t="str">
        <f t="shared" si="43"/>
        <v>Andre Patton</v>
      </c>
      <c r="P141" t="str">
        <f>IFERROR(VLOOKUP(O:O,'Name Bridge'!A:B,2,FALSE),O:O)</f>
        <v>Andre Patton</v>
      </c>
      <c r="Q141" s="10">
        <f>VLOOKUP($K141,'CY Defensive Stats Query'!$AC:$AH,2,FALSE)</f>
        <v>7.0486111111111107</v>
      </c>
      <c r="R141" s="10">
        <f>VLOOKUP($K141,'CY Defensive Stats Query'!$AC:$AH,4,FALSE)</f>
        <v>3.0806451612903225</v>
      </c>
      <c r="S141" s="10">
        <f>VLOOKUP($K141,'CY Defensive Stats Query'!$AC:$AH,6,FALSE)</f>
        <v>9.759615384615385</v>
      </c>
      <c r="T141" s="10">
        <f>IFERROR(VLOOKUP($P141,'CYPassing Query'!$B:$AE,9,FALSE)/VLOOKUP($P141,'CYPassing Query'!$B:$AE,5,FALSE),0)</f>
        <v>0</v>
      </c>
      <c r="U141" s="10">
        <f>IFERROR(VLOOKUP($P141,'CYPassing Query'!$B:$AE,11,FALSE)/VLOOKUP($P141,'CYPassing Query'!$B:$AE,5,FALSE),0)</f>
        <v>0</v>
      </c>
      <c r="V141" s="10">
        <f>IFERROR(VLOOKUP($P141,'CYPassing Query'!$B:$AE,18,FALSE),0)</f>
        <v>0</v>
      </c>
      <c r="W141" s="10">
        <f>IFERROR(VLOOKUP($P141,'CYPassing Query'!$B:$AE,12,FALSE)/VLOOKUP($P141,'CYPassing Query'!$B:$AE,5,FALSE),0)</f>
        <v>0</v>
      </c>
      <c r="X141" s="10">
        <f>IFERROR(IF(OR($B141="D",$B141="K"),0,VLOOKUP($P141,'CY Receving Query'!$B:$S,7,FALSE)/VLOOKUP($P141,'CY Receving Query'!$B:$S,5,FALSE)),0)*$AJ141</f>
        <v>0</v>
      </c>
      <c r="Y141" s="10">
        <f>IFERROR(VLOOKUP($P141,'CY Receving Query'!$B:$S,8,FALSE)/VLOOKUP($P141,'CY Receving Query'!$B:$S,5,FALSE),0)</f>
        <v>0</v>
      </c>
      <c r="Z141" s="10">
        <f>IFERROR(VLOOKUP($P141,'CY Receving Query'!$B:$S,10,FALSE)/VLOOKUP($P141,'CY Receving Query'!$B:$S,5,FALSE),0)</f>
        <v>0</v>
      </c>
      <c r="AA141" s="10">
        <f>IFERROR(VLOOKUP($P141,'CY Receving Query'!$B:$S,11,FALSE),0)</f>
        <v>0</v>
      </c>
      <c r="AB141" s="10">
        <f>IFERROR(AVERAGE(VLOOKUP($P141,'PY Receiving'!$C:$T,14,FALSE),VLOOKUP($P141,'CY Receiving'!$C:$T,14,FALSE)),0)</f>
        <v>0</v>
      </c>
      <c r="AC141" s="10">
        <f>IFERROR(VLOOKUP($P141,'CY Receving Query'!$B:$S,11,FALSE)/VLOOKUP($P141,'CY Receving Query'!$B:$S,5,FALSE),0)</f>
        <v>0</v>
      </c>
      <c r="AD141" s="10">
        <f>IFERROR(VLOOKUP($P141,'CY Rushing Query'!$B:$O,7,FALSE)/VLOOKUP($P141,'CY Rushing Query'!$B:$O,5,FALSE),0)</f>
        <v>0</v>
      </c>
      <c r="AE141" s="10">
        <f>IFERROR(AVERAGE(VLOOKUP($P141,'PY Rushing'!$C:$P,8,FALSE)/VLOOKUP($P141,'PY Rushing'!$C:$P,5,FALSE),VLOOKUP($P141,'CY Rushing'!$C:$P,8,FALSE)/VLOOKUP($P141,'CY Rushing'!$C:$P,5,FALSE)),0)</f>
        <v>0</v>
      </c>
      <c r="AF141" s="10">
        <f>IFERROR(VLOOKUP($P141,'CY Rushing Query'!$B:$P,12,FALSE),0)</f>
        <v>0</v>
      </c>
      <c r="AG141" s="10">
        <f>IFERROR(VLOOKUP($P141,'CY Rushing Query'!$B:$P,9,FALSE)/VLOOKUP($P141,'CY Rushing Query'!$B:$P,5,FALSE),0)</f>
        <v>0</v>
      </c>
      <c r="AH141" s="10">
        <f>VLOOKUP($J141,'Vegas Odds'!$B:$S,18,FALSE)</f>
        <v>44.85966247691475</v>
      </c>
      <c r="AI141" s="10">
        <f>VLOOKUP($J141,'Vegas Odds'!$B:$S,17,FALSE)</f>
        <v>17.740337523085255</v>
      </c>
      <c r="AJ141">
        <f t="shared" si="60"/>
        <v>1</v>
      </c>
      <c r="AK141" s="10">
        <f t="shared" si="44"/>
        <v>0</v>
      </c>
      <c r="AL141" s="10">
        <f t="shared" si="45"/>
        <v>0</v>
      </c>
      <c r="AM141" s="10">
        <f>V141/'CY Defensive Stats Query'!$AD$34*'Fanduel Export'!Q141</f>
        <v>0</v>
      </c>
      <c r="AN141" s="10">
        <f t="shared" ref="AN141:AN188" si="61">AM141*AL141</f>
        <v>0</v>
      </c>
      <c r="AO141" s="10">
        <f>IFERROR(IF(OR($B141="D",$B141="K"),0,VLOOKUP($P141,'CY Receving Query'!$B:$S,7,FALSE)/VLOOKUP($P141,'CY Receving Query'!$B:$S,5,FALSE)),0)*$AJ141</f>
        <v>0</v>
      </c>
      <c r="AP141" s="10">
        <f t="shared" si="46"/>
        <v>28.54982492997199</v>
      </c>
      <c r="AQ141" s="10">
        <f t="shared" si="47"/>
        <v>0</v>
      </c>
      <c r="AR141" s="16">
        <f t="shared" si="48"/>
        <v>0</v>
      </c>
      <c r="AS141" s="16">
        <f t="shared" si="49"/>
        <v>0</v>
      </c>
      <c r="AT141" s="16">
        <f>AA141/'CY Defensive Stats Query'!$AH$34
*'Fanduel Export'!S141</f>
        <v>0</v>
      </c>
      <c r="AU141" s="10">
        <f t="shared" ref="AU141:AU188" si="62">AS141*AT141</f>
        <v>0</v>
      </c>
      <c r="AV141" s="10">
        <f t="shared" si="50"/>
        <v>0</v>
      </c>
      <c r="AW141" s="10">
        <f t="shared" si="51"/>
        <v>56.303606442577035</v>
      </c>
      <c r="AX141" s="10">
        <f t="shared" si="52"/>
        <v>0</v>
      </c>
      <c r="AY141" s="10">
        <f>AF141/'CY Defensive Stats Query'!$AF$34
*R141</f>
        <v>0</v>
      </c>
      <c r="AZ141" s="10">
        <f t="shared" ref="AZ141:AZ188" si="63">AY141*AX141</f>
        <v>0</v>
      </c>
      <c r="BA141" s="16">
        <f t="shared" si="53"/>
        <v>0</v>
      </c>
      <c r="BB141" s="16">
        <f t="shared" si="54"/>
        <v>0</v>
      </c>
      <c r="BC141" s="10">
        <f t="shared" si="55"/>
        <v>0</v>
      </c>
      <c r="BD141" s="10">
        <f>IF(B141="QB",COUNTIFS($B$5:B141,B141,$J$5:J141,J141),1)</f>
        <v>1</v>
      </c>
      <c r="BE141" t="str">
        <f t="shared" si="56"/>
        <v>Andre Patton</v>
      </c>
      <c r="BF141">
        <f t="shared" si="57"/>
        <v>4500</v>
      </c>
      <c r="BG141" t="str">
        <f t="shared" si="58"/>
        <v>WR</v>
      </c>
      <c r="BH141" s="16">
        <f t="shared" si="59"/>
        <v>0</v>
      </c>
    </row>
    <row r="142" spans="1:60" hidden="1" x14ac:dyDescent="0.2">
      <c r="A142" t="s">
        <v>2926</v>
      </c>
      <c r="B142" t="s">
        <v>68</v>
      </c>
      <c r="C142" t="s">
        <v>2927</v>
      </c>
      <c r="D142" t="s">
        <v>2928</v>
      </c>
      <c r="E142" t="s">
        <v>2929</v>
      </c>
      <c r="F142">
        <v>0</v>
      </c>
      <c r="G142">
        <v>1</v>
      </c>
      <c r="H142">
        <v>4500</v>
      </c>
      <c r="I142" t="s">
        <v>2718</v>
      </c>
      <c r="J142" t="s">
        <v>729</v>
      </c>
      <c r="K142" t="s">
        <v>138</v>
      </c>
      <c r="L142" t="s">
        <v>182</v>
      </c>
      <c r="M142" t="s">
        <v>2252</v>
      </c>
      <c r="O142" t="str">
        <f t="shared" si="43"/>
        <v>Sewo Olonilua</v>
      </c>
      <c r="P142" t="str">
        <f>IFERROR(VLOOKUP(O:O,'Name Bridge'!A:B,2,FALSE),O:O)</f>
        <v>Sewo Olonilua</v>
      </c>
      <c r="Q142" s="10">
        <f>VLOOKUP($K142,'CY Defensive Stats Query'!$AC:$AH,2,FALSE)</f>
        <v>6.5263157894736841</v>
      </c>
      <c r="R142" s="10">
        <f>VLOOKUP($K142,'CY Defensive Stats Query'!$AC:$AH,4,FALSE)</f>
        <v>4.7051282051282053</v>
      </c>
      <c r="S142" s="10">
        <f>VLOOKUP($K142,'CY Defensive Stats Query'!$AC:$AH,6,FALSE)</f>
        <v>10.191780821917808</v>
      </c>
      <c r="T142" s="10">
        <f>IFERROR(VLOOKUP($P142,'CYPassing Query'!$B:$AE,9,FALSE)/VLOOKUP($P142,'CYPassing Query'!$B:$AE,5,FALSE),0)</f>
        <v>0</v>
      </c>
      <c r="U142" s="10">
        <f>IFERROR(VLOOKUP($P142,'CYPassing Query'!$B:$AE,11,FALSE)/VLOOKUP($P142,'CYPassing Query'!$B:$AE,5,FALSE),0)</f>
        <v>0</v>
      </c>
      <c r="V142" s="10">
        <f>IFERROR(VLOOKUP($P142,'CYPassing Query'!$B:$AE,18,FALSE),0)</f>
        <v>0</v>
      </c>
      <c r="W142" s="10">
        <f>IFERROR(VLOOKUP($P142,'CYPassing Query'!$B:$AE,12,FALSE)/VLOOKUP($P142,'CYPassing Query'!$B:$AE,5,FALSE),0)</f>
        <v>0</v>
      </c>
      <c r="X142" s="10">
        <f>IFERROR(IF(OR($B142="D",$B142="K"),0,VLOOKUP($P142,'CY Receving Query'!$B:$S,7,FALSE)/VLOOKUP($P142,'CY Receving Query'!$B:$S,5,FALSE)),0)*$AJ142</f>
        <v>0</v>
      </c>
      <c r="Y142" s="10">
        <f>IFERROR(VLOOKUP($P142,'CY Receving Query'!$B:$S,8,FALSE)/VLOOKUP($P142,'CY Receving Query'!$B:$S,5,FALSE),0)</f>
        <v>0</v>
      </c>
      <c r="Z142" s="10">
        <f>IFERROR(VLOOKUP($P142,'CY Receving Query'!$B:$S,10,FALSE)/VLOOKUP($P142,'CY Receving Query'!$B:$S,5,FALSE),0)</f>
        <v>0</v>
      </c>
      <c r="AA142" s="10">
        <f>IFERROR(VLOOKUP($P142,'CY Receving Query'!$B:$S,11,FALSE),0)</f>
        <v>0</v>
      </c>
      <c r="AB142" s="10">
        <f>IFERROR(AVERAGE(VLOOKUP($P142,'PY Receiving'!$C:$T,14,FALSE),VLOOKUP($P142,'CY Receiving'!$C:$T,14,FALSE)),0)</f>
        <v>0</v>
      </c>
      <c r="AC142" s="10">
        <f>IFERROR(VLOOKUP($P142,'CY Receving Query'!$B:$S,11,FALSE)/VLOOKUP($P142,'CY Receving Query'!$B:$S,5,FALSE),0)</f>
        <v>0</v>
      </c>
      <c r="AD142" s="10">
        <f>IFERROR(VLOOKUP($P142,'CY Rushing Query'!$B:$O,7,FALSE)/VLOOKUP($P142,'CY Rushing Query'!$B:$O,5,FALSE),0)</f>
        <v>0</v>
      </c>
      <c r="AE142" s="10">
        <f>IFERROR(AVERAGE(VLOOKUP($P142,'PY Rushing'!$C:$P,8,FALSE)/VLOOKUP($P142,'PY Rushing'!$C:$P,5,FALSE),VLOOKUP($P142,'CY Rushing'!$C:$P,8,FALSE)/VLOOKUP($P142,'CY Rushing'!$C:$P,5,FALSE)),0)</f>
        <v>0</v>
      </c>
      <c r="AF142" s="10">
        <f>IFERROR(VLOOKUP($P142,'CY Rushing Query'!$B:$P,12,FALSE),0)</f>
        <v>0</v>
      </c>
      <c r="AG142" s="10">
        <f>IFERROR(VLOOKUP($P142,'CY Rushing Query'!$B:$P,9,FALSE)/VLOOKUP($P142,'CY Rushing Query'!$B:$P,5,FALSE),0)</f>
        <v>0</v>
      </c>
      <c r="AH142" s="10">
        <f>VLOOKUP($J142,'Vegas Odds'!$B:$S,18,FALSE)</f>
        <v>38.06292701199007</v>
      </c>
      <c r="AI142" s="10">
        <f>VLOOKUP($J142,'Vegas Odds'!$B:$S,17,FALSE)</f>
        <v>29.237072988009928</v>
      </c>
      <c r="AJ142">
        <f t="shared" si="60"/>
        <v>0</v>
      </c>
      <c r="AK142" s="10">
        <f t="shared" si="44"/>
        <v>0</v>
      </c>
      <c r="AL142" s="10">
        <f t="shared" si="45"/>
        <v>0</v>
      </c>
      <c r="AM142" s="10">
        <f>V142/'CY Defensive Stats Query'!$AD$34*'Fanduel Export'!Q142</f>
        <v>0</v>
      </c>
      <c r="AN142" s="10">
        <f t="shared" si="61"/>
        <v>0</v>
      </c>
      <c r="AO142" s="10">
        <f>IFERROR(IF(OR($B142="D",$B142="K"),0,VLOOKUP($P142,'CY Receving Query'!$B:$S,7,FALSE)/VLOOKUP($P142,'CY Receving Query'!$B:$S,5,FALSE)),0)*$AJ142</f>
        <v>0</v>
      </c>
      <c r="AP142" s="10">
        <f t="shared" si="46"/>
        <v>30.199512497306614</v>
      </c>
      <c r="AQ142" s="10">
        <f t="shared" si="47"/>
        <v>0</v>
      </c>
      <c r="AR142" s="16">
        <f t="shared" si="48"/>
        <v>0</v>
      </c>
      <c r="AS142" s="16">
        <f t="shared" si="49"/>
        <v>0</v>
      </c>
      <c r="AT142" s="16">
        <f>AA142/'CY Defensive Stats Query'!$AH$34
*'Fanduel Export'!S142</f>
        <v>0</v>
      </c>
      <c r="AU142" s="10">
        <f t="shared" si="62"/>
        <v>0</v>
      </c>
      <c r="AV142" s="10">
        <f t="shared" si="50"/>
        <v>0</v>
      </c>
      <c r="AW142" s="10">
        <f t="shared" si="51"/>
        <v>30.007352941176471</v>
      </c>
      <c r="AX142" s="10">
        <f t="shared" si="52"/>
        <v>0</v>
      </c>
      <c r="AY142" s="10">
        <f>AF142/'CY Defensive Stats Query'!$AF$34
*R142</f>
        <v>0</v>
      </c>
      <c r="AZ142" s="10">
        <f t="shared" si="63"/>
        <v>0</v>
      </c>
      <c r="BA142" s="16">
        <f t="shared" si="53"/>
        <v>0</v>
      </c>
      <c r="BB142" s="16">
        <f t="shared" si="54"/>
        <v>0</v>
      </c>
      <c r="BC142" s="10">
        <f t="shared" si="55"/>
        <v>0</v>
      </c>
      <c r="BD142" s="10">
        <f>IF(B142="QB",COUNTIFS($B$5:B142,B142,$J$5:J142,J142),1)</f>
        <v>1</v>
      </c>
      <c r="BE142" t="str">
        <f t="shared" si="56"/>
        <v>Sewo Olonilua</v>
      </c>
      <c r="BF142">
        <f t="shared" si="57"/>
        <v>4500</v>
      </c>
      <c r="BG142" t="str">
        <f t="shared" si="58"/>
        <v>RB</v>
      </c>
      <c r="BH142" s="16">
        <f t="shared" si="59"/>
        <v>0</v>
      </c>
    </row>
    <row r="143" spans="1:60" x14ac:dyDescent="0.2">
      <c r="A143" t="s">
        <v>2930</v>
      </c>
      <c r="B143" t="s">
        <v>68</v>
      </c>
      <c r="C143" t="s">
        <v>2220</v>
      </c>
      <c r="D143" t="s">
        <v>2575</v>
      </c>
      <c r="E143" t="s">
        <v>2576</v>
      </c>
      <c r="F143">
        <v>0</v>
      </c>
      <c r="G143">
        <v>1</v>
      </c>
      <c r="H143">
        <v>4500</v>
      </c>
      <c r="I143" t="s">
        <v>2716</v>
      </c>
      <c r="J143" t="s">
        <v>99</v>
      </c>
      <c r="K143" t="s">
        <v>81</v>
      </c>
      <c r="O143" t="str">
        <f t="shared" si="43"/>
        <v>Trey Edmunds</v>
      </c>
      <c r="P143" t="str">
        <f>IFERROR(VLOOKUP(O:O,'Name Bridge'!A:B,2,FALSE),O:O)</f>
        <v>Trey Edmunds</v>
      </c>
      <c r="Q143" s="10">
        <f>VLOOKUP($K143,'CY Defensive Stats Query'!$AC:$AH,2,FALSE)</f>
        <v>8.7934782608695645</v>
      </c>
      <c r="R143" s="10">
        <f>VLOOKUP($K143,'CY Defensive Stats Query'!$AC:$AH,4,FALSE)</f>
        <v>5.404494382022472</v>
      </c>
      <c r="S143" s="10">
        <f>VLOOKUP($K143,'CY Defensive Stats Query'!$AC:$AH,6,FALSE)</f>
        <v>12.446153846153846</v>
      </c>
      <c r="T143" s="10">
        <f>IFERROR(VLOOKUP($P143,'CYPassing Query'!$B:$AE,9,FALSE)/VLOOKUP($P143,'CYPassing Query'!$B:$AE,5,FALSE),0)</f>
        <v>0</v>
      </c>
      <c r="U143" s="10">
        <f>IFERROR(VLOOKUP($P143,'CYPassing Query'!$B:$AE,11,FALSE)/VLOOKUP($P143,'CYPassing Query'!$B:$AE,5,FALSE),0)</f>
        <v>0</v>
      </c>
      <c r="V143" s="10">
        <f>IFERROR(VLOOKUP($P143,'CYPassing Query'!$B:$AE,18,FALSE),0)</f>
        <v>0</v>
      </c>
      <c r="W143" s="10">
        <f>IFERROR(VLOOKUP($P143,'CYPassing Query'!$B:$AE,12,FALSE)/VLOOKUP($P143,'CYPassing Query'!$B:$AE,5,FALSE),0)</f>
        <v>0</v>
      </c>
      <c r="X143" s="10">
        <f>IFERROR(IF(OR($B143="D",$B143="K"),0,VLOOKUP($P143,'CY Receving Query'!$B:$S,7,FALSE)/VLOOKUP($P143,'CY Receving Query'!$B:$S,5,FALSE)),0)*$AJ143</f>
        <v>0</v>
      </c>
      <c r="Y143" s="10">
        <f>IFERROR(VLOOKUP($P143,'CY Receving Query'!$B:$S,8,FALSE)/VLOOKUP($P143,'CY Receving Query'!$B:$S,5,FALSE),0)</f>
        <v>0</v>
      </c>
      <c r="Z143" s="10">
        <f>IFERROR(VLOOKUP($P143,'CY Receving Query'!$B:$S,10,FALSE)/VLOOKUP($P143,'CY Receving Query'!$B:$S,5,FALSE),0)</f>
        <v>0</v>
      </c>
      <c r="AA143" s="10">
        <f>IFERROR(VLOOKUP($P143,'CY Receving Query'!$B:$S,11,FALSE),0)</f>
        <v>0</v>
      </c>
      <c r="AB143" s="10">
        <f>IFERROR(AVERAGE(VLOOKUP($P143,'PY Receiving'!$C:$T,14,FALSE),VLOOKUP($P143,'CY Receiving'!$C:$T,14,FALSE)),0)</f>
        <v>0</v>
      </c>
      <c r="AC143" s="10">
        <f>IFERROR(VLOOKUP($P143,'CY Receving Query'!$B:$S,11,FALSE)/VLOOKUP($P143,'CY Receving Query'!$B:$S,5,FALSE),0)</f>
        <v>0</v>
      </c>
      <c r="AD143" s="10">
        <f>IFERROR(VLOOKUP($P143,'CY Rushing Query'!$B:$O,7,FALSE)/VLOOKUP($P143,'CY Rushing Query'!$B:$O,5,FALSE),0)</f>
        <v>0</v>
      </c>
      <c r="AE143" s="10">
        <f>IFERROR(AVERAGE(VLOOKUP($P143,'PY Rushing'!$C:$P,8,FALSE)/VLOOKUP($P143,'PY Rushing'!$C:$P,5,FALSE),VLOOKUP($P143,'CY Rushing'!$C:$P,8,FALSE)/VLOOKUP($P143,'CY Rushing'!$C:$P,5,FALSE)),0)</f>
        <v>0</v>
      </c>
      <c r="AF143" s="10">
        <f>IFERROR(VLOOKUP($P143,'CY Rushing Query'!$B:$P,12,FALSE),0)</f>
        <v>0</v>
      </c>
      <c r="AG143" s="10">
        <f>IFERROR(VLOOKUP($P143,'CY Rushing Query'!$B:$P,9,FALSE)/VLOOKUP($P143,'CY Rushing Query'!$B:$P,5,FALSE),0)</f>
        <v>0</v>
      </c>
      <c r="AH143" s="10">
        <f>VLOOKUP($J143,'Vegas Odds'!$B:$S,18,FALSE)</f>
        <v>40.088640957860363</v>
      </c>
      <c r="AI143" s="10">
        <f>VLOOKUP($J143,'Vegas Odds'!$B:$S,17,FALSE)</f>
        <v>25.511359042139631</v>
      </c>
      <c r="AJ143">
        <f t="shared" si="60"/>
        <v>1</v>
      </c>
      <c r="AK143" s="10">
        <f t="shared" si="44"/>
        <v>0</v>
      </c>
      <c r="AL143" s="10">
        <f t="shared" si="45"/>
        <v>0</v>
      </c>
      <c r="AM143" s="10">
        <f>V143/'CY Defensive Stats Query'!$AD$34*'Fanduel Export'!Q143</f>
        <v>0</v>
      </c>
      <c r="AN143" s="10">
        <f t="shared" si="61"/>
        <v>0</v>
      </c>
      <c r="AO143" s="10">
        <f>IFERROR(IF(OR($B143="D",$B143="K"),0,VLOOKUP($P143,'CY Receving Query'!$B:$S,7,FALSE)/VLOOKUP($P143,'CY Receving Query'!$B:$S,5,FALSE)),0)*$AJ143</f>
        <v>0</v>
      </c>
      <c r="AP143" s="10">
        <f t="shared" si="46"/>
        <v>32.289950980392156</v>
      </c>
      <c r="AQ143" s="10">
        <f t="shared" si="47"/>
        <v>0</v>
      </c>
      <c r="AR143" s="16">
        <f t="shared" si="48"/>
        <v>0</v>
      </c>
      <c r="AS143" s="16">
        <f t="shared" si="49"/>
        <v>0</v>
      </c>
      <c r="AT143" s="16">
        <f>AA143/'CY Defensive Stats Query'!$AH$34
*'Fanduel Export'!S143</f>
        <v>0</v>
      </c>
      <c r="AU143" s="10">
        <f t="shared" si="62"/>
        <v>0</v>
      </c>
      <c r="AV143" s="10">
        <f t="shared" si="50"/>
        <v>0</v>
      </c>
      <c r="AW143" s="10">
        <f t="shared" si="51"/>
        <v>7.4240196078431371</v>
      </c>
      <c r="AX143" s="10">
        <f t="shared" si="52"/>
        <v>0</v>
      </c>
      <c r="AY143" s="10">
        <f>AF143/'CY Defensive Stats Query'!$AF$34
*R143</f>
        <v>0</v>
      </c>
      <c r="AZ143" s="10">
        <f t="shared" si="63"/>
        <v>0</v>
      </c>
      <c r="BA143" s="16">
        <f t="shared" si="53"/>
        <v>0</v>
      </c>
      <c r="BB143" s="16">
        <f t="shared" si="54"/>
        <v>0</v>
      </c>
      <c r="BC143" s="10">
        <f t="shared" si="55"/>
        <v>0</v>
      </c>
      <c r="BD143" s="10">
        <f>IF(B143="QB",COUNTIFS($B$5:B143,B143,$J$5:J143,J143),1)</f>
        <v>1</v>
      </c>
      <c r="BE143" t="str">
        <f t="shared" si="56"/>
        <v>Trey Edmunds</v>
      </c>
      <c r="BF143">
        <f t="shared" si="57"/>
        <v>4500</v>
      </c>
      <c r="BG143" t="str">
        <f t="shared" si="58"/>
        <v>RB</v>
      </c>
      <c r="BH143" s="16">
        <f t="shared" si="59"/>
        <v>0</v>
      </c>
    </row>
    <row r="144" spans="1:60" x14ac:dyDescent="0.2">
      <c r="A144" t="s">
        <v>2931</v>
      </c>
      <c r="B144" t="s">
        <v>83</v>
      </c>
      <c r="C144" t="s">
        <v>157</v>
      </c>
      <c r="D144" t="s">
        <v>2352</v>
      </c>
      <c r="E144" t="s">
        <v>2932</v>
      </c>
      <c r="F144">
        <v>0</v>
      </c>
      <c r="G144">
        <v>1</v>
      </c>
      <c r="H144">
        <v>4500</v>
      </c>
      <c r="I144" t="s">
        <v>2716</v>
      </c>
      <c r="J144" t="s">
        <v>81</v>
      </c>
      <c r="K144" t="s">
        <v>99</v>
      </c>
      <c r="L144" t="s">
        <v>94</v>
      </c>
      <c r="M144" t="s">
        <v>210</v>
      </c>
      <c r="O144" t="str">
        <f t="shared" si="43"/>
        <v>Chris Finke</v>
      </c>
      <c r="P144" t="str">
        <f>IFERROR(VLOOKUP(O:O,'Name Bridge'!A:B,2,FALSE),O:O)</f>
        <v>Chris Finke</v>
      </c>
      <c r="Q144" s="10">
        <f>VLOOKUP($K144,'CY Defensive Stats Query'!$AC:$AH,2,FALSE)</f>
        <v>7.5377358490566042</v>
      </c>
      <c r="R144" s="10">
        <f>VLOOKUP($K144,'CY Defensive Stats Query'!$AC:$AH,4,FALSE)</f>
        <v>3.5810810810810811</v>
      </c>
      <c r="S144" s="10">
        <f>VLOOKUP($K144,'CY Defensive Stats Query'!$AC:$AH,6,FALSE)</f>
        <v>11.097222222222221</v>
      </c>
      <c r="T144" s="10">
        <f>IFERROR(VLOOKUP($P144,'CYPassing Query'!$B:$AE,9,FALSE)/VLOOKUP($P144,'CYPassing Query'!$B:$AE,5,FALSE),0)</f>
        <v>0</v>
      </c>
      <c r="U144" s="10">
        <f>IFERROR(VLOOKUP($P144,'CYPassing Query'!$B:$AE,11,FALSE)/VLOOKUP($P144,'CYPassing Query'!$B:$AE,5,FALSE),0)</f>
        <v>0</v>
      </c>
      <c r="V144" s="10">
        <f>IFERROR(VLOOKUP($P144,'CYPassing Query'!$B:$AE,18,FALSE),0)</f>
        <v>0</v>
      </c>
      <c r="W144" s="10">
        <f>IFERROR(VLOOKUP($P144,'CYPassing Query'!$B:$AE,12,FALSE)/VLOOKUP($P144,'CYPassing Query'!$B:$AE,5,FALSE),0)</f>
        <v>0</v>
      </c>
      <c r="X144" s="10">
        <f>IFERROR(IF(OR($B144="D",$B144="K"),0,VLOOKUP($P144,'CY Receving Query'!$B:$S,7,FALSE)/VLOOKUP($P144,'CY Receving Query'!$B:$S,5,FALSE)),0)*$AJ144</f>
        <v>0</v>
      </c>
      <c r="Y144" s="10">
        <f>IFERROR(VLOOKUP($P144,'CY Receving Query'!$B:$S,8,FALSE)/VLOOKUP($P144,'CY Receving Query'!$B:$S,5,FALSE),0)</f>
        <v>0</v>
      </c>
      <c r="Z144" s="10">
        <f>IFERROR(VLOOKUP($P144,'CY Receving Query'!$B:$S,10,FALSE)/VLOOKUP($P144,'CY Receving Query'!$B:$S,5,FALSE),0)</f>
        <v>0</v>
      </c>
      <c r="AA144" s="10">
        <f>IFERROR(VLOOKUP($P144,'CY Receving Query'!$B:$S,11,FALSE),0)</f>
        <v>0</v>
      </c>
      <c r="AB144" s="10">
        <f>IFERROR(AVERAGE(VLOOKUP($P144,'PY Receiving'!$C:$T,14,FALSE),VLOOKUP($P144,'CY Receiving'!$C:$T,14,FALSE)),0)</f>
        <v>0</v>
      </c>
      <c r="AC144" s="10">
        <f>IFERROR(VLOOKUP($P144,'CY Receving Query'!$B:$S,11,FALSE)/VLOOKUP($P144,'CY Receving Query'!$B:$S,5,FALSE),0)</f>
        <v>0</v>
      </c>
      <c r="AD144" s="10">
        <f>IFERROR(VLOOKUP($P144,'CY Rushing Query'!$B:$O,7,FALSE)/VLOOKUP($P144,'CY Rushing Query'!$B:$O,5,FALSE),0)</f>
        <v>0</v>
      </c>
      <c r="AE144" s="10">
        <f>IFERROR(AVERAGE(VLOOKUP($P144,'PY Rushing'!$C:$P,8,FALSE)/VLOOKUP($P144,'PY Rushing'!$C:$P,5,FALSE),VLOOKUP($P144,'CY Rushing'!$C:$P,8,FALSE)/VLOOKUP($P144,'CY Rushing'!$C:$P,5,FALSE)),0)</f>
        <v>0</v>
      </c>
      <c r="AF144" s="10">
        <f>IFERROR(VLOOKUP($P144,'CY Rushing Query'!$B:$P,12,FALSE),0)</f>
        <v>0</v>
      </c>
      <c r="AG144" s="10">
        <f>IFERROR(VLOOKUP($P144,'CY Rushing Query'!$B:$P,9,FALSE)/VLOOKUP($P144,'CY Rushing Query'!$B:$P,5,FALSE),0)</f>
        <v>0</v>
      </c>
      <c r="AH144" s="10">
        <f>VLOOKUP($J144,'Vegas Odds'!$B:$S,18,FALSE)</f>
        <v>37.933262350936971</v>
      </c>
      <c r="AI144" s="10">
        <f>VLOOKUP($J144,'Vegas Odds'!$B:$S,17,FALSE)</f>
        <v>27.766737649063032</v>
      </c>
      <c r="AJ144">
        <f t="shared" si="60"/>
        <v>1</v>
      </c>
      <c r="AK144" s="10">
        <f t="shared" si="44"/>
        <v>0</v>
      </c>
      <c r="AL144" s="10">
        <f t="shared" si="45"/>
        <v>0</v>
      </c>
      <c r="AM144" s="10">
        <f>V144/'CY Defensive Stats Query'!$AD$34*'Fanduel Export'!Q144</f>
        <v>0</v>
      </c>
      <c r="AN144" s="10">
        <f t="shared" si="61"/>
        <v>0</v>
      </c>
      <c r="AO144" s="10">
        <f>IFERROR(IF(OR($B144="D",$B144="K"),0,VLOOKUP($P144,'CY Receving Query'!$B:$S,7,FALSE)/VLOOKUP($P144,'CY Receving Query'!$B:$S,5,FALSE)),0)*$AJ144</f>
        <v>0</v>
      </c>
      <c r="AP144" s="10">
        <f t="shared" si="46"/>
        <v>37.365221788015901</v>
      </c>
      <c r="AQ144" s="10">
        <f t="shared" si="47"/>
        <v>0</v>
      </c>
      <c r="AR144" s="16">
        <f t="shared" si="48"/>
        <v>0</v>
      </c>
      <c r="AS144" s="16">
        <f t="shared" si="49"/>
        <v>0</v>
      </c>
      <c r="AT144" s="16">
        <f>AA144/'CY Defensive Stats Query'!$AH$34
*'Fanduel Export'!S144</f>
        <v>0</v>
      </c>
      <c r="AU144" s="10">
        <f t="shared" si="62"/>
        <v>0</v>
      </c>
      <c r="AV144" s="10">
        <f t="shared" si="50"/>
        <v>0</v>
      </c>
      <c r="AW144" s="10">
        <f t="shared" si="51"/>
        <v>19.787381735911151</v>
      </c>
      <c r="AX144" s="10">
        <f t="shared" si="52"/>
        <v>0</v>
      </c>
      <c r="AY144" s="10">
        <f>AF144/'CY Defensive Stats Query'!$AF$34
*R144</f>
        <v>0</v>
      </c>
      <c r="AZ144" s="10">
        <f t="shared" si="63"/>
        <v>0</v>
      </c>
      <c r="BA144" s="16">
        <f t="shared" si="53"/>
        <v>0</v>
      </c>
      <c r="BB144" s="16">
        <f t="shared" si="54"/>
        <v>0</v>
      </c>
      <c r="BC144" s="10">
        <f t="shared" si="55"/>
        <v>0</v>
      </c>
      <c r="BD144" s="10">
        <f>IF(B144="QB",COUNTIFS($B$5:B144,B144,$J$5:J144,J144),1)</f>
        <v>1</v>
      </c>
      <c r="BE144" t="str">
        <f t="shared" si="56"/>
        <v>Chris Finke</v>
      </c>
      <c r="BF144">
        <f t="shared" si="57"/>
        <v>4500</v>
      </c>
      <c r="BG144" t="str">
        <f t="shared" si="58"/>
        <v>WR</v>
      </c>
      <c r="BH144" s="16">
        <f t="shared" si="59"/>
        <v>0</v>
      </c>
    </row>
    <row r="145" spans="1:60" x14ac:dyDescent="0.2">
      <c r="A145" t="s">
        <v>2933</v>
      </c>
      <c r="B145" t="s">
        <v>68</v>
      </c>
      <c r="C145" t="s">
        <v>2934</v>
      </c>
      <c r="D145" t="s">
        <v>330</v>
      </c>
      <c r="E145" t="s">
        <v>163</v>
      </c>
      <c r="F145">
        <v>4.4499999455043202</v>
      </c>
      <c r="G145">
        <v>14</v>
      </c>
      <c r="H145">
        <v>4500</v>
      </c>
      <c r="I145" t="s">
        <v>2720</v>
      </c>
      <c r="J145" t="s">
        <v>102</v>
      </c>
      <c r="K145" t="s">
        <v>728</v>
      </c>
      <c r="O145" t="str">
        <f t="shared" si="43"/>
        <v>Kerryon Johnson</v>
      </c>
      <c r="P145" t="str">
        <f>IFERROR(VLOOKUP(O:O,'Name Bridge'!A:B,2,FALSE),O:O)</f>
        <v>Kerryon Johnson</v>
      </c>
      <c r="Q145" s="10">
        <f>VLOOKUP($K145,'CY Defensive Stats Query'!$AC:$AH,2,FALSE)</f>
        <v>7.0486111111111107</v>
      </c>
      <c r="R145" s="10">
        <f>VLOOKUP($K145,'CY Defensive Stats Query'!$AC:$AH,4,FALSE)</f>
        <v>3.0806451612903225</v>
      </c>
      <c r="S145" s="10">
        <f>VLOOKUP($K145,'CY Defensive Stats Query'!$AC:$AH,6,FALSE)</f>
        <v>9.759615384615385</v>
      </c>
      <c r="T145" s="10">
        <f>IFERROR(VLOOKUP($P145,'CYPassing Query'!$B:$AE,9,FALSE)/VLOOKUP($P145,'CYPassing Query'!$B:$AE,5,FALSE),0)</f>
        <v>0</v>
      </c>
      <c r="U145" s="10">
        <f>IFERROR(VLOOKUP($P145,'CYPassing Query'!$B:$AE,11,FALSE)/VLOOKUP($P145,'CYPassing Query'!$B:$AE,5,FALSE),0)</f>
        <v>0</v>
      </c>
      <c r="V145" s="10">
        <f>IFERROR(VLOOKUP($P145,'CYPassing Query'!$B:$AE,18,FALSE),0)</f>
        <v>0</v>
      </c>
      <c r="W145" s="10">
        <f>IFERROR(VLOOKUP($P145,'CYPassing Query'!$B:$AE,12,FALSE)/VLOOKUP($P145,'CYPassing Query'!$B:$AE,5,FALSE),0)</f>
        <v>0</v>
      </c>
      <c r="X145" s="10">
        <f>IFERROR(IF(OR($B145="D",$B145="K"),0,VLOOKUP($P145,'CY Receving Query'!$B:$S,7,FALSE)/VLOOKUP($P145,'CY Receving Query'!$B:$S,5,FALSE)),0)*$AJ145</f>
        <v>0</v>
      </c>
      <c r="Y145" s="10">
        <f>IFERROR(VLOOKUP($P145,'CY Receving Query'!$B:$S,8,FALSE)/VLOOKUP($P145,'CY Receving Query'!$B:$S,5,FALSE),0)</f>
        <v>0</v>
      </c>
      <c r="Z145" s="10">
        <f>IFERROR(VLOOKUP($P145,'CY Receving Query'!$B:$S,10,FALSE)/VLOOKUP($P145,'CY Receving Query'!$B:$S,5,FALSE),0)</f>
        <v>0</v>
      </c>
      <c r="AA145" s="10">
        <f>IFERROR(VLOOKUP($P145,'CY Receving Query'!$B:$S,11,FALSE),0)</f>
        <v>0</v>
      </c>
      <c r="AB145" s="10">
        <f>IFERROR(AVERAGE(VLOOKUP($P145,'PY Receiving'!$C:$T,14,FALSE),VLOOKUP($P145,'CY Receiving'!$C:$T,14,FALSE)),0)</f>
        <v>0</v>
      </c>
      <c r="AC145" s="10">
        <f>IFERROR(VLOOKUP($P145,'CY Receving Query'!$B:$S,11,FALSE)/VLOOKUP($P145,'CY Receving Query'!$B:$S,5,FALSE),0)</f>
        <v>0</v>
      </c>
      <c r="AD145" s="10">
        <f>IFERROR(VLOOKUP($P145,'CY Rushing Query'!$B:$O,7,FALSE)/VLOOKUP($P145,'CY Rushing Query'!$B:$O,5,FALSE),0)</f>
        <v>0</v>
      </c>
      <c r="AE145" s="10">
        <f>IFERROR(AVERAGE(VLOOKUP($P145,'PY Rushing'!$C:$P,8,FALSE)/VLOOKUP($P145,'PY Rushing'!$C:$P,5,FALSE),VLOOKUP($P145,'CY Rushing'!$C:$P,8,FALSE)/VLOOKUP($P145,'CY Rushing'!$C:$P,5,FALSE)),0)</f>
        <v>0</v>
      </c>
      <c r="AF145" s="10">
        <f>IFERROR(VLOOKUP($P145,'CY Rushing Query'!$B:$P,12,FALSE),0)</f>
        <v>0</v>
      </c>
      <c r="AG145" s="10">
        <f>IFERROR(VLOOKUP($P145,'CY Rushing Query'!$B:$P,9,FALSE)/VLOOKUP($P145,'CY Rushing Query'!$B:$P,5,FALSE),0)</f>
        <v>0</v>
      </c>
      <c r="AH145" s="10">
        <f>VLOOKUP($J145,'Vegas Odds'!$B:$S,18,FALSE)</f>
        <v>44.85966247691475</v>
      </c>
      <c r="AI145" s="10">
        <f>VLOOKUP($J145,'Vegas Odds'!$B:$S,17,FALSE)</f>
        <v>17.740337523085255</v>
      </c>
      <c r="AJ145">
        <f t="shared" si="60"/>
        <v>1</v>
      </c>
      <c r="AK145" s="10">
        <f t="shared" si="44"/>
        <v>0</v>
      </c>
      <c r="AL145" s="10">
        <f t="shared" si="45"/>
        <v>0</v>
      </c>
      <c r="AM145" s="10">
        <f>V145/'CY Defensive Stats Query'!$AD$34*'Fanduel Export'!Q145</f>
        <v>0</v>
      </c>
      <c r="AN145" s="10">
        <f t="shared" si="61"/>
        <v>0</v>
      </c>
      <c r="AO145" s="10">
        <f>IFERROR(IF(OR($B145="D",$B145="K"),0,VLOOKUP($P145,'CY Receving Query'!$B:$S,7,FALSE)/VLOOKUP($P145,'CY Receving Query'!$B:$S,5,FALSE)),0)*$AJ145</f>
        <v>0</v>
      </c>
      <c r="AP145" s="10">
        <f t="shared" si="46"/>
        <v>28.54982492997199</v>
      </c>
      <c r="AQ145" s="10">
        <f t="shared" si="47"/>
        <v>0</v>
      </c>
      <c r="AR145" s="16">
        <f t="shared" si="48"/>
        <v>0</v>
      </c>
      <c r="AS145" s="16">
        <f t="shared" si="49"/>
        <v>0</v>
      </c>
      <c r="AT145" s="16">
        <f>AA145/'CY Defensive Stats Query'!$AH$34
*'Fanduel Export'!S145</f>
        <v>0</v>
      </c>
      <c r="AU145" s="10">
        <f t="shared" si="62"/>
        <v>0</v>
      </c>
      <c r="AV145" s="10">
        <f t="shared" si="50"/>
        <v>0</v>
      </c>
      <c r="AW145" s="10">
        <f t="shared" si="51"/>
        <v>56.303606442577035</v>
      </c>
      <c r="AX145" s="10">
        <f t="shared" si="52"/>
        <v>0</v>
      </c>
      <c r="AY145" s="10">
        <f>AF145/'CY Defensive Stats Query'!$AF$34
*R145</f>
        <v>0</v>
      </c>
      <c r="AZ145" s="10">
        <f t="shared" si="63"/>
        <v>0</v>
      </c>
      <c r="BA145" s="16">
        <f t="shared" si="53"/>
        <v>0</v>
      </c>
      <c r="BB145" s="16">
        <f t="shared" si="54"/>
        <v>0</v>
      </c>
      <c r="BC145" s="10">
        <f t="shared" si="55"/>
        <v>0</v>
      </c>
      <c r="BD145" s="10">
        <f>IF(B145="QB",COUNTIFS($B$5:B145,B145,$J$5:J145,J145),1)</f>
        <v>1</v>
      </c>
      <c r="BE145" t="str">
        <f t="shared" si="56"/>
        <v>Kerryon Johnson</v>
      </c>
      <c r="BF145">
        <f t="shared" si="57"/>
        <v>4500</v>
      </c>
      <c r="BG145" t="str">
        <f t="shared" si="58"/>
        <v>RB</v>
      </c>
      <c r="BH145" s="16">
        <f t="shared" si="59"/>
        <v>0</v>
      </c>
    </row>
    <row r="146" spans="1:60" hidden="1" x14ac:dyDescent="0.2">
      <c r="A146" t="s">
        <v>2935</v>
      </c>
      <c r="B146" t="s">
        <v>83</v>
      </c>
      <c r="C146" t="s">
        <v>2244</v>
      </c>
      <c r="D146" t="s">
        <v>2103</v>
      </c>
      <c r="E146" t="s">
        <v>2936</v>
      </c>
      <c r="F146">
        <v>8.2222222222222197</v>
      </c>
      <c r="G146">
        <v>9</v>
      </c>
      <c r="H146">
        <v>4500</v>
      </c>
      <c r="I146" t="s">
        <v>2718</v>
      </c>
      <c r="J146" t="s">
        <v>729</v>
      </c>
      <c r="K146" t="s">
        <v>138</v>
      </c>
      <c r="L146" t="s">
        <v>182</v>
      </c>
      <c r="M146" t="s">
        <v>2226</v>
      </c>
      <c r="O146" t="str">
        <f t="shared" si="43"/>
        <v>Michael Gallup</v>
      </c>
      <c r="P146" t="str">
        <f>IFERROR(VLOOKUP(O:O,'Name Bridge'!A:B,2,FALSE),O:O)</f>
        <v>Michael Gallup</v>
      </c>
      <c r="Q146" s="10">
        <f>VLOOKUP($K146,'CY Defensive Stats Query'!$AC:$AH,2,FALSE)</f>
        <v>6.5263157894736841</v>
      </c>
      <c r="R146" s="10">
        <f>VLOOKUP($K146,'CY Defensive Stats Query'!$AC:$AH,4,FALSE)</f>
        <v>4.7051282051282053</v>
      </c>
      <c r="S146" s="10">
        <f>VLOOKUP($K146,'CY Defensive Stats Query'!$AC:$AH,6,FALSE)</f>
        <v>10.191780821917808</v>
      </c>
      <c r="T146" s="10">
        <f>IFERROR(VLOOKUP($P146,'CYPassing Query'!$B:$AE,9,FALSE)/VLOOKUP($P146,'CYPassing Query'!$B:$AE,5,FALSE),0)</f>
        <v>0</v>
      </c>
      <c r="U146" s="10">
        <f>IFERROR(VLOOKUP($P146,'CYPassing Query'!$B:$AE,11,FALSE)/VLOOKUP($P146,'CYPassing Query'!$B:$AE,5,FALSE),0)</f>
        <v>0</v>
      </c>
      <c r="V146" s="10">
        <f>IFERROR(VLOOKUP($P146,'CYPassing Query'!$B:$AE,18,FALSE),0)</f>
        <v>0</v>
      </c>
      <c r="W146" s="10">
        <f>IFERROR(VLOOKUP($P146,'CYPassing Query'!$B:$AE,12,FALSE)/VLOOKUP($P146,'CYPassing Query'!$B:$AE,5,FALSE),0)</f>
        <v>0</v>
      </c>
      <c r="X146" s="10">
        <f>IFERROR(IF(OR($B146="D",$B146="K"),0,VLOOKUP($P146,'CY Receving Query'!$B:$S,7,FALSE)/VLOOKUP($P146,'CY Receving Query'!$B:$S,5,FALSE)),0)*$AJ146</f>
        <v>0</v>
      </c>
      <c r="Y146" s="10">
        <f>IFERROR(VLOOKUP($P146,'CY Receving Query'!$B:$S,8,FALSE)/VLOOKUP($P146,'CY Receving Query'!$B:$S,5,FALSE),0)</f>
        <v>3.8888888888888888</v>
      </c>
      <c r="Z146" s="10">
        <f>IFERROR(VLOOKUP($P146,'CY Receving Query'!$B:$S,10,FALSE)/VLOOKUP($P146,'CY Receving Query'!$B:$S,5,FALSE),0)</f>
        <v>49.444444444444443</v>
      </c>
      <c r="AA146" s="10">
        <f>IFERROR(VLOOKUP($P146,'CY Receving Query'!$B:$S,11,FALSE),0)</f>
        <v>12.7</v>
      </c>
      <c r="AB146" s="10">
        <f>IFERROR(AVERAGE(VLOOKUP($P146,'PY Receiving'!$C:$T,14,FALSE),VLOOKUP($P146,'CY Receiving'!$C:$T,14,FALSE)),0)</f>
        <v>33.5</v>
      </c>
      <c r="AC146" s="10">
        <f>IFERROR(VLOOKUP($P146,'CY Receving Query'!$B:$S,11,FALSE)/VLOOKUP($P146,'CY Receving Query'!$B:$S,5,FALSE),0)</f>
        <v>1.411111111111111</v>
      </c>
      <c r="AD146" s="10">
        <f>IFERROR(VLOOKUP($P146,'CY Rushing Query'!$B:$O,7,FALSE)/VLOOKUP($P146,'CY Rushing Query'!$B:$O,5,FALSE),0)</f>
        <v>0</v>
      </c>
      <c r="AE146" s="10">
        <f>IFERROR(AVERAGE(VLOOKUP($P146,'PY Rushing'!$C:$P,8,FALSE)/VLOOKUP($P146,'PY Rushing'!$C:$P,5,FALSE),VLOOKUP($P146,'CY Rushing'!$C:$P,8,FALSE)/VLOOKUP($P146,'CY Rushing'!$C:$P,5,FALSE)),0)</f>
        <v>0</v>
      </c>
      <c r="AF146" s="10">
        <f>IFERROR(VLOOKUP($P146,'CY Rushing Query'!$B:$P,12,FALSE),0)</f>
        <v>0</v>
      </c>
      <c r="AG146" s="10">
        <f>IFERROR(VLOOKUP($P146,'CY Rushing Query'!$B:$P,9,FALSE)/VLOOKUP($P146,'CY Rushing Query'!$B:$P,5,FALSE),0)</f>
        <v>0</v>
      </c>
      <c r="AH146" s="10">
        <f>VLOOKUP($J146,'Vegas Odds'!$B:$S,18,FALSE)</f>
        <v>38.06292701199007</v>
      </c>
      <c r="AI146" s="10">
        <f>VLOOKUP($J146,'Vegas Odds'!$B:$S,17,FALSE)</f>
        <v>29.237072988009928</v>
      </c>
      <c r="AJ146">
        <f t="shared" si="60"/>
        <v>0</v>
      </c>
      <c r="AK146" s="10">
        <f t="shared" si="44"/>
        <v>0</v>
      </c>
      <c r="AL146" s="10">
        <f t="shared" si="45"/>
        <v>0</v>
      </c>
      <c r="AM146" s="10">
        <f>V146/'CY Defensive Stats Query'!$AD$34*'Fanduel Export'!Q146</f>
        <v>0</v>
      </c>
      <c r="AN146" s="10">
        <f t="shared" si="61"/>
        <v>0</v>
      </c>
      <c r="AO146" s="10">
        <f>IFERROR(IF(OR($B146="D",$B146="K"),0,VLOOKUP($P146,'CY Receving Query'!$B:$S,7,FALSE)/VLOOKUP($P146,'CY Receving Query'!$B:$S,5,FALSE)),0)*$AJ146</f>
        <v>0</v>
      </c>
      <c r="AP146" s="10">
        <f t="shared" si="46"/>
        <v>30.199512497306614</v>
      </c>
      <c r="AQ146" s="10">
        <f t="shared" si="47"/>
        <v>0</v>
      </c>
      <c r="AR146" s="16">
        <f t="shared" si="48"/>
        <v>0</v>
      </c>
      <c r="AS146" s="16">
        <f t="shared" si="49"/>
        <v>0</v>
      </c>
      <c r="AT146" s="16">
        <f>AA146/'CY Defensive Stats Query'!$AH$34
*'Fanduel Export'!S146</f>
        <v>12.310861020449321</v>
      </c>
      <c r="AU146" s="10">
        <f t="shared" si="62"/>
        <v>0</v>
      </c>
      <c r="AV146" s="10">
        <f t="shared" si="50"/>
        <v>0</v>
      </c>
      <c r="AW146" s="10">
        <f t="shared" si="51"/>
        <v>30.007352941176471</v>
      </c>
      <c r="AX146" s="10">
        <f t="shared" si="52"/>
        <v>0</v>
      </c>
      <c r="AY146" s="10">
        <f>AF146/'CY Defensive Stats Query'!$AF$34
*R146</f>
        <v>0</v>
      </c>
      <c r="AZ146" s="10">
        <f t="shared" si="63"/>
        <v>0</v>
      </c>
      <c r="BA146" s="16">
        <f t="shared" si="53"/>
        <v>0</v>
      </c>
      <c r="BB146" s="16">
        <f t="shared" si="54"/>
        <v>0</v>
      </c>
      <c r="BC146" s="10">
        <f t="shared" si="55"/>
        <v>0</v>
      </c>
      <c r="BD146" s="10">
        <f>IF(B146="QB",COUNTIFS($B$5:B146,B146,$J$5:J146,J146),1)</f>
        <v>1</v>
      </c>
      <c r="BE146" t="str">
        <f t="shared" si="56"/>
        <v>Michael Gallup</v>
      </c>
      <c r="BF146">
        <f t="shared" si="57"/>
        <v>4500</v>
      </c>
      <c r="BG146" t="str">
        <f t="shared" si="58"/>
        <v>WR</v>
      </c>
      <c r="BH146" s="16">
        <f t="shared" si="59"/>
        <v>0</v>
      </c>
    </row>
    <row r="147" spans="1:60" hidden="1" x14ac:dyDescent="0.2">
      <c r="A147" t="s">
        <v>2937</v>
      </c>
      <c r="B147" t="s">
        <v>83</v>
      </c>
      <c r="C147" t="s">
        <v>157</v>
      </c>
      <c r="D147" t="s">
        <v>812</v>
      </c>
      <c r="E147" t="s">
        <v>2383</v>
      </c>
      <c r="F147">
        <v>13.8142852783203</v>
      </c>
      <c r="G147">
        <v>14</v>
      </c>
      <c r="H147">
        <v>4500</v>
      </c>
      <c r="I147" t="s">
        <v>2720</v>
      </c>
      <c r="J147" t="s">
        <v>728</v>
      </c>
      <c r="K147" t="s">
        <v>102</v>
      </c>
      <c r="L147" t="s">
        <v>182</v>
      </c>
      <c r="M147" t="s">
        <v>2590</v>
      </c>
      <c r="O147" t="str">
        <f t="shared" si="43"/>
        <v>Chris Godwin</v>
      </c>
      <c r="P147" t="str">
        <f>IFERROR(VLOOKUP(O:O,'Name Bridge'!A:B,2,FALSE),O:O)</f>
        <v>Chris Godwin</v>
      </c>
      <c r="Q147" s="10">
        <f>VLOOKUP($K147,'CY Defensive Stats Query'!$AC:$AH,2,FALSE)</f>
        <v>5.9890109890109891</v>
      </c>
      <c r="R147" s="10">
        <f>VLOOKUP($K147,'CY Defensive Stats Query'!$AC:$AH,4,FALSE)</f>
        <v>3.8190476190476192</v>
      </c>
      <c r="S147" s="10">
        <f>VLOOKUP($K147,'CY Defensive Stats Query'!$AC:$AH,6,FALSE)</f>
        <v>8.515625</v>
      </c>
      <c r="T147" s="10">
        <f>IFERROR(VLOOKUP($P147,'CYPassing Query'!$B:$AE,9,FALSE)/VLOOKUP($P147,'CYPassing Query'!$B:$AE,5,FALSE),0)</f>
        <v>0</v>
      </c>
      <c r="U147" s="10">
        <f>IFERROR(VLOOKUP($P147,'CYPassing Query'!$B:$AE,11,FALSE)/VLOOKUP($P147,'CYPassing Query'!$B:$AE,5,FALSE),0)</f>
        <v>0</v>
      </c>
      <c r="V147" s="10">
        <f>IFERROR(VLOOKUP($P147,'CYPassing Query'!$B:$AE,18,FALSE),0)</f>
        <v>0</v>
      </c>
      <c r="W147" s="10">
        <f>IFERROR(VLOOKUP($P147,'CYPassing Query'!$B:$AE,12,FALSE)/VLOOKUP($P147,'CYPassing Query'!$B:$AE,5,FALSE),0)</f>
        <v>0</v>
      </c>
      <c r="X147" s="10">
        <f>IFERROR(IF(OR($B147="D",$B147="K"),0,VLOOKUP($P147,'CY Receving Query'!$B:$S,7,FALSE)/VLOOKUP($P147,'CY Receving Query'!$B:$S,5,FALSE)),0)*$AJ147</f>
        <v>0</v>
      </c>
      <c r="Y147" s="10">
        <f>IFERROR(VLOOKUP($P147,'CY Receving Query'!$B:$S,8,FALSE)/VLOOKUP($P147,'CY Receving Query'!$B:$S,5,FALSE),0)</f>
        <v>7</v>
      </c>
      <c r="Z147" s="10">
        <f>IFERROR(VLOOKUP($P147,'CY Receving Query'!$B:$S,10,FALSE)/VLOOKUP($P147,'CY Receving Query'!$B:$S,5,FALSE),0)</f>
        <v>78.785714285714292</v>
      </c>
      <c r="AA147" s="10">
        <f>IFERROR(VLOOKUP($P147,'CY Receving Query'!$B:$S,11,FALSE),0)</f>
        <v>11.3</v>
      </c>
      <c r="AB147" s="10">
        <f>IFERROR(AVERAGE(VLOOKUP($P147,'PY Receiving'!$C:$T,14,FALSE),VLOOKUP($P147,'CY Receiving'!$C:$T,14,FALSE)),0)</f>
        <v>35.5</v>
      </c>
      <c r="AC147" s="10">
        <f>IFERROR(VLOOKUP($P147,'CY Receving Query'!$B:$S,11,FALSE)/VLOOKUP($P147,'CY Receving Query'!$B:$S,5,FALSE),0)</f>
        <v>0.80714285714285716</v>
      </c>
      <c r="AD147" s="10">
        <f>IFERROR(VLOOKUP($P147,'CY Rushing Query'!$B:$O,7,FALSE)/VLOOKUP($P147,'CY Rushing Query'!$B:$O,5,FALSE),0)</f>
        <v>0.2857142857142857</v>
      </c>
      <c r="AE147" s="10">
        <f>IFERROR(AVERAGE(VLOOKUP($P147,'PY Rushing'!$C:$P,8,FALSE)/VLOOKUP($P147,'PY Rushing'!$C:$P,5,FALSE),VLOOKUP($P147,'CY Rushing'!$C:$P,8,FALSE)/VLOOKUP($P147,'CY Rushing'!$C:$P,5,FALSE)),0)</f>
        <v>0</v>
      </c>
      <c r="AF147" s="10">
        <f>IFERROR(VLOOKUP($P147,'CY Rushing Query'!$B:$P,12,FALSE),0)</f>
        <v>5.3</v>
      </c>
      <c r="AG147" s="10">
        <f>IFERROR(VLOOKUP($P147,'CY Rushing Query'!$B:$P,9,FALSE)/VLOOKUP($P147,'CY Rushing Query'!$B:$P,5,FALSE),0)</f>
        <v>7.1428571428571425E-2</v>
      </c>
      <c r="AH147" s="10">
        <f>VLOOKUP($J147,'Vegas Odds'!$B:$S,18,FALSE)</f>
        <v>34.555825588251061</v>
      </c>
      <c r="AI147" s="10">
        <f>VLOOKUP($J147,'Vegas Odds'!$B:$S,17,FALSE)</f>
        <v>27.844174411748938</v>
      </c>
      <c r="AJ147">
        <f t="shared" si="60"/>
        <v>0</v>
      </c>
      <c r="AK147" s="10">
        <f t="shared" si="44"/>
        <v>0</v>
      </c>
      <c r="AL147" s="10">
        <f t="shared" si="45"/>
        <v>0</v>
      </c>
      <c r="AM147" s="10">
        <f>V147/'CY Defensive Stats Query'!$AD$34*'Fanduel Export'!Q147</f>
        <v>0</v>
      </c>
      <c r="AN147" s="10">
        <f t="shared" si="61"/>
        <v>0</v>
      </c>
      <c r="AO147" s="10">
        <f>IFERROR(IF(OR($B147="D",$B147="K"),0,VLOOKUP($P147,'CY Receving Query'!$B:$S,7,FALSE)/VLOOKUP($P147,'CY Receving Query'!$B:$S,5,FALSE)),0)*$AJ147</f>
        <v>0</v>
      </c>
      <c r="AP147" s="10">
        <f t="shared" si="46"/>
        <v>25.587418300653596</v>
      </c>
      <c r="AQ147" s="10">
        <f t="shared" si="47"/>
        <v>0</v>
      </c>
      <c r="AR147" s="16">
        <f t="shared" si="48"/>
        <v>0</v>
      </c>
      <c r="AS147" s="16">
        <f t="shared" si="49"/>
        <v>0</v>
      </c>
      <c r="AT147" s="16">
        <f>AA147/'CY Defensive Stats Query'!$AH$34
*'Fanduel Export'!S147</f>
        <v>9.1522864417867744</v>
      </c>
      <c r="AU147" s="10">
        <f t="shared" si="62"/>
        <v>0</v>
      </c>
      <c r="AV147" s="10">
        <f t="shared" si="50"/>
        <v>0</v>
      </c>
      <c r="AW147" s="10">
        <f t="shared" si="51"/>
        <v>12.022058823529411</v>
      </c>
      <c r="AX147" s="10">
        <f t="shared" si="52"/>
        <v>0</v>
      </c>
      <c r="AY147" s="10">
        <f>AF147/'CY Defensive Stats Query'!$AF$34
*R147</f>
        <v>4.8944657190879948</v>
      </c>
      <c r="AZ147" s="10">
        <f t="shared" si="63"/>
        <v>0</v>
      </c>
      <c r="BA147" s="16">
        <f t="shared" si="53"/>
        <v>0</v>
      </c>
      <c r="BB147" s="16">
        <f t="shared" si="54"/>
        <v>0</v>
      </c>
      <c r="BC147" s="10">
        <f t="shared" si="55"/>
        <v>0</v>
      </c>
      <c r="BD147" s="10">
        <f>IF(B147="QB",COUNTIFS($B$5:B147,B147,$J$5:J147,J147),1)</f>
        <v>1</v>
      </c>
      <c r="BE147" t="str">
        <f t="shared" si="56"/>
        <v>Chris Godwin</v>
      </c>
      <c r="BF147">
        <f t="shared" si="57"/>
        <v>4500</v>
      </c>
      <c r="BG147" t="str">
        <f t="shared" si="58"/>
        <v>WR</v>
      </c>
      <c r="BH147" s="16">
        <f t="shared" si="59"/>
        <v>0</v>
      </c>
    </row>
    <row r="148" spans="1:60" hidden="1" x14ac:dyDescent="0.2">
      <c r="A148" t="s">
        <v>2938</v>
      </c>
      <c r="B148" t="s">
        <v>83</v>
      </c>
      <c r="C148" t="s">
        <v>135</v>
      </c>
      <c r="D148" t="s">
        <v>1543</v>
      </c>
      <c r="E148" t="s">
        <v>110</v>
      </c>
      <c r="F148">
        <v>14.299999782017199</v>
      </c>
      <c r="G148">
        <v>7</v>
      </c>
      <c r="H148">
        <v>4500</v>
      </c>
      <c r="I148" t="s">
        <v>2720</v>
      </c>
      <c r="J148" t="s">
        <v>728</v>
      </c>
      <c r="K148" t="s">
        <v>102</v>
      </c>
      <c r="L148" t="s">
        <v>94</v>
      </c>
      <c r="M148" t="s">
        <v>176</v>
      </c>
      <c r="O148" t="str">
        <f t="shared" si="43"/>
        <v>Antonio Brown</v>
      </c>
      <c r="P148" t="str">
        <f>IFERROR(VLOOKUP(O:O,'Name Bridge'!A:B,2,FALSE),O:O)</f>
        <v>Antonio Brown</v>
      </c>
      <c r="Q148" s="10">
        <f>VLOOKUP($K148,'CY Defensive Stats Query'!$AC:$AH,2,FALSE)</f>
        <v>5.9890109890109891</v>
      </c>
      <c r="R148" s="10">
        <f>VLOOKUP($K148,'CY Defensive Stats Query'!$AC:$AH,4,FALSE)</f>
        <v>3.8190476190476192</v>
      </c>
      <c r="S148" s="10">
        <f>VLOOKUP($K148,'CY Defensive Stats Query'!$AC:$AH,6,FALSE)</f>
        <v>8.515625</v>
      </c>
      <c r="T148" s="10">
        <f>IFERROR(VLOOKUP($P148,'CYPassing Query'!$B:$AE,9,FALSE)/VLOOKUP($P148,'CYPassing Query'!$B:$AE,5,FALSE),0)</f>
        <v>0</v>
      </c>
      <c r="U148" s="10">
        <f>IFERROR(VLOOKUP($P148,'CYPassing Query'!$B:$AE,11,FALSE)/VLOOKUP($P148,'CYPassing Query'!$B:$AE,5,FALSE),0)</f>
        <v>0</v>
      </c>
      <c r="V148" s="10">
        <f>IFERROR(VLOOKUP($P148,'CYPassing Query'!$B:$AE,18,FALSE),0)</f>
        <v>0</v>
      </c>
      <c r="W148" s="10">
        <f>IFERROR(VLOOKUP($P148,'CYPassing Query'!$B:$AE,12,FALSE)/VLOOKUP($P148,'CYPassing Query'!$B:$AE,5,FALSE),0)</f>
        <v>0</v>
      </c>
      <c r="X148" s="10">
        <f>IFERROR(IF(OR($B148="D",$B148="K"),0,VLOOKUP($P148,'CY Receving Query'!$B:$S,7,FALSE)/VLOOKUP($P148,'CY Receving Query'!$B:$S,5,FALSE)),0)*$AJ148</f>
        <v>0</v>
      </c>
      <c r="Y148" s="10">
        <f>IFERROR(VLOOKUP($P148,'CY Receving Query'!$B:$S,8,FALSE)/VLOOKUP($P148,'CY Receving Query'!$B:$S,5,FALSE),0)</f>
        <v>6</v>
      </c>
      <c r="Z148" s="10">
        <f>IFERROR(VLOOKUP($P148,'CY Receving Query'!$B:$S,10,FALSE)/VLOOKUP($P148,'CY Receving Query'!$B:$S,5,FALSE),0)</f>
        <v>77.857142857142861</v>
      </c>
      <c r="AA148" s="10">
        <f>IFERROR(VLOOKUP($P148,'CY Receving Query'!$B:$S,11,FALSE),0)</f>
        <v>13</v>
      </c>
      <c r="AB148" s="10">
        <f>IFERROR(AVERAGE(VLOOKUP($P148,'PY Receiving'!$C:$T,14,FALSE),VLOOKUP($P148,'CY Receiving'!$C:$T,14,FALSE)),0)</f>
        <v>46.5</v>
      </c>
      <c r="AC148" s="10">
        <f>IFERROR(VLOOKUP($P148,'CY Receving Query'!$B:$S,11,FALSE)/VLOOKUP($P148,'CY Receving Query'!$B:$S,5,FALSE),0)</f>
        <v>1.8571428571428572</v>
      </c>
      <c r="AD148" s="10">
        <f>IFERROR(VLOOKUP($P148,'CY Rushing Query'!$B:$O,7,FALSE)/VLOOKUP($P148,'CY Rushing Query'!$B:$O,5,FALSE),0)</f>
        <v>0.14285714285714285</v>
      </c>
      <c r="AE148" s="10">
        <f>IFERROR(AVERAGE(VLOOKUP($P148,'PY Rushing'!$C:$P,8,FALSE)/VLOOKUP($P148,'PY Rushing'!$C:$P,5,FALSE),VLOOKUP($P148,'CY Rushing'!$C:$P,8,FALSE)/VLOOKUP($P148,'CY Rushing'!$C:$P,5,FALSE)),0)</f>
        <v>2.875</v>
      </c>
      <c r="AF148" s="10">
        <f>IFERROR(VLOOKUP($P148,'CY Rushing Query'!$B:$P,12,FALSE),0)</f>
        <v>6</v>
      </c>
      <c r="AG148" s="10">
        <f>IFERROR(VLOOKUP($P148,'CY Rushing Query'!$B:$P,9,FALSE)/VLOOKUP($P148,'CY Rushing Query'!$B:$P,5,FALSE),0)</f>
        <v>0</v>
      </c>
      <c r="AH148" s="10">
        <f>VLOOKUP($J148,'Vegas Odds'!$B:$S,18,FALSE)</f>
        <v>34.555825588251061</v>
      </c>
      <c r="AI148" s="10">
        <f>VLOOKUP($J148,'Vegas Odds'!$B:$S,17,FALSE)</f>
        <v>27.844174411748938</v>
      </c>
      <c r="AJ148">
        <v>0</v>
      </c>
      <c r="AK148" s="10">
        <f t="shared" si="44"/>
        <v>0</v>
      </c>
      <c r="AL148" s="10">
        <f t="shared" si="45"/>
        <v>0</v>
      </c>
      <c r="AM148" s="10">
        <f>V148/'CY Defensive Stats Query'!$AD$34*'Fanduel Export'!Q148</f>
        <v>0</v>
      </c>
      <c r="AN148" s="10">
        <f t="shared" si="61"/>
        <v>0</v>
      </c>
      <c r="AO148" s="10">
        <f>IFERROR(IF(OR($B148="D",$B148="K"),0,VLOOKUP($P148,'CY Receving Query'!$B:$S,7,FALSE)/VLOOKUP($P148,'CY Receving Query'!$B:$S,5,FALSE)),0)*$AJ148</f>
        <v>0</v>
      </c>
      <c r="AP148" s="10">
        <f t="shared" si="46"/>
        <v>25.587418300653596</v>
      </c>
      <c r="AQ148" s="10">
        <f t="shared" si="47"/>
        <v>0</v>
      </c>
      <c r="AR148" s="16">
        <f t="shared" si="48"/>
        <v>0</v>
      </c>
      <c r="AS148" s="16">
        <f t="shared" si="49"/>
        <v>0</v>
      </c>
      <c r="AT148" s="16">
        <f>AA148/'CY Defensive Stats Query'!$AH$34
*'Fanduel Export'!S148</f>
        <v>10.529179092321069</v>
      </c>
      <c r="AU148" s="10">
        <f t="shared" si="62"/>
        <v>0</v>
      </c>
      <c r="AV148" s="10">
        <f t="shared" si="50"/>
        <v>0</v>
      </c>
      <c r="AW148" s="10">
        <f t="shared" si="51"/>
        <v>12.022058823529411</v>
      </c>
      <c r="AX148" s="10">
        <f t="shared" si="52"/>
        <v>0</v>
      </c>
      <c r="AY148" s="10">
        <f>AF148/'CY Defensive Stats Query'!$AF$34
*R148</f>
        <v>5.5409045876467866</v>
      </c>
      <c r="AZ148" s="10">
        <f t="shared" si="63"/>
        <v>0</v>
      </c>
      <c r="BA148" s="16">
        <f t="shared" si="53"/>
        <v>0</v>
      </c>
      <c r="BB148" s="16">
        <f t="shared" si="54"/>
        <v>0</v>
      </c>
      <c r="BC148" s="10">
        <f t="shared" si="55"/>
        <v>0</v>
      </c>
      <c r="BD148" s="10">
        <f>IF(B148="QB",COUNTIFS($B$5:B148,B148,$J$5:J148,J148),1)</f>
        <v>1</v>
      </c>
      <c r="BE148" t="str">
        <f t="shared" si="56"/>
        <v>Antonio Brown</v>
      </c>
      <c r="BF148">
        <f t="shared" si="57"/>
        <v>4500</v>
      </c>
      <c r="BG148" t="str">
        <f t="shared" si="58"/>
        <v>WR</v>
      </c>
      <c r="BH148" s="16">
        <f t="shared" si="59"/>
        <v>0</v>
      </c>
    </row>
    <row r="149" spans="1:60" x14ac:dyDescent="0.2">
      <c r="A149" t="s">
        <v>2939</v>
      </c>
      <c r="B149" t="s">
        <v>83</v>
      </c>
      <c r="C149" t="s">
        <v>2244</v>
      </c>
      <c r="D149" t="s">
        <v>2395</v>
      </c>
      <c r="E149" t="s">
        <v>2234</v>
      </c>
      <c r="F149">
        <v>0</v>
      </c>
      <c r="G149">
        <v>2</v>
      </c>
      <c r="H149">
        <v>4500</v>
      </c>
      <c r="I149" t="s">
        <v>2720</v>
      </c>
      <c r="J149" t="s">
        <v>102</v>
      </c>
      <c r="K149" t="s">
        <v>728</v>
      </c>
      <c r="L149" t="s">
        <v>94</v>
      </c>
      <c r="M149" t="s">
        <v>210</v>
      </c>
      <c r="O149" t="str">
        <f t="shared" si="43"/>
        <v>Michael Walker</v>
      </c>
      <c r="P149" t="str">
        <f>IFERROR(VLOOKUP(O:O,'Name Bridge'!A:B,2,FALSE),O:O)</f>
        <v>Michael Walker</v>
      </c>
      <c r="Q149" s="10">
        <f>VLOOKUP($K149,'CY Defensive Stats Query'!$AC:$AH,2,FALSE)</f>
        <v>7.0486111111111107</v>
      </c>
      <c r="R149" s="10">
        <f>VLOOKUP($K149,'CY Defensive Stats Query'!$AC:$AH,4,FALSE)</f>
        <v>3.0806451612903225</v>
      </c>
      <c r="S149" s="10">
        <f>VLOOKUP($K149,'CY Defensive Stats Query'!$AC:$AH,6,FALSE)</f>
        <v>9.759615384615385</v>
      </c>
      <c r="T149" s="10">
        <f>IFERROR(VLOOKUP($P149,'CYPassing Query'!$B:$AE,9,FALSE)/VLOOKUP($P149,'CYPassing Query'!$B:$AE,5,FALSE),0)</f>
        <v>0</v>
      </c>
      <c r="U149" s="10">
        <f>IFERROR(VLOOKUP($P149,'CYPassing Query'!$B:$AE,11,FALSE)/VLOOKUP($P149,'CYPassing Query'!$B:$AE,5,FALSE),0)</f>
        <v>0</v>
      </c>
      <c r="V149" s="10">
        <f>IFERROR(VLOOKUP($P149,'CYPassing Query'!$B:$AE,18,FALSE),0)</f>
        <v>0</v>
      </c>
      <c r="W149" s="10">
        <f>IFERROR(VLOOKUP($P149,'CYPassing Query'!$B:$AE,12,FALSE)/VLOOKUP($P149,'CYPassing Query'!$B:$AE,5,FALSE),0)</f>
        <v>0</v>
      </c>
      <c r="X149" s="10">
        <f>IFERROR(IF(OR($B149="D",$B149="K"),0,VLOOKUP($P149,'CY Receving Query'!$B:$S,7,FALSE)/VLOOKUP($P149,'CY Receving Query'!$B:$S,5,FALSE)),0)*$AJ149</f>
        <v>0</v>
      </c>
      <c r="Y149" s="10">
        <f>IFERROR(VLOOKUP($P149,'CY Receving Query'!$B:$S,8,FALSE)/VLOOKUP($P149,'CY Receving Query'!$B:$S,5,FALSE),0)</f>
        <v>0</v>
      </c>
      <c r="Z149" s="10">
        <f>IFERROR(VLOOKUP($P149,'CY Receving Query'!$B:$S,10,FALSE)/VLOOKUP($P149,'CY Receving Query'!$B:$S,5,FALSE),0)</f>
        <v>0</v>
      </c>
      <c r="AA149" s="10">
        <f>IFERROR(VLOOKUP($P149,'CY Receving Query'!$B:$S,11,FALSE),0)</f>
        <v>0</v>
      </c>
      <c r="AB149" s="10">
        <f>IFERROR(AVERAGE(VLOOKUP($P149,'PY Receiving'!$C:$T,14,FALSE),VLOOKUP($P149,'CY Receiving'!$C:$T,14,FALSE)),0)</f>
        <v>0</v>
      </c>
      <c r="AC149" s="10">
        <f>IFERROR(VLOOKUP($P149,'CY Receving Query'!$B:$S,11,FALSE)/VLOOKUP($P149,'CY Receving Query'!$B:$S,5,FALSE),0)</f>
        <v>0</v>
      </c>
      <c r="AD149" s="10">
        <f>IFERROR(VLOOKUP($P149,'CY Rushing Query'!$B:$O,7,FALSE)/VLOOKUP($P149,'CY Rushing Query'!$B:$O,5,FALSE),0)</f>
        <v>0</v>
      </c>
      <c r="AE149" s="10">
        <f>IFERROR(AVERAGE(VLOOKUP($P149,'PY Rushing'!$C:$P,8,FALSE)/VLOOKUP($P149,'PY Rushing'!$C:$P,5,FALSE),VLOOKUP($P149,'CY Rushing'!$C:$P,8,FALSE)/VLOOKUP($P149,'CY Rushing'!$C:$P,5,FALSE)),0)</f>
        <v>0</v>
      </c>
      <c r="AF149" s="10">
        <f>IFERROR(VLOOKUP($P149,'CY Rushing Query'!$B:$P,12,FALSE),0)</f>
        <v>0</v>
      </c>
      <c r="AG149" s="10">
        <f>IFERROR(VLOOKUP($P149,'CY Rushing Query'!$B:$P,9,FALSE)/VLOOKUP($P149,'CY Rushing Query'!$B:$P,5,FALSE),0)</f>
        <v>0</v>
      </c>
      <c r="AH149" s="10">
        <f>VLOOKUP($J149,'Vegas Odds'!$B:$S,18,FALSE)</f>
        <v>44.85966247691475</v>
      </c>
      <c r="AI149" s="10">
        <f>VLOOKUP($J149,'Vegas Odds'!$B:$S,17,FALSE)</f>
        <v>17.740337523085255</v>
      </c>
      <c r="AJ149">
        <f t="shared" si="60"/>
        <v>1</v>
      </c>
      <c r="AK149" s="10">
        <f t="shared" si="44"/>
        <v>0</v>
      </c>
      <c r="AL149" s="10">
        <f t="shared" si="45"/>
        <v>0</v>
      </c>
      <c r="AM149" s="10">
        <f>V149/'CY Defensive Stats Query'!$AD$34*'Fanduel Export'!Q149</f>
        <v>0</v>
      </c>
      <c r="AN149" s="10">
        <f t="shared" si="61"/>
        <v>0</v>
      </c>
      <c r="AO149" s="10">
        <f>IFERROR(IF(OR($B149="D",$B149="K"),0,VLOOKUP($P149,'CY Receving Query'!$B:$S,7,FALSE)/VLOOKUP($P149,'CY Receving Query'!$B:$S,5,FALSE)),0)*$AJ149</f>
        <v>0</v>
      </c>
      <c r="AP149" s="10">
        <f t="shared" si="46"/>
        <v>28.54982492997199</v>
      </c>
      <c r="AQ149" s="10">
        <f t="shared" si="47"/>
        <v>0</v>
      </c>
      <c r="AR149" s="16">
        <f t="shared" si="48"/>
        <v>0</v>
      </c>
      <c r="AS149" s="16">
        <f t="shared" si="49"/>
        <v>0</v>
      </c>
      <c r="AT149" s="16">
        <f>AA149/'CY Defensive Stats Query'!$AH$34
*'Fanduel Export'!S149</f>
        <v>0</v>
      </c>
      <c r="AU149" s="10">
        <f t="shared" si="62"/>
        <v>0</v>
      </c>
      <c r="AV149" s="10">
        <f t="shared" si="50"/>
        <v>0</v>
      </c>
      <c r="AW149" s="10">
        <f t="shared" si="51"/>
        <v>56.303606442577035</v>
      </c>
      <c r="AX149" s="10">
        <f t="shared" si="52"/>
        <v>0</v>
      </c>
      <c r="AY149" s="10">
        <f>AF149/'CY Defensive Stats Query'!$AF$34
*R149</f>
        <v>0</v>
      </c>
      <c r="AZ149" s="10">
        <f t="shared" si="63"/>
        <v>0</v>
      </c>
      <c r="BA149" s="16">
        <f t="shared" si="53"/>
        <v>0</v>
      </c>
      <c r="BB149" s="16">
        <f t="shared" si="54"/>
        <v>0</v>
      </c>
      <c r="BC149" s="10">
        <f t="shared" si="55"/>
        <v>0</v>
      </c>
      <c r="BD149" s="10">
        <f>IF(B149="QB",COUNTIFS($B$5:B149,B149,$J$5:J149,J149),1)</f>
        <v>1</v>
      </c>
      <c r="BE149" t="str">
        <f t="shared" si="56"/>
        <v>Michael Walker</v>
      </c>
      <c r="BF149">
        <f t="shared" si="57"/>
        <v>4500</v>
      </c>
      <c r="BG149" t="str">
        <f t="shared" si="58"/>
        <v>WR</v>
      </c>
      <c r="BH149" s="16">
        <f t="shared" si="59"/>
        <v>0</v>
      </c>
    </row>
    <row r="150" spans="1:60" x14ac:dyDescent="0.2">
      <c r="A150" t="s">
        <v>2940</v>
      </c>
      <c r="B150" t="s">
        <v>83</v>
      </c>
      <c r="C150" t="s">
        <v>2941</v>
      </c>
      <c r="D150" t="s">
        <v>2453</v>
      </c>
      <c r="E150" t="s">
        <v>2942</v>
      </c>
      <c r="F150">
        <v>0</v>
      </c>
      <c r="G150">
        <v>2</v>
      </c>
      <c r="H150">
        <v>4500</v>
      </c>
      <c r="I150" t="s">
        <v>2718</v>
      </c>
      <c r="J150" t="s">
        <v>729</v>
      </c>
      <c r="K150" t="s">
        <v>138</v>
      </c>
      <c r="O150" t="str">
        <f t="shared" si="43"/>
        <v>Johnnie Dixon</v>
      </c>
      <c r="P150" t="str">
        <f>IFERROR(VLOOKUP(O:O,'Name Bridge'!A:B,2,FALSE),O:O)</f>
        <v>Johnnie Dixon</v>
      </c>
      <c r="Q150" s="10">
        <f>VLOOKUP($K150,'CY Defensive Stats Query'!$AC:$AH,2,FALSE)</f>
        <v>6.5263157894736841</v>
      </c>
      <c r="R150" s="10">
        <f>VLOOKUP($K150,'CY Defensive Stats Query'!$AC:$AH,4,FALSE)</f>
        <v>4.7051282051282053</v>
      </c>
      <c r="S150" s="10">
        <f>VLOOKUP($K150,'CY Defensive Stats Query'!$AC:$AH,6,FALSE)</f>
        <v>10.191780821917808</v>
      </c>
      <c r="T150" s="10">
        <f>IFERROR(VLOOKUP($P150,'CYPassing Query'!$B:$AE,9,FALSE)/VLOOKUP($P150,'CYPassing Query'!$B:$AE,5,FALSE),0)</f>
        <v>0</v>
      </c>
      <c r="U150" s="10">
        <f>IFERROR(VLOOKUP($P150,'CYPassing Query'!$B:$AE,11,FALSE)/VLOOKUP($P150,'CYPassing Query'!$B:$AE,5,FALSE),0)</f>
        <v>0</v>
      </c>
      <c r="V150" s="10">
        <f>IFERROR(VLOOKUP($P150,'CYPassing Query'!$B:$AE,18,FALSE),0)</f>
        <v>0</v>
      </c>
      <c r="W150" s="10">
        <f>IFERROR(VLOOKUP($P150,'CYPassing Query'!$B:$AE,12,FALSE)/VLOOKUP($P150,'CYPassing Query'!$B:$AE,5,FALSE),0)</f>
        <v>0</v>
      </c>
      <c r="X150" s="10">
        <f>IFERROR(IF(OR($B150="D",$B150="K"),0,VLOOKUP($P150,'CY Receving Query'!$B:$S,7,FALSE)/VLOOKUP($P150,'CY Receving Query'!$B:$S,5,FALSE)),0)*$AJ150</f>
        <v>0</v>
      </c>
      <c r="Y150" s="10">
        <f>IFERROR(VLOOKUP($P150,'CY Receving Query'!$B:$S,8,FALSE)/VLOOKUP($P150,'CY Receving Query'!$B:$S,5,FALSE),0)</f>
        <v>0</v>
      </c>
      <c r="Z150" s="10">
        <f>IFERROR(VLOOKUP($P150,'CY Receving Query'!$B:$S,10,FALSE)/VLOOKUP($P150,'CY Receving Query'!$B:$S,5,FALSE),0)</f>
        <v>0</v>
      </c>
      <c r="AA150" s="10">
        <f>IFERROR(VLOOKUP($P150,'CY Receving Query'!$B:$S,11,FALSE),0)</f>
        <v>0</v>
      </c>
      <c r="AB150" s="10">
        <f>IFERROR(AVERAGE(VLOOKUP($P150,'PY Receiving'!$C:$T,14,FALSE),VLOOKUP($P150,'CY Receiving'!$C:$T,14,FALSE)),0)</f>
        <v>0</v>
      </c>
      <c r="AC150" s="10">
        <f>IFERROR(VLOOKUP($P150,'CY Receving Query'!$B:$S,11,FALSE)/VLOOKUP($P150,'CY Receving Query'!$B:$S,5,FALSE),0)</f>
        <v>0</v>
      </c>
      <c r="AD150" s="10">
        <f>IFERROR(VLOOKUP($P150,'CY Rushing Query'!$B:$O,7,FALSE)/VLOOKUP($P150,'CY Rushing Query'!$B:$O,5,FALSE),0)</f>
        <v>0</v>
      </c>
      <c r="AE150" s="10">
        <f>IFERROR(AVERAGE(VLOOKUP($P150,'PY Rushing'!$C:$P,8,FALSE)/VLOOKUP($P150,'PY Rushing'!$C:$P,5,FALSE),VLOOKUP($P150,'CY Rushing'!$C:$P,8,FALSE)/VLOOKUP($P150,'CY Rushing'!$C:$P,5,FALSE)),0)</f>
        <v>0</v>
      </c>
      <c r="AF150" s="10">
        <f>IFERROR(VLOOKUP($P150,'CY Rushing Query'!$B:$P,12,FALSE),0)</f>
        <v>0</v>
      </c>
      <c r="AG150" s="10">
        <f>IFERROR(VLOOKUP($P150,'CY Rushing Query'!$B:$P,9,FALSE)/VLOOKUP($P150,'CY Rushing Query'!$B:$P,5,FALSE),0)</f>
        <v>0</v>
      </c>
      <c r="AH150" s="10">
        <f>VLOOKUP($J150,'Vegas Odds'!$B:$S,18,FALSE)</f>
        <v>38.06292701199007</v>
      </c>
      <c r="AI150" s="10">
        <f>VLOOKUP($J150,'Vegas Odds'!$B:$S,17,FALSE)</f>
        <v>29.237072988009928</v>
      </c>
      <c r="AJ150">
        <f t="shared" si="60"/>
        <v>1</v>
      </c>
      <c r="AK150" s="10">
        <f t="shared" si="44"/>
        <v>0</v>
      </c>
      <c r="AL150" s="10">
        <f t="shared" si="45"/>
        <v>0</v>
      </c>
      <c r="AM150" s="10">
        <f>V150/'CY Defensive Stats Query'!$AD$34*'Fanduel Export'!Q150</f>
        <v>0</v>
      </c>
      <c r="AN150" s="10">
        <f t="shared" si="61"/>
        <v>0</v>
      </c>
      <c r="AO150" s="10">
        <f>IFERROR(IF(OR($B150="D",$B150="K"),0,VLOOKUP($P150,'CY Receving Query'!$B:$S,7,FALSE)/VLOOKUP($P150,'CY Receving Query'!$B:$S,5,FALSE)),0)*$AJ150</f>
        <v>0</v>
      </c>
      <c r="AP150" s="10">
        <f t="shared" si="46"/>
        <v>30.199512497306614</v>
      </c>
      <c r="AQ150" s="10">
        <f t="shared" si="47"/>
        <v>0</v>
      </c>
      <c r="AR150" s="16">
        <f t="shared" si="48"/>
        <v>0</v>
      </c>
      <c r="AS150" s="16">
        <f t="shared" si="49"/>
        <v>0</v>
      </c>
      <c r="AT150" s="16">
        <f>AA150/'CY Defensive Stats Query'!$AH$34
*'Fanduel Export'!S150</f>
        <v>0</v>
      </c>
      <c r="AU150" s="10">
        <f t="shared" si="62"/>
        <v>0</v>
      </c>
      <c r="AV150" s="10">
        <f t="shared" si="50"/>
        <v>0</v>
      </c>
      <c r="AW150" s="10">
        <f t="shared" si="51"/>
        <v>30.007352941176471</v>
      </c>
      <c r="AX150" s="10">
        <f t="shared" si="52"/>
        <v>0</v>
      </c>
      <c r="AY150" s="10">
        <f>AF150/'CY Defensive Stats Query'!$AF$34
*R150</f>
        <v>0</v>
      </c>
      <c r="AZ150" s="10">
        <f t="shared" si="63"/>
        <v>0</v>
      </c>
      <c r="BA150" s="16">
        <f t="shared" si="53"/>
        <v>0</v>
      </c>
      <c r="BB150" s="16">
        <f t="shared" si="54"/>
        <v>0</v>
      </c>
      <c r="BC150" s="10">
        <f t="shared" si="55"/>
        <v>0</v>
      </c>
      <c r="BD150" s="10">
        <f>IF(B150="QB",COUNTIFS($B$5:B150,B150,$J$5:J150,J150),1)</f>
        <v>1</v>
      </c>
      <c r="BE150" t="str">
        <f t="shared" si="56"/>
        <v>Johnnie Dixon</v>
      </c>
      <c r="BF150">
        <f t="shared" si="57"/>
        <v>4500</v>
      </c>
      <c r="BG150" t="str">
        <f t="shared" si="58"/>
        <v>WR</v>
      </c>
      <c r="BH150" s="16">
        <f t="shared" si="59"/>
        <v>0</v>
      </c>
    </row>
    <row r="151" spans="1:60" x14ac:dyDescent="0.2">
      <c r="A151" t="s">
        <v>2943</v>
      </c>
      <c r="B151" t="s">
        <v>83</v>
      </c>
      <c r="C151" t="s">
        <v>2944</v>
      </c>
      <c r="D151" t="s">
        <v>427</v>
      </c>
      <c r="E151" t="s">
        <v>163</v>
      </c>
      <c r="F151">
        <v>2.4799999237060502</v>
      </c>
      <c r="G151">
        <v>10</v>
      </c>
      <c r="H151">
        <v>4500</v>
      </c>
      <c r="I151" t="s">
        <v>2720</v>
      </c>
      <c r="J151" t="s">
        <v>102</v>
      </c>
      <c r="K151" t="s">
        <v>728</v>
      </c>
      <c r="O151" t="str">
        <f t="shared" si="43"/>
        <v>KeeSean Johnson</v>
      </c>
      <c r="P151" t="str">
        <f>IFERROR(VLOOKUP(O:O,'Name Bridge'!A:B,2,FALSE),O:O)</f>
        <v>KeeSean Johnson</v>
      </c>
      <c r="Q151" s="10">
        <f>VLOOKUP($K151,'CY Defensive Stats Query'!$AC:$AH,2,FALSE)</f>
        <v>7.0486111111111107</v>
      </c>
      <c r="R151" s="10">
        <f>VLOOKUP($K151,'CY Defensive Stats Query'!$AC:$AH,4,FALSE)</f>
        <v>3.0806451612903225</v>
      </c>
      <c r="S151" s="10">
        <f>VLOOKUP($K151,'CY Defensive Stats Query'!$AC:$AH,6,FALSE)</f>
        <v>9.759615384615385</v>
      </c>
      <c r="T151" s="10">
        <f>IFERROR(VLOOKUP($P151,'CYPassing Query'!$B:$AE,9,FALSE)/VLOOKUP($P151,'CYPassing Query'!$B:$AE,5,FALSE),0)</f>
        <v>0</v>
      </c>
      <c r="U151" s="10">
        <f>IFERROR(VLOOKUP($P151,'CYPassing Query'!$B:$AE,11,FALSE)/VLOOKUP($P151,'CYPassing Query'!$B:$AE,5,FALSE),0)</f>
        <v>0</v>
      </c>
      <c r="V151" s="10">
        <f>IFERROR(VLOOKUP($P151,'CYPassing Query'!$B:$AE,18,FALSE),0)</f>
        <v>0</v>
      </c>
      <c r="W151" s="10">
        <f>IFERROR(VLOOKUP($P151,'CYPassing Query'!$B:$AE,12,FALSE)/VLOOKUP($P151,'CYPassing Query'!$B:$AE,5,FALSE),0)</f>
        <v>0</v>
      </c>
      <c r="X151" s="10">
        <f>IFERROR(IF(OR($B151="D",$B151="K"),0,VLOOKUP($P151,'CY Receving Query'!$B:$S,7,FALSE)/VLOOKUP($P151,'CY Receving Query'!$B:$S,5,FALSE)),0)*$AJ151</f>
        <v>0</v>
      </c>
      <c r="Y151" s="10">
        <f>IFERROR(VLOOKUP($P151,'CY Receving Query'!$B:$S,8,FALSE)/VLOOKUP($P151,'CY Receving Query'!$B:$S,5,FALSE),0)</f>
        <v>0</v>
      </c>
      <c r="Z151" s="10">
        <f>IFERROR(VLOOKUP($P151,'CY Receving Query'!$B:$S,10,FALSE)/VLOOKUP($P151,'CY Receving Query'!$B:$S,5,FALSE),0)</f>
        <v>0</v>
      </c>
      <c r="AA151" s="10">
        <f>IFERROR(VLOOKUP($P151,'CY Receving Query'!$B:$S,11,FALSE),0)</f>
        <v>0</v>
      </c>
      <c r="AB151" s="10">
        <f>IFERROR(AVERAGE(VLOOKUP($P151,'PY Receiving'!$C:$T,14,FALSE),VLOOKUP($P151,'CY Receiving'!$C:$T,14,FALSE)),0)</f>
        <v>0</v>
      </c>
      <c r="AC151" s="10">
        <f>IFERROR(VLOOKUP($P151,'CY Receving Query'!$B:$S,11,FALSE)/VLOOKUP($P151,'CY Receving Query'!$B:$S,5,FALSE),0)</f>
        <v>0</v>
      </c>
      <c r="AD151" s="10">
        <f>IFERROR(VLOOKUP($P151,'CY Rushing Query'!$B:$O,7,FALSE)/VLOOKUP($P151,'CY Rushing Query'!$B:$O,5,FALSE),0)</f>
        <v>0</v>
      </c>
      <c r="AE151" s="10">
        <f>IFERROR(AVERAGE(VLOOKUP($P151,'PY Rushing'!$C:$P,8,FALSE)/VLOOKUP($P151,'PY Rushing'!$C:$P,5,FALSE),VLOOKUP($P151,'CY Rushing'!$C:$P,8,FALSE)/VLOOKUP($P151,'CY Rushing'!$C:$P,5,FALSE)),0)</f>
        <v>0</v>
      </c>
      <c r="AF151" s="10">
        <f>IFERROR(VLOOKUP($P151,'CY Rushing Query'!$B:$P,12,FALSE),0)</f>
        <v>0</v>
      </c>
      <c r="AG151" s="10">
        <f>IFERROR(VLOOKUP($P151,'CY Rushing Query'!$B:$P,9,FALSE)/VLOOKUP($P151,'CY Rushing Query'!$B:$P,5,FALSE),0)</f>
        <v>0</v>
      </c>
      <c r="AH151" s="10">
        <f>VLOOKUP($J151,'Vegas Odds'!$B:$S,18,FALSE)</f>
        <v>44.85966247691475</v>
      </c>
      <c r="AI151" s="10">
        <f>VLOOKUP($J151,'Vegas Odds'!$B:$S,17,FALSE)</f>
        <v>17.740337523085255</v>
      </c>
      <c r="AJ151">
        <f t="shared" si="60"/>
        <v>1</v>
      </c>
      <c r="AK151" s="10">
        <f t="shared" si="44"/>
        <v>0</v>
      </c>
      <c r="AL151" s="10">
        <f t="shared" si="45"/>
        <v>0</v>
      </c>
      <c r="AM151" s="10">
        <f>V151/'CY Defensive Stats Query'!$AD$34*'Fanduel Export'!Q151</f>
        <v>0</v>
      </c>
      <c r="AN151" s="10">
        <f t="shared" si="61"/>
        <v>0</v>
      </c>
      <c r="AO151" s="10">
        <f>IFERROR(IF(OR($B151="D",$B151="K"),0,VLOOKUP($P151,'CY Receving Query'!$B:$S,7,FALSE)/VLOOKUP($P151,'CY Receving Query'!$B:$S,5,FALSE)),0)*$AJ151</f>
        <v>0</v>
      </c>
      <c r="AP151" s="10">
        <f t="shared" si="46"/>
        <v>28.54982492997199</v>
      </c>
      <c r="AQ151" s="10">
        <f t="shared" si="47"/>
        <v>0</v>
      </c>
      <c r="AR151" s="16">
        <f t="shared" si="48"/>
        <v>0</v>
      </c>
      <c r="AS151" s="16">
        <f t="shared" si="49"/>
        <v>0</v>
      </c>
      <c r="AT151" s="16">
        <f>AA151/'CY Defensive Stats Query'!$AH$34
*'Fanduel Export'!S151</f>
        <v>0</v>
      </c>
      <c r="AU151" s="10">
        <f t="shared" si="62"/>
        <v>0</v>
      </c>
      <c r="AV151" s="10">
        <f t="shared" si="50"/>
        <v>0</v>
      </c>
      <c r="AW151" s="10">
        <f t="shared" si="51"/>
        <v>56.303606442577035</v>
      </c>
      <c r="AX151" s="10">
        <f t="shared" si="52"/>
        <v>0</v>
      </c>
      <c r="AY151" s="10">
        <f>AF151/'CY Defensive Stats Query'!$AF$34
*R151</f>
        <v>0</v>
      </c>
      <c r="AZ151" s="10">
        <f t="shared" si="63"/>
        <v>0</v>
      </c>
      <c r="BA151" s="16">
        <f t="shared" si="53"/>
        <v>0</v>
      </c>
      <c r="BB151" s="16">
        <f t="shared" si="54"/>
        <v>0</v>
      </c>
      <c r="BC151" s="10">
        <f t="shared" si="55"/>
        <v>0</v>
      </c>
      <c r="BD151" s="10">
        <f>IF(B151="QB",COUNTIFS($B$5:B151,B151,$J$5:J151,J151),1)</f>
        <v>1</v>
      </c>
      <c r="BE151" t="str">
        <f t="shared" si="56"/>
        <v>KeeSean Johnson</v>
      </c>
      <c r="BF151">
        <f t="shared" si="57"/>
        <v>4500</v>
      </c>
      <c r="BG151" t="str">
        <f t="shared" si="58"/>
        <v>WR</v>
      </c>
      <c r="BH151" s="16">
        <f t="shared" si="59"/>
        <v>0</v>
      </c>
    </row>
    <row r="152" spans="1:60" x14ac:dyDescent="0.2">
      <c r="A152" t="s">
        <v>2945</v>
      </c>
      <c r="B152" t="s">
        <v>83</v>
      </c>
      <c r="C152" t="s">
        <v>135</v>
      </c>
      <c r="D152" t="s">
        <v>600</v>
      </c>
      <c r="E152" t="s">
        <v>2625</v>
      </c>
      <c r="F152">
        <v>0.75</v>
      </c>
      <c r="G152">
        <v>4</v>
      </c>
      <c r="H152">
        <v>4500</v>
      </c>
      <c r="I152" t="s">
        <v>2716</v>
      </c>
      <c r="J152" t="s">
        <v>81</v>
      </c>
      <c r="K152" t="s">
        <v>99</v>
      </c>
      <c r="L152" t="s">
        <v>94</v>
      </c>
      <c r="M152" t="s">
        <v>183</v>
      </c>
      <c r="O152" t="str">
        <f t="shared" si="43"/>
        <v>Antonio Callaway</v>
      </c>
      <c r="P152" t="str">
        <f>IFERROR(VLOOKUP(O:O,'Name Bridge'!A:B,2,FALSE),O:O)</f>
        <v>Antonio Callaway</v>
      </c>
      <c r="Q152" s="10">
        <f>VLOOKUP($K152,'CY Defensive Stats Query'!$AC:$AH,2,FALSE)</f>
        <v>7.5377358490566042</v>
      </c>
      <c r="R152" s="10">
        <f>VLOOKUP($K152,'CY Defensive Stats Query'!$AC:$AH,4,FALSE)</f>
        <v>3.5810810810810811</v>
      </c>
      <c r="S152" s="10">
        <f>VLOOKUP($K152,'CY Defensive Stats Query'!$AC:$AH,6,FALSE)</f>
        <v>11.097222222222221</v>
      </c>
      <c r="T152" s="10">
        <f>IFERROR(VLOOKUP($P152,'CYPassing Query'!$B:$AE,9,FALSE)/VLOOKUP($P152,'CYPassing Query'!$B:$AE,5,FALSE),0)</f>
        <v>0</v>
      </c>
      <c r="U152" s="10">
        <f>IFERROR(VLOOKUP($P152,'CYPassing Query'!$B:$AE,11,FALSE)/VLOOKUP($P152,'CYPassing Query'!$B:$AE,5,FALSE),0)</f>
        <v>0</v>
      </c>
      <c r="V152" s="10">
        <f>IFERROR(VLOOKUP($P152,'CYPassing Query'!$B:$AE,18,FALSE),0)</f>
        <v>0</v>
      </c>
      <c r="W152" s="10">
        <f>IFERROR(VLOOKUP($P152,'CYPassing Query'!$B:$AE,12,FALSE)/VLOOKUP($P152,'CYPassing Query'!$B:$AE,5,FALSE),0)</f>
        <v>0</v>
      </c>
      <c r="X152" s="10">
        <f>IFERROR(IF(OR($B152="D",$B152="K"),0,VLOOKUP($P152,'CY Receving Query'!$B:$S,7,FALSE)/VLOOKUP($P152,'CY Receving Query'!$B:$S,5,FALSE)),0)*$AJ152</f>
        <v>0</v>
      </c>
      <c r="Y152" s="10">
        <f>IFERROR(VLOOKUP($P152,'CY Receving Query'!$B:$S,8,FALSE)/VLOOKUP($P152,'CY Receving Query'!$B:$S,5,FALSE),0)</f>
        <v>0</v>
      </c>
      <c r="Z152" s="10">
        <f>IFERROR(VLOOKUP($P152,'CY Receving Query'!$B:$S,10,FALSE)/VLOOKUP($P152,'CY Receving Query'!$B:$S,5,FALSE),0)</f>
        <v>0</v>
      </c>
      <c r="AA152" s="10">
        <f>IFERROR(VLOOKUP($P152,'CY Receving Query'!$B:$S,11,FALSE),0)</f>
        <v>0</v>
      </c>
      <c r="AB152" s="10">
        <f>IFERROR(AVERAGE(VLOOKUP($P152,'PY Receiving'!$C:$T,14,FALSE),VLOOKUP($P152,'CY Receiving'!$C:$T,14,FALSE)),0)</f>
        <v>0</v>
      </c>
      <c r="AC152" s="10">
        <f>IFERROR(VLOOKUP($P152,'CY Receving Query'!$B:$S,11,FALSE)/VLOOKUP($P152,'CY Receving Query'!$B:$S,5,FALSE),0)</f>
        <v>0</v>
      </c>
      <c r="AD152" s="10">
        <f>IFERROR(VLOOKUP($P152,'CY Rushing Query'!$B:$O,7,FALSE)/VLOOKUP($P152,'CY Rushing Query'!$B:$O,5,FALSE),0)</f>
        <v>0</v>
      </c>
      <c r="AE152" s="10">
        <f>IFERROR(AVERAGE(VLOOKUP($P152,'PY Rushing'!$C:$P,8,FALSE)/VLOOKUP($P152,'PY Rushing'!$C:$P,5,FALSE),VLOOKUP($P152,'CY Rushing'!$C:$P,8,FALSE)/VLOOKUP($P152,'CY Rushing'!$C:$P,5,FALSE)),0)</f>
        <v>0</v>
      </c>
      <c r="AF152" s="10">
        <f>IFERROR(VLOOKUP($P152,'CY Rushing Query'!$B:$P,12,FALSE),0)</f>
        <v>0</v>
      </c>
      <c r="AG152" s="10">
        <f>IFERROR(VLOOKUP($P152,'CY Rushing Query'!$B:$P,9,FALSE)/VLOOKUP($P152,'CY Rushing Query'!$B:$P,5,FALSE),0)</f>
        <v>0</v>
      </c>
      <c r="AH152" s="10">
        <f>VLOOKUP($J152,'Vegas Odds'!$B:$S,18,FALSE)</f>
        <v>37.933262350936971</v>
      </c>
      <c r="AI152" s="10">
        <f>VLOOKUP($J152,'Vegas Odds'!$B:$S,17,FALSE)</f>
        <v>27.766737649063032</v>
      </c>
      <c r="AJ152">
        <f t="shared" si="60"/>
        <v>1</v>
      </c>
      <c r="AK152" s="10">
        <f t="shared" si="44"/>
        <v>0</v>
      </c>
      <c r="AL152" s="10">
        <f t="shared" si="45"/>
        <v>0</v>
      </c>
      <c r="AM152" s="10">
        <f>V152/'CY Defensive Stats Query'!$AD$34*'Fanduel Export'!Q152</f>
        <v>0</v>
      </c>
      <c r="AN152" s="10">
        <f t="shared" si="61"/>
        <v>0</v>
      </c>
      <c r="AO152" s="10">
        <f>IFERROR(IF(OR($B152="D",$B152="K"),0,VLOOKUP($P152,'CY Receving Query'!$B:$S,7,FALSE)/VLOOKUP($P152,'CY Receving Query'!$B:$S,5,FALSE)),0)*$AJ152</f>
        <v>0</v>
      </c>
      <c r="AP152" s="10">
        <f t="shared" si="46"/>
        <v>37.365221788015901</v>
      </c>
      <c r="AQ152" s="10">
        <f t="shared" si="47"/>
        <v>0</v>
      </c>
      <c r="AR152" s="16">
        <f t="shared" si="48"/>
        <v>0</v>
      </c>
      <c r="AS152" s="16">
        <f t="shared" si="49"/>
        <v>0</v>
      </c>
      <c r="AT152" s="16">
        <f>AA152/'CY Defensive Stats Query'!$AH$34
*'Fanduel Export'!S152</f>
        <v>0</v>
      </c>
      <c r="AU152" s="10">
        <f t="shared" si="62"/>
        <v>0</v>
      </c>
      <c r="AV152" s="10">
        <f t="shared" si="50"/>
        <v>0</v>
      </c>
      <c r="AW152" s="10">
        <f t="shared" si="51"/>
        <v>19.787381735911151</v>
      </c>
      <c r="AX152" s="10">
        <f t="shared" si="52"/>
        <v>0</v>
      </c>
      <c r="AY152" s="10">
        <f>AF152/'CY Defensive Stats Query'!$AF$34
*R152</f>
        <v>0</v>
      </c>
      <c r="AZ152" s="10">
        <f t="shared" si="63"/>
        <v>0</v>
      </c>
      <c r="BA152" s="16">
        <f t="shared" si="53"/>
        <v>0</v>
      </c>
      <c r="BB152" s="16">
        <f t="shared" si="54"/>
        <v>0</v>
      </c>
      <c r="BC152" s="10">
        <f t="shared" si="55"/>
        <v>0</v>
      </c>
      <c r="BD152" s="10">
        <f>IF(B152="QB",COUNTIFS($B$5:B152,B152,$J$5:J152,J152),1)</f>
        <v>1</v>
      </c>
      <c r="BE152" t="str">
        <f t="shared" si="56"/>
        <v>Antonio Callaway</v>
      </c>
      <c r="BF152">
        <f t="shared" si="57"/>
        <v>4500</v>
      </c>
      <c r="BG152" t="str">
        <f t="shared" si="58"/>
        <v>WR</v>
      </c>
      <c r="BH152" s="16">
        <f t="shared" si="59"/>
        <v>0</v>
      </c>
    </row>
    <row r="153" spans="1:60" x14ac:dyDescent="0.2">
      <c r="A153" t="s">
        <v>2946</v>
      </c>
      <c r="B153" t="s">
        <v>83</v>
      </c>
      <c r="C153" t="s">
        <v>2947</v>
      </c>
      <c r="D153" t="s">
        <v>2342</v>
      </c>
      <c r="E153" t="s">
        <v>2283</v>
      </c>
      <c r="H153">
        <v>4500</v>
      </c>
      <c r="I153" t="s">
        <v>2716</v>
      </c>
      <c r="J153" t="s">
        <v>81</v>
      </c>
      <c r="K153" t="s">
        <v>99</v>
      </c>
      <c r="O153" t="str">
        <f t="shared" si="43"/>
        <v>Cornell Powell</v>
      </c>
      <c r="P153" t="str">
        <f>IFERROR(VLOOKUP(O:O,'Name Bridge'!A:B,2,FALSE),O:O)</f>
        <v>Cornell Powell</v>
      </c>
      <c r="Q153" s="10">
        <f>VLOOKUP($K153,'CY Defensive Stats Query'!$AC:$AH,2,FALSE)</f>
        <v>7.5377358490566042</v>
      </c>
      <c r="R153" s="10">
        <f>VLOOKUP($K153,'CY Defensive Stats Query'!$AC:$AH,4,FALSE)</f>
        <v>3.5810810810810811</v>
      </c>
      <c r="S153" s="10">
        <f>VLOOKUP($K153,'CY Defensive Stats Query'!$AC:$AH,6,FALSE)</f>
        <v>11.097222222222221</v>
      </c>
      <c r="T153" s="10">
        <f>IFERROR(VLOOKUP($P153,'CYPassing Query'!$B:$AE,9,FALSE)/VLOOKUP($P153,'CYPassing Query'!$B:$AE,5,FALSE),0)</f>
        <v>0</v>
      </c>
      <c r="U153" s="10">
        <f>IFERROR(VLOOKUP($P153,'CYPassing Query'!$B:$AE,11,FALSE)/VLOOKUP($P153,'CYPassing Query'!$B:$AE,5,FALSE),0)</f>
        <v>0</v>
      </c>
      <c r="V153" s="10">
        <f>IFERROR(VLOOKUP($P153,'CYPassing Query'!$B:$AE,18,FALSE),0)</f>
        <v>0</v>
      </c>
      <c r="W153" s="10">
        <f>IFERROR(VLOOKUP($P153,'CYPassing Query'!$B:$AE,12,FALSE)/VLOOKUP($P153,'CYPassing Query'!$B:$AE,5,FALSE),0)</f>
        <v>0</v>
      </c>
      <c r="X153" s="10">
        <f>IFERROR(IF(OR($B153="D",$B153="K"),0,VLOOKUP($P153,'CY Receving Query'!$B:$S,7,FALSE)/VLOOKUP($P153,'CY Receving Query'!$B:$S,5,FALSE)),0)*$AJ153</f>
        <v>0</v>
      </c>
      <c r="Y153" s="10">
        <f>IFERROR(VLOOKUP($P153,'CY Receving Query'!$B:$S,8,FALSE)/VLOOKUP($P153,'CY Receving Query'!$B:$S,5,FALSE),0)</f>
        <v>0</v>
      </c>
      <c r="Z153" s="10">
        <f>IFERROR(VLOOKUP($P153,'CY Receving Query'!$B:$S,10,FALSE)/VLOOKUP($P153,'CY Receving Query'!$B:$S,5,FALSE),0)</f>
        <v>0</v>
      </c>
      <c r="AA153" s="10">
        <f>IFERROR(VLOOKUP($P153,'CY Receving Query'!$B:$S,11,FALSE),0)</f>
        <v>0</v>
      </c>
      <c r="AB153" s="10">
        <f>IFERROR(AVERAGE(VLOOKUP($P153,'PY Receiving'!$C:$T,14,FALSE),VLOOKUP($P153,'CY Receiving'!$C:$T,14,FALSE)),0)</f>
        <v>0</v>
      </c>
      <c r="AC153" s="10">
        <f>IFERROR(VLOOKUP($P153,'CY Receving Query'!$B:$S,11,FALSE)/VLOOKUP($P153,'CY Receving Query'!$B:$S,5,FALSE),0)</f>
        <v>0</v>
      </c>
      <c r="AD153" s="10">
        <f>IFERROR(VLOOKUP($P153,'CY Rushing Query'!$B:$O,7,FALSE)/VLOOKUP($P153,'CY Rushing Query'!$B:$O,5,FALSE),0)</f>
        <v>0</v>
      </c>
      <c r="AE153" s="10">
        <f>IFERROR(AVERAGE(VLOOKUP($P153,'PY Rushing'!$C:$P,8,FALSE)/VLOOKUP($P153,'PY Rushing'!$C:$P,5,FALSE),VLOOKUP($P153,'CY Rushing'!$C:$P,8,FALSE)/VLOOKUP($P153,'CY Rushing'!$C:$P,5,FALSE)),0)</f>
        <v>0</v>
      </c>
      <c r="AF153" s="10">
        <f>IFERROR(VLOOKUP($P153,'CY Rushing Query'!$B:$P,12,FALSE),0)</f>
        <v>0</v>
      </c>
      <c r="AG153" s="10">
        <f>IFERROR(VLOOKUP($P153,'CY Rushing Query'!$B:$P,9,FALSE)/VLOOKUP($P153,'CY Rushing Query'!$B:$P,5,FALSE),0)</f>
        <v>0</v>
      </c>
      <c r="AH153" s="10">
        <f>VLOOKUP($J153,'Vegas Odds'!$B:$S,18,FALSE)</f>
        <v>37.933262350936971</v>
      </c>
      <c r="AI153" s="10">
        <f>VLOOKUP($J153,'Vegas Odds'!$B:$S,17,FALSE)</f>
        <v>27.766737649063032</v>
      </c>
      <c r="AJ153">
        <f t="shared" si="60"/>
        <v>1</v>
      </c>
      <c r="AK153" s="10">
        <f t="shared" si="44"/>
        <v>0</v>
      </c>
      <c r="AL153" s="10">
        <f t="shared" si="45"/>
        <v>0</v>
      </c>
      <c r="AM153" s="10">
        <f>V153/'CY Defensive Stats Query'!$AD$34*'Fanduel Export'!Q153</f>
        <v>0</v>
      </c>
      <c r="AN153" s="10">
        <f t="shared" si="61"/>
        <v>0</v>
      </c>
      <c r="AO153" s="10">
        <f>IFERROR(IF(OR($B153="D",$B153="K"),0,VLOOKUP($P153,'CY Receving Query'!$B:$S,7,FALSE)/VLOOKUP($P153,'CY Receving Query'!$B:$S,5,FALSE)),0)*$AJ153</f>
        <v>0</v>
      </c>
      <c r="AP153" s="10">
        <f t="shared" si="46"/>
        <v>37.365221788015901</v>
      </c>
      <c r="AQ153" s="10">
        <f t="shared" si="47"/>
        <v>0</v>
      </c>
      <c r="AR153" s="16">
        <f t="shared" si="48"/>
        <v>0</v>
      </c>
      <c r="AS153" s="16">
        <f t="shared" si="49"/>
        <v>0</v>
      </c>
      <c r="AT153" s="16">
        <f>AA153/'CY Defensive Stats Query'!$AH$34
*'Fanduel Export'!S153</f>
        <v>0</v>
      </c>
      <c r="AU153" s="10">
        <f t="shared" si="62"/>
        <v>0</v>
      </c>
      <c r="AV153" s="10">
        <f t="shared" si="50"/>
        <v>0</v>
      </c>
      <c r="AW153" s="10">
        <f t="shared" si="51"/>
        <v>19.787381735911151</v>
      </c>
      <c r="AX153" s="10">
        <f t="shared" si="52"/>
        <v>0</v>
      </c>
      <c r="AY153" s="10">
        <f>AF153/'CY Defensive Stats Query'!$AF$34
*R153</f>
        <v>0</v>
      </c>
      <c r="AZ153" s="10">
        <f t="shared" si="63"/>
        <v>0</v>
      </c>
      <c r="BA153" s="16">
        <f t="shared" si="53"/>
        <v>0</v>
      </c>
      <c r="BB153" s="16">
        <f t="shared" si="54"/>
        <v>0</v>
      </c>
      <c r="BC153" s="10">
        <f t="shared" si="55"/>
        <v>0</v>
      </c>
      <c r="BD153" s="10">
        <f>IF(B153="QB",COUNTIFS($B$5:B153,B153,$J$5:J153,J153),1)</f>
        <v>1</v>
      </c>
      <c r="BE153" t="str">
        <f t="shared" si="56"/>
        <v>Cornell Powell</v>
      </c>
      <c r="BF153">
        <f t="shared" si="57"/>
        <v>4500</v>
      </c>
      <c r="BG153" t="str">
        <f t="shared" si="58"/>
        <v>WR</v>
      </c>
      <c r="BH153" s="16">
        <f t="shared" si="59"/>
        <v>0</v>
      </c>
    </row>
    <row r="154" spans="1:60" x14ac:dyDescent="0.2">
      <c r="A154" t="s">
        <v>2948</v>
      </c>
      <c r="B154" t="s">
        <v>83</v>
      </c>
      <c r="C154" t="s">
        <v>2949</v>
      </c>
      <c r="D154" t="s">
        <v>2455</v>
      </c>
      <c r="E154" t="s">
        <v>2950</v>
      </c>
      <c r="H154">
        <v>4500</v>
      </c>
      <c r="I154" t="s">
        <v>2718</v>
      </c>
      <c r="J154" t="s">
        <v>729</v>
      </c>
      <c r="K154" t="s">
        <v>138</v>
      </c>
      <c r="O154" t="str">
        <f t="shared" si="43"/>
        <v>Brennan Eagles</v>
      </c>
      <c r="P154" t="str">
        <f>IFERROR(VLOOKUP(O:O,'Name Bridge'!A:B,2,FALSE),O:O)</f>
        <v>Brennan Eagles</v>
      </c>
      <c r="Q154" s="10">
        <f>VLOOKUP($K154,'CY Defensive Stats Query'!$AC:$AH,2,FALSE)</f>
        <v>6.5263157894736841</v>
      </c>
      <c r="R154" s="10">
        <f>VLOOKUP($K154,'CY Defensive Stats Query'!$AC:$AH,4,FALSE)</f>
        <v>4.7051282051282053</v>
      </c>
      <c r="S154" s="10">
        <f>VLOOKUP($K154,'CY Defensive Stats Query'!$AC:$AH,6,FALSE)</f>
        <v>10.191780821917808</v>
      </c>
      <c r="T154" s="10">
        <f>IFERROR(VLOOKUP($P154,'CYPassing Query'!$B:$AE,9,FALSE)/VLOOKUP($P154,'CYPassing Query'!$B:$AE,5,FALSE),0)</f>
        <v>0</v>
      </c>
      <c r="U154" s="10">
        <f>IFERROR(VLOOKUP($P154,'CYPassing Query'!$B:$AE,11,FALSE)/VLOOKUP($P154,'CYPassing Query'!$B:$AE,5,FALSE),0)</f>
        <v>0</v>
      </c>
      <c r="V154" s="10">
        <f>IFERROR(VLOOKUP($P154,'CYPassing Query'!$B:$AE,18,FALSE),0)</f>
        <v>0</v>
      </c>
      <c r="W154" s="10">
        <f>IFERROR(VLOOKUP($P154,'CYPassing Query'!$B:$AE,12,FALSE)/VLOOKUP($P154,'CYPassing Query'!$B:$AE,5,FALSE),0)</f>
        <v>0</v>
      </c>
      <c r="X154" s="10">
        <f>IFERROR(IF(OR($B154="D",$B154="K"),0,VLOOKUP($P154,'CY Receving Query'!$B:$S,7,FALSE)/VLOOKUP($P154,'CY Receving Query'!$B:$S,5,FALSE)),0)*$AJ154</f>
        <v>0</v>
      </c>
      <c r="Y154" s="10">
        <f>IFERROR(VLOOKUP($P154,'CY Receving Query'!$B:$S,8,FALSE)/VLOOKUP($P154,'CY Receving Query'!$B:$S,5,FALSE),0)</f>
        <v>0</v>
      </c>
      <c r="Z154" s="10">
        <f>IFERROR(VLOOKUP($P154,'CY Receving Query'!$B:$S,10,FALSE)/VLOOKUP($P154,'CY Receving Query'!$B:$S,5,FALSE),0)</f>
        <v>0</v>
      </c>
      <c r="AA154" s="10">
        <f>IFERROR(VLOOKUP($P154,'CY Receving Query'!$B:$S,11,FALSE),0)</f>
        <v>0</v>
      </c>
      <c r="AB154" s="10">
        <f>IFERROR(AVERAGE(VLOOKUP($P154,'PY Receiving'!$C:$T,14,FALSE),VLOOKUP($P154,'CY Receiving'!$C:$T,14,FALSE)),0)</f>
        <v>0</v>
      </c>
      <c r="AC154" s="10">
        <f>IFERROR(VLOOKUP($P154,'CY Receving Query'!$B:$S,11,FALSE)/VLOOKUP($P154,'CY Receving Query'!$B:$S,5,FALSE),0)</f>
        <v>0</v>
      </c>
      <c r="AD154" s="10">
        <f>IFERROR(VLOOKUP($P154,'CY Rushing Query'!$B:$O,7,FALSE)/VLOOKUP($P154,'CY Rushing Query'!$B:$O,5,FALSE),0)</f>
        <v>0</v>
      </c>
      <c r="AE154" s="10">
        <f>IFERROR(AVERAGE(VLOOKUP($P154,'PY Rushing'!$C:$P,8,FALSE)/VLOOKUP($P154,'PY Rushing'!$C:$P,5,FALSE),VLOOKUP($P154,'CY Rushing'!$C:$P,8,FALSE)/VLOOKUP($P154,'CY Rushing'!$C:$P,5,FALSE)),0)</f>
        <v>0</v>
      </c>
      <c r="AF154" s="10">
        <f>IFERROR(VLOOKUP($P154,'CY Rushing Query'!$B:$P,12,FALSE),0)</f>
        <v>0</v>
      </c>
      <c r="AG154" s="10">
        <f>IFERROR(VLOOKUP($P154,'CY Rushing Query'!$B:$P,9,FALSE)/VLOOKUP($P154,'CY Rushing Query'!$B:$P,5,FALSE),0)</f>
        <v>0</v>
      </c>
      <c r="AH154" s="10">
        <f>VLOOKUP($J154,'Vegas Odds'!$B:$S,18,FALSE)</f>
        <v>38.06292701199007</v>
      </c>
      <c r="AI154" s="10">
        <f>VLOOKUP($J154,'Vegas Odds'!$B:$S,17,FALSE)</f>
        <v>29.237072988009928</v>
      </c>
      <c r="AJ154">
        <f t="shared" si="60"/>
        <v>1</v>
      </c>
      <c r="AK154" s="10">
        <f t="shared" si="44"/>
        <v>0</v>
      </c>
      <c r="AL154" s="10">
        <f t="shared" si="45"/>
        <v>0</v>
      </c>
      <c r="AM154" s="10">
        <f>V154/'CY Defensive Stats Query'!$AD$34*'Fanduel Export'!Q154</f>
        <v>0</v>
      </c>
      <c r="AN154" s="10">
        <f t="shared" si="61"/>
        <v>0</v>
      </c>
      <c r="AO154" s="10">
        <f>IFERROR(IF(OR($B154="D",$B154="K"),0,VLOOKUP($P154,'CY Receving Query'!$B:$S,7,FALSE)/VLOOKUP($P154,'CY Receving Query'!$B:$S,5,FALSE)),0)*$AJ154</f>
        <v>0</v>
      </c>
      <c r="AP154" s="10">
        <f t="shared" si="46"/>
        <v>30.199512497306614</v>
      </c>
      <c r="AQ154" s="10">
        <f t="shared" si="47"/>
        <v>0</v>
      </c>
      <c r="AR154" s="16">
        <f t="shared" si="48"/>
        <v>0</v>
      </c>
      <c r="AS154" s="16">
        <f t="shared" si="49"/>
        <v>0</v>
      </c>
      <c r="AT154" s="16">
        <f>AA154/'CY Defensive Stats Query'!$AH$34
*'Fanduel Export'!S154</f>
        <v>0</v>
      </c>
      <c r="AU154" s="10">
        <f t="shared" si="62"/>
        <v>0</v>
      </c>
      <c r="AV154" s="10">
        <f t="shared" si="50"/>
        <v>0</v>
      </c>
      <c r="AW154" s="10">
        <f t="shared" si="51"/>
        <v>30.007352941176471</v>
      </c>
      <c r="AX154" s="10">
        <f t="shared" si="52"/>
        <v>0</v>
      </c>
      <c r="AY154" s="10">
        <f>AF154/'CY Defensive Stats Query'!$AF$34
*R154</f>
        <v>0</v>
      </c>
      <c r="AZ154" s="10">
        <f t="shared" si="63"/>
        <v>0</v>
      </c>
      <c r="BA154" s="16">
        <f t="shared" si="53"/>
        <v>0</v>
      </c>
      <c r="BB154" s="16">
        <f t="shared" si="54"/>
        <v>0</v>
      </c>
      <c r="BC154" s="10">
        <f t="shared" si="55"/>
        <v>0</v>
      </c>
      <c r="BD154" s="10">
        <f>IF(B154="QB",COUNTIFS($B$5:B154,B154,$J$5:J154,J154),1)</f>
        <v>1</v>
      </c>
      <c r="BE154" t="str">
        <f t="shared" si="56"/>
        <v>Brennan Eagles</v>
      </c>
      <c r="BF154">
        <f t="shared" si="57"/>
        <v>4500</v>
      </c>
      <c r="BG154" t="str">
        <f t="shared" si="58"/>
        <v>WR</v>
      </c>
      <c r="BH154" s="16">
        <f t="shared" si="59"/>
        <v>0</v>
      </c>
    </row>
    <row r="155" spans="1:60" hidden="1" x14ac:dyDescent="0.2">
      <c r="A155" t="s">
        <v>2951</v>
      </c>
      <c r="B155" t="s">
        <v>83</v>
      </c>
      <c r="C155" t="s">
        <v>2952</v>
      </c>
      <c r="D155" t="s">
        <v>554</v>
      </c>
      <c r="E155" t="s">
        <v>2953</v>
      </c>
      <c r="F155">
        <v>1.1499999761581401</v>
      </c>
      <c r="G155">
        <v>4</v>
      </c>
      <c r="H155">
        <v>4500</v>
      </c>
      <c r="I155" t="s">
        <v>2720</v>
      </c>
      <c r="J155" t="s">
        <v>102</v>
      </c>
      <c r="K155" t="s">
        <v>728</v>
      </c>
      <c r="L155" t="s">
        <v>182</v>
      </c>
      <c r="M155" t="s">
        <v>2676</v>
      </c>
      <c r="O155" t="str">
        <f t="shared" si="43"/>
        <v>JJ Arcega-Whiteside</v>
      </c>
      <c r="P155" t="str">
        <f>IFERROR(VLOOKUP(O:O,'Name Bridge'!A:B,2,FALSE),O:O)</f>
        <v>JJ Arcega-Whiteside</v>
      </c>
      <c r="Q155" s="10">
        <f>VLOOKUP($K155,'CY Defensive Stats Query'!$AC:$AH,2,FALSE)</f>
        <v>7.0486111111111107</v>
      </c>
      <c r="R155" s="10">
        <f>VLOOKUP($K155,'CY Defensive Stats Query'!$AC:$AH,4,FALSE)</f>
        <v>3.0806451612903225</v>
      </c>
      <c r="S155" s="10">
        <f>VLOOKUP($K155,'CY Defensive Stats Query'!$AC:$AH,6,FALSE)</f>
        <v>9.759615384615385</v>
      </c>
      <c r="T155" s="10">
        <f>IFERROR(VLOOKUP($P155,'CYPassing Query'!$B:$AE,9,FALSE)/VLOOKUP($P155,'CYPassing Query'!$B:$AE,5,FALSE),0)</f>
        <v>0</v>
      </c>
      <c r="U155" s="10">
        <f>IFERROR(VLOOKUP($P155,'CYPassing Query'!$B:$AE,11,FALSE)/VLOOKUP($P155,'CYPassing Query'!$B:$AE,5,FALSE),0)</f>
        <v>0</v>
      </c>
      <c r="V155" s="10">
        <f>IFERROR(VLOOKUP($P155,'CYPassing Query'!$B:$AE,18,FALSE),0)</f>
        <v>0</v>
      </c>
      <c r="W155" s="10">
        <f>IFERROR(VLOOKUP($P155,'CYPassing Query'!$B:$AE,12,FALSE)/VLOOKUP($P155,'CYPassing Query'!$B:$AE,5,FALSE),0)</f>
        <v>0</v>
      </c>
      <c r="X155" s="10">
        <f>IFERROR(IF(OR($B155="D",$B155="K"),0,VLOOKUP($P155,'CY Receving Query'!$B:$S,7,FALSE)/VLOOKUP($P155,'CY Receving Query'!$B:$S,5,FALSE)),0)*$AJ155</f>
        <v>0</v>
      </c>
      <c r="Y155" s="10">
        <f>IFERROR(VLOOKUP($P155,'CY Receving Query'!$B:$S,8,FALSE)/VLOOKUP($P155,'CY Receving Query'!$B:$S,5,FALSE),0)</f>
        <v>0.125</v>
      </c>
      <c r="Z155" s="10">
        <f>IFERROR(VLOOKUP($P155,'CY Receving Query'!$B:$S,10,FALSE)/VLOOKUP($P155,'CY Receving Query'!$B:$S,5,FALSE),0)</f>
        <v>2.25</v>
      </c>
      <c r="AA155" s="10">
        <f>IFERROR(VLOOKUP($P155,'CY Receving Query'!$B:$S,11,FALSE),0)</f>
        <v>18</v>
      </c>
      <c r="AB155" s="10">
        <f>IFERROR(AVERAGE(VLOOKUP($P155,'PY Receiving'!$C:$T,14,FALSE),VLOOKUP($P155,'CY Receiving'!$C:$T,14,FALSE)),0)</f>
        <v>0</v>
      </c>
      <c r="AC155" s="10">
        <f>IFERROR(VLOOKUP($P155,'CY Receving Query'!$B:$S,11,FALSE)/VLOOKUP($P155,'CY Receving Query'!$B:$S,5,FALSE),0)</f>
        <v>1.125</v>
      </c>
      <c r="AD155" s="10">
        <f>IFERROR(VLOOKUP($P155,'CY Rushing Query'!$B:$O,7,FALSE)/VLOOKUP($P155,'CY Rushing Query'!$B:$O,5,FALSE),0)</f>
        <v>0</v>
      </c>
      <c r="AE155" s="10">
        <f>IFERROR(AVERAGE(VLOOKUP($P155,'PY Rushing'!$C:$P,8,FALSE)/VLOOKUP($P155,'PY Rushing'!$C:$P,5,FALSE),VLOOKUP($P155,'CY Rushing'!$C:$P,8,FALSE)/VLOOKUP($P155,'CY Rushing'!$C:$P,5,FALSE)),0)</f>
        <v>0</v>
      </c>
      <c r="AF155" s="10">
        <f>IFERROR(VLOOKUP($P155,'CY Rushing Query'!$B:$P,12,FALSE),0)</f>
        <v>0</v>
      </c>
      <c r="AG155" s="10">
        <f>IFERROR(VLOOKUP($P155,'CY Rushing Query'!$B:$P,9,FALSE)/VLOOKUP($P155,'CY Rushing Query'!$B:$P,5,FALSE),0)</f>
        <v>0</v>
      </c>
      <c r="AH155" s="10">
        <f>VLOOKUP($J155,'Vegas Odds'!$B:$S,18,FALSE)</f>
        <v>44.85966247691475</v>
      </c>
      <c r="AI155" s="10">
        <f>VLOOKUP($J155,'Vegas Odds'!$B:$S,17,FALSE)</f>
        <v>17.740337523085255</v>
      </c>
      <c r="AJ155">
        <f t="shared" si="60"/>
        <v>0</v>
      </c>
      <c r="AK155" s="10">
        <f t="shared" si="44"/>
        <v>0</v>
      </c>
      <c r="AL155" s="10">
        <f t="shared" si="45"/>
        <v>0</v>
      </c>
      <c r="AM155" s="10">
        <f>V155/'CY Defensive Stats Query'!$AD$34*'Fanduel Export'!Q155</f>
        <v>0</v>
      </c>
      <c r="AN155" s="10">
        <f t="shared" si="61"/>
        <v>0</v>
      </c>
      <c r="AO155" s="10">
        <f>IFERROR(IF(OR($B155="D",$B155="K"),0,VLOOKUP($P155,'CY Receving Query'!$B:$S,7,FALSE)/VLOOKUP($P155,'CY Receving Query'!$B:$S,5,FALSE)),0)*$AJ155</f>
        <v>0</v>
      </c>
      <c r="AP155" s="10">
        <f t="shared" si="46"/>
        <v>28.54982492997199</v>
      </c>
      <c r="AQ155" s="10">
        <f t="shared" si="47"/>
        <v>0</v>
      </c>
      <c r="AR155" s="16">
        <f t="shared" si="48"/>
        <v>0</v>
      </c>
      <c r="AS155" s="16">
        <f t="shared" si="49"/>
        <v>0</v>
      </c>
      <c r="AT155" s="16">
        <f>AA155/'CY Defensive Stats Query'!$AH$34
*'Fanduel Export'!S155</f>
        <v>16.708591456855192</v>
      </c>
      <c r="AU155" s="10">
        <f t="shared" si="62"/>
        <v>0</v>
      </c>
      <c r="AV155" s="10">
        <f t="shared" si="50"/>
        <v>0</v>
      </c>
      <c r="AW155" s="10">
        <f t="shared" si="51"/>
        <v>56.303606442577035</v>
      </c>
      <c r="AX155" s="10">
        <f t="shared" si="52"/>
        <v>0</v>
      </c>
      <c r="AY155" s="10">
        <f>AF155/'CY Defensive Stats Query'!$AF$34
*R155</f>
        <v>0</v>
      </c>
      <c r="AZ155" s="10">
        <f t="shared" si="63"/>
        <v>0</v>
      </c>
      <c r="BA155" s="16">
        <f t="shared" si="53"/>
        <v>0</v>
      </c>
      <c r="BB155" s="16">
        <f t="shared" si="54"/>
        <v>0</v>
      </c>
      <c r="BC155" s="10">
        <f t="shared" si="55"/>
        <v>0</v>
      </c>
      <c r="BD155" s="10">
        <f>IF(B155="QB",COUNTIFS($B$5:B155,B155,$J$5:J155,J155),1)</f>
        <v>1</v>
      </c>
      <c r="BE155" t="str">
        <f t="shared" si="56"/>
        <v>JJ Arcega-Whiteside</v>
      </c>
      <c r="BF155">
        <f t="shared" si="57"/>
        <v>4500</v>
      </c>
      <c r="BG155" t="str">
        <f t="shared" si="58"/>
        <v>WR</v>
      </c>
      <c r="BH155" s="16">
        <f t="shared" si="59"/>
        <v>0</v>
      </c>
    </row>
    <row r="156" spans="1:60" x14ac:dyDescent="0.2">
      <c r="A156" t="s">
        <v>2954</v>
      </c>
      <c r="B156" t="s">
        <v>83</v>
      </c>
      <c r="C156" t="s">
        <v>2228</v>
      </c>
      <c r="D156" t="s">
        <v>504</v>
      </c>
      <c r="E156" t="s">
        <v>2955</v>
      </c>
      <c r="F156">
        <v>0.68000001907348595</v>
      </c>
      <c r="G156">
        <v>5</v>
      </c>
      <c r="H156">
        <v>4500</v>
      </c>
      <c r="I156" t="s">
        <v>2716</v>
      </c>
      <c r="J156" t="s">
        <v>81</v>
      </c>
      <c r="K156" t="s">
        <v>99</v>
      </c>
      <c r="O156" t="str">
        <f t="shared" si="43"/>
        <v>Marcus Kemp</v>
      </c>
      <c r="P156" t="str">
        <f>IFERROR(VLOOKUP(O:O,'Name Bridge'!A:B,2,FALSE),O:O)</f>
        <v>Marcus Kemp</v>
      </c>
      <c r="Q156" s="10">
        <f>VLOOKUP($K156,'CY Defensive Stats Query'!$AC:$AH,2,FALSE)</f>
        <v>7.5377358490566042</v>
      </c>
      <c r="R156" s="10">
        <f>VLOOKUP($K156,'CY Defensive Stats Query'!$AC:$AH,4,FALSE)</f>
        <v>3.5810810810810811</v>
      </c>
      <c r="S156" s="10">
        <f>VLOOKUP($K156,'CY Defensive Stats Query'!$AC:$AH,6,FALSE)</f>
        <v>11.097222222222221</v>
      </c>
      <c r="T156" s="10">
        <f>IFERROR(VLOOKUP($P156,'CYPassing Query'!$B:$AE,9,FALSE)/VLOOKUP($P156,'CYPassing Query'!$B:$AE,5,FALSE),0)</f>
        <v>0</v>
      </c>
      <c r="U156" s="10">
        <f>IFERROR(VLOOKUP($P156,'CYPassing Query'!$B:$AE,11,FALSE)/VLOOKUP($P156,'CYPassing Query'!$B:$AE,5,FALSE),0)</f>
        <v>0</v>
      </c>
      <c r="V156" s="10">
        <f>IFERROR(VLOOKUP($P156,'CYPassing Query'!$B:$AE,18,FALSE),0)</f>
        <v>0</v>
      </c>
      <c r="W156" s="10">
        <f>IFERROR(VLOOKUP($P156,'CYPassing Query'!$B:$AE,12,FALSE)/VLOOKUP($P156,'CYPassing Query'!$B:$AE,5,FALSE),0)</f>
        <v>0</v>
      </c>
      <c r="X156" s="10">
        <f>IFERROR(IF(OR($B156="D",$B156="K"),0,VLOOKUP($P156,'CY Receving Query'!$B:$S,7,FALSE)/VLOOKUP($P156,'CY Receving Query'!$B:$S,5,FALSE)),0)*$AJ156</f>
        <v>0.3125</v>
      </c>
      <c r="Y156" s="10">
        <f>IFERROR(VLOOKUP($P156,'CY Receving Query'!$B:$S,8,FALSE)/VLOOKUP($P156,'CY Receving Query'!$B:$S,5,FALSE),0)</f>
        <v>0.125</v>
      </c>
      <c r="Z156" s="10">
        <f>IFERROR(VLOOKUP($P156,'CY Receving Query'!$B:$S,10,FALSE)/VLOOKUP($P156,'CY Receving Query'!$B:$S,5,FALSE),0)</f>
        <v>1.5</v>
      </c>
      <c r="AA156" s="10">
        <f>IFERROR(VLOOKUP($P156,'CY Receving Query'!$B:$S,11,FALSE),0)</f>
        <v>12</v>
      </c>
      <c r="AB156" s="10">
        <f>IFERROR(AVERAGE(VLOOKUP($P156,'PY Receiving'!$C:$T,14,FALSE),VLOOKUP($P156,'CY Receiving'!$C:$T,14,FALSE)),0)</f>
        <v>0</v>
      </c>
      <c r="AC156" s="10">
        <f>IFERROR(VLOOKUP($P156,'CY Receving Query'!$B:$S,11,FALSE)/VLOOKUP($P156,'CY Receving Query'!$B:$S,5,FALSE),0)</f>
        <v>0.75</v>
      </c>
      <c r="AD156" s="10">
        <f>IFERROR(VLOOKUP($P156,'CY Rushing Query'!$B:$O,7,FALSE)/VLOOKUP($P156,'CY Rushing Query'!$B:$O,5,FALSE),0)</f>
        <v>0</v>
      </c>
      <c r="AE156" s="10">
        <f>IFERROR(AVERAGE(VLOOKUP($P156,'PY Rushing'!$C:$P,8,FALSE)/VLOOKUP($P156,'PY Rushing'!$C:$P,5,FALSE),VLOOKUP($P156,'CY Rushing'!$C:$P,8,FALSE)/VLOOKUP($P156,'CY Rushing'!$C:$P,5,FALSE)),0)</f>
        <v>0</v>
      </c>
      <c r="AF156" s="10">
        <f>IFERROR(VLOOKUP($P156,'CY Rushing Query'!$B:$P,12,FALSE),0)</f>
        <v>0</v>
      </c>
      <c r="AG156" s="10">
        <f>IFERROR(VLOOKUP($P156,'CY Rushing Query'!$B:$P,9,FALSE)/VLOOKUP($P156,'CY Rushing Query'!$B:$P,5,FALSE),0)</f>
        <v>0</v>
      </c>
      <c r="AH156" s="10">
        <f>VLOOKUP($J156,'Vegas Odds'!$B:$S,18,FALSE)</f>
        <v>37.933262350936971</v>
      </c>
      <c r="AI156" s="10">
        <f>VLOOKUP($J156,'Vegas Odds'!$B:$S,17,FALSE)</f>
        <v>27.766737649063032</v>
      </c>
      <c r="AJ156">
        <f t="shared" si="60"/>
        <v>1</v>
      </c>
      <c r="AK156" s="10">
        <f t="shared" si="44"/>
        <v>0</v>
      </c>
      <c r="AL156" s="10">
        <f t="shared" si="45"/>
        <v>0</v>
      </c>
      <c r="AM156" s="10">
        <f>V156/'CY Defensive Stats Query'!$AD$34*'Fanduel Export'!Q156</f>
        <v>0</v>
      </c>
      <c r="AN156" s="10">
        <f t="shared" si="61"/>
        <v>0</v>
      </c>
      <c r="AO156" s="10">
        <f>IFERROR(IF(OR($B156="D",$B156="K"),0,VLOOKUP($P156,'CY Receving Query'!$B:$S,7,FALSE)/VLOOKUP($P156,'CY Receving Query'!$B:$S,5,FALSE)),0)*$AJ156</f>
        <v>0.3125</v>
      </c>
      <c r="AP156" s="10">
        <f t="shared" si="46"/>
        <v>37.365221788015901</v>
      </c>
      <c r="AQ156" s="10">
        <f t="shared" si="47"/>
        <v>0.317250745945519</v>
      </c>
      <c r="AR156" s="16">
        <f t="shared" si="48"/>
        <v>0.125</v>
      </c>
      <c r="AS156" s="16">
        <f t="shared" si="49"/>
        <v>0.1269002983782076</v>
      </c>
      <c r="AT156" s="16">
        <f>AA156/'CY Defensive Stats Query'!$AH$34
*'Fanduel Export'!S156</f>
        <v>12.665728112560105</v>
      </c>
      <c r="AU156" s="10">
        <f t="shared" si="62"/>
        <v>1.6072846766611295</v>
      </c>
      <c r="AV156" s="10">
        <f t="shared" si="50"/>
        <v>0</v>
      </c>
      <c r="AW156" s="10">
        <f t="shared" si="51"/>
        <v>19.787381735911151</v>
      </c>
      <c r="AX156" s="10">
        <f t="shared" si="52"/>
        <v>0</v>
      </c>
      <c r="AY156" s="10">
        <f>AF156/'CY Defensive Stats Query'!$AF$34
*R156</f>
        <v>0</v>
      </c>
      <c r="AZ156" s="10">
        <f t="shared" si="63"/>
        <v>0</v>
      </c>
      <c r="BA156" s="16">
        <f t="shared" si="53"/>
        <v>0.22322846766611296</v>
      </c>
      <c r="BB156" s="16">
        <f t="shared" si="54"/>
        <v>4.9606326148025098E-2</v>
      </c>
      <c r="BC156" s="10">
        <f t="shared" si="55"/>
        <v>6.9444444444444448E-2</v>
      </c>
      <c r="BD156" s="10">
        <f>IF(B156="QB",COUNTIFS($B$5:B156,B156,$J$5:J156,J156),1)</f>
        <v>1</v>
      </c>
      <c r="BE156" t="str">
        <f t="shared" si="56"/>
        <v>Marcus Kemp</v>
      </c>
      <c r="BF156">
        <f t="shared" si="57"/>
        <v>4500</v>
      </c>
      <c r="BG156" t="str">
        <f t="shared" si="58"/>
        <v>WR</v>
      </c>
      <c r="BH156" s="16">
        <f t="shared" si="59"/>
        <v>0.22322846766611296</v>
      </c>
    </row>
    <row r="157" spans="1:60" x14ac:dyDescent="0.2">
      <c r="A157" t="s">
        <v>2956</v>
      </c>
      <c r="B157" t="s">
        <v>83</v>
      </c>
      <c r="C157" t="s">
        <v>2273</v>
      </c>
      <c r="D157" t="s">
        <v>2626</v>
      </c>
      <c r="E157" t="s">
        <v>2627</v>
      </c>
      <c r="H157">
        <v>4500</v>
      </c>
      <c r="I157" t="s">
        <v>2720</v>
      </c>
      <c r="J157" t="s">
        <v>728</v>
      </c>
      <c r="K157" t="s">
        <v>102</v>
      </c>
      <c r="O157" t="str">
        <f t="shared" si="43"/>
        <v>T.J. Simmons Jr.</v>
      </c>
      <c r="P157" t="str">
        <f>IFERROR(VLOOKUP(O:O,'Name Bridge'!A:B,2,FALSE),O:O)</f>
        <v>T.J. Simmons Jr.</v>
      </c>
      <c r="Q157" s="10">
        <f>VLOOKUP($K157,'CY Defensive Stats Query'!$AC:$AH,2,FALSE)</f>
        <v>5.9890109890109891</v>
      </c>
      <c r="R157" s="10">
        <f>VLOOKUP($K157,'CY Defensive Stats Query'!$AC:$AH,4,FALSE)</f>
        <v>3.8190476190476192</v>
      </c>
      <c r="S157" s="10">
        <f>VLOOKUP($K157,'CY Defensive Stats Query'!$AC:$AH,6,FALSE)</f>
        <v>8.515625</v>
      </c>
      <c r="T157" s="10">
        <f>IFERROR(VLOOKUP($P157,'CYPassing Query'!$B:$AE,9,FALSE)/VLOOKUP($P157,'CYPassing Query'!$B:$AE,5,FALSE),0)</f>
        <v>0</v>
      </c>
      <c r="U157" s="10">
        <f>IFERROR(VLOOKUP($P157,'CYPassing Query'!$B:$AE,11,FALSE)/VLOOKUP($P157,'CYPassing Query'!$B:$AE,5,FALSE),0)</f>
        <v>0</v>
      </c>
      <c r="V157" s="10">
        <f>IFERROR(VLOOKUP($P157,'CYPassing Query'!$B:$AE,18,FALSE),0)</f>
        <v>0</v>
      </c>
      <c r="W157" s="10">
        <f>IFERROR(VLOOKUP($P157,'CYPassing Query'!$B:$AE,12,FALSE)/VLOOKUP($P157,'CYPassing Query'!$B:$AE,5,FALSE),0)</f>
        <v>0</v>
      </c>
      <c r="X157" s="10">
        <f>IFERROR(IF(OR($B157="D",$B157="K"),0,VLOOKUP($P157,'CY Receving Query'!$B:$S,7,FALSE)/VLOOKUP($P157,'CY Receving Query'!$B:$S,5,FALSE)),0)*$AJ157</f>
        <v>0</v>
      </c>
      <c r="Y157" s="10">
        <f>IFERROR(VLOOKUP($P157,'CY Receving Query'!$B:$S,8,FALSE)/VLOOKUP($P157,'CY Receving Query'!$B:$S,5,FALSE),0)</f>
        <v>0</v>
      </c>
      <c r="Z157" s="10">
        <f>IFERROR(VLOOKUP($P157,'CY Receving Query'!$B:$S,10,FALSE)/VLOOKUP($P157,'CY Receving Query'!$B:$S,5,FALSE),0)</f>
        <v>0</v>
      </c>
      <c r="AA157" s="10">
        <f>IFERROR(VLOOKUP($P157,'CY Receving Query'!$B:$S,11,FALSE),0)</f>
        <v>0</v>
      </c>
      <c r="AB157" s="10">
        <f>IFERROR(AVERAGE(VLOOKUP($P157,'PY Receiving'!$C:$T,14,FALSE),VLOOKUP($P157,'CY Receiving'!$C:$T,14,FALSE)),0)</f>
        <v>0</v>
      </c>
      <c r="AC157" s="10">
        <f>IFERROR(VLOOKUP($P157,'CY Receving Query'!$B:$S,11,FALSE)/VLOOKUP($P157,'CY Receving Query'!$B:$S,5,FALSE),0)</f>
        <v>0</v>
      </c>
      <c r="AD157" s="10">
        <f>IFERROR(VLOOKUP($P157,'CY Rushing Query'!$B:$O,7,FALSE)/VLOOKUP($P157,'CY Rushing Query'!$B:$O,5,FALSE),0)</f>
        <v>0</v>
      </c>
      <c r="AE157" s="10">
        <f>IFERROR(AVERAGE(VLOOKUP($P157,'PY Rushing'!$C:$P,8,FALSE)/VLOOKUP($P157,'PY Rushing'!$C:$P,5,FALSE),VLOOKUP($P157,'CY Rushing'!$C:$P,8,FALSE)/VLOOKUP($P157,'CY Rushing'!$C:$P,5,FALSE)),0)</f>
        <v>0</v>
      </c>
      <c r="AF157" s="10">
        <f>IFERROR(VLOOKUP($P157,'CY Rushing Query'!$B:$P,12,FALSE),0)</f>
        <v>0</v>
      </c>
      <c r="AG157" s="10">
        <f>IFERROR(VLOOKUP($P157,'CY Rushing Query'!$B:$P,9,FALSE)/VLOOKUP($P157,'CY Rushing Query'!$B:$P,5,FALSE),0)</f>
        <v>0</v>
      </c>
      <c r="AH157" s="10">
        <f>VLOOKUP($J157,'Vegas Odds'!$B:$S,18,FALSE)</f>
        <v>34.555825588251061</v>
      </c>
      <c r="AI157" s="10">
        <f>VLOOKUP($J157,'Vegas Odds'!$B:$S,17,FALSE)</f>
        <v>27.844174411748938</v>
      </c>
      <c r="AJ157">
        <f t="shared" si="60"/>
        <v>1</v>
      </c>
      <c r="AK157" s="10">
        <f t="shared" si="44"/>
        <v>0</v>
      </c>
      <c r="AL157" s="10">
        <f t="shared" si="45"/>
        <v>0</v>
      </c>
      <c r="AM157" s="10">
        <f>V157/'CY Defensive Stats Query'!$AD$34*'Fanduel Export'!Q157</f>
        <v>0</v>
      </c>
      <c r="AN157" s="10">
        <f t="shared" si="61"/>
        <v>0</v>
      </c>
      <c r="AO157" s="10">
        <f>IFERROR(IF(OR($B157="D",$B157="K"),0,VLOOKUP($P157,'CY Receving Query'!$B:$S,7,FALSE)/VLOOKUP($P157,'CY Receving Query'!$B:$S,5,FALSE)),0)*$AJ157</f>
        <v>0</v>
      </c>
      <c r="AP157" s="10">
        <f t="shared" si="46"/>
        <v>25.587418300653596</v>
      </c>
      <c r="AQ157" s="10">
        <f t="shared" si="47"/>
        <v>0</v>
      </c>
      <c r="AR157" s="16">
        <f t="shared" si="48"/>
        <v>0</v>
      </c>
      <c r="AS157" s="16">
        <f t="shared" si="49"/>
        <v>0</v>
      </c>
      <c r="AT157" s="16">
        <f>AA157/'CY Defensive Stats Query'!$AH$34
*'Fanduel Export'!S157</f>
        <v>0</v>
      </c>
      <c r="AU157" s="10">
        <f t="shared" si="62"/>
        <v>0</v>
      </c>
      <c r="AV157" s="10">
        <f t="shared" si="50"/>
        <v>0</v>
      </c>
      <c r="AW157" s="10">
        <f t="shared" si="51"/>
        <v>12.022058823529411</v>
      </c>
      <c r="AX157" s="10">
        <f t="shared" si="52"/>
        <v>0</v>
      </c>
      <c r="AY157" s="10">
        <f>AF157/'CY Defensive Stats Query'!$AF$34
*R157</f>
        <v>0</v>
      </c>
      <c r="AZ157" s="10">
        <f t="shared" si="63"/>
        <v>0</v>
      </c>
      <c r="BA157" s="16">
        <f t="shared" si="53"/>
        <v>0</v>
      </c>
      <c r="BB157" s="16">
        <f t="shared" si="54"/>
        <v>0</v>
      </c>
      <c r="BC157" s="10">
        <f t="shared" si="55"/>
        <v>0</v>
      </c>
      <c r="BD157" s="10">
        <f>IF(B157="QB",COUNTIFS($B$5:B157,B157,$J$5:J157,J157),1)</f>
        <v>1</v>
      </c>
      <c r="BE157" t="str">
        <f t="shared" si="56"/>
        <v>T.J. Simmons Jr.</v>
      </c>
      <c r="BF157">
        <f t="shared" si="57"/>
        <v>4500</v>
      </c>
      <c r="BG157" t="str">
        <f t="shared" si="58"/>
        <v>WR</v>
      </c>
      <c r="BH157" s="16">
        <f t="shared" si="59"/>
        <v>0</v>
      </c>
    </row>
    <row r="158" spans="1:60" x14ac:dyDescent="0.2">
      <c r="A158" t="s">
        <v>2957</v>
      </c>
      <c r="B158" t="s">
        <v>83</v>
      </c>
      <c r="C158" t="s">
        <v>2958</v>
      </c>
      <c r="D158" t="s">
        <v>556</v>
      </c>
      <c r="E158" t="s">
        <v>2959</v>
      </c>
      <c r="F158">
        <v>1.5</v>
      </c>
      <c r="G158">
        <v>1</v>
      </c>
      <c r="H158">
        <v>4500</v>
      </c>
      <c r="I158" t="s">
        <v>2716</v>
      </c>
      <c r="J158" t="s">
        <v>81</v>
      </c>
      <c r="K158" t="s">
        <v>99</v>
      </c>
      <c r="O158" t="str">
        <f t="shared" si="43"/>
        <v>Gehrig Dieter</v>
      </c>
      <c r="P158" t="str">
        <f>IFERROR(VLOOKUP(O:O,'Name Bridge'!A:B,2,FALSE),O:O)</f>
        <v>Gehrig Dieter</v>
      </c>
      <c r="Q158" s="10">
        <f>VLOOKUP($K158,'CY Defensive Stats Query'!$AC:$AH,2,FALSE)</f>
        <v>7.5377358490566042</v>
      </c>
      <c r="R158" s="10">
        <f>VLOOKUP($K158,'CY Defensive Stats Query'!$AC:$AH,4,FALSE)</f>
        <v>3.5810810810810811</v>
      </c>
      <c r="S158" s="10">
        <f>VLOOKUP($K158,'CY Defensive Stats Query'!$AC:$AH,6,FALSE)</f>
        <v>11.097222222222221</v>
      </c>
      <c r="T158" s="10">
        <f>IFERROR(VLOOKUP($P158,'CYPassing Query'!$B:$AE,9,FALSE)/VLOOKUP($P158,'CYPassing Query'!$B:$AE,5,FALSE),0)</f>
        <v>0</v>
      </c>
      <c r="U158" s="10">
        <f>IFERROR(VLOOKUP($P158,'CYPassing Query'!$B:$AE,11,FALSE)/VLOOKUP($P158,'CYPassing Query'!$B:$AE,5,FALSE),0)</f>
        <v>0</v>
      </c>
      <c r="V158" s="10">
        <f>IFERROR(VLOOKUP($P158,'CYPassing Query'!$B:$AE,18,FALSE),0)</f>
        <v>0</v>
      </c>
      <c r="W158" s="10">
        <f>IFERROR(VLOOKUP($P158,'CYPassing Query'!$B:$AE,12,FALSE)/VLOOKUP($P158,'CYPassing Query'!$B:$AE,5,FALSE),0)</f>
        <v>0</v>
      </c>
      <c r="X158" s="10">
        <f>IFERROR(IF(OR($B158="D",$B158="K"),0,VLOOKUP($P158,'CY Receving Query'!$B:$S,7,FALSE)/VLOOKUP($P158,'CY Receving Query'!$B:$S,5,FALSE)),0)*$AJ158</f>
        <v>0</v>
      </c>
      <c r="Y158" s="10">
        <f>IFERROR(VLOOKUP($P158,'CY Receving Query'!$B:$S,8,FALSE)/VLOOKUP($P158,'CY Receving Query'!$B:$S,5,FALSE),0)</f>
        <v>0</v>
      </c>
      <c r="Z158" s="10">
        <f>IFERROR(VLOOKUP($P158,'CY Receving Query'!$B:$S,10,FALSE)/VLOOKUP($P158,'CY Receving Query'!$B:$S,5,FALSE),0)</f>
        <v>0</v>
      </c>
      <c r="AA158" s="10">
        <f>IFERROR(VLOOKUP($P158,'CY Receving Query'!$B:$S,11,FALSE),0)</f>
        <v>0</v>
      </c>
      <c r="AB158" s="10">
        <f>IFERROR(AVERAGE(VLOOKUP($P158,'PY Receiving'!$C:$T,14,FALSE),VLOOKUP($P158,'CY Receiving'!$C:$T,14,FALSE)),0)</f>
        <v>0</v>
      </c>
      <c r="AC158" s="10">
        <f>IFERROR(VLOOKUP($P158,'CY Receving Query'!$B:$S,11,FALSE)/VLOOKUP($P158,'CY Receving Query'!$B:$S,5,FALSE),0)</f>
        <v>0</v>
      </c>
      <c r="AD158" s="10">
        <f>IFERROR(VLOOKUP($P158,'CY Rushing Query'!$B:$O,7,FALSE)/VLOOKUP($P158,'CY Rushing Query'!$B:$O,5,FALSE),0)</f>
        <v>0</v>
      </c>
      <c r="AE158" s="10">
        <f>IFERROR(AVERAGE(VLOOKUP($P158,'PY Rushing'!$C:$P,8,FALSE)/VLOOKUP($P158,'PY Rushing'!$C:$P,5,FALSE),VLOOKUP($P158,'CY Rushing'!$C:$P,8,FALSE)/VLOOKUP($P158,'CY Rushing'!$C:$P,5,FALSE)),0)</f>
        <v>0</v>
      </c>
      <c r="AF158" s="10">
        <f>IFERROR(VLOOKUP($P158,'CY Rushing Query'!$B:$P,12,FALSE),0)</f>
        <v>0</v>
      </c>
      <c r="AG158" s="10">
        <f>IFERROR(VLOOKUP($P158,'CY Rushing Query'!$B:$P,9,FALSE)/VLOOKUP($P158,'CY Rushing Query'!$B:$P,5,FALSE),0)</f>
        <v>0</v>
      </c>
      <c r="AH158" s="10">
        <f>VLOOKUP($J158,'Vegas Odds'!$B:$S,18,FALSE)</f>
        <v>37.933262350936971</v>
      </c>
      <c r="AI158" s="10">
        <f>VLOOKUP($J158,'Vegas Odds'!$B:$S,17,FALSE)</f>
        <v>27.766737649063032</v>
      </c>
      <c r="AJ158">
        <f t="shared" si="60"/>
        <v>1</v>
      </c>
      <c r="AK158" s="10">
        <f t="shared" si="44"/>
        <v>0</v>
      </c>
      <c r="AL158" s="10">
        <f t="shared" si="45"/>
        <v>0</v>
      </c>
      <c r="AM158" s="10">
        <f>V158/'CY Defensive Stats Query'!$AD$34*'Fanduel Export'!Q158</f>
        <v>0</v>
      </c>
      <c r="AN158" s="10">
        <f t="shared" si="61"/>
        <v>0</v>
      </c>
      <c r="AO158" s="10">
        <f>IFERROR(IF(OR($B158="D",$B158="K"),0,VLOOKUP($P158,'CY Receving Query'!$B:$S,7,FALSE)/VLOOKUP($P158,'CY Receving Query'!$B:$S,5,FALSE)),0)*$AJ158</f>
        <v>0</v>
      </c>
      <c r="AP158" s="10">
        <f t="shared" si="46"/>
        <v>37.365221788015901</v>
      </c>
      <c r="AQ158" s="10">
        <f t="shared" si="47"/>
        <v>0</v>
      </c>
      <c r="AR158" s="16">
        <f t="shared" si="48"/>
        <v>0</v>
      </c>
      <c r="AS158" s="16">
        <f t="shared" si="49"/>
        <v>0</v>
      </c>
      <c r="AT158" s="16">
        <f>AA158/'CY Defensive Stats Query'!$AH$34
*'Fanduel Export'!S158</f>
        <v>0</v>
      </c>
      <c r="AU158" s="10">
        <f t="shared" si="62"/>
        <v>0</v>
      </c>
      <c r="AV158" s="10">
        <f t="shared" si="50"/>
        <v>0</v>
      </c>
      <c r="AW158" s="10">
        <f t="shared" si="51"/>
        <v>19.787381735911151</v>
      </c>
      <c r="AX158" s="10">
        <f t="shared" si="52"/>
        <v>0</v>
      </c>
      <c r="AY158" s="10">
        <f>AF158/'CY Defensive Stats Query'!$AF$34
*R158</f>
        <v>0</v>
      </c>
      <c r="AZ158" s="10">
        <f t="shared" si="63"/>
        <v>0</v>
      </c>
      <c r="BA158" s="16">
        <f t="shared" si="53"/>
        <v>0</v>
      </c>
      <c r="BB158" s="16">
        <f t="shared" si="54"/>
        <v>0</v>
      </c>
      <c r="BC158" s="10">
        <f t="shared" si="55"/>
        <v>0</v>
      </c>
      <c r="BD158" s="10">
        <f>IF(B158="QB",COUNTIFS($B$5:B158,B158,$J$5:J158,J158),1)</f>
        <v>1</v>
      </c>
      <c r="BE158" t="str">
        <f t="shared" si="56"/>
        <v>Gehrig Dieter</v>
      </c>
      <c r="BF158">
        <f t="shared" si="57"/>
        <v>4500</v>
      </c>
      <c r="BG158" t="str">
        <f t="shared" si="58"/>
        <v>WR</v>
      </c>
      <c r="BH158" s="16">
        <f t="shared" si="59"/>
        <v>0</v>
      </c>
    </row>
    <row r="159" spans="1:60" x14ac:dyDescent="0.2">
      <c r="A159" t="s">
        <v>2960</v>
      </c>
      <c r="B159" t="s">
        <v>83</v>
      </c>
      <c r="C159" t="s">
        <v>2246</v>
      </c>
      <c r="D159" t="s">
        <v>2457</v>
      </c>
      <c r="E159" t="s">
        <v>2701</v>
      </c>
      <c r="H159">
        <v>4500</v>
      </c>
      <c r="I159" t="s">
        <v>2718</v>
      </c>
      <c r="J159" t="s">
        <v>138</v>
      </c>
      <c r="K159" t="s">
        <v>729</v>
      </c>
      <c r="L159" t="s">
        <v>94</v>
      </c>
      <c r="M159" t="s">
        <v>210</v>
      </c>
      <c r="O159" t="str">
        <f t="shared" si="43"/>
        <v>Devin Funchess</v>
      </c>
      <c r="P159" t="str">
        <f>IFERROR(VLOOKUP(O:O,'Name Bridge'!A:B,2,FALSE),O:O)</f>
        <v>Devin Funchess</v>
      </c>
      <c r="Q159" s="10">
        <f>VLOOKUP($K159,'CY Defensive Stats Query'!$AC:$AH,2,FALSE)</f>
        <v>7.6538461538461542</v>
      </c>
      <c r="R159" s="10">
        <f>VLOOKUP($K159,'CY Defensive Stats Query'!$AC:$AH,4,FALSE)</f>
        <v>4.6888888888888891</v>
      </c>
      <c r="S159" s="10">
        <f>VLOOKUP($K159,'CY Defensive Stats Query'!$AC:$AH,6,FALSE)</f>
        <v>11.306818181818182</v>
      </c>
      <c r="T159" s="10">
        <f>IFERROR(VLOOKUP($P159,'CYPassing Query'!$B:$AE,9,FALSE)/VLOOKUP($P159,'CYPassing Query'!$B:$AE,5,FALSE),0)</f>
        <v>0</v>
      </c>
      <c r="U159" s="10">
        <f>IFERROR(VLOOKUP($P159,'CYPassing Query'!$B:$AE,11,FALSE)/VLOOKUP($P159,'CYPassing Query'!$B:$AE,5,FALSE),0)</f>
        <v>0</v>
      </c>
      <c r="V159" s="10">
        <f>IFERROR(VLOOKUP($P159,'CYPassing Query'!$B:$AE,18,FALSE),0)</f>
        <v>0</v>
      </c>
      <c r="W159" s="10">
        <f>IFERROR(VLOOKUP($P159,'CYPassing Query'!$B:$AE,12,FALSE)/VLOOKUP($P159,'CYPassing Query'!$B:$AE,5,FALSE),0)</f>
        <v>0</v>
      </c>
      <c r="X159" s="10">
        <f>IFERROR(IF(OR($B159="D",$B159="K"),0,VLOOKUP($P159,'CY Receving Query'!$B:$S,7,FALSE)/VLOOKUP($P159,'CY Receving Query'!$B:$S,5,FALSE)),0)*$AJ159</f>
        <v>0</v>
      </c>
      <c r="Y159" s="10">
        <f>IFERROR(VLOOKUP($P159,'CY Receving Query'!$B:$S,8,FALSE)/VLOOKUP($P159,'CY Receving Query'!$B:$S,5,FALSE),0)</f>
        <v>0</v>
      </c>
      <c r="Z159" s="10">
        <f>IFERROR(VLOOKUP($P159,'CY Receving Query'!$B:$S,10,FALSE)/VLOOKUP($P159,'CY Receving Query'!$B:$S,5,FALSE),0)</f>
        <v>0</v>
      </c>
      <c r="AA159" s="10">
        <f>IFERROR(VLOOKUP($P159,'CY Receving Query'!$B:$S,11,FALSE),0)</f>
        <v>0</v>
      </c>
      <c r="AB159" s="10">
        <f>IFERROR(AVERAGE(VLOOKUP($P159,'PY Receiving'!$C:$T,14,FALSE),VLOOKUP($P159,'CY Receiving'!$C:$T,14,FALSE)),0)</f>
        <v>0</v>
      </c>
      <c r="AC159" s="10">
        <f>IFERROR(VLOOKUP($P159,'CY Receving Query'!$B:$S,11,FALSE)/VLOOKUP($P159,'CY Receving Query'!$B:$S,5,FALSE),0)</f>
        <v>0</v>
      </c>
      <c r="AD159" s="10">
        <f>IFERROR(VLOOKUP($P159,'CY Rushing Query'!$B:$O,7,FALSE)/VLOOKUP($P159,'CY Rushing Query'!$B:$O,5,FALSE),0)</f>
        <v>0</v>
      </c>
      <c r="AE159" s="10">
        <f>IFERROR(VLOOKUP($P159,'CY Rushing'!$C:$P,8,FALSE)/VLOOKUP($P159,'CY Rushing'!$C:$P,5,FALSE),0)</f>
        <v>0</v>
      </c>
      <c r="AF159" s="10">
        <f>IFERROR(VLOOKUP($P159,'CY Rushing Query'!$B:$P,12,FALSE),0)</f>
        <v>0</v>
      </c>
      <c r="AG159" s="10">
        <f>IFERROR(VLOOKUP($P159,'CY Rushing Query'!$B:$P,9,FALSE)/VLOOKUP($P159,'CY Rushing Query'!$B:$P,5,FALSE),0)</f>
        <v>0</v>
      </c>
      <c r="AH159" s="10">
        <f>VLOOKUP($J159,'Vegas Odds'!$B:$S,18,FALSE)</f>
        <v>32.679248170039784</v>
      </c>
      <c r="AI159" s="10">
        <f>VLOOKUP($J159,'Vegas Odds'!$B:$S,17,FALSE)</f>
        <v>32.620751829960213</v>
      </c>
      <c r="AJ159">
        <f t="shared" si="60"/>
        <v>1</v>
      </c>
      <c r="AK159" s="10">
        <f t="shared" si="44"/>
        <v>0</v>
      </c>
      <c r="AL159" s="10">
        <f t="shared" si="45"/>
        <v>0</v>
      </c>
      <c r="AM159" s="10">
        <f>V159/'CY Defensive Stats Query'!$AD$34*'Fanduel Export'!Q159</f>
        <v>0</v>
      </c>
      <c r="AN159" s="10">
        <f t="shared" si="61"/>
        <v>0</v>
      </c>
      <c r="AO159" s="10">
        <f>IFERROR(IF(OR($B159="D",$B159="K"),0,VLOOKUP($P159,'CY Receving Query'!$B:$S,7,FALSE)/VLOOKUP($P159,'CY Receving Query'!$B:$S,5,FALSE)),0)*$AJ159</f>
        <v>0</v>
      </c>
      <c r="AP159" s="10">
        <f t="shared" si="46"/>
        <v>29.704370384517439</v>
      </c>
      <c r="AQ159" s="10">
        <f t="shared" si="47"/>
        <v>0</v>
      </c>
      <c r="AR159" s="16">
        <f t="shared" si="48"/>
        <v>0</v>
      </c>
      <c r="AS159" s="16">
        <f t="shared" si="49"/>
        <v>0</v>
      </c>
      <c r="AT159" s="16">
        <f>AA159/'CY Defensive Stats Query'!$AH$34
*'Fanduel Export'!S159</f>
        <v>0</v>
      </c>
      <c r="AU159" s="10">
        <f t="shared" si="62"/>
        <v>0</v>
      </c>
      <c r="AV159" s="10">
        <f t="shared" si="50"/>
        <v>0</v>
      </c>
      <c r="AW159" s="10">
        <f t="shared" si="51"/>
        <v>40.335297300738475</v>
      </c>
      <c r="AX159" s="10">
        <f t="shared" si="52"/>
        <v>0</v>
      </c>
      <c r="AY159" s="10">
        <f>AF159/'CY Defensive Stats Query'!$AF$34
*R159</f>
        <v>0</v>
      </c>
      <c r="AZ159" s="10">
        <f t="shared" si="63"/>
        <v>0</v>
      </c>
      <c r="BA159" s="16">
        <f t="shared" si="53"/>
        <v>0</v>
      </c>
      <c r="BB159" s="16">
        <f t="shared" si="54"/>
        <v>0</v>
      </c>
      <c r="BC159" s="10">
        <f t="shared" si="55"/>
        <v>0</v>
      </c>
      <c r="BD159" s="10">
        <f>IF(B159="QB",COUNTIFS($B$5:B159,B159,$J$5:J159,J159),1)</f>
        <v>1</v>
      </c>
      <c r="BE159" t="str">
        <f t="shared" si="56"/>
        <v>Devin Funchess</v>
      </c>
      <c r="BF159">
        <f t="shared" si="57"/>
        <v>4500</v>
      </c>
      <c r="BG159" t="str">
        <f t="shared" si="58"/>
        <v>WR</v>
      </c>
      <c r="BH159" s="16">
        <f t="shared" si="59"/>
        <v>0</v>
      </c>
    </row>
    <row r="160" spans="1:60" x14ac:dyDescent="0.2">
      <c r="A160" t="s">
        <v>2961</v>
      </c>
      <c r="B160" t="s">
        <v>83</v>
      </c>
      <c r="C160" t="s">
        <v>2565</v>
      </c>
      <c r="D160" t="s">
        <v>2566</v>
      </c>
      <c r="E160" t="s">
        <v>2567</v>
      </c>
      <c r="H160">
        <v>4500</v>
      </c>
      <c r="I160" t="s">
        <v>2716</v>
      </c>
      <c r="J160" t="s">
        <v>99</v>
      </c>
      <c r="K160" t="s">
        <v>81</v>
      </c>
      <c r="O160" t="str">
        <f t="shared" si="43"/>
        <v>Mathew Sexton</v>
      </c>
      <c r="P160" t="str">
        <f>IFERROR(VLOOKUP(O:O,'Name Bridge'!A:B,2,FALSE),O:O)</f>
        <v>Mathew Sexton</v>
      </c>
      <c r="Q160" s="10">
        <f>VLOOKUP($K160,'CY Defensive Stats Query'!$AC:$AH,2,FALSE)</f>
        <v>8.7934782608695645</v>
      </c>
      <c r="R160" s="10">
        <f>VLOOKUP($K160,'CY Defensive Stats Query'!$AC:$AH,4,FALSE)</f>
        <v>5.404494382022472</v>
      </c>
      <c r="S160" s="10">
        <f>VLOOKUP($K160,'CY Defensive Stats Query'!$AC:$AH,6,FALSE)</f>
        <v>12.446153846153846</v>
      </c>
      <c r="T160" s="10">
        <f>IFERROR(VLOOKUP($P160,'CYPassing Query'!$B:$AE,9,FALSE)/VLOOKUP($P160,'CYPassing Query'!$B:$AE,5,FALSE),0)</f>
        <v>0</v>
      </c>
      <c r="U160" s="10">
        <f>IFERROR(VLOOKUP($P160,'CYPassing Query'!$B:$AE,11,FALSE)/VLOOKUP($P160,'CYPassing Query'!$B:$AE,5,FALSE),0)</f>
        <v>0</v>
      </c>
      <c r="V160" s="10">
        <f>IFERROR(VLOOKUP($P160,'CYPassing Query'!$B:$AE,18,FALSE),0)</f>
        <v>0</v>
      </c>
      <c r="W160" s="10">
        <f>IFERROR(VLOOKUP($P160,'CYPassing Query'!$B:$AE,12,FALSE)/VLOOKUP($P160,'CYPassing Query'!$B:$AE,5,FALSE),0)</f>
        <v>0</v>
      </c>
      <c r="X160" s="10">
        <f>IFERROR(IF(OR($B160="D",$B160="K"),0,VLOOKUP($P160,'CY Receving Query'!$B:$S,7,FALSE)/VLOOKUP($P160,'CY Receving Query'!$B:$S,5,FALSE)),0)*$AJ160</f>
        <v>0</v>
      </c>
      <c r="Y160" s="10">
        <f>IFERROR(VLOOKUP($P160,'CY Receving Query'!$B:$S,8,FALSE)/VLOOKUP($P160,'CY Receving Query'!$B:$S,5,FALSE),0)</f>
        <v>0</v>
      </c>
      <c r="Z160" s="10">
        <f>IFERROR(VLOOKUP($P160,'CY Receving Query'!$B:$S,10,FALSE)/VLOOKUP($P160,'CY Receving Query'!$B:$S,5,FALSE),0)</f>
        <v>0</v>
      </c>
      <c r="AA160" s="10">
        <f>IFERROR(VLOOKUP($P160,'CY Receving Query'!$B:$S,11,FALSE),0)</f>
        <v>0</v>
      </c>
      <c r="AB160" s="10">
        <f>IFERROR(AVERAGE(VLOOKUP($P160,'PY Receiving'!$C:$T,14,FALSE),VLOOKUP($P160,'CY Receiving'!$C:$T,14,FALSE)),0)</f>
        <v>0</v>
      </c>
      <c r="AC160" s="10">
        <f>IFERROR(VLOOKUP($P160,'CY Receving Query'!$B:$S,11,FALSE)/VLOOKUP($P160,'CY Receving Query'!$B:$S,5,FALSE),0)</f>
        <v>0</v>
      </c>
      <c r="AD160" s="10">
        <f>IFERROR(VLOOKUP($P160,'CY Rushing Query'!$B:$O,7,FALSE)/VLOOKUP($P160,'CY Rushing Query'!$B:$O,5,FALSE),0)</f>
        <v>0</v>
      </c>
      <c r="AE160" s="10">
        <f>IFERROR(AVERAGE(VLOOKUP($P160,'PY Rushing'!$C:$P,8,FALSE)/VLOOKUP($P160,'PY Rushing'!$C:$P,5,FALSE),VLOOKUP($P160,'CY Rushing'!$C:$P,8,FALSE)/VLOOKUP($P160,'CY Rushing'!$C:$P,5,FALSE)),0)</f>
        <v>0</v>
      </c>
      <c r="AF160" s="10">
        <f>IFERROR(VLOOKUP($P160,'CY Rushing Query'!$B:$P,12,FALSE),0)</f>
        <v>0</v>
      </c>
      <c r="AG160" s="10">
        <f>IFERROR(VLOOKUP($P160,'CY Rushing Query'!$B:$P,9,FALSE)/VLOOKUP($P160,'CY Rushing Query'!$B:$P,5,FALSE),0)</f>
        <v>0</v>
      </c>
      <c r="AH160" s="10">
        <f>VLOOKUP($J160,'Vegas Odds'!$B:$S,18,FALSE)</f>
        <v>40.088640957860363</v>
      </c>
      <c r="AI160" s="10">
        <f>VLOOKUP($J160,'Vegas Odds'!$B:$S,17,FALSE)</f>
        <v>25.511359042139631</v>
      </c>
      <c r="AJ160">
        <f t="shared" si="60"/>
        <v>1</v>
      </c>
      <c r="AK160" s="10">
        <f t="shared" si="44"/>
        <v>0</v>
      </c>
      <c r="AL160" s="10">
        <f t="shared" si="45"/>
        <v>0</v>
      </c>
      <c r="AM160" s="10">
        <f>V160/'CY Defensive Stats Query'!$AD$34*'Fanduel Export'!Q160</f>
        <v>0</v>
      </c>
      <c r="AN160" s="10">
        <f t="shared" si="61"/>
        <v>0</v>
      </c>
      <c r="AO160" s="10">
        <f>IFERROR(IF(OR($B160="D",$B160="K"),0,VLOOKUP($P160,'CY Receving Query'!$B:$S,7,FALSE)/VLOOKUP($P160,'CY Receving Query'!$B:$S,5,FALSE)),0)*$AJ160</f>
        <v>0</v>
      </c>
      <c r="AP160" s="10">
        <f t="shared" si="46"/>
        <v>32.289950980392156</v>
      </c>
      <c r="AQ160" s="10">
        <f t="shared" si="47"/>
        <v>0</v>
      </c>
      <c r="AR160" s="16">
        <f t="shared" si="48"/>
        <v>0</v>
      </c>
      <c r="AS160" s="16">
        <f t="shared" si="49"/>
        <v>0</v>
      </c>
      <c r="AT160" s="16">
        <f>AA160/'CY Defensive Stats Query'!$AH$34
*'Fanduel Export'!S160</f>
        <v>0</v>
      </c>
      <c r="AU160" s="10">
        <f t="shared" si="62"/>
        <v>0</v>
      </c>
      <c r="AV160" s="10">
        <f t="shared" si="50"/>
        <v>0</v>
      </c>
      <c r="AW160" s="10">
        <f t="shared" si="51"/>
        <v>7.4240196078431371</v>
      </c>
      <c r="AX160" s="10">
        <f t="shared" si="52"/>
        <v>0</v>
      </c>
      <c r="AY160" s="10">
        <f>AF160/'CY Defensive Stats Query'!$AF$34
*R160</f>
        <v>0</v>
      </c>
      <c r="AZ160" s="10">
        <f t="shared" si="63"/>
        <v>0</v>
      </c>
      <c r="BA160" s="16">
        <f t="shared" si="53"/>
        <v>0</v>
      </c>
      <c r="BB160" s="16">
        <f t="shared" si="54"/>
        <v>0</v>
      </c>
      <c r="BC160" s="10">
        <f t="shared" si="55"/>
        <v>0</v>
      </c>
      <c r="BD160" s="10">
        <f>IF(B160="QB",COUNTIFS($B$5:B160,B160,$J$5:J160,J160),1)</f>
        <v>1</v>
      </c>
      <c r="BE160" t="str">
        <f t="shared" si="56"/>
        <v>Mathew Sexton</v>
      </c>
      <c r="BF160">
        <f t="shared" si="57"/>
        <v>4500</v>
      </c>
      <c r="BG160" t="str">
        <f t="shared" si="58"/>
        <v>WR</v>
      </c>
      <c r="BH160" s="16">
        <f t="shared" si="59"/>
        <v>0</v>
      </c>
    </row>
    <row r="161" spans="1:60" hidden="1" x14ac:dyDescent="0.2">
      <c r="A161" t="s">
        <v>2962</v>
      </c>
      <c r="B161" t="s">
        <v>83</v>
      </c>
      <c r="C161" t="s">
        <v>2273</v>
      </c>
      <c r="D161" t="s">
        <v>2458</v>
      </c>
      <c r="E161" t="s">
        <v>2963</v>
      </c>
      <c r="H161">
        <v>4500</v>
      </c>
      <c r="I161" t="s">
        <v>2718</v>
      </c>
      <c r="J161" t="s">
        <v>729</v>
      </c>
      <c r="K161" t="s">
        <v>138</v>
      </c>
      <c r="L161" t="s">
        <v>182</v>
      </c>
      <c r="M161" t="s">
        <v>2236</v>
      </c>
      <c r="O161" t="str">
        <f t="shared" si="43"/>
        <v>T.J. Vasher</v>
      </c>
      <c r="P161" t="str">
        <f>IFERROR(VLOOKUP(O:O,'Name Bridge'!A:B,2,FALSE),O:O)</f>
        <v>T.J. Vasher</v>
      </c>
      <c r="Q161" s="10">
        <f>VLOOKUP($K161,'CY Defensive Stats Query'!$AC:$AH,2,FALSE)</f>
        <v>6.5263157894736841</v>
      </c>
      <c r="R161" s="10">
        <f>VLOOKUP($K161,'CY Defensive Stats Query'!$AC:$AH,4,FALSE)</f>
        <v>4.7051282051282053</v>
      </c>
      <c r="S161" s="10">
        <f>VLOOKUP($K161,'CY Defensive Stats Query'!$AC:$AH,6,FALSE)</f>
        <v>10.191780821917808</v>
      </c>
      <c r="T161" s="10">
        <f>IFERROR(VLOOKUP($P161,'CYPassing Query'!$B:$AE,9,FALSE)/VLOOKUP($P161,'CYPassing Query'!$B:$AE,5,FALSE),0)</f>
        <v>0</v>
      </c>
      <c r="U161" s="10">
        <f>IFERROR(VLOOKUP($P161,'CYPassing Query'!$B:$AE,11,FALSE)/VLOOKUP($P161,'CYPassing Query'!$B:$AE,5,FALSE),0)</f>
        <v>0</v>
      </c>
      <c r="V161" s="10">
        <f>IFERROR(VLOOKUP($P161,'CYPassing Query'!$B:$AE,18,FALSE),0)</f>
        <v>0</v>
      </c>
      <c r="W161" s="10">
        <f>IFERROR(VLOOKUP($P161,'CYPassing Query'!$B:$AE,12,FALSE)/VLOOKUP($P161,'CYPassing Query'!$B:$AE,5,FALSE),0)</f>
        <v>0</v>
      </c>
      <c r="X161" s="10">
        <f>IFERROR(IF(OR($B161="D",$B161="K"),0,VLOOKUP($P161,'CY Receving Query'!$B:$S,7,FALSE)/VLOOKUP($P161,'CY Receving Query'!$B:$S,5,FALSE)),0)*$AJ161</f>
        <v>0</v>
      </c>
      <c r="Y161" s="10">
        <f>IFERROR(VLOOKUP($P161,'CY Receving Query'!$B:$S,8,FALSE)/VLOOKUP($P161,'CY Receving Query'!$B:$S,5,FALSE),0)</f>
        <v>0</v>
      </c>
      <c r="Z161" s="10">
        <f>IFERROR(VLOOKUP($P161,'CY Receving Query'!$B:$S,10,FALSE)/VLOOKUP($P161,'CY Receving Query'!$B:$S,5,FALSE),0)</f>
        <v>0</v>
      </c>
      <c r="AA161" s="10">
        <f>IFERROR(VLOOKUP($P161,'CY Receving Query'!$B:$S,11,FALSE),0)</f>
        <v>0</v>
      </c>
      <c r="AB161" s="10">
        <f>IFERROR(AVERAGE(VLOOKUP($P161,'PY Receiving'!$C:$T,14,FALSE),VLOOKUP($P161,'CY Receiving'!$C:$T,14,FALSE)),0)</f>
        <v>0</v>
      </c>
      <c r="AC161" s="10">
        <f>IFERROR(VLOOKUP($P161,'CY Receving Query'!$B:$S,11,FALSE)/VLOOKUP($P161,'CY Receving Query'!$B:$S,5,FALSE),0)</f>
        <v>0</v>
      </c>
      <c r="AD161" s="10">
        <f>IFERROR(VLOOKUP($P161,'CY Rushing Query'!$B:$O,7,FALSE)/VLOOKUP($P161,'CY Rushing Query'!$B:$O,5,FALSE),0)</f>
        <v>0</v>
      </c>
      <c r="AE161" s="10">
        <f>IFERROR(AVERAGE(VLOOKUP($P161,'PY Rushing'!$C:$P,8,FALSE)/VLOOKUP($P161,'PY Rushing'!$C:$P,5,FALSE),VLOOKUP($P161,'CY Rushing'!$C:$P,8,FALSE)/VLOOKUP($P161,'CY Rushing'!$C:$P,5,FALSE)),0)</f>
        <v>0</v>
      </c>
      <c r="AF161" s="10">
        <f>IFERROR(VLOOKUP($P161,'CY Rushing Query'!$B:$P,12,FALSE),0)</f>
        <v>0</v>
      </c>
      <c r="AG161" s="10">
        <f>IFERROR(VLOOKUP($P161,'CY Rushing Query'!$B:$P,9,FALSE)/VLOOKUP($P161,'CY Rushing Query'!$B:$P,5,FALSE),0)</f>
        <v>0</v>
      </c>
      <c r="AH161" s="10">
        <f>VLOOKUP($J161,'Vegas Odds'!$B:$S,18,FALSE)</f>
        <v>38.06292701199007</v>
      </c>
      <c r="AI161" s="10">
        <f>VLOOKUP($J161,'Vegas Odds'!$B:$S,17,FALSE)</f>
        <v>29.237072988009928</v>
      </c>
      <c r="AJ161">
        <f t="shared" si="60"/>
        <v>0</v>
      </c>
      <c r="AK161" s="10">
        <f t="shared" si="44"/>
        <v>0</v>
      </c>
      <c r="AL161" s="10">
        <f t="shared" si="45"/>
        <v>0</v>
      </c>
      <c r="AM161" s="10">
        <f>V161/'CY Defensive Stats Query'!$AD$34*'Fanduel Export'!Q161</f>
        <v>0</v>
      </c>
      <c r="AN161" s="10">
        <f t="shared" si="61"/>
        <v>0</v>
      </c>
      <c r="AO161" s="10">
        <f>IFERROR(IF(OR($B161="D",$B161="K"),0,VLOOKUP($P161,'CY Receving Query'!$B:$S,7,FALSE)/VLOOKUP($P161,'CY Receving Query'!$B:$S,5,FALSE)),0)*$AJ161</f>
        <v>0</v>
      </c>
      <c r="AP161" s="10">
        <f t="shared" si="46"/>
        <v>30.199512497306614</v>
      </c>
      <c r="AQ161" s="10">
        <f t="shared" si="47"/>
        <v>0</v>
      </c>
      <c r="AR161" s="16">
        <f t="shared" si="48"/>
        <v>0</v>
      </c>
      <c r="AS161" s="16">
        <f t="shared" si="49"/>
        <v>0</v>
      </c>
      <c r="AT161" s="16">
        <f>AA161/'CY Defensive Stats Query'!$AH$34
*'Fanduel Export'!S161</f>
        <v>0</v>
      </c>
      <c r="AU161" s="10">
        <f t="shared" si="62"/>
        <v>0</v>
      </c>
      <c r="AV161" s="10">
        <f t="shared" si="50"/>
        <v>0</v>
      </c>
      <c r="AW161" s="10">
        <f t="shared" si="51"/>
        <v>30.007352941176471</v>
      </c>
      <c r="AX161" s="10">
        <f t="shared" si="52"/>
        <v>0</v>
      </c>
      <c r="AY161" s="10">
        <f>AF161/'CY Defensive Stats Query'!$AF$34
*R161</f>
        <v>0</v>
      </c>
      <c r="AZ161" s="10">
        <f t="shared" si="63"/>
        <v>0</v>
      </c>
      <c r="BA161" s="16">
        <f t="shared" si="53"/>
        <v>0</v>
      </c>
      <c r="BB161" s="16">
        <f t="shared" si="54"/>
        <v>0</v>
      </c>
      <c r="BC161" s="10">
        <f t="shared" si="55"/>
        <v>0</v>
      </c>
      <c r="BD161" s="10">
        <f>IF(B161="QB",COUNTIFS($B$5:B161,B161,$J$5:J161,J161),1)</f>
        <v>1</v>
      </c>
      <c r="BE161" t="str">
        <f t="shared" si="56"/>
        <v>T.J. Vasher</v>
      </c>
      <c r="BF161">
        <f t="shared" si="57"/>
        <v>4500</v>
      </c>
      <c r="BG161" t="str">
        <f t="shared" si="58"/>
        <v>WR</v>
      </c>
      <c r="BH161" s="16">
        <f t="shared" si="59"/>
        <v>0</v>
      </c>
    </row>
    <row r="162" spans="1:60" x14ac:dyDescent="0.2">
      <c r="A162" t="s">
        <v>2964</v>
      </c>
      <c r="B162" t="s">
        <v>68</v>
      </c>
      <c r="C162" t="s">
        <v>2244</v>
      </c>
      <c r="D162" t="s">
        <v>564</v>
      </c>
      <c r="E162" t="s">
        <v>2965</v>
      </c>
      <c r="F162">
        <v>1.4666666454738999</v>
      </c>
      <c r="G162">
        <v>9</v>
      </c>
      <c r="H162">
        <v>4500</v>
      </c>
      <c r="I162" t="s">
        <v>2716</v>
      </c>
      <c r="J162" t="s">
        <v>81</v>
      </c>
      <c r="K162" t="s">
        <v>99</v>
      </c>
      <c r="O162" t="str">
        <f t="shared" si="43"/>
        <v>Michael Burton</v>
      </c>
      <c r="P162" t="str">
        <f>IFERROR(VLOOKUP(O:O,'Name Bridge'!A:B,2,FALSE),O:O)</f>
        <v>Michael Burton</v>
      </c>
      <c r="Q162" s="10">
        <f>VLOOKUP($K162,'CY Defensive Stats Query'!$AC:$AH,2,FALSE)</f>
        <v>7.5377358490566042</v>
      </c>
      <c r="R162" s="10">
        <f>VLOOKUP($K162,'CY Defensive Stats Query'!$AC:$AH,4,FALSE)</f>
        <v>3.5810810810810811</v>
      </c>
      <c r="S162" s="10">
        <f>VLOOKUP($K162,'CY Defensive Stats Query'!$AC:$AH,6,FALSE)</f>
        <v>11.097222222222221</v>
      </c>
      <c r="T162" s="10">
        <f>IFERROR(VLOOKUP($P162,'CYPassing Query'!$B:$AE,9,FALSE)/VLOOKUP($P162,'CYPassing Query'!$B:$AE,5,FALSE),0)</f>
        <v>0</v>
      </c>
      <c r="U162" s="10">
        <f>IFERROR(VLOOKUP($P162,'CYPassing Query'!$B:$AE,11,FALSE)/VLOOKUP($P162,'CYPassing Query'!$B:$AE,5,FALSE),0)</f>
        <v>0</v>
      </c>
      <c r="V162" s="10">
        <f>IFERROR(VLOOKUP($P162,'CYPassing Query'!$B:$AE,18,FALSE),0)</f>
        <v>0</v>
      </c>
      <c r="W162" s="10">
        <f>IFERROR(VLOOKUP($P162,'CYPassing Query'!$B:$AE,12,FALSE)/VLOOKUP($P162,'CYPassing Query'!$B:$AE,5,FALSE),0)</f>
        <v>0</v>
      </c>
      <c r="X162" s="10">
        <f>IFERROR(IF(OR($B162="D",$B162="K"),0,VLOOKUP($P162,'CY Receving Query'!$B:$S,7,FALSE)/VLOOKUP($P162,'CY Receving Query'!$B:$S,5,FALSE)),0)*$AJ162</f>
        <v>0.1875</v>
      </c>
      <c r="Y162" s="10">
        <f>IFERROR(VLOOKUP($P162,'CY Receving Query'!$B:$S,8,FALSE)/VLOOKUP($P162,'CY Receving Query'!$B:$S,5,FALSE),0)</f>
        <v>0.1875</v>
      </c>
      <c r="Z162" s="10">
        <f>IFERROR(VLOOKUP($P162,'CY Receving Query'!$B:$S,10,FALSE)/VLOOKUP($P162,'CY Receving Query'!$B:$S,5,FALSE),0)</f>
        <v>1.9375</v>
      </c>
      <c r="AA162" s="10">
        <f>IFERROR(VLOOKUP($P162,'CY Receving Query'!$B:$S,11,FALSE),0)</f>
        <v>10.3</v>
      </c>
      <c r="AB162" s="10">
        <f>IFERROR(AVERAGE(VLOOKUP($P162,'PY Receiving'!$C:$T,14,FALSE),VLOOKUP($P162,'CY Receiving'!$C:$T,14,FALSE)),0)</f>
        <v>0</v>
      </c>
      <c r="AC162" s="10">
        <f>IFERROR(VLOOKUP($P162,'CY Receving Query'!$B:$S,11,FALSE)/VLOOKUP($P162,'CY Receving Query'!$B:$S,5,FALSE),0)</f>
        <v>0.64375000000000004</v>
      </c>
      <c r="AD162" s="10">
        <f>IFERROR(VLOOKUP($P162,'CY Rushing Query'!$B:$O,7,FALSE)/VLOOKUP($P162,'CY Rushing Query'!$B:$O,5,FALSE),0)</f>
        <v>0.5</v>
      </c>
      <c r="AE162" s="10">
        <f>IFERROR(AVERAGE(VLOOKUP($P162,'PY Rushing'!$C:$P,8,FALSE)/VLOOKUP($P162,'PY Rushing'!$C:$P,5,FALSE),VLOOKUP($P162,'CY Rushing'!$C:$P,8,FALSE)/VLOOKUP($P162,'CY Rushing'!$C:$P,5,FALSE)),0)</f>
        <v>1.6</v>
      </c>
      <c r="AF162" s="10">
        <f>IFERROR(VLOOKUP($P162,'CY Rushing Query'!$B:$P,12,FALSE),0)</f>
        <v>3.3</v>
      </c>
      <c r="AG162" s="10">
        <f>IFERROR(VLOOKUP($P162,'CY Rushing Query'!$B:$P,9,FALSE)/VLOOKUP($P162,'CY Rushing Query'!$B:$P,5,FALSE),0)</f>
        <v>6.25E-2</v>
      </c>
      <c r="AH162" s="10">
        <f>VLOOKUP($J162,'Vegas Odds'!$B:$S,18,FALSE)</f>
        <v>37.933262350936971</v>
      </c>
      <c r="AI162" s="10">
        <f>VLOOKUP($J162,'Vegas Odds'!$B:$S,17,FALSE)</f>
        <v>27.766737649063032</v>
      </c>
      <c r="AJ162">
        <f t="shared" si="60"/>
        <v>1</v>
      </c>
      <c r="AK162" s="10">
        <f t="shared" si="44"/>
        <v>0</v>
      </c>
      <c r="AL162" s="10">
        <f t="shared" si="45"/>
        <v>0</v>
      </c>
      <c r="AM162" s="10">
        <f>V162/'CY Defensive Stats Query'!$AD$34*'Fanduel Export'!Q162</f>
        <v>0</v>
      </c>
      <c r="AN162" s="10">
        <f t="shared" si="61"/>
        <v>0</v>
      </c>
      <c r="AO162" s="10">
        <f>IFERROR(IF(OR($B162="D",$B162="K"),0,VLOOKUP($P162,'CY Receving Query'!$B:$S,7,FALSE)/VLOOKUP($P162,'CY Receving Query'!$B:$S,5,FALSE)),0)*$AJ162</f>
        <v>0.1875</v>
      </c>
      <c r="AP162" s="10">
        <f t="shared" si="46"/>
        <v>37.365221788015901</v>
      </c>
      <c r="AQ162" s="10">
        <f t="shared" si="47"/>
        <v>0.1903504475673114</v>
      </c>
      <c r="AR162" s="16">
        <f t="shared" si="48"/>
        <v>0.1875</v>
      </c>
      <c r="AS162" s="16">
        <f t="shared" si="49"/>
        <v>0.1903504475673114</v>
      </c>
      <c r="AT162" s="16">
        <f>AA162/'CY Defensive Stats Query'!$AH$34
*'Fanduel Export'!S162</f>
        <v>10.871416629947426</v>
      </c>
      <c r="AU162" s="10">
        <f t="shared" si="62"/>
        <v>2.0693790212012044</v>
      </c>
      <c r="AV162" s="10">
        <f t="shared" si="50"/>
        <v>0.5</v>
      </c>
      <c r="AW162" s="10">
        <f t="shared" si="51"/>
        <v>19.787381735911151</v>
      </c>
      <c r="AX162" s="10">
        <f t="shared" si="52"/>
        <v>0.70162738101601729</v>
      </c>
      <c r="AY162" s="10">
        <f>AF162/'CY Defensive Stats Query'!$AF$34
*R162</f>
        <v>2.8576066112825877</v>
      </c>
      <c r="AZ162" s="10">
        <f t="shared" si="63"/>
        <v>2.0049750426482582</v>
      </c>
      <c r="BA162" s="16">
        <f t="shared" si="53"/>
        <v>0.50118540638494624</v>
      </c>
      <c r="BB162" s="16">
        <f t="shared" si="54"/>
        <v>0.11137453475221028</v>
      </c>
      <c r="BC162" s="10">
        <f t="shared" si="55"/>
        <v>4.1666666666666664E-2</v>
      </c>
      <c r="BD162" s="10">
        <f>IF(B162="QB",COUNTIFS($B$5:B162,B162,$J$5:J162,J162),1)</f>
        <v>1</v>
      </c>
      <c r="BE162" t="str">
        <f t="shared" si="56"/>
        <v>Michael Burton</v>
      </c>
      <c r="BF162">
        <f t="shared" si="57"/>
        <v>4500</v>
      </c>
      <c r="BG162" t="str">
        <f t="shared" si="58"/>
        <v>RB</v>
      </c>
      <c r="BH162" s="16">
        <f t="shared" si="59"/>
        <v>0.50118540638494624</v>
      </c>
    </row>
    <row r="163" spans="1:60" x14ac:dyDescent="0.2">
      <c r="A163" t="s">
        <v>2966</v>
      </c>
      <c r="B163" t="s">
        <v>83</v>
      </c>
      <c r="C163" t="s">
        <v>406</v>
      </c>
      <c r="D163" t="s">
        <v>462</v>
      </c>
      <c r="E163" t="s">
        <v>2967</v>
      </c>
      <c r="F163">
        <v>0</v>
      </c>
      <c r="G163">
        <v>1</v>
      </c>
      <c r="H163">
        <v>4500</v>
      </c>
      <c r="I163" t="s">
        <v>2720</v>
      </c>
      <c r="J163" t="s">
        <v>102</v>
      </c>
      <c r="K163" t="s">
        <v>728</v>
      </c>
      <c r="O163" t="str">
        <f t="shared" si="43"/>
        <v>John Hightower</v>
      </c>
      <c r="P163" t="str">
        <f>IFERROR(VLOOKUP(O:O,'Name Bridge'!A:B,2,FALSE),O:O)</f>
        <v>John Hightower</v>
      </c>
      <c r="Q163" s="10">
        <f>VLOOKUP($K163,'CY Defensive Stats Query'!$AC:$AH,2,FALSE)</f>
        <v>7.0486111111111107</v>
      </c>
      <c r="R163" s="10">
        <f>VLOOKUP($K163,'CY Defensive Stats Query'!$AC:$AH,4,FALSE)</f>
        <v>3.0806451612903225</v>
      </c>
      <c r="S163" s="10">
        <f>VLOOKUP($K163,'CY Defensive Stats Query'!$AC:$AH,6,FALSE)</f>
        <v>9.759615384615385</v>
      </c>
      <c r="T163" s="10">
        <f>IFERROR(VLOOKUP($P163,'CYPassing Query'!$B:$AE,9,FALSE)/VLOOKUP($P163,'CYPassing Query'!$B:$AE,5,FALSE),0)</f>
        <v>0</v>
      </c>
      <c r="U163" s="10">
        <f>IFERROR(VLOOKUP($P163,'CYPassing Query'!$B:$AE,11,FALSE)/VLOOKUP($P163,'CYPassing Query'!$B:$AE,5,FALSE),0)</f>
        <v>0</v>
      </c>
      <c r="V163" s="10">
        <f>IFERROR(VLOOKUP($P163,'CYPassing Query'!$B:$AE,18,FALSE),0)</f>
        <v>0</v>
      </c>
      <c r="W163" s="10">
        <f>IFERROR(VLOOKUP($P163,'CYPassing Query'!$B:$AE,12,FALSE)/VLOOKUP($P163,'CYPassing Query'!$B:$AE,5,FALSE),0)</f>
        <v>0</v>
      </c>
      <c r="X163" s="10">
        <f>IFERROR(IF(OR($B163="D",$B163="K"),0,VLOOKUP($P163,'CY Receving Query'!$B:$S,7,FALSE)/VLOOKUP($P163,'CY Receving Query'!$B:$S,5,FALSE)),0)*$AJ163</f>
        <v>0</v>
      </c>
      <c r="Y163" s="10">
        <f>IFERROR(VLOOKUP($P163,'CY Receving Query'!$B:$S,8,FALSE)/VLOOKUP($P163,'CY Receving Query'!$B:$S,5,FALSE),0)</f>
        <v>0</v>
      </c>
      <c r="Z163" s="10">
        <f>IFERROR(VLOOKUP($P163,'CY Receving Query'!$B:$S,10,FALSE)/VLOOKUP($P163,'CY Receving Query'!$B:$S,5,FALSE),0)</f>
        <v>0</v>
      </c>
      <c r="AA163" s="10">
        <f>IFERROR(VLOOKUP($P163,'CY Receving Query'!$B:$S,11,FALSE),0)</f>
        <v>0</v>
      </c>
      <c r="AB163" s="10">
        <f>IFERROR(AVERAGE(VLOOKUP($P163,'PY Receiving'!$C:$T,14,FALSE),VLOOKUP($P163,'CY Receiving'!$C:$T,14,FALSE)),0)</f>
        <v>0</v>
      </c>
      <c r="AC163" s="10">
        <f>IFERROR(VLOOKUP($P163,'CY Receving Query'!$B:$S,11,FALSE)/VLOOKUP($P163,'CY Receving Query'!$B:$S,5,FALSE),0)</f>
        <v>0</v>
      </c>
      <c r="AD163" s="10">
        <f>IFERROR(VLOOKUP($P163,'CY Rushing Query'!$B:$O,7,FALSE)/VLOOKUP($P163,'CY Rushing Query'!$B:$O,5,FALSE),0)</f>
        <v>0</v>
      </c>
      <c r="AE163" s="10">
        <f>IFERROR(AVERAGE(VLOOKUP($P163,'PY Rushing'!$C:$P,8,FALSE)/VLOOKUP($P163,'PY Rushing'!$C:$P,5,FALSE),VLOOKUP($P163,'CY Rushing'!$C:$P,8,FALSE)/VLOOKUP($P163,'CY Rushing'!$C:$P,5,FALSE)),0)</f>
        <v>0</v>
      </c>
      <c r="AF163" s="10">
        <f>IFERROR(VLOOKUP($P163,'CY Rushing Query'!$B:$P,12,FALSE),0)</f>
        <v>0</v>
      </c>
      <c r="AG163" s="10">
        <f>IFERROR(VLOOKUP($P163,'CY Rushing Query'!$B:$P,9,FALSE)/VLOOKUP($P163,'CY Rushing Query'!$B:$P,5,FALSE),0)</f>
        <v>0</v>
      </c>
      <c r="AH163" s="10">
        <f>VLOOKUP($J163,'Vegas Odds'!$B:$S,18,FALSE)</f>
        <v>44.85966247691475</v>
      </c>
      <c r="AI163" s="10">
        <f>VLOOKUP($J163,'Vegas Odds'!$B:$S,17,FALSE)</f>
        <v>17.740337523085255</v>
      </c>
      <c r="AJ163">
        <f t="shared" si="60"/>
        <v>1</v>
      </c>
      <c r="AK163" s="10">
        <f t="shared" si="44"/>
        <v>0</v>
      </c>
      <c r="AL163" s="10">
        <f t="shared" si="45"/>
        <v>0</v>
      </c>
      <c r="AM163" s="10">
        <f>V163/'CY Defensive Stats Query'!$AD$34*'Fanduel Export'!Q163</f>
        <v>0</v>
      </c>
      <c r="AN163" s="10">
        <f t="shared" si="61"/>
        <v>0</v>
      </c>
      <c r="AO163" s="10">
        <f>IFERROR(IF(OR($B163="D",$B163="K"),0,VLOOKUP($P163,'CY Receving Query'!$B:$S,7,FALSE)/VLOOKUP($P163,'CY Receving Query'!$B:$S,5,FALSE)),0)*$AJ163</f>
        <v>0</v>
      </c>
      <c r="AP163" s="10">
        <f t="shared" si="46"/>
        <v>28.54982492997199</v>
      </c>
      <c r="AQ163" s="10">
        <f t="shared" si="47"/>
        <v>0</v>
      </c>
      <c r="AR163" s="16">
        <f t="shared" si="48"/>
        <v>0</v>
      </c>
      <c r="AS163" s="16">
        <f t="shared" si="49"/>
        <v>0</v>
      </c>
      <c r="AT163" s="16">
        <f>AA163/'CY Defensive Stats Query'!$AH$34
*'Fanduel Export'!S163</f>
        <v>0</v>
      </c>
      <c r="AU163" s="10">
        <f t="shared" si="62"/>
        <v>0</v>
      </c>
      <c r="AV163" s="10">
        <f t="shared" si="50"/>
        <v>0</v>
      </c>
      <c r="AW163" s="10">
        <f t="shared" si="51"/>
        <v>56.303606442577035</v>
      </c>
      <c r="AX163" s="10">
        <f t="shared" si="52"/>
        <v>0</v>
      </c>
      <c r="AY163" s="10">
        <f>AF163/'CY Defensive Stats Query'!$AF$34
*R163</f>
        <v>0</v>
      </c>
      <c r="AZ163" s="10">
        <f t="shared" si="63"/>
        <v>0</v>
      </c>
      <c r="BA163" s="16">
        <f t="shared" si="53"/>
        <v>0</v>
      </c>
      <c r="BB163" s="16">
        <f t="shared" si="54"/>
        <v>0</v>
      </c>
      <c r="BC163" s="10">
        <f t="shared" si="55"/>
        <v>0</v>
      </c>
      <c r="BD163" s="10">
        <f>IF(B163="QB",COUNTIFS($B$5:B163,B163,$J$5:J163,J163),1)</f>
        <v>1</v>
      </c>
      <c r="BE163" t="str">
        <f t="shared" si="56"/>
        <v>John Hightower</v>
      </c>
      <c r="BF163">
        <f t="shared" si="57"/>
        <v>4500</v>
      </c>
      <c r="BG163" t="str">
        <f t="shared" si="58"/>
        <v>WR</v>
      </c>
      <c r="BH163" s="16">
        <f t="shared" si="59"/>
        <v>0</v>
      </c>
    </row>
    <row r="164" spans="1:60" x14ac:dyDescent="0.2">
      <c r="A164" t="s">
        <v>2968</v>
      </c>
      <c r="B164" t="s">
        <v>68</v>
      </c>
      <c r="C164" t="s">
        <v>2969</v>
      </c>
      <c r="D164" t="s">
        <v>2970</v>
      </c>
      <c r="E164" t="s">
        <v>2263</v>
      </c>
      <c r="F164">
        <v>0</v>
      </c>
      <c r="G164">
        <v>1</v>
      </c>
      <c r="H164">
        <v>4500</v>
      </c>
      <c r="I164" t="s">
        <v>2718</v>
      </c>
      <c r="J164" t="s">
        <v>729</v>
      </c>
      <c r="K164" t="s">
        <v>138</v>
      </c>
      <c r="O164" t="str">
        <f t="shared" si="43"/>
        <v>Francis Bernard</v>
      </c>
      <c r="P164" t="str">
        <f>IFERROR(VLOOKUP(O:O,'Name Bridge'!A:B,2,FALSE),O:O)</f>
        <v>Francis Bernard</v>
      </c>
      <c r="Q164" s="10">
        <f>VLOOKUP($K164,'CY Defensive Stats Query'!$AC:$AH,2,FALSE)</f>
        <v>6.5263157894736841</v>
      </c>
      <c r="R164" s="10">
        <f>VLOOKUP($K164,'CY Defensive Stats Query'!$AC:$AH,4,FALSE)</f>
        <v>4.7051282051282053</v>
      </c>
      <c r="S164" s="10">
        <f>VLOOKUP($K164,'CY Defensive Stats Query'!$AC:$AH,6,FALSE)</f>
        <v>10.191780821917808</v>
      </c>
      <c r="T164" s="10">
        <f>IFERROR(VLOOKUP($P164,'CYPassing Query'!$B:$AE,9,FALSE)/VLOOKUP($P164,'CYPassing Query'!$B:$AE,5,FALSE),0)</f>
        <v>0</v>
      </c>
      <c r="U164" s="10">
        <f>IFERROR(VLOOKUP($P164,'CYPassing Query'!$B:$AE,11,FALSE)/VLOOKUP($P164,'CYPassing Query'!$B:$AE,5,FALSE),0)</f>
        <v>0</v>
      </c>
      <c r="V164" s="10">
        <f>IFERROR(VLOOKUP($P164,'CYPassing Query'!$B:$AE,18,FALSE),0)</f>
        <v>0</v>
      </c>
      <c r="W164" s="10">
        <f>IFERROR(VLOOKUP($P164,'CYPassing Query'!$B:$AE,12,FALSE)/VLOOKUP($P164,'CYPassing Query'!$B:$AE,5,FALSE),0)</f>
        <v>0</v>
      </c>
      <c r="X164" s="10">
        <f>IFERROR(IF(OR($B164="D",$B164="K"),0,VLOOKUP($P164,'CY Receving Query'!$B:$S,7,FALSE)/VLOOKUP($P164,'CY Receving Query'!$B:$S,5,FALSE)),0)*$AJ164</f>
        <v>0</v>
      </c>
      <c r="Y164" s="10">
        <f>IFERROR(VLOOKUP($P164,'CY Receving Query'!$B:$S,8,FALSE)/VLOOKUP($P164,'CY Receving Query'!$B:$S,5,FALSE),0)</f>
        <v>0</v>
      </c>
      <c r="Z164" s="10">
        <f>IFERROR(VLOOKUP($P164,'CY Receving Query'!$B:$S,10,FALSE)/VLOOKUP($P164,'CY Receving Query'!$B:$S,5,FALSE),0)</f>
        <v>0</v>
      </c>
      <c r="AA164" s="10">
        <f>IFERROR(VLOOKUP($P164,'CY Receving Query'!$B:$S,11,FALSE),0)</f>
        <v>0</v>
      </c>
      <c r="AB164" s="10">
        <f>IFERROR(AVERAGE(VLOOKUP($P164,'PY Receiving'!$C:$T,14,FALSE),VLOOKUP($P164,'CY Receiving'!$C:$T,14,FALSE)),0)</f>
        <v>0</v>
      </c>
      <c r="AC164" s="10">
        <f>IFERROR(VLOOKUP($P164,'CY Receving Query'!$B:$S,11,FALSE)/VLOOKUP($P164,'CY Receving Query'!$B:$S,5,FALSE),0)</f>
        <v>0</v>
      </c>
      <c r="AD164" s="10">
        <f>IFERROR(VLOOKUP($P164,'CY Rushing Query'!$B:$O,7,FALSE)/VLOOKUP($P164,'CY Rushing Query'!$B:$O,5,FALSE),0)</f>
        <v>0</v>
      </c>
      <c r="AE164" s="10">
        <f>IFERROR(AVERAGE(VLOOKUP($P164,'PY Rushing'!$C:$P,8,FALSE)/VLOOKUP($P164,'PY Rushing'!$C:$P,5,FALSE),VLOOKUP($P164,'CY Rushing'!$C:$P,8,FALSE)/VLOOKUP($P164,'CY Rushing'!$C:$P,5,FALSE)),0)</f>
        <v>0</v>
      </c>
      <c r="AF164" s="10">
        <f>IFERROR(VLOOKUP($P164,'CY Rushing Query'!$B:$P,12,FALSE),0)</f>
        <v>0</v>
      </c>
      <c r="AG164" s="10">
        <f>IFERROR(VLOOKUP($P164,'CY Rushing Query'!$B:$P,9,FALSE)/VLOOKUP($P164,'CY Rushing Query'!$B:$P,5,FALSE),0)</f>
        <v>0</v>
      </c>
      <c r="AH164" s="10">
        <f>VLOOKUP($J164,'Vegas Odds'!$B:$S,18,FALSE)</f>
        <v>38.06292701199007</v>
      </c>
      <c r="AI164" s="10">
        <f>VLOOKUP($J164,'Vegas Odds'!$B:$S,17,FALSE)</f>
        <v>29.237072988009928</v>
      </c>
      <c r="AJ164">
        <f t="shared" si="60"/>
        <v>1</v>
      </c>
      <c r="AK164" s="10">
        <f t="shared" si="44"/>
        <v>0</v>
      </c>
      <c r="AL164" s="10">
        <f t="shared" si="45"/>
        <v>0</v>
      </c>
      <c r="AM164" s="10">
        <f>V164/'CY Defensive Stats Query'!$AD$34*'Fanduel Export'!Q164</f>
        <v>0</v>
      </c>
      <c r="AN164" s="10">
        <f t="shared" si="61"/>
        <v>0</v>
      </c>
      <c r="AO164" s="10">
        <f>IFERROR(IF(OR($B164="D",$B164="K"),0,VLOOKUP($P164,'CY Receving Query'!$B:$S,7,FALSE)/VLOOKUP($P164,'CY Receving Query'!$B:$S,5,FALSE)),0)*$AJ164</f>
        <v>0</v>
      </c>
      <c r="AP164" s="10">
        <f t="shared" si="46"/>
        <v>30.199512497306614</v>
      </c>
      <c r="AQ164" s="10">
        <f t="shared" si="47"/>
        <v>0</v>
      </c>
      <c r="AR164" s="16">
        <f t="shared" si="48"/>
        <v>0</v>
      </c>
      <c r="AS164" s="16">
        <f t="shared" si="49"/>
        <v>0</v>
      </c>
      <c r="AT164" s="16">
        <f>AA164/'CY Defensive Stats Query'!$AH$34
*'Fanduel Export'!S164</f>
        <v>0</v>
      </c>
      <c r="AU164" s="10">
        <f t="shared" si="62"/>
        <v>0</v>
      </c>
      <c r="AV164" s="10">
        <f t="shared" si="50"/>
        <v>0</v>
      </c>
      <c r="AW164" s="10">
        <f t="shared" si="51"/>
        <v>30.007352941176471</v>
      </c>
      <c r="AX164" s="10">
        <f t="shared" si="52"/>
        <v>0</v>
      </c>
      <c r="AY164" s="10">
        <f>AF164/'CY Defensive Stats Query'!$AF$34
*R164</f>
        <v>0</v>
      </c>
      <c r="AZ164" s="10">
        <f t="shared" si="63"/>
        <v>0</v>
      </c>
      <c r="BA164" s="16">
        <f t="shared" si="53"/>
        <v>0</v>
      </c>
      <c r="BB164" s="16">
        <f t="shared" si="54"/>
        <v>0</v>
      </c>
      <c r="BC164" s="10">
        <f t="shared" si="55"/>
        <v>0</v>
      </c>
      <c r="BD164" s="10">
        <f>IF(B164="QB",COUNTIFS($B$5:B164,B164,$J$5:J164,J164),1)</f>
        <v>1</v>
      </c>
      <c r="BE164" t="str">
        <f t="shared" si="56"/>
        <v>Francis Bernard</v>
      </c>
      <c r="BF164">
        <f t="shared" si="57"/>
        <v>4500</v>
      </c>
      <c r="BG164" t="str">
        <f t="shared" si="58"/>
        <v>RB</v>
      </c>
      <c r="BH164" s="16">
        <f t="shared" si="59"/>
        <v>0</v>
      </c>
    </row>
    <row r="165" spans="1:60" x14ac:dyDescent="0.2">
      <c r="A165" t="s">
        <v>2971</v>
      </c>
      <c r="B165" t="s">
        <v>83</v>
      </c>
      <c r="C165" t="s">
        <v>2972</v>
      </c>
      <c r="D165" t="s">
        <v>568</v>
      </c>
      <c r="E165" t="s">
        <v>2973</v>
      </c>
      <c r="F165">
        <v>2.5625</v>
      </c>
      <c r="G165">
        <v>8</v>
      </c>
      <c r="H165">
        <v>4500</v>
      </c>
      <c r="I165" t="s">
        <v>2720</v>
      </c>
      <c r="J165" t="s">
        <v>102</v>
      </c>
      <c r="K165" t="s">
        <v>728</v>
      </c>
      <c r="O165" t="str">
        <f t="shared" si="43"/>
        <v>Alshon Jeffery</v>
      </c>
      <c r="P165" t="str">
        <f>IFERROR(VLOOKUP(O:O,'Name Bridge'!A:B,2,FALSE),O:O)</f>
        <v>Alshon Jeffery</v>
      </c>
      <c r="Q165" s="10">
        <f>VLOOKUP($K165,'CY Defensive Stats Query'!$AC:$AH,2,FALSE)</f>
        <v>7.0486111111111107</v>
      </c>
      <c r="R165" s="10">
        <f>VLOOKUP($K165,'CY Defensive Stats Query'!$AC:$AH,4,FALSE)</f>
        <v>3.0806451612903225</v>
      </c>
      <c r="S165" s="10">
        <f>VLOOKUP($K165,'CY Defensive Stats Query'!$AC:$AH,6,FALSE)</f>
        <v>9.759615384615385</v>
      </c>
      <c r="T165" s="10">
        <f>IFERROR(VLOOKUP($P165,'CYPassing Query'!$B:$AE,9,FALSE)/VLOOKUP($P165,'CYPassing Query'!$B:$AE,5,FALSE),0)</f>
        <v>0</v>
      </c>
      <c r="U165" s="10">
        <f>IFERROR(VLOOKUP($P165,'CYPassing Query'!$B:$AE,11,FALSE)/VLOOKUP($P165,'CYPassing Query'!$B:$AE,5,FALSE),0)</f>
        <v>0</v>
      </c>
      <c r="V165" s="10">
        <f>IFERROR(VLOOKUP($P165,'CYPassing Query'!$B:$AE,18,FALSE),0)</f>
        <v>0</v>
      </c>
      <c r="W165" s="10">
        <f>IFERROR(VLOOKUP($P165,'CYPassing Query'!$B:$AE,12,FALSE)/VLOOKUP($P165,'CYPassing Query'!$B:$AE,5,FALSE),0)</f>
        <v>0</v>
      </c>
      <c r="X165" s="10">
        <f>IFERROR(IF(OR($B165="D",$B165="K"),0,VLOOKUP($P165,'CY Receving Query'!$B:$S,7,FALSE)/VLOOKUP($P165,'CY Receving Query'!$B:$S,5,FALSE)),0)*$AJ165</f>
        <v>0</v>
      </c>
      <c r="Y165" s="10">
        <f>IFERROR(VLOOKUP($P165,'CY Receving Query'!$B:$S,8,FALSE)/VLOOKUP($P165,'CY Receving Query'!$B:$S,5,FALSE),0)</f>
        <v>0</v>
      </c>
      <c r="Z165" s="10">
        <f>IFERROR(VLOOKUP($P165,'CY Receving Query'!$B:$S,10,FALSE)/VLOOKUP($P165,'CY Receving Query'!$B:$S,5,FALSE),0)</f>
        <v>0</v>
      </c>
      <c r="AA165" s="10">
        <f>IFERROR(VLOOKUP($P165,'CY Receving Query'!$B:$S,11,FALSE),0)</f>
        <v>0</v>
      </c>
      <c r="AB165" s="10">
        <f>IFERROR(AVERAGE(VLOOKUP($P165,'PY Receiving'!$C:$T,14,FALSE),VLOOKUP($P165,'CY Receiving'!$C:$T,14,FALSE)),0)</f>
        <v>0</v>
      </c>
      <c r="AC165" s="10">
        <f>IFERROR(VLOOKUP($P165,'CY Receving Query'!$B:$S,11,FALSE)/VLOOKUP($P165,'CY Receving Query'!$B:$S,5,FALSE),0)</f>
        <v>0</v>
      </c>
      <c r="AD165" s="10">
        <f>IFERROR(VLOOKUP($P165,'CY Rushing Query'!$B:$O,7,FALSE)/VLOOKUP($P165,'CY Rushing Query'!$B:$O,5,FALSE),0)</f>
        <v>0</v>
      </c>
      <c r="AE165" s="10">
        <f>IFERROR(AVERAGE(VLOOKUP($P165,'PY Rushing'!$C:$P,8,FALSE)/VLOOKUP($P165,'PY Rushing'!$C:$P,5,FALSE),VLOOKUP($P165,'CY Rushing'!$C:$P,8,FALSE)/VLOOKUP($P165,'CY Rushing'!$C:$P,5,FALSE)),0)</f>
        <v>0</v>
      </c>
      <c r="AF165" s="10">
        <f>IFERROR(VLOOKUP($P165,'CY Rushing Query'!$B:$P,12,FALSE),0)</f>
        <v>0</v>
      </c>
      <c r="AG165" s="10">
        <f>IFERROR(VLOOKUP($P165,'CY Rushing Query'!$B:$P,9,FALSE)/VLOOKUP($P165,'CY Rushing Query'!$B:$P,5,FALSE),0)</f>
        <v>0</v>
      </c>
      <c r="AH165" s="10">
        <f>VLOOKUP($J165,'Vegas Odds'!$B:$S,18,FALSE)</f>
        <v>44.85966247691475</v>
      </c>
      <c r="AI165" s="10">
        <f>VLOOKUP($J165,'Vegas Odds'!$B:$S,17,FALSE)</f>
        <v>17.740337523085255</v>
      </c>
      <c r="AJ165">
        <f t="shared" si="60"/>
        <v>1</v>
      </c>
      <c r="AK165" s="10">
        <f t="shared" si="44"/>
        <v>0</v>
      </c>
      <c r="AL165" s="10">
        <f t="shared" si="45"/>
        <v>0</v>
      </c>
      <c r="AM165" s="10">
        <f>V165/'CY Defensive Stats Query'!$AD$34*'Fanduel Export'!Q165</f>
        <v>0</v>
      </c>
      <c r="AN165" s="10">
        <f t="shared" si="61"/>
        <v>0</v>
      </c>
      <c r="AO165" s="10">
        <f>IFERROR(IF(OR($B165="D",$B165="K"),0,VLOOKUP($P165,'CY Receving Query'!$B:$S,7,FALSE)/VLOOKUP($P165,'CY Receving Query'!$B:$S,5,FALSE)),0)*$AJ165</f>
        <v>0</v>
      </c>
      <c r="AP165" s="10">
        <f t="shared" si="46"/>
        <v>28.54982492997199</v>
      </c>
      <c r="AQ165" s="10">
        <f t="shared" si="47"/>
        <v>0</v>
      </c>
      <c r="AR165" s="16">
        <f t="shared" si="48"/>
        <v>0</v>
      </c>
      <c r="AS165" s="16">
        <f t="shared" si="49"/>
        <v>0</v>
      </c>
      <c r="AT165" s="16">
        <f>AA165/'CY Defensive Stats Query'!$AH$34
*'Fanduel Export'!S165</f>
        <v>0</v>
      </c>
      <c r="AU165" s="10">
        <f t="shared" si="62"/>
        <v>0</v>
      </c>
      <c r="AV165" s="10">
        <f t="shared" si="50"/>
        <v>0</v>
      </c>
      <c r="AW165" s="10">
        <f t="shared" si="51"/>
        <v>56.303606442577035</v>
      </c>
      <c r="AX165" s="10">
        <f t="shared" si="52"/>
        <v>0</v>
      </c>
      <c r="AY165" s="10">
        <f>AF165/'CY Defensive Stats Query'!$AF$34
*R165</f>
        <v>0</v>
      </c>
      <c r="AZ165" s="10">
        <f t="shared" si="63"/>
        <v>0</v>
      </c>
      <c r="BA165" s="16">
        <f t="shared" si="53"/>
        <v>0</v>
      </c>
      <c r="BB165" s="16">
        <f t="shared" si="54"/>
        <v>0</v>
      </c>
      <c r="BC165" s="10">
        <f t="shared" si="55"/>
        <v>0</v>
      </c>
      <c r="BD165" s="10">
        <f>IF(B165="QB",COUNTIFS($B$5:B165,B165,$J$5:J165,J165),1)</f>
        <v>1</v>
      </c>
      <c r="BE165" t="str">
        <f t="shared" si="56"/>
        <v>Alshon Jeffery</v>
      </c>
      <c r="BF165">
        <f t="shared" si="57"/>
        <v>4500</v>
      </c>
      <c r="BG165" t="str">
        <f t="shared" si="58"/>
        <v>WR</v>
      </c>
      <c r="BH165" s="16">
        <f t="shared" si="59"/>
        <v>0</v>
      </c>
    </row>
    <row r="166" spans="1:60" x14ac:dyDescent="0.2">
      <c r="A166" t="s">
        <v>2974</v>
      </c>
      <c r="B166" t="s">
        <v>68</v>
      </c>
      <c r="C166" t="s">
        <v>2628</v>
      </c>
      <c r="D166" t="s">
        <v>1827</v>
      </c>
      <c r="E166" t="s">
        <v>2629</v>
      </c>
      <c r="F166">
        <v>3.95000004768371</v>
      </c>
      <c r="G166">
        <v>4</v>
      </c>
      <c r="H166">
        <v>4500</v>
      </c>
      <c r="I166" t="s">
        <v>2720</v>
      </c>
      <c r="J166" t="s">
        <v>728</v>
      </c>
      <c r="K166" t="s">
        <v>102</v>
      </c>
      <c r="L166" t="s">
        <v>94</v>
      </c>
      <c r="M166" t="s">
        <v>210</v>
      </c>
      <c r="O166" t="str">
        <f t="shared" si="43"/>
        <v>Troymaine Pope</v>
      </c>
      <c r="P166" t="str">
        <f>IFERROR(VLOOKUP(O:O,'Name Bridge'!A:B,2,FALSE),O:O)</f>
        <v>Troymaine Pope</v>
      </c>
      <c r="Q166" s="10">
        <f>VLOOKUP($K166,'CY Defensive Stats Query'!$AC:$AH,2,FALSE)</f>
        <v>5.9890109890109891</v>
      </c>
      <c r="R166" s="10">
        <f>VLOOKUP($K166,'CY Defensive Stats Query'!$AC:$AH,4,FALSE)</f>
        <v>3.8190476190476192</v>
      </c>
      <c r="S166" s="10">
        <f>VLOOKUP($K166,'CY Defensive Stats Query'!$AC:$AH,6,FALSE)</f>
        <v>8.515625</v>
      </c>
      <c r="T166" s="10">
        <f>IFERROR(VLOOKUP($P166,'CYPassing Query'!$B:$AE,9,FALSE)/VLOOKUP($P166,'CYPassing Query'!$B:$AE,5,FALSE),0)</f>
        <v>0</v>
      </c>
      <c r="U166" s="10">
        <f>IFERROR(VLOOKUP($P166,'CYPassing Query'!$B:$AE,11,FALSE)/VLOOKUP($P166,'CYPassing Query'!$B:$AE,5,FALSE),0)</f>
        <v>0</v>
      </c>
      <c r="V166" s="10">
        <f>IFERROR(VLOOKUP($P166,'CYPassing Query'!$B:$AE,18,FALSE),0)</f>
        <v>0</v>
      </c>
      <c r="W166" s="10">
        <f>IFERROR(VLOOKUP($P166,'CYPassing Query'!$B:$AE,12,FALSE)/VLOOKUP($P166,'CYPassing Query'!$B:$AE,5,FALSE),0)</f>
        <v>0</v>
      </c>
      <c r="X166" s="10">
        <f>IFERROR(IF(OR($B166="D",$B166="K"),0,VLOOKUP($P166,'CY Receving Query'!$B:$S,7,FALSE)/VLOOKUP($P166,'CY Receving Query'!$B:$S,5,FALSE)),0)*$AJ166</f>
        <v>0</v>
      </c>
      <c r="Y166" s="10">
        <f>IFERROR(VLOOKUP($P166,'CY Receving Query'!$B:$S,8,FALSE)/VLOOKUP($P166,'CY Receving Query'!$B:$S,5,FALSE),0)</f>
        <v>0</v>
      </c>
      <c r="Z166" s="10">
        <f>IFERROR(VLOOKUP($P166,'CY Receving Query'!$B:$S,10,FALSE)/VLOOKUP($P166,'CY Receving Query'!$B:$S,5,FALSE),0)</f>
        <v>0</v>
      </c>
      <c r="AA166" s="10">
        <f>IFERROR(VLOOKUP($P166,'CY Receving Query'!$B:$S,11,FALSE),0)</f>
        <v>0</v>
      </c>
      <c r="AB166" s="10">
        <f>IFERROR(AVERAGE(VLOOKUP($P166,'PY Receiving'!$C:$T,14,FALSE),VLOOKUP($P166,'CY Receiving'!$C:$T,14,FALSE)),0)</f>
        <v>0</v>
      </c>
      <c r="AC166" s="10">
        <f>IFERROR(VLOOKUP($P166,'CY Receving Query'!$B:$S,11,FALSE)/VLOOKUP($P166,'CY Receving Query'!$B:$S,5,FALSE),0)</f>
        <v>0</v>
      </c>
      <c r="AD166" s="10">
        <f>IFERROR(VLOOKUP($P166,'CY Rushing Query'!$B:$O,7,FALSE)/VLOOKUP($P166,'CY Rushing Query'!$B:$O,5,FALSE),0)</f>
        <v>0</v>
      </c>
      <c r="AE166" s="10">
        <f>IFERROR(AVERAGE(VLOOKUP($P166,'PY Rushing'!$C:$P,8,FALSE)/VLOOKUP($P166,'PY Rushing'!$C:$P,5,FALSE),VLOOKUP($P166,'CY Rushing'!$C:$P,8,FALSE)/VLOOKUP($P166,'CY Rushing'!$C:$P,5,FALSE)),0)</f>
        <v>0</v>
      </c>
      <c r="AF166" s="10">
        <f>IFERROR(VLOOKUP($P166,'CY Rushing Query'!$B:$P,12,FALSE),0)</f>
        <v>0</v>
      </c>
      <c r="AG166" s="10">
        <f>IFERROR(VLOOKUP($P166,'CY Rushing Query'!$B:$P,9,FALSE)/VLOOKUP($P166,'CY Rushing Query'!$B:$P,5,FALSE),0)</f>
        <v>0</v>
      </c>
      <c r="AH166" s="10">
        <f>VLOOKUP($J166,'Vegas Odds'!$B:$S,18,FALSE)</f>
        <v>34.555825588251061</v>
      </c>
      <c r="AI166" s="10">
        <f>VLOOKUP($J166,'Vegas Odds'!$B:$S,17,FALSE)</f>
        <v>27.844174411748938</v>
      </c>
      <c r="AJ166">
        <f t="shared" si="60"/>
        <v>1</v>
      </c>
      <c r="AK166" s="10">
        <f t="shared" si="44"/>
        <v>0</v>
      </c>
      <c r="AL166" s="10">
        <f t="shared" si="45"/>
        <v>0</v>
      </c>
      <c r="AM166" s="10">
        <f>V166/'CY Defensive Stats Query'!$AD$34*'Fanduel Export'!Q166</f>
        <v>0</v>
      </c>
      <c r="AN166" s="10">
        <f t="shared" si="61"/>
        <v>0</v>
      </c>
      <c r="AO166" s="10">
        <f>IFERROR(IF(OR($B166="D",$B166="K"),0,VLOOKUP($P166,'CY Receving Query'!$B:$S,7,FALSE)/VLOOKUP($P166,'CY Receving Query'!$B:$S,5,FALSE)),0)*$AJ166</f>
        <v>0</v>
      </c>
      <c r="AP166" s="10">
        <f t="shared" si="46"/>
        <v>25.587418300653596</v>
      </c>
      <c r="AQ166" s="10">
        <f t="shared" si="47"/>
        <v>0</v>
      </c>
      <c r="AR166" s="16">
        <f t="shared" si="48"/>
        <v>0</v>
      </c>
      <c r="AS166" s="16">
        <f t="shared" si="49"/>
        <v>0</v>
      </c>
      <c r="AT166" s="16">
        <f>AA166/'CY Defensive Stats Query'!$AH$34
*'Fanduel Export'!S166</f>
        <v>0</v>
      </c>
      <c r="AU166" s="10">
        <f t="shared" si="62"/>
        <v>0</v>
      </c>
      <c r="AV166" s="10">
        <f t="shared" si="50"/>
        <v>0</v>
      </c>
      <c r="AW166" s="10">
        <f t="shared" si="51"/>
        <v>12.022058823529411</v>
      </c>
      <c r="AX166" s="10">
        <f t="shared" si="52"/>
        <v>0</v>
      </c>
      <c r="AY166" s="10">
        <f>AF166/'CY Defensive Stats Query'!$AF$34
*R166</f>
        <v>0</v>
      </c>
      <c r="AZ166" s="10">
        <f t="shared" si="63"/>
        <v>0</v>
      </c>
      <c r="BA166" s="16">
        <f t="shared" si="53"/>
        <v>0</v>
      </c>
      <c r="BB166" s="16">
        <f t="shared" si="54"/>
        <v>0</v>
      </c>
      <c r="BC166" s="10">
        <f t="shared" si="55"/>
        <v>0</v>
      </c>
      <c r="BD166" s="10">
        <f>IF(B166="QB",COUNTIFS($B$5:B166,B166,$J$5:J166,J166),1)</f>
        <v>1</v>
      </c>
      <c r="BE166" t="str">
        <f t="shared" si="56"/>
        <v>Troymaine Pope</v>
      </c>
      <c r="BF166">
        <f t="shared" si="57"/>
        <v>4500</v>
      </c>
      <c r="BG166" t="str">
        <f t="shared" si="58"/>
        <v>RB</v>
      </c>
      <c r="BH166" s="16">
        <f t="shared" si="59"/>
        <v>0</v>
      </c>
    </row>
    <row r="167" spans="1:60" x14ac:dyDescent="0.2">
      <c r="A167" t="s">
        <v>2975</v>
      </c>
      <c r="B167" t="s">
        <v>83</v>
      </c>
      <c r="C167" t="s">
        <v>2526</v>
      </c>
      <c r="D167" t="s">
        <v>2467</v>
      </c>
      <c r="E167" t="s">
        <v>2222</v>
      </c>
      <c r="F167">
        <v>0</v>
      </c>
      <c r="G167">
        <v>2</v>
      </c>
      <c r="H167">
        <v>4500</v>
      </c>
      <c r="I167" t="s">
        <v>2718</v>
      </c>
      <c r="J167" t="s">
        <v>729</v>
      </c>
      <c r="K167" t="s">
        <v>138</v>
      </c>
      <c r="O167" t="str">
        <f t="shared" si="43"/>
        <v>Reggie Davis</v>
      </c>
      <c r="P167" t="str">
        <f>IFERROR(VLOOKUP(O:O,'Name Bridge'!A:B,2,FALSE),O:O)</f>
        <v>Reggie Davis</v>
      </c>
      <c r="Q167" s="10">
        <f>VLOOKUP($K167,'CY Defensive Stats Query'!$AC:$AH,2,FALSE)</f>
        <v>6.5263157894736841</v>
      </c>
      <c r="R167" s="10">
        <f>VLOOKUP($K167,'CY Defensive Stats Query'!$AC:$AH,4,FALSE)</f>
        <v>4.7051282051282053</v>
      </c>
      <c r="S167" s="10">
        <f>VLOOKUP($K167,'CY Defensive Stats Query'!$AC:$AH,6,FALSE)</f>
        <v>10.191780821917808</v>
      </c>
      <c r="T167" s="10">
        <f>IFERROR(VLOOKUP($P167,'CYPassing Query'!$B:$AE,9,FALSE)/VLOOKUP($P167,'CYPassing Query'!$B:$AE,5,FALSE),0)</f>
        <v>0</v>
      </c>
      <c r="U167" s="10">
        <f>IFERROR(VLOOKUP($P167,'CYPassing Query'!$B:$AE,11,FALSE)/VLOOKUP($P167,'CYPassing Query'!$B:$AE,5,FALSE),0)</f>
        <v>0</v>
      </c>
      <c r="V167" s="10">
        <f>IFERROR(VLOOKUP($P167,'CYPassing Query'!$B:$AE,18,FALSE),0)</f>
        <v>0</v>
      </c>
      <c r="W167" s="10">
        <f>IFERROR(VLOOKUP($P167,'CYPassing Query'!$B:$AE,12,FALSE)/VLOOKUP($P167,'CYPassing Query'!$B:$AE,5,FALSE),0)</f>
        <v>0</v>
      </c>
      <c r="X167" s="10">
        <f>IFERROR(IF(OR($B167="D",$B167="K"),0,VLOOKUP($P167,'CY Receving Query'!$B:$S,7,FALSE)/VLOOKUP($P167,'CY Receving Query'!$B:$S,5,FALSE)),0)*$AJ167</f>
        <v>0</v>
      </c>
      <c r="Y167" s="10">
        <f>IFERROR(VLOOKUP($P167,'CY Receving Query'!$B:$S,8,FALSE)/VLOOKUP($P167,'CY Receving Query'!$B:$S,5,FALSE),0)</f>
        <v>0</v>
      </c>
      <c r="Z167" s="10">
        <f>IFERROR(VLOOKUP($P167,'CY Receving Query'!$B:$S,10,FALSE)/VLOOKUP($P167,'CY Receving Query'!$B:$S,5,FALSE),0)</f>
        <v>0</v>
      </c>
      <c r="AA167" s="10">
        <f>IFERROR(VLOOKUP($P167,'CY Receving Query'!$B:$S,11,FALSE),0)</f>
        <v>0</v>
      </c>
      <c r="AB167" s="10">
        <f>IFERROR(AVERAGE(VLOOKUP($P167,'PY Receiving'!$C:$T,14,FALSE),VLOOKUP($P167,'CY Receiving'!$C:$T,14,FALSE)),0)</f>
        <v>0</v>
      </c>
      <c r="AC167" s="10">
        <f>IFERROR(VLOOKUP($P167,'CY Receving Query'!$B:$S,11,FALSE)/VLOOKUP($P167,'CY Receving Query'!$B:$S,5,FALSE),0)</f>
        <v>0</v>
      </c>
      <c r="AD167" s="10">
        <f>IFERROR(VLOOKUP($P167,'CY Rushing Query'!$B:$O,7,FALSE)/VLOOKUP($P167,'CY Rushing Query'!$B:$O,5,FALSE),0)</f>
        <v>0</v>
      </c>
      <c r="AE167" s="10">
        <f>IFERROR(AVERAGE(VLOOKUP($P167,'PY Rushing'!$C:$P,8,FALSE)/VLOOKUP($P167,'PY Rushing'!$C:$P,5,FALSE),VLOOKUP($P167,'CY Rushing'!$C:$P,8,FALSE)/VLOOKUP($P167,'CY Rushing'!$C:$P,5,FALSE)),0)</f>
        <v>0</v>
      </c>
      <c r="AF167" s="10">
        <f>IFERROR(VLOOKUP($P167,'CY Rushing Query'!$B:$P,12,FALSE),0)</f>
        <v>0</v>
      </c>
      <c r="AG167" s="10">
        <f>IFERROR(VLOOKUP($P167,'CY Rushing Query'!$B:$P,9,FALSE)/VLOOKUP($P167,'CY Rushing Query'!$B:$P,5,FALSE),0)</f>
        <v>0</v>
      </c>
      <c r="AH167" s="10">
        <f>VLOOKUP($J167,'Vegas Odds'!$B:$S,18,FALSE)</f>
        <v>38.06292701199007</v>
      </c>
      <c r="AI167" s="10">
        <f>VLOOKUP($J167,'Vegas Odds'!$B:$S,17,FALSE)</f>
        <v>29.237072988009928</v>
      </c>
      <c r="AJ167">
        <f t="shared" si="60"/>
        <v>1</v>
      </c>
      <c r="AK167" s="10">
        <f t="shared" si="44"/>
        <v>0</v>
      </c>
      <c r="AL167" s="10">
        <f t="shared" si="45"/>
        <v>0</v>
      </c>
      <c r="AM167" s="10">
        <f>V167/'CY Defensive Stats Query'!$AD$34*'Fanduel Export'!Q167</f>
        <v>0</v>
      </c>
      <c r="AN167" s="10">
        <f t="shared" si="61"/>
        <v>0</v>
      </c>
      <c r="AO167" s="10">
        <f>IFERROR(IF(OR($B167="D",$B167="K"),0,VLOOKUP($P167,'CY Receving Query'!$B:$S,7,FALSE)/VLOOKUP($P167,'CY Receving Query'!$B:$S,5,FALSE)),0)*$AJ167</f>
        <v>0</v>
      </c>
      <c r="AP167" s="10">
        <f t="shared" si="46"/>
        <v>30.199512497306614</v>
      </c>
      <c r="AQ167" s="10">
        <f t="shared" si="47"/>
        <v>0</v>
      </c>
      <c r="AR167" s="16">
        <f t="shared" si="48"/>
        <v>0</v>
      </c>
      <c r="AS167" s="16">
        <f t="shared" si="49"/>
        <v>0</v>
      </c>
      <c r="AT167" s="16">
        <f>AA167/'CY Defensive Stats Query'!$AH$34
*'Fanduel Export'!S167</f>
        <v>0</v>
      </c>
      <c r="AU167" s="10">
        <f t="shared" si="62"/>
        <v>0</v>
      </c>
      <c r="AV167" s="10">
        <f t="shared" si="50"/>
        <v>0</v>
      </c>
      <c r="AW167" s="10">
        <f t="shared" si="51"/>
        <v>30.007352941176471</v>
      </c>
      <c r="AX167" s="10">
        <f t="shared" si="52"/>
        <v>0</v>
      </c>
      <c r="AY167" s="10">
        <f>AF167/'CY Defensive Stats Query'!$AF$34
*R167</f>
        <v>0</v>
      </c>
      <c r="AZ167" s="10">
        <f t="shared" si="63"/>
        <v>0</v>
      </c>
      <c r="BA167" s="16">
        <f t="shared" si="53"/>
        <v>0</v>
      </c>
      <c r="BB167" s="16">
        <f t="shared" si="54"/>
        <v>0</v>
      </c>
      <c r="BC167" s="10">
        <f t="shared" si="55"/>
        <v>0</v>
      </c>
      <c r="BD167" s="10">
        <f>IF(B167="QB",COUNTIFS($B$5:B167,B167,$J$5:J167,J167),1)</f>
        <v>1</v>
      </c>
      <c r="BE167" t="str">
        <f t="shared" si="56"/>
        <v>Reggie Davis</v>
      </c>
      <c r="BF167">
        <f t="shared" si="57"/>
        <v>4500</v>
      </c>
      <c r="BG167" t="str">
        <f t="shared" si="58"/>
        <v>WR</v>
      </c>
      <c r="BH167" s="16">
        <f t="shared" si="59"/>
        <v>0</v>
      </c>
    </row>
    <row r="168" spans="1:60" x14ac:dyDescent="0.2">
      <c r="A168" t="s">
        <v>2976</v>
      </c>
      <c r="B168" t="s">
        <v>83</v>
      </c>
      <c r="C168" t="s">
        <v>2702</v>
      </c>
      <c r="D168" t="s">
        <v>2419</v>
      </c>
      <c r="E168" t="s">
        <v>2703</v>
      </c>
      <c r="F168">
        <v>2.0999999046325599</v>
      </c>
      <c r="G168">
        <v>1</v>
      </c>
      <c r="H168">
        <v>4500</v>
      </c>
      <c r="I168" t="s">
        <v>2718</v>
      </c>
      <c r="J168" t="s">
        <v>138</v>
      </c>
      <c r="K168" t="s">
        <v>729</v>
      </c>
      <c r="O168" t="str">
        <f t="shared" si="43"/>
        <v>Bennie Fowler III</v>
      </c>
      <c r="P168" t="str">
        <f>IFERROR(VLOOKUP(O:O,'Name Bridge'!A:B,2,FALSE),O:O)</f>
        <v>Bennie Fowler III</v>
      </c>
      <c r="Q168" s="10">
        <f>VLOOKUP($K168,'CY Defensive Stats Query'!$AC:$AH,2,FALSE)</f>
        <v>7.6538461538461542</v>
      </c>
      <c r="R168" s="10">
        <f>VLOOKUP($K168,'CY Defensive Stats Query'!$AC:$AH,4,FALSE)</f>
        <v>4.6888888888888891</v>
      </c>
      <c r="S168" s="10">
        <f>VLOOKUP($K168,'CY Defensive Stats Query'!$AC:$AH,6,FALSE)</f>
        <v>11.306818181818182</v>
      </c>
      <c r="T168" s="10">
        <f>IFERROR(VLOOKUP($P168,'CYPassing Query'!$B:$AE,9,FALSE)/VLOOKUP($P168,'CYPassing Query'!$B:$AE,5,FALSE),0)</f>
        <v>0</v>
      </c>
      <c r="U168" s="10">
        <f>IFERROR(VLOOKUP($P168,'CYPassing Query'!$B:$AE,11,FALSE)/VLOOKUP($P168,'CYPassing Query'!$B:$AE,5,FALSE),0)</f>
        <v>0</v>
      </c>
      <c r="V168" s="10">
        <f>IFERROR(VLOOKUP($P168,'CYPassing Query'!$B:$AE,18,FALSE),0)</f>
        <v>0</v>
      </c>
      <c r="W168" s="10">
        <f>IFERROR(VLOOKUP($P168,'CYPassing Query'!$B:$AE,12,FALSE)/VLOOKUP($P168,'CYPassing Query'!$B:$AE,5,FALSE),0)</f>
        <v>0</v>
      </c>
      <c r="X168" s="10">
        <f>IFERROR(IF(OR($B168="D",$B168="K"),0,VLOOKUP($P168,'CY Receving Query'!$B:$S,7,FALSE)/VLOOKUP($P168,'CY Receving Query'!$B:$S,5,FALSE)),0)*$AJ168</f>
        <v>0</v>
      </c>
      <c r="Y168" s="10">
        <f>IFERROR(VLOOKUP($P168,'CY Receving Query'!$B:$S,8,FALSE)/VLOOKUP($P168,'CY Receving Query'!$B:$S,5,FALSE),0)</f>
        <v>0</v>
      </c>
      <c r="Z168" s="10">
        <f>IFERROR(VLOOKUP($P168,'CY Receving Query'!$B:$S,10,FALSE)/VLOOKUP($P168,'CY Receving Query'!$B:$S,5,FALSE),0)</f>
        <v>0</v>
      </c>
      <c r="AA168" s="10">
        <f>IFERROR(VLOOKUP($P168,'CY Receving Query'!$B:$S,11,FALSE),0)</f>
        <v>0</v>
      </c>
      <c r="AB168" s="10">
        <f>IFERROR(AVERAGE(VLOOKUP($P168,'PY Receiving'!$C:$T,14,FALSE),VLOOKUP($P168,'CY Receiving'!$C:$T,14,FALSE)),0)</f>
        <v>0</v>
      </c>
      <c r="AC168" s="10">
        <f>IFERROR(VLOOKUP($P168,'CY Receving Query'!$B:$S,11,FALSE)/VLOOKUP($P168,'CY Receving Query'!$B:$S,5,FALSE),0)</f>
        <v>0</v>
      </c>
      <c r="AD168" s="10">
        <f>IFERROR(VLOOKUP($P168,'CY Rushing Query'!$B:$O,7,FALSE)/VLOOKUP($P168,'CY Rushing Query'!$B:$O,5,FALSE),0)</f>
        <v>0</v>
      </c>
      <c r="AE168" s="10">
        <f>IFERROR(AVERAGE(VLOOKUP($P168,'PY Rushing'!$C:$P,8,FALSE)/VLOOKUP($P168,'PY Rushing'!$C:$P,5,FALSE),VLOOKUP($P168,'CY Rushing'!$C:$P,8,FALSE)/VLOOKUP($P168,'CY Rushing'!$C:$P,5,FALSE)),0)</f>
        <v>0</v>
      </c>
      <c r="AF168" s="10">
        <f>IFERROR(VLOOKUP($P168,'CY Rushing Query'!$B:$P,12,FALSE),0)</f>
        <v>0</v>
      </c>
      <c r="AG168" s="10">
        <f>IFERROR(VLOOKUP($P168,'CY Rushing Query'!$B:$P,9,FALSE)/VLOOKUP($P168,'CY Rushing Query'!$B:$P,5,FALSE),0)</f>
        <v>0</v>
      </c>
      <c r="AH168" s="10">
        <f>VLOOKUP($J168,'Vegas Odds'!$B:$S,18,FALSE)</f>
        <v>32.679248170039784</v>
      </c>
      <c r="AI168" s="10">
        <f>VLOOKUP($J168,'Vegas Odds'!$B:$S,17,FALSE)</f>
        <v>32.620751829960213</v>
      </c>
      <c r="AJ168">
        <f t="shared" si="60"/>
        <v>1</v>
      </c>
      <c r="AK168" s="10">
        <f t="shared" si="44"/>
        <v>0</v>
      </c>
      <c r="AL168" s="10">
        <f t="shared" si="45"/>
        <v>0</v>
      </c>
      <c r="AM168" s="10">
        <f>V168/'CY Defensive Stats Query'!$AD$34*'Fanduel Export'!Q168</f>
        <v>0</v>
      </c>
      <c r="AN168" s="10">
        <f t="shared" si="61"/>
        <v>0</v>
      </c>
      <c r="AO168" s="10">
        <f>IFERROR(IF(OR($B168="D",$B168="K"),0,VLOOKUP($P168,'CY Receving Query'!$B:$S,7,FALSE)/VLOOKUP($P168,'CY Receving Query'!$B:$S,5,FALSE)),0)*$AJ168</f>
        <v>0</v>
      </c>
      <c r="AP168" s="10">
        <f t="shared" si="46"/>
        <v>29.704370384517439</v>
      </c>
      <c r="AQ168" s="10">
        <f t="shared" si="47"/>
        <v>0</v>
      </c>
      <c r="AR168" s="16">
        <f t="shared" si="48"/>
        <v>0</v>
      </c>
      <c r="AS168" s="16">
        <f t="shared" si="49"/>
        <v>0</v>
      </c>
      <c r="AT168" s="16">
        <f>AA168/'CY Defensive Stats Query'!$AH$34
*'Fanduel Export'!S168</f>
        <v>0</v>
      </c>
      <c r="AU168" s="10">
        <f t="shared" si="62"/>
        <v>0</v>
      </c>
      <c r="AV168" s="10">
        <f t="shared" si="50"/>
        <v>0</v>
      </c>
      <c r="AW168" s="10">
        <f t="shared" si="51"/>
        <v>40.335297300738475</v>
      </c>
      <c r="AX168" s="10">
        <f t="shared" si="52"/>
        <v>0</v>
      </c>
      <c r="AY168" s="10">
        <f>AF168/'CY Defensive Stats Query'!$AF$34
*R168</f>
        <v>0</v>
      </c>
      <c r="AZ168" s="10">
        <f t="shared" si="63"/>
        <v>0</v>
      </c>
      <c r="BA168" s="16">
        <f t="shared" si="53"/>
        <v>0</v>
      </c>
      <c r="BB168" s="16">
        <f t="shared" si="54"/>
        <v>0</v>
      </c>
      <c r="BC168" s="10">
        <f t="shared" si="55"/>
        <v>0</v>
      </c>
      <c r="BD168" s="10">
        <f>IF(B168="QB",COUNTIFS($B$5:B168,B168,$J$5:J168,J168),1)</f>
        <v>1</v>
      </c>
      <c r="BE168" t="str">
        <f t="shared" si="56"/>
        <v>Bennie Fowler III</v>
      </c>
      <c r="BF168">
        <f t="shared" si="57"/>
        <v>4500</v>
      </c>
      <c r="BG168" t="str">
        <f t="shared" si="58"/>
        <v>WR</v>
      </c>
      <c r="BH168" s="16">
        <f t="shared" si="59"/>
        <v>0</v>
      </c>
    </row>
    <row r="169" spans="1:60" x14ac:dyDescent="0.2">
      <c r="A169" t="s">
        <v>2977</v>
      </c>
      <c r="B169" t="s">
        <v>88</v>
      </c>
      <c r="C169" t="s">
        <v>2836</v>
      </c>
      <c r="D169" t="s">
        <v>2359</v>
      </c>
      <c r="E169" t="s">
        <v>2515</v>
      </c>
      <c r="F169">
        <v>1.8714286259242401</v>
      </c>
      <c r="G169">
        <v>7</v>
      </c>
      <c r="H169">
        <v>4400</v>
      </c>
      <c r="I169" t="s">
        <v>2716</v>
      </c>
      <c r="J169" t="s">
        <v>81</v>
      </c>
      <c r="K169" t="s">
        <v>99</v>
      </c>
      <c r="O169" t="str">
        <f t="shared" si="43"/>
        <v>Noah Gray</v>
      </c>
      <c r="P169" t="str">
        <f>IFERROR(VLOOKUP(O:O,'Name Bridge'!A:B,2,FALSE),O:O)</f>
        <v>Noah Gray</v>
      </c>
      <c r="Q169" s="10">
        <f>VLOOKUP($K169,'CY Defensive Stats Query'!$AC:$AH,2,FALSE)</f>
        <v>7.5377358490566042</v>
      </c>
      <c r="R169" s="10">
        <f>VLOOKUP($K169,'CY Defensive Stats Query'!$AC:$AH,4,FALSE)</f>
        <v>3.5810810810810811</v>
      </c>
      <c r="S169" s="10">
        <f>VLOOKUP($K169,'CY Defensive Stats Query'!$AC:$AH,6,FALSE)</f>
        <v>11.097222222222221</v>
      </c>
      <c r="T169" s="10">
        <f>IFERROR(VLOOKUP($P169,'CYPassing Query'!$B:$AE,9,FALSE)/VLOOKUP($P169,'CYPassing Query'!$B:$AE,5,FALSE),0)</f>
        <v>0</v>
      </c>
      <c r="U169" s="10">
        <f>IFERROR(VLOOKUP($P169,'CYPassing Query'!$B:$AE,11,FALSE)/VLOOKUP($P169,'CYPassing Query'!$B:$AE,5,FALSE),0)</f>
        <v>0</v>
      </c>
      <c r="V169" s="10">
        <f>IFERROR(VLOOKUP($P169,'CYPassing Query'!$B:$AE,18,FALSE),0)</f>
        <v>0</v>
      </c>
      <c r="W169" s="10">
        <f>IFERROR(VLOOKUP($P169,'CYPassing Query'!$B:$AE,12,FALSE)/VLOOKUP($P169,'CYPassing Query'!$B:$AE,5,FALSE),0)</f>
        <v>0</v>
      </c>
      <c r="X169" s="10">
        <f>IFERROR(IF(OR($B169="D",$B169="K"),0,VLOOKUP($P169,'CY Receving Query'!$B:$S,7,FALSE)/VLOOKUP($P169,'CY Receving Query'!$B:$S,5,FALSE)),0)*$AJ169</f>
        <v>0.625</v>
      </c>
      <c r="Y169" s="10">
        <f>IFERROR(VLOOKUP($P169,'CY Receving Query'!$B:$S,8,FALSE)/VLOOKUP($P169,'CY Receving Query'!$B:$S,5,FALSE),0)</f>
        <v>0.4375</v>
      </c>
      <c r="Z169" s="10">
        <f>IFERROR(VLOOKUP($P169,'CY Receving Query'!$B:$S,10,FALSE)/VLOOKUP($P169,'CY Receving Query'!$B:$S,5,FALSE),0)</f>
        <v>2.25</v>
      </c>
      <c r="AA169" s="10">
        <f>IFERROR(VLOOKUP($P169,'CY Receving Query'!$B:$S,11,FALSE),0)</f>
        <v>5.0999999999999996</v>
      </c>
      <c r="AB169" s="10">
        <f>IFERROR(AVERAGE(VLOOKUP($P169,'PY Receiving'!$C:$T,14,FALSE),VLOOKUP($P169,'CY Receiving'!$C:$T,14,FALSE)),0)</f>
        <v>0</v>
      </c>
      <c r="AC169" s="10">
        <f>IFERROR(VLOOKUP($P169,'CY Receving Query'!$B:$S,11,FALSE)/VLOOKUP($P169,'CY Receving Query'!$B:$S,5,FALSE),0)</f>
        <v>0.31874999999999998</v>
      </c>
      <c r="AD169" s="10">
        <f>IFERROR(VLOOKUP($P169,'CY Rushing Query'!$B:$O,7,FALSE)/VLOOKUP($P169,'CY Rushing Query'!$B:$O,5,FALSE),0)</f>
        <v>0</v>
      </c>
      <c r="AE169" s="10">
        <f>IFERROR(AVERAGE(VLOOKUP($P169,'PY Rushing'!$C:$P,8,FALSE)/VLOOKUP($P169,'PY Rushing'!$C:$P,5,FALSE),VLOOKUP($P169,'CY Rushing'!$C:$P,8,FALSE)/VLOOKUP($P169,'CY Rushing'!$C:$P,5,FALSE)),0)</f>
        <v>0</v>
      </c>
      <c r="AF169" s="10">
        <f>IFERROR(VLOOKUP($P169,'CY Rushing Query'!$B:$P,12,FALSE),0)</f>
        <v>0</v>
      </c>
      <c r="AG169" s="10">
        <f>IFERROR(VLOOKUP($P169,'CY Rushing Query'!$B:$P,9,FALSE)/VLOOKUP($P169,'CY Rushing Query'!$B:$P,5,FALSE),0)</f>
        <v>0</v>
      </c>
      <c r="AH169" s="10">
        <f>VLOOKUP($J169,'Vegas Odds'!$B:$S,18,FALSE)</f>
        <v>37.933262350936971</v>
      </c>
      <c r="AI169" s="10">
        <f>VLOOKUP($J169,'Vegas Odds'!$B:$S,17,FALSE)</f>
        <v>27.766737649063032</v>
      </c>
      <c r="AJ169">
        <f t="shared" si="60"/>
        <v>1</v>
      </c>
      <c r="AK169" s="10">
        <f t="shared" si="44"/>
        <v>0</v>
      </c>
      <c r="AL169" s="10">
        <f t="shared" si="45"/>
        <v>0</v>
      </c>
      <c r="AM169" s="10">
        <f>V169/'CY Defensive Stats Query'!$AD$34*'Fanduel Export'!Q169</f>
        <v>0</v>
      </c>
      <c r="AN169" s="10">
        <f t="shared" si="61"/>
        <v>0</v>
      </c>
      <c r="AO169" s="10">
        <f>IFERROR(IF(OR($B169="D",$B169="K"),0,VLOOKUP($P169,'CY Receving Query'!$B:$S,7,FALSE)/VLOOKUP($P169,'CY Receving Query'!$B:$S,5,FALSE)),0)*$AJ169</f>
        <v>0.625</v>
      </c>
      <c r="AP169" s="10">
        <f t="shared" si="46"/>
        <v>37.365221788015901</v>
      </c>
      <c r="AQ169" s="10">
        <f t="shared" si="47"/>
        <v>0.63450149189103799</v>
      </c>
      <c r="AR169" s="16">
        <f t="shared" si="48"/>
        <v>0.4375</v>
      </c>
      <c r="AS169" s="16">
        <f t="shared" si="49"/>
        <v>0.44415104432372654</v>
      </c>
      <c r="AT169" s="16">
        <f>AA169/'CY Defensive Stats Query'!$AH$34
*'Fanduel Export'!S169</f>
        <v>5.3829344478380445</v>
      </c>
      <c r="AU169" s="10">
        <f t="shared" si="62"/>
        <v>2.3908359565334298</v>
      </c>
      <c r="AV169" s="10">
        <f t="shared" si="50"/>
        <v>0</v>
      </c>
      <c r="AW169" s="10">
        <f t="shared" si="51"/>
        <v>19.787381735911151</v>
      </c>
      <c r="AX169" s="10">
        <f t="shared" si="52"/>
        <v>0</v>
      </c>
      <c r="AY169" s="10">
        <f>AF169/'CY Defensive Stats Query'!$AF$34
*R169</f>
        <v>0</v>
      </c>
      <c r="AZ169" s="10">
        <f t="shared" si="63"/>
        <v>0</v>
      </c>
      <c r="BA169" s="16">
        <f t="shared" si="53"/>
        <v>0.45783359565334297</v>
      </c>
      <c r="BB169" s="16">
        <f t="shared" si="54"/>
        <v>0.1040530899212143</v>
      </c>
      <c r="BC169" s="10">
        <f t="shared" si="55"/>
        <v>0.14204545454545453</v>
      </c>
      <c r="BD169" s="10">
        <f>IF(B169="QB",COUNTIFS($B$5:B169,B169,$J$5:J169,J169),1)</f>
        <v>1</v>
      </c>
      <c r="BE169" t="str">
        <f t="shared" si="56"/>
        <v>Noah Gray</v>
      </c>
      <c r="BF169">
        <f t="shared" si="57"/>
        <v>4400</v>
      </c>
      <c r="BG169" t="str">
        <f t="shared" si="58"/>
        <v>TE</v>
      </c>
      <c r="BH169" s="16">
        <f t="shared" si="59"/>
        <v>0.45783359565334297</v>
      </c>
    </row>
    <row r="170" spans="1:60" x14ac:dyDescent="0.2">
      <c r="A170" t="s">
        <v>2978</v>
      </c>
      <c r="B170" t="s">
        <v>88</v>
      </c>
      <c r="C170" t="s">
        <v>2979</v>
      </c>
      <c r="D170" t="s">
        <v>623</v>
      </c>
      <c r="E170" t="s">
        <v>2536</v>
      </c>
      <c r="F170">
        <v>2.0999999046325599</v>
      </c>
      <c r="G170">
        <v>1</v>
      </c>
      <c r="H170">
        <v>4300</v>
      </c>
      <c r="I170" t="s">
        <v>2720</v>
      </c>
      <c r="J170" t="s">
        <v>102</v>
      </c>
      <c r="K170" t="s">
        <v>728</v>
      </c>
      <c r="O170" t="str">
        <f t="shared" si="43"/>
        <v>Richard Rodgers</v>
      </c>
      <c r="P170" t="str">
        <f>IFERROR(VLOOKUP(O:O,'Name Bridge'!A:B,2,FALSE),O:O)</f>
        <v>Richard Rodgers</v>
      </c>
      <c r="Q170" s="10">
        <f>VLOOKUP($K170,'CY Defensive Stats Query'!$AC:$AH,2,FALSE)</f>
        <v>7.0486111111111107</v>
      </c>
      <c r="R170" s="10">
        <f>VLOOKUP($K170,'CY Defensive Stats Query'!$AC:$AH,4,FALSE)</f>
        <v>3.0806451612903225</v>
      </c>
      <c r="S170" s="10">
        <f>VLOOKUP($K170,'CY Defensive Stats Query'!$AC:$AH,6,FALSE)</f>
        <v>9.759615384615385</v>
      </c>
      <c r="T170" s="10">
        <f>IFERROR(VLOOKUP($P170,'CYPassing Query'!$B:$AE,9,FALSE)/VLOOKUP($P170,'CYPassing Query'!$B:$AE,5,FALSE),0)</f>
        <v>0</v>
      </c>
      <c r="U170" s="10">
        <f>IFERROR(VLOOKUP($P170,'CYPassing Query'!$B:$AE,11,FALSE)/VLOOKUP($P170,'CYPassing Query'!$B:$AE,5,FALSE),0)</f>
        <v>0</v>
      </c>
      <c r="V170" s="10">
        <f>IFERROR(VLOOKUP($P170,'CYPassing Query'!$B:$AE,18,FALSE),0)</f>
        <v>0</v>
      </c>
      <c r="W170" s="10">
        <f>IFERROR(VLOOKUP($P170,'CYPassing Query'!$B:$AE,12,FALSE)/VLOOKUP($P170,'CYPassing Query'!$B:$AE,5,FALSE),0)</f>
        <v>0</v>
      </c>
      <c r="X170" s="10">
        <f>IFERROR(IF(OR($B170="D",$B170="K"),0,VLOOKUP($P170,'CY Receving Query'!$B:$S,7,FALSE)/VLOOKUP($P170,'CY Receving Query'!$B:$S,5,FALSE)),0)*$AJ170</f>
        <v>0.66666666666666663</v>
      </c>
      <c r="Y170" s="10">
        <f>IFERROR(VLOOKUP($P170,'CY Receving Query'!$B:$S,8,FALSE)/VLOOKUP($P170,'CY Receving Query'!$B:$S,5,FALSE),0)</f>
        <v>0.66666666666666663</v>
      </c>
      <c r="Z170" s="10">
        <f>IFERROR(VLOOKUP($P170,'CY Receving Query'!$B:$S,10,FALSE)/VLOOKUP($P170,'CY Receving Query'!$B:$S,5,FALSE),0)</f>
        <v>3.6666666666666665</v>
      </c>
      <c r="AA170" s="10">
        <f>IFERROR(VLOOKUP($P170,'CY Receving Query'!$B:$S,11,FALSE),0)</f>
        <v>5.5</v>
      </c>
      <c r="AB170" s="10">
        <f>IFERROR(VLOOKUP($P170,'CY Receiving'!$C:$T,14,FALSE),0)</f>
        <v>0</v>
      </c>
      <c r="AC170" s="10">
        <f>IFERROR(VLOOKUP($P170,'CY Receving Query'!$B:$S,11,FALSE)/VLOOKUP($P170,'CY Receving Query'!$B:$S,5,FALSE),0)</f>
        <v>1.8333333333333333</v>
      </c>
      <c r="AD170" s="10">
        <f>IFERROR(VLOOKUP($P170,'CY Rushing Query'!$B:$O,7,FALSE)/VLOOKUP($P170,'CY Rushing Query'!$B:$O,5,FALSE),0)</f>
        <v>0</v>
      </c>
      <c r="AE170" s="10">
        <f>IFERROR(AVERAGE(VLOOKUP($P170,'PY Rushing'!$C:$P,8,FALSE)/VLOOKUP($P170,'PY Rushing'!$C:$P,5,FALSE),VLOOKUP($P170,'CY Rushing'!$C:$P,8,FALSE)/VLOOKUP($P170,'CY Rushing'!$C:$P,5,FALSE)),0)</f>
        <v>0</v>
      </c>
      <c r="AF170" s="10">
        <f>IFERROR(VLOOKUP($P170,'CY Rushing Query'!$B:$P,12,FALSE),0)</f>
        <v>0</v>
      </c>
      <c r="AG170" s="10">
        <f>IFERROR(VLOOKUP($P170,'CY Rushing Query'!$B:$P,9,FALSE)/VLOOKUP($P170,'CY Rushing Query'!$B:$P,5,FALSE),0)</f>
        <v>0</v>
      </c>
      <c r="AH170" s="10">
        <f>VLOOKUP($J170,'Vegas Odds'!$B:$S,18,FALSE)</f>
        <v>44.85966247691475</v>
      </c>
      <c r="AI170" s="10">
        <f>VLOOKUP($J170,'Vegas Odds'!$B:$S,17,FALSE)</f>
        <v>17.740337523085255</v>
      </c>
      <c r="AJ170">
        <f t="shared" si="60"/>
        <v>1</v>
      </c>
      <c r="AK170" s="10">
        <f t="shared" si="44"/>
        <v>0</v>
      </c>
      <c r="AL170" s="10">
        <f t="shared" si="45"/>
        <v>0</v>
      </c>
      <c r="AM170" s="10">
        <f>V170/'CY Defensive Stats Query'!$AD$34*'Fanduel Export'!Q170</f>
        <v>0</v>
      </c>
      <c r="AN170" s="10">
        <f t="shared" si="61"/>
        <v>0</v>
      </c>
      <c r="AO170" s="10">
        <f>IFERROR(IF(OR($B170="D",$B170="K"),0,VLOOKUP($P170,'CY Receving Query'!$B:$S,7,FALSE)/VLOOKUP($P170,'CY Receving Query'!$B:$S,5,FALSE)),0)*$AJ170</f>
        <v>0.66666666666666663</v>
      </c>
      <c r="AP170" s="10">
        <f t="shared" si="46"/>
        <v>28.54982492997199</v>
      </c>
      <c r="AQ170" s="10">
        <f t="shared" si="47"/>
        <v>1.0475175145428059</v>
      </c>
      <c r="AR170" s="16">
        <f t="shared" si="48"/>
        <v>0.66666666666666663</v>
      </c>
      <c r="AS170" s="16">
        <f t="shared" si="49"/>
        <v>1.0475175145428059</v>
      </c>
      <c r="AT170" s="16">
        <f>AA170/'CY Defensive Stats Query'!$AH$34
*'Fanduel Export'!S170</f>
        <v>5.1054029451501979</v>
      </c>
      <c r="AU170" s="10">
        <f t="shared" si="62"/>
        <v>5.347999003843257</v>
      </c>
      <c r="AV170" s="10">
        <f t="shared" si="50"/>
        <v>0</v>
      </c>
      <c r="AW170" s="10">
        <f t="shared" si="51"/>
        <v>56.303606442577035</v>
      </c>
      <c r="AX170" s="10">
        <f t="shared" si="52"/>
        <v>0</v>
      </c>
      <c r="AY170" s="10">
        <f>AF170/'CY Defensive Stats Query'!$AF$34
*R170</f>
        <v>0</v>
      </c>
      <c r="AZ170" s="10">
        <f t="shared" si="63"/>
        <v>0</v>
      </c>
      <c r="BA170" s="16">
        <f t="shared" si="53"/>
        <v>0.86813323371765905</v>
      </c>
      <c r="BB170" s="16">
        <f t="shared" si="54"/>
        <v>0.20189144970178119</v>
      </c>
      <c r="BC170" s="10">
        <f t="shared" si="55"/>
        <v>0.15503875968992248</v>
      </c>
      <c r="BD170" s="10">
        <f>IF(B170="QB",COUNTIFS($B$5:B170,B170,$J$5:J170,J170),1)</f>
        <v>1</v>
      </c>
      <c r="BE170" t="str">
        <f t="shared" si="56"/>
        <v>Richard Rodgers</v>
      </c>
      <c r="BF170">
        <f t="shared" si="57"/>
        <v>4300</v>
      </c>
      <c r="BG170" t="str">
        <f t="shared" si="58"/>
        <v>TE</v>
      </c>
      <c r="BH170" s="16">
        <f t="shared" si="59"/>
        <v>0.86813323371765905</v>
      </c>
    </row>
    <row r="171" spans="1:60" x14ac:dyDescent="0.2">
      <c r="A171" t="s">
        <v>2980</v>
      </c>
      <c r="B171" t="s">
        <v>88</v>
      </c>
      <c r="C171" t="s">
        <v>2262</v>
      </c>
      <c r="D171" t="s">
        <v>648</v>
      </c>
      <c r="E171" t="s">
        <v>2519</v>
      </c>
      <c r="F171">
        <v>1.2909090735695501</v>
      </c>
      <c r="G171">
        <v>11</v>
      </c>
      <c r="H171">
        <v>4300</v>
      </c>
      <c r="I171" t="s">
        <v>2716</v>
      </c>
      <c r="J171" t="s">
        <v>81</v>
      </c>
      <c r="K171" t="s">
        <v>99</v>
      </c>
      <c r="O171" t="str">
        <f t="shared" si="43"/>
        <v>Blake Bell</v>
      </c>
      <c r="P171" t="str">
        <f>IFERROR(VLOOKUP(O:O,'Name Bridge'!A:B,2,FALSE),O:O)</f>
        <v>Blake Bell</v>
      </c>
      <c r="Q171" s="10">
        <f>VLOOKUP($K171,'CY Defensive Stats Query'!$AC:$AH,2,FALSE)</f>
        <v>7.5377358490566042</v>
      </c>
      <c r="R171" s="10">
        <f>VLOOKUP($K171,'CY Defensive Stats Query'!$AC:$AH,4,FALSE)</f>
        <v>3.5810810810810811</v>
      </c>
      <c r="S171" s="10">
        <f>VLOOKUP($K171,'CY Defensive Stats Query'!$AC:$AH,6,FALSE)</f>
        <v>11.097222222222221</v>
      </c>
      <c r="T171" s="10">
        <f>IFERROR(VLOOKUP($P171,'CYPassing Query'!$B:$AE,9,FALSE)/VLOOKUP($P171,'CYPassing Query'!$B:$AE,5,FALSE),0)</f>
        <v>0</v>
      </c>
      <c r="U171" s="10">
        <f>IFERROR(VLOOKUP($P171,'CYPassing Query'!$B:$AE,11,FALSE)/VLOOKUP($P171,'CYPassing Query'!$B:$AE,5,FALSE),0)</f>
        <v>0</v>
      </c>
      <c r="V171" s="10">
        <f>IFERROR(VLOOKUP($P171,'CYPassing Query'!$B:$AE,18,FALSE),0)</f>
        <v>0</v>
      </c>
      <c r="W171" s="10">
        <f>IFERROR(VLOOKUP($P171,'CYPassing Query'!$B:$AE,12,FALSE)/VLOOKUP($P171,'CYPassing Query'!$B:$AE,5,FALSE),0)</f>
        <v>0</v>
      </c>
      <c r="X171" s="10">
        <f>IFERROR(IF(OR($B171="D",$B171="K"),0,VLOOKUP($P171,'CY Receving Query'!$B:$S,7,FALSE)/VLOOKUP($P171,'CY Receving Query'!$B:$S,5,FALSE)),0)*$AJ171</f>
        <v>0.8125</v>
      </c>
      <c r="Y171" s="10">
        <f>IFERROR(VLOOKUP($P171,'CY Receving Query'!$B:$S,8,FALSE)/VLOOKUP($P171,'CY Receving Query'!$B:$S,5,FALSE),0)</f>
        <v>0.5625</v>
      </c>
      <c r="Z171" s="10">
        <f>IFERROR(VLOOKUP($P171,'CY Receving Query'!$B:$S,10,FALSE)/VLOOKUP($P171,'CY Receving Query'!$B:$S,5,FALSE),0)</f>
        <v>5.4375</v>
      </c>
      <c r="AA171" s="10">
        <f>IFERROR(VLOOKUP($P171,'CY Receving Query'!$B:$S,11,FALSE),0)</f>
        <v>9.6999999999999993</v>
      </c>
      <c r="AB171" s="10">
        <f>IFERROR(AVERAGE(VLOOKUP($P171,'PY Receiving'!$C:$T,14,FALSE),VLOOKUP($P171,'CY Receiving'!$C:$T,14,FALSE)),0)</f>
        <v>13.5</v>
      </c>
      <c r="AC171" s="10">
        <f>IFERROR(VLOOKUP($P171,'CY Receving Query'!$B:$S,11,FALSE)/VLOOKUP($P171,'CY Receving Query'!$B:$S,5,FALSE),0)</f>
        <v>0.60624999999999996</v>
      </c>
      <c r="AD171" s="10">
        <f>IFERROR(VLOOKUP($P171,'CY Rushing Query'!$B:$O,7,FALSE)/VLOOKUP($P171,'CY Rushing Query'!$B:$O,5,FALSE),0)</f>
        <v>0.25</v>
      </c>
      <c r="AE171" s="10">
        <f>IFERROR(AVERAGE(VLOOKUP($P171,'PY Rushing'!$C:$P,8,FALSE)/VLOOKUP($P171,'PY Rushing'!$C:$P,5,FALSE),VLOOKUP($P171,'CY Rushing'!$C:$P,8,FALSE)/VLOOKUP($P171,'CY Rushing'!$C:$P,5,FALSE)),0)</f>
        <v>1.0625</v>
      </c>
      <c r="AF171" s="10">
        <f>IFERROR(VLOOKUP($P171,'CY Rushing Query'!$B:$P,12,FALSE),0)</f>
        <v>2.5</v>
      </c>
      <c r="AG171" s="10">
        <f>IFERROR(VLOOKUP($P171,'CY Rushing Query'!$B:$P,9,FALSE)/VLOOKUP($P171,'CY Rushing Query'!$B:$P,5,FALSE),0)</f>
        <v>0</v>
      </c>
      <c r="AH171" s="10">
        <f>VLOOKUP($J171,'Vegas Odds'!$B:$S,18,FALSE)</f>
        <v>37.933262350936971</v>
      </c>
      <c r="AI171" s="10">
        <f>VLOOKUP($J171,'Vegas Odds'!$B:$S,17,FALSE)</f>
        <v>27.766737649063032</v>
      </c>
      <c r="AJ171">
        <f t="shared" si="60"/>
        <v>1</v>
      </c>
      <c r="AK171" s="10">
        <f t="shared" si="44"/>
        <v>0</v>
      </c>
      <c r="AL171" s="10">
        <f t="shared" si="45"/>
        <v>0</v>
      </c>
      <c r="AM171" s="10">
        <f>V171/'CY Defensive Stats Query'!$AD$34*'Fanduel Export'!Q171</f>
        <v>0</v>
      </c>
      <c r="AN171" s="10">
        <f t="shared" si="61"/>
        <v>0</v>
      </c>
      <c r="AO171" s="10">
        <f>IFERROR(IF(OR($B171="D",$B171="K"),0,VLOOKUP($P171,'CY Receving Query'!$B:$S,7,FALSE)/VLOOKUP($P171,'CY Receving Query'!$B:$S,5,FALSE)),0)*$AJ171</f>
        <v>0.8125</v>
      </c>
      <c r="AP171" s="10">
        <f t="shared" si="46"/>
        <v>37.365221788015901</v>
      </c>
      <c r="AQ171" s="10">
        <f t="shared" si="47"/>
        <v>0.82485193945834934</v>
      </c>
      <c r="AR171" s="16">
        <f t="shared" si="48"/>
        <v>0.5625</v>
      </c>
      <c r="AS171" s="16">
        <f t="shared" si="49"/>
        <v>0.57105134270193414</v>
      </c>
      <c r="AT171" s="16">
        <f>AA171/'CY Defensive Stats Query'!$AH$34
*'Fanduel Export'!S171</f>
        <v>10.238130224319418</v>
      </c>
      <c r="AU171" s="10">
        <f t="shared" si="62"/>
        <v>5.8464980113548579</v>
      </c>
      <c r="AV171" s="10">
        <f t="shared" si="50"/>
        <v>0.25</v>
      </c>
      <c r="AW171" s="10">
        <f t="shared" si="51"/>
        <v>19.787381735911151</v>
      </c>
      <c r="AX171" s="10">
        <f t="shared" si="52"/>
        <v>0.35081369050800865</v>
      </c>
      <c r="AY171" s="10">
        <f>AF171/'CY Defensive Stats Query'!$AF$34
*R171</f>
        <v>2.1648534933958996</v>
      </c>
      <c r="AZ171" s="10">
        <f t="shared" si="63"/>
        <v>0.75946024342737051</v>
      </c>
      <c r="BA171" s="16">
        <f t="shared" si="53"/>
        <v>0.94184582547822282</v>
      </c>
      <c r="BB171" s="16">
        <f t="shared" si="54"/>
        <v>0.21903391290191229</v>
      </c>
      <c r="BC171" s="10">
        <f t="shared" si="55"/>
        <v>0.18895348837209303</v>
      </c>
      <c r="BD171" s="10">
        <f>IF(B171="QB",COUNTIFS($B$5:B171,B171,$J$5:J171,J171),1)</f>
        <v>1</v>
      </c>
      <c r="BE171" t="str">
        <f t="shared" si="56"/>
        <v>Blake Bell</v>
      </c>
      <c r="BF171">
        <f t="shared" si="57"/>
        <v>4300</v>
      </c>
      <c r="BG171" t="str">
        <f t="shared" si="58"/>
        <v>TE</v>
      </c>
      <c r="BH171" s="16">
        <f t="shared" si="59"/>
        <v>0.94184582547822282</v>
      </c>
    </row>
    <row r="172" spans="1:60" x14ac:dyDescent="0.2">
      <c r="A172" t="s">
        <v>2981</v>
      </c>
      <c r="B172" t="s">
        <v>88</v>
      </c>
      <c r="C172" t="s">
        <v>2262</v>
      </c>
      <c r="D172" t="s">
        <v>2105</v>
      </c>
      <c r="E172" t="s">
        <v>2982</v>
      </c>
      <c r="F172">
        <v>3.8714286259242399</v>
      </c>
      <c r="G172">
        <v>7</v>
      </c>
      <c r="H172">
        <v>4300</v>
      </c>
      <c r="I172" t="s">
        <v>2718</v>
      </c>
      <c r="J172" t="s">
        <v>729</v>
      </c>
      <c r="K172" t="s">
        <v>138</v>
      </c>
      <c r="O172" t="str">
        <f t="shared" si="43"/>
        <v>Blake Jarwin</v>
      </c>
      <c r="P172" t="str">
        <f>IFERROR(VLOOKUP(O:O,'Name Bridge'!A:B,2,FALSE),O:O)</f>
        <v>Blake Jarwin</v>
      </c>
      <c r="Q172" s="10">
        <f>VLOOKUP($K172,'CY Defensive Stats Query'!$AC:$AH,2,FALSE)</f>
        <v>6.5263157894736841</v>
      </c>
      <c r="R172" s="10">
        <f>VLOOKUP($K172,'CY Defensive Stats Query'!$AC:$AH,4,FALSE)</f>
        <v>4.7051282051282053</v>
      </c>
      <c r="S172" s="10">
        <f>VLOOKUP($K172,'CY Defensive Stats Query'!$AC:$AH,6,FALSE)</f>
        <v>10.191780821917808</v>
      </c>
      <c r="T172" s="10">
        <f>IFERROR(VLOOKUP($P172,'CYPassing Query'!$B:$AE,9,FALSE)/VLOOKUP($P172,'CYPassing Query'!$B:$AE,5,FALSE),0)</f>
        <v>0</v>
      </c>
      <c r="U172" s="10">
        <f>IFERROR(VLOOKUP($P172,'CYPassing Query'!$B:$AE,11,FALSE)/VLOOKUP($P172,'CYPassing Query'!$B:$AE,5,FALSE),0)</f>
        <v>0</v>
      </c>
      <c r="V172" s="10">
        <f>IFERROR(VLOOKUP($P172,'CYPassing Query'!$B:$AE,18,FALSE),0)</f>
        <v>0</v>
      </c>
      <c r="W172" s="10">
        <f>IFERROR(VLOOKUP($P172,'CYPassing Query'!$B:$AE,12,FALSE)/VLOOKUP($P172,'CYPassing Query'!$B:$AE,5,FALSE),0)</f>
        <v>0</v>
      </c>
      <c r="X172" s="10">
        <f>IFERROR(IF(OR($B172="D",$B172="K"),0,VLOOKUP($P172,'CY Receving Query'!$B:$S,7,FALSE)/VLOOKUP($P172,'CY Receving Query'!$B:$S,5,FALSE)),0)*$AJ172</f>
        <v>2.125</v>
      </c>
      <c r="Y172" s="10">
        <f>IFERROR(VLOOKUP($P172,'CY Receving Query'!$B:$S,8,FALSE)/VLOOKUP($P172,'CY Receving Query'!$B:$S,5,FALSE),0)</f>
        <v>1.375</v>
      </c>
      <c r="Z172" s="10">
        <f>IFERROR(VLOOKUP($P172,'CY Receving Query'!$B:$S,10,FALSE)/VLOOKUP($P172,'CY Receving Query'!$B:$S,5,FALSE),0)</f>
        <v>12</v>
      </c>
      <c r="AA172" s="10">
        <f>IFERROR(VLOOKUP($P172,'CY Receving Query'!$B:$S,11,FALSE),0)</f>
        <v>8.6999999999999993</v>
      </c>
      <c r="AB172" s="10">
        <f>IFERROR(AVERAGE(VLOOKUP($P172,'PY Receiving'!$C:$T,14,FALSE),VLOOKUP($P172,'CY Receiving'!$C:$T,14,FALSE)),0)</f>
        <v>9.5</v>
      </c>
      <c r="AC172" s="10">
        <f>IFERROR(VLOOKUP($P172,'CY Receving Query'!$B:$S,11,FALSE)/VLOOKUP($P172,'CY Receving Query'!$B:$S,5,FALSE),0)</f>
        <v>1.0874999999999999</v>
      </c>
      <c r="AD172" s="10">
        <f>IFERROR(VLOOKUP($P172,'CY Rushing Query'!$B:$O,7,FALSE)/VLOOKUP($P172,'CY Rushing Query'!$B:$O,5,FALSE),0)</f>
        <v>0</v>
      </c>
      <c r="AE172" s="10">
        <f>IFERROR(AVERAGE(VLOOKUP($P172,'PY Rushing'!$C:$P,8,FALSE)/VLOOKUP($P172,'PY Rushing'!$C:$P,5,FALSE),VLOOKUP($P172,'CY Rushing'!$C:$P,8,FALSE)/VLOOKUP($P172,'CY Rushing'!$C:$P,5,FALSE)),0)</f>
        <v>0</v>
      </c>
      <c r="AF172" s="10">
        <f>IFERROR(VLOOKUP($P172,'CY Rushing Query'!$B:$P,12,FALSE),0)</f>
        <v>0</v>
      </c>
      <c r="AG172" s="10">
        <f>IFERROR(VLOOKUP($P172,'CY Rushing Query'!$B:$P,9,FALSE)/VLOOKUP($P172,'CY Rushing Query'!$B:$P,5,FALSE),0)</f>
        <v>0</v>
      </c>
      <c r="AH172" s="10">
        <f>VLOOKUP($J172,'Vegas Odds'!$B:$S,18,FALSE)</f>
        <v>38.06292701199007</v>
      </c>
      <c r="AI172" s="10">
        <f>VLOOKUP($J172,'Vegas Odds'!$B:$S,17,FALSE)</f>
        <v>29.237072988009928</v>
      </c>
      <c r="AJ172">
        <f t="shared" si="60"/>
        <v>1</v>
      </c>
      <c r="AK172" s="10">
        <f t="shared" si="44"/>
        <v>0</v>
      </c>
      <c r="AL172" s="10">
        <f t="shared" si="45"/>
        <v>0</v>
      </c>
      <c r="AM172" s="10">
        <f>V172/'CY Defensive Stats Query'!$AD$34*'Fanduel Export'!Q172</f>
        <v>0</v>
      </c>
      <c r="AN172" s="10">
        <f t="shared" si="61"/>
        <v>0</v>
      </c>
      <c r="AO172" s="10">
        <f>IFERROR(IF(OR($B172="D",$B172="K"),0,VLOOKUP($P172,'CY Receving Query'!$B:$S,7,FALSE)/VLOOKUP($P172,'CY Receving Query'!$B:$S,5,FALSE)),0)*$AJ172</f>
        <v>2.125</v>
      </c>
      <c r="AP172" s="10">
        <f t="shared" si="46"/>
        <v>30.199512497306614</v>
      </c>
      <c r="AQ172" s="10">
        <f t="shared" si="47"/>
        <v>2.6783121054584118</v>
      </c>
      <c r="AR172" s="16">
        <f t="shared" si="48"/>
        <v>1.375</v>
      </c>
      <c r="AS172" s="16">
        <f t="shared" si="49"/>
        <v>1.7330254800025018</v>
      </c>
      <c r="AT172" s="16">
        <f>AA172/'CY Defensive Stats Query'!$AH$34
*'Fanduel Export'!S172</f>
        <v>8.4334244785755192</v>
      </c>
      <c r="AU172" s="10">
        <f t="shared" si="62"/>
        <v>14.615339505048187</v>
      </c>
      <c r="AV172" s="10">
        <f t="shared" si="50"/>
        <v>0</v>
      </c>
      <c r="AW172" s="10">
        <f t="shared" si="51"/>
        <v>30.007352941176471</v>
      </c>
      <c r="AX172" s="10">
        <f t="shared" si="52"/>
        <v>0</v>
      </c>
      <c r="AY172" s="10">
        <f>AF172/'CY Defensive Stats Query'!$AF$34
*R172</f>
        <v>0</v>
      </c>
      <c r="AZ172" s="10">
        <f t="shared" si="63"/>
        <v>0</v>
      </c>
      <c r="BA172" s="16">
        <f t="shared" si="53"/>
        <v>2.1490339505048186</v>
      </c>
      <c r="BB172" s="16">
        <f t="shared" si="54"/>
        <v>0.49977533732670204</v>
      </c>
      <c r="BC172" s="10">
        <f t="shared" si="55"/>
        <v>0.49418604651162795</v>
      </c>
      <c r="BD172" s="10">
        <f>IF(B172="QB",COUNTIFS($B$5:B172,B172,$J$5:J172,J172),1)</f>
        <v>1</v>
      </c>
      <c r="BE172" t="str">
        <f t="shared" si="56"/>
        <v>Blake Jarwin</v>
      </c>
      <c r="BF172">
        <f t="shared" si="57"/>
        <v>4300</v>
      </c>
      <c r="BG172" t="str">
        <f t="shared" si="58"/>
        <v>TE</v>
      </c>
      <c r="BH172" s="16">
        <f t="shared" si="59"/>
        <v>2.1490339505048186</v>
      </c>
    </row>
    <row r="173" spans="1:60" x14ac:dyDescent="0.2">
      <c r="A173" t="s">
        <v>2983</v>
      </c>
      <c r="B173" t="s">
        <v>88</v>
      </c>
      <c r="C173" t="s">
        <v>2299</v>
      </c>
      <c r="D173" t="s">
        <v>655</v>
      </c>
      <c r="E173" t="s">
        <v>2708</v>
      </c>
      <c r="F173">
        <v>1.92499995231628</v>
      </c>
      <c r="G173">
        <v>4</v>
      </c>
      <c r="H173">
        <v>4200</v>
      </c>
      <c r="I173" t="s">
        <v>2718</v>
      </c>
      <c r="J173" t="s">
        <v>138</v>
      </c>
      <c r="K173" t="s">
        <v>729</v>
      </c>
      <c r="O173" t="str">
        <f t="shared" si="43"/>
        <v>Charlie Woerner</v>
      </c>
      <c r="P173" t="str">
        <f>IFERROR(VLOOKUP(O:O,'Name Bridge'!A:B,2,FALSE),O:O)</f>
        <v>Charlie Woerner</v>
      </c>
      <c r="Q173" s="10">
        <f>VLOOKUP($K173,'CY Defensive Stats Query'!$AC:$AH,2,FALSE)</f>
        <v>7.6538461538461542</v>
      </c>
      <c r="R173" s="10">
        <f>VLOOKUP($K173,'CY Defensive Stats Query'!$AC:$AH,4,FALSE)</f>
        <v>4.6888888888888891</v>
      </c>
      <c r="S173" s="10">
        <f>VLOOKUP($K173,'CY Defensive Stats Query'!$AC:$AH,6,FALSE)</f>
        <v>11.306818181818182</v>
      </c>
      <c r="T173" s="10">
        <f>IFERROR(VLOOKUP($P173,'CYPassing Query'!$B:$AE,9,FALSE)/VLOOKUP($P173,'CYPassing Query'!$B:$AE,5,FALSE),0)</f>
        <v>0</v>
      </c>
      <c r="U173" s="10">
        <f>IFERROR(VLOOKUP($P173,'CYPassing Query'!$B:$AE,11,FALSE)/VLOOKUP($P173,'CYPassing Query'!$B:$AE,5,FALSE),0)</f>
        <v>0</v>
      </c>
      <c r="V173" s="10">
        <f>IFERROR(VLOOKUP($P173,'CYPassing Query'!$B:$AE,18,FALSE),0)</f>
        <v>0</v>
      </c>
      <c r="W173" s="10">
        <f>IFERROR(VLOOKUP($P173,'CYPassing Query'!$B:$AE,12,FALSE)/VLOOKUP($P173,'CYPassing Query'!$B:$AE,5,FALSE),0)</f>
        <v>0</v>
      </c>
      <c r="X173" s="10">
        <f>IFERROR(IF(OR($B173="D",$B173="K"),0,VLOOKUP($P173,'CY Receving Query'!$B:$S,7,FALSE)/VLOOKUP($P173,'CY Receving Query'!$B:$S,5,FALSE)),0)*$AJ173</f>
        <v>0.35294117647058826</v>
      </c>
      <c r="Y173" s="10">
        <f>IFERROR(VLOOKUP($P173,'CY Receving Query'!$B:$S,8,FALSE)/VLOOKUP($P173,'CY Receving Query'!$B:$S,5,FALSE),0)</f>
        <v>0.29411764705882354</v>
      </c>
      <c r="Z173" s="10">
        <f>IFERROR(VLOOKUP($P173,'CY Receving Query'!$B:$S,10,FALSE)/VLOOKUP($P173,'CY Receving Query'!$B:$S,5,FALSE),0)</f>
        <v>3.0588235294117645</v>
      </c>
      <c r="AA173" s="10">
        <f>IFERROR(VLOOKUP($P173,'CY Receving Query'!$B:$S,11,FALSE),0)</f>
        <v>10.4</v>
      </c>
      <c r="AB173" s="10">
        <f>IFERROR(AVERAGE(VLOOKUP($P173,'PY Receiving'!$C:$T,14,FALSE),VLOOKUP($P173,'CY Receiving'!$C:$T,14,FALSE)),0)</f>
        <v>0</v>
      </c>
      <c r="AC173" s="10">
        <f>IFERROR(VLOOKUP($P173,'CY Receving Query'!$B:$S,11,FALSE)/VLOOKUP($P173,'CY Receving Query'!$B:$S,5,FALSE),0)</f>
        <v>0.61176470588235299</v>
      </c>
      <c r="AD173" s="10">
        <f>IFERROR(VLOOKUP($P173,'CY Rushing Query'!$B:$O,7,FALSE)/VLOOKUP($P173,'CY Rushing Query'!$B:$O,5,FALSE),0)</f>
        <v>0</v>
      </c>
      <c r="AE173" s="10">
        <f>IFERROR(AVERAGE(VLOOKUP($P173,'PY Rushing'!$C:$P,8,FALSE)/VLOOKUP($P173,'PY Rushing'!$C:$P,5,FALSE),VLOOKUP($P173,'CY Rushing'!$C:$P,8,FALSE)/VLOOKUP($P173,'CY Rushing'!$C:$P,5,FALSE)),0)</f>
        <v>0</v>
      </c>
      <c r="AF173" s="10">
        <f>IFERROR(VLOOKUP($P173,'CY Rushing Query'!$B:$P,12,FALSE),0)</f>
        <v>0</v>
      </c>
      <c r="AG173" s="10">
        <f>IFERROR(VLOOKUP($P173,'CY Rushing Query'!$B:$P,9,FALSE)/VLOOKUP($P173,'CY Rushing Query'!$B:$P,5,FALSE),0)</f>
        <v>0</v>
      </c>
      <c r="AH173" s="10">
        <f>VLOOKUP($J173,'Vegas Odds'!$B:$S,18,FALSE)</f>
        <v>32.679248170039784</v>
      </c>
      <c r="AI173" s="10">
        <f>VLOOKUP($J173,'Vegas Odds'!$B:$S,17,FALSE)</f>
        <v>32.620751829960213</v>
      </c>
      <c r="AJ173">
        <f t="shared" si="60"/>
        <v>1</v>
      </c>
      <c r="AK173" s="10">
        <f t="shared" si="44"/>
        <v>0</v>
      </c>
      <c r="AL173" s="10">
        <f t="shared" si="45"/>
        <v>0</v>
      </c>
      <c r="AM173" s="10">
        <f>V173/'CY Defensive Stats Query'!$AD$34*'Fanduel Export'!Q173</f>
        <v>0</v>
      </c>
      <c r="AN173" s="10">
        <f t="shared" si="61"/>
        <v>0</v>
      </c>
      <c r="AO173" s="10">
        <f>IFERROR(IF(OR($B173="D",$B173="K"),0,VLOOKUP($P173,'CY Receving Query'!$B:$S,7,FALSE)/VLOOKUP($P173,'CY Receving Query'!$B:$S,5,FALSE)),0)*$AJ173</f>
        <v>0.35294117647058826</v>
      </c>
      <c r="AP173" s="10">
        <f t="shared" si="46"/>
        <v>29.704370384517439</v>
      </c>
      <c r="AQ173" s="10">
        <f t="shared" si="47"/>
        <v>0.38828805815456208</v>
      </c>
      <c r="AR173" s="16">
        <f t="shared" si="48"/>
        <v>0.29411764705882354</v>
      </c>
      <c r="AS173" s="16">
        <f t="shared" si="49"/>
        <v>0.32357338179546835</v>
      </c>
      <c r="AT173" s="16">
        <f>AA173/'CY Defensive Stats Query'!$AH$34
*'Fanduel Export'!S173</f>
        <v>11.184288984136876</v>
      </c>
      <c r="AU173" s="10">
        <f t="shared" si="62"/>
        <v>3.618938209574972</v>
      </c>
      <c r="AV173" s="10">
        <f t="shared" si="50"/>
        <v>0</v>
      </c>
      <c r="AW173" s="10">
        <f t="shared" si="51"/>
        <v>40.335297300738475</v>
      </c>
      <c r="AX173" s="10">
        <f t="shared" si="52"/>
        <v>0</v>
      </c>
      <c r="AY173" s="10">
        <f>AF173/'CY Defensive Stats Query'!$AF$34
*R173</f>
        <v>0</v>
      </c>
      <c r="AZ173" s="10">
        <f t="shared" si="63"/>
        <v>0</v>
      </c>
      <c r="BA173" s="16">
        <f t="shared" si="53"/>
        <v>0.50895264448690902</v>
      </c>
      <c r="BB173" s="16">
        <f t="shared" si="54"/>
        <v>0.12117920106831166</v>
      </c>
      <c r="BC173" s="10">
        <f t="shared" si="55"/>
        <v>8.4033613445378158E-2</v>
      </c>
      <c r="BD173" s="10">
        <f>IF(B173="QB",COUNTIFS($B$5:B173,B173,$J$5:J173,J173),1)</f>
        <v>1</v>
      </c>
      <c r="BE173" t="str">
        <f t="shared" si="56"/>
        <v>Charlie Woerner</v>
      </c>
      <c r="BF173">
        <f t="shared" si="57"/>
        <v>4200</v>
      </c>
      <c r="BG173" t="str">
        <f t="shared" si="58"/>
        <v>TE</v>
      </c>
      <c r="BH173" s="16">
        <f t="shared" si="59"/>
        <v>0.50895264448690902</v>
      </c>
    </row>
    <row r="174" spans="1:60" hidden="1" x14ac:dyDescent="0.2">
      <c r="A174" t="s">
        <v>2984</v>
      </c>
      <c r="B174" t="s">
        <v>308</v>
      </c>
      <c r="C174" t="s">
        <v>2602</v>
      </c>
      <c r="D174" t="s">
        <v>880</v>
      </c>
      <c r="E174" t="s">
        <v>2603</v>
      </c>
      <c r="F174">
        <v>8.2941176470588207</v>
      </c>
      <c r="G174">
        <v>17</v>
      </c>
      <c r="H174">
        <v>4200</v>
      </c>
      <c r="I174" t="s">
        <v>2720</v>
      </c>
      <c r="J174" t="s">
        <v>728</v>
      </c>
      <c r="K174" t="s">
        <v>102</v>
      </c>
      <c r="O174" t="str">
        <f t="shared" si="43"/>
        <v>Tampa Bay Buccaneers</v>
      </c>
      <c r="P174" t="str">
        <f>IFERROR(VLOOKUP(O:O,'Name Bridge'!A:B,2,FALSE),O:O)</f>
        <v>TB</v>
      </c>
      <c r="Q174" s="10">
        <f>VLOOKUP($K174,'CY Defensive Stats Query'!$AC:$AH,2,FALSE)</f>
        <v>5.9890109890109891</v>
      </c>
      <c r="R174" s="10">
        <f>VLOOKUP($K174,'CY Defensive Stats Query'!$AC:$AH,4,FALSE)</f>
        <v>3.8190476190476192</v>
      </c>
      <c r="S174" s="10">
        <f>VLOOKUP($K174,'CY Defensive Stats Query'!$AC:$AH,6,FALSE)</f>
        <v>8.515625</v>
      </c>
      <c r="T174" s="10">
        <f>IFERROR(VLOOKUP($P174,'CYPassing Query'!$B:$AE,9,FALSE)/VLOOKUP($P174,'CYPassing Query'!$B:$AE,5,FALSE),0)</f>
        <v>0</v>
      </c>
      <c r="U174" s="10">
        <f>IFERROR(VLOOKUP($P174,'CYPassing Query'!$B:$AE,11,FALSE)/VLOOKUP($P174,'CYPassing Query'!$B:$AE,5,FALSE),0)</f>
        <v>0</v>
      </c>
      <c r="V174" s="10">
        <f>IFERROR(VLOOKUP($P174,'CYPassing Query'!$B:$AE,18,FALSE),0)</f>
        <v>0</v>
      </c>
      <c r="W174" s="10">
        <f>IFERROR(VLOOKUP($P174,'CYPassing Query'!$B:$AE,12,FALSE)/VLOOKUP($P174,'CYPassing Query'!$B:$AE,5,FALSE),0)</f>
        <v>0</v>
      </c>
      <c r="X174" s="10">
        <f>IFERROR(IF(OR($B174="D",$B174="K"),0,VLOOKUP($P174,'CY Receving Query'!$B:$S,7,FALSE)/VLOOKUP($P174,'CY Receving Query'!$B:$S,5,FALSE)),0)*$AJ174</f>
        <v>0</v>
      </c>
      <c r="Y174" s="10">
        <f>IFERROR(VLOOKUP($P174,'CY Receving Query'!$B:$S,8,FALSE)/VLOOKUP($P174,'CY Receving Query'!$B:$S,5,FALSE),0)</f>
        <v>0</v>
      </c>
      <c r="Z174" s="10">
        <f>IFERROR(VLOOKUP($P174,'CY Receving Query'!$B:$S,10,FALSE)/VLOOKUP($P174,'CY Receving Query'!$B:$S,5,FALSE),0)</f>
        <v>0</v>
      </c>
      <c r="AA174" s="10">
        <f>IFERROR(VLOOKUP($P174,'CY Receving Query'!$B:$S,11,FALSE),0)</f>
        <v>0</v>
      </c>
      <c r="AB174" s="10">
        <f>IFERROR(AVERAGE(VLOOKUP($P174,'PY Receiving'!$C:$T,14,FALSE),VLOOKUP($P174,'CY Receiving'!$C:$T,14,FALSE)),0)</f>
        <v>0</v>
      </c>
      <c r="AC174" s="10">
        <f>IFERROR(VLOOKUP($P174,'CY Receving Query'!$B:$S,11,FALSE)/VLOOKUP($P174,'CY Receving Query'!$B:$S,5,FALSE),0)</f>
        <v>0</v>
      </c>
      <c r="AD174" s="10">
        <f>IFERROR(VLOOKUP($P174,'CY Rushing Query'!$B:$O,7,FALSE)/VLOOKUP($P174,'CY Rushing Query'!$B:$O,5,FALSE),0)</f>
        <v>0</v>
      </c>
      <c r="AE174" s="10">
        <f>IFERROR(AVERAGE(VLOOKUP($P174,'PY Rushing'!$C:$P,8,FALSE)/VLOOKUP($P174,'PY Rushing'!$C:$P,5,FALSE),VLOOKUP($P174,'CY Rushing'!$C:$P,8,FALSE)/VLOOKUP($P174,'CY Rushing'!$C:$P,5,FALSE)),0)</f>
        <v>0</v>
      </c>
      <c r="AF174" s="10">
        <f>IFERROR(VLOOKUP($P174,'CY Rushing Query'!$B:$P,12,FALSE),0)</f>
        <v>0</v>
      </c>
      <c r="AG174" s="10">
        <f>IFERROR(VLOOKUP($P174,'CY Rushing Query'!$B:$P,9,FALSE)/VLOOKUP($P174,'CY Rushing Query'!$B:$P,5,FALSE),0)</f>
        <v>0</v>
      </c>
      <c r="AH174" s="10">
        <f>VLOOKUP($J174,'Vegas Odds'!$B:$S,18,FALSE)</f>
        <v>34.555825588251061</v>
      </c>
      <c r="AI174" s="10">
        <f>VLOOKUP($J174,'Vegas Odds'!$B:$S,17,FALSE)</f>
        <v>27.844174411748938</v>
      </c>
      <c r="AJ174">
        <f t="shared" si="60"/>
        <v>1</v>
      </c>
      <c r="AK174" s="10">
        <f t="shared" si="44"/>
        <v>0</v>
      </c>
      <c r="AL174" s="10">
        <f t="shared" si="45"/>
        <v>0</v>
      </c>
      <c r="AM174" s="10">
        <f>V174/'CY Defensive Stats Query'!$AD$34*'Fanduel Export'!Q174</f>
        <v>0</v>
      </c>
      <c r="AN174" s="10">
        <f t="shared" si="61"/>
        <v>0</v>
      </c>
      <c r="AO174" s="10">
        <f>IFERROR(IF(OR($B174="D",$B174="K"),0,VLOOKUP($P174,'CY Receving Query'!$B:$S,7,FALSE)/VLOOKUP($P174,'CY Receving Query'!$B:$S,5,FALSE)),0)*$AJ174</f>
        <v>0</v>
      </c>
      <c r="AP174" s="10">
        <f t="shared" si="46"/>
        <v>25.587418300653596</v>
      </c>
      <c r="AQ174" s="10">
        <f t="shared" si="47"/>
        <v>0</v>
      </c>
      <c r="AR174" s="16">
        <f t="shared" si="48"/>
        <v>0</v>
      </c>
      <c r="AS174" s="16">
        <f t="shared" si="49"/>
        <v>0</v>
      </c>
      <c r="AT174" s="16">
        <f>AA174/'CY Defensive Stats Query'!$AH$34
*'Fanduel Export'!S174</f>
        <v>0</v>
      </c>
      <c r="AU174" s="10">
        <f t="shared" si="62"/>
        <v>0</v>
      </c>
      <c r="AV174" s="10">
        <f t="shared" si="50"/>
        <v>0</v>
      </c>
      <c r="AW174" s="10">
        <f t="shared" si="51"/>
        <v>12.022058823529411</v>
      </c>
      <c r="AX174" s="10">
        <f t="shared" si="52"/>
        <v>0</v>
      </c>
      <c r="AY174" s="10">
        <f>AF174/'CY Defensive Stats Query'!$AF$34
*R174</f>
        <v>0</v>
      </c>
      <c r="AZ174" s="10">
        <f t="shared" si="63"/>
        <v>0</v>
      </c>
      <c r="BA174" s="16">
        <f t="shared" si="53"/>
        <v>0</v>
      </c>
      <c r="BB174" s="16">
        <f t="shared" si="54"/>
        <v>0</v>
      </c>
      <c r="BC174" s="10">
        <f t="shared" si="55"/>
        <v>0</v>
      </c>
      <c r="BD174" s="10">
        <f>IF(B174="QB",COUNTIFS($B$5:B174,B174,$J$5:J174,J174),1)</f>
        <v>1</v>
      </c>
      <c r="BE174" t="str">
        <f t="shared" si="56"/>
        <v>Tampa Bay Buccaneers</v>
      </c>
      <c r="BF174">
        <f t="shared" si="57"/>
        <v>4200</v>
      </c>
      <c r="BG174" t="str">
        <f t="shared" si="58"/>
        <v>D</v>
      </c>
      <c r="BH174" s="16">
        <f t="shared" si="59"/>
        <v>0</v>
      </c>
    </row>
    <row r="175" spans="1:60" x14ac:dyDescent="0.2">
      <c r="A175" t="s">
        <v>2985</v>
      </c>
      <c r="B175" t="s">
        <v>88</v>
      </c>
      <c r="C175" t="s">
        <v>2630</v>
      </c>
      <c r="D175" t="s">
        <v>2127</v>
      </c>
      <c r="E175" t="s">
        <v>2386</v>
      </c>
      <c r="F175">
        <v>2.9444444444444402</v>
      </c>
      <c r="G175">
        <v>9</v>
      </c>
      <c r="H175">
        <v>4200</v>
      </c>
      <c r="I175" t="s">
        <v>2720</v>
      </c>
      <c r="J175" t="s">
        <v>728</v>
      </c>
      <c r="K175" t="s">
        <v>102</v>
      </c>
      <c r="O175" t="str">
        <f t="shared" si="43"/>
        <v>O.J. Howard</v>
      </c>
      <c r="P175" t="str">
        <f>IFERROR(VLOOKUP(O:O,'Name Bridge'!A:B,2,FALSE),O:O)</f>
        <v>O.J. Howard</v>
      </c>
      <c r="Q175" s="10">
        <f>VLOOKUP($K175,'CY Defensive Stats Query'!$AC:$AH,2,FALSE)</f>
        <v>5.9890109890109891</v>
      </c>
      <c r="R175" s="10">
        <f>VLOOKUP($K175,'CY Defensive Stats Query'!$AC:$AH,4,FALSE)</f>
        <v>3.8190476190476192</v>
      </c>
      <c r="S175" s="10">
        <f>VLOOKUP($K175,'CY Defensive Stats Query'!$AC:$AH,6,FALSE)</f>
        <v>8.515625</v>
      </c>
      <c r="T175" s="10">
        <f>IFERROR(VLOOKUP($P175,'CYPassing Query'!$B:$AE,9,FALSE)/VLOOKUP($P175,'CYPassing Query'!$B:$AE,5,FALSE),0)</f>
        <v>0</v>
      </c>
      <c r="U175" s="10">
        <f>IFERROR(VLOOKUP($P175,'CYPassing Query'!$B:$AE,11,FALSE)/VLOOKUP($P175,'CYPassing Query'!$B:$AE,5,FALSE),0)</f>
        <v>0</v>
      </c>
      <c r="V175" s="10">
        <f>IFERROR(VLOOKUP($P175,'CYPassing Query'!$B:$AE,18,FALSE),0)</f>
        <v>0</v>
      </c>
      <c r="W175" s="10">
        <f>IFERROR(VLOOKUP($P175,'CYPassing Query'!$B:$AE,12,FALSE)/VLOOKUP($P175,'CYPassing Query'!$B:$AE,5,FALSE),0)</f>
        <v>0</v>
      </c>
      <c r="X175" s="10">
        <f>IFERROR(IF(OR($B175="D",$B175="K"),0,VLOOKUP($P175,'CY Receving Query'!$B:$S,7,FALSE)/VLOOKUP($P175,'CY Receving Query'!$B:$S,5,FALSE)),0)*$AJ175</f>
        <v>1.2352941176470589</v>
      </c>
      <c r="Y175" s="10">
        <f>IFERROR(VLOOKUP($P175,'CY Receving Query'!$B:$S,8,FALSE)/VLOOKUP($P175,'CY Receving Query'!$B:$S,5,FALSE),0)</f>
        <v>0.82352941176470584</v>
      </c>
      <c r="Z175" s="10">
        <f>IFERROR(VLOOKUP($P175,'CY Receving Query'!$B:$S,10,FALSE)/VLOOKUP($P175,'CY Receving Query'!$B:$S,5,FALSE),0)</f>
        <v>7.9411764705882355</v>
      </c>
      <c r="AA175" s="10">
        <f>IFERROR(VLOOKUP($P175,'CY Receving Query'!$B:$S,11,FALSE),0)</f>
        <v>9.6</v>
      </c>
      <c r="AB175" s="10">
        <f>IFERROR(AVERAGE(VLOOKUP($P175,'PY Receiving'!$C:$T,14,FALSE),VLOOKUP($P175,'CY Receiving'!$C:$T,14,FALSE)),0)</f>
        <v>0</v>
      </c>
      <c r="AC175" s="10">
        <f>IFERROR(VLOOKUP($P175,'CY Receving Query'!$B:$S,11,FALSE)/VLOOKUP($P175,'CY Receving Query'!$B:$S,5,FALSE),0)</f>
        <v>0.56470588235294117</v>
      </c>
      <c r="AD175" s="10">
        <f>IFERROR(VLOOKUP($P175,'CY Rushing Query'!$B:$O,7,FALSE)/VLOOKUP($P175,'CY Rushing Query'!$B:$O,5,FALSE),0)</f>
        <v>0</v>
      </c>
      <c r="AE175" s="10">
        <f>IFERROR(AVERAGE(VLOOKUP($P175,'PY Rushing'!$C:$P,8,FALSE)/VLOOKUP($P175,'PY Rushing'!$C:$P,5,FALSE),VLOOKUP($P175,'CY Rushing'!$C:$P,8,FALSE)/VLOOKUP($P175,'CY Rushing'!$C:$P,5,FALSE)),0)</f>
        <v>0</v>
      </c>
      <c r="AF175" s="10">
        <f>IFERROR(VLOOKUP($P175,'CY Rushing Query'!$B:$P,12,FALSE),0)</f>
        <v>0</v>
      </c>
      <c r="AG175" s="10">
        <f>IFERROR(VLOOKUP($P175,'CY Rushing Query'!$B:$P,9,FALSE)/VLOOKUP($P175,'CY Rushing Query'!$B:$P,5,FALSE),0)</f>
        <v>0</v>
      </c>
      <c r="AH175" s="10">
        <f>VLOOKUP($J175,'Vegas Odds'!$B:$S,18,FALSE)</f>
        <v>34.555825588251061</v>
      </c>
      <c r="AI175" s="10">
        <f>VLOOKUP($J175,'Vegas Odds'!$B:$S,17,FALSE)</f>
        <v>27.844174411748938</v>
      </c>
      <c r="AJ175">
        <f t="shared" si="60"/>
        <v>1</v>
      </c>
      <c r="AK175" s="10">
        <f t="shared" si="44"/>
        <v>0</v>
      </c>
      <c r="AL175" s="10">
        <f t="shared" si="45"/>
        <v>0</v>
      </c>
      <c r="AM175" s="10">
        <f>V175/'CY Defensive Stats Query'!$AD$34*'Fanduel Export'!Q175</f>
        <v>0</v>
      </c>
      <c r="AN175" s="10">
        <f t="shared" si="61"/>
        <v>0</v>
      </c>
      <c r="AO175" s="10">
        <f>IFERROR(IF(OR($B175="D",$B175="K"),0,VLOOKUP($P175,'CY Receving Query'!$B:$S,7,FALSE)/VLOOKUP($P175,'CY Receving Query'!$B:$S,5,FALSE)),0)*$AJ175</f>
        <v>1.2352941176470589</v>
      </c>
      <c r="AP175" s="10">
        <f t="shared" si="46"/>
        <v>25.587418300653596</v>
      </c>
      <c r="AQ175" s="10">
        <f t="shared" si="47"/>
        <v>1.668265534960746</v>
      </c>
      <c r="AR175" s="16">
        <f t="shared" si="48"/>
        <v>0.82352941176470584</v>
      </c>
      <c r="AS175" s="16">
        <f t="shared" si="49"/>
        <v>1.1121770233071639</v>
      </c>
      <c r="AT175" s="16">
        <f>AA175/'CY Defensive Stats Query'!$AH$34
*'Fanduel Export'!S175</f>
        <v>7.7753937912524806</v>
      </c>
      <c r="AU175" s="10">
        <f t="shared" si="62"/>
        <v>8.6476143217961887</v>
      </c>
      <c r="AV175" s="10">
        <f t="shared" si="50"/>
        <v>0</v>
      </c>
      <c r="AW175" s="10">
        <f t="shared" si="51"/>
        <v>12.022058823529411</v>
      </c>
      <c r="AX175" s="10">
        <f t="shared" si="52"/>
        <v>0</v>
      </c>
      <c r="AY175" s="10">
        <f>AF175/'CY Defensive Stats Query'!$AF$34
*R175</f>
        <v>0</v>
      </c>
      <c r="AZ175" s="10">
        <f t="shared" si="63"/>
        <v>0</v>
      </c>
      <c r="BA175" s="16">
        <f t="shared" si="53"/>
        <v>1.2765261380619717</v>
      </c>
      <c r="BB175" s="16">
        <f t="shared" si="54"/>
        <v>0.30393479477665991</v>
      </c>
      <c r="BC175" s="10">
        <f t="shared" si="55"/>
        <v>0.29411764705882354</v>
      </c>
      <c r="BD175" s="10">
        <f>IF(B175="QB",COUNTIFS($B$5:B175,B175,$J$5:J175,J175),1)</f>
        <v>1</v>
      </c>
      <c r="BE175" t="str">
        <f t="shared" si="56"/>
        <v>O.J. Howard</v>
      </c>
      <c r="BF175">
        <f t="shared" si="57"/>
        <v>4200</v>
      </c>
      <c r="BG175" t="str">
        <f t="shared" si="58"/>
        <v>TE</v>
      </c>
      <c r="BH175" s="16">
        <f t="shared" si="59"/>
        <v>1.2765261380619717</v>
      </c>
    </row>
    <row r="176" spans="1:60" x14ac:dyDescent="0.2">
      <c r="A176" t="s">
        <v>2986</v>
      </c>
      <c r="B176" t="s">
        <v>88</v>
      </c>
      <c r="C176" t="s">
        <v>2677</v>
      </c>
      <c r="D176" t="s">
        <v>2162</v>
      </c>
      <c r="E176" t="s">
        <v>2987</v>
      </c>
      <c r="F176">
        <v>2.2999999523162802</v>
      </c>
      <c r="G176">
        <v>2</v>
      </c>
      <c r="H176">
        <v>4200</v>
      </c>
      <c r="I176" t="s">
        <v>2718</v>
      </c>
      <c r="J176" t="s">
        <v>729</v>
      </c>
      <c r="K176" t="s">
        <v>138</v>
      </c>
      <c r="O176" t="str">
        <f t="shared" si="43"/>
        <v>Jeremy Sprinkle</v>
      </c>
      <c r="P176" t="str">
        <f>IFERROR(VLOOKUP(O:O,'Name Bridge'!A:B,2,FALSE),O:O)</f>
        <v>Jeremy Sprinkle</v>
      </c>
      <c r="Q176" s="10">
        <f>VLOOKUP($K176,'CY Defensive Stats Query'!$AC:$AH,2,FALSE)</f>
        <v>6.5263157894736841</v>
      </c>
      <c r="R176" s="10">
        <f>VLOOKUP($K176,'CY Defensive Stats Query'!$AC:$AH,4,FALSE)</f>
        <v>4.7051282051282053</v>
      </c>
      <c r="S176" s="10">
        <f>VLOOKUP($K176,'CY Defensive Stats Query'!$AC:$AH,6,FALSE)</f>
        <v>10.191780821917808</v>
      </c>
      <c r="T176" s="10">
        <f>IFERROR(VLOOKUP($P176,'CYPassing Query'!$B:$AE,9,FALSE)/VLOOKUP($P176,'CYPassing Query'!$B:$AE,5,FALSE),0)</f>
        <v>0</v>
      </c>
      <c r="U176" s="10">
        <f>IFERROR(VLOOKUP($P176,'CYPassing Query'!$B:$AE,11,FALSE)/VLOOKUP($P176,'CYPassing Query'!$B:$AE,5,FALSE),0)</f>
        <v>0</v>
      </c>
      <c r="V176" s="10">
        <f>IFERROR(VLOOKUP($P176,'CYPassing Query'!$B:$AE,18,FALSE),0)</f>
        <v>0</v>
      </c>
      <c r="W176" s="10">
        <f>IFERROR(VLOOKUP($P176,'CYPassing Query'!$B:$AE,12,FALSE)/VLOOKUP($P176,'CYPassing Query'!$B:$AE,5,FALSE),0)</f>
        <v>0</v>
      </c>
      <c r="X176" s="10">
        <f>IFERROR(IF(OR($B176="D",$B176="K"),0,VLOOKUP($P176,'CY Receving Query'!$B:$S,7,FALSE)/VLOOKUP($P176,'CY Receving Query'!$B:$S,5,FALSE)),0)*$AJ176</f>
        <v>0.17647058823529413</v>
      </c>
      <c r="Y176" s="10">
        <f>IFERROR(VLOOKUP($P176,'CY Receving Query'!$B:$S,8,FALSE)/VLOOKUP($P176,'CY Receving Query'!$B:$S,5,FALSE),0)</f>
        <v>0.17647058823529413</v>
      </c>
      <c r="Z176" s="10">
        <f>IFERROR(VLOOKUP($P176,'CY Receving Query'!$B:$S,10,FALSE)/VLOOKUP($P176,'CY Receving Query'!$B:$S,5,FALSE),0)</f>
        <v>1.8235294117647058</v>
      </c>
      <c r="AA176" s="10">
        <f>IFERROR(VLOOKUP($P176,'CY Receving Query'!$B:$S,11,FALSE),0)</f>
        <v>10.3</v>
      </c>
      <c r="AB176" s="10">
        <f>IFERROR(AVERAGE(VLOOKUP($P176,'PY Receiving'!$C:$T,14,FALSE),VLOOKUP($P176,'CY Receiving'!$C:$T,14,FALSE)),0)</f>
        <v>0</v>
      </c>
      <c r="AC176" s="10">
        <f>IFERROR(VLOOKUP($P176,'CY Receving Query'!$B:$S,11,FALSE)/VLOOKUP($P176,'CY Receving Query'!$B:$S,5,FALSE),0)</f>
        <v>0.60588235294117654</v>
      </c>
      <c r="AD176" s="10">
        <f>IFERROR(VLOOKUP($P176,'CY Rushing Query'!$B:$O,7,FALSE)/VLOOKUP($P176,'CY Rushing Query'!$B:$O,5,FALSE),0)</f>
        <v>0</v>
      </c>
      <c r="AE176" s="10">
        <f>IFERROR(AVERAGE(VLOOKUP($P176,'PY Rushing'!$C:$P,8,FALSE)/VLOOKUP($P176,'PY Rushing'!$C:$P,5,FALSE),VLOOKUP($P176,'CY Rushing'!$C:$P,8,FALSE)/VLOOKUP($P176,'CY Rushing'!$C:$P,5,FALSE)),0)</f>
        <v>0</v>
      </c>
      <c r="AF176" s="10">
        <f>IFERROR(VLOOKUP($P176,'CY Rushing Query'!$B:$P,12,FALSE),0)</f>
        <v>0</v>
      </c>
      <c r="AG176" s="10">
        <f>IFERROR(VLOOKUP($P176,'CY Rushing Query'!$B:$P,9,FALSE)/VLOOKUP($P176,'CY Rushing Query'!$B:$P,5,FALSE),0)</f>
        <v>0</v>
      </c>
      <c r="AH176" s="10">
        <f>VLOOKUP($J176,'Vegas Odds'!$B:$S,18,FALSE)</f>
        <v>38.06292701199007</v>
      </c>
      <c r="AI176" s="10">
        <f>VLOOKUP($J176,'Vegas Odds'!$B:$S,17,FALSE)</f>
        <v>29.237072988009928</v>
      </c>
      <c r="AJ176">
        <f t="shared" si="60"/>
        <v>1</v>
      </c>
      <c r="AK176" s="10">
        <f t="shared" si="44"/>
        <v>0</v>
      </c>
      <c r="AL176" s="10">
        <f t="shared" si="45"/>
        <v>0</v>
      </c>
      <c r="AM176" s="10">
        <f>V176/'CY Defensive Stats Query'!$AD$34*'Fanduel Export'!Q176</f>
        <v>0</v>
      </c>
      <c r="AN176" s="10">
        <f t="shared" si="61"/>
        <v>0</v>
      </c>
      <c r="AO176" s="10">
        <f>IFERROR(IF(OR($B176="D",$B176="K"),0,VLOOKUP($P176,'CY Receving Query'!$B:$S,7,FALSE)/VLOOKUP($P176,'CY Receving Query'!$B:$S,5,FALSE)),0)*$AJ176</f>
        <v>0.17647058823529413</v>
      </c>
      <c r="AP176" s="10">
        <f t="shared" si="46"/>
        <v>30.199512497306614</v>
      </c>
      <c r="AQ176" s="10">
        <f t="shared" si="47"/>
        <v>0.22242038246021414</v>
      </c>
      <c r="AR176" s="16">
        <f t="shared" si="48"/>
        <v>0.17647058823529413</v>
      </c>
      <c r="AS176" s="16">
        <f t="shared" si="49"/>
        <v>0.22242038246021414</v>
      </c>
      <c r="AT176" s="16">
        <f>AA176/'CY Defensive Stats Query'!$AH$34
*'Fanduel Export'!S176</f>
        <v>9.9843990953250419</v>
      </c>
      <c r="AU176" s="10">
        <f t="shared" si="62"/>
        <v>2.2207338654176119</v>
      </c>
      <c r="AV176" s="10">
        <f t="shared" si="50"/>
        <v>0</v>
      </c>
      <c r="AW176" s="10">
        <f t="shared" si="51"/>
        <v>30.007352941176471</v>
      </c>
      <c r="AX176" s="10">
        <f t="shared" si="52"/>
        <v>0</v>
      </c>
      <c r="AY176" s="10">
        <f>AF176/'CY Defensive Stats Query'!$AF$34
*R176</f>
        <v>0</v>
      </c>
      <c r="AZ176" s="10">
        <f t="shared" si="63"/>
        <v>0</v>
      </c>
      <c r="BA176" s="16">
        <f t="shared" si="53"/>
        <v>0.31030868065940825</v>
      </c>
      <c r="BB176" s="16">
        <f t="shared" si="54"/>
        <v>7.3883019204621009E-2</v>
      </c>
      <c r="BC176" s="10">
        <f t="shared" si="55"/>
        <v>4.2016806722689079E-2</v>
      </c>
      <c r="BD176" s="10">
        <f>IF(B176="QB",COUNTIFS($B$5:B176,B176,$J$5:J176,J176),1)</f>
        <v>1</v>
      </c>
      <c r="BE176" t="str">
        <f t="shared" si="56"/>
        <v>Jeremy Sprinkle</v>
      </c>
      <c r="BF176">
        <f t="shared" si="57"/>
        <v>4200</v>
      </c>
      <c r="BG176" t="str">
        <f t="shared" si="58"/>
        <v>TE</v>
      </c>
      <c r="BH176" s="16">
        <f t="shared" si="59"/>
        <v>0.31030868065940825</v>
      </c>
    </row>
    <row r="177" spans="1:60" x14ac:dyDescent="0.2">
      <c r="A177" t="s">
        <v>2988</v>
      </c>
      <c r="B177" t="s">
        <v>88</v>
      </c>
      <c r="C177" t="s">
        <v>2579</v>
      </c>
      <c r="D177" t="s">
        <v>654</v>
      </c>
      <c r="E177" t="s">
        <v>2580</v>
      </c>
      <c r="F177">
        <v>2.9249999523162802</v>
      </c>
      <c r="G177">
        <v>8</v>
      </c>
      <c r="H177">
        <v>4100</v>
      </c>
      <c r="I177" t="s">
        <v>2716</v>
      </c>
      <c r="J177" t="s">
        <v>99</v>
      </c>
      <c r="K177" t="s">
        <v>81</v>
      </c>
      <c r="O177" t="str">
        <f t="shared" si="43"/>
        <v>Jace Sternberger</v>
      </c>
      <c r="P177" t="str">
        <f>IFERROR(VLOOKUP(O:O,'Name Bridge'!A:B,2,FALSE),O:O)</f>
        <v>Jace Sternberger</v>
      </c>
      <c r="Q177" s="10">
        <f>VLOOKUP($K177,'CY Defensive Stats Query'!$AC:$AH,2,FALSE)</f>
        <v>8.7934782608695645</v>
      </c>
      <c r="R177" s="10">
        <f>VLOOKUP($K177,'CY Defensive Stats Query'!$AC:$AH,4,FALSE)</f>
        <v>5.404494382022472</v>
      </c>
      <c r="S177" s="10">
        <f>VLOOKUP($K177,'CY Defensive Stats Query'!$AC:$AH,6,FALSE)</f>
        <v>12.446153846153846</v>
      </c>
      <c r="T177" s="10">
        <f>IFERROR(VLOOKUP($P177,'CYPassing Query'!$B:$AE,9,FALSE)/VLOOKUP($P177,'CYPassing Query'!$B:$AE,5,FALSE),0)</f>
        <v>0</v>
      </c>
      <c r="U177" s="10">
        <f>IFERROR(VLOOKUP($P177,'CYPassing Query'!$B:$AE,11,FALSE)/VLOOKUP($P177,'CYPassing Query'!$B:$AE,5,FALSE),0)</f>
        <v>0</v>
      </c>
      <c r="V177" s="10">
        <f>IFERROR(VLOOKUP($P177,'CYPassing Query'!$B:$AE,18,FALSE),0)</f>
        <v>0</v>
      </c>
      <c r="W177" s="10">
        <f>IFERROR(VLOOKUP($P177,'CYPassing Query'!$B:$AE,12,FALSE)/VLOOKUP($P177,'CYPassing Query'!$B:$AE,5,FALSE),0)</f>
        <v>0</v>
      </c>
      <c r="X177" s="10">
        <f>IFERROR(IF(OR($B177="D",$B177="K"),0,VLOOKUP($P177,'CY Receving Query'!$B:$S,7,FALSE)/VLOOKUP($P177,'CY Receving Query'!$B:$S,5,FALSE)),0)*$AJ177</f>
        <v>0</v>
      </c>
      <c r="Y177" s="10">
        <f>IFERROR(VLOOKUP($P177,'CY Receving Query'!$B:$S,8,FALSE)/VLOOKUP($P177,'CY Receving Query'!$B:$S,5,FALSE),0)</f>
        <v>0</v>
      </c>
      <c r="Z177" s="10">
        <f>IFERROR(VLOOKUP($P177,'CY Receving Query'!$B:$S,10,FALSE)/VLOOKUP($P177,'CY Receving Query'!$B:$S,5,FALSE),0)</f>
        <v>0</v>
      </c>
      <c r="AA177" s="10">
        <f>IFERROR(VLOOKUP($P177,'CY Receving Query'!$B:$S,11,FALSE),0)</f>
        <v>0</v>
      </c>
      <c r="AB177" s="10">
        <f>IFERROR(AVERAGE(VLOOKUP($P177,'PY Receiving'!$C:$T,14,FALSE),VLOOKUP($P177,'CY Receiving'!$C:$T,14,FALSE)),0)</f>
        <v>0</v>
      </c>
      <c r="AC177" s="10">
        <f>IFERROR(VLOOKUP($P177,'CY Receving Query'!$B:$S,11,FALSE)/VLOOKUP($P177,'CY Receving Query'!$B:$S,5,FALSE),0)</f>
        <v>0</v>
      </c>
      <c r="AD177" s="10">
        <f>IFERROR(VLOOKUP($P177,'CY Rushing Query'!$B:$O,7,FALSE)/VLOOKUP($P177,'CY Rushing Query'!$B:$O,5,FALSE),0)</f>
        <v>0</v>
      </c>
      <c r="AE177" s="10">
        <f>IFERROR(AVERAGE(VLOOKUP($P177,'PY Rushing'!$C:$P,8,FALSE)/VLOOKUP($P177,'PY Rushing'!$C:$P,5,FALSE),VLOOKUP($P177,'CY Rushing'!$C:$P,8,FALSE)/VLOOKUP($P177,'CY Rushing'!$C:$P,5,FALSE)),0)</f>
        <v>0</v>
      </c>
      <c r="AF177" s="10">
        <f>IFERROR(VLOOKUP($P177,'CY Rushing Query'!$B:$P,12,FALSE),0)</f>
        <v>0</v>
      </c>
      <c r="AG177" s="10">
        <f>IFERROR(VLOOKUP($P177,'CY Rushing Query'!$B:$P,9,FALSE)/VLOOKUP($P177,'CY Rushing Query'!$B:$P,5,FALSE),0)</f>
        <v>0</v>
      </c>
      <c r="AH177" s="10">
        <f>VLOOKUP($J177,'Vegas Odds'!$B:$S,18,FALSE)</f>
        <v>40.088640957860363</v>
      </c>
      <c r="AI177" s="10">
        <f>VLOOKUP($J177,'Vegas Odds'!$B:$S,17,FALSE)</f>
        <v>25.511359042139631</v>
      </c>
      <c r="AJ177">
        <f t="shared" si="60"/>
        <v>1</v>
      </c>
      <c r="AK177" s="10">
        <f t="shared" si="44"/>
        <v>0</v>
      </c>
      <c r="AL177" s="10">
        <f t="shared" si="45"/>
        <v>0</v>
      </c>
      <c r="AM177" s="10">
        <f>V177/'CY Defensive Stats Query'!$AD$34*'Fanduel Export'!Q177</f>
        <v>0</v>
      </c>
      <c r="AN177" s="10">
        <f t="shared" si="61"/>
        <v>0</v>
      </c>
      <c r="AO177" s="10">
        <f>IFERROR(IF(OR($B177="D",$B177="K"),0,VLOOKUP($P177,'CY Receving Query'!$B:$S,7,FALSE)/VLOOKUP($P177,'CY Receving Query'!$B:$S,5,FALSE)),0)*$AJ177</f>
        <v>0</v>
      </c>
      <c r="AP177" s="10">
        <f t="shared" si="46"/>
        <v>32.289950980392156</v>
      </c>
      <c r="AQ177" s="10">
        <f t="shared" si="47"/>
        <v>0</v>
      </c>
      <c r="AR177" s="16">
        <f t="shared" si="48"/>
        <v>0</v>
      </c>
      <c r="AS177" s="16">
        <f t="shared" si="49"/>
        <v>0</v>
      </c>
      <c r="AT177" s="16">
        <f>AA177/'CY Defensive Stats Query'!$AH$34
*'Fanduel Export'!S177</f>
        <v>0</v>
      </c>
      <c r="AU177" s="10">
        <f t="shared" si="62"/>
        <v>0</v>
      </c>
      <c r="AV177" s="10">
        <f t="shared" si="50"/>
        <v>0</v>
      </c>
      <c r="AW177" s="10">
        <f t="shared" si="51"/>
        <v>7.4240196078431371</v>
      </c>
      <c r="AX177" s="10">
        <f t="shared" si="52"/>
        <v>0</v>
      </c>
      <c r="AY177" s="10">
        <f>AF177/'CY Defensive Stats Query'!$AF$34
*R177</f>
        <v>0</v>
      </c>
      <c r="AZ177" s="10">
        <f t="shared" si="63"/>
        <v>0</v>
      </c>
      <c r="BA177" s="16">
        <f t="shared" si="53"/>
        <v>0</v>
      </c>
      <c r="BB177" s="16">
        <f t="shared" si="54"/>
        <v>0</v>
      </c>
      <c r="BC177" s="10">
        <f t="shared" si="55"/>
        <v>0</v>
      </c>
      <c r="BD177" s="10">
        <f>IF(B177="QB",COUNTIFS($B$5:B177,B177,$J$5:J177,J177),1)</f>
        <v>1</v>
      </c>
      <c r="BE177" t="str">
        <f t="shared" si="56"/>
        <v>Jace Sternberger</v>
      </c>
      <c r="BF177">
        <f t="shared" si="57"/>
        <v>4100</v>
      </c>
      <c r="BG177" t="str">
        <f t="shared" si="58"/>
        <v>TE</v>
      </c>
      <c r="BH177" s="16">
        <f t="shared" si="59"/>
        <v>0</v>
      </c>
    </row>
    <row r="178" spans="1:60" x14ac:dyDescent="0.2">
      <c r="A178" t="s">
        <v>2989</v>
      </c>
      <c r="B178" t="s">
        <v>88</v>
      </c>
      <c r="C178" t="s">
        <v>2447</v>
      </c>
      <c r="D178" t="s">
        <v>2470</v>
      </c>
      <c r="E178" t="s">
        <v>2990</v>
      </c>
      <c r="F178">
        <v>2.6749999523162802</v>
      </c>
      <c r="G178">
        <v>4</v>
      </c>
      <c r="H178">
        <v>4100</v>
      </c>
      <c r="I178" t="s">
        <v>2718</v>
      </c>
      <c r="J178" t="s">
        <v>729</v>
      </c>
      <c r="K178" t="s">
        <v>138</v>
      </c>
      <c r="O178" t="str">
        <f t="shared" si="43"/>
        <v>Sean McKeon</v>
      </c>
      <c r="P178" t="str">
        <f>IFERROR(VLOOKUP(O:O,'Name Bridge'!A:B,2,FALSE),O:O)</f>
        <v>Sean McKeon</v>
      </c>
      <c r="Q178" s="10">
        <f>VLOOKUP($K178,'CY Defensive Stats Query'!$AC:$AH,2,FALSE)</f>
        <v>6.5263157894736841</v>
      </c>
      <c r="R178" s="10">
        <f>VLOOKUP($K178,'CY Defensive Stats Query'!$AC:$AH,4,FALSE)</f>
        <v>4.7051282051282053</v>
      </c>
      <c r="S178" s="10">
        <f>VLOOKUP($K178,'CY Defensive Stats Query'!$AC:$AH,6,FALSE)</f>
        <v>10.191780821917808</v>
      </c>
      <c r="T178" s="10">
        <f>IFERROR(VLOOKUP($P178,'CYPassing Query'!$B:$AE,9,FALSE)/VLOOKUP($P178,'CYPassing Query'!$B:$AE,5,FALSE),0)</f>
        <v>0</v>
      </c>
      <c r="U178" s="10">
        <f>IFERROR(VLOOKUP($P178,'CYPassing Query'!$B:$AE,11,FALSE)/VLOOKUP($P178,'CYPassing Query'!$B:$AE,5,FALSE),0)</f>
        <v>0</v>
      </c>
      <c r="V178" s="10">
        <f>IFERROR(VLOOKUP($P178,'CYPassing Query'!$B:$AE,18,FALSE),0)</f>
        <v>0</v>
      </c>
      <c r="W178" s="10">
        <f>IFERROR(VLOOKUP($P178,'CYPassing Query'!$B:$AE,12,FALSE)/VLOOKUP($P178,'CYPassing Query'!$B:$AE,5,FALSE),0)</f>
        <v>0</v>
      </c>
      <c r="X178" s="10">
        <f>IFERROR(IF(OR($B178="D",$B178="K"),0,VLOOKUP($P178,'CY Receving Query'!$B:$S,7,FALSE)/VLOOKUP($P178,'CY Receving Query'!$B:$S,5,FALSE)),0)*$AJ178</f>
        <v>0.66666666666666663</v>
      </c>
      <c r="Y178" s="10">
        <f>IFERROR(VLOOKUP($P178,'CY Receving Query'!$B:$S,8,FALSE)/VLOOKUP($P178,'CY Receving Query'!$B:$S,5,FALSE),0)</f>
        <v>0.44444444444444442</v>
      </c>
      <c r="Z178" s="10">
        <f>IFERROR(VLOOKUP($P178,'CY Receving Query'!$B:$S,10,FALSE)/VLOOKUP($P178,'CY Receving Query'!$B:$S,5,FALSE),0)</f>
        <v>3</v>
      </c>
      <c r="AA178" s="10">
        <f>IFERROR(VLOOKUP($P178,'CY Receving Query'!$B:$S,11,FALSE),0)</f>
        <v>6.8</v>
      </c>
      <c r="AB178" s="10">
        <f>IFERROR(AVERAGE(VLOOKUP($P178,'PY Receiving'!$C:$T,14,FALSE),VLOOKUP($P178,'CY Receiving'!$C:$T,14,FALSE)),0)</f>
        <v>0</v>
      </c>
      <c r="AC178" s="10">
        <f>IFERROR(VLOOKUP($P178,'CY Receving Query'!$B:$S,11,FALSE)/VLOOKUP($P178,'CY Receving Query'!$B:$S,5,FALSE),0)</f>
        <v>0.75555555555555554</v>
      </c>
      <c r="AD178" s="10">
        <f>IFERROR(VLOOKUP($P178,'CY Rushing Query'!$B:$O,7,FALSE)/VLOOKUP($P178,'CY Rushing Query'!$B:$O,5,FALSE),0)</f>
        <v>0</v>
      </c>
      <c r="AE178" s="10">
        <f>IFERROR(AVERAGE(VLOOKUP($P178,'PY Rushing'!$C:$P,8,FALSE)/VLOOKUP($P178,'PY Rushing'!$C:$P,5,FALSE),VLOOKUP($P178,'CY Rushing'!$C:$P,8,FALSE)/VLOOKUP($P178,'CY Rushing'!$C:$P,5,FALSE)),0)</f>
        <v>0</v>
      </c>
      <c r="AF178" s="10">
        <f>IFERROR(VLOOKUP($P178,'CY Rushing Query'!$B:$P,12,FALSE),0)</f>
        <v>0</v>
      </c>
      <c r="AG178" s="10">
        <f>IFERROR(VLOOKUP($P178,'CY Rushing Query'!$B:$P,9,FALSE)/VLOOKUP($P178,'CY Rushing Query'!$B:$P,5,FALSE),0)</f>
        <v>0</v>
      </c>
      <c r="AH178" s="10">
        <f>VLOOKUP($J178,'Vegas Odds'!$B:$S,18,FALSE)</f>
        <v>38.06292701199007</v>
      </c>
      <c r="AI178" s="10">
        <f>VLOOKUP($J178,'Vegas Odds'!$B:$S,17,FALSE)</f>
        <v>29.237072988009928</v>
      </c>
      <c r="AJ178">
        <f t="shared" si="60"/>
        <v>1</v>
      </c>
      <c r="AK178" s="10">
        <f t="shared" si="44"/>
        <v>0</v>
      </c>
      <c r="AL178" s="10">
        <f t="shared" si="45"/>
        <v>0</v>
      </c>
      <c r="AM178" s="10">
        <f>V178/'CY Defensive Stats Query'!$AD$34*'Fanduel Export'!Q178</f>
        <v>0</v>
      </c>
      <c r="AN178" s="10">
        <f t="shared" si="61"/>
        <v>0</v>
      </c>
      <c r="AO178" s="10">
        <f>IFERROR(IF(OR($B178="D",$B178="K"),0,VLOOKUP($P178,'CY Receving Query'!$B:$S,7,FALSE)/VLOOKUP($P178,'CY Receving Query'!$B:$S,5,FALSE)),0)*$AJ178</f>
        <v>0.66666666666666663</v>
      </c>
      <c r="AP178" s="10">
        <f t="shared" si="46"/>
        <v>30.199512497306614</v>
      </c>
      <c r="AQ178" s="10">
        <f t="shared" si="47"/>
        <v>0.84025477818303107</v>
      </c>
      <c r="AR178" s="16">
        <f t="shared" si="48"/>
        <v>0.44444444444444442</v>
      </c>
      <c r="AS178" s="16">
        <f t="shared" si="49"/>
        <v>0.56016985212202064</v>
      </c>
      <c r="AT178" s="16">
        <f>AA178/'CY Defensive Stats Query'!$AH$34
*'Fanduel Export'!S178</f>
        <v>6.5916421211854637</v>
      </c>
      <c r="AU178" s="10">
        <f t="shared" si="62"/>
        <v>3.6924391922657436</v>
      </c>
      <c r="AV178" s="10">
        <f t="shared" si="50"/>
        <v>0</v>
      </c>
      <c r="AW178" s="10">
        <f t="shared" si="51"/>
        <v>30.007352941176471</v>
      </c>
      <c r="AX178" s="10">
        <f t="shared" si="52"/>
        <v>0</v>
      </c>
      <c r="AY178" s="10">
        <f>AF178/'CY Defensive Stats Query'!$AF$34
*R178</f>
        <v>0</v>
      </c>
      <c r="AZ178" s="10">
        <f t="shared" si="63"/>
        <v>0</v>
      </c>
      <c r="BA178" s="16">
        <f t="shared" si="53"/>
        <v>0.5914661414487965</v>
      </c>
      <c r="BB178" s="16">
        <f t="shared" si="54"/>
        <v>0.14426003449970648</v>
      </c>
      <c r="BC178" s="10">
        <f t="shared" si="55"/>
        <v>0.16260162601626016</v>
      </c>
      <c r="BD178" s="10">
        <f>IF(B178="QB",COUNTIFS($B$5:B178,B178,$J$5:J178,J178),1)</f>
        <v>1</v>
      </c>
      <c r="BE178" t="str">
        <f t="shared" si="56"/>
        <v>Sean McKeon</v>
      </c>
      <c r="BF178">
        <f t="shared" si="57"/>
        <v>4100</v>
      </c>
      <c r="BG178" t="str">
        <f t="shared" si="58"/>
        <v>TE</v>
      </c>
      <c r="BH178" s="16">
        <f t="shared" si="59"/>
        <v>0.5914661414487965</v>
      </c>
    </row>
    <row r="179" spans="1:60" x14ac:dyDescent="0.2">
      <c r="A179" t="s">
        <v>2991</v>
      </c>
      <c r="B179" t="s">
        <v>88</v>
      </c>
      <c r="C179" t="s">
        <v>2274</v>
      </c>
      <c r="D179" t="s">
        <v>631</v>
      </c>
      <c r="E179" t="s">
        <v>2709</v>
      </c>
      <c r="F179">
        <v>3.2750000953674299</v>
      </c>
      <c r="G179">
        <v>4</v>
      </c>
      <c r="H179">
        <v>4100</v>
      </c>
      <c r="I179" t="s">
        <v>2718</v>
      </c>
      <c r="J179" t="s">
        <v>138</v>
      </c>
      <c r="K179" t="s">
        <v>729</v>
      </c>
      <c r="O179" t="str">
        <f t="shared" si="43"/>
        <v>Ross Dwelley</v>
      </c>
      <c r="P179" t="str">
        <f>IFERROR(VLOOKUP(O:O,'Name Bridge'!A:B,2,FALSE),O:O)</f>
        <v>Ross Dwelley</v>
      </c>
      <c r="Q179" s="10">
        <f>VLOOKUP($K179,'CY Defensive Stats Query'!$AC:$AH,2,FALSE)</f>
        <v>7.6538461538461542</v>
      </c>
      <c r="R179" s="10">
        <f>VLOOKUP($K179,'CY Defensive Stats Query'!$AC:$AH,4,FALSE)</f>
        <v>4.6888888888888891</v>
      </c>
      <c r="S179" s="10">
        <f>VLOOKUP($K179,'CY Defensive Stats Query'!$AC:$AH,6,FALSE)</f>
        <v>11.306818181818182</v>
      </c>
      <c r="T179" s="10">
        <f>IFERROR(VLOOKUP($P179,'CYPassing Query'!$B:$AE,9,FALSE)/VLOOKUP($P179,'CYPassing Query'!$B:$AE,5,FALSE),0)</f>
        <v>0</v>
      </c>
      <c r="U179" s="10">
        <f>IFERROR(VLOOKUP($P179,'CYPassing Query'!$B:$AE,11,FALSE)/VLOOKUP($P179,'CYPassing Query'!$B:$AE,5,FALSE),0)</f>
        <v>0</v>
      </c>
      <c r="V179" s="10">
        <f>IFERROR(VLOOKUP($P179,'CYPassing Query'!$B:$AE,18,FALSE),0)</f>
        <v>0</v>
      </c>
      <c r="W179" s="10">
        <f>IFERROR(VLOOKUP($P179,'CYPassing Query'!$B:$AE,12,FALSE)/VLOOKUP($P179,'CYPassing Query'!$B:$AE,5,FALSE),0)</f>
        <v>0</v>
      </c>
      <c r="X179" s="10">
        <f>IFERROR(IF(OR($B179="D",$B179="K"),0,VLOOKUP($P179,'CY Receving Query'!$B:$S,7,FALSE)/VLOOKUP($P179,'CY Receving Query'!$B:$S,5,FALSE)),0)*$AJ179</f>
        <v>0.29411764705882354</v>
      </c>
      <c r="Y179" s="10">
        <f>IFERROR(VLOOKUP($P179,'CY Receving Query'!$B:$S,8,FALSE)/VLOOKUP($P179,'CY Receving Query'!$B:$S,5,FALSE),0)</f>
        <v>0.23529411764705882</v>
      </c>
      <c r="Z179" s="10">
        <f>IFERROR(VLOOKUP($P179,'CY Receving Query'!$B:$S,10,FALSE)/VLOOKUP($P179,'CY Receving Query'!$B:$S,5,FALSE),0)</f>
        <v>3</v>
      </c>
      <c r="AA179" s="10">
        <f>IFERROR(VLOOKUP($P179,'CY Receving Query'!$B:$S,11,FALSE),0)</f>
        <v>12.8</v>
      </c>
      <c r="AB179" s="10">
        <f>IFERROR(AVERAGE(VLOOKUP($P179,'PY Receiving'!$C:$T,14,FALSE),VLOOKUP($P179,'CY Receiving'!$C:$T,14,FALSE)),0)</f>
        <v>0</v>
      </c>
      <c r="AC179" s="10">
        <f>IFERROR(VLOOKUP($P179,'CY Receving Query'!$B:$S,11,FALSE)/VLOOKUP($P179,'CY Receving Query'!$B:$S,5,FALSE),0)</f>
        <v>0.75294117647058822</v>
      </c>
      <c r="AD179" s="10">
        <f>IFERROR(VLOOKUP($P179,'CY Rushing Query'!$B:$O,7,FALSE)/VLOOKUP($P179,'CY Rushing Query'!$B:$O,5,FALSE),0)</f>
        <v>0</v>
      </c>
      <c r="AE179" s="10">
        <f>IFERROR(AVERAGE(VLOOKUP($P179,'PY Rushing'!$C:$P,8,FALSE)/VLOOKUP($P179,'PY Rushing'!$C:$P,5,FALSE),VLOOKUP($P179,'CY Rushing'!$C:$P,8,FALSE)/VLOOKUP($P179,'CY Rushing'!$C:$P,5,FALSE)),0)</f>
        <v>0</v>
      </c>
      <c r="AF179" s="10">
        <f>IFERROR(VLOOKUP($P179,'CY Rushing Query'!$B:$P,12,FALSE),0)</f>
        <v>0</v>
      </c>
      <c r="AG179" s="10">
        <f>IFERROR(VLOOKUP($P179,'CY Rushing Query'!$B:$P,9,FALSE)/VLOOKUP($P179,'CY Rushing Query'!$B:$P,5,FALSE),0)</f>
        <v>0</v>
      </c>
      <c r="AH179" s="10">
        <f>VLOOKUP($J179,'Vegas Odds'!$B:$S,18,FALSE)</f>
        <v>32.679248170039784</v>
      </c>
      <c r="AI179" s="10">
        <f>VLOOKUP($J179,'Vegas Odds'!$B:$S,17,FALSE)</f>
        <v>32.620751829960213</v>
      </c>
      <c r="AJ179">
        <f t="shared" si="60"/>
        <v>1</v>
      </c>
      <c r="AK179" s="10">
        <f t="shared" si="44"/>
        <v>0</v>
      </c>
      <c r="AL179" s="10">
        <f t="shared" si="45"/>
        <v>0</v>
      </c>
      <c r="AM179" s="10">
        <f>V179/'CY Defensive Stats Query'!$AD$34*'Fanduel Export'!Q179</f>
        <v>0</v>
      </c>
      <c r="AN179" s="10">
        <f t="shared" si="61"/>
        <v>0</v>
      </c>
      <c r="AO179" s="10">
        <f>IFERROR(IF(OR($B179="D",$B179="K"),0,VLOOKUP($P179,'CY Receving Query'!$B:$S,7,FALSE)/VLOOKUP($P179,'CY Receving Query'!$B:$S,5,FALSE)),0)*$AJ179</f>
        <v>0.29411764705882354</v>
      </c>
      <c r="AP179" s="10">
        <f t="shared" si="46"/>
        <v>29.704370384517439</v>
      </c>
      <c r="AQ179" s="10">
        <f t="shared" si="47"/>
        <v>0.32357338179546841</v>
      </c>
      <c r="AR179" s="16">
        <f t="shared" si="48"/>
        <v>0.23529411764705882</v>
      </c>
      <c r="AS179" s="16">
        <f t="shared" si="49"/>
        <v>0.25885870543637468</v>
      </c>
      <c r="AT179" s="16">
        <f>AA179/'CY Defensive Stats Query'!$AH$34
*'Fanduel Export'!S179</f>
        <v>13.765278749706924</v>
      </c>
      <c r="AU179" s="10">
        <f t="shared" si="62"/>
        <v>3.5632622371199729</v>
      </c>
      <c r="AV179" s="10">
        <f t="shared" si="50"/>
        <v>0</v>
      </c>
      <c r="AW179" s="10">
        <f t="shared" si="51"/>
        <v>40.335297300738475</v>
      </c>
      <c r="AX179" s="10">
        <f t="shared" si="52"/>
        <v>0</v>
      </c>
      <c r="AY179" s="10">
        <f>AF179/'CY Defensive Stats Query'!$AF$34
*R179</f>
        <v>0</v>
      </c>
      <c r="AZ179" s="10">
        <f t="shared" si="63"/>
        <v>0</v>
      </c>
      <c r="BA179" s="16">
        <f t="shared" si="53"/>
        <v>0.47397328253552673</v>
      </c>
      <c r="BB179" s="16">
        <f t="shared" si="54"/>
        <v>0.11560323964281141</v>
      </c>
      <c r="BC179" s="10">
        <f t="shared" si="55"/>
        <v>7.1736011477761846E-2</v>
      </c>
      <c r="BD179" s="10">
        <f>IF(B179="QB",COUNTIFS($B$5:B179,B179,$J$5:J179,J179),1)</f>
        <v>1</v>
      </c>
      <c r="BE179" t="str">
        <f t="shared" si="56"/>
        <v>Ross Dwelley</v>
      </c>
      <c r="BF179">
        <f t="shared" si="57"/>
        <v>4100</v>
      </c>
      <c r="BG179" t="str">
        <f t="shared" si="58"/>
        <v>TE</v>
      </c>
      <c r="BH179" s="16">
        <f t="shared" si="59"/>
        <v>0.47397328253552673</v>
      </c>
    </row>
    <row r="180" spans="1:60" hidden="1" x14ac:dyDescent="0.2">
      <c r="A180" t="s">
        <v>2992</v>
      </c>
      <c r="B180" t="s">
        <v>308</v>
      </c>
      <c r="C180" t="s">
        <v>2245</v>
      </c>
      <c r="D180" t="s">
        <v>877</v>
      </c>
      <c r="E180" t="s">
        <v>2993</v>
      </c>
      <c r="F180">
        <v>10.8823529411764</v>
      </c>
      <c r="G180">
        <v>17</v>
      </c>
      <c r="H180">
        <v>4100</v>
      </c>
      <c r="I180" t="s">
        <v>2718</v>
      </c>
      <c r="J180" t="s">
        <v>729</v>
      </c>
      <c r="K180" t="s">
        <v>138</v>
      </c>
      <c r="O180" t="str">
        <f t="shared" si="43"/>
        <v>Dallas Cowboys</v>
      </c>
      <c r="P180" t="str">
        <f>IFERROR(VLOOKUP(O:O,'Name Bridge'!A:B,2,FALSE),O:O)</f>
        <v>DAL</v>
      </c>
      <c r="Q180" s="10">
        <f>VLOOKUP($K180,'CY Defensive Stats Query'!$AC:$AH,2,FALSE)</f>
        <v>6.5263157894736841</v>
      </c>
      <c r="R180" s="10">
        <f>VLOOKUP($K180,'CY Defensive Stats Query'!$AC:$AH,4,FALSE)</f>
        <v>4.7051282051282053</v>
      </c>
      <c r="S180" s="10">
        <f>VLOOKUP($K180,'CY Defensive Stats Query'!$AC:$AH,6,FALSE)</f>
        <v>10.191780821917808</v>
      </c>
      <c r="T180" s="10">
        <f>IFERROR(VLOOKUP($P180,'CYPassing Query'!$B:$AE,9,FALSE)/VLOOKUP($P180,'CYPassing Query'!$B:$AE,5,FALSE),0)</f>
        <v>0</v>
      </c>
      <c r="U180" s="10">
        <f>IFERROR(VLOOKUP($P180,'CYPassing Query'!$B:$AE,11,FALSE)/VLOOKUP($P180,'CYPassing Query'!$B:$AE,5,FALSE),0)</f>
        <v>0</v>
      </c>
      <c r="V180" s="10">
        <f>IFERROR(VLOOKUP($P180,'CYPassing Query'!$B:$AE,18,FALSE),0)</f>
        <v>0</v>
      </c>
      <c r="W180" s="10">
        <f>IFERROR(VLOOKUP($P180,'CYPassing Query'!$B:$AE,12,FALSE)/VLOOKUP($P180,'CYPassing Query'!$B:$AE,5,FALSE),0)</f>
        <v>0</v>
      </c>
      <c r="X180" s="10">
        <f>IFERROR(IF(OR($B180="D",$B180="K"),0,VLOOKUP($P180,'CY Receving Query'!$B:$S,7,FALSE)/VLOOKUP($P180,'CY Receving Query'!$B:$S,5,FALSE)),0)*$AJ180</f>
        <v>0</v>
      </c>
      <c r="Y180" s="10">
        <f>IFERROR(VLOOKUP($P180,'CY Receving Query'!$B:$S,8,FALSE)/VLOOKUP($P180,'CY Receving Query'!$B:$S,5,FALSE),0)</f>
        <v>0</v>
      </c>
      <c r="Z180" s="10">
        <f>IFERROR(VLOOKUP($P180,'CY Receving Query'!$B:$S,10,FALSE)/VLOOKUP($P180,'CY Receving Query'!$B:$S,5,FALSE),0)</f>
        <v>0</v>
      </c>
      <c r="AA180" s="10">
        <f>IFERROR(VLOOKUP($P180,'CY Receving Query'!$B:$S,11,FALSE),0)</f>
        <v>0</v>
      </c>
      <c r="AB180" s="10">
        <f>IFERROR(AVERAGE(VLOOKUP($P180,'PY Receiving'!$C:$T,14,FALSE),VLOOKUP($P180,'CY Receiving'!$C:$T,14,FALSE)),0)</f>
        <v>0</v>
      </c>
      <c r="AC180" s="10">
        <f>IFERROR(VLOOKUP($P180,'CY Receving Query'!$B:$S,11,FALSE)/VLOOKUP($P180,'CY Receving Query'!$B:$S,5,FALSE),0)</f>
        <v>0</v>
      </c>
      <c r="AD180" s="10">
        <f>IFERROR(VLOOKUP($P180,'CY Rushing Query'!$B:$O,7,FALSE)/VLOOKUP($P180,'CY Rushing Query'!$B:$O,5,FALSE),0)</f>
        <v>0</v>
      </c>
      <c r="AE180" s="10">
        <f>IFERROR(AVERAGE(VLOOKUP($P180,'PY Rushing'!$C:$P,8,FALSE)/VLOOKUP($P180,'PY Rushing'!$C:$P,5,FALSE),VLOOKUP($P180,'CY Rushing'!$C:$P,8,FALSE)/VLOOKUP($P180,'CY Rushing'!$C:$P,5,FALSE)),0)</f>
        <v>0</v>
      </c>
      <c r="AF180" s="10">
        <f>IFERROR(VLOOKUP($P180,'CY Rushing Query'!$B:$P,12,FALSE),0)</f>
        <v>0</v>
      </c>
      <c r="AG180" s="10">
        <f>IFERROR(VLOOKUP($P180,'CY Rushing Query'!$B:$P,9,FALSE)/VLOOKUP($P180,'CY Rushing Query'!$B:$P,5,FALSE),0)</f>
        <v>0</v>
      </c>
      <c r="AH180" s="10">
        <f>VLOOKUP($J180,'Vegas Odds'!$B:$S,18,FALSE)</f>
        <v>38.06292701199007</v>
      </c>
      <c r="AI180" s="10">
        <f>VLOOKUP($J180,'Vegas Odds'!$B:$S,17,FALSE)</f>
        <v>29.237072988009928</v>
      </c>
      <c r="AJ180">
        <f t="shared" si="60"/>
        <v>1</v>
      </c>
      <c r="AK180" s="10">
        <f t="shared" si="44"/>
        <v>0</v>
      </c>
      <c r="AL180" s="10">
        <f t="shared" si="45"/>
        <v>0</v>
      </c>
      <c r="AM180" s="10">
        <f>V180/'CY Defensive Stats Query'!$AD$34*'Fanduel Export'!Q180</f>
        <v>0</v>
      </c>
      <c r="AN180" s="10">
        <f t="shared" si="61"/>
        <v>0</v>
      </c>
      <c r="AO180" s="10">
        <f>IFERROR(IF(OR($B180="D",$B180="K"),0,VLOOKUP($P180,'CY Receving Query'!$B:$S,7,FALSE)/VLOOKUP($P180,'CY Receving Query'!$B:$S,5,FALSE)),0)*$AJ180</f>
        <v>0</v>
      </c>
      <c r="AP180" s="10">
        <f t="shared" si="46"/>
        <v>30.199512497306614</v>
      </c>
      <c r="AQ180" s="10">
        <f t="shared" si="47"/>
        <v>0</v>
      </c>
      <c r="AR180" s="16">
        <f t="shared" si="48"/>
        <v>0</v>
      </c>
      <c r="AS180" s="16">
        <f t="shared" si="49"/>
        <v>0</v>
      </c>
      <c r="AT180" s="16">
        <f>AA180/'CY Defensive Stats Query'!$AH$34
*'Fanduel Export'!S180</f>
        <v>0</v>
      </c>
      <c r="AU180" s="10">
        <f t="shared" si="62"/>
        <v>0</v>
      </c>
      <c r="AV180" s="10">
        <f t="shared" si="50"/>
        <v>0</v>
      </c>
      <c r="AW180" s="10">
        <f t="shared" si="51"/>
        <v>30.007352941176471</v>
      </c>
      <c r="AX180" s="10">
        <f t="shared" si="52"/>
        <v>0</v>
      </c>
      <c r="AY180" s="10">
        <f>AF180/'CY Defensive Stats Query'!$AF$34
*R180</f>
        <v>0</v>
      </c>
      <c r="AZ180" s="10">
        <f t="shared" si="63"/>
        <v>0</v>
      </c>
      <c r="BA180" s="16">
        <f t="shared" si="53"/>
        <v>0</v>
      </c>
      <c r="BB180" s="16">
        <f t="shared" si="54"/>
        <v>0</v>
      </c>
      <c r="BC180" s="10">
        <f t="shared" si="55"/>
        <v>0</v>
      </c>
      <c r="BD180" s="10">
        <f>IF(B180="QB",COUNTIFS($B$5:B180,B180,$J$5:J180,J180),1)</f>
        <v>1</v>
      </c>
      <c r="BE180" t="str">
        <f t="shared" si="56"/>
        <v>Dallas Cowboys</v>
      </c>
      <c r="BF180">
        <f t="shared" si="57"/>
        <v>4100</v>
      </c>
      <c r="BG180" t="str">
        <f t="shared" si="58"/>
        <v>D</v>
      </c>
      <c r="BH180" s="16">
        <f t="shared" si="59"/>
        <v>0</v>
      </c>
    </row>
    <row r="181" spans="1:60" x14ac:dyDescent="0.2">
      <c r="A181" t="s">
        <v>2994</v>
      </c>
      <c r="B181" t="s">
        <v>88</v>
      </c>
      <c r="C181" t="s">
        <v>2577</v>
      </c>
      <c r="D181" t="s">
        <v>2404</v>
      </c>
      <c r="E181" t="s">
        <v>2995</v>
      </c>
      <c r="F181">
        <v>1.04999995231628</v>
      </c>
      <c r="G181">
        <v>4</v>
      </c>
      <c r="H181">
        <v>4100</v>
      </c>
      <c r="I181" t="s">
        <v>2720</v>
      </c>
      <c r="J181" t="s">
        <v>102</v>
      </c>
      <c r="K181" t="s">
        <v>728</v>
      </c>
      <c r="O181" t="str">
        <f t="shared" si="43"/>
        <v>Jack Stoll</v>
      </c>
      <c r="P181" t="str">
        <f>IFERROR(VLOOKUP(O:O,'Name Bridge'!A:B,2,FALSE),O:O)</f>
        <v>Jack Stoll</v>
      </c>
      <c r="Q181" s="10">
        <f>VLOOKUP($K181,'CY Defensive Stats Query'!$AC:$AH,2,FALSE)</f>
        <v>7.0486111111111107</v>
      </c>
      <c r="R181" s="10">
        <f>VLOOKUP($K181,'CY Defensive Stats Query'!$AC:$AH,4,FALSE)</f>
        <v>3.0806451612903225</v>
      </c>
      <c r="S181" s="10">
        <f>VLOOKUP($K181,'CY Defensive Stats Query'!$AC:$AH,6,FALSE)</f>
        <v>9.759615384615385</v>
      </c>
      <c r="T181" s="10">
        <f>IFERROR(VLOOKUP($P181,'CYPassing Query'!$B:$AE,9,FALSE)/VLOOKUP($P181,'CYPassing Query'!$B:$AE,5,FALSE),0)</f>
        <v>0</v>
      </c>
      <c r="U181" s="10">
        <f>IFERROR(VLOOKUP($P181,'CYPassing Query'!$B:$AE,11,FALSE)/VLOOKUP($P181,'CYPassing Query'!$B:$AE,5,FALSE),0)</f>
        <v>0</v>
      </c>
      <c r="V181" s="10">
        <f>IFERROR(VLOOKUP($P181,'CYPassing Query'!$B:$AE,18,FALSE),0)</f>
        <v>0</v>
      </c>
      <c r="W181" s="10">
        <f>IFERROR(VLOOKUP($P181,'CYPassing Query'!$B:$AE,12,FALSE)/VLOOKUP($P181,'CYPassing Query'!$B:$AE,5,FALSE),0)</f>
        <v>0</v>
      </c>
      <c r="X181" s="10">
        <f>IFERROR(IF(OR($B181="D",$B181="K"),0,VLOOKUP($P181,'CY Receving Query'!$B:$S,7,FALSE)/VLOOKUP($P181,'CY Receving Query'!$B:$S,5,FALSE)),0)*$AJ181</f>
        <v>0.3125</v>
      </c>
      <c r="Y181" s="10">
        <f>IFERROR(VLOOKUP($P181,'CY Receving Query'!$B:$S,8,FALSE)/VLOOKUP($P181,'CY Receving Query'!$B:$S,5,FALSE),0)</f>
        <v>0.25</v>
      </c>
      <c r="Z181" s="10">
        <f>IFERROR(VLOOKUP($P181,'CY Receving Query'!$B:$S,10,FALSE)/VLOOKUP($P181,'CY Receving Query'!$B:$S,5,FALSE),0)</f>
        <v>1.375</v>
      </c>
      <c r="AA181" s="10">
        <f>IFERROR(VLOOKUP($P181,'CY Receving Query'!$B:$S,11,FALSE),0)</f>
        <v>5.5</v>
      </c>
      <c r="AB181" s="10">
        <f>IFERROR(VLOOKUP($P181,'CY Receiving'!$C:$T,14,FALSE),0)</f>
        <v>0</v>
      </c>
      <c r="AC181" s="10">
        <f>IFERROR(VLOOKUP($P181,'CY Receving Query'!$B:$S,11,FALSE)/VLOOKUP($P181,'CY Receving Query'!$B:$S,5,FALSE),0)</f>
        <v>0.34375</v>
      </c>
      <c r="AD181" s="10">
        <f>IFERROR(VLOOKUP($P181,'CY Rushing Query'!$B:$O,7,FALSE)/VLOOKUP($P181,'CY Rushing Query'!$B:$O,5,FALSE),0)</f>
        <v>0</v>
      </c>
      <c r="AE181" s="10">
        <f>IFERROR(AVERAGE(VLOOKUP($P181,'PY Rushing'!$C:$P,8,FALSE)/VLOOKUP($P181,'PY Rushing'!$C:$P,5,FALSE),VLOOKUP($P181,'CY Rushing'!$C:$P,8,FALSE)/VLOOKUP($P181,'CY Rushing'!$C:$P,5,FALSE)),0)</f>
        <v>0</v>
      </c>
      <c r="AF181" s="10">
        <f>IFERROR(VLOOKUP($P181,'CY Rushing Query'!$B:$P,12,FALSE),0)</f>
        <v>0</v>
      </c>
      <c r="AG181" s="10">
        <f>IFERROR(VLOOKUP($P181,'CY Rushing Query'!$B:$P,9,FALSE)/VLOOKUP($P181,'CY Rushing Query'!$B:$P,5,FALSE),0)</f>
        <v>0</v>
      </c>
      <c r="AH181" s="10">
        <f>VLOOKUP($J181,'Vegas Odds'!$B:$S,18,FALSE)</f>
        <v>44.85966247691475</v>
      </c>
      <c r="AI181" s="10">
        <f>VLOOKUP($J181,'Vegas Odds'!$B:$S,17,FALSE)</f>
        <v>17.740337523085255</v>
      </c>
      <c r="AJ181">
        <f t="shared" si="60"/>
        <v>1</v>
      </c>
      <c r="AK181" s="10">
        <f t="shared" si="44"/>
        <v>0</v>
      </c>
      <c r="AL181" s="10">
        <f t="shared" si="45"/>
        <v>0</v>
      </c>
      <c r="AM181" s="10">
        <f>V181/'CY Defensive Stats Query'!$AD$34*'Fanduel Export'!Q181</f>
        <v>0</v>
      </c>
      <c r="AN181" s="10">
        <f t="shared" si="61"/>
        <v>0</v>
      </c>
      <c r="AO181" s="10">
        <f>IFERROR(IF(OR($B181="D",$B181="K"),0,VLOOKUP($P181,'CY Receving Query'!$B:$S,7,FALSE)/VLOOKUP($P181,'CY Receving Query'!$B:$S,5,FALSE)),0)*$AJ181</f>
        <v>0.3125</v>
      </c>
      <c r="AP181" s="10">
        <f t="shared" si="46"/>
        <v>28.54982492997199</v>
      </c>
      <c r="AQ181" s="10">
        <f t="shared" si="47"/>
        <v>0.49102383494194035</v>
      </c>
      <c r="AR181" s="16">
        <f t="shared" si="48"/>
        <v>0.25</v>
      </c>
      <c r="AS181" s="16">
        <f t="shared" si="49"/>
        <v>0.39281906795355231</v>
      </c>
      <c r="AT181" s="16">
        <f>AA181/'CY Defensive Stats Query'!$AH$34
*'Fanduel Export'!S181</f>
        <v>5.1054029451501979</v>
      </c>
      <c r="AU181" s="10">
        <f t="shared" si="62"/>
        <v>2.0054996264412215</v>
      </c>
      <c r="AV181" s="10">
        <f t="shared" si="50"/>
        <v>0</v>
      </c>
      <c r="AW181" s="10">
        <f t="shared" si="51"/>
        <v>56.303606442577035</v>
      </c>
      <c r="AX181" s="10">
        <f t="shared" si="52"/>
        <v>0</v>
      </c>
      <c r="AY181" s="10">
        <f>AF181/'CY Defensive Stats Query'!$AF$34
*R181</f>
        <v>0</v>
      </c>
      <c r="AZ181" s="10">
        <f t="shared" si="63"/>
        <v>0</v>
      </c>
      <c r="BA181" s="16">
        <f t="shared" si="53"/>
        <v>0.32554996264412217</v>
      </c>
      <c r="BB181" s="16">
        <f t="shared" si="54"/>
        <v>7.940242991320054E-2</v>
      </c>
      <c r="BC181" s="10">
        <f t="shared" si="55"/>
        <v>7.6219512195121963E-2</v>
      </c>
      <c r="BD181" s="10">
        <f>IF(B181="QB",COUNTIFS($B$5:B181,B181,$J$5:J181,J181),1)</f>
        <v>1</v>
      </c>
      <c r="BE181" t="str">
        <f t="shared" si="56"/>
        <v>Jack Stoll</v>
      </c>
      <c r="BF181">
        <f t="shared" si="57"/>
        <v>4100</v>
      </c>
      <c r="BG181" t="str">
        <f t="shared" si="58"/>
        <v>TE</v>
      </c>
      <c r="BH181" s="16">
        <f t="shared" si="59"/>
        <v>0.32554996264412217</v>
      </c>
    </row>
    <row r="182" spans="1:60" x14ac:dyDescent="0.2">
      <c r="A182" t="s">
        <v>2996</v>
      </c>
      <c r="B182" t="s">
        <v>88</v>
      </c>
      <c r="C182" t="s">
        <v>2997</v>
      </c>
      <c r="D182" t="s">
        <v>2396</v>
      </c>
      <c r="E182" t="s">
        <v>2998</v>
      </c>
      <c r="H182">
        <v>4000</v>
      </c>
      <c r="I182" t="s">
        <v>2720</v>
      </c>
      <c r="J182" t="s">
        <v>102</v>
      </c>
      <c r="K182" t="s">
        <v>728</v>
      </c>
      <c r="O182" t="str">
        <f t="shared" si="43"/>
        <v>Cary Angeline</v>
      </c>
      <c r="P182" t="str">
        <f>IFERROR(VLOOKUP(O:O,'Name Bridge'!A:B,2,FALSE),O:O)</f>
        <v>Cary Angeline</v>
      </c>
      <c r="Q182" s="10">
        <f>VLOOKUP($K182,'CY Defensive Stats Query'!$AC:$AH,2,FALSE)</f>
        <v>7.0486111111111107</v>
      </c>
      <c r="R182" s="10">
        <f>VLOOKUP($K182,'CY Defensive Stats Query'!$AC:$AH,4,FALSE)</f>
        <v>3.0806451612903225</v>
      </c>
      <c r="S182" s="10">
        <f>VLOOKUP($K182,'CY Defensive Stats Query'!$AC:$AH,6,FALSE)</f>
        <v>9.759615384615385</v>
      </c>
      <c r="T182" s="10">
        <f>IFERROR(VLOOKUP($P182,'CYPassing Query'!$B:$AE,9,FALSE)/VLOOKUP($P182,'CYPassing Query'!$B:$AE,5,FALSE),0)</f>
        <v>0</v>
      </c>
      <c r="U182" s="10">
        <f>IFERROR(VLOOKUP($P182,'CYPassing Query'!$B:$AE,11,FALSE)/VLOOKUP($P182,'CYPassing Query'!$B:$AE,5,FALSE),0)</f>
        <v>0</v>
      </c>
      <c r="V182" s="10">
        <f>IFERROR(VLOOKUP($P182,'CYPassing Query'!$B:$AE,18,FALSE),0)</f>
        <v>0</v>
      </c>
      <c r="W182" s="10">
        <f>IFERROR(VLOOKUP($P182,'CYPassing Query'!$B:$AE,12,FALSE)/VLOOKUP($P182,'CYPassing Query'!$B:$AE,5,FALSE),0)</f>
        <v>0</v>
      </c>
      <c r="X182" s="10">
        <f>IFERROR(IF(OR($B182="D",$B182="K"),0,VLOOKUP($P182,'CY Receving Query'!$B:$S,7,FALSE)/VLOOKUP($P182,'CY Receving Query'!$B:$S,5,FALSE)),0)*$AJ182</f>
        <v>0</v>
      </c>
      <c r="Y182" s="10">
        <f>IFERROR(VLOOKUP($P182,'CY Receving Query'!$B:$S,8,FALSE)/VLOOKUP($P182,'CY Receving Query'!$B:$S,5,FALSE),0)</f>
        <v>0</v>
      </c>
      <c r="Z182" s="10">
        <f>IFERROR(VLOOKUP($P182,'CY Receving Query'!$B:$S,10,FALSE)/VLOOKUP($P182,'CY Receving Query'!$B:$S,5,FALSE),0)</f>
        <v>0</v>
      </c>
      <c r="AA182" s="10">
        <f>IFERROR(VLOOKUP($P182,'CY Receving Query'!$B:$S,11,FALSE),0)</f>
        <v>0</v>
      </c>
      <c r="AB182" s="10">
        <f>IFERROR(AVERAGE(VLOOKUP($P182,'PY Receiving'!$C:$T,14,FALSE),VLOOKUP($P182,'CY Receiving'!$C:$T,14,FALSE)),0)</f>
        <v>0</v>
      </c>
      <c r="AC182" s="10">
        <f>IFERROR(VLOOKUP($P182,'CY Receving Query'!$B:$S,11,FALSE)/VLOOKUP($P182,'CY Receving Query'!$B:$S,5,FALSE),0)</f>
        <v>0</v>
      </c>
      <c r="AD182" s="10">
        <f>IFERROR(VLOOKUP($P182,'CY Rushing Query'!$B:$O,7,FALSE)/VLOOKUP($P182,'CY Rushing Query'!$B:$O,5,FALSE),0)</f>
        <v>0</v>
      </c>
      <c r="AE182" s="10">
        <f>IFERROR(AVERAGE(VLOOKUP($P182,'PY Rushing'!$C:$P,8,FALSE)/VLOOKUP($P182,'PY Rushing'!$C:$P,5,FALSE),VLOOKUP($P182,'CY Rushing'!$C:$P,8,FALSE)/VLOOKUP($P182,'CY Rushing'!$C:$P,5,FALSE)),0)</f>
        <v>0</v>
      </c>
      <c r="AF182" s="10">
        <f>IFERROR(VLOOKUP($P182,'CY Rushing Query'!$B:$P,12,FALSE),0)</f>
        <v>0</v>
      </c>
      <c r="AG182" s="10">
        <f>IFERROR(VLOOKUP($P182,'CY Rushing Query'!$B:$P,9,FALSE)/VLOOKUP($P182,'CY Rushing Query'!$B:$P,5,FALSE),0)</f>
        <v>0</v>
      </c>
      <c r="AH182" s="10">
        <f>VLOOKUP($J182,'Vegas Odds'!$B:$S,18,FALSE)</f>
        <v>44.85966247691475</v>
      </c>
      <c r="AI182" s="10">
        <f>VLOOKUP($J182,'Vegas Odds'!$B:$S,17,FALSE)</f>
        <v>17.740337523085255</v>
      </c>
      <c r="AJ182">
        <f t="shared" si="60"/>
        <v>1</v>
      </c>
      <c r="AK182" s="10">
        <f t="shared" si="44"/>
        <v>0</v>
      </c>
      <c r="AL182" s="10">
        <f t="shared" si="45"/>
        <v>0</v>
      </c>
      <c r="AM182" s="10">
        <f>V182/'CY Defensive Stats Query'!$AD$34*'Fanduel Export'!Q182</f>
        <v>0</v>
      </c>
      <c r="AN182" s="10">
        <f t="shared" si="61"/>
        <v>0</v>
      </c>
      <c r="AO182" s="10">
        <f>IFERROR(IF(OR($B182="D",$B182="K"),0,VLOOKUP($P182,'CY Receving Query'!$B:$S,7,FALSE)/VLOOKUP($P182,'CY Receving Query'!$B:$S,5,FALSE)),0)*$AJ182</f>
        <v>0</v>
      </c>
      <c r="AP182" s="10">
        <f t="shared" si="46"/>
        <v>28.54982492997199</v>
      </c>
      <c r="AQ182" s="10">
        <f t="shared" si="47"/>
        <v>0</v>
      </c>
      <c r="AR182" s="16">
        <f t="shared" si="48"/>
        <v>0</v>
      </c>
      <c r="AS182" s="16">
        <f t="shared" si="49"/>
        <v>0</v>
      </c>
      <c r="AT182" s="16">
        <f>AA182/'CY Defensive Stats Query'!$AH$34
*'Fanduel Export'!S182</f>
        <v>0</v>
      </c>
      <c r="AU182" s="10">
        <f t="shared" si="62"/>
        <v>0</v>
      </c>
      <c r="AV182" s="10">
        <f t="shared" si="50"/>
        <v>0</v>
      </c>
      <c r="AW182" s="10">
        <f t="shared" si="51"/>
        <v>56.303606442577035</v>
      </c>
      <c r="AX182" s="10">
        <f t="shared" si="52"/>
        <v>0</v>
      </c>
      <c r="AY182" s="10">
        <f>AF182/'CY Defensive Stats Query'!$AF$34
*R182</f>
        <v>0</v>
      </c>
      <c r="AZ182" s="10">
        <f t="shared" si="63"/>
        <v>0</v>
      </c>
      <c r="BA182" s="16">
        <f t="shared" si="53"/>
        <v>0</v>
      </c>
      <c r="BB182" s="16">
        <f t="shared" si="54"/>
        <v>0</v>
      </c>
      <c r="BC182" s="10">
        <f t="shared" si="55"/>
        <v>0</v>
      </c>
      <c r="BD182" s="10">
        <f>IF(B182="QB",COUNTIFS($B$5:B182,B182,$J$5:J182,J182),1)</f>
        <v>1</v>
      </c>
      <c r="BE182" t="str">
        <f t="shared" si="56"/>
        <v>Cary Angeline</v>
      </c>
      <c r="BF182">
        <f t="shared" si="57"/>
        <v>4000</v>
      </c>
      <c r="BG182" t="str">
        <f t="shared" si="58"/>
        <v>TE</v>
      </c>
      <c r="BH182" s="16">
        <f t="shared" si="59"/>
        <v>0</v>
      </c>
    </row>
    <row r="183" spans="1:60" x14ac:dyDescent="0.2">
      <c r="A183" t="s">
        <v>2999</v>
      </c>
      <c r="B183" t="s">
        <v>88</v>
      </c>
      <c r="C183" t="s">
        <v>2632</v>
      </c>
      <c r="D183" t="s">
        <v>2633</v>
      </c>
      <c r="E183" t="s">
        <v>2634</v>
      </c>
      <c r="F183">
        <v>0.25</v>
      </c>
      <c r="G183">
        <v>2</v>
      </c>
      <c r="H183">
        <v>4000</v>
      </c>
      <c r="I183" t="s">
        <v>2720</v>
      </c>
      <c r="J183" t="s">
        <v>728</v>
      </c>
      <c r="K183" t="s">
        <v>102</v>
      </c>
      <c r="O183" t="str">
        <f t="shared" si="43"/>
        <v>Codey McElroy</v>
      </c>
      <c r="P183" t="str">
        <f>IFERROR(VLOOKUP(O:O,'Name Bridge'!A:B,2,FALSE),O:O)</f>
        <v>Codey McElroy</v>
      </c>
      <c r="Q183" s="10">
        <f>VLOOKUP($K183,'CY Defensive Stats Query'!$AC:$AH,2,FALSE)</f>
        <v>5.9890109890109891</v>
      </c>
      <c r="R183" s="10">
        <f>VLOOKUP($K183,'CY Defensive Stats Query'!$AC:$AH,4,FALSE)</f>
        <v>3.8190476190476192</v>
      </c>
      <c r="S183" s="10">
        <f>VLOOKUP($K183,'CY Defensive Stats Query'!$AC:$AH,6,FALSE)</f>
        <v>8.515625</v>
      </c>
      <c r="T183" s="10">
        <f>IFERROR(VLOOKUP($P183,'CYPassing Query'!$B:$AE,9,FALSE)/VLOOKUP($P183,'CYPassing Query'!$B:$AE,5,FALSE),0)</f>
        <v>0</v>
      </c>
      <c r="U183" s="10">
        <f>IFERROR(VLOOKUP($P183,'CYPassing Query'!$B:$AE,11,FALSE)/VLOOKUP($P183,'CYPassing Query'!$B:$AE,5,FALSE),0)</f>
        <v>0</v>
      </c>
      <c r="V183" s="10">
        <f>IFERROR(VLOOKUP($P183,'CYPassing Query'!$B:$AE,18,FALSE),0)</f>
        <v>0</v>
      </c>
      <c r="W183" s="10">
        <f>IFERROR(VLOOKUP($P183,'CYPassing Query'!$B:$AE,12,FALSE)/VLOOKUP($P183,'CYPassing Query'!$B:$AE,5,FALSE),0)</f>
        <v>0</v>
      </c>
      <c r="X183" s="10">
        <f>IFERROR(IF(OR($B183="D",$B183="K"),0,VLOOKUP($P183,'CY Receving Query'!$B:$S,7,FALSE)/VLOOKUP($P183,'CY Receving Query'!$B:$S,5,FALSE)),0)*$AJ183</f>
        <v>0.5</v>
      </c>
      <c r="Y183" s="10">
        <f>IFERROR(VLOOKUP($P183,'CY Receving Query'!$B:$S,8,FALSE)/VLOOKUP($P183,'CY Receving Query'!$B:$S,5,FALSE),0)</f>
        <v>0</v>
      </c>
      <c r="Z183" s="10">
        <f>IFERROR(VLOOKUP($P183,'CY Receving Query'!$B:$S,10,FALSE)/VLOOKUP($P183,'CY Receving Query'!$B:$S,5,FALSE),0)</f>
        <v>0</v>
      </c>
      <c r="AA183" s="10">
        <f>IFERROR(VLOOKUP($P183,'CY Receving Query'!$B:$S,11,FALSE),0)</f>
        <v>0</v>
      </c>
      <c r="AB183" s="10">
        <f>IFERROR(AVERAGE(VLOOKUP($P183,'PY Receiving'!$C:$T,14,FALSE),VLOOKUP($P183,'CY Receiving'!$C:$T,14,FALSE)),0)</f>
        <v>0</v>
      </c>
      <c r="AC183" s="10">
        <f>IFERROR(VLOOKUP($P183,'CY Receving Query'!$B:$S,11,FALSE)/VLOOKUP($P183,'CY Receving Query'!$B:$S,5,FALSE),0)</f>
        <v>0</v>
      </c>
      <c r="AD183" s="10">
        <f>IFERROR(VLOOKUP($P183,'CY Rushing Query'!$B:$O,7,FALSE)/VLOOKUP($P183,'CY Rushing Query'!$B:$O,5,FALSE),0)</f>
        <v>0</v>
      </c>
      <c r="AE183" s="10">
        <f>IFERROR(AVERAGE(VLOOKUP($P183,'PY Rushing'!$C:$P,8,FALSE)/VLOOKUP($P183,'PY Rushing'!$C:$P,5,FALSE),VLOOKUP($P183,'CY Rushing'!$C:$P,8,FALSE)/VLOOKUP($P183,'CY Rushing'!$C:$P,5,FALSE)),0)</f>
        <v>0</v>
      </c>
      <c r="AF183" s="10">
        <f>IFERROR(VLOOKUP($P183,'CY Rushing Query'!$B:$P,12,FALSE),0)</f>
        <v>0</v>
      </c>
      <c r="AG183" s="10">
        <f>IFERROR(VLOOKUP($P183,'CY Rushing Query'!$B:$P,9,FALSE)/VLOOKUP($P183,'CY Rushing Query'!$B:$P,5,FALSE),0)</f>
        <v>0</v>
      </c>
      <c r="AH183" s="10">
        <f>VLOOKUP($J183,'Vegas Odds'!$B:$S,18,FALSE)</f>
        <v>34.555825588251061</v>
      </c>
      <c r="AI183" s="10">
        <f>VLOOKUP($J183,'Vegas Odds'!$B:$S,17,FALSE)</f>
        <v>27.844174411748938</v>
      </c>
      <c r="AJ183">
        <f t="shared" si="60"/>
        <v>1</v>
      </c>
      <c r="AK183" s="10">
        <f t="shared" si="44"/>
        <v>0</v>
      </c>
      <c r="AL183" s="10">
        <f t="shared" si="45"/>
        <v>0</v>
      </c>
      <c r="AM183" s="10">
        <f>V183/'CY Defensive Stats Query'!$AD$34*'Fanduel Export'!Q183</f>
        <v>0</v>
      </c>
      <c r="AN183" s="10">
        <f t="shared" si="61"/>
        <v>0</v>
      </c>
      <c r="AO183" s="10">
        <f>IFERROR(IF(OR($B183="D",$B183="K"),0,VLOOKUP($P183,'CY Receving Query'!$B:$S,7,FALSE)/VLOOKUP($P183,'CY Receving Query'!$B:$S,5,FALSE)),0)*$AJ183</f>
        <v>0.5</v>
      </c>
      <c r="AP183" s="10">
        <f t="shared" si="46"/>
        <v>25.587418300653596</v>
      </c>
      <c r="AQ183" s="10">
        <f t="shared" si="47"/>
        <v>0.67525033557934955</v>
      </c>
      <c r="AR183" s="16">
        <f t="shared" si="48"/>
        <v>0</v>
      </c>
      <c r="AS183" s="16">
        <f t="shared" si="49"/>
        <v>0</v>
      </c>
      <c r="AT183" s="16">
        <f>AA183/'CY Defensive Stats Query'!$AH$34
*'Fanduel Export'!S183</f>
        <v>0</v>
      </c>
      <c r="AU183" s="10">
        <f t="shared" si="62"/>
        <v>0</v>
      </c>
      <c r="AV183" s="10">
        <f t="shared" si="50"/>
        <v>0</v>
      </c>
      <c r="AW183" s="10">
        <f t="shared" si="51"/>
        <v>12.022058823529411</v>
      </c>
      <c r="AX183" s="10">
        <f t="shared" si="52"/>
        <v>0</v>
      </c>
      <c r="AY183" s="10">
        <f>AF183/'CY Defensive Stats Query'!$AF$34
*R183</f>
        <v>0</v>
      </c>
      <c r="AZ183" s="10">
        <f t="shared" si="63"/>
        <v>0</v>
      </c>
      <c r="BA183" s="16">
        <f t="shared" si="53"/>
        <v>0</v>
      </c>
      <c r="BB183" s="16">
        <f t="shared" si="54"/>
        <v>0</v>
      </c>
      <c r="BC183" s="10">
        <f t="shared" si="55"/>
        <v>0.125</v>
      </c>
      <c r="BD183" s="10">
        <f>IF(B183="QB",COUNTIFS($B$5:B183,B183,$J$5:J183,J183),1)</f>
        <v>1</v>
      </c>
      <c r="BE183" t="str">
        <f t="shared" si="56"/>
        <v>Codey McElroy</v>
      </c>
      <c r="BF183">
        <f t="shared" si="57"/>
        <v>4000</v>
      </c>
      <c r="BG183" t="str">
        <f t="shared" si="58"/>
        <v>TE</v>
      </c>
      <c r="BH183" s="16">
        <f t="shared" si="59"/>
        <v>0</v>
      </c>
    </row>
    <row r="184" spans="1:60" hidden="1" x14ac:dyDescent="0.2">
      <c r="A184" t="s">
        <v>3000</v>
      </c>
      <c r="B184" t="s">
        <v>88</v>
      </c>
      <c r="C184" t="s">
        <v>2275</v>
      </c>
      <c r="D184" t="s">
        <v>659</v>
      </c>
      <c r="E184" t="s">
        <v>3001</v>
      </c>
      <c r="F184">
        <v>6.8000001907348597</v>
      </c>
      <c r="G184">
        <v>1</v>
      </c>
      <c r="H184">
        <v>4000</v>
      </c>
      <c r="I184" t="s">
        <v>2720</v>
      </c>
      <c r="J184" t="s">
        <v>102</v>
      </c>
      <c r="K184" t="s">
        <v>728</v>
      </c>
      <c r="L184" t="s">
        <v>182</v>
      </c>
      <c r="M184" t="s">
        <v>183</v>
      </c>
      <c r="O184" t="str">
        <f t="shared" si="43"/>
        <v>Jason Croom</v>
      </c>
      <c r="P184" t="str">
        <f>IFERROR(VLOOKUP(O:O,'Name Bridge'!A:B,2,FALSE),O:O)</f>
        <v>Jason Croom</v>
      </c>
      <c r="Q184" s="10">
        <f>VLOOKUP($K184,'CY Defensive Stats Query'!$AC:$AH,2,FALSE)</f>
        <v>7.0486111111111107</v>
      </c>
      <c r="R184" s="10">
        <f>VLOOKUP($K184,'CY Defensive Stats Query'!$AC:$AH,4,FALSE)</f>
        <v>3.0806451612903225</v>
      </c>
      <c r="S184" s="10">
        <f>VLOOKUP($K184,'CY Defensive Stats Query'!$AC:$AH,6,FALSE)</f>
        <v>9.759615384615385</v>
      </c>
      <c r="T184" s="10">
        <f>IFERROR(VLOOKUP($P184,'CYPassing Query'!$B:$AE,9,FALSE)/VLOOKUP($P184,'CYPassing Query'!$B:$AE,5,FALSE),0)</f>
        <v>0</v>
      </c>
      <c r="U184" s="10">
        <f>IFERROR(VLOOKUP($P184,'CYPassing Query'!$B:$AE,11,FALSE)/VLOOKUP($P184,'CYPassing Query'!$B:$AE,5,FALSE),0)</f>
        <v>0</v>
      </c>
      <c r="V184" s="10">
        <f>IFERROR(VLOOKUP($P184,'CYPassing Query'!$B:$AE,18,FALSE),0)</f>
        <v>0</v>
      </c>
      <c r="W184" s="10">
        <f>IFERROR(VLOOKUP($P184,'CYPassing Query'!$B:$AE,12,FALSE)/VLOOKUP($P184,'CYPassing Query'!$B:$AE,5,FALSE),0)</f>
        <v>0</v>
      </c>
      <c r="X184" s="10">
        <f>IFERROR(IF(OR($B184="D",$B184="K"),0,VLOOKUP($P184,'CY Receving Query'!$B:$S,7,FALSE)/VLOOKUP($P184,'CY Receving Query'!$B:$S,5,FALSE)),0)*$AJ184</f>
        <v>0</v>
      </c>
      <c r="Y184" s="10">
        <f>IFERROR(VLOOKUP($P184,'CY Receving Query'!$B:$S,8,FALSE)/VLOOKUP($P184,'CY Receving Query'!$B:$S,5,FALSE),0)</f>
        <v>0</v>
      </c>
      <c r="Z184" s="10">
        <f>IFERROR(VLOOKUP($P184,'CY Receving Query'!$B:$S,10,FALSE)/VLOOKUP($P184,'CY Receving Query'!$B:$S,5,FALSE),0)</f>
        <v>0</v>
      </c>
      <c r="AA184" s="10">
        <f>IFERROR(VLOOKUP($P184,'CY Receving Query'!$B:$S,11,FALSE),0)</f>
        <v>0</v>
      </c>
      <c r="AB184" s="10">
        <f>IFERROR(VLOOKUP($P184,'CY Receiving'!$C:$T,14,FALSE),0)</f>
        <v>0</v>
      </c>
      <c r="AC184" s="10">
        <f>IFERROR(VLOOKUP($P184,'CY Receving Query'!$B:$S,11,FALSE)/VLOOKUP($P184,'CY Receving Query'!$B:$S,5,FALSE),0)</f>
        <v>0</v>
      </c>
      <c r="AD184" s="10">
        <f>IFERROR(VLOOKUP($P184,'CY Rushing Query'!$B:$O,7,FALSE)/VLOOKUP($P184,'CY Rushing Query'!$B:$O,5,FALSE),0)</f>
        <v>0</v>
      </c>
      <c r="AE184" s="10">
        <f>IFERROR(AVERAGE(VLOOKUP($P184,'PY Rushing'!$C:$P,8,FALSE)/VLOOKUP($P184,'PY Rushing'!$C:$P,5,FALSE),VLOOKUP($P184,'CY Rushing'!$C:$P,8,FALSE)/VLOOKUP($P184,'CY Rushing'!$C:$P,5,FALSE)),0)</f>
        <v>0</v>
      </c>
      <c r="AF184" s="10">
        <f>IFERROR(VLOOKUP($P184,'CY Rushing Query'!$B:$P,12,FALSE),0)</f>
        <v>0</v>
      </c>
      <c r="AG184" s="10">
        <f>IFERROR(VLOOKUP($P184,'CY Rushing Query'!$B:$P,9,FALSE)/VLOOKUP($P184,'CY Rushing Query'!$B:$P,5,FALSE),0)</f>
        <v>0</v>
      </c>
      <c r="AH184" s="10">
        <f>VLOOKUP($J184,'Vegas Odds'!$B:$S,18,FALSE)</f>
        <v>44.85966247691475</v>
      </c>
      <c r="AI184" s="10">
        <f>VLOOKUP($J184,'Vegas Odds'!$B:$S,17,FALSE)</f>
        <v>17.740337523085255</v>
      </c>
      <c r="AJ184">
        <f t="shared" si="60"/>
        <v>0</v>
      </c>
      <c r="AK184" s="10">
        <f t="shared" si="44"/>
        <v>0</v>
      </c>
      <c r="AL184" s="10">
        <f t="shared" si="45"/>
        <v>0</v>
      </c>
      <c r="AM184" s="10">
        <f>V184/'CY Defensive Stats Query'!$AD$34*'Fanduel Export'!Q184</f>
        <v>0</v>
      </c>
      <c r="AN184" s="10">
        <f t="shared" si="61"/>
        <v>0</v>
      </c>
      <c r="AO184" s="10">
        <f>IFERROR(IF(OR($B184="D",$B184="K"),0,VLOOKUP($P184,'CY Receving Query'!$B:$S,7,FALSE)/VLOOKUP($P184,'CY Receving Query'!$B:$S,5,FALSE)),0)*$AJ184</f>
        <v>0</v>
      </c>
      <c r="AP184" s="10">
        <f t="shared" si="46"/>
        <v>28.54982492997199</v>
      </c>
      <c r="AQ184" s="10">
        <f t="shared" si="47"/>
        <v>0</v>
      </c>
      <c r="AR184" s="16">
        <f t="shared" si="48"/>
        <v>0</v>
      </c>
      <c r="AS184" s="16">
        <f t="shared" si="49"/>
        <v>0</v>
      </c>
      <c r="AT184" s="16">
        <f>AA184/'CY Defensive Stats Query'!$AH$34
*'Fanduel Export'!S184</f>
        <v>0</v>
      </c>
      <c r="AU184" s="10">
        <f t="shared" si="62"/>
        <v>0</v>
      </c>
      <c r="AV184" s="10">
        <f t="shared" si="50"/>
        <v>0</v>
      </c>
      <c r="AW184" s="10">
        <f t="shared" si="51"/>
        <v>56.303606442577035</v>
      </c>
      <c r="AX184" s="10">
        <f t="shared" si="52"/>
        <v>0</v>
      </c>
      <c r="AY184" s="10">
        <f>AF184/'CY Defensive Stats Query'!$AF$34
*R184</f>
        <v>0</v>
      </c>
      <c r="AZ184" s="10">
        <f t="shared" si="63"/>
        <v>0</v>
      </c>
      <c r="BA184" s="16">
        <f t="shared" si="53"/>
        <v>0</v>
      </c>
      <c r="BB184" s="16">
        <f t="shared" si="54"/>
        <v>0</v>
      </c>
      <c r="BC184" s="10">
        <f t="shared" si="55"/>
        <v>0</v>
      </c>
      <c r="BD184" s="10">
        <f>IF(B184="QB",COUNTIFS($B$5:B184,B184,$J$5:J184,J184),1)</f>
        <v>1</v>
      </c>
      <c r="BE184" t="str">
        <f t="shared" si="56"/>
        <v>Jason Croom</v>
      </c>
      <c r="BF184">
        <f t="shared" si="57"/>
        <v>4000</v>
      </c>
      <c r="BG184" t="str">
        <f t="shared" si="58"/>
        <v>TE</v>
      </c>
      <c r="BH184" s="16">
        <f t="shared" si="59"/>
        <v>0</v>
      </c>
    </row>
    <row r="185" spans="1:60" x14ac:dyDescent="0.2">
      <c r="A185" t="s">
        <v>3002</v>
      </c>
      <c r="B185" t="s">
        <v>88</v>
      </c>
      <c r="C185" t="s">
        <v>2243</v>
      </c>
      <c r="D185" t="s">
        <v>2468</v>
      </c>
      <c r="E185" t="s">
        <v>3003</v>
      </c>
      <c r="H185">
        <v>4000</v>
      </c>
      <c r="I185" t="s">
        <v>2716</v>
      </c>
      <c r="J185" t="s">
        <v>81</v>
      </c>
      <c r="K185" t="s">
        <v>99</v>
      </c>
      <c r="O185" t="str">
        <f t="shared" si="43"/>
        <v>James Winchester</v>
      </c>
      <c r="P185" t="str">
        <f>IFERROR(VLOOKUP(O:O,'Name Bridge'!A:B,2,FALSE),O:O)</f>
        <v>James Winchester</v>
      </c>
      <c r="Q185" s="10">
        <f>VLOOKUP($K185,'CY Defensive Stats Query'!$AC:$AH,2,FALSE)</f>
        <v>7.5377358490566042</v>
      </c>
      <c r="R185" s="10">
        <f>VLOOKUP($K185,'CY Defensive Stats Query'!$AC:$AH,4,FALSE)</f>
        <v>3.5810810810810811</v>
      </c>
      <c r="S185" s="10">
        <f>VLOOKUP($K185,'CY Defensive Stats Query'!$AC:$AH,6,FALSE)</f>
        <v>11.097222222222221</v>
      </c>
      <c r="T185" s="10">
        <f>IFERROR(VLOOKUP($P185,'CYPassing Query'!$B:$AE,9,FALSE)/VLOOKUP($P185,'CYPassing Query'!$B:$AE,5,FALSE),0)</f>
        <v>0</v>
      </c>
      <c r="U185" s="10">
        <f>IFERROR(VLOOKUP($P185,'CYPassing Query'!$B:$AE,11,FALSE)/VLOOKUP($P185,'CYPassing Query'!$B:$AE,5,FALSE),0)</f>
        <v>0</v>
      </c>
      <c r="V185" s="10">
        <f>IFERROR(VLOOKUP($P185,'CYPassing Query'!$B:$AE,18,FALSE),0)</f>
        <v>0</v>
      </c>
      <c r="W185" s="10">
        <f>IFERROR(VLOOKUP($P185,'CYPassing Query'!$B:$AE,12,FALSE)/VLOOKUP($P185,'CYPassing Query'!$B:$AE,5,FALSE),0)</f>
        <v>0</v>
      </c>
      <c r="X185" s="10">
        <f>IFERROR(IF(OR($B185="D",$B185="K"),0,VLOOKUP($P185,'CY Receving Query'!$B:$S,7,FALSE)/VLOOKUP($P185,'CY Receving Query'!$B:$S,5,FALSE)),0)*$AJ185</f>
        <v>0</v>
      </c>
      <c r="Y185" s="10">
        <f>IFERROR(VLOOKUP($P185,'CY Receving Query'!$B:$S,8,FALSE)/VLOOKUP($P185,'CY Receving Query'!$B:$S,5,FALSE),0)</f>
        <v>0</v>
      </c>
      <c r="Z185" s="10">
        <f>IFERROR(VLOOKUP($P185,'CY Receving Query'!$B:$S,10,FALSE)/VLOOKUP($P185,'CY Receving Query'!$B:$S,5,FALSE),0)</f>
        <v>0</v>
      </c>
      <c r="AA185" s="10">
        <f>IFERROR(VLOOKUP($P185,'CY Receving Query'!$B:$S,11,FALSE),0)</f>
        <v>0</v>
      </c>
      <c r="AB185" s="10">
        <f>IFERROR(AVERAGE(VLOOKUP($P185,'PY Receiving'!$C:$T,14,FALSE),VLOOKUP($P185,'CY Receiving'!$C:$T,14,FALSE)),0)</f>
        <v>0</v>
      </c>
      <c r="AC185" s="10">
        <f>IFERROR(VLOOKUP($P185,'CY Receving Query'!$B:$S,11,FALSE)/VLOOKUP($P185,'CY Receving Query'!$B:$S,5,FALSE),0)</f>
        <v>0</v>
      </c>
      <c r="AD185" s="10">
        <f>IFERROR(VLOOKUP($P185,'CY Rushing Query'!$B:$O,7,FALSE)/VLOOKUP($P185,'CY Rushing Query'!$B:$O,5,FALSE),0)</f>
        <v>0</v>
      </c>
      <c r="AE185" s="10">
        <f>IFERROR(VLOOKUP($P185,'CY Rushing'!$C:$P,8,FALSE)/VLOOKUP($P185,'CY Rushing'!$C:$P,5,FALSE),0)</f>
        <v>0</v>
      </c>
      <c r="AF185" s="10">
        <f>IFERROR(VLOOKUP($P185,'CY Rushing Query'!$B:$P,12,FALSE),0)</f>
        <v>0</v>
      </c>
      <c r="AG185" s="10">
        <f>IFERROR(VLOOKUP($P185,'CY Rushing Query'!$B:$P,9,FALSE)/VLOOKUP($P185,'CY Rushing Query'!$B:$P,5,FALSE),0)</f>
        <v>0</v>
      </c>
      <c r="AH185" s="10">
        <f>VLOOKUP($J185,'Vegas Odds'!$B:$S,18,FALSE)</f>
        <v>37.933262350936971</v>
      </c>
      <c r="AI185" s="10">
        <f>VLOOKUP($J185,'Vegas Odds'!$B:$S,17,FALSE)</f>
        <v>27.766737649063032</v>
      </c>
      <c r="AJ185">
        <f t="shared" si="60"/>
        <v>1</v>
      </c>
      <c r="AK185" s="10">
        <f t="shared" si="44"/>
        <v>0</v>
      </c>
      <c r="AL185" s="10">
        <f t="shared" si="45"/>
        <v>0</v>
      </c>
      <c r="AM185" s="10">
        <f>V185/'CY Defensive Stats Query'!$AD$34*'Fanduel Export'!Q185</f>
        <v>0</v>
      </c>
      <c r="AN185" s="10">
        <f t="shared" si="61"/>
        <v>0</v>
      </c>
      <c r="AO185" s="10">
        <f>IFERROR(IF(OR($B185="D",$B185="K"),0,VLOOKUP($P185,'CY Receving Query'!$B:$S,7,FALSE)/VLOOKUP($P185,'CY Receving Query'!$B:$S,5,FALSE)),0)*$AJ185</f>
        <v>0</v>
      </c>
      <c r="AP185" s="10">
        <f t="shared" si="46"/>
        <v>37.365221788015901</v>
      </c>
      <c r="AQ185" s="10">
        <f t="shared" si="47"/>
        <v>0</v>
      </c>
      <c r="AR185" s="16">
        <f t="shared" si="48"/>
        <v>0</v>
      </c>
      <c r="AS185" s="16">
        <f t="shared" si="49"/>
        <v>0</v>
      </c>
      <c r="AT185" s="16">
        <f>AA185/'CY Defensive Stats Query'!$AH$34
*'Fanduel Export'!S185</f>
        <v>0</v>
      </c>
      <c r="AU185" s="10">
        <f t="shared" si="62"/>
        <v>0</v>
      </c>
      <c r="AV185" s="10">
        <f t="shared" si="50"/>
        <v>0</v>
      </c>
      <c r="AW185" s="10">
        <f t="shared" si="51"/>
        <v>19.787381735911151</v>
      </c>
      <c r="AX185" s="10">
        <f t="shared" si="52"/>
        <v>0</v>
      </c>
      <c r="AY185" s="10">
        <f>AF185/'CY Defensive Stats Query'!$AF$34
*R185</f>
        <v>0</v>
      </c>
      <c r="AZ185" s="10">
        <f t="shared" si="63"/>
        <v>0</v>
      </c>
      <c r="BA185" s="16">
        <f t="shared" si="53"/>
        <v>0</v>
      </c>
      <c r="BB185" s="16">
        <f t="shared" si="54"/>
        <v>0</v>
      </c>
      <c r="BC185" s="10">
        <f t="shared" si="55"/>
        <v>0</v>
      </c>
      <c r="BD185" s="10">
        <f>IF(B185="QB",COUNTIFS($B$5:B185,B185,$J$5:J185,J185),1)</f>
        <v>1</v>
      </c>
      <c r="BE185" t="str">
        <f t="shared" si="56"/>
        <v>James Winchester</v>
      </c>
      <c r="BF185">
        <f t="shared" si="57"/>
        <v>4000</v>
      </c>
      <c r="BG185" t="str">
        <f t="shared" si="58"/>
        <v>TE</v>
      </c>
      <c r="BH185" s="16">
        <f t="shared" si="59"/>
        <v>0</v>
      </c>
    </row>
    <row r="186" spans="1:60" x14ac:dyDescent="0.2">
      <c r="A186" t="s">
        <v>3004</v>
      </c>
      <c r="B186" t="s">
        <v>88</v>
      </c>
      <c r="C186" t="s">
        <v>153</v>
      </c>
      <c r="D186" t="s">
        <v>2434</v>
      </c>
      <c r="E186" t="s">
        <v>2711</v>
      </c>
      <c r="F186">
        <v>0</v>
      </c>
      <c r="G186">
        <v>1</v>
      </c>
      <c r="H186">
        <v>4000</v>
      </c>
      <c r="I186" t="s">
        <v>2718</v>
      </c>
      <c r="J186" t="s">
        <v>138</v>
      </c>
      <c r="K186" t="s">
        <v>729</v>
      </c>
      <c r="O186" t="str">
        <f t="shared" si="43"/>
        <v>Daniel Brunskill</v>
      </c>
      <c r="P186" t="str">
        <f>IFERROR(VLOOKUP(O:O,'Name Bridge'!A:B,2,FALSE),O:O)</f>
        <v>Daniel Brunskill</v>
      </c>
      <c r="Q186" s="10">
        <f>VLOOKUP($K186,'CY Defensive Stats Query'!$AC:$AH,2,FALSE)</f>
        <v>7.6538461538461542</v>
      </c>
      <c r="R186" s="10">
        <f>VLOOKUP($K186,'CY Defensive Stats Query'!$AC:$AH,4,FALSE)</f>
        <v>4.6888888888888891</v>
      </c>
      <c r="S186" s="10">
        <f>VLOOKUP($K186,'CY Defensive Stats Query'!$AC:$AH,6,FALSE)</f>
        <v>11.306818181818182</v>
      </c>
      <c r="T186" s="10">
        <f>IFERROR(VLOOKUP($P186,'CYPassing Query'!$B:$AE,9,FALSE)/VLOOKUP($P186,'CYPassing Query'!$B:$AE,5,FALSE),0)</f>
        <v>0</v>
      </c>
      <c r="U186" s="10">
        <f>IFERROR(VLOOKUP($P186,'CYPassing Query'!$B:$AE,11,FALSE)/VLOOKUP($P186,'CYPassing Query'!$B:$AE,5,FALSE),0)</f>
        <v>0</v>
      </c>
      <c r="V186" s="10">
        <f>IFERROR(VLOOKUP($P186,'CYPassing Query'!$B:$AE,18,FALSE),0)</f>
        <v>0</v>
      </c>
      <c r="W186" s="10">
        <f>IFERROR(VLOOKUP($P186,'CYPassing Query'!$B:$AE,12,FALSE)/VLOOKUP($P186,'CYPassing Query'!$B:$AE,5,FALSE),0)</f>
        <v>0</v>
      </c>
      <c r="X186" s="10">
        <f>IFERROR(IF(OR($B186="D",$B186="K"),0,VLOOKUP($P186,'CY Receving Query'!$B:$S,7,FALSE)/VLOOKUP($P186,'CY Receving Query'!$B:$S,5,FALSE)),0)*$AJ186</f>
        <v>0</v>
      </c>
      <c r="Y186" s="10">
        <f>IFERROR(VLOOKUP($P186,'CY Receving Query'!$B:$S,8,FALSE)/VLOOKUP($P186,'CY Receving Query'!$B:$S,5,FALSE),0)</f>
        <v>0</v>
      </c>
      <c r="Z186" s="10">
        <f>IFERROR(VLOOKUP($P186,'CY Receving Query'!$B:$S,10,FALSE)/VLOOKUP($P186,'CY Receving Query'!$B:$S,5,FALSE),0)</f>
        <v>0</v>
      </c>
      <c r="AA186" s="10">
        <f>IFERROR(VLOOKUP($P186,'CY Receving Query'!$B:$S,11,FALSE),0)</f>
        <v>0</v>
      </c>
      <c r="AB186" s="10">
        <f>IFERROR(AVERAGE(VLOOKUP($P186,'PY Receiving'!$C:$T,14,FALSE),VLOOKUP($P186,'CY Receiving'!$C:$T,14,FALSE)),0)</f>
        <v>0</v>
      </c>
      <c r="AC186" s="10">
        <f>IFERROR(VLOOKUP($P186,'CY Receving Query'!$B:$S,11,FALSE)/VLOOKUP($P186,'CY Receving Query'!$B:$S,5,FALSE),0)</f>
        <v>0</v>
      </c>
      <c r="AD186" s="10">
        <f>IFERROR(VLOOKUP($P186,'CY Rushing Query'!$B:$O,7,FALSE)/VLOOKUP($P186,'CY Rushing Query'!$B:$O,5,FALSE),0)</f>
        <v>0</v>
      </c>
      <c r="AE186" s="10">
        <f>IFERROR(AVERAGE(VLOOKUP($P186,'PY Rushing'!$C:$P,8,FALSE)/VLOOKUP($P186,'PY Rushing'!$C:$P,5,FALSE),VLOOKUP($P186,'CY Rushing'!$C:$P,8,FALSE)/VLOOKUP($P186,'CY Rushing'!$C:$P,5,FALSE)),0)</f>
        <v>0</v>
      </c>
      <c r="AF186" s="10">
        <f>IFERROR(VLOOKUP($P186,'CY Rushing Query'!$B:$P,12,FALSE),0)</f>
        <v>0</v>
      </c>
      <c r="AG186" s="10">
        <f>IFERROR(VLOOKUP($P186,'CY Rushing Query'!$B:$P,9,FALSE)/VLOOKUP($P186,'CY Rushing Query'!$B:$P,5,FALSE),0)</f>
        <v>0</v>
      </c>
      <c r="AH186" s="10">
        <f>VLOOKUP($J186,'Vegas Odds'!$B:$S,18,FALSE)</f>
        <v>32.679248170039784</v>
      </c>
      <c r="AI186" s="10">
        <f>VLOOKUP($J186,'Vegas Odds'!$B:$S,17,FALSE)</f>
        <v>32.620751829960213</v>
      </c>
      <c r="AJ186">
        <f t="shared" si="60"/>
        <v>1</v>
      </c>
      <c r="AK186" s="10">
        <f t="shared" si="44"/>
        <v>0</v>
      </c>
      <c r="AL186" s="10">
        <f t="shared" si="45"/>
        <v>0</v>
      </c>
      <c r="AM186" s="10">
        <f>V186/'CY Defensive Stats Query'!$AD$34*'Fanduel Export'!Q186</f>
        <v>0</v>
      </c>
      <c r="AN186" s="10">
        <f t="shared" si="61"/>
        <v>0</v>
      </c>
      <c r="AO186" s="10">
        <f>IFERROR(IF(OR($B186="D",$B186="K"),0,VLOOKUP($P186,'CY Receving Query'!$B:$S,7,FALSE)/VLOOKUP($P186,'CY Receving Query'!$B:$S,5,FALSE)),0)*$AJ186</f>
        <v>0</v>
      </c>
      <c r="AP186" s="10">
        <f t="shared" si="46"/>
        <v>29.704370384517439</v>
      </c>
      <c r="AQ186" s="10">
        <f t="shared" si="47"/>
        <v>0</v>
      </c>
      <c r="AR186" s="16">
        <f t="shared" si="48"/>
        <v>0</v>
      </c>
      <c r="AS186" s="16">
        <f t="shared" si="49"/>
        <v>0</v>
      </c>
      <c r="AT186" s="16">
        <f>AA186/'CY Defensive Stats Query'!$AH$34
*'Fanduel Export'!S186</f>
        <v>0</v>
      </c>
      <c r="AU186" s="10">
        <f t="shared" si="62"/>
        <v>0</v>
      </c>
      <c r="AV186" s="10">
        <f t="shared" si="50"/>
        <v>0</v>
      </c>
      <c r="AW186" s="10">
        <f t="shared" si="51"/>
        <v>40.335297300738475</v>
      </c>
      <c r="AX186" s="10">
        <f t="shared" si="52"/>
        <v>0</v>
      </c>
      <c r="AY186" s="10">
        <f>AF186/'CY Defensive Stats Query'!$AF$34
*R186</f>
        <v>0</v>
      </c>
      <c r="AZ186" s="10">
        <f t="shared" si="63"/>
        <v>0</v>
      </c>
      <c r="BA186" s="16">
        <f t="shared" si="53"/>
        <v>0</v>
      </c>
      <c r="BB186" s="16">
        <f t="shared" si="54"/>
        <v>0</v>
      </c>
      <c r="BC186" s="10">
        <f t="shared" si="55"/>
        <v>0</v>
      </c>
      <c r="BD186" s="10">
        <f>IF(B186="QB",COUNTIFS($B$5:B186,B186,$J$5:J186,J186),1)</f>
        <v>1</v>
      </c>
      <c r="BE186" t="str">
        <f t="shared" si="56"/>
        <v>Daniel Brunskill</v>
      </c>
      <c r="BF186">
        <f t="shared" si="57"/>
        <v>4000</v>
      </c>
      <c r="BG186" t="str">
        <f t="shared" si="58"/>
        <v>TE</v>
      </c>
      <c r="BH186" s="16">
        <f t="shared" si="59"/>
        <v>0</v>
      </c>
    </row>
    <row r="187" spans="1:60" hidden="1" x14ac:dyDescent="0.2">
      <c r="A187" t="s">
        <v>3005</v>
      </c>
      <c r="B187" t="s">
        <v>88</v>
      </c>
      <c r="C187" t="s">
        <v>2511</v>
      </c>
      <c r="D187" t="s">
        <v>3006</v>
      </c>
      <c r="E187" t="s">
        <v>3007</v>
      </c>
      <c r="H187">
        <v>4000</v>
      </c>
      <c r="I187" t="s">
        <v>2716</v>
      </c>
      <c r="J187" t="s">
        <v>81</v>
      </c>
      <c r="K187" t="s">
        <v>99</v>
      </c>
      <c r="L187" t="s">
        <v>124</v>
      </c>
      <c r="M187" t="s">
        <v>210</v>
      </c>
      <c r="O187" t="str">
        <f t="shared" si="43"/>
        <v>Mark Vital</v>
      </c>
      <c r="P187" t="str">
        <f>IFERROR(VLOOKUP(O:O,'Name Bridge'!A:B,2,FALSE),O:O)</f>
        <v>Mark Vital</v>
      </c>
      <c r="Q187" s="10">
        <f>VLOOKUP($K187,'CY Defensive Stats Query'!$AC:$AH,2,FALSE)</f>
        <v>7.5377358490566042</v>
      </c>
      <c r="R187" s="10">
        <f>VLOOKUP($K187,'CY Defensive Stats Query'!$AC:$AH,4,FALSE)</f>
        <v>3.5810810810810811</v>
      </c>
      <c r="S187" s="10">
        <f>VLOOKUP($K187,'CY Defensive Stats Query'!$AC:$AH,6,FALSE)</f>
        <v>11.097222222222221</v>
      </c>
      <c r="T187" s="10">
        <f>IFERROR(VLOOKUP($P187,'CYPassing Query'!$B:$AE,9,FALSE)/VLOOKUP($P187,'CYPassing Query'!$B:$AE,5,FALSE),0)</f>
        <v>0</v>
      </c>
      <c r="U187" s="10">
        <f>IFERROR(VLOOKUP($P187,'CYPassing Query'!$B:$AE,11,FALSE)/VLOOKUP($P187,'CYPassing Query'!$B:$AE,5,FALSE),0)</f>
        <v>0</v>
      </c>
      <c r="V187" s="10">
        <f>IFERROR(VLOOKUP($P187,'CYPassing Query'!$B:$AE,18,FALSE),0)</f>
        <v>0</v>
      </c>
      <c r="W187" s="10">
        <f>IFERROR(VLOOKUP($P187,'CYPassing Query'!$B:$AE,12,FALSE)/VLOOKUP($P187,'CYPassing Query'!$B:$AE,5,FALSE),0)</f>
        <v>0</v>
      </c>
      <c r="X187" s="10">
        <f>IFERROR(IF(OR($B187="D",$B187="K"),0,VLOOKUP($P187,'CY Receving Query'!$B:$S,7,FALSE)/VLOOKUP($P187,'CY Receving Query'!$B:$S,5,FALSE)),0)*$AJ187</f>
        <v>0</v>
      </c>
      <c r="Y187" s="10">
        <f>IFERROR(VLOOKUP($P187,'CY Receving Query'!$B:$S,8,FALSE)/VLOOKUP($P187,'CY Receving Query'!$B:$S,5,FALSE),0)</f>
        <v>0</v>
      </c>
      <c r="Z187" s="10">
        <f>IFERROR(VLOOKUP($P187,'CY Receving Query'!$B:$S,10,FALSE)/VLOOKUP($P187,'CY Receving Query'!$B:$S,5,FALSE),0)</f>
        <v>0</v>
      </c>
      <c r="AA187" s="10">
        <f>IFERROR(VLOOKUP($P187,'CY Receving Query'!$B:$S,11,FALSE),0)</f>
        <v>0</v>
      </c>
      <c r="AB187" s="10">
        <f>IFERROR(AVERAGE(VLOOKUP($P187,'PY Receiving'!$C:$T,14,FALSE),VLOOKUP($P187,'CY Receiving'!$C:$T,14,FALSE)),0)</f>
        <v>0</v>
      </c>
      <c r="AC187" s="10">
        <f>IFERROR(VLOOKUP($P187,'CY Receving Query'!$B:$S,11,FALSE)/VLOOKUP($P187,'CY Receving Query'!$B:$S,5,FALSE),0)</f>
        <v>0</v>
      </c>
      <c r="AD187" s="10">
        <f>IFERROR(VLOOKUP($P187,'CY Rushing Query'!$B:$O,7,FALSE)/VLOOKUP($P187,'CY Rushing Query'!$B:$O,5,FALSE),0)</f>
        <v>0</v>
      </c>
      <c r="AE187" s="10">
        <f>IFERROR(VLOOKUP($P187,'CY Rushing'!$C:$P,8,FALSE)/VLOOKUP($P187,'CY Rushing'!$C:$P,5,FALSE),0)</f>
        <v>0</v>
      </c>
      <c r="AF187" s="10">
        <f>IFERROR(VLOOKUP($P187,'CY Rushing Query'!$B:$P,12,FALSE),0)</f>
        <v>0</v>
      </c>
      <c r="AG187" s="10">
        <f>IFERROR(VLOOKUP($P187,'CY Rushing Query'!$B:$P,9,FALSE)/VLOOKUP($P187,'CY Rushing Query'!$B:$P,5,FALSE),0)</f>
        <v>0</v>
      </c>
      <c r="AH187" s="10">
        <f>VLOOKUP($J187,'Vegas Odds'!$B:$S,18,FALSE)</f>
        <v>37.933262350936971</v>
      </c>
      <c r="AI187" s="10">
        <f>VLOOKUP($J187,'Vegas Odds'!$B:$S,17,FALSE)</f>
        <v>27.766737649063032</v>
      </c>
      <c r="AJ187">
        <f t="shared" si="60"/>
        <v>0</v>
      </c>
      <c r="AK187" s="10">
        <f t="shared" si="44"/>
        <v>0</v>
      </c>
      <c r="AL187" s="10">
        <f t="shared" si="45"/>
        <v>0</v>
      </c>
      <c r="AM187" s="10">
        <f>V187/'CY Defensive Stats Query'!$AD$34*'Fanduel Export'!Q187</f>
        <v>0</v>
      </c>
      <c r="AN187" s="10">
        <f t="shared" si="61"/>
        <v>0</v>
      </c>
      <c r="AO187" s="10">
        <f>IFERROR(IF(OR($B187="D",$B187="K"),0,VLOOKUP($P187,'CY Receving Query'!$B:$S,7,FALSE)/VLOOKUP($P187,'CY Receving Query'!$B:$S,5,FALSE)),0)*$AJ187</f>
        <v>0</v>
      </c>
      <c r="AP187" s="10">
        <f t="shared" si="46"/>
        <v>37.365221788015901</v>
      </c>
      <c r="AQ187" s="10">
        <f t="shared" si="47"/>
        <v>0</v>
      </c>
      <c r="AR187" s="16">
        <f t="shared" si="48"/>
        <v>0</v>
      </c>
      <c r="AS187" s="16">
        <f t="shared" si="49"/>
        <v>0</v>
      </c>
      <c r="AT187" s="16">
        <f>AA187/'CY Defensive Stats Query'!$AH$34
*'Fanduel Export'!S187</f>
        <v>0</v>
      </c>
      <c r="AU187" s="10">
        <f t="shared" si="62"/>
        <v>0</v>
      </c>
      <c r="AV187" s="10">
        <f t="shared" si="50"/>
        <v>0</v>
      </c>
      <c r="AW187" s="10">
        <f t="shared" si="51"/>
        <v>19.787381735911151</v>
      </c>
      <c r="AX187" s="10">
        <f t="shared" si="52"/>
        <v>0</v>
      </c>
      <c r="AY187" s="10">
        <f>AF187/'CY Defensive Stats Query'!$AF$34
*R187</f>
        <v>0</v>
      </c>
      <c r="AZ187" s="10">
        <f t="shared" si="63"/>
        <v>0</v>
      </c>
      <c r="BA187" s="16">
        <f t="shared" si="53"/>
        <v>0</v>
      </c>
      <c r="BB187" s="16">
        <f t="shared" si="54"/>
        <v>0</v>
      </c>
      <c r="BC187" s="10">
        <f t="shared" si="55"/>
        <v>0</v>
      </c>
      <c r="BD187" s="10">
        <f>IF(B187="QB",COUNTIFS($B$5:B187,B187,$J$5:J187,J187),1)</f>
        <v>1</v>
      </c>
      <c r="BE187" t="str">
        <f t="shared" si="56"/>
        <v>Mark Vital</v>
      </c>
      <c r="BF187">
        <f t="shared" si="57"/>
        <v>4000</v>
      </c>
      <c r="BG187" t="str">
        <f t="shared" si="58"/>
        <v>TE</v>
      </c>
      <c r="BH187" s="16">
        <f t="shared" si="59"/>
        <v>0</v>
      </c>
    </row>
    <row r="188" spans="1:60" x14ac:dyDescent="0.2">
      <c r="A188" t="s">
        <v>3008</v>
      </c>
      <c r="B188" t="s">
        <v>88</v>
      </c>
      <c r="C188" t="s">
        <v>2424</v>
      </c>
      <c r="D188" t="s">
        <v>2145</v>
      </c>
      <c r="E188" t="s">
        <v>2710</v>
      </c>
      <c r="F188">
        <v>1.11999998092651</v>
      </c>
      <c r="G188">
        <v>5</v>
      </c>
      <c r="H188">
        <v>4000</v>
      </c>
      <c r="I188" t="s">
        <v>2718</v>
      </c>
      <c r="J188" t="s">
        <v>138</v>
      </c>
      <c r="K188" t="s">
        <v>729</v>
      </c>
      <c r="O188" t="str">
        <f t="shared" si="43"/>
        <v>Tanner Hudson</v>
      </c>
      <c r="P188" t="str">
        <f>IFERROR(VLOOKUP(O:O,'Name Bridge'!A:B,2,FALSE),O:O)</f>
        <v>Tanner Hudson</v>
      </c>
      <c r="Q188" s="10">
        <f>VLOOKUP($K188,'CY Defensive Stats Query'!$AC:$AH,2,FALSE)</f>
        <v>7.6538461538461542</v>
      </c>
      <c r="R188" s="10">
        <f>VLOOKUP($K188,'CY Defensive Stats Query'!$AC:$AH,4,FALSE)</f>
        <v>4.6888888888888891</v>
      </c>
      <c r="S188" s="10">
        <f>VLOOKUP($K188,'CY Defensive Stats Query'!$AC:$AH,6,FALSE)</f>
        <v>11.306818181818182</v>
      </c>
      <c r="T188" s="10">
        <f>IFERROR(VLOOKUP($P188,'CYPassing Query'!$B:$AE,9,FALSE)/VLOOKUP($P188,'CYPassing Query'!$B:$AE,5,FALSE),0)</f>
        <v>0</v>
      </c>
      <c r="U188" s="10">
        <f>IFERROR(VLOOKUP($P188,'CYPassing Query'!$B:$AE,11,FALSE)/VLOOKUP($P188,'CYPassing Query'!$B:$AE,5,FALSE),0)</f>
        <v>0</v>
      </c>
      <c r="V188" s="10">
        <f>IFERROR(VLOOKUP($P188,'CYPassing Query'!$B:$AE,18,FALSE),0)</f>
        <v>0</v>
      </c>
      <c r="W188" s="10">
        <f>IFERROR(VLOOKUP($P188,'CYPassing Query'!$B:$AE,12,FALSE)/VLOOKUP($P188,'CYPassing Query'!$B:$AE,5,FALSE),0)</f>
        <v>0</v>
      </c>
      <c r="X188" s="10">
        <f>IFERROR(IF(OR($B188="D",$B188="K"),0,VLOOKUP($P188,'CY Receving Query'!$B:$S,7,FALSE)/VLOOKUP($P188,'CY Receving Query'!$B:$S,5,FALSE)),0)*$AJ188</f>
        <v>0</v>
      </c>
      <c r="Y188" s="10">
        <f>IFERROR(VLOOKUP($P188,'CY Receving Query'!$B:$S,8,FALSE)/VLOOKUP($P188,'CY Receving Query'!$B:$S,5,FALSE),0)</f>
        <v>0</v>
      </c>
      <c r="Z188" s="10">
        <f>IFERROR(VLOOKUP($P188,'CY Receving Query'!$B:$S,10,FALSE)/VLOOKUP($P188,'CY Receving Query'!$B:$S,5,FALSE),0)</f>
        <v>0</v>
      </c>
      <c r="AA188" s="10">
        <f>IFERROR(VLOOKUP($P188,'CY Receving Query'!$B:$S,11,FALSE),0)</f>
        <v>0</v>
      </c>
      <c r="AB188" s="10">
        <f>IFERROR(VLOOKUP($P188,'CY Receiving'!$C:$T,14,FALSE),0)</f>
        <v>0</v>
      </c>
      <c r="AC188" s="10">
        <f>IFERROR(VLOOKUP($P188,'CY Receving Query'!$B:$S,11,FALSE)/VLOOKUP($P188,'CY Receving Query'!$B:$S,5,FALSE),0)</f>
        <v>0</v>
      </c>
      <c r="AD188" s="10">
        <f>IFERROR(VLOOKUP($P188,'CY Rushing Query'!$B:$O,7,FALSE)/VLOOKUP($P188,'CY Rushing Query'!$B:$O,5,FALSE),0)</f>
        <v>0</v>
      </c>
      <c r="AE188" s="10">
        <f>IFERROR(AVERAGE(VLOOKUP($P188,'PY Rushing'!$C:$P,8,FALSE)/VLOOKUP($P188,'PY Rushing'!$C:$P,5,FALSE),VLOOKUP($P188,'CY Rushing'!$C:$P,8,FALSE)/VLOOKUP($P188,'CY Rushing'!$C:$P,5,FALSE)),0)</f>
        <v>0</v>
      </c>
      <c r="AF188" s="10">
        <f>IFERROR(VLOOKUP($P188,'CY Rushing Query'!$B:$P,12,FALSE),0)</f>
        <v>0</v>
      </c>
      <c r="AG188" s="10">
        <f>IFERROR(VLOOKUP($P188,'CY Rushing Query'!$B:$P,9,FALSE)/VLOOKUP($P188,'CY Rushing Query'!$B:$P,5,FALSE),0)</f>
        <v>0</v>
      </c>
      <c r="AH188" s="10">
        <f>VLOOKUP($J188,'Vegas Odds'!$B:$S,18,FALSE)</f>
        <v>32.679248170039784</v>
      </c>
      <c r="AI188" s="10">
        <f>VLOOKUP($J188,'Vegas Odds'!$B:$S,17,FALSE)</f>
        <v>32.620751829960213</v>
      </c>
      <c r="AJ188">
        <f t="shared" si="60"/>
        <v>1</v>
      </c>
      <c r="AK188" s="10">
        <f t="shared" si="44"/>
        <v>0</v>
      </c>
      <c r="AL188" s="10">
        <f t="shared" si="45"/>
        <v>0</v>
      </c>
      <c r="AM188" s="10">
        <f>V188/'CY Defensive Stats Query'!$AD$34*'Fanduel Export'!Q188</f>
        <v>0</v>
      </c>
      <c r="AN188" s="10">
        <f t="shared" si="61"/>
        <v>0</v>
      </c>
      <c r="AO188" s="10">
        <f>IFERROR(IF(OR($B188="D",$B188="K"),0,VLOOKUP($P188,'CY Receving Query'!$B:$S,7,FALSE)/VLOOKUP($P188,'CY Receving Query'!$B:$S,5,FALSE)),0)*$AJ188</f>
        <v>0</v>
      </c>
      <c r="AP188" s="10">
        <f t="shared" si="46"/>
        <v>29.704370384517439</v>
      </c>
      <c r="AQ188" s="10">
        <f t="shared" si="47"/>
        <v>0</v>
      </c>
      <c r="AR188" s="16">
        <f t="shared" si="48"/>
        <v>0</v>
      </c>
      <c r="AS188" s="16">
        <f t="shared" si="49"/>
        <v>0</v>
      </c>
      <c r="AT188" s="16">
        <f>AA188/'CY Defensive Stats Query'!$AH$34
*'Fanduel Export'!S188</f>
        <v>0</v>
      </c>
      <c r="AU188" s="10">
        <f t="shared" si="62"/>
        <v>0</v>
      </c>
      <c r="AV188" s="10">
        <f t="shared" si="50"/>
        <v>0</v>
      </c>
      <c r="AW188" s="10">
        <f t="shared" si="51"/>
        <v>40.335297300738475</v>
      </c>
      <c r="AX188" s="10">
        <f t="shared" si="52"/>
        <v>0</v>
      </c>
      <c r="AY188" s="10">
        <f>AF188/'CY Defensive Stats Query'!$AF$34
*R188</f>
        <v>0</v>
      </c>
      <c r="AZ188" s="10">
        <f t="shared" si="63"/>
        <v>0</v>
      </c>
      <c r="BA188" s="16">
        <f t="shared" si="53"/>
        <v>0</v>
      </c>
      <c r="BB188" s="16">
        <f t="shared" si="54"/>
        <v>0</v>
      </c>
      <c r="BC188" s="10">
        <f t="shared" si="55"/>
        <v>0</v>
      </c>
      <c r="BD188" s="10">
        <f>IF(B188="QB",COUNTIFS($B$5:B188,B188,$J$5:J188,J188),1)</f>
        <v>1</v>
      </c>
      <c r="BE188" t="str">
        <f t="shared" si="56"/>
        <v>Tanner Hudson</v>
      </c>
      <c r="BF188">
        <f t="shared" si="57"/>
        <v>4000</v>
      </c>
      <c r="BG188" t="str">
        <f t="shared" si="58"/>
        <v>TE</v>
      </c>
      <c r="BH188" s="16">
        <f t="shared" si="59"/>
        <v>0</v>
      </c>
    </row>
    <row r="189" spans="1:60" x14ac:dyDescent="0.2">
      <c r="A189" t="s">
        <v>3009</v>
      </c>
      <c r="B189" t="s">
        <v>88</v>
      </c>
      <c r="C189" t="s">
        <v>2449</v>
      </c>
      <c r="D189" t="s">
        <v>2483</v>
      </c>
      <c r="E189" t="s">
        <v>3010</v>
      </c>
      <c r="F189">
        <v>0</v>
      </c>
      <c r="G189">
        <v>2</v>
      </c>
      <c r="H189">
        <v>4000</v>
      </c>
      <c r="I189" t="s">
        <v>2716</v>
      </c>
      <c r="J189" t="s">
        <v>81</v>
      </c>
      <c r="K189" t="s">
        <v>99</v>
      </c>
      <c r="L189" t="s">
        <v>94</v>
      </c>
      <c r="M189" t="s">
        <v>176</v>
      </c>
      <c r="O189" t="str">
        <f t="shared" ref="O189:O206" si="64">D189</f>
        <v>Evan Baylis</v>
      </c>
      <c r="P189" t="str">
        <f>IFERROR(VLOOKUP(O:O,'Name Bridge'!A:B,2,FALSE),O:O)</f>
        <v>Evan Baylis</v>
      </c>
      <c r="Q189" s="10">
        <f>VLOOKUP($K189,'CY Defensive Stats Query'!$AC:$AH,2,FALSE)</f>
        <v>7.5377358490566042</v>
      </c>
      <c r="R189" s="10">
        <f>VLOOKUP($K189,'CY Defensive Stats Query'!$AC:$AH,4,FALSE)</f>
        <v>3.5810810810810811</v>
      </c>
      <c r="S189" s="10">
        <f>VLOOKUP($K189,'CY Defensive Stats Query'!$AC:$AH,6,FALSE)</f>
        <v>11.097222222222221</v>
      </c>
      <c r="T189" s="10">
        <f>IFERROR(VLOOKUP($P189,'CYPassing Query'!$B:$AE,9,FALSE)/VLOOKUP($P189,'CYPassing Query'!$B:$AE,5,FALSE),0)</f>
        <v>0</v>
      </c>
      <c r="U189" s="10">
        <f>IFERROR(VLOOKUP($P189,'CYPassing Query'!$B:$AE,11,FALSE)/VLOOKUP($P189,'CYPassing Query'!$B:$AE,5,FALSE),0)</f>
        <v>0</v>
      </c>
      <c r="V189" s="10">
        <f>IFERROR(VLOOKUP($P189,'CYPassing Query'!$B:$AE,18,FALSE),0)</f>
        <v>0</v>
      </c>
      <c r="W189" s="10">
        <f>IFERROR(VLOOKUP($P189,'CYPassing Query'!$B:$AE,12,FALSE)/VLOOKUP($P189,'CYPassing Query'!$B:$AE,5,FALSE),0)</f>
        <v>0</v>
      </c>
      <c r="X189" s="10">
        <f>IFERROR(IF(OR($B189="D",$B189="K"),0,VLOOKUP($P189,'CY Receving Query'!$B:$S,7,FALSE)/VLOOKUP($P189,'CY Receving Query'!$B:$S,5,FALSE)),0)*$AJ189</f>
        <v>0</v>
      </c>
      <c r="Y189" s="10">
        <f>IFERROR(VLOOKUP($P189,'CY Receving Query'!$B:$S,8,FALSE)/VLOOKUP($P189,'CY Receving Query'!$B:$S,5,FALSE),0)</f>
        <v>0</v>
      </c>
      <c r="Z189" s="10">
        <f>IFERROR(VLOOKUP($P189,'CY Receving Query'!$B:$S,10,FALSE)/VLOOKUP($P189,'CY Receving Query'!$B:$S,5,FALSE),0)</f>
        <v>0</v>
      </c>
      <c r="AA189" s="10">
        <f>IFERROR(VLOOKUP($P189,'CY Receving Query'!$B:$S,11,FALSE),0)</f>
        <v>0</v>
      </c>
      <c r="AB189" s="10">
        <f>IFERROR(AVERAGE(VLOOKUP($P189,'PY Receiving'!$C:$T,14,FALSE),VLOOKUP($P189,'CY Receiving'!$C:$T,14,FALSE)),0)</f>
        <v>0</v>
      </c>
      <c r="AC189" s="10">
        <f>IFERROR(VLOOKUP($P189,'CY Receving Query'!$B:$S,11,FALSE)/VLOOKUP($P189,'CY Receving Query'!$B:$S,5,FALSE),0)</f>
        <v>0</v>
      </c>
      <c r="AD189" s="10">
        <f>IFERROR(VLOOKUP($P189,'CY Rushing Query'!$B:$O,7,FALSE)/VLOOKUP($P189,'CY Rushing Query'!$B:$O,5,FALSE),0)</f>
        <v>0</v>
      </c>
      <c r="AE189" s="10">
        <f>IFERROR(AVERAGE(VLOOKUP($P189,'PY Rushing'!$C:$P,8,FALSE)/VLOOKUP($P189,'PY Rushing'!$C:$P,5,FALSE),VLOOKUP($P189,'CY Rushing'!$C:$P,8,FALSE)/VLOOKUP($P189,'CY Rushing'!$C:$P,5,FALSE)),0)</f>
        <v>0</v>
      </c>
      <c r="AF189" s="10">
        <f>IFERROR(VLOOKUP($P189,'CY Rushing Query'!$B:$P,12,FALSE),0)</f>
        <v>0</v>
      </c>
      <c r="AG189" s="10">
        <f>IFERROR(VLOOKUP($P189,'CY Rushing Query'!$B:$P,9,FALSE)/VLOOKUP($P189,'CY Rushing Query'!$B:$P,5,FALSE),0)</f>
        <v>0</v>
      </c>
      <c r="AH189" s="10">
        <f>VLOOKUP($J189,'Vegas Odds'!$B:$S,18,FALSE)</f>
        <v>37.933262350936971</v>
      </c>
      <c r="AI189" s="10">
        <f>VLOOKUP($J189,'Vegas Odds'!$B:$S,17,FALSE)</f>
        <v>27.766737649063032</v>
      </c>
      <c r="AJ189">
        <f t="shared" si="60"/>
        <v>1</v>
      </c>
      <c r="AK189" s="10">
        <f t="shared" ref="AK189:AK206" si="65">T189*AJ189</f>
        <v>0</v>
      </c>
      <c r="AL189" s="10">
        <f t="shared" ref="AL189:AL206" si="66">IF(AND(AJ189=1,B189="QB"),AH189,0)</f>
        <v>0</v>
      </c>
      <c r="AM189" s="10">
        <f>V189/'CY Defensive Stats Query'!$AD$34*'Fanduel Export'!Q189</f>
        <v>0</v>
      </c>
      <c r="AN189" s="10">
        <f t="shared" ref="AN189:AN206" si="67">AM189*AL189</f>
        <v>0</v>
      </c>
      <c r="AO189" s="10">
        <f>IFERROR(IF(OR($B189="D",$B189="K"),0,VLOOKUP($P189,'CY Receving Query'!$B:$S,7,FALSE)/VLOOKUP($P189,'CY Receving Query'!$B:$S,5,FALSE)),0)*$AJ189</f>
        <v>0</v>
      </c>
      <c r="AP189" s="10">
        <f t="shared" ref="AP189:AP206" si="68">SUMIF($J:$J,$J189,AO:AO)</f>
        <v>37.365221788015901</v>
      </c>
      <c r="AQ189" s="10">
        <f t="shared" ref="AQ189:AQ206" si="69">AO189/AP189*AH189</f>
        <v>0</v>
      </c>
      <c r="AR189" s="16">
        <f t="shared" ref="AR189:AR206" si="70">Y189*AJ189</f>
        <v>0</v>
      </c>
      <c r="AS189" s="16">
        <f t="shared" ref="AS189:AS206" si="71">IFERROR(AR189/AO189*AQ189,0)</f>
        <v>0</v>
      </c>
      <c r="AT189" s="16">
        <f>AA189/'CY Defensive Stats Query'!$AH$34
*'Fanduel Export'!S189</f>
        <v>0</v>
      </c>
      <c r="AU189" s="10">
        <f t="shared" ref="AU189:AU206" si="72">AS189*AT189</f>
        <v>0</v>
      </c>
      <c r="AV189" s="10">
        <f t="shared" ref="AV189:AV206" si="73">AD189*AJ189</f>
        <v>0</v>
      </c>
      <c r="AW189" s="10">
        <f t="shared" ref="AW189:AW206" si="74">SUMIF($J:$J,$J189,AV:AV)</f>
        <v>19.787381735911151</v>
      </c>
      <c r="AX189" s="10">
        <f t="shared" ref="AX189:AX206" si="75">IFERROR(AV189/AW189*AI189,0)</f>
        <v>0</v>
      </c>
      <c r="AY189" s="10">
        <f>AF189/'CY Defensive Stats Query'!$AF$34
*R189</f>
        <v>0</v>
      </c>
      <c r="AZ189" s="10">
        <f t="shared" ref="AZ189:AZ206" si="76">AY189*AX189</f>
        <v>0</v>
      </c>
      <c r="BA189" s="16">
        <f t="shared" ref="BA189:BA206" si="77">AN189/25+AU189/10+AZ189/10+AR189*0.5</f>
        <v>0</v>
      </c>
      <c r="BB189" s="16">
        <f t="shared" ref="BB189:BB206" si="78">BA189/(H189/1000)</f>
        <v>0</v>
      </c>
      <c r="BC189" s="10">
        <f t="shared" ref="BC189:BC206" si="79">AO189/(H189/1000)</f>
        <v>0</v>
      </c>
      <c r="BD189" s="10">
        <f>IF(B189="QB",COUNTIFS($B$5:B189,B189,$J$5:J189,J189),1)</f>
        <v>1</v>
      </c>
      <c r="BE189" t="str">
        <f t="shared" ref="BE189:BE206" si="80">D189</f>
        <v>Evan Baylis</v>
      </c>
      <c r="BF189">
        <f t="shared" ref="BF189:BF206" si="81">H189</f>
        <v>4000</v>
      </c>
      <c r="BG189" t="str">
        <f t="shared" ref="BG189:BG206" si="82">B189</f>
        <v>TE</v>
      </c>
      <c r="BH189" s="16">
        <f t="shared" ref="BH189:BH206" si="83">BA189</f>
        <v>0</v>
      </c>
    </row>
    <row r="190" spans="1:60" x14ac:dyDescent="0.2">
      <c r="A190" t="s">
        <v>3011</v>
      </c>
      <c r="B190" t="s">
        <v>88</v>
      </c>
      <c r="C190" t="s">
        <v>3012</v>
      </c>
      <c r="D190" t="s">
        <v>2472</v>
      </c>
      <c r="E190" t="s">
        <v>3013</v>
      </c>
      <c r="H190">
        <v>4000</v>
      </c>
      <c r="I190" t="s">
        <v>2716</v>
      </c>
      <c r="J190" t="s">
        <v>81</v>
      </c>
      <c r="K190" t="s">
        <v>99</v>
      </c>
      <c r="O190" t="str">
        <f t="shared" si="64"/>
        <v>Nakia Griffin-Stewart</v>
      </c>
      <c r="P190" t="str">
        <f>IFERROR(VLOOKUP(O:O,'Name Bridge'!A:B,2,FALSE),O:O)</f>
        <v>Nakia Griffin-Stewart</v>
      </c>
      <c r="Q190" s="10">
        <f>VLOOKUP($K190,'CY Defensive Stats Query'!$AC:$AH,2,FALSE)</f>
        <v>7.5377358490566042</v>
      </c>
      <c r="R190" s="10">
        <f>VLOOKUP($K190,'CY Defensive Stats Query'!$AC:$AH,4,FALSE)</f>
        <v>3.5810810810810811</v>
      </c>
      <c r="S190" s="10">
        <f>VLOOKUP($K190,'CY Defensive Stats Query'!$AC:$AH,6,FALSE)</f>
        <v>11.097222222222221</v>
      </c>
      <c r="T190" s="10">
        <f>IFERROR(VLOOKUP($P190,'CYPassing Query'!$B:$AE,9,FALSE)/VLOOKUP($P190,'CYPassing Query'!$B:$AE,5,FALSE),0)</f>
        <v>0</v>
      </c>
      <c r="U190" s="10">
        <f>IFERROR(VLOOKUP($P190,'CYPassing Query'!$B:$AE,11,FALSE)/VLOOKUP($P190,'CYPassing Query'!$B:$AE,5,FALSE),0)</f>
        <v>0</v>
      </c>
      <c r="V190" s="10">
        <f>IFERROR(VLOOKUP($P190,'CYPassing Query'!$B:$AE,18,FALSE),0)</f>
        <v>0</v>
      </c>
      <c r="W190" s="10">
        <f>IFERROR(VLOOKUP($P190,'CYPassing Query'!$B:$AE,12,FALSE)/VLOOKUP($P190,'CYPassing Query'!$B:$AE,5,FALSE),0)</f>
        <v>0</v>
      </c>
      <c r="X190" s="10">
        <f>IFERROR(IF(OR($B190="D",$B190="K"),0,VLOOKUP($P190,'CY Receving Query'!$B:$S,7,FALSE)/VLOOKUP($P190,'CY Receving Query'!$B:$S,5,FALSE)),0)*$AJ190</f>
        <v>0</v>
      </c>
      <c r="Y190" s="10">
        <f>IFERROR(VLOOKUP($P190,'CY Receving Query'!$B:$S,8,FALSE)/VLOOKUP($P190,'CY Receving Query'!$B:$S,5,FALSE),0)</f>
        <v>0</v>
      </c>
      <c r="Z190" s="10">
        <f>IFERROR(VLOOKUP($P190,'CY Receving Query'!$B:$S,10,FALSE)/VLOOKUP($P190,'CY Receving Query'!$B:$S,5,FALSE),0)</f>
        <v>0</v>
      </c>
      <c r="AA190" s="10">
        <f>IFERROR(VLOOKUP($P190,'CY Receving Query'!$B:$S,11,FALSE),0)</f>
        <v>0</v>
      </c>
      <c r="AB190" s="10">
        <f>IFERROR(AVERAGE(VLOOKUP($P190,'PY Receiving'!$C:$T,14,FALSE),VLOOKUP($P190,'CY Receiving'!$C:$T,14,FALSE)),0)</f>
        <v>0</v>
      </c>
      <c r="AC190" s="10">
        <f>IFERROR(VLOOKUP($P190,'CY Receving Query'!$B:$S,11,FALSE)/VLOOKUP($P190,'CY Receving Query'!$B:$S,5,FALSE),0)</f>
        <v>0</v>
      </c>
      <c r="AD190" s="10">
        <f>IFERROR(VLOOKUP($P190,'CY Rushing Query'!$B:$O,7,FALSE)/VLOOKUP($P190,'CY Rushing Query'!$B:$O,5,FALSE),0)</f>
        <v>0</v>
      </c>
      <c r="AE190" s="10">
        <f>IFERROR(AVERAGE(VLOOKUP($P190,'PY Rushing'!$C:$P,8,FALSE)/VLOOKUP($P190,'PY Rushing'!$C:$P,5,FALSE),VLOOKUP($P190,'CY Rushing'!$C:$P,8,FALSE)/VLOOKUP($P190,'CY Rushing'!$C:$P,5,FALSE)),0)</f>
        <v>0</v>
      </c>
      <c r="AF190" s="10">
        <f>IFERROR(VLOOKUP($P190,'CY Rushing Query'!$B:$P,12,FALSE),0)</f>
        <v>0</v>
      </c>
      <c r="AG190" s="10">
        <f>IFERROR(VLOOKUP($P190,'CY Rushing Query'!$B:$P,9,FALSE)/VLOOKUP($P190,'CY Rushing Query'!$B:$P,5,FALSE),0)</f>
        <v>0</v>
      </c>
      <c r="AH190" s="10">
        <f>VLOOKUP($J190,'Vegas Odds'!$B:$S,18,FALSE)</f>
        <v>37.933262350936971</v>
      </c>
      <c r="AI190" s="10">
        <f>VLOOKUP($J190,'Vegas Odds'!$B:$S,17,FALSE)</f>
        <v>27.766737649063032</v>
      </c>
      <c r="AJ190">
        <f t="shared" si="60"/>
        <v>1</v>
      </c>
      <c r="AK190" s="10">
        <f t="shared" si="65"/>
        <v>0</v>
      </c>
      <c r="AL190" s="10">
        <f t="shared" si="66"/>
        <v>0</v>
      </c>
      <c r="AM190" s="10">
        <f>V190/'CY Defensive Stats Query'!$AD$34*'Fanduel Export'!Q190</f>
        <v>0</v>
      </c>
      <c r="AN190" s="10">
        <f t="shared" si="67"/>
        <v>0</v>
      </c>
      <c r="AO190" s="10">
        <f>IFERROR(IF(OR($B190="D",$B190="K"),0,VLOOKUP($P190,'CY Receving Query'!$B:$S,7,FALSE)/VLOOKUP($P190,'CY Receving Query'!$B:$S,5,FALSE)),0)*$AJ190</f>
        <v>0</v>
      </c>
      <c r="AP190" s="10">
        <f t="shared" si="68"/>
        <v>37.365221788015901</v>
      </c>
      <c r="AQ190" s="10">
        <f t="shared" si="69"/>
        <v>0</v>
      </c>
      <c r="AR190" s="16">
        <f t="shared" si="70"/>
        <v>0</v>
      </c>
      <c r="AS190" s="16">
        <f t="shared" si="71"/>
        <v>0</v>
      </c>
      <c r="AT190" s="16">
        <f>AA190/'CY Defensive Stats Query'!$AH$34
*'Fanduel Export'!S190</f>
        <v>0</v>
      </c>
      <c r="AU190" s="10">
        <f t="shared" si="72"/>
        <v>0</v>
      </c>
      <c r="AV190" s="10">
        <f t="shared" si="73"/>
        <v>0</v>
      </c>
      <c r="AW190" s="10">
        <f t="shared" si="74"/>
        <v>19.787381735911151</v>
      </c>
      <c r="AX190" s="10">
        <f t="shared" si="75"/>
        <v>0</v>
      </c>
      <c r="AY190" s="10">
        <f>AF190/'CY Defensive Stats Query'!$AF$34
*R190</f>
        <v>0</v>
      </c>
      <c r="AZ190" s="10">
        <f t="shared" si="76"/>
        <v>0</v>
      </c>
      <c r="BA190" s="16">
        <f t="shared" si="77"/>
        <v>0</v>
      </c>
      <c r="BB190" s="16">
        <f t="shared" si="78"/>
        <v>0</v>
      </c>
      <c r="BC190" s="10">
        <f t="shared" si="79"/>
        <v>0</v>
      </c>
      <c r="BD190" s="10">
        <f>IF(B190="QB",COUNTIFS($B$5:B190,B190,$J$5:J190,J190),1)</f>
        <v>1</v>
      </c>
      <c r="BE190" t="str">
        <f t="shared" si="80"/>
        <v>Nakia Griffin-Stewart</v>
      </c>
      <c r="BF190">
        <f t="shared" si="81"/>
        <v>4000</v>
      </c>
      <c r="BG190" t="str">
        <f t="shared" si="82"/>
        <v>TE</v>
      </c>
      <c r="BH190" s="16">
        <f t="shared" si="83"/>
        <v>0</v>
      </c>
    </row>
    <row r="191" spans="1:60" x14ac:dyDescent="0.2">
      <c r="A191" t="s">
        <v>3014</v>
      </c>
      <c r="B191" t="s">
        <v>88</v>
      </c>
      <c r="C191" t="s">
        <v>3015</v>
      </c>
      <c r="D191" t="s">
        <v>2473</v>
      </c>
      <c r="E191" t="s">
        <v>2698</v>
      </c>
      <c r="H191">
        <v>4000</v>
      </c>
      <c r="I191" t="s">
        <v>2718</v>
      </c>
      <c r="J191" t="s">
        <v>729</v>
      </c>
      <c r="K191" t="s">
        <v>138</v>
      </c>
      <c r="O191" t="str">
        <f t="shared" si="64"/>
        <v>Artayvious Lynn</v>
      </c>
      <c r="P191" t="str">
        <f>IFERROR(VLOOKUP(O:O,'Name Bridge'!A:B,2,FALSE),O:O)</f>
        <v>Artayvious Lynn</v>
      </c>
      <c r="Q191" s="10">
        <f>VLOOKUP($K191,'CY Defensive Stats Query'!$AC:$AH,2,FALSE)</f>
        <v>6.5263157894736841</v>
      </c>
      <c r="R191" s="10">
        <f>VLOOKUP($K191,'CY Defensive Stats Query'!$AC:$AH,4,FALSE)</f>
        <v>4.7051282051282053</v>
      </c>
      <c r="S191" s="10">
        <f>VLOOKUP($K191,'CY Defensive Stats Query'!$AC:$AH,6,FALSE)</f>
        <v>10.191780821917808</v>
      </c>
      <c r="T191" s="10">
        <f>IFERROR(VLOOKUP($P191,'CYPassing Query'!$B:$AE,9,FALSE)/VLOOKUP($P191,'CYPassing Query'!$B:$AE,5,FALSE),0)</f>
        <v>0</v>
      </c>
      <c r="U191" s="10">
        <f>IFERROR(VLOOKUP($P191,'CYPassing Query'!$B:$AE,11,FALSE)/VLOOKUP($P191,'CYPassing Query'!$B:$AE,5,FALSE),0)</f>
        <v>0</v>
      </c>
      <c r="V191" s="10">
        <f>IFERROR(VLOOKUP($P191,'CYPassing Query'!$B:$AE,18,FALSE),0)</f>
        <v>0</v>
      </c>
      <c r="W191" s="10">
        <f>IFERROR(VLOOKUP($P191,'CYPassing Query'!$B:$AE,12,FALSE)/VLOOKUP($P191,'CYPassing Query'!$B:$AE,5,FALSE),0)</f>
        <v>0</v>
      </c>
      <c r="X191" s="10">
        <f>IFERROR(IF(OR($B191="D",$B191="K"),0,VLOOKUP($P191,'CY Receving Query'!$B:$S,7,FALSE)/VLOOKUP($P191,'CY Receving Query'!$B:$S,5,FALSE)),0)*$AJ191</f>
        <v>0</v>
      </c>
      <c r="Y191" s="10">
        <f>IFERROR(VLOOKUP($P191,'CY Receving Query'!$B:$S,8,FALSE)/VLOOKUP($P191,'CY Receving Query'!$B:$S,5,FALSE),0)</f>
        <v>0</v>
      </c>
      <c r="Z191" s="10">
        <f>IFERROR(VLOOKUP($P191,'CY Receving Query'!$B:$S,10,FALSE)/VLOOKUP($P191,'CY Receving Query'!$B:$S,5,FALSE),0)</f>
        <v>0</v>
      </c>
      <c r="AA191" s="10">
        <f>IFERROR(VLOOKUP($P191,'CY Receving Query'!$B:$S,11,FALSE),0)</f>
        <v>0</v>
      </c>
      <c r="AB191" s="10">
        <f>IFERROR(AVERAGE(VLOOKUP($P191,'PY Receiving'!$C:$T,14,FALSE),VLOOKUP($P191,'CY Receiving'!$C:$T,14,FALSE)),0)</f>
        <v>0</v>
      </c>
      <c r="AC191" s="10">
        <f>IFERROR(VLOOKUP($P191,'CY Receving Query'!$B:$S,11,FALSE)/VLOOKUP($P191,'CY Receving Query'!$B:$S,5,FALSE),0)</f>
        <v>0</v>
      </c>
      <c r="AD191" s="10">
        <f>IFERROR(VLOOKUP($P191,'CY Rushing Query'!$B:$O,7,FALSE)/VLOOKUP($P191,'CY Rushing Query'!$B:$O,5,FALSE),0)</f>
        <v>0</v>
      </c>
      <c r="AE191" s="10">
        <f>IFERROR(AVERAGE(VLOOKUP($P191,'PY Rushing'!$C:$P,8,FALSE)/VLOOKUP($P191,'PY Rushing'!$C:$P,5,FALSE),VLOOKUP($P191,'CY Rushing'!$C:$P,8,FALSE)/VLOOKUP($P191,'CY Rushing'!$C:$P,5,FALSE)),0)</f>
        <v>0</v>
      </c>
      <c r="AF191" s="10">
        <f>IFERROR(VLOOKUP($P191,'CY Rushing Query'!$B:$P,12,FALSE),0)</f>
        <v>0</v>
      </c>
      <c r="AG191" s="10">
        <f>IFERROR(VLOOKUP($P191,'CY Rushing Query'!$B:$P,9,FALSE)/VLOOKUP($P191,'CY Rushing Query'!$B:$P,5,FALSE),0)</f>
        <v>0</v>
      </c>
      <c r="AH191" s="10">
        <f>VLOOKUP($J191,'Vegas Odds'!$B:$S,18,FALSE)</f>
        <v>38.06292701199007</v>
      </c>
      <c r="AI191" s="10">
        <f>VLOOKUP($J191,'Vegas Odds'!$B:$S,17,FALSE)</f>
        <v>29.237072988009928</v>
      </c>
      <c r="AJ191">
        <f t="shared" si="60"/>
        <v>1</v>
      </c>
      <c r="AK191" s="10">
        <f t="shared" si="65"/>
        <v>0</v>
      </c>
      <c r="AL191" s="10">
        <f t="shared" si="66"/>
        <v>0</v>
      </c>
      <c r="AM191" s="10">
        <f>V191/'CY Defensive Stats Query'!$AD$34*'Fanduel Export'!Q191</f>
        <v>0</v>
      </c>
      <c r="AN191" s="10">
        <f t="shared" si="67"/>
        <v>0</v>
      </c>
      <c r="AO191" s="10">
        <f>IFERROR(IF(OR($B191="D",$B191="K"),0,VLOOKUP($P191,'CY Receving Query'!$B:$S,7,FALSE)/VLOOKUP($P191,'CY Receving Query'!$B:$S,5,FALSE)),0)*$AJ191</f>
        <v>0</v>
      </c>
      <c r="AP191" s="10">
        <f t="shared" si="68"/>
        <v>30.199512497306614</v>
      </c>
      <c r="AQ191" s="10">
        <f t="shared" si="69"/>
        <v>0</v>
      </c>
      <c r="AR191" s="16">
        <f t="shared" si="70"/>
        <v>0</v>
      </c>
      <c r="AS191" s="16">
        <f t="shared" si="71"/>
        <v>0</v>
      </c>
      <c r="AT191" s="16">
        <f>AA191/'CY Defensive Stats Query'!$AH$34
*'Fanduel Export'!S191</f>
        <v>0</v>
      </c>
      <c r="AU191" s="10">
        <f t="shared" si="72"/>
        <v>0</v>
      </c>
      <c r="AV191" s="10">
        <f t="shared" si="73"/>
        <v>0</v>
      </c>
      <c r="AW191" s="10">
        <f t="shared" si="74"/>
        <v>30.007352941176471</v>
      </c>
      <c r="AX191" s="10">
        <f t="shared" si="75"/>
        <v>0</v>
      </c>
      <c r="AY191" s="10">
        <f>AF191/'CY Defensive Stats Query'!$AF$34
*R191</f>
        <v>0</v>
      </c>
      <c r="AZ191" s="10">
        <f t="shared" si="76"/>
        <v>0</v>
      </c>
      <c r="BA191" s="16">
        <f t="shared" si="77"/>
        <v>0</v>
      </c>
      <c r="BB191" s="16">
        <f t="shared" si="78"/>
        <v>0</v>
      </c>
      <c r="BC191" s="10">
        <f t="shared" si="79"/>
        <v>0</v>
      </c>
      <c r="BD191" s="10">
        <f>IF(B191="QB",COUNTIFS($B$5:B191,B191,$J$5:J191,J191),1)</f>
        <v>1</v>
      </c>
      <c r="BE191" t="str">
        <f t="shared" si="80"/>
        <v>Artayvious Lynn</v>
      </c>
      <c r="BF191">
        <f t="shared" si="81"/>
        <v>4000</v>
      </c>
      <c r="BG191" t="str">
        <f t="shared" si="82"/>
        <v>TE</v>
      </c>
      <c r="BH191" s="16">
        <f t="shared" si="83"/>
        <v>0</v>
      </c>
    </row>
    <row r="192" spans="1:60" x14ac:dyDescent="0.2">
      <c r="A192" t="s">
        <v>3016</v>
      </c>
      <c r="B192" t="s">
        <v>88</v>
      </c>
      <c r="C192" t="s">
        <v>2428</v>
      </c>
      <c r="D192" t="s">
        <v>2502</v>
      </c>
      <c r="E192" t="s">
        <v>2582</v>
      </c>
      <c r="F192">
        <v>0.89999997615814198</v>
      </c>
      <c r="G192">
        <v>2</v>
      </c>
      <c r="H192">
        <v>4000</v>
      </c>
      <c r="I192" t="s">
        <v>2716</v>
      </c>
      <c r="J192" t="s">
        <v>99</v>
      </c>
      <c r="K192" t="s">
        <v>81</v>
      </c>
      <c r="O192" t="str">
        <f t="shared" si="64"/>
        <v>Kevin Rader</v>
      </c>
      <c r="P192" t="str">
        <f>IFERROR(VLOOKUP(O:O,'Name Bridge'!A:B,2,FALSE),O:O)</f>
        <v>Kevin Rader</v>
      </c>
      <c r="Q192" s="10">
        <f>VLOOKUP($K192,'CY Defensive Stats Query'!$AC:$AH,2,FALSE)</f>
        <v>8.7934782608695645</v>
      </c>
      <c r="R192" s="10">
        <f>VLOOKUP($K192,'CY Defensive Stats Query'!$AC:$AH,4,FALSE)</f>
        <v>5.404494382022472</v>
      </c>
      <c r="S192" s="10">
        <f>VLOOKUP($K192,'CY Defensive Stats Query'!$AC:$AH,6,FALSE)</f>
        <v>12.446153846153846</v>
      </c>
      <c r="T192" s="10">
        <f>IFERROR(VLOOKUP($P192,'CYPassing Query'!$B:$AE,9,FALSE)/VLOOKUP($P192,'CYPassing Query'!$B:$AE,5,FALSE),0)</f>
        <v>0</v>
      </c>
      <c r="U192" s="10">
        <f>IFERROR(VLOOKUP($P192,'CYPassing Query'!$B:$AE,11,FALSE)/VLOOKUP($P192,'CYPassing Query'!$B:$AE,5,FALSE),0)</f>
        <v>0</v>
      </c>
      <c r="V192" s="10">
        <f>IFERROR(VLOOKUP($P192,'CYPassing Query'!$B:$AE,18,FALSE),0)</f>
        <v>0</v>
      </c>
      <c r="W192" s="10">
        <f>IFERROR(VLOOKUP($P192,'CYPassing Query'!$B:$AE,12,FALSE)/VLOOKUP($P192,'CYPassing Query'!$B:$AE,5,FALSE),0)</f>
        <v>0</v>
      </c>
      <c r="X192" s="10">
        <f>IFERROR(IF(OR($B192="D",$B192="K"),0,VLOOKUP($P192,'CY Receving Query'!$B:$S,7,FALSE)/VLOOKUP($P192,'CY Receving Query'!$B:$S,5,FALSE)),0)*$AJ192</f>
        <v>0.5</v>
      </c>
      <c r="Y192" s="10">
        <f>IFERROR(VLOOKUP($P192,'CY Receving Query'!$B:$S,8,FALSE)/VLOOKUP($P192,'CY Receving Query'!$B:$S,5,FALSE),0)</f>
        <v>0.33333333333333331</v>
      </c>
      <c r="Z192" s="10">
        <f>IFERROR(VLOOKUP($P192,'CY Receving Query'!$B:$S,10,FALSE)/VLOOKUP($P192,'CY Receving Query'!$B:$S,5,FALSE),0)</f>
        <v>1.3333333333333333</v>
      </c>
      <c r="AA192" s="10">
        <f>IFERROR(VLOOKUP($P192,'CY Receving Query'!$B:$S,11,FALSE),0)</f>
        <v>4</v>
      </c>
      <c r="AB192" s="10">
        <f>IFERROR(AVERAGE(VLOOKUP($P192,'PY Receiving'!$C:$T,14,FALSE),VLOOKUP($P192,'CY Receiving'!$C:$T,14,FALSE)),0)</f>
        <v>0</v>
      </c>
      <c r="AC192" s="10">
        <f>IFERROR(VLOOKUP($P192,'CY Receving Query'!$B:$S,11,FALSE)/VLOOKUP($P192,'CY Receving Query'!$B:$S,5,FALSE),0)</f>
        <v>0.66666666666666663</v>
      </c>
      <c r="AD192" s="10">
        <f>IFERROR(VLOOKUP($P192,'CY Rushing Query'!$B:$O,7,FALSE)/VLOOKUP($P192,'CY Rushing Query'!$B:$O,5,FALSE),0)</f>
        <v>0</v>
      </c>
      <c r="AE192" s="10">
        <f>IFERROR(AVERAGE(VLOOKUP($P192,'PY Rushing'!$C:$P,8,FALSE)/VLOOKUP($P192,'PY Rushing'!$C:$P,5,FALSE),VLOOKUP($P192,'CY Rushing'!$C:$P,8,FALSE)/VLOOKUP($P192,'CY Rushing'!$C:$P,5,FALSE)),0)</f>
        <v>0</v>
      </c>
      <c r="AF192" s="10">
        <f>IFERROR(VLOOKUP($P192,'CY Rushing Query'!$B:$P,12,FALSE),0)</f>
        <v>0</v>
      </c>
      <c r="AG192" s="10">
        <f>IFERROR(VLOOKUP($P192,'CY Rushing Query'!$B:$P,9,FALSE)/VLOOKUP($P192,'CY Rushing Query'!$B:$P,5,FALSE),0)</f>
        <v>0</v>
      </c>
      <c r="AH192" s="10">
        <f>VLOOKUP($J192,'Vegas Odds'!$B:$S,18,FALSE)</f>
        <v>40.088640957860363</v>
      </c>
      <c r="AI192" s="10">
        <f>VLOOKUP($J192,'Vegas Odds'!$B:$S,17,FALSE)</f>
        <v>25.511359042139631</v>
      </c>
      <c r="AJ192">
        <f t="shared" si="60"/>
        <v>1</v>
      </c>
      <c r="AK192" s="10">
        <f t="shared" si="65"/>
        <v>0</v>
      </c>
      <c r="AL192" s="10">
        <f t="shared" si="66"/>
        <v>0</v>
      </c>
      <c r="AM192" s="10">
        <f>V192/'CY Defensive Stats Query'!$AD$34*'Fanduel Export'!Q192</f>
        <v>0</v>
      </c>
      <c r="AN192" s="10">
        <f t="shared" si="67"/>
        <v>0</v>
      </c>
      <c r="AO192" s="10">
        <f>IFERROR(IF(OR($B192="D",$B192="K"),0,VLOOKUP($P192,'CY Receving Query'!$B:$S,7,FALSE)/VLOOKUP($P192,'CY Receving Query'!$B:$S,5,FALSE)),0)*$AJ192</f>
        <v>0.5</v>
      </c>
      <c r="AP192" s="10">
        <f t="shared" si="68"/>
        <v>32.289950980392156</v>
      </c>
      <c r="AQ192" s="10">
        <f t="shared" si="69"/>
        <v>0.6207603254369124</v>
      </c>
      <c r="AR192" s="16">
        <f t="shared" si="70"/>
        <v>0.33333333333333331</v>
      </c>
      <c r="AS192" s="16">
        <f t="shared" si="71"/>
        <v>0.4138402169579416</v>
      </c>
      <c r="AT192" s="16">
        <f>AA192/'CY Defensive Stats Query'!$AH$34
*'Fanduel Export'!S192</f>
        <v>4.7351069035037456</v>
      </c>
      <c r="AU192" s="10">
        <f t="shared" si="72"/>
        <v>1.9595776682650372</v>
      </c>
      <c r="AV192" s="10">
        <f t="shared" si="73"/>
        <v>0</v>
      </c>
      <c r="AW192" s="10">
        <f t="shared" si="74"/>
        <v>7.4240196078431371</v>
      </c>
      <c r="AX192" s="10">
        <f t="shared" si="75"/>
        <v>0</v>
      </c>
      <c r="AY192" s="10">
        <f>AF192/'CY Defensive Stats Query'!$AF$34
*R192</f>
        <v>0</v>
      </c>
      <c r="AZ192" s="10">
        <f t="shared" si="76"/>
        <v>0</v>
      </c>
      <c r="BA192" s="16">
        <f t="shared" si="77"/>
        <v>0.36262443349317042</v>
      </c>
      <c r="BB192" s="16">
        <f t="shared" si="78"/>
        <v>9.0656108373292604E-2</v>
      </c>
      <c r="BC192" s="10">
        <f t="shared" si="79"/>
        <v>0.125</v>
      </c>
      <c r="BD192" s="10">
        <f>IF(B192="QB",COUNTIFS($B$5:B192,B192,$J$5:J192,J192),1)</f>
        <v>1</v>
      </c>
      <c r="BE192" t="str">
        <f t="shared" si="80"/>
        <v>Kevin Rader</v>
      </c>
      <c r="BF192">
        <f t="shared" si="81"/>
        <v>4000</v>
      </c>
      <c r="BG192" t="str">
        <f t="shared" si="82"/>
        <v>TE</v>
      </c>
      <c r="BH192" s="16">
        <f t="shared" si="83"/>
        <v>0.36262443349317042</v>
      </c>
    </row>
    <row r="193" spans="1:60" x14ac:dyDescent="0.2">
      <c r="A193" t="s">
        <v>3017</v>
      </c>
      <c r="B193" t="s">
        <v>88</v>
      </c>
      <c r="C193" t="s">
        <v>127</v>
      </c>
      <c r="D193" t="s">
        <v>2301</v>
      </c>
      <c r="E193" t="s">
        <v>3018</v>
      </c>
      <c r="H193">
        <v>4000</v>
      </c>
      <c r="I193" t="s">
        <v>2716</v>
      </c>
      <c r="J193" t="s">
        <v>81</v>
      </c>
      <c r="K193" t="s">
        <v>99</v>
      </c>
      <c r="O193" t="str">
        <f t="shared" si="64"/>
        <v>Matt Bushman</v>
      </c>
      <c r="P193" t="str">
        <f>IFERROR(VLOOKUP(O:O,'Name Bridge'!A:B,2,FALSE),O:O)</f>
        <v>Matt Bushman</v>
      </c>
      <c r="Q193" s="10">
        <f>VLOOKUP($K193,'CY Defensive Stats Query'!$AC:$AH,2,FALSE)</f>
        <v>7.5377358490566042</v>
      </c>
      <c r="R193" s="10">
        <f>VLOOKUP($K193,'CY Defensive Stats Query'!$AC:$AH,4,FALSE)</f>
        <v>3.5810810810810811</v>
      </c>
      <c r="S193" s="10">
        <f>VLOOKUP($K193,'CY Defensive Stats Query'!$AC:$AH,6,FALSE)</f>
        <v>11.097222222222221</v>
      </c>
      <c r="T193" s="10">
        <f>IFERROR(VLOOKUP($P193,'CYPassing Query'!$B:$AE,9,FALSE)/VLOOKUP($P193,'CYPassing Query'!$B:$AE,5,FALSE),0)</f>
        <v>0</v>
      </c>
      <c r="U193" s="10">
        <f>IFERROR(VLOOKUP($P193,'CYPassing Query'!$B:$AE,11,FALSE)/VLOOKUP($P193,'CYPassing Query'!$B:$AE,5,FALSE),0)</f>
        <v>0</v>
      </c>
      <c r="V193" s="10">
        <f>IFERROR(VLOOKUP($P193,'CYPassing Query'!$B:$AE,18,FALSE),0)</f>
        <v>0</v>
      </c>
      <c r="W193" s="10">
        <f>IFERROR(VLOOKUP($P193,'CYPassing Query'!$B:$AE,12,FALSE)/VLOOKUP($P193,'CYPassing Query'!$B:$AE,5,FALSE),0)</f>
        <v>0</v>
      </c>
      <c r="X193" s="10">
        <f>IFERROR(IF(OR($B193="D",$B193="K"),0,VLOOKUP($P193,'CY Receving Query'!$B:$S,7,FALSE)/VLOOKUP($P193,'CY Receving Query'!$B:$S,5,FALSE)),0)*$AJ193</f>
        <v>0</v>
      </c>
      <c r="Y193" s="10">
        <f>IFERROR(VLOOKUP($P193,'CY Receving Query'!$B:$S,8,FALSE)/VLOOKUP($P193,'CY Receving Query'!$B:$S,5,FALSE),0)</f>
        <v>0</v>
      </c>
      <c r="Z193" s="10">
        <f>IFERROR(VLOOKUP($P193,'CY Receving Query'!$B:$S,10,FALSE)/VLOOKUP($P193,'CY Receving Query'!$B:$S,5,FALSE),0)</f>
        <v>0</v>
      </c>
      <c r="AA193" s="10">
        <f>IFERROR(VLOOKUP($P193,'CY Receving Query'!$B:$S,11,FALSE),0)</f>
        <v>0</v>
      </c>
      <c r="AB193" s="10">
        <f>IFERROR(AVERAGE(VLOOKUP($P193,'PY Receiving'!$C:$T,14,FALSE),VLOOKUP($P193,'CY Receiving'!$C:$T,14,FALSE)),0)</f>
        <v>0</v>
      </c>
      <c r="AC193" s="10">
        <f>IFERROR(VLOOKUP($P193,'CY Receving Query'!$B:$S,11,FALSE)/VLOOKUP($P193,'CY Receving Query'!$B:$S,5,FALSE),0)</f>
        <v>0</v>
      </c>
      <c r="AD193" s="10">
        <f>IFERROR(VLOOKUP($P193,'CY Rushing Query'!$B:$O,7,FALSE)/VLOOKUP($P193,'CY Rushing Query'!$B:$O,5,FALSE),0)</f>
        <v>0</v>
      </c>
      <c r="AE193" s="10">
        <f>IFERROR(AVERAGE(VLOOKUP($P193,'PY Rushing'!$C:$P,8,FALSE)/VLOOKUP($P193,'PY Rushing'!$C:$P,5,FALSE),VLOOKUP($P193,'CY Rushing'!$C:$P,8,FALSE)/VLOOKUP($P193,'CY Rushing'!$C:$P,5,FALSE)),0)</f>
        <v>0</v>
      </c>
      <c r="AF193" s="10">
        <f>IFERROR(VLOOKUP($P193,'CY Rushing Query'!$B:$P,12,FALSE),0)</f>
        <v>0</v>
      </c>
      <c r="AG193" s="10">
        <f>IFERROR(VLOOKUP($P193,'CY Rushing Query'!$B:$P,9,FALSE)/VLOOKUP($P193,'CY Rushing Query'!$B:$P,5,FALSE),0)</f>
        <v>0</v>
      </c>
      <c r="AH193" s="10">
        <f>VLOOKUP($J193,'Vegas Odds'!$B:$S,18,FALSE)</f>
        <v>37.933262350936971</v>
      </c>
      <c r="AI193" s="10">
        <f>VLOOKUP($J193,'Vegas Odds'!$B:$S,17,FALSE)</f>
        <v>27.766737649063032</v>
      </c>
      <c r="AJ193">
        <f t="shared" si="60"/>
        <v>1</v>
      </c>
      <c r="AK193" s="10">
        <f t="shared" si="65"/>
        <v>0</v>
      </c>
      <c r="AL193" s="10">
        <f t="shared" si="66"/>
        <v>0</v>
      </c>
      <c r="AM193" s="10">
        <f>V193/'CY Defensive Stats Query'!$AD$34*'Fanduel Export'!Q193</f>
        <v>0</v>
      </c>
      <c r="AN193" s="10">
        <f t="shared" si="67"/>
        <v>0</v>
      </c>
      <c r="AO193" s="10">
        <f>IFERROR(IF(OR($B193="D",$B193="K"),0,VLOOKUP($P193,'CY Receving Query'!$B:$S,7,FALSE)/VLOOKUP($P193,'CY Receving Query'!$B:$S,5,FALSE)),0)*$AJ193</f>
        <v>0</v>
      </c>
      <c r="AP193" s="10">
        <f t="shared" si="68"/>
        <v>37.365221788015901</v>
      </c>
      <c r="AQ193" s="10">
        <f t="shared" si="69"/>
        <v>0</v>
      </c>
      <c r="AR193" s="16">
        <f t="shared" si="70"/>
        <v>0</v>
      </c>
      <c r="AS193" s="16">
        <f t="shared" si="71"/>
        <v>0</v>
      </c>
      <c r="AT193" s="16">
        <f>AA193/'CY Defensive Stats Query'!$AH$34
*'Fanduel Export'!S193</f>
        <v>0</v>
      </c>
      <c r="AU193" s="10">
        <f t="shared" si="72"/>
        <v>0</v>
      </c>
      <c r="AV193" s="10">
        <f t="shared" si="73"/>
        <v>0</v>
      </c>
      <c r="AW193" s="10">
        <f t="shared" si="74"/>
        <v>19.787381735911151</v>
      </c>
      <c r="AX193" s="10">
        <f t="shared" si="75"/>
        <v>0</v>
      </c>
      <c r="AY193" s="10">
        <f>AF193/'CY Defensive Stats Query'!$AF$34
*R193</f>
        <v>0</v>
      </c>
      <c r="AZ193" s="10">
        <f t="shared" si="76"/>
        <v>0</v>
      </c>
      <c r="BA193" s="16">
        <f t="shared" si="77"/>
        <v>0</v>
      </c>
      <c r="BB193" s="16">
        <f t="shared" si="78"/>
        <v>0</v>
      </c>
      <c r="BC193" s="10">
        <f t="shared" si="79"/>
        <v>0</v>
      </c>
      <c r="BD193" s="10">
        <f>IF(B193="QB",COUNTIFS($B$5:B193,B193,$J$5:J193,J193),1)</f>
        <v>1</v>
      </c>
      <c r="BE193" t="str">
        <f t="shared" si="80"/>
        <v>Matt Bushman</v>
      </c>
      <c r="BF193">
        <f t="shared" si="81"/>
        <v>4000</v>
      </c>
      <c r="BG193" t="str">
        <f t="shared" si="82"/>
        <v>TE</v>
      </c>
      <c r="BH193" s="16">
        <f t="shared" si="83"/>
        <v>0</v>
      </c>
    </row>
    <row r="194" spans="1:60" x14ac:dyDescent="0.2">
      <c r="A194" t="s">
        <v>3019</v>
      </c>
      <c r="B194" t="s">
        <v>88</v>
      </c>
      <c r="C194" t="s">
        <v>223</v>
      </c>
      <c r="D194" t="s">
        <v>2486</v>
      </c>
      <c r="E194" t="s">
        <v>3020</v>
      </c>
      <c r="F194">
        <v>0</v>
      </c>
      <c r="G194">
        <v>1</v>
      </c>
      <c r="H194">
        <v>4000</v>
      </c>
      <c r="I194" t="s">
        <v>2718</v>
      </c>
      <c r="J194" t="s">
        <v>729</v>
      </c>
      <c r="K194" t="s">
        <v>138</v>
      </c>
      <c r="O194" t="str">
        <f t="shared" si="64"/>
        <v>Ian Bunting</v>
      </c>
      <c r="P194" t="str">
        <f>IFERROR(VLOOKUP(O:O,'Name Bridge'!A:B,2,FALSE),O:O)</f>
        <v>Ian Bunting</v>
      </c>
      <c r="Q194" s="10">
        <f>VLOOKUP($K194,'CY Defensive Stats Query'!$AC:$AH,2,FALSE)</f>
        <v>6.5263157894736841</v>
      </c>
      <c r="R194" s="10">
        <f>VLOOKUP($K194,'CY Defensive Stats Query'!$AC:$AH,4,FALSE)</f>
        <v>4.7051282051282053</v>
      </c>
      <c r="S194" s="10">
        <f>VLOOKUP($K194,'CY Defensive Stats Query'!$AC:$AH,6,FALSE)</f>
        <v>10.191780821917808</v>
      </c>
      <c r="T194" s="10">
        <f>IFERROR(VLOOKUP($P194,'CYPassing Query'!$B:$AE,9,FALSE)/VLOOKUP($P194,'CYPassing Query'!$B:$AE,5,FALSE),0)</f>
        <v>0</v>
      </c>
      <c r="U194" s="10">
        <f>IFERROR(VLOOKUP($P194,'CYPassing Query'!$B:$AE,11,FALSE)/VLOOKUP($P194,'CYPassing Query'!$B:$AE,5,FALSE),0)</f>
        <v>0</v>
      </c>
      <c r="V194" s="10">
        <f>IFERROR(VLOOKUP($P194,'CYPassing Query'!$B:$AE,18,FALSE),0)</f>
        <v>0</v>
      </c>
      <c r="W194" s="10">
        <f>IFERROR(VLOOKUP($P194,'CYPassing Query'!$B:$AE,12,FALSE)/VLOOKUP($P194,'CYPassing Query'!$B:$AE,5,FALSE),0)</f>
        <v>0</v>
      </c>
      <c r="X194" s="10">
        <f>IFERROR(IF(OR($B194="D",$B194="K"),0,VLOOKUP($P194,'CY Receving Query'!$B:$S,7,FALSE)/VLOOKUP($P194,'CY Receving Query'!$B:$S,5,FALSE)),0)*$AJ194</f>
        <v>0</v>
      </c>
      <c r="Y194" s="10">
        <f>IFERROR(VLOOKUP($P194,'CY Receving Query'!$B:$S,8,FALSE)/VLOOKUP($P194,'CY Receving Query'!$B:$S,5,FALSE),0)</f>
        <v>0</v>
      </c>
      <c r="Z194" s="10">
        <f>IFERROR(VLOOKUP($P194,'CY Receving Query'!$B:$S,10,FALSE)/VLOOKUP($P194,'CY Receving Query'!$B:$S,5,FALSE),0)</f>
        <v>0</v>
      </c>
      <c r="AA194" s="10">
        <f>IFERROR(VLOOKUP($P194,'CY Receving Query'!$B:$S,11,FALSE),0)</f>
        <v>0</v>
      </c>
      <c r="AB194" s="10">
        <f>IFERROR(AVERAGE(VLOOKUP($P194,'PY Receiving'!$C:$T,14,FALSE),VLOOKUP($P194,'CY Receiving'!$C:$T,14,FALSE)),0)</f>
        <v>0</v>
      </c>
      <c r="AC194" s="10">
        <f>IFERROR(VLOOKUP($P194,'CY Receving Query'!$B:$S,11,FALSE)/VLOOKUP($P194,'CY Receving Query'!$B:$S,5,FALSE),0)</f>
        <v>0</v>
      </c>
      <c r="AD194" s="10">
        <f>IFERROR(VLOOKUP($P194,'CY Rushing Query'!$B:$O,7,FALSE)/VLOOKUP($P194,'CY Rushing Query'!$B:$O,5,FALSE),0)</f>
        <v>0</v>
      </c>
      <c r="AE194" s="10">
        <f>IFERROR(AVERAGE(VLOOKUP($P194,'PY Rushing'!$C:$P,8,FALSE)/VLOOKUP($P194,'PY Rushing'!$C:$P,5,FALSE),VLOOKUP($P194,'CY Rushing'!$C:$P,8,FALSE)/VLOOKUP($P194,'CY Rushing'!$C:$P,5,FALSE)),0)</f>
        <v>0</v>
      </c>
      <c r="AF194" s="10">
        <f>IFERROR(VLOOKUP($P194,'CY Rushing Query'!$B:$P,12,FALSE),0)</f>
        <v>0</v>
      </c>
      <c r="AG194" s="10">
        <f>IFERROR(VLOOKUP($P194,'CY Rushing Query'!$B:$P,9,FALSE)/VLOOKUP($P194,'CY Rushing Query'!$B:$P,5,FALSE),0)</f>
        <v>0</v>
      </c>
      <c r="AH194" s="10">
        <f>VLOOKUP($J194,'Vegas Odds'!$B:$S,18,FALSE)</f>
        <v>38.06292701199007</v>
      </c>
      <c r="AI194" s="10">
        <f>VLOOKUP($J194,'Vegas Odds'!$B:$S,17,FALSE)</f>
        <v>29.237072988009928</v>
      </c>
      <c r="AJ194">
        <f t="shared" si="60"/>
        <v>1</v>
      </c>
      <c r="AK194" s="10">
        <f t="shared" si="65"/>
        <v>0</v>
      </c>
      <c r="AL194" s="10">
        <f t="shared" si="66"/>
        <v>0</v>
      </c>
      <c r="AM194" s="10">
        <f>V194/'CY Defensive Stats Query'!$AD$34*'Fanduel Export'!Q194</f>
        <v>0</v>
      </c>
      <c r="AN194" s="10">
        <f t="shared" si="67"/>
        <v>0</v>
      </c>
      <c r="AO194" s="10">
        <f>IFERROR(IF(OR($B194="D",$B194="K"),0,VLOOKUP($P194,'CY Receving Query'!$B:$S,7,FALSE)/VLOOKUP($P194,'CY Receving Query'!$B:$S,5,FALSE)),0)*$AJ194</f>
        <v>0</v>
      </c>
      <c r="AP194" s="10">
        <f t="shared" si="68"/>
        <v>30.199512497306614</v>
      </c>
      <c r="AQ194" s="10">
        <f t="shared" si="69"/>
        <v>0</v>
      </c>
      <c r="AR194" s="16">
        <f t="shared" si="70"/>
        <v>0</v>
      </c>
      <c r="AS194" s="16">
        <f t="shared" si="71"/>
        <v>0</v>
      </c>
      <c r="AT194" s="16">
        <f>AA194/'CY Defensive Stats Query'!$AH$34
*'Fanduel Export'!S194</f>
        <v>0</v>
      </c>
      <c r="AU194" s="10">
        <f t="shared" si="72"/>
        <v>0</v>
      </c>
      <c r="AV194" s="10">
        <f t="shared" si="73"/>
        <v>0</v>
      </c>
      <c r="AW194" s="10">
        <f t="shared" si="74"/>
        <v>30.007352941176471</v>
      </c>
      <c r="AX194" s="10">
        <f t="shared" si="75"/>
        <v>0</v>
      </c>
      <c r="AY194" s="10">
        <f>AF194/'CY Defensive Stats Query'!$AF$34
*R194</f>
        <v>0</v>
      </c>
      <c r="AZ194" s="10">
        <f t="shared" si="76"/>
        <v>0</v>
      </c>
      <c r="BA194" s="16">
        <f t="shared" si="77"/>
        <v>0</v>
      </c>
      <c r="BB194" s="16">
        <f t="shared" si="78"/>
        <v>0</v>
      </c>
      <c r="BC194" s="10">
        <f t="shared" si="79"/>
        <v>0</v>
      </c>
      <c r="BD194" s="10">
        <f>IF(B194="QB",COUNTIFS($B$5:B194,B194,$J$5:J194,J194),1)</f>
        <v>1</v>
      </c>
      <c r="BE194" t="str">
        <f t="shared" si="80"/>
        <v>Ian Bunting</v>
      </c>
      <c r="BF194">
        <f t="shared" si="81"/>
        <v>4000</v>
      </c>
      <c r="BG194" t="str">
        <f t="shared" si="82"/>
        <v>TE</v>
      </c>
      <c r="BH194" s="16">
        <f t="shared" si="83"/>
        <v>0</v>
      </c>
    </row>
    <row r="195" spans="1:60" x14ac:dyDescent="0.2">
      <c r="A195" t="s">
        <v>3021</v>
      </c>
      <c r="B195" t="s">
        <v>88</v>
      </c>
      <c r="C195" t="s">
        <v>2836</v>
      </c>
      <c r="D195" t="s">
        <v>2401</v>
      </c>
      <c r="E195" t="s">
        <v>3022</v>
      </c>
      <c r="F195">
        <v>0</v>
      </c>
      <c r="G195">
        <v>2</v>
      </c>
      <c r="H195">
        <v>4000</v>
      </c>
      <c r="I195" t="s">
        <v>2720</v>
      </c>
      <c r="J195" t="s">
        <v>102</v>
      </c>
      <c r="K195" t="s">
        <v>728</v>
      </c>
      <c r="O195" t="str">
        <f t="shared" si="64"/>
        <v>Noah Togiai</v>
      </c>
      <c r="P195" t="str">
        <f>IFERROR(VLOOKUP(O:O,'Name Bridge'!A:B,2,FALSE),O:O)</f>
        <v>Noah Togiai</v>
      </c>
      <c r="Q195" s="10">
        <f>VLOOKUP($K195,'CY Defensive Stats Query'!$AC:$AH,2,FALSE)</f>
        <v>7.0486111111111107</v>
      </c>
      <c r="R195" s="10">
        <f>VLOOKUP($K195,'CY Defensive Stats Query'!$AC:$AH,4,FALSE)</f>
        <v>3.0806451612903225</v>
      </c>
      <c r="S195" s="10">
        <f>VLOOKUP($K195,'CY Defensive Stats Query'!$AC:$AH,6,FALSE)</f>
        <v>9.759615384615385</v>
      </c>
      <c r="T195" s="10">
        <f>IFERROR(VLOOKUP($P195,'CYPassing Query'!$B:$AE,9,FALSE)/VLOOKUP($P195,'CYPassing Query'!$B:$AE,5,FALSE),0)</f>
        <v>0</v>
      </c>
      <c r="U195" s="10">
        <f>IFERROR(VLOOKUP($P195,'CYPassing Query'!$B:$AE,11,FALSE)/VLOOKUP($P195,'CYPassing Query'!$B:$AE,5,FALSE),0)</f>
        <v>0</v>
      </c>
      <c r="V195" s="10">
        <f>IFERROR(VLOOKUP($P195,'CYPassing Query'!$B:$AE,18,FALSE),0)</f>
        <v>0</v>
      </c>
      <c r="W195" s="10">
        <f>IFERROR(VLOOKUP($P195,'CYPassing Query'!$B:$AE,12,FALSE)/VLOOKUP($P195,'CYPassing Query'!$B:$AE,5,FALSE),0)</f>
        <v>0</v>
      </c>
      <c r="X195" s="10">
        <f>IFERROR(IF(OR($B195="D",$B195="K"),0,VLOOKUP($P195,'CY Receving Query'!$B:$S,7,FALSE)/VLOOKUP($P195,'CY Receving Query'!$B:$S,5,FALSE)),0)*$AJ195</f>
        <v>0</v>
      </c>
      <c r="Y195" s="10">
        <f>IFERROR(VLOOKUP($P195,'CY Receving Query'!$B:$S,8,FALSE)/VLOOKUP($P195,'CY Receving Query'!$B:$S,5,FALSE),0)</f>
        <v>0</v>
      </c>
      <c r="Z195" s="10">
        <f>IFERROR(VLOOKUP($P195,'CY Receving Query'!$B:$S,10,FALSE)/VLOOKUP($P195,'CY Receving Query'!$B:$S,5,FALSE),0)</f>
        <v>0</v>
      </c>
      <c r="AA195" s="10">
        <f>IFERROR(VLOOKUP($P195,'CY Receving Query'!$B:$S,11,FALSE),0)</f>
        <v>0</v>
      </c>
      <c r="AB195" s="10">
        <f>IFERROR(AVERAGE(VLOOKUP($P195,'PY Receiving'!$C:$T,14,FALSE),VLOOKUP($P195,'CY Receiving'!$C:$T,14,FALSE)),0)</f>
        <v>0</v>
      </c>
      <c r="AC195" s="10">
        <f>IFERROR(VLOOKUP($P195,'CY Receving Query'!$B:$S,11,FALSE)/VLOOKUP($P195,'CY Receving Query'!$B:$S,5,FALSE),0)</f>
        <v>0</v>
      </c>
      <c r="AD195" s="10">
        <f>IFERROR(VLOOKUP($P195,'CY Rushing Query'!$B:$O,7,FALSE)/VLOOKUP($P195,'CY Rushing Query'!$B:$O,5,FALSE),0)</f>
        <v>0</v>
      </c>
      <c r="AE195" s="10">
        <f>IFERROR(AVERAGE(VLOOKUP($P195,'PY Rushing'!$C:$P,8,FALSE)/VLOOKUP($P195,'PY Rushing'!$C:$P,5,FALSE),VLOOKUP($P195,'CY Rushing'!$C:$P,8,FALSE)/VLOOKUP($P195,'CY Rushing'!$C:$P,5,FALSE)),0)</f>
        <v>0</v>
      </c>
      <c r="AF195" s="10">
        <f>IFERROR(VLOOKUP($P195,'CY Rushing Query'!$B:$P,12,FALSE),0)</f>
        <v>0</v>
      </c>
      <c r="AG195" s="10">
        <f>IFERROR(VLOOKUP($P195,'CY Rushing Query'!$B:$P,9,FALSE)/VLOOKUP($P195,'CY Rushing Query'!$B:$P,5,FALSE),0)</f>
        <v>0</v>
      </c>
      <c r="AH195" s="10">
        <f>VLOOKUP($J195,'Vegas Odds'!$B:$S,18,FALSE)</f>
        <v>44.85966247691475</v>
      </c>
      <c r="AI195" s="10">
        <f>VLOOKUP($J195,'Vegas Odds'!$B:$S,17,FALSE)</f>
        <v>17.740337523085255</v>
      </c>
      <c r="AJ195">
        <f t="shared" si="60"/>
        <v>1</v>
      </c>
      <c r="AK195" s="10">
        <f t="shared" si="65"/>
        <v>0</v>
      </c>
      <c r="AL195" s="10">
        <f t="shared" si="66"/>
        <v>0</v>
      </c>
      <c r="AM195" s="10">
        <f>V195/'CY Defensive Stats Query'!$AD$34*'Fanduel Export'!Q195</f>
        <v>0</v>
      </c>
      <c r="AN195" s="10">
        <f t="shared" si="67"/>
        <v>0</v>
      </c>
      <c r="AO195" s="10">
        <f>IFERROR(IF(OR($B195="D",$B195="K"),0,VLOOKUP($P195,'CY Receving Query'!$B:$S,7,FALSE)/VLOOKUP($P195,'CY Receving Query'!$B:$S,5,FALSE)),0)*$AJ195</f>
        <v>0</v>
      </c>
      <c r="AP195" s="10">
        <f t="shared" si="68"/>
        <v>28.54982492997199</v>
      </c>
      <c r="AQ195" s="10">
        <f t="shared" si="69"/>
        <v>0</v>
      </c>
      <c r="AR195" s="16">
        <f t="shared" si="70"/>
        <v>0</v>
      </c>
      <c r="AS195" s="16">
        <f t="shared" si="71"/>
        <v>0</v>
      </c>
      <c r="AT195" s="16">
        <f>AA195/'CY Defensive Stats Query'!$AH$34
*'Fanduel Export'!S195</f>
        <v>0</v>
      </c>
      <c r="AU195" s="10">
        <f t="shared" si="72"/>
        <v>0</v>
      </c>
      <c r="AV195" s="10">
        <f t="shared" si="73"/>
        <v>0</v>
      </c>
      <c r="AW195" s="10">
        <f t="shared" si="74"/>
        <v>56.303606442577035</v>
      </c>
      <c r="AX195" s="10">
        <f t="shared" si="75"/>
        <v>0</v>
      </c>
      <c r="AY195" s="10">
        <f>AF195/'CY Defensive Stats Query'!$AF$34
*R195</f>
        <v>0</v>
      </c>
      <c r="AZ195" s="10">
        <f t="shared" si="76"/>
        <v>0</v>
      </c>
      <c r="BA195" s="16">
        <f t="shared" si="77"/>
        <v>0</v>
      </c>
      <c r="BB195" s="16">
        <f t="shared" si="78"/>
        <v>0</v>
      </c>
      <c r="BC195" s="10">
        <f t="shared" si="79"/>
        <v>0</v>
      </c>
      <c r="BD195" s="10">
        <f>IF(B195="QB",COUNTIFS($B$5:B195,B195,$J$5:J195,J195),1)</f>
        <v>1</v>
      </c>
      <c r="BE195" t="str">
        <f t="shared" si="80"/>
        <v>Noah Togiai</v>
      </c>
      <c r="BF195">
        <f t="shared" si="81"/>
        <v>4000</v>
      </c>
      <c r="BG195" t="str">
        <f t="shared" si="82"/>
        <v>TE</v>
      </c>
      <c r="BH195" s="16">
        <f t="shared" si="83"/>
        <v>0</v>
      </c>
    </row>
    <row r="196" spans="1:60" hidden="1" x14ac:dyDescent="0.2">
      <c r="A196" t="s">
        <v>3023</v>
      </c>
      <c r="B196" t="s">
        <v>88</v>
      </c>
      <c r="C196" t="s">
        <v>2577</v>
      </c>
      <c r="D196" t="s">
        <v>2405</v>
      </c>
      <c r="E196" t="s">
        <v>3024</v>
      </c>
      <c r="F196">
        <v>0</v>
      </c>
      <c r="G196">
        <v>1</v>
      </c>
      <c r="H196">
        <v>4000</v>
      </c>
      <c r="I196" t="s">
        <v>2720</v>
      </c>
      <c r="J196" t="s">
        <v>102</v>
      </c>
      <c r="K196" t="s">
        <v>728</v>
      </c>
      <c r="L196" t="s">
        <v>182</v>
      </c>
      <c r="M196" t="s">
        <v>176</v>
      </c>
      <c r="O196" t="str">
        <f t="shared" si="64"/>
        <v>Jack Driscoll</v>
      </c>
      <c r="P196" t="str">
        <f>IFERROR(VLOOKUP(O:O,'Name Bridge'!A:B,2,FALSE),O:O)</f>
        <v>Jack Driscoll</v>
      </c>
      <c r="Q196" s="10">
        <f>VLOOKUP($K196,'CY Defensive Stats Query'!$AC:$AH,2,FALSE)</f>
        <v>7.0486111111111107</v>
      </c>
      <c r="R196" s="10">
        <f>VLOOKUP($K196,'CY Defensive Stats Query'!$AC:$AH,4,FALSE)</f>
        <v>3.0806451612903225</v>
      </c>
      <c r="S196" s="10">
        <f>VLOOKUP($K196,'CY Defensive Stats Query'!$AC:$AH,6,FALSE)</f>
        <v>9.759615384615385</v>
      </c>
      <c r="T196" s="10">
        <f>IFERROR(VLOOKUP($P196,'CYPassing Query'!$B:$AE,9,FALSE)/VLOOKUP($P196,'CYPassing Query'!$B:$AE,5,FALSE),0)</f>
        <v>0</v>
      </c>
      <c r="U196" s="10">
        <f>IFERROR(VLOOKUP($P196,'CYPassing Query'!$B:$AE,11,FALSE)/VLOOKUP($P196,'CYPassing Query'!$B:$AE,5,FALSE),0)</f>
        <v>0</v>
      </c>
      <c r="V196" s="10">
        <f>IFERROR(VLOOKUP($P196,'CYPassing Query'!$B:$AE,18,FALSE),0)</f>
        <v>0</v>
      </c>
      <c r="W196" s="10">
        <f>IFERROR(VLOOKUP($P196,'CYPassing Query'!$B:$AE,12,FALSE)/VLOOKUP($P196,'CYPassing Query'!$B:$AE,5,FALSE),0)</f>
        <v>0</v>
      </c>
      <c r="X196" s="10">
        <f>IFERROR(IF(OR($B196="D",$B196="K"),0,VLOOKUP($P196,'CY Receving Query'!$B:$S,7,FALSE)/VLOOKUP($P196,'CY Receving Query'!$B:$S,5,FALSE)),0)*$AJ196</f>
        <v>0</v>
      </c>
      <c r="Y196" s="10">
        <f>IFERROR(VLOOKUP($P196,'CY Receving Query'!$B:$S,8,FALSE)/VLOOKUP($P196,'CY Receving Query'!$B:$S,5,FALSE),0)</f>
        <v>0</v>
      </c>
      <c r="Z196" s="10">
        <f>IFERROR(VLOOKUP($P196,'CY Receving Query'!$B:$S,10,FALSE)/VLOOKUP($P196,'CY Receving Query'!$B:$S,5,FALSE),0)</f>
        <v>0</v>
      </c>
      <c r="AA196" s="10">
        <f>IFERROR(VLOOKUP($P196,'CY Receving Query'!$B:$S,11,FALSE),0)</f>
        <v>0</v>
      </c>
      <c r="AB196" s="10">
        <f>IFERROR(AVERAGE(VLOOKUP($P196,'PY Receiving'!$C:$T,14,FALSE),VLOOKUP($P196,'CY Receiving'!$C:$T,14,FALSE)),0)</f>
        <v>0</v>
      </c>
      <c r="AC196" s="10">
        <f>IFERROR(VLOOKUP($P196,'CY Receving Query'!$B:$S,11,FALSE)/VLOOKUP($P196,'CY Receving Query'!$B:$S,5,FALSE),0)</f>
        <v>0</v>
      </c>
      <c r="AD196" s="10">
        <f>IFERROR(VLOOKUP($P196,'CY Rushing Query'!$B:$O,7,FALSE)/VLOOKUP($P196,'CY Rushing Query'!$B:$O,5,FALSE),0)</f>
        <v>0</v>
      </c>
      <c r="AE196" s="10">
        <f>IFERROR(AVERAGE(VLOOKUP($P196,'PY Rushing'!$C:$P,8,FALSE)/VLOOKUP($P196,'PY Rushing'!$C:$P,5,FALSE),VLOOKUP($P196,'CY Rushing'!$C:$P,8,FALSE)/VLOOKUP($P196,'CY Rushing'!$C:$P,5,FALSE)),0)</f>
        <v>0</v>
      </c>
      <c r="AF196" s="10">
        <f>IFERROR(VLOOKUP($P196,'CY Rushing Query'!$B:$P,12,FALSE),0)</f>
        <v>0</v>
      </c>
      <c r="AG196" s="10">
        <f>IFERROR(VLOOKUP($P196,'CY Rushing Query'!$B:$P,9,FALSE)/VLOOKUP($P196,'CY Rushing Query'!$B:$P,5,FALSE),0)</f>
        <v>0</v>
      </c>
      <c r="AH196" s="10">
        <f>VLOOKUP($J196,'Vegas Odds'!$B:$S,18,FALSE)</f>
        <v>44.85966247691475</v>
      </c>
      <c r="AI196" s="10">
        <f>VLOOKUP($J196,'Vegas Odds'!$B:$S,17,FALSE)</f>
        <v>17.740337523085255</v>
      </c>
      <c r="AJ196">
        <f t="shared" si="60"/>
        <v>0</v>
      </c>
      <c r="AK196" s="10">
        <f t="shared" si="65"/>
        <v>0</v>
      </c>
      <c r="AL196" s="10">
        <f t="shared" si="66"/>
        <v>0</v>
      </c>
      <c r="AM196" s="10">
        <f>V196/'CY Defensive Stats Query'!$AD$34*'Fanduel Export'!Q196</f>
        <v>0</v>
      </c>
      <c r="AN196" s="10">
        <f t="shared" si="67"/>
        <v>0</v>
      </c>
      <c r="AO196" s="10">
        <f>IFERROR(IF(OR($B196="D",$B196="K"),0,VLOOKUP($P196,'CY Receving Query'!$B:$S,7,FALSE)/VLOOKUP($P196,'CY Receving Query'!$B:$S,5,FALSE)),0)*$AJ196</f>
        <v>0</v>
      </c>
      <c r="AP196" s="10">
        <f t="shared" si="68"/>
        <v>28.54982492997199</v>
      </c>
      <c r="AQ196" s="10">
        <f t="shared" si="69"/>
        <v>0</v>
      </c>
      <c r="AR196" s="16">
        <f t="shared" si="70"/>
        <v>0</v>
      </c>
      <c r="AS196" s="16">
        <f t="shared" si="71"/>
        <v>0</v>
      </c>
      <c r="AT196" s="16">
        <f>AA196/'CY Defensive Stats Query'!$AH$34
*'Fanduel Export'!S196</f>
        <v>0</v>
      </c>
      <c r="AU196" s="10">
        <f t="shared" si="72"/>
        <v>0</v>
      </c>
      <c r="AV196" s="10">
        <f t="shared" si="73"/>
        <v>0</v>
      </c>
      <c r="AW196" s="10">
        <f t="shared" si="74"/>
        <v>56.303606442577035</v>
      </c>
      <c r="AX196" s="10">
        <f t="shared" si="75"/>
        <v>0</v>
      </c>
      <c r="AY196" s="10">
        <f>AF196/'CY Defensive Stats Query'!$AF$34
*R196</f>
        <v>0</v>
      </c>
      <c r="AZ196" s="10">
        <f t="shared" si="76"/>
        <v>0</v>
      </c>
      <c r="BA196" s="16">
        <f t="shared" si="77"/>
        <v>0</v>
      </c>
      <c r="BB196" s="16">
        <f t="shared" si="78"/>
        <v>0</v>
      </c>
      <c r="BC196" s="10">
        <f t="shared" si="79"/>
        <v>0</v>
      </c>
      <c r="BD196" s="10">
        <f>IF(B196="QB",COUNTIFS($B$5:B196,B196,$J$5:J196,J196),1)</f>
        <v>1</v>
      </c>
      <c r="BE196" t="str">
        <f t="shared" si="80"/>
        <v>Jack Driscoll</v>
      </c>
      <c r="BF196">
        <f t="shared" si="81"/>
        <v>4000</v>
      </c>
      <c r="BG196" t="str">
        <f t="shared" si="82"/>
        <v>TE</v>
      </c>
      <c r="BH196" s="16">
        <f t="shared" si="83"/>
        <v>0</v>
      </c>
    </row>
    <row r="197" spans="1:60" hidden="1" x14ac:dyDescent="0.2">
      <c r="A197" t="s">
        <v>3025</v>
      </c>
      <c r="B197" t="s">
        <v>88</v>
      </c>
      <c r="C197" t="s">
        <v>3026</v>
      </c>
      <c r="D197" t="s">
        <v>2578</v>
      </c>
      <c r="E197" t="s">
        <v>2249</v>
      </c>
      <c r="F197">
        <v>3.2333332697550401</v>
      </c>
      <c r="G197">
        <v>3</v>
      </c>
      <c r="H197">
        <v>4000</v>
      </c>
      <c r="I197" t="s">
        <v>2720</v>
      </c>
      <c r="J197" t="s">
        <v>102</v>
      </c>
      <c r="K197" t="s">
        <v>728</v>
      </c>
      <c r="L197" t="s">
        <v>182</v>
      </c>
      <c r="M197" t="s">
        <v>2226</v>
      </c>
      <c r="O197" t="str">
        <f t="shared" si="64"/>
        <v>Tyree Jackson</v>
      </c>
      <c r="P197" t="str">
        <f>IFERROR(VLOOKUP(O:O,'Name Bridge'!A:B,2,FALSE),O:O)</f>
        <v>Tyree Jackson</v>
      </c>
      <c r="Q197" s="10">
        <f>VLOOKUP($K197,'CY Defensive Stats Query'!$AC:$AH,2,FALSE)</f>
        <v>7.0486111111111107</v>
      </c>
      <c r="R197" s="10">
        <f>VLOOKUP($K197,'CY Defensive Stats Query'!$AC:$AH,4,FALSE)</f>
        <v>3.0806451612903225</v>
      </c>
      <c r="S197" s="10">
        <f>VLOOKUP($K197,'CY Defensive Stats Query'!$AC:$AH,6,FALSE)</f>
        <v>9.759615384615385</v>
      </c>
      <c r="T197" s="10">
        <f>IFERROR(VLOOKUP($P197,'CYPassing Query'!$B:$AE,9,FALSE)/VLOOKUP($P197,'CYPassing Query'!$B:$AE,5,FALSE),0)</f>
        <v>0</v>
      </c>
      <c r="U197" s="10">
        <f>IFERROR(VLOOKUP($P197,'CYPassing Query'!$B:$AE,11,FALSE)/VLOOKUP($P197,'CYPassing Query'!$B:$AE,5,FALSE),0)</f>
        <v>0</v>
      </c>
      <c r="V197" s="10">
        <f>IFERROR(VLOOKUP($P197,'CYPassing Query'!$B:$AE,18,FALSE),0)</f>
        <v>0</v>
      </c>
      <c r="W197" s="10">
        <f>IFERROR(VLOOKUP($P197,'CYPassing Query'!$B:$AE,12,FALSE)/VLOOKUP($P197,'CYPassing Query'!$B:$AE,5,FALSE),0)</f>
        <v>0</v>
      </c>
      <c r="X197" s="10">
        <f>IFERROR(IF(OR($B197="D",$B197="K"),0,VLOOKUP($P197,'CY Receving Query'!$B:$S,7,FALSE)/VLOOKUP($P197,'CY Receving Query'!$B:$S,5,FALSE)),0)*$AJ197</f>
        <v>0</v>
      </c>
      <c r="Y197" s="10">
        <f>IFERROR(VLOOKUP($P197,'CY Receving Query'!$B:$S,8,FALSE)/VLOOKUP($P197,'CY Receving Query'!$B:$S,5,FALSE),0)</f>
        <v>0.33333333333333331</v>
      </c>
      <c r="Z197" s="10">
        <f>IFERROR(VLOOKUP($P197,'CY Receving Query'!$B:$S,10,FALSE)/VLOOKUP($P197,'CY Receving Query'!$B:$S,5,FALSE),0)</f>
        <v>2.4444444444444446</v>
      </c>
      <c r="AA197" s="10">
        <f>IFERROR(VLOOKUP($P197,'CY Receving Query'!$B:$S,11,FALSE),0)</f>
        <v>7.3</v>
      </c>
      <c r="AB197" s="10">
        <f>IFERROR(AVERAGE(VLOOKUP($P197,'PY Receiving'!$C:$T,14,FALSE),VLOOKUP($P197,'CY Receiving'!$C:$T,14,FALSE)),0)</f>
        <v>0</v>
      </c>
      <c r="AC197" s="10">
        <f>IFERROR(VLOOKUP($P197,'CY Receving Query'!$B:$S,11,FALSE)/VLOOKUP($P197,'CY Receving Query'!$B:$S,5,FALSE),0)</f>
        <v>0.81111111111111112</v>
      </c>
      <c r="AD197" s="10">
        <f>IFERROR(VLOOKUP($P197,'CY Rushing Query'!$B:$O,7,FALSE)/VLOOKUP($P197,'CY Rushing Query'!$B:$O,5,FALSE),0)</f>
        <v>0</v>
      </c>
      <c r="AE197" s="10">
        <f>IFERROR(AVERAGE(VLOOKUP($P197,'PY Rushing'!$C:$P,8,FALSE)/VLOOKUP($P197,'PY Rushing'!$C:$P,5,FALSE),VLOOKUP($P197,'CY Rushing'!$C:$P,8,FALSE)/VLOOKUP($P197,'CY Rushing'!$C:$P,5,FALSE)),0)</f>
        <v>0</v>
      </c>
      <c r="AF197" s="10">
        <f>IFERROR(VLOOKUP($P197,'CY Rushing Query'!$B:$P,12,FALSE),0)</f>
        <v>0</v>
      </c>
      <c r="AG197" s="10">
        <f>IFERROR(VLOOKUP($P197,'CY Rushing Query'!$B:$P,9,FALSE)/VLOOKUP($P197,'CY Rushing Query'!$B:$P,5,FALSE),0)</f>
        <v>0</v>
      </c>
      <c r="AH197" s="10">
        <f>VLOOKUP($J197,'Vegas Odds'!$B:$S,18,FALSE)</f>
        <v>44.85966247691475</v>
      </c>
      <c r="AI197" s="10">
        <f>VLOOKUP($J197,'Vegas Odds'!$B:$S,17,FALSE)</f>
        <v>17.740337523085255</v>
      </c>
      <c r="AJ197">
        <f t="shared" si="60"/>
        <v>0</v>
      </c>
      <c r="AK197" s="10">
        <f t="shared" si="65"/>
        <v>0</v>
      </c>
      <c r="AL197" s="10">
        <f t="shared" si="66"/>
        <v>0</v>
      </c>
      <c r="AM197" s="10">
        <f>V197/'CY Defensive Stats Query'!$AD$34*'Fanduel Export'!Q197</f>
        <v>0</v>
      </c>
      <c r="AN197" s="10">
        <f t="shared" si="67"/>
        <v>0</v>
      </c>
      <c r="AO197" s="10">
        <f>IFERROR(IF(OR($B197="D",$B197="K"),0,VLOOKUP($P197,'CY Receving Query'!$B:$S,7,FALSE)/VLOOKUP($P197,'CY Receving Query'!$B:$S,5,FALSE)),0)*$AJ197</f>
        <v>0</v>
      </c>
      <c r="AP197" s="10">
        <f t="shared" si="68"/>
        <v>28.54982492997199</v>
      </c>
      <c r="AQ197" s="10">
        <f t="shared" si="69"/>
        <v>0</v>
      </c>
      <c r="AR197" s="16">
        <f t="shared" si="70"/>
        <v>0</v>
      </c>
      <c r="AS197" s="16">
        <f t="shared" si="71"/>
        <v>0</v>
      </c>
      <c r="AT197" s="16">
        <f>AA197/'CY Defensive Stats Query'!$AH$34
*'Fanduel Export'!S197</f>
        <v>6.7762620908357167</v>
      </c>
      <c r="AU197" s="10">
        <f t="shared" si="72"/>
        <v>0</v>
      </c>
      <c r="AV197" s="10">
        <f t="shared" si="73"/>
        <v>0</v>
      </c>
      <c r="AW197" s="10">
        <f t="shared" si="74"/>
        <v>56.303606442577035</v>
      </c>
      <c r="AX197" s="10">
        <f t="shared" si="75"/>
        <v>0</v>
      </c>
      <c r="AY197" s="10">
        <f>AF197/'CY Defensive Stats Query'!$AF$34
*R197</f>
        <v>0</v>
      </c>
      <c r="AZ197" s="10">
        <f t="shared" si="76"/>
        <v>0</v>
      </c>
      <c r="BA197" s="16">
        <f t="shared" si="77"/>
        <v>0</v>
      </c>
      <c r="BB197" s="16">
        <f t="shared" si="78"/>
        <v>0</v>
      </c>
      <c r="BC197" s="10">
        <f t="shared" si="79"/>
        <v>0</v>
      </c>
      <c r="BD197" s="10">
        <f>IF(B197="QB",COUNTIFS($B$5:B197,B197,$J$5:J197,J197),1)</f>
        <v>1</v>
      </c>
      <c r="BE197" t="str">
        <f t="shared" si="80"/>
        <v>Tyree Jackson</v>
      </c>
      <c r="BF197">
        <f t="shared" si="81"/>
        <v>4000</v>
      </c>
      <c r="BG197" t="str">
        <f t="shared" si="82"/>
        <v>TE</v>
      </c>
      <c r="BH197" s="16">
        <f t="shared" si="83"/>
        <v>0</v>
      </c>
    </row>
    <row r="198" spans="1:60" x14ac:dyDescent="0.2">
      <c r="A198" t="s">
        <v>3027</v>
      </c>
      <c r="B198" t="s">
        <v>88</v>
      </c>
      <c r="C198" t="s">
        <v>2206</v>
      </c>
      <c r="D198" t="s">
        <v>2475</v>
      </c>
      <c r="E198" t="s">
        <v>3028</v>
      </c>
      <c r="H198">
        <v>4000</v>
      </c>
      <c r="I198" t="s">
        <v>2718</v>
      </c>
      <c r="J198" t="s">
        <v>729</v>
      </c>
      <c r="K198" t="s">
        <v>138</v>
      </c>
      <c r="O198" t="str">
        <f t="shared" si="64"/>
        <v>Nick Ralston</v>
      </c>
      <c r="P198" t="str">
        <f>IFERROR(VLOOKUP(O:O,'Name Bridge'!A:B,2,FALSE),O:O)</f>
        <v>Nick Ralston</v>
      </c>
      <c r="Q198" s="10">
        <f>VLOOKUP($K198,'CY Defensive Stats Query'!$AC:$AH,2,FALSE)</f>
        <v>6.5263157894736841</v>
      </c>
      <c r="R198" s="10">
        <f>VLOOKUP($K198,'CY Defensive Stats Query'!$AC:$AH,4,FALSE)</f>
        <v>4.7051282051282053</v>
      </c>
      <c r="S198" s="10">
        <f>VLOOKUP($K198,'CY Defensive Stats Query'!$AC:$AH,6,FALSE)</f>
        <v>10.191780821917808</v>
      </c>
      <c r="T198" s="10">
        <f>IFERROR(VLOOKUP($P198,'CYPassing Query'!$B:$AE,9,FALSE)/VLOOKUP($P198,'CYPassing Query'!$B:$AE,5,FALSE),0)</f>
        <v>0</v>
      </c>
      <c r="U198" s="10">
        <f>IFERROR(VLOOKUP($P198,'CYPassing Query'!$B:$AE,11,FALSE)/VLOOKUP($P198,'CYPassing Query'!$B:$AE,5,FALSE),0)</f>
        <v>0</v>
      </c>
      <c r="V198" s="10">
        <f>IFERROR(VLOOKUP($P198,'CYPassing Query'!$B:$AE,18,FALSE),0)</f>
        <v>0</v>
      </c>
      <c r="W198" s="10">
        <f>IFERROR(VLOOKUP($P198,'CYPassing Query'!$B:$AE,12,FALSE)/VLOOKUP($P198,'CYPassing Query'!$B:$AE,5,FALSE),0)</f>
        <v>0</v>
      </c>
      <c r="X198" s="10">
        <f>IFERROR(IF(OR($B198="D",$B198="K"),0,VLOOKUP($P198,'CY Receving Query'!$B:$S,7,FALSE)/VLOOKUP($P198,'CY Receving Query'!$B:$S,5,FALSE)),0)*$AJ198</f>
        <v>0</v>
      </c>
      <c r="Y198" s="10">
        <f>IFERROR(VLOOKUP($P198,'CY Receving Query'!$B:$S,8,FALSE)/VLOOKUP($P198,'CY Receving Query'!$B:$S,5,FALSE),0)</f>
        <v>0</v>
      </c>
      <c r="Z198" s="10">
        <f>IFERROR(VLOOKUP($P198,'CY Receving Query'!$B:$S,10,FALSE)/VLOOKUP($P198,'CY Receving Query'!$B:$S,5,FALSE),0)</f>
        <v>0</v>
      </c>
      <c r="AA198" s="10">
        <f>IFERROR(VLOOKUP($P198,'CY Receving Query'!$B:$S,11,FALSE),0)</f>
        <v>0</v>
      </c>
      <c r="AB198" s="10">
        <f>IFERROR(AVERAGE(VLOOKUP($P198,'PY Receiving'!$C:$T,14,FALSE),VLOOKUP($P198,'CY Receiving'!$C:$T,14,FALSE)),0)</f>
        <v>0</v>
      </c>
      <c r="AC198" s="10">
        <f>IFERROR(VLOOKUP($P198,'CY Receving Query'!$B:$S,11,FALSE)/VLOOKUP($P198,'CY Receving Query'!$B:$S,5,FALSE),0)</f>
        <v>0</v>
      </c>
      <c r="AD198" s="10">
        <f>IFERROR(VLOOKUP($P198,'CY Rushing Query'!$B:$O,7,FALSE)/VLOOKUP($P198,'CY Rushing Query'!$B:$O,5,FALSE),0)</f>
        <v>0</v>
      </c>
      <c r="AE198" s="10">
        <f>IFERROR(AVERAGE(VLOOKUP($P198,'PY Rushing'!$C:$P,8,FALSE)/VLOOKUP($P198,'PY Rushing'!$C:$P,5,FALSE),VLOOKUP($P198,'CY Rushing'!$C:$P,8,FALSE)/VLOOKUP($P198,'CY Rushing'!$C:$P,5,FALSE)),0)</f>
        <v>0</v>
      </c>
      <c r="AF198" s="10">
        <f>IFERROR(VLOOKUP($P198,'CY Rushing Query'!$B:$P,12,FALSE),0)</f>
        <v>0</v>
      </c>
      <c r="AG198" s="10">
        <f>IFERROR(VLOOKUP($P198,'CY Rushing Query'!$B:$P,9,FALSE)/VLOOKUP($P198,'CY Rushing Query'!$B:$P,5,FALSE),0)</f>
        <v>0</v>
      </c>
      <c r="AH198" s="10">
        <f>VLOOKUP($J198,'Vegas Odds'!$B:$S,18,FALSE)</f>
        <v>38.06292701199007</v>
      </c>
      <c r="AI198" s="10">
        <f>VLOOKUP($J198,'Vegas Odds'!$B:$S,17,FALSE)</f>
        <v>29.237072988009928</v>
      </c>
      <c r="AJ198">
        <f t="shared" ref="AJ198:AJ206" si="84">IF(AND(H198&gt;=4000,OR(L198="Q",L198=""),BD198=1),1,0)</f>
        <v>1</v>
      </c>
      <c r="AK198" s="10">
        <f t="shared" si="65"/>
        <v>0</v>
      </c>
      <c r="AL198" s="10">
        <f t="shared" si="66"/>
        <v>0</v>
      </c>
      <c r="AM198" s="10">
        <f>V198/'CY Defensive Stats Query'!$AD$34*'Fanduel Export'!Q198</f>
        <v>0</v>
      </c>
      <c r="AN198" s="10">
        <f t="shared" si="67"/>
        <v>0</v>
      </c>
      <c r="AO198" s="10">
        <f>IFERROR(IF(OR($B198="D",$B198="K"),0,VLOOKUP($P198,'CY Receving Query'!$B:$S,7,FALSE)/VLOOKUP($P198,'CY Receving Query'!$B:$S,5,FALSE)),0)*$AJ198</f>
        <v>0</v>
      </c>
      <c r="AP198" s="10">
        <f t="shared" si="68"/>
        <v>30.199512497306614</v>
      </c>
      <c r="AQ198" s="10">
        <f t="shared" si="69"/>
        <v>0</v>
      </c>
      <c r="AR198" s="16">
        <f t="shared" si="70"/>
        <v>0</v>
      </c>
      <c r="AS198" s="16">
        <f t="shared" si="71"/>
        <v>0</v>
      </c>
      <c r="AT198" s="16">
        <f>AA198/'CY Defensive Stats Query'!$AH$34
*'Fanduel Export'!S198</f>
        <v>0</v>
      </c>
      <c r="AU198" s="10">
        <f t="shared" si="72"/>
        <v>0</v>
      </c>
      <c r="AV198" s="10">
        <f t="shared" si="73"/>
        <v>0</v>
      </c>
      <c r="AW198" s="10">
        <f t="shared" si="74"/>
        <v>30.007352941176471</v>
      </c>
      <c r="AX198" s="10">
        <f t="shared" si="75"/>
        <v>0</v>
      </c>
      <c r="AY198" s="10">
        <f>AF198/'CY Defensive Stats Query'!$AF$34
*R198</f>
        <v>0</v>
      </c>
      <c r="AZ198" s="10">
        <f t="shared" si="76"/>
        <v>0</v>
      </c>
      <c r="BA198" s="16">
        <f t="shared" si="77"/>
        <v>0</v>
      </c>
      <c r="BB198" s="16">
        <f t="shared" si="78"/>
        <v>0</v>
      </c>
      <c r="BC198" s="10">
        <f t="shared" si="79"/>
        <v>0</v>
      </c>
      <c r="BD198" s="10">
        <f>IF(B198="QB",COUNTIFS($B$5:B198,B198,$J$5:J198,J198),1)</f>
        <v>1</v>
      </c>
      <c r="BE198" t="str">
        <f t="shared" si="80"/>
        <v>Nick Ralston</v>
      </c>
      <c r="BF198">
        <f t="shared" si="81"/>
        <v>4000</v>
      </c>
      <c r="BG198" t="str">
        <f t="shared" si="82"/>
        <v>TE</v>
      </c>
      <c r="BH198" s="16">
        <f t="shared" si="83"/>
        <v>0</v>
      </c>
    </row>
    <row r="199" spans="1:60" x14ac:dyDescent="0.2">
      <c r="A199" t="s">
        <v>3029</v>
      </c>
      <c r="B199" t="s">
        <v>88</v>
      </c>
      <c r="C199" t="s">
        <v>2228</v>
      </c>
      <c r="D199" t="s">
        <v>686</v>
      </c>
      <c r="E199" t="s">
        <v>2583</v>
      </c>
      <c r="F199">
        <v>0.34999999403953502</v>
      </c>
      <c r="G199">
        <v>2</v>
      </c>
      <c r="H199">
        <v>4000</v>
      </c>
      <c r="I199" t="s">
        <v>2716</v>
      </c>
      <c r="J199" t="s">
        <v>99</v>
      </c>
      <c r="K199" t="s">
        <v>81</v>
      </c>
      <c r="O199" t="str">
        <f t="shared" si="64"/>
        <v>Marcus Baugh</v>
      </c>
      <c r="P199" t="str">
        <f>IFERROR(VLOOKUP(O:O,'Name Bridge'!A:B,2,FALSE),O:O)</f>
        <v>Marcus Baugh</v>
      </c>
      <c r="Q199" s="10">
        <f>VLOOKUP($K199,'CY Defensive Stats Query'!$AC:$AH,2,FALSE)</f>
        <v>8.7934782608695645</v>
      </c>
      <c r="R199" s="10">
        <f>VLOOKUP($K199,'CY Defensive Stats Query'!$AC:$AH,4,FALSE)</f>
        <v>5.404494382022472</v>
      </c>
      <c r="S199" s="10">
        <f>VLOOKUP($K199,'CY Defensive Stats Query'!$AC:$AH,6,FALSE)</f>
        <v>12.446153846153846</v>
      </c>
      <c r="T199" s="10">
        <f>IFERROR(VLOOKUP($P199,'CYPassing Query'!$B:$AE,9,FALSE)/VLOOKUP($P199,'CYPassing Query'!$B:$AE,5,FALSE),0)</f>
        <v>0</v>
      </c>
      <c r="U199" s="10">
        <f>IFERROR(VLOOKUP($P199,'CYPassing Query'!$B:$AE,11,FALSE)/VLOOKUP($P199,'CYPassing Query'!$B:$AE,5,FALSE),0)</f>
        <v>0</v>
      </c>
      <c r="V199" s="10">
        <f>IFERROR(VLOOKUP($P199,'CYPassing Query'!$B:$AE,18,FALSE),0)</f>
        <v>0</v>
      </c>
      <c r="W199" s="10">
        <f>IFERROR(VLOOKUP($P199,'CYPassing Query'!$B:$AE,12,FALSE)/VLOOKUP($P199,'CYPassing Query'!$B:$AE,5,FALSE),0)</f>
        <v>0</v>
      </c>
      <c r="X199" s="10">
        <f>IFERROR(IF(OR($B199="D",$B199="K"),0,VLOOKUP($P199,'CY Receving Query'!$B:$S,7,FALSE)/VLOOKUP($P199,'CY Receving Query'!$B:$S,5,FALSE)),0)*$AJ199</f>
        <v>0</v>
      </c>
      <c r="Y199" s="10">
        <f>IFERROR(VLOOKUP($P199,'CY Receving Query'!$B:$S,8,FALSE)/VLOOKUP($P199,'CY Receving Query'!$B:$S,5,FALSE),0)</f>
        <v>0</v>
      </c>
      <c r="Z199" s="10">
        <f>IFERROR(VLOOKUP($P199,'CY Receving Query'!$B:$S,10,FALSE)/VLOOKUP($P199,'CY Receving Query'!$B:$S,5,FALSE),0)</f>
        <v>0</v>
      </c>
      <c r="AA199" s="10">
        <f>IFERROR(VLOOKUP($P199,'CY Receving Query'!$B:$S,11,FALSE),0)</f>
        <v>0</v>
      </c>
      <c r="AB199" s="10">
        <f>IFERROR(AVERAGE(VLOOKUP($P199,'PY Receiving'!$C:$T,14,FALSE),VLOOKUP($P199,'CY Receiving'!$C:$T,14,FALSE)),0)</f>
        <v>0</v>
      </c>
      <c r="AC199" s="10">
        <f>IFERROR(VLOOKUP($P199,'CY Receving Query'!$B:$S,11,FALSE)/VLOOKUP($P199,'CY Receving Query'!$B:$S,5,FALSE),0)</f>
        <v>0</v>
      </c>
      <c r="AD199" s="10">
        <f>IFERROR(VLOOKUP($P199,'CY Rushing Query'!$B:$O,7,FALSE)/VLOOKUP($P199,'CY Rushing Query'!$B:$O,5,FALSE),0)</f>
        <v>0</v>
      </c>
      <c r="AE199" s="10">
        <f>IFERROR(AVERAGE(VLOOKUP($P199,'PY Rushing'!$C:$P,8,FALSE)/VLOOKUP($P199,'PY Rushing'!$C:$P,5,FALSE),VLOOKUP($P199,'CY Rushing'!$C:$P,8,FALSE)/VLOOKUP($P199,'CY Rushing'!$C:$P,5,FALSE)),0)</f>
        <v>0</v>
      </c>
      <c r="AF199" s="10">
        <f>IFERROR(VLOOKUP($P199,'CY Rushing Query'!$B:$P,12,FALSE),0)</f>
        <v>0</v>
      </c>
      <c r="AG199" s="10">
        <f>IFERROR(VLOOKUP($P199,'CY Rushing Query'!$B:$P,9,FALSE)/VLOOKUP($P199,'CY Rushing Query'!$B:$P,5,FALSE),0)</f>
        <v>0</v>
      </c>
      <c r="AH199" s="10">
        <f>VLOOKUP($J199,'Vegas Odds'!$B:$S,18,FALSE)</f>
        <v>40.088640957860363</v>
      </c>
      <c r="AI199" s="10">
        <f>VLOOKUP($J199,'Vegas Odds'!$B:$S,17,FALSE)</f>
        <v>25.511359042139631</v>
      </c>
      <c r="AJ199">
        <f t="shared" si="84"/>
        <v>1</v>
      </c>
      <c r="AK199" s="10">
        <f t="shared" si="65"/>
        <v>0</v>
      </c>
      <c r="AL199" s="10">
        <f t="shared" si="66"/>
        <v>0</v>
      </c>
      <c r="AM199" s="10">
        <f>V199/'CY Defensive Stats Query'!$AD$34*'Fanduel Export'!Q199</f>
        <v>0</v>
      </c>
      <c r="AN199" s="10">
        <f t="shared" si="67"/>
        <v>0</v>
      </c>
      <c r="AO199" s="10">
        <f>IFERROR(IF(OR($B199="D",$B199="K"),0,VLOOKUP($P199,'CY Receving Query'!$B:$S,7,FALSE)/VLOOKUP($P199,'CY Receving Query'!$B:$S,5,FALSE)),0)*$AJ199</f>
        <v>0</v>
      </c>
      <c r="AP199" s="10">
        <f t="shared" si="68"/>
        <v>32.289950980392156</v>
      </c>
      <c r="AQ199" s="10">
        <f t="shared" si="69"/>
        <v>0</v>
      </c>
      <c r="AR199" s="16">
        <f t="shared" si="70"/>
        <v>0</v>
      </c>
      <c r="AS199" s="16">
        <f t="shared" si="71"/>
        <v>0</v>
      </c>
      <c r="AT199" s="16">
        <f>AA199/'CY Defensive Stats Query'!$AH$34
*'Fanduel Export'!S199</f>
        <v>0</v>
      </c>
      <c r="AU199" s="10">
        <f t="shared" si="72"/>
        <v>0</v>
      </c>
      <c r="AV199" s="10">
        <f t="shared" si="73"/>
        <v>0</v>
      </c>
      <c r="AW199" s="10">
        <f t="shared" si="74"/>
        <v>7.4240196078431371</v>
      </c>
      <c r="AX199" s="10">
        <f t="shared" si="75"/>
        <v>0</v>
      </c>
      <c r="AY199" s="10">
        <f>AF199/'CY Defensive Stats Query'!$AF$34
*R199</f>
        <v>0</v>
      </c>
      <c r="AZ199" s="10">
        <f t="shared" si="76"/>
        <v>0</v>
      </c>
      <c r="BA199" s="16">
        <f t="shared" si="77"/>
        <v>0</v>
      </c>
      <c r="BB199" s="16">
        <f t="shared" si="78"/>
        <v>0</v>
      </c>
      <c r="BC199" s="10">
        <f t="shared" si="79"/>
        <v>0</v>
      </c>
      <c r="BD199" s="10">
        <f>IF(B199="QB",COUNTIFS($B$5:B199,B199,$J$5:J199,J199),1)</f>
        <v>1</v>
      </c>
      <c r="BE199" t="str">
        <f t="shared" si="80"/>
        <v>Marcus Baugh</v>
      </c>
      <c r="BF199">
        <f t="shared" si="81"/>
        <v>4000</v>
      </c>
      <c r="BG199" t="str">
        <f t="shared" si="82"/>
        <v>TE</v>
      </c>
      <c r="BH199" s="16">
        <f t="shared" si="83"/>
        <v>0</v>
      </c>
    </row>
    <row r="200" spans="1:60" x14ac:dyDescent="0.2">
      <c r="A200" t="s">
        <v>3030</v>
      </c>
      <c r="B200" t="s">
        <v>88</v>
      </c>
      <c r="C200" t="s">
        <v>2593</v>
      </c>
      <c r="D200" t="s">
        <v>619</v>
      </c>
      <c r="E200" t="s">
        <v>2631</v>
      </c>
      <c r="F200">
        <v>2.1000000635782801</v>
      </c>
      <c r="G200">
        <v>3</v>
      </c>
      <c r="H200">
        <v>4000</v>
      </c>
      <c r="I200" t="s">
        <v>2720</v>
      </c>
      <c r="J200" t="s">
        <v>728</v>
      </c>
      <c r="K200" t="s">
        <v>102</v>
      </c>
      <c r="O200" t="str">
        <f t="shared" si="64"/>
        <v>Darren Fells</v>
      </c>
      <c r="P200" t="str">
        <f>IFERROR(VLOOKUP(O:O,'Name Bridge'!A:B,2,FALSE),O:O)</f>
        <v>Darren Fells</v>
      </c>
      <c r="Q200" s="10">
        <f>VLOOKUP($K200,'CY Defensive Stats Query'!$AC:$AH,2,FALSE)</f>
        <v>5.9890109890109891</v>
      </c>
      <c r="R200" s="10">
        <f>VLOOKUP($K200,'CY Defensive Stats Query'!$AC:$AH,4,FALSE)</f>
        <v>3.8190476190476192</v>
      </c>
      <c r="S200" s="10">
        <f>VLOOKUP($K200,'CY Defensive Stats Query'!$AC:$AH,6,FALSE)</f>
        <v>8.515625</v>
      </c>
      <c r="T200" s="10">
        <f>IFERROR(VLOOKUP($P200,'CYPassing Query'!$B:$AE,9,FALSE)/VLOOKUP($P200,'CYPassing Query'!$B:$AE,5,FALSE),0)</f>
        <v>0</v>
      </c>
      <c r="U200" s="10">
        <f>IFERROR(VLOOKUP($P200,'CYPassing Query'!$B:$AE,11,FALSE)/VLOOKUP($P200,'CYPassing Query'!$B:$AE,5,FALSE),0)</f>
        <v>0</v>
      </c>
      <c r="V200" s="10">
        <f>IFERROR(VLOOKUP($P200,'CYPassing Query'!$B:$AE,18,FALSE),0)</f>
        <v>0</v>
      </c>
      <c r="W200" s="10">
        <f>IFERROR(VLOOKUP($P200,'CYPassing Query'!$B:$AE,12,FALSE)/VLOOKUP($P200,'CYPassing Query'!$B:$AE,5,FALSE),0)</f>
        <v>0</v>
      </c>
      <c r="X200" s="10">
        <f>IFERROR(IF(OR($B200="D",$B200="K"),0,VLOOKUP($P200,'CY Receving Query'!$B:$S,7,FALSE)/VLOOKUP($P200,'CY Receving Query'!$B:$S,5,FALSE)),0)*$AJ200</f>
        <v>0.55555555555555558</v>
      </c>
      <c r="Y200" s="10">
        <f>IFERROR(VLOOKUP($P200,'CY Receving Query'!$B:$S,8,FALSE)/VLOOKUP($P200,'CY Receving Query'!$B:$S,5,FALSE),0)</f>
        <v>0.44444444444444442</v>
      </c>
      <c r="Z200" s="10">
        <f>IFERROR(VLOOKUP($P200,'CY Receving Query'!$B:$S,10,FALSE)/VLOOKUP($P200,'CY Receving Query'!$B:$S,5,FALSE),0)</f>
        <v>4.7777777777777777</v>
      </c>
      <c r="AA200" s="10">
        <f>IFERROR(VLOOKUP($P200,'CY Receving Query'!$B:$S,11,FALSE),0)</f>
        <v>10.8</v>
      </c>
      <c r="AB200" s="10">
        <f>IFERROR(AVERAGE(VLOOKUP($P200,'PY Receiving'!$C:$T,14,FALSE),VLOOKUP($P200,'CY Receiving'!$C:$T,14,FALSE)),0)</f>
        <v>23</v>
      </c>
      <c r="AC200" s="10">
        <f>IFERROR(VLOOKUP($P200,'CY Receving Query'!$B:$S,11,FALSE)/VLOOKUP($P200,'CY Receving Query'!$B:$S,5,FALSE),0)</f>
        <v>1.2000000000000002</v>
      </c>
      <c r="AD200" s="10">
        <f>IFERROR(VLOOKUP($P200,'CY Rushing Query'!$B:$O,7,FALSE)/VLOOKUP($P200,'CY Rushing Query'!$B:$O,5,FALSE),0)</f>
        <v>0</v>
      </c>
      <c r="AE200" s="10">
        <f>IFERROR(VLOOKUP($P200,'CY Rushing'!$C:$P,8,FALSE)/VLOOKUP($P200,'CY Rushing'!$C:$P,5,FALSE),0)</f>
        <v>0</v>
      </c>
      <c r="AF200" s="10">
        <f>IFERROR(VLOOKUP($P200,'CY Rushing Query'!$B:$P,12,FALSE),0)</f>
        <v>0</v>
      </c>
      <c r="AG200" s="10">
        <f>IFERROR(VLOOKUP($P200,'CY Rushing Query'!$B:$P,9,FALSE)/VLOOKUP($P200,'CY Rushing Query'!$B:$P,5,FALSE),0)</f>
        <v>0</v>
      </c>
      <c r="AH200" s="10">
        <f>VLOOKUP($J200,'Vegas Odds'!$B:$S,18,FALSE)</f>
        <v>34.555825588251061</v>
      </c>
      <c r="AI200" s="10">
        <f>VLOOKUP($J200,'Vegas Odds'!$B:$S,17,FALSE)</f>
        <v>27.844174411748938</v>
      </c>
      <c r="AJ200">
        <f t="shared" si="84"/>
        <v>1</v>
      </c>
      <c r="AK200" s="10">
        <f t="shared" si="65"/>
        <v>0</v>
      </c>
      <c r="AL200" s="10">
        <f t="shared" si="66"/>
        <v>0</v>
      </c>
      <c r="AM200" s="10">
        <f>V200/'CY Defensive Stats Query'!$AD$34*'Fanduel Export'!Q200</f>
        <v>0</v>
      </c>
      <c r="AN200" s="10">
        <f t="shared" si="67"/>
        <v>0</v>
      </c>
      <c r="AO200" s="10">
        <f>IFERROR(IF(OR($B200="D",$B200="K"),0,VLOOKUP($P200,'CY Receving Query'!$B:$S,7,FALSE)/VLOOKUP($P200,'CY Receving Query'!$B:$S,5,FALSE)),0)*$AJ200</f>
        <v>0.55555555555555558</v>
      </c>
      <c r="AP200" s="10">
        <f t="shared" si="68"/>
        <v>25.587418300653596</v>
      </c>
      <c r="AQ200" s="10">
        <f t="shared" si="69"/>
        <v>0.75027815064372172</v>
      </c>
      <c r="AR200" s="16">
        <f t="shared" si="70"/>
        <v>0.44444444444444442</v>
      </c>
      <c r="AS200" s="16">
        <f t="shared" si="71"/>
        <v>0.60022252051497738</v>
      </c>
      <c r="AT200" s="16">
        <f>AA200/'CY Defensive Stats Query'!$AH$34
*'Fanduel Export'!S200</f>
        <v>8.7473180151590419</v>
      </c>
      <c r="AU200" s="10">
        <f t="shared" si="72"/>
        <v>5.2503372668048289</v>
      </c>
      <c r="AV200" s="10">
        <f t="shared" si="73"/>
        <v>0</v>
      </c>
      <c r="AW200" s="10">
        <f t="shared" si="74"/>
        <v>12.022058823529411</v>
      </c>
      <c r="AX200" s="10">
        <f t="shared" si="75"/>
        <v>0</v>
      </c>
      <c r="AY200" s="10">
        <f>AF200/'CY Defensive Stats Query'!$AF$34
*R200</f>
        <v>0</v>
      </c>
      <c r="AZ200" s="10">
        <f t="shared" si="76"/>
        <v>0</v>
      </c>
      <c r="BA200" s="16">
        <f t="shared" si="77"/>
        <v>0.74725594890270508</v>
      </c>
      <c r="BB200" s="16">
        <f t="shared" si="78"/>
        <v>0.18681398722567627</v>
      </c>
      <c r="BC200" s="10">
        <f t="shared" si="79"/>
        <v>0.1388888888888889</v>
      </c>
      <c r="BD200" s="10">
        <f>IF(B200="QB",COUNTIFS($B$5:B200,B200,$J$5:J200,J200),1)</f>
        <v>1</v>
      </c>
      <c r="BE200" t="str">
        <f t="shared" si="80"/>
        <v>Darren Fells</v>
      </c>
      <c r="BF200">
        <f t="shared" si="81"/>
        <v>4000</v>
      </c>
      <c r="BG200" t="str">
        <f t="shared" si="82"/>
        <v>TE</v>
      </c>
      <c r="BH200" s="16">
        <f t="shared" si="83"/>
        <v>0.74725594890270508</v>
      </c>
    </row>
    <row r="201" spans="1:60" x14ac:dyDescent="0.2">
      <c r="A201" t="s">
        <v>3031</v>
      </c>
      <c r="B201" t="s">
        <v>88</v>
      </c>
      <c r="C201" t="s">
        <v>2635</v>
      </c>
      <c r="D201" t="s">
        <v>2636</v>
      </c>
      <c r="E201" t="s">
        <v>2270</v>
      </c>
      <c r="F201">
        <v>0</v>
      </c>
      <c r="G201">
        <v>1</v>
      </c>
      <c r="H201">
        <v>4000</v>
      </c>
      <c r="I201" t="s">
        <v>2720</v>
      </c>
      <c r="J201" t="s">
        <v>728</v>
      </c>
      <c r="K201" t="s">
        <v>102</v>
      </c>
      <c r="O201" t="str">
        <f t="shared" si="64"/>
        <v>Jerell Adams</v>
      </c>
      <c r="P201" t="str">
        <f>IFERROR(VLOOKUP(O:O,'Name Bridge'!A:B,2,FALSE),O:O)</f>
        <v>Jerell Adams</v>
      </c>
      <c r="Q201" s="10">
        <f>VLOOKUP($K201,'CY Defensive Stats Query'!$AC:$AH,2,FALSE)</f>
        <v>5.9890109890109891</v>
      </c>
      <c r="R201" s="10">
        <f>VLOOKUP($K201,'CY Defensive Stats Query'!$AC:$AH,4,FALSE)</f>
        <v>3.8190476190476192</v>
      </c>
      <c r="S201" s="10">
        <f>VLOOKUP($K201,'CY Defensive Stats Query'!$AC:$AH,6,FALSE)</f>
        <v>8.515625</v>
      </c>
      <c r="T201" s="10">
        <f>IFERROR(VLOOKUP($P201,'CYPassing Query'!$B:$AE,9,FALSE)/VLOOKUP($P201,'CYPassing Query'!$B:$AE,5,FALSE),0)</f>
        <v>0</v>
      </c>
      <c r="U201" s="10">
        <f>IFERROR(VLOOKUP($P201,'CYPassing Query'!$B:$AE,11,FALSE)/VLOOKUP($P201,'CYPassing Query'!$B:$AE,5,FALSE),0)</f>
        <v>0</v>
      </c>
      <c r="V201" s="10">
        <f>IFERROR(VLOOKUP($P201,'CYPassing Query'!$B:$AE,18,FALSE),0)</f>
        <v>0</v>
      </c>
      <c r="W201" s="10">
        <f>IFERROR(VLOOKUP($P201,'CYPassing Query'!$B:$AE,12,FALSE)/VLOOKUP($P201,'CYPassing Query'!$B:$AE,5,FALSE),0)</f>
        <v>0</v>
      </c>
      <c r="X201" s="10">
        <f>IFERROR(IF(OR($B201="D",$B201="K"),0,VLOOKUP($P201,'CY Receving Query'!$B:$S,7,FALSE)/VLOOKUP($P201,'CY Receving Query'!$B:$S,5,FALSE)),0)*$AJ201</f>
        <v>0</v>
      </c>
      <c r="Y201" s="10">
        <f>IFERROR(VLOOKUP($P201,'CY Receving Query'!$B:$S,8,FALSE)/VLOOKUP($P201,'CY Receving Query'!$B:$S,5,FALSE),0)</f>
        <v>0</v>
      </c>
      <c r="Z201" s="10">
        <f>IFERROR(VLOOKUP($P201,'CY Receving Query'!$B:$S,10,FALSE)/VLOOKUP($P201,'CY Receving Query'!$B:$S,5,FALSE),0)</f>
        <v>0</v>
      </c>
      <c r="AA201" s="10">
        <f>IFERROR(VLOOKUP($P201,'CY Receving Query'!$B:$S,11,FALSE),0)</f>
        <v>0</v>
      </c>
      <c r="AB201" s="10">
        <f>IFERROR(AVERAGE(VLOOKUP($P201,'PY Receiving'!$C:$T,14,FALSE),VLOOKUP($P201,'CY Receiving'!$C:$T,14,FALSE)),0)</f>
        <v>0</v>
      </c>
      <c r="AC201" s="10">
        <f>IFERROR(VLOOKUP($P201,'CY Receving Query'!$B:$S,11,FALSE)/VLOOKUP($P201,'CY Receving Query'!$B:$S,5,FALSE),0)</f>
        <v>0</v>
      </c>
      <c r="AD201" s="10">
        <f>IFERROR(VLOOKUP($P201,'CY Rushing Query'!$B:$O,7,FALSE)/VLOOKUP($P201,'CY Rushing Query'!$B:$O,5,FALSE),0)</f>
        <v>0</v>
      </c>
      <c r="AE201" s="10">
        <f>IFERROR(AVERAGE(VLOOKUP($P201,'PY Rushing'!$C:$P,8,FALSE)/VLOOKUP($P201,'PY Rushing'!$C:$P,5,FALSE),VLOOKUP($P201,'CY Rushing'!$C:$P,8,FALSE)/VLOOKUP($P201,'CY Rushing'!$C:$P,5,FALSE)),0)</f>
        <v>0</v>
      </c>
      <c r="AF201" s="10">
        <f>IFERROR(VLOOKUP($P201,'CY Rushing Query'!$B:$P,12,FALSE),0)</f>
        <v>0</v>
      </c>
      <c r="AG201" s="10">
        <f>IFERROR(VLOOKUP($P201,'CY Rushing Query'!$B:$P,9,FALSE)/VLOOKUP($P201,'CY Rushing Query'!$B:$P,5,FALSE),0)</f>
        <v>0</v>
      </c>
      <c r="AH201" s="10">
        <f>VLOOKUP($J201,'Vegas Odds'!$B:$S,18,FALSE)</f>
        <v>34.555825588251061</v>
      </c>
      <c r="AI201" s="10">
        <f>VLOOKUP($J201,'Vegas Odds'!$B:$S,17,FALSE)</f>
        <v>27.844174411748938</v>
      </c>
      <c r="AJ201">
        <f t="shared" si="84"/>
        <v>1</v>
      </c>
      <c r="AK201" s="10">
        <f t="shared" si="65"/>
        <v>0</v>
      </c>
      <c r="AL201" s="10">
        <f t="shared" si="66"/>
        <v>0</v>
      </c>
      <c r="AM201" s="10">
        <f>V201/'CY Defensive Stats Query'!$AD$34*'Fanduel Export'!Q201</f>
        <v>0</v>
      </c>
      <c r="AN201" s="10">
        <f t="shared" si="67"/>
        <v>0</v>
      </c>
      <c r="AO201" s="10">
        <f>IFERROR(IF(OR($B201="D",$B201="K"),0,VLOOKUP($P201,'CY Receving Query'!$B:$S,7,FALSE)/VLOOKUP($P201,'CY Receving Query'!$B:$S,5,FALSE)),0)*$AJ201</f>
        <v>0</v>
      </c>
      <c r="AP201" s="10">
        <f t="shared" si="68"/>
        <v>25.587418300653596</v>
      </c>
      <c r="AQ201" s="10">
        <f t="shared" si="69"/>
        <v>0</v>
      </c>
      <c r="AR201" s="16">
        <f t="shared" si="70"/>
        <v>0</v>
      </c>
      <c r="AS201" s="16">
        <f t="shared" si="71"/>
        <v>0</v>
      </c>
      <c r="AT201" s="16">
        <f>AA201/'CY Defensive Stats Query'!$AH$34
*'Fanduel Export'!S201</f>
        <v>0</v>
      </c>
      <c r="AU201" s="10">
        <f t="shared" si="72"/>
        <v>0</v>
      </c>
      <c r="AV201" s="10">
        <f t="shared" si="73"/>
        <v>0</v>
      </c>
      <c r="AW201" s="10">
        <f t="shared" si="74"/>
        <v>12.022058823529411</v>
      </c>
      <c r="AX201" s="10">
        <f t="shared" si="75"/>
        <v>0</v>
      </c>
      <c r="AY201" s="10">
        <f>AF201/'CY Defensive Stats Query'!$AF$34
*R201</f>
        <v>0</v>
      </c>
      <c r="AZ201" s="10">
        <f t="shared" si="76"/>
        <v>0</v>
      </c>
      <c r="BA201" s="16">
        <f t="shared" si="77"/>
        <v>0</v>
      </c>
      <c r="BB201" s="16">
        <f t="shared" si="78"/>
        <v>0</v>
      </c>
      <c r="BC201" s="10">
        <f t="shared" si="79"/>
        <v>0</v>
      </c>
      <c r="BD201" s="10">
        <f>IF(B201="QB",COUNTIFS($B$5:B201,B201,$J$5:J201,J201),1)</f>
        <v>1</v>
      </c>
      <c r="BE201" t="str">
        <f t="shared" si="80"/>
        <v>Jerell Adams</v>
      </c>
      <c r="BF201">
        <f t="shared" si="81"/>
        <v>4000</v>
      </c>
      <c r="BG201" t="str">
        <f t="shared" si="82"/>
        <v>TE</v>
      </c>
      <c r="BH201" s="16">
        <f t="shared" si="83"/>
        <v>0</v>
      </c>
    </row>
    <row r="202" spans="1:60" x14ac:dyDescent="0.2">
      <c r="A202" t="s">
        <v>3032</v>
      </c>
      <c r="B202" t="s">
        <v>88</v>
      </c>
      <c r="C202" t="s">
        <v>2509</v>
      </c>
      <c r="D202" t="s">
        <v>2584</v>
      </c>
      <c r="E202" t="s">
        <v>2507</v>
      </c>
      <c r="F202">
        <v>0</v>
      </c>
      <c r="G202">
        <v>1</v>
      </c>
      <c r="H202">
        <v>4000</v>
      </c>
      <c r="I202" t="s">
        <v>2716</v>
      </c>
      <c r="J202" t="s">
        <v>99</v>
      </c>
      <c r="K202" t="s">
        <v>81</v>
      </c>
      <c r="O202" t="str">
        <f t="shared" si="64"/>
        <v>Dax Raymond</v>
      </c>
      <c r="P202" t="str">
        <f>IFERROR(VLOOKUP(O:O,'Name Bridge'!A:B,2,FALSE),O:O)</f>
        <v>Dax Raymond</v>
      </c>
      <c r="Q202" s="10">
        <f>VLOOKUP($K202,'CY Defensive Stats Query'!$AC:$AH,2,FALSE)</f>
        <v>8.7934782608695645</v>
      </c>
      <c r="R202" s="10">
        <f>VLOOKUP($K202,'CY Defensive Stats Query'!$AC:$AH,4,FALSE)</f>
        <v>5.404494382022472</v>
      </c>
      <c r="S202" s="10">
        <f>VLOOKUP($K202,'CY Defensive Stats Query'!$AC:$AH,6,FALSE)</f>
        <v>12.446153846153846</v>
      </c>
      <c r="T202" s="10">
        <f>IFERROR(VLOOKUP($P202,'CYPassing Query'!$B:$AE,9,FALSE)/VLOOKUP($P202,'CYPassing Query'!$B:$AE,5,FALSE),0)</f>
        <v>0</v>
      </c>
      <c r="U202" s="10">
        <f>IFERROR(VLOOKUP($P202,'CYPassing Query'!$B:$AE,11,FALSE)/VLOOKUP($P202,'CYPassing Query'!$B:$AE,5,FALSE),0)</f>
        <v>0</v>
      </c>
      <c r="V202" s="10">
        <f>IFERROR(VLOOKUP($P202,'CYPassing Query'!$B:$AE,18,FALSE),0)</f>
        <v>0</v>
      </c>
      <c r="W202" s="10">
        <f>IFERROR(VLOOKUP($P202,'CYPassing Query'!$B:$AE,12,FALSE)/VLOOKUP($P202,'CYPassing Query'!$B:$AE,5,FALSE),0)</f>
        <v>0</v>
      </c>
      <c r="X202" s="10">
        <f>IFERROR(IF(OR($B202="D",$B202="K"),0,VLOOKUP($P202,'CY Receving Query'!$B:$S,7,FALSE)/VLOOKUP($P202,'CY Receving Query'!$B:$S,5,FALSE)),0)*$AJ202</f>
        <v>0</v>
      </c>
      <c r="Y202" s="10">
        <f>IFERROR(VLOOKUP($P202,'CY Receving Query'!$B:$S,8,FALSE)/VLOOKUP($P202,'CY Receving Query'!$B:$S,5,FALSE),0)</f>
        <v>0</v>
      </c>
      <c r="Z202" s="10">
        <f>IFERROR(VLOOKUP($P202,'CY Receving Query'!$B:$S,10,FALSE)/VLOOKUP($P202,'CY Receving Query'!$B:$S,5,FALSE),0)</f>
        <v>0</v>
      </c>
      <c r="AA202" s="10">
        <f>IFERROR(VLOOKUP($P202,'CY Receving Query'!$B:$S,11,FALSE),0)</f>
        <v>0</v>
      </c>
      <c r="AB202" s="10">
        <f>IFERROR(AVERAGE(VLOOKUP($P202,'PY Receiving'!$C:$T,14,FALSE),VLOOKUP($P202,'CY Receiving'!$C:$T,14,FALSE)),0)</f>
        <v>0</v>
      </c>
      <c r="AC202" s="10">
        <f>IFERROR(VLOOKUP($P202,'CY Receving Query'!$B:$S,11,FALSE)/VLOOKUP($P202,'CY Receving Query'!$B:$S,5,FALSE),0)</f>
        <v>0</v>
      </c>
      <c r="AD202" s="10">
        <f>IFERROR(VLOOKUP($P202,'CY Rushing Query'!$B:$O,7,FALSE)/VLOOKUP($P202,'CY Rushing Query'!$B:$O,5,FALSE),0)</f>
        <v>0</v>
      </c>
      <c r="AE202" s="10">
        <f>IFERROR(AVERAGE(VLOOKUP($P202,'PY Rushing'!$C:$P,8,FALSE)/VLOOKUP($P202,'PY Rushing'!$C:$P,5,FALSE),VLOOKUP($P202,'CY Rushing'!$C:$P,8,FALSE)/VLOOKUP($P202,'CY Rushing'!$C:$P,5,FALSE)),0)</f>
        <v>0</v>
      </c>
      <c r="AF202" s="10">
        <f>IFERROR(VLOOKUP($P202,'CY Rushing Query'!$B:$P,12,FALSE),0)</f>
        <v>0</v>
      </c>
      <c r="AG202" s="10">
        <f>IFERROR(VLOOKUP($P202,'CY Rushing Query'!$B:$P,9,FALSE)/VLOOKUP($P202,'CY Rushing Query'!$B:$P,5,FALSE),0)</f>
        <v>0</v>
      </c>
      <c r="AH202" s="10">
        <f>VLOOKUP($J202,'Vegas Odds'!$B:$S,18,FALSE)</f>
        <v>40.088640957860363</v>
      </c>
      <c r="AI202" s="10">
        <f>VLOOKUP($J202,'Vegas Odds'!$B:$S,17,FALSE)</f>
        <v>25.511359042139631</v>
      </c>
      <c r="AJ202">
        <f t="shared" si="84"/>
        <v>1</v>
      </c>
      <c r="AK202" s="10">
        <f t="shared" si="65"/>
        <v>0</v>
      </c>
      <c r="AL202" s="10">
        <f t="shared" si="66"/>
        <v>0</v>
      </c>
      <c r="AM202" s="10">
        <f>V202/'CY Defensive Stats Query'!$AD$34*'Fanduel Export'!Q202</f>
        <v>0</v>
      </c>
      <c r="AN202" s="10">
        <f t="shared" si="67"/>
        <v>0</v>
      </c>
      <c r="AO202" s="10">
        <f>IFERROR(IF(OR($B202="D",$B202="K"),0,VLOOKUP($P202,'CY Receving Query'!$B:$S,7,FALSE)/VLOOKUP($P202,'CY Receving Query'!$B:$S,5,FALSE)),0)*$AJ202</f>
        <v>0</v>
      </c>
      <c r="AP202" s="10">
        <f t="shared" si="68"/>
        <v>32.289950980392156</v>
      </c>
      <c r="AQ202" s="10">
        <f t="shared" si="69"/>
        <v>0</v>
      </c>
      <c r="AR202" s="16">
        <f t="shared" si="70"/>
        <v>0</v>
      </c>
      <c r="AS202" s="16">
        <f t="shared" si="71"/>
        <v>0</v>
      </c>
      <c r="AT202" s="16">
        <f>AA202/'CY Defensive Stats Query'!$AH$34
*'Fanduel Export'!S202</f>
        <v>0</v>
      </c>
      <c r="AU202" s="10">
        <f t="shared" si="72"/>
        <v>0</v>
      </c>
      <c r="AV202" s="10">
        <f t="shared" si="73"/>
        <v>0</v>
      </c>
      <c r="AW202" s="10">
        <f t="shared" si="74"/>
        <v>7.4240196078431371</v>
      </c>
      <c r="AX202" s="10">
        <f t="shared" si="75"/>
        <v>0</v>
      </c>
      <c r="AY202" s="10">
        <f>AF202/'CY Defensive Stats Query'!$AF$34
*R202</f>
        <v>0</v>
      </c>
      <c r="AZ202" s="10">
        <f t="shared" si="76"/>
        <v>0</v>
      </c>
      <c r="BA202" s="16">
        <f t="shared" si="77"/>
        <v>0</v>
      </c>
      <c r="BB202" s="16">
        <f t="shared" si="78"/>
        <v>0</v>
      </c>
      <c r="BC202" s="10">
        <f t="shared" si="79"/>
        <v>0</v>
      </c>
      <c r="BD202" s="10">
        <f>IF(B202="QB",COUNTIFS($B$5:B202,B202,$J$5:J202,J202),1)</f>
        <v>1</v>
      </c>
      <c r="BE202" t="str">
        <f t="shared" si="80"/>
        <v>Dax Raymond</v>
      </c>
      <c r="BF202">
        <f t="shared" si="81"/>
        <v>4000</v>
      </c>
      <c r="BG202" t="str">
        <f t="shared" si="82"/>
        <v>TE</v>
      </c>
      <c r="BH202" s="16">
        <f t="shared" si="83"/>
        <v>0</v>
      </c>
    </row>
    <row r="203" spans="1:60" hidden="1" x14ac:dyDescent="0.2">
      <c r="A203" t="s">
        <v>3033</v>
      </c>
      <c r="B203" t="s">
        <v>88</v>
      </c>
      <c r="C203" t="s">
        <v>3034</v>
      </c>
      <c r="D203" t="s">
        <v>2489</v>
      </c>
      <c r="E203" t="s">
        <v>3035</v>
      </c>
      <c r="F203">
        <v>4.8000001907348597</v>
      </c>
      <c r="G203">
        <v>4</v>
      </c>
      <c r="H203">
        <v>4000</v>
      </c>
      <c r="I203" t="s">
        <v>2716</v>
      </c>
      <c r="J203" t="s">
        <v>81</v>
      </c>
      <c r="K203" t="s">
        <v>99</v>
      </c>
      <c r="L203" t="s">
        <v>182</v>
      </c>
      <c r="M203" t="s">
        <v>673</v>
      </c>
      <c r="O203" t="str">
        <f t="shared" si="64"/>
        <v>Jody Fortson</v>
      </c>
      <c r="P203" t="str">
        <f>IFERROR(VLOOKUP(O:O,'Name Bridge'!A:B,2,FALSE),O:O)</f>
        <v>Jody Fortson</v>
      </c>
      <c r="Q203" s="10">
        <f>VLOOKUP($K203,'CY Defensive Stats Query'!$AC:$AH,2,FALSE)</f>
        <v>7.5377358490566042</v>
      </c>
      <c r="R203" s="10">
        <f>VLOOKUP($K203,'CY Defensive Stats Query'!$AC:$AH,4,FALSE)</f>
        <v>3.5810810810810811</v>
      </c>
      <c r="S203" s="10">
        <f>VLOOKUP($K203,'CY Defensive Stats Query'!$AC:$AH,6,FALSE)</f>
        <v>11.097222222222221</v>
      </c>
      <c r="T203" s="10">
        <f>IFERROR(VLOOKUP($P203,'CYPassing Query'!$B:$AE,9,FALSE)/VLOOKUP($P203,'CYPassing Query'!$B:$AE,5,FALSE),0)</f>
        <v>0</v>
      </c>
      <c r="U203" s="10">
        <f>IFERROR(VLOOKUP($P203,'CYPassing Query'!$B:$AE,11,FALSE)/VLOOKUP($P203,'CYPassing Query'!$B:$AE,5,FALSE),0)</f>
        <v>0</v>
      </c>
      <c r="V203" s="10">
        <f>IFERROR(VLOOKUP($P203,'CYPassing Query'!$B:$AE,18,FALSE),0)</f>
        <v>0</v>
      </c>
      <c r="W203" s="10">
        <f>IFERROR(VLOOKUP($P203,'CYPassing Query'!$B:$AE,12,FALSE)/VLOOKUP($P203,'CYPassing Query'!$B:$AE,5,FALSE),0)</f>
        <v>0</v>
      </c>
      <c r="X203" s="10">
        <f>IFERROR(IF(OR($B203="D",$B203="K"),0,VLOOKUP($P203,'CY Receving Query'!$B:$S,7,FALSE)/VLOOKUP($P203,'CY Receving Query'!$B:$S,5,FALSE)),0)*$AJ203</f>
        <v>0</v>
      </c>
      <c r="Y203" s="10">
        <f>IFERROR(VLOOKUP($P203,'CY Receving Query'!$B:$S,8,FALSE)/VLOOKUP($P203,'CY Receving Query'!$B:$S,5,FALSE),0)</f>
        <v>0.83333333333333337</v>
      </c>
      <c r="Z203" s="10">
        <f>IFERROR(VLOOKUP($P203,'CY Receving Query'!$B:$S,10,FALSE)/VLOOKUP($P203,'CY Receving Query'!$B:$S,5,FALSE),0)</f>
        <v>7.833333333333333</v>
      </c>
      <c r="AA203" s="10">
        <f>IFERROR(VLOOKUP($P203,'CY Receving Query'!$B:$S,11,FALSE),0)</f>
        <v>9.4</v>
      </c>
      <c r="AB203" s="10">
        <f>IFERROR(AVERAGE(VLOOKUP($P203,'PY Receiving'!$C:$T,14,FALSE),VLOOKUP($P203,'CY Receiving'!$C:$T,14,FALSE)),0)</f>
        <v>0</v>
      </c>
      <c r="AC203" s="10">
        <f>IFERROR(VLOOKUP($P203,'CY Receving Query'!$B:$S,11,FALSE)/VLOOKUP($P203,'CY Receving Query'!$B:$S,5,FALSE),0)</f>
        <v>1.5666666666666667</v>
      </c>
      <c r="AD203" s="10">
        <f>IFERROR(VLOOKUP($P203,'CY Rushing Query'!$B:$O,7,FALSE)/VLOOKUP($P203,'CY Rushing Query'!$B:$O,5,FALSE),0)</f>
        <v>0</v>
      </c>
      <c r="AE203" s="10">
        <f>IFERROR(AVERAGE(VLOOKUP($P203,'PY Rushing'!$C:$P,8,FALSE)/VLOOKUP($P203,'PY Rushing'!$C:$P,5,FALSE),VLOOKUP($P203,'CY Rushing'!$C:$P,8,FALSE)/VLOOKUP($P203,'CY Rushing'!$C:$P,5,FALSE)),0)</f>
        <v>0</v>
      </c>
      <c r="AF203" s="10">
        <f>IFERROR(VLOOKUP($P203,'CY Rushing Query'!$B:$P,12,FALSE),0)</f>
        <v>0</v>
      </c>
      <c r="AG203" s="10">
        <f>IFERROR(VLOOKUP($P203,'CY Rushing Query'!$B:$P,9,FALSE)/VLOOKUP($P203,'CY Rushing Query'!$B:$P,5,FALSE),0)</f>
        <v>0</v>
      </c>
      <c r="AH203" s="10">
        <f>VLOOKUP($J203,'Vegas Odds'!$B:$S,18,FALSE)</f>
        <v>37.933262350936971</v>
      </c>
      <c r="AI203" s="10">
        <f>VLOOKUP($J203,'Vegas Odds'!$B:$S,17,FALSE)</f>
        <v>27.766737649063032</v>
      </c>
      <c r="AJ203">
        <f t="shared" si="84"/>
        <v>0</v>
      </c>
      <c r="AK203" s="10">
        <f t="shared" si="65"/>
        <v>0</v>
      </c>
      <c r="AL203" s="10">
        <f t="shared" si="66"/>
        <v>0</v>
      </c>
      <c r="AM203" s="10">
        <f>V203/'CY Defensive Stats Query'!$AD$34*'Fanduel Export'!Q203</f>
        <v>0</v>
      </c>
      <c r="AN203" s="10">
        <f t="shared" si="67"/>
        <v>0</v>
      </c>
      <c r="AO203" s="10">
        <f>IFERROR(IF(OR($B203="D",$B203="K"),0,VLOOKUP($P203,'CY Receving Query'!$B:$S,7,FALSE)/VLOOKUP($P203,'CY Receving Query'!$B:$S,5,FALSE)),0)*$AJ203</f>
        <v>0</v>
      </c>
      <c r="AP203" s="10">
        <f t="shared" si="68"/>
        <v>37.365221788015901</v>
      </c>
      <c r="AQ203" s="10">
        <f t="shared" si="69"/>
        <v>0</v>
      </c>
      <c r="AR203" s="16">
        <f t="shared" si="70"/>
        <v>0</v>
      </c>
      <c r="AS203" s="16">
        <f t="shared" si="71"/>
        <v>0</v>
      </c>
      <c r="AT203" s="16">
        <f>AA203/'CY Defensive Stats Query'!$AH$34
*'Fanduel Export'!S203</f>
        <v>9.9214870215054169</v>
      </c>
      <c r="AU203" s="10">
        <f t="shared" si="72"/>
        <v>0</v>
      </c>
      <c r="AV203" s="10">
        <f t="shared" si="73"/>
        <v>0</v>
      </c>
      <c r="AW203" s="10">
        <f t="shared" si="74"/>
        <v>19.787381735911151</v>
      </c>
      <c r="AX203" s="10">
        <f t="shared" si="75"/>
        <v>0</v>
      </c>
      <c r="AY203" s="10">
        <f>AF203/'CY Defensive Stats Query'!$AF$34
*R203</f>
        <v>0</v>
      </c>
      <c r="AZ203" s="10">
        <f t="shared" si="76"/>
        <v>0</v>
      </c>
      <c r="BA203" s="16">
        <f t="shared" si="77"/>
        <v>0</v>
      </c>
      <c r="BB203" s="16">
        <f t="shared" si="78"/>
        <v>0</v>
      </c>
      <c r="BC203" s="10">
        <f t="shared" si="79"/>
        <v>0</v>
      </c>
      <c r="BD203" s="10">
        <f>IF(B203="QB",COUNTIFS($B$5:B203,B203,$J$5:J203,J203),1)</f>
        <v>1</v>
      </c>
      <c r="BE203" t="str">
        <f t="shared" si="80"/>
        <v>Jody Fortson</v>
      </c>
      <c r="BF203">
        <f t="shared" si="81"/>
        <v>4000</v>
      </c>
      <c r="BG203" t="str">
        <f t="shared" si="82"/>
        <v>TE</v>
      </c>
      <c r="BH203" s="16">
        <f t="shared" si="83"/>
        <v>0</v>
      </c>
    </row>
    <row r="204" spans="1:60" hidden="1" x14ac:dyDescent="0.2">
      <c r="A204" t="s">
        <v>3036</v>
      </c>
      <c r="B204" t="s">
        <v>308</v>
      </c>
      <c r="C204" t="s">
        <v>2712</v>
      </c>
      <c r="D204" t="s">
        <v>309</v>
      </c>
      <c r="E204" t="s">
        <v>2713</v>
      </c>
      <c r="F204">
        <v>7</v>
      </c>
      <c r="G204">
        <v>17</v>
      </c>
      <c r="H204">
        <v>3700</v>
      </c>
      <c r="I204" t="s">
        <v>2718</v>
      </c>
      <c r="J204" t="s">
        <v>138</v>
      </c>
      <c r="K204" t="s">
        <v>729</v>
      </c>
      <c r="O204" t="str">
        <f t="shared" si="64"/>
        <v>San Francisco 49ers</v>
      </c>
      <c r="P204" t="str">
        <f>IFERROR(VLOOKUP(O:O,'Name Bridge'!A:B,2,FALSE),O:O)</f>
        <v>SF</v>
      </c>
      <c r="Q204" s="10">
        <f>VLOOKUP($K204,'CY Defensive Stats Query'!$AC:$AH,2,FALSE)</f>
        <v>7.6538461538461542</v>
      </c>
      <c r="R204" s="10">
        <f>VLOOKUP($K204,'CY Defensive Stats Query'!$AC:$AH,4,FALSE)</f>
        <v>4.6888888888888891</v>
      </c>
      <c r="S204" s="10">
        <f>VLOOKUP($K204,'CY Defensive Stats Query'!$AC:$AH,6,FALSE)</f>
        <v>11.306818181818182</v>
      </c>
      <c r="T204" s="10">
        <f>IFERROR(VLOOKUP($P204,'CYPassing Query'!$B:$AE,9,FALSE)/VLOOKUP($P204,'CYPassing Query'!$B:$AE,5,FALSE),0)</f>
        <v>0</v>
      </c>
      <c r="U204" s="10">
        <f>IFERROR(VLOOKUP($P204,'CYPassing Query'!$B:$AE,11,FALSE)/VLOOKUP($P204,'CYPassing Query'!$B:$AE,5,FALSE),0)</f>
        <v>0</v>
      </c>
      <c r="V204" s="10">
        <f>IFERROR(VLOOKUP($P204,'CYPassing Query'!$B:$AE,18,FALSE),0)</f>
        <v>0</v>
      </c>
      <c r="W204" s="10">
        <f>IFERROR(VLOOKUP($P204,'CYPassing Query'!$B:$AE,12,FALSE)/VLOOKUP($P204,'CYPassing Query'!$B:$AE,5,FALSE),0)</f>
        <v>0</v>
      </c>
      <c r="X204" s="10">
        <f>IFERROR(IF(OR($B204="D",$B204="K"),0,VLOOKUP($P204,'CY Receving Query'!$B:$S,7,FALSE)/VLOOKUP($P204,'CY Receving Query'!$B:$S,5,FALSE)),0)*$AJ204</f>
        <v>0</v>
      </c>
      <c r="Y204" s="10">
        <f>IFERROR(VLOOKUP($P204,'CY Receving Query'!$B:$S,8,FALSE)/VLOOKUP($P204,'CY Receving Query'!$B:$S,5,FALSE),0)</f>
        <v>0</v>
      </c>
      <c r="Z204" s="10">
        <f>IFERROR(VLOOKUP($P204,'CY Receving Query'!$B:$S,10,FALSE)/VLOOKUP($P204,'CY Receving Query'!$B:$S,5,FALSE),0)</f>
        <v>0</v>
      </c>
      <c r="AA204" s="10">
        <f>IFERROR(VLOOKUP($P204,'CY Receving Query'!$B:$S,11,FALSE),0)</f>
        <v>0</v>
      </c>
      <c r="AB204" s="10">
        <f>IFERROR(AVERAGE(VLOOKUP($P204,'PY Receiving'!$C:$T,14,FALSE),VLOOKUP($P204,'CY Receiving'!$C:$T,14,FALSE)),0)</f>
        <v>0</v>
      </c>
      <c r="AC204" s="10">
        <f>IFERROR(VLOOKUP($P204,'CY Receving Query'!$B:$S,11,FALSE)/VLOOKUP($P204,'CY Receving Query'!$B:$S,5,FALSE),0)</f>
        <v>0</v>
      </c>
      <c r="AD204" s="10">
        <f>IFERROR(VLOOKUP($P204,'CY Rushing Query'!$B:$O,7,FALSE)/VLOOKUP($P204,'CY Rushing Query'!$B:$O,5,FALSE),0)</f>
        <v>0</v>
      </c>
      <c r="AE204" s="10">
        <f>IFERROR(AVERAGE(VLOOKUP($P204,'PY Rushing'!$C:$P,8,FALSE)/VLOOKUP($P204,'PY Rushing'!$C:$P,5,FALSE),VLOOKUP($P204,'CY Rushing'!$C:$P,8,FALSE)/VLOOKUP($P204,'CY Rushing'!$C:$P,5,FALSE)),0)</f>
        <v>0</v>
      </c>
      <c r="AF204" s="10">
        <f>IFERROR(VLOOKUP($P204,'CY Rushing Query'!$B:$P,12,FALSE),0)</f>
        <v>0</v>
      </c>
      <c r="AG204" s="10">
        <f>IFERROR(VLOOKUP($P204,'CY Rushing Query'!$B:$P,9,FALSE)/VLOOKUP($P204,'CY Rushing Query'!$B:$P,5,FALSE),0)</f>
        <v>0</v>
      </c>
      <c r="AH204" s="10">
        <f>VLOOKUP($J204,'Vegas Odds'!$B:$S,18,FALSE)</f>
        <v>32.679248170039784</v>
      </c>
      <c r="AI204" s="10">
        <f>VLOOKUP($J204,'Vegas Odds'!$B:$S,17,FALSE)</f>
        <v>32.620751829960213</v>
      </c>
      <c r="AJ204">
        <f t="shared" si="84"/>
        <v>0</v>
      </c>
      <c r="AK204" s="10">
        <f t="shared" si="65"/>
        <v>0</v>
      </c>
      <c r="AL204" s="10">
        <f t="shared" si="66"/>
        <v>0</v>
      </c>
      <c r="AM204" s="10">
        <f>V204/'CY Defensive Stats Query'!$AD$34*'Fanduel Export'!Q204</f>
        <v>0</v>
      </c>
      <c r="AN204" s="10">
        <f t="shared" si="67"/>
        <v>0</v>
      </c>
      <c r="AO204" s="10">
        <f>IFERROR(IF(OR($B204="D",$B204="K"),0,VLOOKUP($P204,'CY Receving Query'!$B:$S,7,FALSE)/VLOOKUP($P204,'CY Receving Query'!$B:$S,5,FALSE)),0)*$AJ204</f>
        <v>0</v>
      </c>
      <c r="AP204" s="10">
        <f t="shared" si="68"/>
        <v>29.704370384517439</v>
      </c>
      <c r="AQ204" s="10">
        <f t="shared" si="69"/>
        <v>0</v>
      </c>
      <c r="AR204" s="16">
        <f t="shared" si="70"/>
        <v>0</v>
      </c>
      <c r="AS204" s="16">
        <f t="shared" si="71"/>
        <v>0</v>
      </c>
      <c r="AT204" s="16">
        <f>AA204/'CY Defensive Stats Query'!$AH$34
*'Fanduel Export'!S204</f>
        <v>0</v>
      </c>
      <c r="AU204" s="10">
        <f t="shared" si="72"/>
        <v>0</v>
      </c>
      <c r="AV204" s="10">
        <f t="shared" si="73"/>
        <v>0</v>
      </c>
      <c r="AW204" s="10">
        <f t="shared" si="74"/>
        <v>40.335297300738475</v>
      </c>
      <c r="AX204" s="10">
        <f t="shared" si="75"/>
        <v>0</v>
      </c>
      <c r="AY204" s="10">
        <f>AF204/'CY Defensive Stats Query'!$AF$34
*R204</f>
        <v>0</v>
      </c>
      <c r="AZ204" s="10">
        <f t="shared" si="76"/>
        <v>0</v>
      </c>
      <c r="BA204" s="16">
        <f t="shared" si="77"/>
        <v>0</v>
      </c>
      <c r="BB204" s="16">
        <f t="shared" si="78"/>
        <v>0</v>
      </c>
      <c r="BC204" s="10">
        <f t="shared" si="79"/>
        <v>0</v>
      </c>
      <c r="BD204" s="10">
        <f>IF(B204="QB",COUNTIFS($B$5:B204,B204,$J$5:J204,J204),1)</f>
        <v>1</v>
      </c>
      <c r="BE204" t="str">
        <f t="shared" si="80"/>
        <v>San Francisco 49ers</v>
      </c>
      <c r="BF204">
        <f t="shared" si="81"/>
        <v>3700</v>
      </c>
      <c r="BG204" t="str">
        <f t="shared" si="82"/>
        <v>D</v>
      </c>
      <c r="BH204" s="16">
        <f t="shared" si="83"/>
        <v>0</v>
      </c>
    </row>
    <row r="205" spans="1:60" hidden="1" x14ac:dyDescent="0.2">
      <c r="A205" t="s">
        <v>3037</v>
      </c>
      <c r="B205" t="s">
        <v>308</v>
      </c>
      <c r="C205" t="s">
        <v>3038</v>
      </c>
      <c r="D205" t="s">
        <v>691</v>
      </c>
      <c r="E205" t="s">
        <v>2950</v>
      </c>
      <c r="F205">
        <v>6.5294117647058796</v>
      </c>
      <c r="G205">
        <v>17</v>
      </c>
      <c r="H205">
        <v>3300</v>
      </c>
      <c r="I205" t="s">
        <v>2720</v>
      </c>
      <c r="J205" t="s">
        <v>102</v>
      </c>
      <c r="K205" t="s">
        <v>728</v>
      </c>
      <c r="O205" t="str">
        <f t="shared" si="64"/>
        <v>Philadelphia Eagles</v>
      </c>
      <c r="P205" t="str">
        <f>IFERROR(VLOOKUP(O:O,'Name Bridge'!A:B,2,FALSE),O:O)</f>
        <v>PHI</v>
      </c>
      <c r="Q205" s="10">
        <f>VLOOKUP($K205,'CY Defensive Stats Query'!$AC:$AH,2,FALSE)</f>
        <v>7.0486111111111107</v>
      </c>
      <c r="R205" s="10">
        <f>VLOOKUP($K205,'CY Defensive Stats Query'!$AC:$AH,4,FALSE)</f>
        <v>3.0806451612903225</v>
      </c>
      <c r="S205" s="10">
        <f>VLOOKUP($K205,'CY Defensive Stats Query'!$AC:$AH,6,FALSE)</f>
        <v>9.759615384615385</v>
      </c>
      <c r="T205" s="10">
        <f>IFERROR(VLOOKUP($P205,'CYPassing Query'!$B:$AE,9,FALSE)/VLOOKUP($P205,'CYPassing Query'!$B:$AE,5,FALSE),0)</f>
        <v>0</v>
      </c>
      <c r="U205" s="10">
        <f>IFERROR(VLOOKUP($P205,'CYPassing Query'!$B:$AE,11,FALSE)/VLOOKUP($P205,'CYPassing Query'!$B:$AE,5,FALSE),0)</f>
        <v>0</v>
      </c>
      <c r="V205" s="10">
        <f>IFERROR(VLOOKUP($P205,'CYPassing Query'!$B:$AE,18,FALSE),0)</f>
        <v>0</v>
      </c>
      <c r="W205" s="10">
        <f>IFERROR(VLOOKUP($P205,'CYPassing Query'!$B:$AE,12,FALSE)/VLOOKUP($P205,'CYPassing Query'!$B:$AE,5,FALSE),0)</f>
        <v>0</v>
      </c>
      <c r="X205" s="10">
        <f>IFERROR(IF(OR($B205="D",$B205="K"),0,VLOOKUP($P205,'CY Receving Query'!$B:$S,7,FALSE)/VLOOKUP($P205,'CY Receving Query'!$B:$S,5,FALSE)),0)*$AJ205</f>
        <v>0</v>
      </c>
      <c r="Y205" s="10">
        <f>IFERROR(VLOOKUP($P205,'CY Receving Query'!$B:$S,8,FALSE)/VLOOKUP($P205,'CY Receving Query'!$B:$S,5,FALSE),0)</f>
        <v>0</v>
      </c>
      <c r="Z205" s="10">
        <f>IFERROR(VLOOKUP($P205,'CY Receving Query'!$B:$S,10,FALSE)/VLOOKUP($P205,'CY Receving Query'!$B:$S,5,FALSE),0)</f>
        <v>0</v>
      </c>
      <c r="AA205" s="10">
        <f>IFERROR(VLOOKUP($P205,'CY Receving Query'!$B:$S,11,FALSE),0)</f>
        <v>0</v>
      </c>
      <c r="AB205" s="10">
        <f>IFERROR(AVERAGE(VLOOKUP($P205,'PY Receiving'!$C:$T,14,FALSE),VLOOKUP($P205,'CY Receiving'!$C:$T,14,FALSE)),0)</f>
        <v>0</v>
      </c>
      <c r="AC205" s="10">
        <f>IFERROR(VLOOKUP($P205,'CY Receving Query'!$B:$S,11,FALSE)/VLOOKUP($P205,'CY Receving Query'!$B:$S,5,FALSE),0)</f>
        <v>0</v>
      </c>
      <c r="AD205" s="10">
        <f>IFERROR(VLOOKUP($P205,'CY Rushing Query'!$B:$O,7,FALSE)/VLOOKUP($P205,'CY Rushing Query'!$B:$O,5,FALSE),0)</f>
        <v>0</v>
      </c>
      <c r="AE205" s="10">
        <f>IFERROR(AVERAGE(VLOOKUP($P205,'PY Rushing'!$C:$P,8,FALSE)/VLOOKUP($P205,'PY Rushing'!$C:$P,5,FALSE),VLOOKUP($P205,'CY Rushing'!$C:$P,8,FALSE)/VLOOKUP($P205,'CY Rushing'!$C:$P,5,FALSE)),0)</f>
        <v>0</v>
      </c>
      <c r="AF205" s="10">
        <f>IFERROR(VLOOKUP($P205,'CY Rushing Query'!$B:$P,12,FALSE),0)</f>
        <v>0</v>
      </c>
      <c r="AG205" s="10">
        <f>IFERROR(VLOOKUP($P205,'CY Rushing Query'!$B:$P,9,FALSE)/VLOOKUP($P205,'CY Rushing Query'!$B:$P,5,FALSE),0)</f>
        <v>0</v>
      </c>
      <c r="AH205" s="10">
        <f>VLOOKUP($J205,'Vegas Odds'!$B:$S,18,FALSE)</f>
        <v>44.85966247691475</v>
      </c>
      <c r="AI205" s="10">
        <f>VLOOKUP($J205,'Vegas Odds'!$B:$S,17,FALSE)</f>
        <v>17.740337523085255</v>
      </c>
      <c r="AJ205">
        <f t="shared" si="84"/>
        <v>0</v>
      </c>
      <c r="AK205" s="10">
        <f t="shared" si="65"/>
        <v>0</v>
      </c>
      <c r="AL205" s="10">
        <f t="shared" si="66"/>
        <v>0</v>
      </c>
      <c r="AM205" s="10">
        <f>V205/'CY Defensive Stats Query'!$AD$34*'Fanduel Export'!Q205</f>
        <v>0</v>
      </c>
      <c r="AN205" s="10">
        <f t="shared" si="67"/>
        <v>0</v>
      </c>
      <c r="AO205" s="10">
        <f>IFERROR(IF(OR($B205="D",$B205="K"),0,VLOOKUP($P205,'CY Receving Query'!$B:$S,7,FALSE)/VLOOKUP($P205,'CY Receving Query'!$B:$S,5,FALSE)),0)*$AJ205</f>
        <v>0</v>
      </c>
      <c r="AP205" s="10">
        <f t="shared" si="68"/>
        <v>28.54982492997199</v>
      </c>
      <c r="AQ205" s="10">
        <f t="shared" si="69"/>
        <v>0</v>
      </c>
      <c r="AR205" s="16">
        <f t="shared" si="70"/>
        <v>0</v>
      </c>
      <c r="AS205" s="16">
        <f t="shared" si="71"/>
        <v>0</v>
      </c>
      <c r="AT205" s="16">
        <f>AA205/'CY Defensive Stats Query'!$AH$34
*'Fanduel Export'!S205</f>
        <v>0</v>
      </c>
      <c r="AU205" s="10">
        <f t="shared" si="72"/>
        <v>0</v>
      </c>
      <c r="AV205" s="10">
        <f t="shared" si="73"/>
        <v>0</v>
      </c>
      <c r="AW205" s="10">
        <f t="shared" si="74"/>
        <v>56.303606442577035</v>
      </c>
      <c r="AX205" s="10">
        <f t="shared" si="75"/>
        <v>0</v>
      </c>
      <c r="AY205" s="10">
        <f>AF205/'CY Defensive Stats Query'!$AF$34
*R205</f>
        <v>0</v>
      </c>
      <c r="AZ205" s="10">
        <f t="shared" si="76"/>
        <v>0</v>
      </c>
      <c r="BA205" s="16">
        <f t="shared" si="77"/>
        <v>0</v>
      </c>
      <c r="BB205" s="16">
        <f t="shared" si="78"/>
        <v>0</v>
      </c>
      <c r="BC205" s="10">
        <f t="shared" si="79"/>
        <v>0</v>
      </c>
      <c r="BD205" s="10">
        <f>IF(B205="QB",COUNTIFS($B$5:B205,B205,$J$5:J205,J205),1)</f>
        <v>1</v>
      </c>
      <c r="BE205" t="str">
        <f t="shared" si="80"/>
        <v>Philadelphia Eagles</v>
      </c>
      <c r="BF205">
        <f t="shared" si="81"/>
        <v>3300</v>
      </c>
      <c r="BG205" t="str">
        <f t="shared" si="82"/>
        <v>D</v>
      </c>
      <c r="BH205" s="16">
        <f t="shared" si="83"/>
        <v>0</v>
      </c>
    </row>
    <row r="206" spans="1:60" hidden="1" x14ac:dyDescent="0.2">
      <c r="A206" t="s">
        <v>3039</v>
      </c>
      <c r="B206" t="s">
        <v>308</v>
      </c>
      <c r="C206" t="s">
        <v>2585</v>
      </c>
      <c r="D206" t="s">
        <v>666</v>
      </c>
      <c r="E206" t="s">
        <v>2586</v>
      </c>
      <c r="F206">
        <v>6.5294117647058796</v>
      </c>
      <c r="G206">
        <v>17</v>
      </c>
      <c r="H206">
        <v>3100</v>
      </c>
      <c r="I206" t="s">
        <v>2716</v>
      </c>
      <c r="J206" t="s">
        <v>99</v>
      </c>
      <c r="K206" t="s">
        <v>81</v>
      </c>
      <c r="O206" t="str">
        <f t="shared" si="64"/>
        <v>Pittsburgh Steelers</v>
      </c>
      <c r="P206" t="str">
        <f>IFERROR(VLOOKUP(O:O,'Name Bridge'!A:B,2,FALSE),O:O)</f>
        <v>PIT</v>
      </c>
      <c r="Q206" s="10">
        <f>VLOOKUP($K206,'CY Defensive Stats Query'!$AC:$AH,2,FALSE)</f>
        <v>8.7934782608695645</v>
      </c>
      <c r="R206" s="10">
        <f>VLOOKUP($K206,'CY Defensive Stats Query'!$AC:$AH,4,FALSE)</f>
        <v>5.404494382022472</v>
      </c>
      <c r="S206" s="10">
        <f>VLOOKUP($K206,'CY Defensive Stats Query'!$AC:$AH,6,FALSE)</f>
        <v>12.446153846153846</v>
      </c>
      <c r="T206" s="10">
        <f>IFERROR(VLOOKUP($P206,'CYPassing Query'!$B:$AE,9,FALSE)/VLOOKUP($P206,'CYPassing Query'!$B:$AE,5,FALSE),0)</f>
        <v>0</v>
      </c>
      <c r="U206" s="10">
        <f>IFERROR(VLOOKUP($P206,'CYPassing Query'!$B:$AE,11,FALSE)/VLOOKUP($P206,'CYPassing Query'!$B:$AE,5,FALSE),0)</f>
        <v>0</v>
      </c>
      <c r="V206" s="10">
        <f>IFERROR(VLOOKUP($P206,'CYPassing Query'!$B:$AE,18,FALSE),0)</f>
        <v>0</v>
      </c>
      <c r="W206" s="10">
        <f>IFERROR(VLOOKUP($P206,'CYPassing Query'!$B:$AE,12,FALSE)/VLOOKUP($P206,'CYPassing Query'!$B:$AE,5,FALSE),0)</f>
        <v>0</v>
      </c>
      <c r="X206" s="10">
        <f>IFERROR(IF(OR($B206="D",$B206="K"),0,VLOOKUP($P206,'CY Receving Query'!$B:$S,7,FALSE)/VLOOKUP($P206,'CY Receving Query'!$B:$S,5,FALSE)),0)*$AJ206</f>
        <v>0</v>
      </c>
      <c r="Y206" s="10">
        <f>IFERROR(VLOOKUP($P206,'CY Receving Query'!$B:$S,8,FALSE)/VLOOKUP($P206,'CY Receving Query'!$B:$S,5,FALSE),0)</f>
        <v>0</v>
      </c>
      <c r="Z206" s="10">
        <f>IFERROR(VLOOKUP($P206,'CY Receving Query'!$B:$S,10,FALSE)/VLOOKUP($P206,'CY Receving Query'!$B:$S,5,FALSE),0)</f>
        <v>0</v>
      </c>
      <c r="AA206" s="10">
        <f>IFERROR(VLOOKUP($P206,'CY Receving Query'!$B:$S,11,FALSE),0)</f>
        <v>0</v>
      </c>
      <c r="AB206" s="10">
        <f>IFERROR(AVERAGE(VLOOKUP($P206,'PY Receiving'!$C:$T,14,FALSE),VLOOKUP($P206,'CY Receiving'!$C:$T,14,FALSE)),0)</f>
        <v>0</v>
      </c>
      <c r="AC206" s="10">
        <f>IFERROR(VLOOKUP($P206,'CY Receving Query'!$B:$S,11,FALSE)/VLOOKUP($P206,'CY Receving Query'!$B:$S,5,FALSE),0)</f>
        <v>0</v>
      </c>
      <c r="AD206" s="10">
        <f>IFERROR(VLOOKUP($P206,'CY Rushing Query'!$B:$O,7,FALSE)/VLOOKUP($P206,'CY Rushing Query'!$B:$O,5,FALSE),0)</f>
        <v>0</v>
      </c>
      <c r="AE206" s="10">
        <f>IFERROR(VLOOKUP($P206,'CY Rushing'!$C:$P,8,FALSE)/VLOOKUP($P206,'CY Rushing'!$C:$P,5,FALSE),0)</f>
        <v>0</v>
      </c>
      <c r="AF206" s="10">
        <f>IFERROR(VLOOKUP($P206,'CY Rushing Query'!$B:$P,12,FALSE),0)</f>
        <v>0</v>
      </c>
      <c r="AG206" s="10">
        <f>IFERROR(VLOOKUP($P206,'CY Rushing Query'!$B:$P,9,FALSE)/VLOOKUP($P206,'CY Rushing Query'!$B:$P,5,FALSE),0)</f>
        <v>0</v>
      </c>
      <c r="AH206" s="10">
        <f>VLOOKUP($J206,'Vegas Odds'!$B:$S,18,FALSE)</f>
        <v>40.088640957860363</v>
      </c>
      <c r="AI206" s="10">
        <f>VLOOKUP($J206,'Vegas Odds'!$B:$S,17,FALSE)</f>
        <v>25.511359042139631</v>
      </c>
      <c r="AJ206">
        <f t="shared" si="84"/>
        <v>0</v>
      </c>
      <c r="AK206" s="10">
        <f t="shared" si="65"/>
        <v>0</v>
      </c>
      <c r="AL206" s="10">
        <f t="shared" si="66"/>
        <v>0</v>
      </c>
      <c r="AM206" s="10">
        <f>V206/'CY Defensive Stats Query'!$AD$34*'Fanduel Export'!Q206</f>
        <v>0</v>
      </c>
      <c r="AN206" s="10">
        <f t="shared" si="67"/>
        <v>0</v>
      </c>
      <c r="AO206" s="10">
        <f>IFERROR(IF(OR($B206="D",$B206="K"),0,VLOOKUP($P206,'CY Receving Query'!$B:$S,7,FALSE)/VLOOKUP($P206,'CY Receving Query'!$B:$S,5,FALSE)),0)*$AJ206</f>
        <v>0</v>
      </c>
      <c r="AP206" s="10">
        <f t="shared" si="68"/>
        <v>32.289950980392156</v>
      </c>
      <c r="AQ206" s="10">
        <f t="shared" si="69"/>
        <v>0</v>
      </c>
      <c r="AR206" s="16">
        <f t="shared" si="70"/>
        <v>0</v>
      </c>
      <c r="AS206" s="16">
        <f t="shared" si="71"/>
        <v>0</v>
      </c>
      <c r="AT206" s="16">
        <f>AA206/'CY Defensive Stats Query'!$AH$34
*'Fanduel Export'!S206</f>
        <v>0</v>
      </c>
      <c r="AU206" s="10">
        <f t="shared" si="72"/>
        <v>0</v>
      </c>
      <c r="AV206" s="10">
        <f t="shared" si="73"/>
        <v>0</v>
      </c>
      <c r="AW206" s="10">
        <f t="shared" si="74"/>
        <v>7.4240196078431371</v>
      </c>
      <c r="AX206" s="10">
        <f t="shared" si="75"/>
        <v>0</v>
      </c>
      <c r="AY206" s="10">
        <f>AF206/'CY Defensive Stats Query'!$AF$34
*R206</f>
        <v>0</v>
      </c>
      <c r="AZ206" s="10">
        <f t="shared" si="76"/>
        <v>0</v>
      </c>
      <c r="BA206" s="16">
        <f t="shared" si="77"/>
        <v>0</v>
      </c>
      <c r="BB206" s="16">
        <f t="shared" si="78"/>
        <v>0</v>
      </c>
      <c r="BC206" s="10">
        <f t="shared" si="79"/>
        <v>0</v>
      </c>
      <c r="BD206" s="10">
        <f>IF(B206="QB",COUNTIFS($B$5:B206,B206,$J$5:J206,J206),1)</f>
        <v>1</v>
      </c>
      <c r="BE206" t="str">
        <f t="shared" si="80"/>
        <v>Pittsburgh Steelers</v>
      </c>
      <c r="BF206">
        <f t="shared" si="81"/>
        <v>3100</v>
      </c>
      <c r="BG206" t="str">
        <f t="shared" si="82"/>
        <v>D</v>
      </c>
      <c r="BH206" s="16">
        <f t="shared" si="83"/>
        <v>0</v>
      </c>
    </row>
    <row r="207" spans="1:60" x14ac:dyDescent="0.2"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K207" s="10"/>
      <c r="AL207" s="10"/>
      <c r="AM207" s="10"/>
      <c r="AN207" s="10"/>
      <c r="AO207" s="10"/>
      <c r="AP207" s="10"/>
      <c r="AQ207" s="10"/>
      <c r="AR207" s="16"/>
      <c r="AS207" s="16"/>
      <c r="AT207" s="16"/>
      <c r="AU207" s="10"/>
      <c r="AV207" s="10"/>
      <c r="AW207" s="10"/>
      <c r="AX207" s="10"/>
      <c r="AY207" s="10"/>
      <c r="AZ207" s="10"/>
      <c r="BA207" s="16"/>
      <c r="BB207" s="16"/>
      <c r="BH207" s="16"/>
    </row>
    <row r="208" spans="1:60" x14ac:dyDescent="0.2"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K208" s="10"/>
      <c r="AL208" s="10"/>
      <c r="AM208" s="10"/>
      <c r="AN208" s="10"/>
      <c r="AO208" s="10"/>
      <c r="AP208" s="10"/>
      <c r="AQ208" s="10"/>
      <c r="AR208" s="16"/>
      <c r="AS208" s="16"/>
      <c r="AT208" s="16"/>
      <c r="AU208" s="10"/>
      <c r="AV208" s="10"/>
      <c r="AW208" s="10"/>
      <c r="AX208" s="10"/>
      <c r="AY208" s="10"/>
      <c r="AZ208" s="10"/>
      <c r="BA208" s="16"/>
      <c r="BB208" s="16"/>
      <c r="BH208" s="16"/>
    </row>
    <row r="209" spans="17:60" x14ac:dyDescent="0.2"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K209" s="10"/>
      <c r="AL209" s="10"/>
      <c r="AM209" s="10"/>
      <c r="AN209" s="10"/>
      <c r="AO209" s="10"/>
      <c r="AP209" s="10"/>
      <c r="AQ209" s="10"/>
      <c r="AR209" s="16"/>
      <c r="AS209" s="16"/>
      <c r="AT209" s="16"/>
      <c r="AU209" s="10"/>
      <c r="AV209" s="10"/>
      <c r="AW209" s="10"/>
      <c r="AX209" s="10"/>
      <c r="AY209" s="10"/>
      <c r="AZ209" s="10"/>
      <c r="BA209" s="16"/>
      <c r="BB209" s="16"/>
      <c r="BH209" s="16"/>
    </row>
    <row r="210" spans="17:60" x14ac:dyDescent="0.2"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K210" s="10"/>
      <c r="AL210" s="10"/>
      <c r="AM210" s="10"/>
      <c r="AN210" s="10"/>
      <c r="AO210" s="10"/>
      <c r="AP210" s="10"/>
      <c r="AQ210" s="10"/>
      <c r="AR210" s="16"/>
      <c r="AS210" s="16"/>
      <c r="AT210" s="16"/>
      <c r="AU210" s="10"/>
      <c r="AV210" s="10"/>
      <c r="AW210" s="10"/>
      <c r="AX210" s="10"/>
      <c r="AY210" s="10"/>
      <c r="AZ210" s="10"/>
      <c r="BA210" s="16"/>
      <c r="BB210" s="16"/>
      <c r="BH210" s="16"/>
    </row>
    <row r="211" spans="17:60" x14ac:dyDescent="0.2"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K211" s="10"/>
      <c r="AL211" s="10"/>
      <c r="AM211" s="10"/>
      <c r="AN211" s="10"/>
      <c r="AO211" s="10"/>
      <c r="AP211" s="10"/>
      <c r="AQ211" s="10"/>
      <c r="AR211" s="16"/>
      <c r="AS211" s="16"/>
      <c r="AT211" s="16"/>
      <c r="AU211" s="10"/>
      <c r="AV211" s="10"/>
      <c r="AW211" s="10"/>
      <c r="AX211" s="10"/>
      <c r="AY211" s="10"/>
      <c r="AZ211" s="10"/>
      <c r="BA211" s="16"/>
      <c r="BB211" s="16"/>
      <c r="BH211" s="16"/>
    </row>
    <row r="212" spans="17:60" x14ac:dyDescent="0.2"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K212" s="10"/>
      <c r="AL212" s="10"/>
      <c r="AM212" s="10"/>
      <c r="AN212" s="10"/>
      <c r="AO212" s="10"/>
      <c r="AP212" s="10"/>
      <c r="AQ212" s="10"/>
      <c r="AR212" s="16"/>
      <c r="AS212" s="16"/>
      <c r="AT212" s="16"/>
      <c r="AU212" s="10"/>
      <c r="AV212" s="10"/>
      <c r="AW212" s="10"/>
      <c r="AX212" s="10"/>
      <c r="AY212" s="10"/>
      <c r="AZ212" s="10"/>
      <c r="BA212" s="16"/>
      <c r="BB212" s="16"/>
      <c r="BH212" s="16"/>
    </row>
    <row r="213" spans="17:60" x14ac:dyDescent="0.2"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K213" s="10"/>
      <c r="AL213" s="10"/>
      <c r="AM213" s="10"/>
      <c r="AN213" s="10"/>
      <c r="AO213" s="10"/>
      <c r="AP213" s="10"/>
      <c r="AQ213" s="10"/>
      <c r="AR213" s="16"/>
      <c r="AS213" s="16"/>
      <c r="AT213" s="16"/>
      <c r="AU213" s="10"/>
      <c r="AV213" s="10"/>
      <c r="AW213" s="10"/>
      <c r="AX213" s="10"/>
      <c r="AY213" s="10"/>
      <c r="AZ213" s="10"/>
      <c r="BA213" s="16"/>
      <c r="BB213" s="16"/>
      <c r="BH213" s="16"/>
    </row>
    <row r="214" spans="17:60" x14ac:dyDescent="0.2"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K214" s="10"/>
      <c r="AL214" s="10"/>
      <c r="AM214" s="10"/>
      <c r="AN214" s="10"/>
      <c r="AO214" s="10"/>
      <c r="AP214" s="10"/>
      <c r="AQ214" s="10"/>
      <c r="AR214" s="16"/>
      <c r="AS214" s="16"/>
      <c r="AT214" s="16"/>
      <c r="AU214" s="10"/>
      <c r="AV214" s="10"/>
      <c r="AW214" s="10"/>
      <c r="AX214" s="10"/>
      <c r="AY214" s="10"/>
      <c r="AZ214" s="10"/>
      <c r="BA214" s="16"/>
      <c r="BB214" s="16"/>
      <c r="BH214" s="16"/>
    </row>
    <row r="215" spans="17:60" x14ac:dyDescent="0.2"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K215" s="10"/>
      <c r="AL215" s="10"/>
      <c r="AM215" s="10"/>
      <c r="AN215" s="10"/>
      <c r="AO215" s="10"/>
      <c r="AP215" s="10"/>
      <c r="AQ215" s="10"/>
      <c r="AR215" s="16"/>
      <c r="AS215" s="16"/>
      <c r="AT215" s="16"/>
      <c r="AU215" s="10"/>
      <c r="AV215" s="10"/>
      <c r="AW215" s="10"/>
      <c r="AX215" s="10"/>
      <c r="AY215" s="10"/>
      <c r="AZ215" s="10"/>
      <c r="BA215" s="16"/>
      <c r="BB215" s="16"/>
      <c r="BH215" s="16"/>
    </row>
    <row r="216" spans="17:60" x14ac:dyDescent="0.2"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K216" s="10"/>
      <c r="AL216" s="10"/>
      <c r="AM216" s="10"/>
      <c r="AN216" s="10"/>
      <c r="AO216" s="10"/>
      <c r="AP216" s="10"/>
      <c r="AQ216" s="10"/>
      <c r="AR216" s="16"/>
      <c r="AS216" s="16"/>
      <c r="AT216" s="16"/>
      <c r="AU216" s="10"/>
      <c r="AV216" s="10"/>
      <c r="AW216" s="10"/>
      <c r="AX216" s="10"/>
      <c r="AY216" s="10"/>
      <c r="AZ216" s="10"/>
      <c r="BA216" s="16"/>
      <c r="BB216" s="16"/>
      <c r="BH216" s="16"/>
    </row>
    <row r="217" spans="17:60" x14ac:dyDescent="0.2"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K217" s="10"/>
      <c r="AL217" s="10"/>
      <c r="AM217" s="10"/>
      <c r="AN217" s="10"/>
      <c r="AO217" s="10"/>
      <c r="AP217" s="10"/>
      <c r="AQ217" s="10"/>
      <c r="AR217" s="16"/>
      <c r="AS217" s="16"/>
      <c r="AT217" s="16"/>
      <c r="AU217" s="10"/>
      <c r="AV217" s="10"/>
      <c r="AW217" s="10"/>
      <c r="AX217" s="10"/>
      <c r="AY217" s="10"/>
      <c r="AZ217" s="10"/>
      <c r="BA217" s="16"/>
      <c r="BB217" s="16"/>
      <c r="BH217" s="16"/>
    </row>
    <row r="218" spans="17:60" x14ac:dyDescent="0.2"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K218" s="10"/>
      <c r="AL218" s="10"/>
      <c r="AM218" s="10"/>
      <c r="AN218" s="10"/>
      <c r="AO218" s="10"/>
      <c r="AP218" s="10"/>
      <c r="AQ218" s="10"/>
      <c r="AR218" s="16"/>
      <c r="AS218" s="16"/>
      <c r="AT218" s="16"/>
      <c r="AU218" s="10"/>
      <c r="AV218" s="10"/>
      <c r="AW218" s="10"/>
      <c r="AX218" s="10"/>
      <c r="AY218" s="10"/>
      <c r="AZ218" s="10"/>
      <c r="BA218" s="16"/>
      <c r="BB218" s="16"/>
      <c r="BH218" s="16"/>
    </row>
    <row r="219" spans="17:60" x14ac:dyDescent="0.2"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K219" s="10"/>
      <c r="AL219" s="10"/>
      <c r="AM219" s="10"/>
      <c r="AN219" s="10"/>
      <c r="AO219" s="10"/>
      <c r="AP219" s="10"/>
      <c r="AQ219" s="10"/>
      <c r="AR219" s="16"/>
      <c r="AS219" s="16"/>
      <c r="AT219" s="16"/>
      <c r="AU219" s="10"/>
      <c r="AV219" s="10"/>
      <c r="AW219" s="10"/>
      <c r="AX219" s="10"/>
      <c r="AY219" s="10"/>
      <c r="AZ219" s="10"/>
      <c r="BA219" s="16"/>
      <c r="BB219" s="16"/>
      <c r="BH219" s="16"/>
    </row>
    <row r="220" spans="17:60" x14ac:dyDescent="0.2"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K220" s="10"/>
      <c r="AL220" s="10"/>
      <c r="AM220" s="10"/>
      <c r="AN220" s="10"/>
      <c r="AO220" s="10"/>
      <c r="AP220" s="10"/>
      <c r="AQ220" s="10"/>
      <c r="AR220" s="16"/>
      <c r="AS220" s="16"/>
      <c r="AT220" s="16"/>
      <c r="AU220" s="10"/>
      <c r="AV220" s="10"/>
      <c r="AW220" s="10"/>
      <c r="AX220" s="10"/>
      <c r="AY220" s="10"/>
      <c r="AZ220" s="10"/>
      <c r="BA220" s="16"/>
      <c r="BB220" s="16"/>
      <c r="BH220" s="16"/>
    </row>
    <row r="221" spans="17:60" x14ac:dyDescent="0.2"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K221" s="10"/>
      <c r="AL221" s="10"/>
      <c r="AM221" s="10"/>
      <c r="AN221" s="10"/>
      <c r="AO221" s="10"/>
      <c r="AP221" s="10"/>
      <c r="AQ221" s="10"/>
      <c r="AR221" s="16"/>
      <c r="AS221" s="16"/>
      <c r="AT221" s="16"/>
      <c r="AU221" s="10"/>
      <c r="AV221" s="10"/>
      <c r="AW221" s="10"/>
      <c r="AX221" s="10"/>
      <c r="AY221" s="10"/>
      <c r="AZ221" s="10"/>
      <c r="BA221" s="16"/>
      <c r="BB221" s="16"/>
      <c r="BH221" s="16"/>
    </row>
    <row r="222" spans="17:60" x14ac:dyDescent="0.2"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K222" s="10"/>
      <c r="AL222" s="10"/>
      <c r="AM222" s="10"/>
      <c r="AN222" s="10"/>
      <c r="AO222" s="10"/>
      <c r="AP222" s="10"/>
      <c r="AQ222" s="10"/>
      <c r="AR222" s="16"/>
      <c r="AS222" s="16"/>
      <c r="AT222" s="16"/>
      <c r="AU222" s="10"/>
      <c r="AV222" s="10"/>
      <c r="AW222" s="10"/>
      <c r="AX222" s="10"/>
      <c r="AY222" s="10"/>
      <c r="AZ222" s="10"/>
      <c r="BA222" s="16"/>
      <c r="BB222" s="16"/>
      <c r="BH222" s="16"/>
    </row>
    <row r="223" spans="17:60" x14ac:dyDescent="0.2"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K223" s="10"/>
      <c r="AL223" s="10"/>
      <c r="AM223" s="10"/>
      <c r="AN223" s="10"/>
      <c r="AO223" s="10"/>
      <c r="AP223" s="10"/>
      <c r="AQ223" s="10"/>
      <c r="AR223" s="16"/>
      <c r="AS223" s="16"/>
      <c r="AT223" s="16"/>
      <c r="AU223" s="10"/>
      <c r="AV223" s="10"/>
      <c r="AW223" s="10"/>
      <c r="AX223" s="10"/>
      <c r="AY223" s="10"/>
      <c r="AZ223" s="10"/>
      <c r="BA223" s="16"/>
      <c r="BB223" s="16"/>
      <c r="BH223" s="16"/>
    </row>
    <row r="224" spans="17:60" x14ac:dyDescent="0.2"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K224" s="10"/>
      <c r="AL224" s="10"/>
      <c r="AM224" s="10"/>
      <c r="AN224" s="10"/>
      <c r="AO224" s="10"/>
      <c r="AP224" s="10"/>
      <c r="AQ224" s="10"/>
      <c r="AR224" s="16"/>
      <c r="AS224" s="16"/>
      <c r="AT224" s="16"/>
      <c r="AU224" s="10"/>
      <c r="AV224" s="10"/>
      <c r="AW224" s="10"/>
      <c r="AX224" s="10"/>
      <c r="AY224" s="10"/>
      <c r="AZ224" s="10"/>
      <c r="BA224" s="16"/>
      <c r="BB224" s="16"/>
      <c r="BH224" s="16"/>
    </row>
    <row r="225" spans="17:60" x14ac:dyDescent="0.2"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K225" s="10"/>
      <c r="AL225" s="10"/>
      <c r="AM225" s="10"/>
      <c r="AN225" s="10"/>
      <c r="AO225" s="10"/>
      <c r="AP225" s="10"/>
      <c r="AQ225" s="10"/>
      <c r="AR225" s="16"/>
      <c r="AS225" s="16"/>
      <c r="AT225" s="16"/>
      <c r="AU225" s="10"/>
      <c r="AV225" s="10"/>
      <c r="AW225" s="10"/>
      <c r="AX225" s="10"/>
      <c r="AY225" s="10"/>
      <c r="AZ225" s="10"/>
      <c r="BA225" s="16"/>
      <c r="BB225" s="16"/>
      <c r="BH225" s="16"/>
    </row>
    <row r="226" spans="17:60" x14ac:dyDescent="0.2"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K226" s="10"/>
      <c r="AL226" s="10"/>
      <c r="AM226" s="10"/>
      <c r="AN226" s="10"/>
      <c r="AO226" s="10"/>
      <c r="AP226" s="10"/>
      <c r="AQ226" s="10"/>
      <c r="AR226" s="16"/>
      <c r="AS226" s="16"/>
      <c r="AT226" s="16"/>
      <c r="AU226" s="10"/>
      <c r="AV226" s="10"/>
      <c r="AW226" s="10"/>
      <c r="AX226" s="10"/>
      <c r="AY226" s="10"/>
      <c r="AZ226" s="10"/>
      <c r="BA226" s="16"/>
      <c r="BB226" s="16"/>
      <c r="BH226" s="16"/>
    </row>
    <row r="227" spans="17:60" x14ac:dyDescent="0.2"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K227" s="10"/>
      <c r="AL227" s="10"/>
      <c r="AM227" s="10"/>
      <c r="AN227" s="10"/>
      <c r="AO227" s="10"/>
      <c r="AP227" s="10"/>
      <c r="AQ227" s="10"/>
      <c r="AR227" s="16"/>
      <c r="AS227" s="16"/>
      <c r="AT227" s="16"/>
      <c r="AU227" s="10"/>
      <c r="AV227" s="10"/>
      <c r="AW227" s="10"/>
      <c r="AX227" s="10"/>
      <c r="AY227" s="10"/>
      <c r="AZ227" s="10"/>
      <c r="BA227" s="16"/>
      <c r="BB227" s="16"/>
      <c r="BH227" s="16"/>
    </row>
    <row r="228" spans="17:60" x14ac:dyDescent="0.2"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K228" s="10"/>
      <c r="AL228" s="10"/>
      <c r="AM228" s="10"/>
      <c r="AN228" s="10"/>
      <c r="AO228" s="10"/>
      <c r="AP228" s="10"/>
      <c r="AQ228" s="10"/>
      <c r="AR228" s="16"/>
      <c r="AS228" s="16"/>
      <c r="AT228" s="16"/>
      <c r="AU228" s="10"/>
      <c r="AV228" s="10"/>
      <c r="AW228" s="10"/>
      <c r="AX228" s="10"/>
      <c r="AY228" s="10"/>
      <c r="AZ228" s="10"/>
      <c r="BA228" s="16"/>
      <c r="BB228" s="16"/>
      <c r="BH228" s="16"/>
    </row>
    <row r="229" spans="17:60" x14ac:dyDescent="0.2"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K229" s="10"/>
      <c r="AL229" s="10"/>
      <c r="AM229" s="10"/>
      <c r="AN229" s="10"/>
      <c r="AO229" s="10"/>
      <c r="AP229" s="10"/>
      <c r="AQ229" s="10"/>
      <c r="AR229" s="16"/>
      <c r="AS229" s="16"/>
      <c r="AT229" s="16"/>
      <c r="AU229" s="10"/>
      <c r="AV229" s="10"/>
      <c r="AW229" s="10"/>
      <c r="AX229" s="10"/>
      <c r="AY229" s="10"/>
      <c r="AZ229" s="10"/>
      <c r="BA229" s="16"/>
      <c r="BB229" s="16"/>
      <c r="BH229" s="16"/>
    </row>
    <row r="230" spans="17:60" x14ac:dyDescent="0.2"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K230" s="10"/>
      <c r="AL230" s="10"/>
      <c r="AM230" s="10"/>
      <c r="AN230" s="10"/>
      <c r="AO230" s="10"/>
      <c r="AP230" s="10"/>
      <c r="AQ230" s="10"/>
      <c r="AR230" s="16"/>
      <c r="AS230" s="16"/>
      <c r="AT230" s="16"/>
      <c r="AU230" s="10"/>
      <c r="AV230" s="10"/>
      <c r="AW230" s="10"/>
      <c r="AX230" s="10"/>
      <c r="AY230" s="10"/>
      <c r="AZ230" s="10"/>
      <c r="BA230" s="16"/>
      <c r="BB230" s="16"/>
      <c r="BH230" s="16"/>
    </row>
    <row r="231" spans="17:60" x14ac:dyDescent="0.2"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K231" s="10"/>
      <c r="AL231" s="10"/>
      <c r="AM231" s="10"/>
      <c r="AN231" s="10"/>
      <c r="AO231" s="10"/>
      <c r="AP231" s="10"/>
      <c r="AQ231" s="10"/>
      <c r="AR231" s="16"/>
      <c r="AS231" s="16"/>
      <c r="AT231" s="16"/>
      <c r="AU231" s="10"/>
      <c r="AV231" s="10"/>
      <c r="AW231" s="10"/>
      <c r="AX231" s="10"/>
      <c r="AY231" s="10"/>
      <c r="AZ231" s="10"/>
      <c r="BA231" s="16"/>
      <c r="BB231" s="16"/>
      <c r="BH231" s="16"/>
    </row>
    <row r="232" spans="17:60" x14ac:dyDescent="0.2"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K232" s="10"/>
      <c r="AL232" s="10"/>
      <c r="AM232" s="10"/>
      <c r="AN232" s="10"/>
      <c r="AO232" s="10"/>
      <c r="AP232" s="10"/>
      <c r="AQ232" s="10"/>
      <c r="AR232" s="16"/>
      <c r="AS232" s="16"/>
      <c r="AT232" s="16"/>
      <c r="AU232" s="10"/>
      <c r="AV232" s="10"/>
      <c r="AW232" s="10"/>
      <c r="AX232" s="10"/>
      <c r="AY232" s="10"/>
      <c r="AZ232" s="10"/>
      <c r="BA232" s="16"/>
      <c r="BB232" s="16"/>
      <c r="BH232" s="16"/>
    </row>
    <row r="233" spans="17:60" x14ac:dyDescent="0.2"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K233" s="10"/>
      <c r="AL233" s="10"/>
      <c r="AM233" s="10"/>
      <c r="AN233" s="10"/>
      <c r="AO233" s="10"/>
      <c r="AP233" s="10"/>
      <c r="AQ233" s="10"/>
      <c r="AR233" s="16"/>
      <c r="AS233" s="16"/>
      <c r="AT233" s="16"/>
      <c r="AU233" s="10"/>
      <c r="AV233" s="10"/>
      <c r="AW233" s="10"/>
      <c r="AX233" s="10"/>
      <c r="AY233" s="10"/>
      <c r="AZ233" s="10"/>
      <c r="BA233" s="16"/>
      <c r="BB233" s="16"/>
      <c r="BH233" s="16"/>
    </row>
    <row r="234" spans="17:60" x14ac:dyDescent="0.2"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K234" s="10"/>
      <c r="AL234" s="10"/>
      <c r="AM234" s="10"/>
      <c r="AN234" s="10"/>
      <c r="AO234" s="10"/>
      <c r="AP234" s="10"/>
      <c r="AQ234" s="10"/>
      <c r="AR234" s="16"/>
      <c r="AS234" s="16"/>
      <c r="AT234" s="16"/>
      <c r="AU234" s="10"/>
      <c r="AV234" s="10"/>
      <c r="AW234" s="10"/>
      <c r="AX234" s="10"/>
      <c r="AY234" s="10"/>
      <c r="AZ234" s="10"/>
      <c r="BA234" s="16"/>
      <c r="BB234" s="16"/>
      <c r="BH234" s="16"/>
    </row>
    <row r="235" spans="17:60" x14ac:dyDescent="0.2"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K235" s="10"/>
      <c r="AL235" s="10"/>
      <c r="AM235" s="10"/>
      <c r="AN235" s="10"/>
      <c r="AO235" s="10"/>
      <c r="AP235" s="10"/>
      <c r="AQ235" s="10"/>
      <c r="AR235" s="16"/>
      <c r="AS235" s="16"/>
      <c r="AT235" s="16"/>
      <c r="AU235" s="10"/>
      <c r="AV235" s="10"/>
      <c r="AW235" s="10"/>
      <c r="AX235" s="10"/>
      <c r="AY235" s="10"/>
      <c r="AZ235" s="10"/>
      <c r="BA235" s="16"/>
      <c r="BB235" s="16"/>
      <c r="BH235" s="16"/>
    </row>
    <row r="236" spans="17:60" x14ac:dyDescent="0.2"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K236" s="10"/>
      <c r="AL236" s="10"/>
      <c r="AM236" s="10"/>
      <c r="AN236" s="10"/>
      <c r="AO236" s="10"/>
      <c r="AP236" s="10"/>
      <c r="AQ236" s="10"/>
      <c r="AR236" s="16"/>
      <c r="AS236" s="16"/>
      <c r="AT236" s="16"/>
      <c r="AU236" s="10"/>
      <c r="AV236" s="10"/>
      <c r="AW236" s="10"/>
      <c r="AX236" s="10"/>
      <c r="AY236" s="10"/>
      <c r="AZ236" s="10"/>
      <c r="BA236" s="16"/>
      <c r="BB236" s="16"/>
      <c r="BH236" s="16"/>
    </row>
    <row r="237" spans="17:60" x14ac:dyDescent="0.2"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K237" s="10"/>
      <c r="AL237" s="10"/>
      <c r="AM237" s="10"/>
      <c r="AN237" s="10"/>
      <c r="AO237" s="10"/>
      <c r="AP237" s="10"/>
      <c r="AQ237" s="10"/>
      <c r="AR237" s="16"/>
      <c r="AS237" s="16"/>
      <c r="AT237" s="16"/>
      <c r="AU237" s="10"/>
      <c r="AV237" s="10"/>
      <c r="AW237" s="10"/>
      <c r="AX237" s="10"/>
      <c r="AY237" s="10"/>
      <c r="AZ237" s="10"/>
      <c r="BA237" s="16"/>
      <c r="BB237" s="16"/>
      <c r="BH237" s="16"/>
    </row>
    <row r="238" spans="17:60" x14ac:dyDescent="0.2"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K238" s="10"/>
      <c r="AL238" s="10"/>
      <c r="AM238" s="10"/>
      <c r="AN238" s="10"/>
      <c r="AO238" s="10"/>
      <c r="AP238" s="10"/>
      <c r="AQ238" s="10"/>
      <c r="AR238" s="16"/>
      <c r="AS238" s="16"/>
      <c r="AT238" s="16"/>
      <c r="AU238" s="10"/>
      <c r="AV238" s="10"/>
      <c r="AW238" s="10"/>
      <c r="AX238" s="10"/>
      <c r="AY238" s="10"/>
      <c r="AZ238" s="10"/>
      <c r="BA238" s="16"/>
      <c r="BB238" s="16"/>
      <c r="BH238" s="16"/>
    </row>
    <row r="239" spans="17:60" x14ac:dyDescent="0.2"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K239" s="10"/>
      <c r="AL239" s="10"/>
      <c r="AM239" s="10"/>
      <c r="AN239" s="10"/>
      <c r="AO239" s="10"/>
      <c r="AP239" s="10"/>
      <c r="AQ239" s="10"/>
      <c r="AR239" s="16"/>
      <c r="AS239" s="16"/>
      <c r="AT239" s="16"/>
      <c r="AU239" s="10"/>
      <c r="AV239" s="10"/>
      <c r="AW239" s="10"/>
      <c r="AX239" s="10"/>
      <c r="AY239" s="10"/>
      <c r="AZ239" s="10"/>
      <c r="BA239" s="16"/>
      <c r="BB239" s="16"/>
      <c r="BH239" s="16"/>
    </row>
    <row r="240" spans="17:60" x14ac:dyDescent="0.2"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K240" s="10"/>
      <c r="AL240" s="10"/>
      <c r="AM240" s="10"/>
      <c r="AN240" s="10"/>
      <c r="AO240" s="10"/>
      <c r="AP240" s="10"/>
      <c r="AQ240" s="10"/>
      <c r="AR240" s="16"/>
      <c r="AS240" s="16"/>
      <c r="AT240" s="16"/>
      <c r="AU240" s="10"/>
      <c r="AV240" s="10"/>
      <c r="AW240" s="10"/>
      <c r="AX240" s="10"/>
      <c r="AY240" s="10"/>
      <c r="AZ240" s="10"/>
      <c r="BA240" s="16"/>
      <c r="BB240" s="16"/>
      <c r="BH240" s="16"/>
    </row>
    <row r="241" spans="17:60" x14ac:dyDescent="0.2"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K241" s="10"/>
      <c r="AL241" s="10"/>
      <c r="AM241" s="10"/>
      <c r="AN241" s="10"/>
      <c r="AO241" s="10"/>
      <c r="AP241" s="10"/>
      <c r="AQ241" s="10"/>
      <c r="AR241" s="16"/>
      <c r="AS241" s="16"/>
      <c r="AT241" s="16"/>
      <c r="AU241" s="10"/>
      <c r="AV241" s="10"/>
      <c r="AW241" s="10"/>
      <c r="AX241" s="10"/>
      <c r="AY241" s="10"/>
      <c r="AZ241" s="10"/>
      <c r="BA241" s="16"/>
      <c r="BB241" s="16"/>
      <c r="BH241" s="16"/>
    </row>
    <row r="242" spans="17:60" x14ac:dyDescent="0.2"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K242" s="10"/>
      <c r="AL242" s="10"/>
      <c r="AM242" s="10"/>
      <c r="AN242" s="10"/>
      <c r="AO242" s="10"/>
      <c r="AP242" s="10"/>
      <c r="AQ242" s="10"/>
      <c r="AR242" s="16"/>
      <c r="AS242" s="16"/>
      <c r="AT242" s="16"/>
      <c r="AU242" s="10"/>
      <c r="AV242" s="10"/>
      <c r="AW242" s="10"/>
      <c r="AX242" s="10"/>
      <c r="AY242" s="10"/>
      <c r="AZ242" s="10"/>
      <c r="BA242" s="16"/>
      <c r="BB242" s="16"/>
      <c r="BH242" s="16"/>
    </row>
    <row r="243" spans="17:60" x14ac:dyDescent="0.2"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K243" s="10"/>
      <c r="AL243" s="10"/>
      <c r="AM243" s="10"/>
      <c r="AN243" s="10"/>
      <c r="AO243" s="10"/>
      <c r="AP243" s="10"/>
      <c r="AQ243" s="10"/>
      <c r="AR243" s="16"/>
      <c r="AS243" s="16"/>
      <c r="AT243" s="16"/>
      <c r="AU243" s="10"/>
      <c r="AV243" s="10"/>
      <c r="AW243" s="10"/>
      <c r="AX243" s="10"/>
      <c r="AY243" s="10"/>
      <c r="AZ243" s="10"/>
      <c r="BA243" s="16"/>
      <c r="BB243" s="16"/>
      <c r="BH243" s="16"/>
    </row>
    <row r="244" spans="17:60" x14ac:dyDescent="0.2"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K244" s="10"/>
      <c r="AL244" s="10"/>
      <c r="AM244" s="10"/>
      <c r="AN244" s="10"/>
      <c r="AO244" s="10"/>
      <c r="AP244" s="10"/>
      <c r="AQ244" s="10"/>
      <c r="AR244" s="16"/>
      <c r="AS244" s="16"/>
      <c r="AT244" s="16"/>
      <c r="AU244" s="10"/>
      <c r="AV244" s="10"/>
      <c r="AW244" s="10"/>
      <c r="AX244" s="10"/>
      <c r="AY244" s="10"/>
      <c r="AZ244" s="10"/>
      <c r="BA244" s="16"/>
      <c r="BB244" s="16"/>
      <c r="BH244" s="16"/>
    </row>
    <row r="245" spans="17:60" x14ac:dyDescent="0.2"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K245" s="10"/>
      <c r="AL245" s="10"/>
      <c r="AM245" s="10"/>
      <c r="AN245" s="10"/>
      <c r="AO245" s="10"/>
      <c r="AP245" s="10"/>
      <c r="AQ245" s="10"/>
      <c r="AR245" s="16"/>
      <c r="AS245" s="16"/>
      <c r="AT245" s="16"/>
      <c r="AU245" s="10"/>
      <c r="AV245" s="10"/>
      <c r="AW245" s="10"/>
      <c r="AX245" s="10"/>
      <c r="AY245" s="10"/>
      <c r="AZ245" s="10"/>
      <c r="BA245" s="16"/>
      <c r="BB245" s="16"/>
      <c r="BH245" s="16"/>
    </row>
    <row r="246" spans="17:60" x14ac:dyDescent="0.2"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K246" s="10"/>
      <c r="AL246" s="10"/>
      <c r="AM246" s="10"/>
      <c r="AN246" s="10"/>
      <c r="AO246" s="10"/>
      <c r="AP246" s="10"/>
      <c r="AQ246" s="10"/>
      <c r="AR246" s="16"/>
      <c r="AS246" s="16"/>
      <c r="AT246" s="16"/>
      <c r="AU246" s="10"/>
      <c r="AV246" s="10"/>
      <c r="AW246" s="10"/>
      <c r="AX246" s="10"/>
      <c r="AY246" s="10"/>
      <c r="AZ246" s="10"/>
      <c r="BA246" s="16"/>
      <c r="BB246" s="16"/>
      <c r="BH246" s="16"/>
    </row>
    <row r="247" spans="17:60" x14ac:dyDescent="0.2"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K247" s="10"/>
      <c r="AL247" s="10"/>
      <c r="AM247" s="10"/>
      <c r="AN247" s="10"/>
      <c r="AO247" s="10"/>
      <c r="AP247" s="10"/>
      <c r="AQ247" s="10"/>
      <c r="AR247" s="16"/>
      <c r="AS247" s="16"/>
      <c r="AT247" s="16"/>
      <c r="AU247" s="10"/>
      <c r="AV247" s="10"/>
      <c r="AW247" s="10"/>
      <c r="AX247" s="10"/>
      <c r="AY247" s="10"/>
      <c r="AZ247" s="10"/>
      <c r="BA247" s="16"/>
      <c r="BB247" s="16"/>
      <c r="BH247" s="16"/>
    </row>
    <row r="248" spans="17:60" x14ac:dyDescent="0.2"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K248" s="10"/>
      <c r="AL248" s="10"/>
      <c r="AM248" s="10"/>
      <c r="AN248" s="10"/>
      <c r="AO248" s="10"/>
      <c r="AP248" s="10"/>
      <c r="AQ248" s="10"/>
      <c r="AR248" s="16"/>
      <c r="AS248" s="16"/>
      <c r="AT248" s="16"/>
      <c r="AU248" s="10"/>
      <c r="AV248" s="10"/>
      <c r="AW248" s="10"/>
      <c r="AX248" s="10"/>
      <c r="AY248" s="10"/>
      <c r="AZ248" s="10"/>
      <c r="BA248" s="16"/>
      <c r="BB248" s="16"/>
      <c r="BH248" s="16"/>
    </row>
    <row r="249" spans="17:60" x14ac:dyDescent="0.2"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K249" s="10"/>
      <c r="AL249" s="10"/>
      <c r="AM249" s="10"/>
      <c r="AN249" s="10"/>
      <c r="AO249" s="10"/>
      <c r="AP249" s="10"/>
      <c r="AQ249" s="10"/>
      <c r="AR249" s="16"/>
      <c r="AS249" s="16"/>
      <c r="AT249" s="16"/>
      <c r="AU249" s="10"/>
      <c r="AV249" s="10"/>
      <c r="AW249" s="10"/>
      <c r="AX249" s="10"/>
      <c r="AY249" s="10"/>
      <c r="AZ249" s="10"/>
      <c r="BA249" s="16"/>
      <c r="BB249" s="16"/>
      <c r="BH249" s="16"/>
    </row>
    <row r="250" spans="17:60" x14ac:dyDescent="0.2"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K250" s="10"/>
      <c r="AL250" s="10"/>
      <c r="AM250" s="10"/>
      <c r="AN250" s="10"/>
      <c r="AO250" s="10"/>
      <c r="AP250" s="10"/>
      <c r="AQ250" s="10"/>
      <c r="AR250" s="16"/>
      <c r="AS250" s="16"/>
      <c r="AT250" s="16"/>
      <c r="AU250" s="10"/>
      <c r="AV250" s="10"/>
      <c r="AW250" s="10"/>
      <c r="AX250" s="10"/>
      <c r="AY250" s="10"/>
      <c r="AZ250" s="10"/>
      <c r="BA250" s="16"/>
      <c r="BB250" s="16"/>
      <c r="BH250" s="16"/>
    </row>
    <row r="251" spans="17:60" x14ac:dyDescent="0.2"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K251" s="10"/>
      <c r="AL251" s="10"/>
      <c r="AM251" s="10"/>
      <c r="AN251" s="10"/>
      <c r="AO251" s="10"/>
      <c r="AP251" s="10"/>
      <c r="AQ251" s="10"/>
      <c r="AR251" s="16"/>
      <c r="AS251" s="16"/>
      <c r="AT251" s="16"/>
      <c r="AU251" s="10"/>
      <c r="AV251" s="10"/>
      <c r="AW251" s="10"/>
      <c r="AX251" s="10"/>
      <c r="AY251" s="10"/>
      <c r="AZ251" s="10"/>
      <c r="BA251" s="16"/>
      <c r="BB251" s="16"/>
      <c r="BH251" s="16"/>
    </row>
    <row r="252" spans="17:60" x14ac:dyDescent="0.2"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K252" s="10"/>
      <c r="AL252" s="10"/>
      <c r="AM252" s="10"/>
      <c r="AN252" s="10"/>
      <c r="AO252" s="10"/>
      <c r="AP252" s="10"/>
      <c r="AQ252" s="10"/>
      <c r="AR252" s="16"/>
      <c r="AS252" s="16"/>
      <c r="AT252" s="16"/>
      <c r="AU252" s="10"/>
      <c r="AV252" s="10"/>
      <c r="AW252" s="10"/>
      <c r="AX252" s="10"/>
      <c r="AY252" s="10"/>
      <c r="AZ252" s="10"/>
      <c r="BA252" s="16"/>
      <c r="BB252" s="16"/>
      <c r="BH252" s="16"/>
    </row>
    <row r="253" spans="17:60" x14ac:dyDescent="0.2"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K253" s="10"/>
      <c r="AL253" s="10"/>
      <c r="AM253" s="10"/>
      <c r="AN253" s="10"/>
      <c r="AO253" s="10"/>
      <c r="AP253" s="10"/>
      <c r="AQ253" s="10"/>
      <c r="AR253" s="16"/>
      <c r="AS253" s="16"/>
      <c r="AT253" s="16"/>
      <c r="AU253" s="10"/>
      <c r="AV253" s="10"/>
      <c r="AW253" s="10"/>
      <c r="AX253" s="10"/>
      <c r="AY253" s="10"/>
      <c r="AZ253" s="10"/>
      <c r="BA253" s="16"/>
      <c r="BB253" s="16"/>
      <c r="BH253" s="16"/>
    </row>
    <row r="254" spans="17:60" x14ac:dyDescent="0.2"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K254" s="10"/>
      <c r="AL254" s="10"/>
      <c r="AM254" s="10"/>
      <c r="AN254" s="10"/>
      <c r="AO254" s="10"/>
      <c r="AP254" s="10"/>
      <c r="AQ254" s="10"/>
      <c r="AR254" s="16"/>
      <c r="AS254" s="16"/>
      <c r="AT254" s="16"/>
      <c r="AU254" s="10"/>
      <c r="AV254" s="10"/>
      <c r="AW254" s="10"/>
      <c r="AX254" s="10"/>
      <c r="AY254" s="10"/>
      <c r="AZ254" s="10"/>
      <c r="BA254" s="16"/>
      <c r="BB254" s="16"/>
      <c r="BH254" s="16"/>
    </row>
    <row r="255" spans="17:60" x14ac:dyDescent="0.2"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K255" s="10"/>
      <c r="AL255" s="10"/>
      <c r="AM255" s="10"/>
      <c r="AN255" s="10"/>
      <c r="AO255" s="10"/>
      <c r="AP255" s="10"/>
      <c r="AQ255" s="10"/>
      <c r="AR255" s="16"/>
      <c r="AS255" s="16"/>
      <c r="AT255" s="16"/>
      <c r="AU255" s="10"/>
      <c r="AV255" s="10"/>
      <c r="AW255" s="10"/>
      <c r="AX255" s="10"/>
      <c r="AY255" s="10"/>
      <c r="AZ255" s="10"/>
      <c r="BA255" s="16"/>
      <c r="BB255" s="16"/>
      <c r="BH255" s="16"/>
    </row>
    <row r="256" spans="17:60" x14ac:dyDescent="0.2"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K256" s="10"/>
      <c r="AL256" s="10"/>
      <c r="AM256" s="10"/>
      <c r="AN256" s="10"/>
      <c r="AO256" s="10"/>
      <c r="AP256" s="10"/>
      <c r="AQ256" s="10"/>
      <c r="AR256" s="16"/>
      <c r="AS256" s="16"/>
      <c r="AT256" s="16"/>
      <c r="AU256" s="10"/>
      <c r="AV256" s="10"/>
      <c r="AW256" s="10"/>
      <c r="AX256" s="10"/>
      <c r="AY256" s="10"/>
      <c r="AZ256" s="10"/>
      <c r="BA256" s="16"/>
      <c r="BB256" s="16"/>
      <c r="BH256" s="16"/>
    </row>
    <row r="257" spans="17:60" x14ac:dyDescent="0.2"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K257" s="10"/>
      <c r="AL257" s="10"/>
      <c r="AM257" s="10"/>
      <c r="AN257" s="10"/>
      <c r="AO257" s="10"/>
      <c r="AP257" s="10"/>
      <c r="AQ257" s="10"/>
      <c r="AR257" s="16"/>
      <c r="AS257" s="16"/>
      <c r="AT257" s="16"/>
      <c r="AU257" s="10"/>
      <c r="AV257" s="10"/>
      <c r="AW257" s="10"/>
      <c r="AX257" s="10"/>
      <c r="AY257" s="10"/>
      <c r="AZ257" s="10"/>
      <c r="BA257" s="16"/>
      <c r="BB257" s="16"/>
      <c r="BH257" s="16"/>
    </row>
    <row r="258" spans="17:60" x14ac:dyDescent="0.2"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K258" s="10"/>
      <c r="AL258" s="10"/>
      <c r="AM258" s="10"/>
      <c r="AN258" s="10"/>
      <c r="AO258" s="10"/>
      <c r="AP258" s="10"/>
      <c r="AQ258" s="10"/>
      <c r="AR258" s="16"/>
      <c r="AS258" s="16"/>
      <c r="AT258" s="16"/>
      <c r="AU258" s="10"/>
      <c r="AV258" s="10"/>
      <c r="AW258" s="10"/>
      <c r="AX258" s="10"/>
      <c r="AY258" s="10"/>
      <c r="AZ258" s="10"/>
      <c r="BA258" s="16"/>
      <c r="BB258" s="16"/>
      <c r="BH258" s="16"/>
    </row>
    <row r="259" spans="17:60" x14ac:dyDescent="0.2"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K259" s="10"/>
      <c r="AL259" s="10"/>
      <c r="AM259" s="10"/>
      <c r="AN259" s="10"/>
      <c r="AO259" s="10"/>
      <c r="AP259" s="10"/>
      <c r="AQ259" s="10"/>
      <c r="AR259" s="16"/>
      <c r="AS259" s="16"/>
      <c r="AT259" s="16"/>
      <c r="AU259" s="10"/>
      <c r="AV259" s="10"/>
      <c r="AW259" s="10"/>
      <c r="AX259" s="10"/>
      <c r="AY259" s="10"/>
      <c r="AZ259" s="10"/>
      <c r="BA259" s="16"/>
      <c r="BB259" s="16"/>
      <c r="BH259" s="16"/>
    </row>
    <row r="260" spans="17:60" x14ac:dyDescent="0.2"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K260" s="10"/>
      <c r="AL260" s="10"/>
      <c r="AM260" s="10"/>
      <c r="AN260" s="10"/>
      <c r="AO260" s="10"/>
      <c r="AP260" s="10"/>
      <c r="AQ260" s="10"/>
      <c r="AR260" s="16"/>
      <c r="AS260" s="16"/>
      <c r="AT260" s="16"/>
      <c r="AU260" s="10"/>
      <c r="AV260" s="10"/>
      <c r="AW260" s="10"/>
      <c r="AX260" s="10"/>
      <c r="AY260" s="10"/>
      <c r="AZ260" s="10"/>
      <c r="BA260" s="16"/>
      <c r="BB260" s="16"/>
      <c r="BH260" s="16"/>
    </row>
    <row r="261" spans="17:60" x14ac:dyDescent="0.2"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K261" s="10"/>
      <c r="AL261" s="10"/>
      <c r="AM261" s="10"/>
      <c r="AN261" s="10"/>
      <c r="AO261" s="10"/>
      <c r="AP261" s="10"/>
      <c r="AQ261" s="10"/>
      <c r="AR261" s="16"/>
      <c r="AS261" s="16"/>
      <c r="AT261" s="16"/>
      <c r="AU261" s="10"/>
      <c r="AV261" s="10"/>
      <c r="AW261" s="10"/>
      <c r="AX261" s="10"/>
      <c r="AY261" s="10"/>
      <c r="AZ261" s="10"/>
      <c r="BA261" s="16"/>
      <c r="BB261" s="16"/>
      <c r="BH261" s="16"/>
    </row>
    <row r="262" spans="17:60" x14ac:dyDescent="0.2"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K262" s="10"/>
      <c r="AL262" s="10"/>
      <c r="AM262" s="10"/>
      <c r="AN262" s="10"/>
      <c r="AO262" s="10"/>
      <c r="AP262" s="10"/>
      <c r="AQ262" s="10"/>
      <c r="AR262" s="16"/>
      <c r="AS262" s="16"/>
      <c r="AT262" s="16"/>
      <c r="AU262" s="10"/>
      <c r="AV262" s="10"/>
      <c r="AW262" s="10"/>
      <c r="AX262" s="10"/>
      <c r="AY262" s="10"/>
      <c r="AZ262" s="10"/>
      <c r="BA262" s="16"/>
      <c r="BB262" s="16"/>
      <c r="BH262" s="16"/>
    </row>
    <row r="263" spans="17:60" x14ac:dyDescent="0.2"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K263" s="10"/>
      <c r="AL263" s="10"/>
      <c r="AM263" s="10"/>
      <c r="AN263" s="10"/>
      <c r="AO263" s="10"/>
      <c r="AP263" s="10"/>
      <c r="AQ263" s="10"/>
      <c r="AR263" s="16"/>
      <c r="AS263" s="16"/>
      <c r="AT263" s="16"/>
      <c r="AU263" s="10"/>
      <c r="AV263" s="10"/>
      <c r="AW263" s="10"/>
      <c r="AX263" s="10"/>
      <c r="AY263" s="10"/>
      <c r="AZ263" s="10"/>
      <c r="BA263" s="16"/>
      <c r="BB263" s="16"/>
      <c r="BH263" s="16"/>
    </row>
    <row r="264" spans="17:60" x14ac:dyDescent="0.2"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K264" s="10"/>
      <c r="AL264" s="10"/>
      <c r="AM264" s="10"/>
      <c r="AN264" s="10"/>
      <c r="AO264" s="10"/>
      <c r="AP264" s="10"/>
      <c r="AQ264" s="10"/>
      <c r="AR264" s="16"/>
      <c r="AS264" s="16"/>
      <c r="AT264" s="16"/>
      <c r="AU264" s="10"/>
      <c r="AV264" s="10"/>
      <c r="AW264" s="10"/>
      <c r="AX264" s="10"/>
      <c r="AY264" s="10"/>
      <c r="AZ264" s="10"/>
      <c r="BA264" s="16"/>
      <c r="BB264" s="16"/>
      <c r="BH264" s="16"/>
    </row>
    <row r="265" spans="17:60" x14ac:dyDescent="0.2"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K265" s="10"/>
      <c r="AL265" s="10"/>
      <c r="AM265" s="10"/>
      <c r="AN265" s="10"/>
      <c r="AO265" s="10"/>
      <c r="AP265" s="10"/>
      <c r="AQ265" s="10"/>
      <c r="AR265" s="16"/>
      <c r="AS265" s="16"/>
      <c r="AT265" s="16"/>
      <c r="AU265" s="10"/>
      <c r="AV265" s="10"/>
      <c r="AW265" s="10"/>
      <c r="AX265" s="10"/>
      <c r="AY265" s="10"/>
      <c r="AZ265" s="10"/>
      <c r="BA265" s="16"/>
      <c r="BB265" s="16"/>
      <c r="BH265" s="16"/>
    </row>
    <row r="266" spans="17:60" x14ac:dyDescent="0.2"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K266" s="10"/>
      <c r="AL266" s="10"/>
      <c r="AM266" s="10"/>
      <c r="AN266" s="10"/>
      <c r="AO266" s="10"/>
      <c r="AP266" s="10"/>
      <c r="AQ266" s="10"/>
      <c r="AR266" s="16"/>
      <c r="AS266" s="16"/>
      <c r="AT266" s="16"/>
      <c r="AU266" s="10"/>
      <c r="AV266" s="10"/>
      <c r="AW266" s="10"/>
      <c r="AX266" s="10"/>
      <c r="AY266" s="10"/>
      <c r="AZ266" s="10"/>
      <c r="BA266" s="16"/>
      <c r="BB266" s="16"/>
      <c r="BH266" s="16"/>
    </row>
    <row r="267" spans="17:60" x14ac:dyDescent="0.2"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K267" s="10"/>
      <c r="AL267" s="10"/>
      <c r="AM267" s="10"/>
      <c r="AN267" s="10"/>
      <c r="AO267" s="10"/>
      <c r="AP267" s="10"/>
      <c r="AQ267" s="10"/>
      <c r="AR267" s="16"/>
      <c r="AS267" s="16"/>
      <c r="AT267" s="16"/>
      <c r="AU267" s="10"/>
      <c r="AV267" s="10"/>
      <c r="AW267" s="10"/>
      <c r="AX267" s="10"/>
      <c r="AY267" s="10"/>
      <c r="AZ267" s="10"/>
      <c r="BA267" s="16"/>
      <c r="BB267" s="16"/>
      <c r="BH267" s="16"/>
    </row>
    <row r="268" spans="17:60" x14ac:dyDescent="0.2"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K268" s="10"/>
      <c r="AL268" s="10"/>
      <c r="AM268" s="10"/>
      <c r="AN268" s="10"/>
      <c r="AO268" s="10"/>
      <c r="AP268" s="10"/>
      <c r="AQ268" s="10"/>
      <c r="AR268" s="16"/>
      <c r="AS268" s="16"/>
      <c r="AT268" s="16"/>
      <c r="AU268" s="10"/>
      <c r="AV268" s="10"/>
      <c r="AW268" s="10"/>
      <c r="AX268" s="10"/>
      <c r="AY268" s="10"/>
      <c r="AZ268" s="10"/>
      <c r="BA268" s="16"/>
      <c r="BB268" s="16"/>
      <c r="BH268" s="16"/>
    </row>
    <row r="269" spans="17:60" x14ac:dyDescent="0.2"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K269" s="10"/>
      <c r="AL269" s="10"/>
      <c r="AM269" s="10"/>
      <c r="AN269" s="10"/>
      <c r="AO269" s="10"/>
      <c r="AP269" s="10"/>
      <c r="AQ269" s="10"/>
      <c r="AR269" s="16"/>
      <c r="AS269" s="16"/>
      <c r="AT269" s="16"/>
      <c r="AU269" s="10"/>
      <c r="AV269" s="10"/>
      <c r="AW269" s="10"/>
      <c r="AX269" s="10"/>
      <c r="AY269" s="10"/>
      <c r="AZ269" s="10"/>
      <c r="BA269" s="16"/>
      <c r="BB269" s="16"/>
      <c r="BH269" s="16"/>
    </row>
    <row r="270" spans="17:60" x14ac:dyDescent="0.2"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K270" s="10"/>
      <c r="AL270" s="10"/>
      <c r="AM270" s="10"/>
      <c r="AN270" s="10"/>
      <c r="AO270" s="10"/>
      <c r="AP270" s="10"/>
      <c r="AQ270" s="10"/>
      <c r="AR270" s="16"/>
      <c r="AS270" s="16"/>
      <c r="AT270" s="16"/>
      <c r="AU270" s="10"/>
      <c r="AV270" s="10"/>
      <c r="AW270" s="10"/>
      <c r="AX270" s="10"/>
      <c r="AY270" s="10"/>
      <c r="AZ270" s="10"/>
      <c r="BA270" s="16"/>
      <c r="BB270" s="16"/>
      <c r="BH270" s="16"/>
    </row>
    <row r="271" spans="17:60" x14ac:dyDescent="0.2"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K271" s="10"/>
      <c r="AL271" s="10"/>
      <c r="AM271" s="10"/>
      <c r="AN271" s="10"/>
      <c r="AO271" s="10"/>
      <c r="AP271" s="10"/>
      <c r="AQ271" s="10"/>
      <c r="AR271" s="16"/>
      <c r="AS271" s="16"/>
      <c r="AT271" s="16"/>
      <c r="AU271" s="10"/>
      <c r="AV271" s="10"/>
      <c r="AW271" s="10"/>
      <c r="AX271" s="10"/>
      <c r="AY271" s="10"/>
      <c r="AZ271" s="10"/>
      <c r="BA271" s="16"/>
      <c r="BB271" s="16"/>
      <c r="BH271" s="16"/>
    </row>
    <row r="272" spans="17:60" x14ac:dyDescent="0.2"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K272" s="10"/>
      <c r="AL272" s="10"/>
      <c r="AM272" s="10"/>
      <c r="AN272" s="10"/>
      <c r="AO272" s="10"/>
      <c r="AP272" s="10"/>
      <c r="AQ272" s="10"/>
      <c r="AR272" s="16"/>
      <c r="AS272" s="16"/>
      <c r="AT272" s="16"/>
      <c r="AU272" s="10"/>
      <c r="AV272" s="10"/>
      <c r="AW272" s="10"/>
      <c r="AX272" s="10"/>
      <c r="AY272" s="10"/>
      <c r="AZ272" s="10"/>
      <c r="BA272" s="16"/>
      <c r="BB272" s="16"/>
      <c r="BH272" s="16"/>
    </row>
    <row r="273" spans="17:60" x14ac:dyDescent="0.2"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K273" s="10"/>
      <c r="AL273" s="10"/>
      <c r="AM273" s="10"/>
      <c r="AN273" s="10"/>
      <c r="AO273" s="10"/>
      <c r="AP273" s="10"/>
      <c r="AQ273" s="10"/>
      <c r="AR273" s="16"/>
      <c r="AS273" s="16"/>
      <c r="AT273" s="16"/>
      <c r="AU273" s="10"/>
      <c r="AV273" s="10"/>
      <c r="AW273" s="10"/>
      <c r="AX273" s="10"/>
      <c r="AY273" s="10"/>
      <c r="AZ273" s="10"/>
      <c r="BA273" s="16"/>
      <c r="BB273" s="16"/>
      <c r="BH273" s="16"/>
    </row>
    <row r="274" spans="17:60" x14ac:dyDescent="0.2"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K274" s="10"/>
      <c r="AL274" s="10"/>
      <c r="AM274" s="10"/>
      <c r="AN274" s="10"/>
      <c r="AO274" s="10"/>
      <c r="AP274" s="10"/>
      <c r="AQ274" s="10"/>
      <c r="AR274" s="16"/>
      <c r="AS274" s="16"/>
      <c r="AT274" s="16"/>
      <c r="AU274" s="10"/>
      <c r="AV274" s="10"/>
      <c r="AW274" s="10"/>
      <c r="AX274" s="10"/>
      <c r="AY274" s="10"/>
      <c r="AZ274" s="10"/>
      <c r="BA274" s="16"/>
      <c r="BB274" s="16"/>
      <c r="BH274" s="16"/>
    </row>
    <row r="275" spans="17:60" x14ac:dyDescent="0.2"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K275" s="10"/>
      <c r="AL275" s="10"/>
      <c r="AM275" s="10"/>
      <c r="AN275" s="10"/>
      <c r="AO275" s="10"/>
      <c r="AP275" s="10"/>
      <c r="AQ275" s="10"/>
      <c r="AR275" s="16"/>
      <c r="AS275" s="16"/>
      <c r="AT275" s="16"/>
      <c r="AU275" s="10"/>
      <c r="AV275" s="10"/>
      <c r="AW275" s="10"/>
      <c r="AX275" s="10"/>
      <c r="AY275" s="10"/>
      <c r="AZ275" s="10"/>
      <c r="BA275" s="16"/>
      <c r="BB275" s="16"/>
      <c r="BH275" s="16"/>
    </row>
    <row r="276" spans="17:60" x14ac:dyDescent="0.2"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K276" s="10"/>
      <c r="AL276" s="10"/>
      <c r="AM276" s="10"/>
      <c r="AN276" s="10"/>
      <c r="AO276" s="10"/>
      <c r="AP276" s="10"/>
      <c r="AQ276" s="10"/>
      <c r="AR276" s="16"/>
      <c r="AS276" s="16"/>
      <c r="AT276" s="16"/>
      <c r="AU276" s="10"/>
      <c r="AV276" s="10"/>
      <c r="AW276" s="10"/>
      <c r="AX276" s="10"/>
      <c r="AY276" s="10"/>
      <c r="AZ276" s="10"/>
      <c r="BA276" s="16"/>
      <c r="BB276" s="16"/>
      <c r="BH276" s="16"/>
    </row>
    <row r="277" spans="17:60" x14ac:dyDescent="0.2"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K277" s="10"/>
      <c r="AL277" s="10"/>
      <c r="AM277" s="10"/>
      <c r="AN277" s="10"/>
      <c r="AO277" s="10"/>
      <c r="AP277" s="10"/>
      <c r="AQ277" s="10"/>
      <c r="AR277" s="16"/>
      <c r="AS277" s="16"/>
      <c r="AT277" s="16"/>
      <c r="AU277" s="10"/>
      <c r="AV277" s="10"/>
      <c r="AW277" s="10"/>
      <c r="AX277" s="10"/>
      <c r="AY277" s="10"/>
      <c r="AZ277" s="10"/>
      <c r="BA277" s="16"/>
      <c r="BB277" s="16"/>
      <c r="BH277" s="16"/>
    </row>
    <row r="278" spans="17:60" x14ac:dyDescent="0.2"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K278" s="10"/>
      <c r="AL278" s="10"/>
      <c r="AM278" s="10"/>
      <c r="AN278" s="10"/>
      <c r="AO278" s="10"/>
      <c r="AP278" s="10"/>
      <c r="AQ278" s="10"/>
      <c r="AR278" s="16"/>
      <c r="AS278" s="16"/>
      <c r="AT278" s="16"/>
      <c r="AU278" s="10"/>
      <c r="AV278" s="10"/>
      <c r="AW278" s="10"/>
      <c r="AX278" s="10"/>
      <c r="AY278" s="10"/>
      <c r="AZ278" s="10"/>
      <c r="BA278" s="16"/>
      <c r="BB278" s="16"/>
      <c r="BH278" s="16"/>
    </row>
    <row r="279" spans="17:60" x14ac:dyDescent="0.2"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K279" s="10"/>
      <c r="AL279" s="10"/>
      <c r="AM279" s="10"/>
      <c r="AN279" s="10"/>
      <c r="AO279" s="10"/>
      <c r="AP279" s="10"/>
      <c r="AQ279" s="10"/>
      <c r="AR279" s="16"/>
      <c r="AS279" s="16"/>
      <c r="AT279" s="16"/>
      <c r="AU279" s="10"/>
      <c r="AV279" s="10"/>
      <c r="AW279" s="10"/>
      <c r="AX279" s="10"/>
      <c r="AY279" s="10"/>
      <c r="AZ279" s="10"/>
      <c r="BA279" s="16"/>
      <c r="BB279" s="16"/>
      <c r="BH279" s="16"/>
    </row>
    <row r="280" spans="17:60" x14ac:dyDescent="0.2"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K280" s="10"/>
      <c r="AL280" s="10"/>
      <c r="AM280" s="10"/>
      <c r="AN280" s="10"/>
      <c r="AO280" s="10"/>
      <c r="AP280" s="10"/>
      <c r="AQ280" s="10"/>
      <c r="AR280" s="16"/>
      <c r="AS280" s="16"/>
      <c r="AT280" s="16"/>
      <c r="AU280" s="10"/>
      <c r="AV280" s="10"/>
      <c r="AW280" s="10"/>
      <c r="AX280" s="10"/>
      <c r="AY280" s="10"/>
      <c r="AZ280" s="10"/>
      <c r="BA280" s="16"/>
      <c r="BB280" s="16"/>
      <c r="BH280" s="16"/>
    </row>
    <row r="281" spans="17:60" x14ac:dyDescent="0.2"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K281" s="10"/>
      <c r="AL281" s="10"/>
      <c r="AM281" s="10"/>
      <c r="AN281" s="10"/>
      <c r="AO281" s="10"/>
      <c r="AP281" s="10"/>
      <c r="AQ281" s="10"/>
      <c r="AR281" s="16"/>
      <c r="AS281" s="16"/>
      <c r="AT281" s="16"/>
      <c r="AU281" s="10"/>
      <c r="AV281" s="10"/>
      <c r="AW281" s="10"/>
      <c r="AX281" s="10"/>
      <c r="AY281" s="10"/>
      <c r="AZ281" s="10"/>
      <c r="BA281" s="16"/>
      <c r="BB281" s="16"/>
      <c r="BH281" s="16"/>
    </row>
    <row r="282" spans="17:60" x14ac:dyDescent="0.2"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K282" s="10"/>
      <c r="AL282" s="10"/>
      <c r="AM282" s="10"/>
      <c r="AN282" s="10"/>
      <c r="AO282" s="10"/>
      <c r="AP282" s="10"/>
      <c r="AQ282" s="10"/>
      <c r="AR282" s="16"/>
      <c r="AS282" s="16"/>
      <c r="AT282" s="16"/>
      <c r="AU282" s="10"/>
      <c r="AV282" s="10"/>
      <c r="AW282" s="10"/>
      <c r="AX282" s="10"/>
      <c r="AY282" s="10"/>
      <c r="AZ282" s="10"/>
      <c r="BA282" s="16"/>
      <c r="BB282" s="16"/>
      <c r="BH282" s="16"/>
    </row>
    <row r="283" spans="17:60" x14ac:dyDescent="0.2"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K283" s="10"/>
      <c r="AL283" s="10"/>
      <c r="AM283" s="10"/>
      <c r="AN283" s="10"/>
      <c r="AO283" s="10"/>
      <c r="AP283" s="10"/>
      <c r="AQ283" s="10"/>
      <c r="AR283" s="16"/>
      <c r="AS283" s="16"/>
      <c r="AT283" s="16"/>
      <c r="AU283" s="10"/>
      <c r="AV283" s="10"/>
      <c r="AW283" s="10"/>
      <c r="AX283" s="10"/>
      <c r="AY283" s="10"/>
      <c r="AZ283" s="10"/>
      <c r="BA283" s="16"/>
      <c r="BB283" s="16"/>
      <c r="BH283" s="16"/>
    </row>
    <row r="284" spans="17:60" x14ac:dyDescent="0.2"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K284" s="10"/>
      <c r="AL284" s="10"/>
      <c r="AM284" s="10"/>
      <c r="AN284" s="10"/>
      <c r="AO284" s="10"/>
      <c r="AP284" s="10"/>
      <c r="AQ284" s="10"/>
      <c r="AR284" s="16"/>
      <c r="AS284" s="16"/>
      <c r="AT284" s="16"/>
      <c r="AU284" s="10"/>
      <c r="AV284" s="10"/>
      <c r="AW284" s="10"/>
      <c r="AX284" s="10"/>
      <c r="AY284" s="10"/>
      <c r="AZ284" s="10"/>
      <c r="BA284" s="16"/>
      <c r="BB284" s="16"/>
      <c r="BH284" s="16"/>
    </row>
    <row r="285" spans="17:60" x14ac:dyDescent="0.2"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K285" s="10"/>
      <c r="AL285" s="10"/>
      <c r="AM285" s="10"/>
      <c r="AN285" s="10"/>
      <c r="AO285" s="10"/>
      <c r="AP285" s="10"/>
      <c r="AQ285" s="10"/>
      <c r="AR285" s="16"/>
      <c r="AS285" s="16"/>
      <c r="AT285" s="16"/>
      <c r="AU285" s="10"/>
      <c r="AV285" s="10"/>
      <c r="AW285" s="10"/>
      <c r="AX285" s="10"/>
      <c r="AY285" s="10"/>
      <c r="AZ285" s="10"/>
      <c r="BA285" s="16"/>
      <c r="BB285" s="16"/>
      <c r="BH285" s="16"/>
    </row>
    <row r="286" spans="17:60" x14ac:dyDescent="0.2"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K286" s="10"/>
      <c r="AL286" s="10"/>
      <c r="AM286" s="10"/>
      <c r="AN286" s="10"/>
      <c r="AO286" s="10"/>
      <c r="AP286" s="10"/>
      <c r="AQ286" s="10"/>
      <c r="AR286" s="16"/>
      <c r="AS286" s="16"/>
      <c r="AT286" s="16"/>
      <c r="AU286" s="10"/>
      <c r="AV286" s="10"/>
      <c r="AW286" s="10"/>
      <c r="AX286" s="10"/>
      <c r="AY286" s="10"/>
      <c r="AZ286" s="10"/>
      <c r="BA286" s="16"/>
      <c r="BB286" s="16"/>
      <c r="BH286" s="16"/>
    </row>
    <row r="287" spans="17:60" x14ac:dyDescent="0.2"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K287" s="10"/>
      <c r="AL287" s="10"/>
      <c r="AM287" s="10"/>
      <c r="AN287" s="10"/>
      <c r="AO287" s="10"/>
      <c r="AP287" s="10"/>
      <c r="AQ287" s="10"/>
      <c r="AR287" s="16"/>
      <c r="AS287" s="16"/>
      <c r="AT287" s="16"/>
      <c r="AU287" s="10"/>
      <c r="AV287" s="10"/>
      <c r="AW287" s="10"/>
      <c r="AX287" s="10"/>
      <c r="AY287" s="10"/>
      <c r="AZ287" s="10"/>
      <c r="BA287" s="16"/>
      <c r="BB287" s="16"/>
      <c r="BH287" s="16"/>
    </row>
    <row r="288" spans="17:60" x14ac:dyDescent="0.2"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K288" s="10"/>
      <c r="AL288" s="10"/>
      <c r="AM288" s="10"/>
      <c r="AN288" s="10"/>
      <c r="AO288" s="10"/>
      <c r="AP288" s="10"/>
      <c r="AQ288" s="10"/>
      <c r="AR288" s="16"/>
      <c r="AS288" s="16"/>
      <c r="AT288" s="16"/>
      <c r="AU288" s="10"/>
      <c r="AV288" s="10"/>
      <c r="AW288" s="10"/>
      <c r="AX288" s="10"/>
      <c r="AY288" s="10"/>
      <c r="AZ288" s="10"/>
      <c r="BA288" s="16"/>
      <c r="BB288" s="16"/>
      <c r="BH288" s="16"/>
    </row>
    <row r="289" spans="17:60" x14ac:dyDescent="0.2"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K289" s="10"/>
      <c r="AL289" s="10"/>
      <c r="AM289" s="10"/>
      <c r="AN289" s="10"/>
      <c r="AO289" s="10"/>
      <c r="AP289" s="10"/>
      <c r="AQ289" s="10"/>
      <c r="AR289" s="16"/>
      <c r="AS289" s="16"/>
      <c r="AT289" s="16"/>
      <c r="AU289" s="10"/>
      <c r="AV289" s="10"/>
      <c r="AW289" s="10"/>
      <c r="AX289" s="10"/>
      <c r="AY289" s="10"/>
      <c r="AZ289" s="10"/>
      <c r="BA289" s="16"/>
      <c r="BB289" s="16"/>
      <c r="BH289" s="16"/>
    </row>
    <row r="290" spans="17:60" x14ac:dyDescent="0.2"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K290" s="10"/>
      <c r="AL290" s="10"/>
      <c r="AM290" s="10"/>
      <c r="AN290" s="10"/>
      <c r="AO290" s="10"/>
      <c r="AP290" s="10"/>
      <c r="AQ290" s="10"/>
      <c r="AR290" s="16"/>
      <c r="AS290" s="16"/>
      <c r="AT290" s="16"/>
      <c r="AU290" s="10"/>
      <c r="AV290" s="10"/>
      <c r="AW290" s="10"/>
      <c r="AX290" s="10"/>
      <c r="AY290" s="10"/>
      <c r="AZ290" s="10"/>
      <c r="BA290" s="16"/>
      <c r="BB290" s="16"/>
      <c r="BH290" s="16"/>
    </row>
    <row r="291" spans="17:60" x14ac:dyDescent="0.2"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K291" s="10"/>
      <c r="AL291" s="10"/>
      <c r="AM291" s="10"/>
      <c r="AN291" s="10"/>
      <c r="AO291" s="10"/>
      <c r="AP291" s="10"/>
      <c r="AQ291" s="10"/>
      <c r="AR291" s="16"/>
      <c r="AS291" s="16"/>
      <c r="AT291" s="16"/>
      <c r="AU291" s="10"/>
      <c r="AV291" s="10"/>
      <c r="AW291" s="10"/>
      <c r="AX291" s="10"/>
      <c r="AY291" s="10"/>
      <c r="AZ291" s="10"/>
      <c r="BA291" s="16"/>
      <c r="BB291" s="16"/>
      <c r="BH291" s="16"/>
    </row>
    <row r="292" spans="17:60" x14ac:dyDescent="0.2"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K292" s="10"/>
      <c r="AL292" s="10"/>
      <c r="AM292" s="10"/>
      <c r="AN292" s="10"/>
      <c r="AO292" s="10"/>
      <c r="AP292" s="10"/>
      <c r="AQ292" s="10"/>
      <c r="AR292" s="16"/>
      <c r="AS292" s="16"/>
      <c r="AT292" s="16"/>
      <c r="AU292" s="10"/>
      <c r="AV292" s="10"/>
      <c r="AW292" s="10"/>
      <c r="AX292" s="10"/>
      <c r="AY292" s="10"/>
      <c r="AZ292" s="10"/>
      <c r="BA292" s="16"/>
      <c r="BB292" s="16"/>
      <c r="BH292" s="16"/>
    </row>
    <row r="293" spans="17:60" x14ac:dyDescent="0.2"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K293" s="10"/>
      <c r="AL293" s="10"/>
      <c r="AM293" s="10"/>
      <c r="AN293" s="10"/>
      <c r="AO293" s="10"/>
      <c r="AP293" s="10"/>
      <c r="AQ293" s="10"/>
      <c r="AR293" s="16"/>
      <c r="AS293" s="16"/>
      <c r="AT293" s="16"/>
      <c r="AU293" s="10"/>
      <c r="AV293" s="10"/>
      <c r="AW293" s="10"/>
      <c r="AX293" s="10"/>
      <c r="AY293" s="10"/>
      <c r="AZ293" s="10"/>
      <c r="BA293" s="16"/>
      <c r="BB293" s="16"/>
      <c r="BH293" s="16"/>
    </row>
    <row r="294" spans="17:60" x14ac:dyDescent="0.2"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K294" s="10"/>
      <c r="AL294" s="10"/>
      <c r="AM294" s="10"/>
      <c r="AN294" s="10"/>
      <c r="AO294" s="10"/>
      <c r="AP294" s="10"/>
      <c r="AQ294" s="10"/>
      <c r="AR294" s="16"/>
      <c r="AS294" s="16"/>
      <c r="AT294" s="16"/>
      <c r="AU294" s="10"/>
      <c r="AV294" s="10"/>
      <c r="AW294" s="10"/>
      <c r="AX294" s="10"/>
      <c r="AY294" s="10"/>
      <c r="AZ294" s="10"/>
      <c r="BA294" s="16"/>
      <c r="BB294" s="16"/>
      <c r="BH294" s="16"/>
    </row>
    <row r="295" spans="17:60" x14ac:dyDescent="0.2"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K295" s="10"/>
      <c r="AL295" s="10"/>
      <c r="AM295" s="10"/>
      <c r="AN295" s="10"/>
      <c r="AO295" s="10"/>
      <c r="AP295" s="10"/>
      <c r="AQ295" s="10"/>
      <c r="AR295" s="16"/>
      <c r="AS295" s="16"/>
      <c r="AT295" s="16"/>
      <c r="AU295" s="10"/>
      <c r="AV295" s="10"/>
      <c r="AW295" s="10"/>
      <c r="AX295" s="10"/>
      <c r="AY295" s="10"/>
      <c r="AZ295" s="10"/>
      <c r="BA295" s="16"/>
      <c r="BB295" s="16"/>
      <c r="BH295" s="16"/>
    </row>
    <row r="296" spans="17:60" x14ac:dyDescent="0.2"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K296" s="10"/>
      <c r="AL296" s="10"/>
      <c r="AM296" s="10"/>
      <c r="AN296" s="10"/>
      <c r="AO296" s="10"/>
      <c r="AP296" s="10"/>
      <c r="AQ296" s="10"/>
      <c r="AR296" s="16"/>
      <c r="AS296" s="16"/>
      <c r="AT296" s="16"/>
      <c r="AU296" s="10"/>
      <c r="AV296" s="10"/>
      <c r="AW296" s="10"/>
      <c r="AX296" s="10"/>
      <c r="AY296" s="10"/>
      <c r="AZ296" s="10"/>
      <c r="BA296" s="16"/>
      <c r="BB296" s="16"/>
      <c r="BH296" s="16"/>
    </row>
    <row r="297" spans="17:60" x14ac:dyDescent="0.2"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K297" s="10"/>
      <c r="AL297" s="10"/>
      <c r="AM297" s="10"/>
      <c r="AN297" s="10"/>
      <c r="AO297" s="10"/>
      <c r="AP297" s="10"/>
      <c r="AQ297" s="10"/>
      <c r="AR297" s="16"/>
      <c r="AS297" s="16"/>
      <c r="AT297" s="16"/>
      <c r="AU297" s="10"/>
      <c r="AV297" s="10"/>
      <c r="AW297" s="10"/>
      <c r="AX297" s="10"/>
      <c r="AY297" s="10"/>
      <c r="AZ297" s="10"/>
      <c r="BA297" s="16"/>
      <c r="BB297" s="16"/>
      <c r="BH297" s="16"/>
    </row>
    <row r="298" spans="17:60" x14ac:dyDescent="0.2"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K298" s="10"/>
      <c r="AL298" s="10"/>
      <c r="AM298" s="10"/>
      <c r="AN298" s="10"/>
      <c r="AO298" s="10"/>
      <c r="AP298" s="10"/>
      <c r="AQ298" s="10"/>
      <c r="AR298" s="16"/>
      <c r="AS298" s="16"/>
      <c r="AT298" s="16"/>
      <c r="AU298" s="10"/>
      <c r="AV298" s="10"/>
      <c r="AW298" s="10"/>
      <c r="AX298" s="10"/>
      <c r="AY298" s="10"/>
      <c r="AZ298" s="10"/>
      <c r="BA298" s="16"/>
      <c r="BB298" s="16"/>
      <c r="BH298" s="16"/>
    </row>
    <row r="299" spans="17:60" x14ac:dyDescent="0.2"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K299" s="10"/>
      <c r="AL299" s="10"/>
      <c r="AM299" s="10"/>
      <c r="AN299" s="10"/>
      <c r="AO299" s="10"/>
      <c r="AP299" s="10"/>
      <c r="AQ299" s="10"/>
      <c r="AR299" s="16"/>
      <c r="AS299" s="16"/>
      <c r="AT299" s="16"/>
      <c r="AU299" s="10"/>
      <c r="AV299" s="10"/>
      <c r="AW299" s="10"/>
      <c r="AX299" s="10"/>
      <c r="AY299" s="10"/>
      <c r="AZ299" s="10"/>
      <c r="BA299" s="16"/>
      <c r="BB299" s="16"/>
      <c r="BH299" s="16"/>
    </row>
    <row r="300" spans="17:60" x14ac:dyDescent="0.2"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K300" s="10"/>
      <c r="AL300" s="10"/>
      <c r="AM300" s="10"/>
      <c r="AN300" s="10"/>
      <c r="AO300" s="10"/>
      <c r="AP300" s="10"/>
      <c r="AQ300" s="10"/>
      <c r="AR300" s="16"/>
      <c r="AS300" s="16"/>
      <c r="AT300" s="16"/>
      <c r="AU300" s="10"/>
      <c r="AV300" s="10"/>
      <c r="AW300" s="10"/>
      <c r="AX300" s="10"/>
      <c r="AY300" s="10"/>
      <c r="AZ300" s="10"/>
      <c r="BA300" s="16"/>
      <c r="BB300" s="16"/>
      <c r="BH300" s="16"/>
    </row>
    <row r="301" spans="17:60" x14ac:dyDescent="0.2"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K301" s="10"/>
      <c r="AL301" s="10"/>
      <c r="AM301" s="10"/>
      <c r="AN301" s="10"/>
      <c r="AO301" s="10"/>
      <c r="AP301" s="10"/>
      <c r="AQ301" s="10"/>
      <c r="AR301" s="16"/>
      <c r="AS301" s="16"/>
      <c r="AT301" s="16"/>
      <c r="AU301" s="10"/>
      <c r="AV301" s="10"/>
      <c r="AW301" s="10"/>
      <c r="AX301" s="10"/>
      <c r="AY301" s="10"/>
      <c r="AZ301" s="10"/>
      <c r="BA301" s="16"/>
      <c r="BB301" s="16"/>
      <c r="BH301" s="16"/>
    </row>
    <row r="302" spans="17:60" x14ac:dyDescent="0.2"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K302" s="10"/>
      <c r="AL302" s="10"/>
      <c r="AM302" s="10"/>
      <c r="AN302" s="10"/>
      <c r="AO302" s="10"/>
      <c r="AP302" s="10"/>
      <c r="AQ302" s="10"/>
      <c r="AR302" s="16"/>
      <c r="AS302" s="16"/>
      <c r="AT302" s="16"/>
      <c r="AU302" s="10"/>
      <c r="AV302" s="10"/>
      <c r="AW302" s="10"/>
      <c r="AX302" s="10"/>
      <c r="AY302" s="10"/>
      <c r="AZ302" s="10"/>
      <c r="BA302" s="16"/>
      <c r="BB302" s="16"/>
      <c r="BH302" s="16"/>
    </row>
    <row r="303" spans="17:60" x14ac:dyDescent="0.2"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K303" s="10"/>
      <c r="AL303" s="10"/>
      <c r="AM303" s="10"/>
      <c r="AN303" s="10"/>
      <c r="AO303" s="10"/>
      <c r="AP303" s="10"/>
      <c r="AQ303" s="10"/>
      <c r="AR303" s="16"/>
      <c r="AS303" s="16"/>
      <c r="AT303" s="16"/>
      <c r="AU303" s="10"/>
      <c r="AV303" s="10"/>
      <c r="AW303" s="10"/>
      <c r="AX303" s="10"/>
      <c r="AY303" s="10"/>
      <c r="AZ303" s="10"/>
      <c r="BA303" s="16"/>
      <c r="BB303" s="16"/>
      <c r="BH303" s="16"/>
    </row>
    <row r="304" spans="17:60" x14ac:dyDescent="0.2"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K304" s="10"/>
      <c r="AL304" s="10"/>
      <c r="AM304" s="10"/>
      <c r="AN304" s="10"/>
      <c r="AO304" s="10"/>
      <c r="AP304" s="10"/>
      <c r="AQ304" s="10"/>
      <c r="AR304" s="16"/>
      <c r="AS304" s="16"/>
      <c r="AT304" s="16"/>
      <c r="AU304" s="10"/>
      <c r="AV304" s="10"/>
      <c r="AW304" s="10"/>
      <c r="AX304" s="10"/>
      <c r="AY304" s="10"/>
      <c r="AZ304" s="10"/>
      <c r="BA304" s="16"/>
      <c r="BB304" s="16"/>
      <c r="BH304" s="16"/>
    </row>
    <row r="305" spans="17:60" x14ac:dyDescent="0.2"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K305" s="10"/>
      <c r="AL305" s="10"/>
      <c r="AM305" s="10"/>
      <c r="AN305" s="10"/>
      <c r="AO305" s="10"/>
      <c r="AP305" s="10"/>
      <c r="AQ305" s="10"/>
      <c r="AR305" s="16"/>
      <c r="AS305" s="16"/>
      <c r="AT305" s="16"/>
      <c r="AU305" s="10"/>
      <c r="AV305" s="10"/>
      <c r="AW305" s="10"/>
      <c r="AX305" s="10"/>
      <c r="AY305" s="10"/>
      <c r="AZ305" s="10"/>
      <c r="BA305" s="16"/>
      <c r="BB305" s="16"/>
      <c r="BH305" s="16"/>
    </row>
    <row r="306" spans="17:60" x14ac:dyDescent="0.2"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K306" s="10"/>
      <c r="AL306" s="10"/>
      <c r="AM306" s="10"/>
      <c r="AN306" s="10"/>
      <c r="AO306" s="10"/>
      <c r="AP306" s="10"/>
      <c r="AQ306" s="10"/>
      <c r="AR306" s="16"/>
      <c r="AS306" s="16"/>
      <c r="AT306" s="16"/>
      <c r="AU306" s="10"/>
      <c r="AV306" s="10"/>
      <c r="AW306" s="10"/>
      <c r="AX306" s="10"/>
      <c r="AY306" s="10"/>
      <c r="AZ306" s="10"/>
      <c r="BA306" s="16"/>
      <c r="BB306" s="16"/>
      <c r="BH306" s="16"/>
    </row>
    <row r="307" spans="17:60" x14ac:dyDescent="0.2"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K307" s="10"/>
      <c r="AL307" s="10"/>
      <c r="AM307" s="10"/>
      <c r="AN307" s="10"/>
      <c r="AO307" s="10"/>
      <c r="AP307" s="10"/>
      <c r="AQ307" s="10"/>
      <c r="AR307" s="16"/>
      <c r="AS307" s="16"/>
      <c r="AT307" s="16"/>
      <c r="AU307" s="10"/>
      <c r="AV307" s="10"/>
      <c r="AW307" s="10"/>
      <c r="AX307" s="10"/>
      <c r="AY307" s="10"/>
      <c r="AZ307" s="10"/>
      <c r="BA307" s="16"/>
      <c r="BB307" s="16"/>
      <c r="BH307" s="16"/>
    </row>
    <row r="308" spans="17:60" x14ac:dyDescent="0.2"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K308" s="10"/>
      <c r="AL308" s="10"/>
      <c r="AM308" s="10"/>
      <c r="AN308" s="10"/>
      <c r="AO308" s="10"/>
      <c r="AP308" s="10"/>
      <c r="AQ308" s="10"/>
      <c r="AR308" s="16"/>
      <c r="AS308" s="16"/>
      <c r="AT308" s="16"/>
      <c r="AU308" s="10"/>
      <c r="AV308" s="10"/>
      <c r="AW308" s="10"/>
      <c r="AX308" s="10"/>
      <c r="AY308" s="10"/>
      <c r="AZ308" s="10"/>
      <c r="BA308" s="16"/>
      <c r="BB308" s="16"/>
      <c r="BH308" s="16"/>
    </row>
    <row r="309" spans="17:60" x14ac:dyDescent="0.2"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K309" s="10"/>
      <c r="AL309" s="10"/>
      <c r="AM309" s="10"/>
      <c r="AN309" s="10"/>
      <c r="AO309" s="10"/>
      <c r="AP309" s="10"/>
      <c r="AQ309" s="10"/>
      <c r="AR309" s="16"/>
      <c r="AS309" s="16"/>
      <c r="AT309" s="16"/>
      <c r="AU309" s="10"/>
      <c r="AV309" s="10"/>
      <c r="AW309" s="10"/>
      <c r="AX309" s="10"/>
      <c r="AY309" s="10"/>
      <c r="AZ309" s="10"/>
      <c r="BA309" s="16"/>
      <c r="BB309" s="16"/>
      <c r="BH309" s="16"/>
    </row>
    <row r="310" spans="17:60" x14ac:dyDescent="0.2"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K310" s="10"/>
      <c r="AL310" s="10"/>
      <c r="AM310" s="10"/>
      <c r="AN310" s="10"/>
      <c r="AO310" s="10"/>
      <c r="AP310" s="10"/>
      <c r="AQ310" s="10"/>
      <c r="AR310" s="16"/>
      <c r="AS310" s="16"/>
      <c r="AT310" s="16"/>
      <c r="AU310" s="10"/>
      <c r="AV310" s="10"/>
      <c r="AW310" s="10"/>
      <c r="AX310" s="10"/>
      <c r="AY310" s="10"/>
      <c r="AZ310" s="10"/>
      <c r="BA310" s="16"/>
      <c r="BB310" s="16"/>
      <c r="BH310" s="16"/>
    </row>
    <row r="311" spans="17:60" x14ac:dyDescent="0.2"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K311" s="10"/>
      <c r="AL311" s="10"/>
      <c r="AM311" s="10"/>
      <c r="AN311" s="10"/>
      <c r="AO311" s="10"/>
      <c r="AP311" s="10"/>
      <c r="AQ311" s="10"/>
      <c r="AR311" s="16"/>
      <c r="AS311" s="16"/>
      <c r="AT311" s="16"/>
      <c r="AU311" s="10"/>
      <c r="AV311" s="10"/>
      <c r="AW311" s="10"/>
      <c r="AX311" s="10"/>
      <c r="AY311" s="10"/>
      <c r="AZ311" s="10"/>
      <c r="BA311" s="16"/>
      <c r="BB311" s="16"/>
      <c r="BH311" s="16"/>
    </row>
    <row r="312" spans="17:60" x14ac:dyDescent="0.2"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K312" s="10"/>
      <c r="AL312" s="10"/>
      <c r="AM312" s="10"/>
      <c r="AN312" s="10"/>
      <c r="AO312" s="10"/>
      <c r="AP312" s="10"/>
      <c r="AQ312" s="10"/>
      <c r="AR312" s="16"/>
      <c r="AS312" s="16"/>
      <c r="AT312" s="16"/>
      <c r="AU312" s="10"/>
      <c r="AV312" s="10"/>
      <c r="AW312" s="10"/>
      <c r="AX312" s="10"/>
      <c r="AY312" s="10"/>
      <c r="AZ312" s="10"/>
      <c r="BA312" s="16"/>
      <c r="BB312" s="16"/>
      <c r="BH312" s="16"/>
    </row>
    <row r="313" spans="17:60" x14ac:dyDescent="0.2"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K313" s="10"/>
      <c r="AL313" s="10"/>
      <c r="AM313" s="10"/>
      <c r="AN313" s="10"/>
      <c r="AO313" s="10"/>
      <c r="AP313" s="10"/>
      <c r="AQ313" s="10"/>
      <c r="AR313" s="16"/>
      <c r="AS313" s="16"/>
      <c r="AT313" s="16"/>
      <c r="AU313" s="10"/>
      <c r="AV313" s="10"/>
      <c r="AW313" s="10"/>
      <c r="AX313" s="10"/>
      <c r="AY313" s="10"/>
      <c r="AZ313" s="10"/>
      <c r="BA313" s="16"/>
      <c r="BB313" s="16"/>
      <c r="BH313" s="16"/>
    </row>
    <row r="314" spans="17:60" x14ac:dyDescent="0.2"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K314" s="10"/>
      <c r="AL314" s="10"/>
      <c r="AM314" s="10"/>
      <c r="AN314" s="10"/>
      <c r="AO314" s="10"/>
      <c r="AP314" s="10"/>
      <c r="AQ314" s="10"/>
      <c r="AR314" s="16"/>
      <c r="AS314" s="16"/>
      <c r="AT314" s="16"/>
      <c r="AU314" s="10"/>
      <c r="AV314" s="10"/>
      <c r="AW314" s="10"/>
      <c r="AX314" s="10"/>
      <c r="AY314" s="10"/>
      <c r="AZ314" s="10"/>
      <c r="BA314" s="16"/>
      <c r="BB314" s="16"/>
      <c r="BH314" s="16"/>
    </row>
    <row r="315" spans="17:60" x14ac:dyDescent="0.2"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K315" s="10"/>
      <c r="AL315" s="10"/>
      <c r="AM315" s="10"/>
      <c r="AN315" s="10"/>
      <c r="AO315" s="10"/>
      <c r="AP315" s="10"/>
      <c r="AQ315" s="10"/>
      <c r="AR315" s="16"/>
      <c r="AS315" s="16"/>
      <c r="AT315" s="16"/>
      <c r="AU315" s="10"/>
      <c r="AV315" s="10"/>
      <c r="AW315" s="10"/>
      <c r="AX315" s="10"/>
      <c r="AY315" s="10"/>
      <c r="AZ315" s="10"/>
      <c r="BA315" s="16"/>
      <c r="BB315" s="16"/>
      <c r="BH315" s="16"/>
    </row>
    <row r="316" spans="17:60" x14ac:dyDescent="0.2"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K316" s="10"/>
      <c r="AL316" s="10"/>
      <c r="AM316" s="10"/>
      <c r="AN316" s="10"/>
      <c r="AO316" s="10"/>
      <c r="AP316" s="10"/>
      <c r="AQ316" s="10"/>
      <c r="AR316" s="16"/>
      <c r="AS316" s="16"/>
      <c r="AT316" s="16"/>
      <c r="AU316" s="10"/>
      <c r="AV316" s="10"/>
      <c r="AW316" s="10"/>
      <c r="AX316" s="10"/>
      <c r="AY316" s="10"/>
      <c r="AZ316" s="10"/>
      <c r="BA316" s="16"/>
      <c r="BB316" s="16"/>
      <c r="BH316" s="16"/>
    </row>
    <row r="317" spans="17:60" x14ac:dyDescent="0.2"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K317" s="10"/>
      <c r="AL317" s="10"/>
      <c r="AM317" s="10"/>
      <c r="AN317" s="10"/>
      <c r="AO317" s="10"/>
      <c r="AP317" s="10"/>
      <c r="AQ317" s="10"/>
      <c r="AR317" s="16"/>
      <c r="AS317" s="16"/>
      <c r="AT317" s="16"/>
      <c r="AU317" s="10"/>
      <c r="AV317" s="10"/>
      <c r="AW317" s="10"/>
      <c r="AX317" s="10"/>
      <c r="AY317" s="10"/>
      <c r="AZ317" s="10"/>
      <c r="BA317" s="16"/>
      <c r="BB317" s="16"/>
      <c r="BH317" s="16"/>
    </row>
    <row r="318" spans="17:60" x14ac:dyDescent="0.2"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K318" s="10"/>
      <c r="AL318" s="10"/>
      <c r="AM318" s="10"/>
      <c r="AN318" s="10"/>
      <c r="AO318" s="10"/>
      <c r="AP318" s="10"/>
      <c r="AQ318" s="10"/>
      <c r="AR318" s="16"/>
      <c r="AS318" s="16"/>
      <c r="AT318" s="16"/>
      <c r="AU318" s="10"/>
      <c r="AV318" s="10"/>
      <c r="AW318" s="10"/>
      <c r="AX318" s="10"/>
      <c r="AY318" s="10"/>
      <c r="AZ318" s="10"/>
      <c r="BA318" s="16"/>
      <c r="BB318" s="16"/>
      <c r="BH318" s="16"/>
    </row>
    <row r="319" spans="17:60" x14ac:dyDescent="0.2"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K319" s="10"/>
      <c r="AL319" s="10"/>
      <c r="AM319" s="10"/>
      <c r="AN319" s="10"/>
      <c r="AO319" s="10"/>
      <c r="AP319" s="10"/>
      <c r="AQ319" s="10"/>
      <c r="AR319" s="16"/>
      <c r="AS319" s="16"/>
      <c r="AT319" s="16"/>
      <c r="AU319" s="10"/>
      <c r="AV319" s="10"/>
      <c r="AW319" s="10"/>
      <c r="AX319" s="10"/>
      <c r="AY319" s="10"/>
      <c r="AZ319" s="10"/>
      <c r="BA319" s="16"/>
      <c r="BB319" s="16"/>
      <c r="BH319" s="16"/>
    </row>
    <row r="320" spans="17:60" x14ac:dyDescent="0.2"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K320" s="10"/>
      <c r="AL320" s="10"/>
      <c r="AM320" s="10"/>
      <c r="AN320" s="10"/>
      <c r="AO320" s="10"/>
      <c r="AP320" s="10"/>
      <c r="AQ320" s="10"/>
      <c r="AR320" s="16"/>
      <c r="AS320" s="16"/>
      <c r="AT320" s="16"/>
      <c r="AU320" s="10"/>
      <c r="AV320" s="10"/>
      <c r="AW320" s="10"/>
      <c r="AX320" s="10"/>
      <c r="AY320" s="10"/>
      <c r="AZ320" s="10"/>
      <c r="BA320" s="16"/>
      <c r="BB320" s="16"/>
      <c r="BH320" s="16"/>
    </row>
    <row r="321" spans="17:60" x14ac:dyDescent="0.2"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K321" s="10"/>
      <c r="AL321" s="10"/>
      <c r="AM321" s="10"/>
      <c r="AN321" s="10"/>
      <c r="AO321" s="10"/>
      <c r="AP321" s="10"/>
      <c r="AQ321" s="10"/>
      <c r="AR321" s="16"/>
      <c r="AS321" s="16"/>
      <c r="AT321" s="16"/>
      <c r="AU321" s="10"/>
      <c r="AV321" s="10"/>
      <c r="AW321" s="10"/>
      <c r="AX321" s="10"/>
      <c r="AY321" s="10"/>
      <c r="AZ321" s="10"/>
      <c r="BA321" s="16"/>
      <c r="BB321" s="16"/>
      <c r="BH321" s="16"/>
    </row>
    <row r="322" spans="17:60" x14ac:dyDescent="0.2"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K322" s="10"/>
      <c r="AL322" s="10"/>
      <c r="AM322" s="10"/>
      <c r="AN322" s="10"/>
      <c r="AO322" s="10"/>
      <c r="AP322" s="10"/>
      <c r="AQ322" s="10"/>
      <c r="AR322" s="16"/>
      <c r="AS322" s="16"/>
      <c r="AT322" s="16"/>
      <c r="AU322" s="10"/>
      <c r="AV322" s="10"/>
      <c r="AW322" s="10"/>
      <c r="AX322" s="10"/>
      <c r="AY322" s="10"/>
      <c r="AZ322" s="10"/>
      <c r="BA322" s="16"/>
      <c r="BB322" s="16"/>
      <c r="BH322" s="16"/>
    </row>
    <row r="323" spans="17:60" x14ac:dyDescent="0.2"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K323" s="10"/>
      <c r="AL323" s="10"/>
      <c r="AM323" s="10"/>
      <c r="AN323" s="10"/>
      <c r="AO323" s="10"/>
      <c r="AP323" s="10"/>
      <c r="AQ323" s="10"/>
      <c r="AR323" s="16"/>
      <c r="AS323" s="16"/>
      <c r="AT323" s="16"/>
      <c r="AU323" s="10"/>
      <c r="AV323" s="10"/>
      <c r="AW323" s="10"/>
      <c r="AX323" s="10"/>
      <c r="AY323" s="10"/>
      <c r="AZ323" s="10"/>
      <c r="BA323" s="16"/>
      <c r="BB323" s="16"/>
      <c r="BH323" s="16"/>
    </row>
    <row r="324" spans="17:60" x14ac:dyDescent="0.2"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K324" s="10"/>
      <c r="AL324" s="10"/>
      <c r="AM324" s="10"/>
      <c r="AN324" s="10"/>
      <c r="AO324" s="10"/>
      <c r="AP324" s="10"/>
      <c r="AQ324" s="10"/>
      <c r="AR324" s="16"/>
      <c r="AS324" s="16"/>
      <c r="AT324" s="16"/>
      <c r="AU324" s="10"/>
      <c r="AV324" s="10"/>
      <c r="AW324" s="10"/>
      <c r="AX324" s="10"/>
      <c r="AY324" s="10"/>
      <c r="AZ324" s="10"/>
      <c r="BA324" s="16"/>
      <c r="BB324" s="16"/>
      <c r="BH324" s="16"/>
    </row>
    <row r="325" spans="17:60" x14ac:dyDescent="0.2"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K325" s="10"/>
      <c r="AL325" s="10"/>
      <c r="AM325" s="10"/>
      <c r="AN325" s="10"/>
      <c r="AO325" s="10"/>
      <c r="AP325" s="10"/>
      <c r="AQ325" s="10"/>
      <c r="AR325" s="16"/>
      <c r="AS325" s="16"/>
      <c r="AT325" s="16"/>
      <c r="AU325" s="10"/>
      <c r="AV325" s="10"/>
      <c r="AW325" s="10"/>
      <c r="AX325" s="10"/>
      <c r="AY325" s="10"/>
      <c r="AZ325" s="10"/>
      <c r="BA325" s="16"/>
      <c r="BB325" s="16"/>
      <c r="BH325" s="16"/>
    </row>
    <row r="326" spans="17:60" x14ac:dyDescent="0.2"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K326" s="10"/>
      <c r="AL326" s="10"/>
      <c r="AM326" s="10"/>
      <c r="AN326" s="10"/>
      <c r="AO326" s="10"/>
      <c r="AP326" s="10"/>
      <c r="AQ326" s="10"/>
      <c r="AR326" s="16"/>
      <c r="AS326" s="16"/>
      <c r="AT326" s="16"/>
      <c r="AU326" s="10"/>
      <c r="AV326" s="10"/>
      <c r="AW326" s="10"/>
      <c r="AX326" s="10"/>
      <c r="AY326" s="10"/>
      <c r="AZ326" s="10"/>
      <c r="BA326" s="16"/>
      <c r="BB326" s="16"/>
      <c r="BH326" s="16"/>
    </row>
    <row r="327" spans="17:60" x14ac:dyDescent="0.2"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K327" s="10"/>
      <c r="AL327" s="10"/>
      <c r="AM327" s="10"/>
      <c r="AN327" s="10"/>
      <c r="AO327" s="10"/>
      <c r="AP327" s="10"/>
      <c r="AQ327" s="10"/>
      <c r="AR327" s="16"/>
      <c r="AS327" s="16"/>
      <c r="AT327" s="16"/>
      <c r="AU327" s="10"/>
      <c r="AV327" s="10"/>
      <c r="AW327" s="10"/>
      <c r="AX327" s="10"/>
      <c r="AY327" s="10"/>
      <c r="AZ327" s="10"/>
      <c r="BA327" s="16"/>
      <c r="BB327" s="16"/>
      <c r="BH327" s="16"/>
    </row>
    <row r="328" spans="17:60" x14ac:dyDescent="0.2"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K328" s="10"/>
      <c r="AL328" s="10"/>
      <c r="AM328" s="10"/>
      <c r="AN328" s="10"/>
      <c r="AO328" s="10"/>
      <c r="AP328" s="10"/>
      <c r="AQ328" s="10"/>
      <c r="AR328" s="16"/>
      <c r="AS328" s="16"/>
      <c r="AT328" s="16"/>
      <c r="AU328" s="10"/>
      <c r="AV328" s="10"/>
      <c r="AW328" s="10"/>
      <c r="AX328" s="10"/>
      <c r="AY328" s="10"/>
      <c r="AZ328" s="10"/>
      <c r="BA328" s="16"/>
      <c r="BB328" s="16"/>
      <c r="BH328" s="16"/>
    </row>
    <row r="329" spans="17:60" x14ac:dyDescent="0.2"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K329" s="10"/>
      <c r="AL329" s="10"/>
      <c r="AM329" s="10"/>
      <c r="AN329" s="10"/>
      <c r="AO329" s="10"/>
      <c r="AP329" s="10"/>
      <c r="AQ329" s="10"/>
      <c r="AR329" s="16"/>
      <c r="AS329" s="16"/>
      <c r="AT329" s="16"/>
      <c r="AU329" s="10"/>
      <c r="AV329" s="10"/>
      <c r="AW329" s="10"/>
      <c r="AX329" s="10"/>
      <c r="AY329" s="10"/>
      <c r="AZ329" s="10"/>
      <c r="BA329" s="16"/>
      <c r="BB329" s="16"/>
      <c r="BH329" s="16"/>
    </row>
    <row r="330" spans="17:60" x14ac:dyDescent="0.2"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K330" s="10"/>
      <c r="AL330" s="10"/>
      <c r="AM330" s="10"/>
      <c r="AN330" s="10"/>
      <c r="AO330" s="10"/>
      <c r="AP330" s="10"/>
      <c r="AQ330" s="10"/>
      <c r="AR330" s="16"/>
      <c r="AS330" s="16"/>
      <c r="AT330" s="16"/>
      <c r="AU330" s="10"/>
      <c r="AV330" s="10"/>
      <c r="AW330" s="10"/>
      <c r="AX330" s="10"/>
      <c r="AY330" s="10"/>
      <c r="AZ330" s="10"/>
      <c r="BA330" s="16"/>
      <c r="BB330" s="16"/>
      <c r="BH330" s="16"/>
    </row>
    <row r="331" spans="17:60" x14ac:dyDescent="0.2"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K331" s="10"/>
      <c r="AL331" s="10"/>
      <c r="AM331" s="10"/>
      <c r="AN331" s="10"/>
      <c r="AO331" s="10"/>
      <c r="AP331" s="10"/>
      <c r="AQ331" s="10"/>
      <c r="AR331" s="16"/>
      <c r="AS331" s="16"/>
      <c r="AT331" s="16"/>
      <c r="AU331" s="10"/>
      <c r="AV331" s="10"/>
      <c r="AW331" s="10"/>
      <c r="AX331" s="10"/>
      <c r="AY331" s="10"/>
      <c r="AZ331" s="10"/>
      <c r="BA331" s="16"/>
      <c r="BB331" s="16"/>
      <c r="BH331" s="16"/>
    </row>
    <row r="332" spans="17:60" x14ac:dyDescent="0.2"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K332" s="10"/>
      <c r="AL332" s="10"/>
      <c r="AM332" s="10"/>
      <c r="AN332" s="10"/>
      <c r="AO332" s="10"/>
      <c r="AP332" s="10"/>
      <c r="AQ332" s="10"/>
      <c r="AR332" s="16"/>
      <c r="AS332" s="16"/>
      <c r="AT332" s="16"/>
      <c r="AU332" s="10"/>
      <c r="AV332" s="10"/>
      <c r="AW332" s="10"/>
      <c r="AX332" s="10"/>
      <c r="AY332" s="10"/>
      <c r="AZ332" s="10"/>
      <c r="BA332" s="16"/>
      <c r="BB332" s="16"/>
      <c r="BH332" s="16"/>
    </row>
    <row r="333" spans="17:60" x14ac:dyDescent="0.2"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K333" s="10"/>
      <c r="AL333" s="10"/>
      <c r="AM333" s="10"/>
      <c r="AN333" s="10"/>
      <c r="AO333" s="10"/>
      <c r="AP333" s="10"/>
      <c r="AQ333" s="10"/>
      <c r="AR333" s="16"/>
      <c r="AS333" s="16"/>
      <c r="AT333" s="16"/>
      <c r="AU333" s="10"/>
      <c r="AV333" s="10"/>
      <c r="AW333" s="10"/>
      <c r="AX333" s="10"/>
      <c r="AY333" s="10"/>
      <c r="AZ333" s="10"/>
      <c r="BA333" s="16"/>
      <c r="BB333" s="16"/>
      <c r="BH333" s="16"/>
    </row>
    <row r="334" spans="17:60" x14ac:dyDescent="0.2"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K334" s="10"/>
      <c r="AL334" s="10"/>
      <c r="AM334" s="10"/>
      <c r="AN334" s="10"/>
      <c r="AO334" s="10"/>
      <c r="AP334" s="10"/>
      <c r="AQ334" s="10"/>
      <c r="AR334" s="16"/>
      <c r="AS334" s="16"/>
      <c r="AT334" s="16"/>
      <c r="AU334" s="10"/>
      <c r="AV334" s="10"/>
      <c r="AW334" s="10"/>
      <c r="AX334" s="10"/>
      <c r="AY334" s="10"/>
      <c r="AZ334" s="10"/>
      <c r="BA334" s="16"/>
      <c r="BB334" s="16"/>
      <c r="BH334" s="16"/>
    </row>
    <row r="335" spans="17:60" x14ac:dyDescent="0.2"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K335" s="10"/>
      <c r="AL335" s="10"/>
      <c r="AM335" s="10"/>
      <c r="AN335" s="10"/>
      <c r="AO335" s="10"/>
      <c r="AP335" s="10"/>
      <c r="AQ335" s="10"/>
      <c r="AR335" s="16"/>
      <c r="AS335" s="16"/>
      <c r="AT335" s="16"/>
      <c r="AU335" s="10"/>
      <c r="AV335" s="10"/>
      <c r="AW335" s="10"/>
      <c r="AX335" s="10"/>
      <c r="AY335" s="10"/>
      <c r="AZ335" s="10"/>
      <c r="BA335" s="16"/>
      <c r="BB335" s="16"/>
      <c r="BH335" s="16"/>
    </row>
    <row r="336" spans="17:60" x14ac:dyDescent="0.2"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K336" s="10"/>
      <c r="AL336" s="10"/>
      <c r="AM336" s="10"/>
      <c r="AN336" s="10"/>
      <c r="AO336" s="10"/>
      <c r="AP336" s="10"/>
      <c r="AQ336" s="10"/>
      <c r="AR336" s="16"/>
      <c r="AS336" s="16"/>
      <c r="AT336" s="16"/>
      <c r="AU336" s="10"/>
      <c r="AV336" s="10"/>
      <c r="AW336" s="10"/>
      <c r="AX336" s="10"/>
      <c r="AY336" s="10"/>
      <c r="AZ336" s="10"/>
      <c r="BA336" s="16"/>
      <c r="BB336" s="16"/>
      <c r="BH336" s="16"/>
    </row>
    <row r="337" spans="17:60" x14ac:dyDescent="0.2"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K337" s="10"/>
      <c r="AL337" s="10"/>
      <c r="AM337" s="10"/>
      <c r="AN337" s="10"/>
      <c r="AO337" s="10"/>
      <c r="AP337" s="10"/>
      <c r="AQ337" s="10"/>
      <c r="AR337" s="16"/>
      <c r="AS337" s="16"/>
      <c r="AT337" s="16"/>
      <c r="AU337" s="10"/>
      <c r="AV337" s="10"/>
      <c r="AW337" s="10"/>
      <c r="AX337" s="10"/>
      <c r="AY337" s="10"/>
      <c r="AZ337" s="10"/>
      <c r="BA337" s="16"/>
      <c r="BB337" s="16"/>
      <c r="BH337" s="16"/>
    </row>
    <row r="338" spans="17:60" x14ac:dyDescent="0.2"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K338" s="10"/>
      <c r="AL338" s="10"/>
      <c r="AM338" s="10"/>
      <c r="AN338" s="10"/>
      <c r="AO338" s="10"/>
      <c r="AP338" s="10"/>
      <c r="AQ338" s="10"/>
      <c r="AR338" s="16"/>
      <c r="AS338" s="16"/>
      <c r="AT338" s="16"/>
      <c r="AU338" s="10"/>
      <c r="AV338" s="10"/>
      <c r="AW338" s="10"/>
      <c r="AX338" s="10"/>
      <c r="AY338" s="10"/>
      <c r="AZ338" s="10"/>
      <c r="BA338" s="16"/>
      <c r="BB338" s="16"/>
      <c r="BH338" s="16"/>
    </row>
    <row r="339" spans="17:60" x14ac:dyDescent="0.2"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K339" s="10"/>
      <c r="AL339" s="10"/>
      <c r="AM339" s="10"/>
      <c r="AN339" s="10"/>
      <c r="AO339" s="10"/>
      <c r="AP339" s="10"/>
      <c r="AQ339" s="10"/>
      <c r="AR339" s="16"/>
      <c r="AS339" s="16"/>
      <c r="AT339" s="16"/>
      <c r="AU339" s="10"/>
      <c r="AV339" s="10"/>
      <c r="AW339" s="10"/>
      <c r="AX339" s="10"/>
      <c r="AY339" s="10"/>
      <c r="AZ339" s="10"/>
      <c r="BA339" s="16"/>
      <c r="BB339" s="16"/>
      <c r="BH339" s="16"/>
    </row>
    <row r="340" spans="17:60" x14ac:dyDescent="0.2"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K340" s="10"/>
      <c r="AL340" s="10"/>
      <c r="AM340" s="10"/>
      <c r="AN340" s="10"/>
      <c r="AO340" s="10"/>
      <c r="AP340" s="10"/>
      <c r="AQ340" s="10"/>
      <c r="AR340" s="16"/>
      <c r="AS340" s="16"/>
      <c r="AT340" s="16"/>
      <c r="AU340" s="10"/>
      <c r="AV340" s="10"/>
      <c r="AW340" s="10"/>
      <c r="AX340" s="10"/>
      <c r="AY340" s="10"/>
      <c r="AZ340" s="10"/>
      <c r="BA340" s="16"/>
      <c r="BB340" s="16"/>
      <c r="BH340" s="16"/>
    </row>
    <row r="341" spans="17:60" x14ac:dyDescent="0.2"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K341" s="10"/>
      <c r="AL341" s="10"/>
      <c r="AM341" s="10"/>
      <c r="AN341" s="10"/>
      <c r="AO341" s="10"/>
      <c r="AP341" s="10"/>
      <c r="AQ341" s="10"/>
      <c r="AR341" s="16"/>
      <c r="AS341" s="16"/>
      <c r="AT341" s="16"/>
      <c r="AU341" s="10"/>
      <c r="AV341" s="10"/>
      <c r="AW341" s="10"/>
      <c r="AX341" s="10"/>
      <c r="AY341" s="10"/>
      <c r="AZ341" s="10"/>
      <c r="BA341" s="16"/>
      <c r="BB341" s="16"/>
      <c r="BH341" s="16"/>
    </row>
    <row r="342" spans="17:60" x14ac:dyDescent="0.2"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K342" s="10"/>
      <c r="AL342" s="10"/>
      <c r="AM342" s="10"/>
      <c r="AN342" s="10"/>
      <c r="AO342" s="10"/>
      <c r="AP342" s="10"/>
      <c r="AQ342" s="10"/>
      <c r="AR342" s="16"/>
      <c r="AS342" s="16"/>
      <c r="AT342" s="16"/>
      <c r="AU342" s="10"/>
      <c r="AV342" s="10"/>
      <c r="AW342" s="10"/>
      <c r="AX342" s="10"/>
      <c r="AY342" s="10"/>
      <c r="AZ342" s="10"/>
      <c r="BA342" s="16"/>
      <c r="BB342" s="16"/>
      <c r="BH342" s="16"/>
    </row>
    <row r="343" spans="17:60" x14ac:dyDescent="0.2"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K343" s="10"/>
      <c r="AL343" s="10"/>
      <c r="AM343" s="10"/>
      <c r="AN343" s="10"/>
      <c r="AO343" s="10"/>
      <c r="AP343" s="10"/>
      <c r="AQ343" s="10"/>
      <c r="AR343" s="16"/>
      <c r="AS343" s="16"/>
      <c r="AT343" s="16"/>
      <c r="AU343" s="10"/>
      <c r="AV343" s="10"/>
      <c r="AW343" s="10"/>
      <c r="AX343" s="10"/>
      <c r="AY343" s="10"/>
      <c r="AZ343" s="10"/>
      <c r="BA343" s="16"/>
      <c r="BB343" s="16"/>
      <c r="BH343" s="16"/>
    </row>
    <row r="344" spans="17:60" x14ac:dyDescent="0.2"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K344" s="10"/>
      <c r="AL344" s="10"/>
      <c r="AM344" s="10"/>
      <c r="AN344" s="10"/>
      <c r="AO344" s="10"/>
      <c r="AP344" s="10"/>
      <c r="AQ344" s="10"/>
      <c r="AR344" s="16"/>
      <c r="AS344" s="16"/>
      <c r="AT344" s="16"/>
      <c r="AU344" s="10"/>
      <c r="AV344" s="10"/>
      <c r="AW344" s="10"/>
      <c r="AX344" s="10"/>
      <c r="AY344" s="10"/>
      <c r="AZ344" s="10"/>
      <c r="BA344" s="16"/>
      <c r="BB344" s="16"/>
      <c r="BH344" s="16"/>
    </row>
    <row r="345" spans="17:60" x14ac:dyDescent="0.2"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K345" s="10"/>
      <c r="AL345" s="10"/>
      <c r="AM345" s="10"/>
      <c r="AN345" s="10"/>
      <c r="AO345" s="10"/>
      <c r="AP345" s="10"/>
      <c r="AQ345" s="10"/>
      <c r="AR345" s="16"/>
      <c r="AS345" s="16"/>
      <c r="AT345" s="16"/>
      <c r="AU345" s="10"/>
      <c r="AV345" s="10"/>
      <c r="AW345" s="10"/>
      <c r="AX345" s="10"/>
      <c r="AY345" s="10"/>
      <c r="AZ345" s="10"/>
      <c r="BA345" s="16"/>
      <c r="BB345" s="16"/>
      <c r="BH345" s="16"/>
    </row>
    <row r="346" spans="17:60" x14ac:dyDescent="0.2"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K346" s="10"/>
      <c r="AL346" s="10"/>
      <c r="AM346" s="10"/>
      <c r="AN346" s="10"/>
      <c r="AO346" s="10"/>
      <c r="AP346" s="10"/>
      <c r="AQ346" s="10"/>
      <c r="AR346" s="16"/>
      <c r="AS346" s="16"/>
      <c r="AT346" s="16"/>
      <c r="AU346" s="10"/>
      <c r="AV346" s="10"/>
      <c r="AW346" s="10"/>
      <c r="AX346" s="10"/>
      <c r="AY346" s="10"/>
      <c r="AZ346" s="10"/>
      <c r="BA346" s="16"/>
      <c r="BB346" s="16"/>
      <c r="BH346" s="16"/>
    </row>
    <row r="347" spans="17:60" x14ac:dyDescent="0.2"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K347" s="10"/>
      <c r="AL347" s="10"/>
      <c r="AM347" s="10"/>
      <c r="AN347" s="10"/>
      <c r="AO347" s="10"/>
      <c r="AP347" s="10"/>
      <c r="AQ347" s="10"/>
      <c r="AR347" s="16"/>
      <c r="AS347" s="16"/>
      <c r="AT347" s="16"/>
      <c r="AU347" s="10"/>
      <c r="AV347" s="10"/>
      <c r="AW347" s="10"/>
      <c r="AX347" s="10"/>
      <c r="AY347" s="10"/>
      <c r="AZ347" s="10"/>
      <c r="BA347" s="16"/>
      <c r="BB347" s="16"/>
      <c r="BH347" s="16"/>
    </row>
    <row r="348" spans="17:60" x14ac:dyDescent="0.2"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K348" s="10"/>
      <c r="AL348" s="10"/>
      <c r="AM348" s="10"/>
      <c r="AN348" s="10"/>
      <c r="AO348" s="10"/>
      <c r="AP348" s="10"/>
      <c r="AQ348" s="10"/>
      <c r="AR348" s="16"/>
      <c r="AS348" s="16"/>
      <c r="AT348" s="16"/>
      <c r="AU348" s="10"/>
      <c r="AV348" s="10"/>
      <c r="AW348" s="10"/>
      <c r="AX348" s="10"/>
      <c r="AY348" s="10"/>
      <c r="AZ348" s="10"/>
      <c r="BA348" s="16"/>
      <c r="BB348" s="16"/>
      <c r="BH348" s="16"/>
    </row>
    <row r="349" spans="17:60" x14ac:dyDescent="0.2"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K349" s="10"/>
      <c r="AL349" s="10"/>
      <c r="AM349" s="10"/>
      <c r="AN349" s="10"/>
      <c r="AO349" s="10"/>
      <c r="AP349" s="10"/>
      <c r="AQ349" s="10"/>
      <c r="AR349" s="16"/>
      <c r="AS349" s="16"/>
      <c r="AT349" s="16"/>
      <c r="AU349" s="10"/>
      <c r="AV349" s="10"/>
      <c r="AW349" s="10"/>
      <c r="AX349" s="10"/>
      <c r="AY349" s="10"/>
      <c r="AZ349" s="10"/>
      <c r="BA349" s="16"/>
      <c r="BB349" s="16"/>
      <c r="BH349" s="16"/>
    </row>
    <row r="350" spans="17:60" x14ac:dyDescent="0.2"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K350" s="10"/>
      <c r="AL350" s="10"/>
      <c r="AM350" s="10"/>
      <c r="AN350" s="10"/>
      <c r="AO350" s="10"/>
      <c r="AP350" s="10"/>
      <c r="AQ350" s="10"/>
      <c r="AR350" s="16"/>
      <c r="AS350" s="16"/>
      <c r="AT350" s="16"/>
      <c r="AU350" s="10"/>
      <c r="AV350" s="10"/>
      <c r="AW350" s="10"/>
      <c r="AX350" s="10"/>
      <c r="AY350" s="10"/>
      <c r="AZ350" s="10"/>
      <c r="BA350" s="16"/>
      <c r="BB350" s="16"/>
      <c r="BH350" s="16"/>
    </row>
    <row r="351" spans="17:60" x14ac:dyDescent="0.2"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K351" s="10"/>
      <c r="AL351" s="10"/>
      <c r="AM351" s="10"/>
      <c r="AN351" s="10"/>
      <c r="AO351" s="10"/>
      <c r="AP351" s="10"/>
      <c r="AQ351" s="10"/>
      <c r="AR351" s="16"/>
      <c r="AS351" s="16"/>
      <c r="AT351" s="16"/>
      <c r="AU351" s="10"/>
      <c r="AV351" s="10"/>
      <c r="AW351" s="10"/>
      <c r="AX351" s="10"/>
      <c r="AY351" s="10"/>
      <c r="AZ351" s="10"/>
      <c r="BA351" s="16"/>
      <c r="BB351" s="16"/>
      <c r="BH351" s="16"/>
    </row>
    <row r="352" spans="17:60" x14ac:dyDescent="0.2"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K352" s="10"/>
      <c r="AL352" s="10"/>
      <c r="AM352" s="10"/>
      <c r="AN352" s="10"/>
      <c r="AO352" s="10"/>
      <c r="AP352" s="10"/>
      <c r="AQ352" s="10"/>
      <c r="AR352" s="16"/>
      <c r="AS352" s="16"/>
      <c r="AT352" s="16"/>
      <c r="AU352" s="10"/>
      <c r="AV352" s="10"/>
      <c r="AW352" s="10"/>
      <c r="AX352" s="10"/>
      <c r="AY352" s="10"/>
      <c r="AZ352" s="10"/>
      <c r="BA352" s="16"/>
      <c r="BB352" s="16"/>
      <c r="BH352" s="16"/>
    </row>
    <row r="353" spans="17:60" x14ac:dyDescent="0.2"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K353" s="10"/>
      <c r="AL353" s="10"/>
      <c r="AM353" s="10"/>
      <c r="AN353" s="10"/>
      <c r="AO353" s="10"/>
      <c r="AP353" s="10"/>
      <c r="AQ353" s="10"/>
      <c r="AR353" s="16"/>
      <c r="AS353" s="16"/>
      <c r="AT353" s="16"/>
      <c r="AU353" s="10"/>
      <c r="AV353" s="10"/>
      <c r="AW353" s="10"/>
      <c r="AX353" s="10"/>
      <c r="AY353" s="10"/>
      <c r="AZ353" s="10"/>
      <c r="BA353" s="16"/>
      <c r="BB353" s="16"/>
      <c r="BH353" s="16"/>
    </row>
    <row r="354" spans="17:60" x14ac:dyDescent="0.2"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K354" s="10"/>
      <c r="AL354" s="10"/>
      <c r="AM354" s="10"/>
      <c r="AN354" s="10"/>
      <c r="AO354" s="10"/>
      <c r="AP354" s="10"/>
      <c r="AQ354" s="10"/>
      <c r="AR354" s="16"/>
      <c r="AS354" s="16"/>
      <c r="AT354" s="16"/>
      <c r="AU354" s="10"/>
      <c r="AV354" s="10"/>
      <c r="AW354" s="10"/>
      <c r="AX354" s="10"/>
      <c r="AY354" s="10"/>
      <c r="AZ354" s="10"/>
      <c r="BA354" s="16"/>
      <c r="BB354" s="16"/>
      <c r="BH354" s="16"/>
    </row>
    <row r="355" spans="17:60" x14ac:dyDescent="0.2"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K355" s="10"/>
      <c r="AL355" s="10"/>
      <c r="AM355" s="10"/>
      <c r="AN355" s="10"/>
      <c r="AO355" s="10"/>
      <c r="AP355" s="10"/>
      <c r="AQ355" s="10"/>
      <c r="AR355" s="16"/>
      <c r="AS355" s="16"/>
      <c r="AT355" s="16"/>
      <c r="AU355" s="10"/>
      <c r="AV355" s="10"/>
      <c r="AW355" s="10"/>
      <c r="AX355" s="10"/>
      <c r="AY355" s="10"/>
      <c r="AZ355" s="10"/>
      <c r="BA355" s="16"/>
      <c r="BB355" s="16"/>
      <c r="BH355" s="16"/>
    </row>
    <row r="356" spans="17:60" x14ac:dyDescent="0.2"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K356" s="10"/>
      <c r="AL356" s="10"/>
      <c r="AM356" s="10"/>
      <c r="AN356" s="10"/>
      <c r="AO356" s="10"/>
      <c r="AP356" s="10"/>
      <c r="AQ356" s="10"/>
      <c r="AR356" s="16"/>
      <c r="AS356" s="16"/>
      <c r="AT356" s="16"/>
      <c r="AU356" s="10"/>
      <c r="AV356" s="10"/>
      <c r="AW356" s="10"/>
      <c r="AX356" s="10"/>
      <c r="AY356" s="10"/>
      <c r="AZ356" s="10"/>
      <c r="BA356" s="16"/>
      <c r="BB356" s="16"/>
      <c r="BH356" s="16"/>
    </row>
    <row r="357" spans="17:60" x14ac:dyDescent="0.2"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K357" s="10"/>
      <c r="AL357" s="10"/>
      <c r="AM357" s="10"/>
      <c r="AN357" s="10"/>
      <c r="AO357" s="10"/>
      <c r="AP357" s="10"/>
      <c r="AQ357" s="10"/>
      <c r="AR357" s="16"/>
      <c r="AS357" s="16"/>
      <c r="AT357" s="16"/>
      <c r="AU357" s="10"/>
      <c r="AV357" s="10"/>
      <c r="AW357" s="10"/>
      <c r="AX357" s="10"/>
      <c r="AY357" s="10"/>
      <c r="AZ357" s="10"/>
      <c r="BA357" s="16"/>
      <c r="BB357" s="16"/>
      <c r="BH357" s="16"/>
    </row>
    <row r="358" spans="17:60" x14ac:dyDescent="0.2"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K358" s="10"/>
      <c r="AL358" s="10"/>
      <c r="AM358" s="10"/>
      <c r="AN358" s="10"/>
      <c r="AO358" s="10"/>
      <c r="AP358" s="10"/>
      <c r="AQ358" s="10"/>
      <c r="AR358" s="16"/>
      <c r="AS358" s="16"/>
      <c r="AT358" s="16"/>
      <c r="AU358" s="10"/>
      <c r="AV358" s="10"/>
      <c r="AW358" s="10"/>
      <c r="AX358" s="10"/>
      <c r="AY358" s="10"/>
      <c r="AZ358" s="10"/>
      <c r="BA358" s="16"/>
      <c r="BB358" s="16"/>
      <c r="BH358" s="16"/>
    </row>
    <row r="359" spans="17:60" x14ac:dyDescent="0.2"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K359" s="10"/>
      <c r="AL359" s="10"/>
      <c r="AM359" s="10"/>
      <c r="AN359" s="10"/>
      <c r="AO359" s="10"/>
      <c r="AP359" s="10"/>
      <c r="AQ359" s="10"/>
      <c r="AR359" s="16"/>
      <c r="AS359" s="16"/>
      <c r="AT359" s="16"/>
      <c r="AU359" s="10"/>
      <c r="AV359" s="10"/>
      <c r="AW359" s="10"/>
      <c r="AX359" s="10"/>
      <c r="AY359" s="10"/>
      <c r="AZ359" s="10"/>
      <c r="BA359" s="16"/>
      <c r="BB359" s="16"/>
      <c r="BH359" s="16"/>
    </row>
    <row r="360" spans="17:60" x14ac:dyDescent="0.2"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K360" s="10"/>
      <c r="AL360" s="10"/>
      <c r="AM360" s="10"/>
      <c r="AN360" s="10"/>
      <c r="AO360" s="10"/>
      <c r="AP360" s="10"/>
      <c r="AQ360" s="10"/>
      <c r="AR360" s="16"/>
      <c r="AS360" s="16"/>
      <c r="AT360" s="16"/>
      <c r="AU360" s="10"/>
      <c r="AV360" s="10"/>
      <c r="AW360" s="10"/>
      <c r="AX360" s="10"/>
      <c r="AY360" s="10"/>
      <c r="AZ360" s="10"/>
      <c r="BA360" s="16"/>
      <c r="BB360" s="16"/>
      <c r="BH360" s="16"/>
    </row>
    <row r="361" spans="17:60" x14ac:dyDescent="0.2"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K361" s="10"/>
      <c r="AL361" s="10"/>
      <c r="AM361" s="10"/>
      <c r="AN361" s="10"/>
      <c r="AO361" s="10"/>
      <c r="AP361" s="10"/>
      <c r="AQ361" s="10"/>
      <c r="AR361" s="16"/>
      <c r="AS361" s="16"/>
      <c r="AT361" s="16"/>
      <c r="AU361" s="10"/>
      <c r="AV361" s="10"/>
      <c r="AW361" s="10"/>
      <c r="AX361" s="10"/>
      <c r="AY361" s="10"/>
      <c r="AZ361" s="10"/>
      <c r="BA361" s="16"/>
      <c r="BB361" s="16"/>
      <c r="BH361" s="16"/>
    </row>
    <row r="362" spans="17:60" x14ac:dyDescent="0.2"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K362" s="10"/>
      <c r="AL362" s="10"/>
      <c r="AM362" s="10"/>
      <c r="AN362" s="10"/>
      <c r="AO362" s="10"/>
      <c r="AP362" s="10"/>
      <c r="AQ362" s="10"/>
      <c r="AR362" s="16"/>
      <c r="AS362" s="16"/>
      <c r="AT362" s="16"/>
      <c r="AU362" s="10"/>
      <c r="AV362" s="10"/>
      <c r="AW362" s="10"/>
      <c r="AX362" s="10"/>
      <c r="AY362" s="10"/>
      <c r="AZ362" s="10"/>
      <c r="BA362" s="16"/>
      <c r="BB362" s="16"/>
      <c r="BH362" s="16"/>
    </row>
    <row r="363" spans="17:60" x14ac:dyDescent="0.2"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K363" s="10"/>
      <c r="AL363" s="10"/>
      <c r="AM363" s="10"/>
      <c r="AN363" s="10"/>
      <c r="AO363" s="10"/>
      <c r="AP363" s="10"/>
      <c r="AQ363" s="10"/>
      <c r="AR363" s="16"/>
      <c r="AS363" s="16"/>
      <c r="AT363" s="16"/>
      <c r="AU363" s="10"/>
      <c r="AV363" s="10"/>
      <c r="AW363" s="10"/>
      <c r="AX363" s="10"/>
      <c r="AY363" s="10"/>
      <c r="AZ363" s="10"/>
      <c r="BA363" s="16"/>
      <c r="BB363" s="16"/>
      <c r="BH363" s="16"/>
    </row>
    <row r="364" spans="17:60" x14ac:dyDescent="0.2"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K364" s="10"/>
      <c r="AL364" s="10"/>
      <c r="AM364" s="10"/>
      <c r="AN364" s="10"/>
      <c r="AO364" s="10"/>
      <c r="AP364" s="10"/>
      <c r="AQ364" s="10"/>
      <c r="AR364" s="16"/>
      <c r="AS364" s="16"/>
      <c r="AT364" s="16"/>
      <c r="AU364" s="10"/>
      <c r="AV364" s="10"/>
      <c r="AW364" s="10"/>
      <c r="AX364" s="10"/>
      <c r="AY364" s="10"/>
      <c r="AZ364" s="10"/>
      <c r="BA364" s="16"/>
      <c r="BB364" s="16"/>
      <c r="BH364" s="16"/>
    </row>
    <row r="365" spans="17:60" x14ac:dyDescent="0.2"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K365" s="10"/>
      <c r="AL365" s="10"/>
      <c r="AM365" s="10"/>
      <c r="AN365" s="10"/>
      <c r="AO365" s="10"/>
      <c r="AP365" s="10"/>
      <c r="AQ365" s="10"/>
      <c r="AR365" s="16"/>
      <c r="AS365" s="16"/>
      <c r="AT365" s="16"/>
      <c r="AU365" s="10"/>
      <c r="AV365" s="10"/>
      <c r="AW365" s="10"/>
      <c r="AX365" s="10"/>
      <c r="AY365" s="10"/>
      <c r="AZ365" s="10"/>
      <c r="BA365" s="16"/>
      <c r="BB365" s="16"/>
      <c r="BH365" s="16"/>
    </row>
    <row r="366" spans="17:60" x14ac:dyDescent="0.2"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K366" s="10"/>
      <c r="AL366" s="10"/>
      <c r="AM366" s="10"/>
      <c r="AN366" s="10"/>
      <c r="AO366" s="10"/>
      <c r="AP366" s="10"/>
      <c r="AQ366" s="10"/>
      <c r="AR366" s="16"/>
      <c r="AS366" s="16"/>
      <c r="AT366" s="16"/>
      <c r="AU366" s="10"/>
      <c r="AV366" s="10"/>
      <c r="AW366" s="10"/>
      <c r="AX366" s="10"/>
      <c r="AY366" s="10"/>
      <c r="AZ366" s="10"/>
      <c r="BA366" s="16"/>
      <c r="BB366" s="16"/>
      <c r="BH366" s="16"/>
    </row>
    <row r="367" spans="17:60" x14ac:dyDescent="0.2"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K367" s="10"/>
      <c r="AL367" s="10"/>
      <c r="AM367" s="10"/>
      <c r="AN367" s="10"/>
      <c r="AO367" s="10"/>
      <c r="AP367" s="10"/>
      <c r="AQ367" s="10"/>
      <c r="AR367" s="16"/>
      <c r="AS367" s="16"/>
      <c r="AT367" s="16"/>
      <c r="AU367" s="10"/>
      <c r="AV367" s="10"/>
      <c r="AW367" s="10"/>
      <c r="AX367" s="10"/>
      <c r="AY367" s="10"/>
      <c r="AZ367" s="10"/>
      <c r="BA367" s="16"/>
      <c r="BB367" s="16"/>
      <c r="BH367" s="16"/>
    </row>
    <row r="368" spans="17:60" x14ac:dyDescent="0.2"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K368" s="10"/>
      <c r="AL368" s="10"/>
      <c r="AM368" s="10"/>
      <c r="AN368" s="10"/>
      <c r="AO368" s="10"/>
      <c r="AP368" s="10"/>
      <c r="AQ368" s="10"/>
      <c r="AR368" s="16"/>
      <c r="AS368" s="16"/>
      <c r="AT368" s="16"/>
      <c r="AU368" s="10"/>
      <c r="AV368" s="10"/>
      <c r="AW368" s="10"/>
      <c r="AX368" s="10"/>
      <c r="AY368" s="10"/>
      <c r="AZ368" s="10"/>
      <c r="BA368" s="16"/>
      <c r="BB368" s="16"/>
      <c r="BH368" s="16"/>
    </row>
    <row r="369" spans="17:60" x14ac:dyDescent="0.2"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K369" s="10"/>
      <c r="AL369" s="10"/>
      <c r="AM369" s="10"/>
      <c r="AN369" s="10"/>
      <c r="AO369" s="10"/>
      <c r="AP369" s="10"/>
      <c r="AQ369" s="10"/>
      <c r="AR369" s="16"/>
      <c r="AS369" s="16"/>
      <c r="AT369" s="16"/>
      <c r="AU369" s="10"/>
      <c r="AV369" s="10"/>
      <c r="AW369" s="10"/>
      <c r="AX369" s="10"/>
      <c r="AY369" s="10"/>
      <c r="AZ369" s="10"/>
      <c r="BA369" s="16"/>
      <c r="BB369" s="16"/>
      <c r="BH369" s="16"/>
    </row>
    <row r="370" spans="17:60" x14ac:dyDescent="0.2"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K370" s="10"/>
      <c r="AL370" s="10"/>
      <c r="AM370" s="10"/>
      <c r="AN370" s="10"/>
      <c r="AO370" s="10"/>
      <c r="AP370" s="10"/>
      <c r="AQ370" s="10"/>
      <c r="AR370" s="16"/>
      <c r="AS370" s="16"/>
      <c r="AT370" s="16"/>
      <c r="AU370" s="10"/>
      <c r="AV370" s="10"/>
      <c r="AW370" s="10"/>
      <c r="AX370" s="10"/>
      <c r="AY370" s="10"/>
      <c r="AZ370" s="10"/>
      <c r="BA370" s="16"/>
      <c r="BB370" s="16"/>
      <c r="BH370" s="16"/>
    </row>
    <row r="371" spans="17:60" x14ac:dyDescent="0.2"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K371" s="10"/>
      <c r="AL371" s="10"/>
      <c r="AM371" s="10"/>
      <c r="AN371" s="10"/>
      <c r="AO371" s="10"/>
      <c r="AP371" s="10"/>
      <c r="AQ371" s="10"/>
      <c r="AR371" s="16"/>
      <c r="AS371" s="16"/>
      <c r="AT371" s="16"/>
      <c r="AU371" s="10"/>
      <c r="AV371" s="10"/>
      <c r="AW371" s="10"/>
      <c r="AX371" s="10"/>
      <c r="AY371" s="10"/>
      <c r="AZ371" s="10"/>
      <c r="BA371" s="16"/>
      <c r="BB371" s="16"/>
      <c r="BH371" s="16"/>
    </row>
    <row r="372" spans="17:60" x14ac:dyDescent="0.2"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K372" s="10"/>
      <c r="AL372" s="10"/>
      <c r="AM372" s="10"/>
      <c r="AN372" s="10"/>
      <c r="AO372" s="10"/>
      <c r="AP372" s="10"/>
      <c r="AQ372" s="10"/>
      <c r="AR372" s="16"/>
      <c r="AS372" s="16"/>
      <c r="AT372" s="16"/>
      <c r="AU372" s="10"/>
      <c r="AV372" s="10"/>
      <c r="AW372" s="10"/>
      <c r="AX372" s="10"/>
      <c r="AY372" s="10"/>
      <c r="AZ372" s="10"/>
      <c r="BA372" s="16"/>
      <c r="BB372" s="16"/>
      <c r="BH372" s="16"/>
    </row>
    <row r="373" spans="17:60" x14ac:dyDescent="0.2"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K373" s="10"/>
      <c r="AL373" s="10"/>
      <c r="AM373" s="10"/>
      <c r="AN373" s="10"/>
      <c r="AO373" s="10"/>
      <c r="AP373" s="10"/>
      <c r="AQ373" s="10"/>
      <c r="AR373" s="16"/>
      <c r="AS373" s="16"/>
      <c r="AT373" s="16"/>
      <c r="AU373" s="10"/>
      <c r="AV373" s="10"/>
      <c r="AW373" s="10"/>
      <c r="AX373" s="10"/>
      <c r="AY373" s="10"/>
      <c r="AZ373" s="10"/>
      <c r="BA373" s="16"/>
      <c r="BB373" s="16"/>
      <c r="BH373" s="16"/>
    </row>
    <row r="374" spans="17:60" x14ac:dyDescent="0.2"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K374" s="10"/>
      <c r="AL374" s="10"/>
      <c r="AM374" s="10"/>
      <c r="AN374" s="10"/>
      <c r="AO374" s="10"/>
      <c r="AP374" s="10"/>
      <c r="AQ374" s="10"/>
      <c r="AR374" s="16"/>
      <c r="AS374" s="16"/>
      <c r="AT374" s="16"/>
      <c r="AU374" s="10"/>
      <c r="AV374" s="10"/>
      <c r="AW374" s="10"/>
      <c r="AX374" s="10"/>
      <c r="AY374" s="10"/>
      <c r="AZ374" s="10"/>
      <c r="BA374" s="16"/>
      <c r="BB374" s="16"/>
      <c r="BH374" s="16"/>
    </row>
    <row r="375" spans="17:60" x14ac:dyDescent="0.2"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K375" s="10"/>
      <c r="AL375" s="10"/>
      <c r="AM375" s="10"/>
      <c r="AN375" s="10"/>
      <c r="AO375" s="10"/>
      <c r="AP375" s="10"/>
      <c r="AQ375" s="10"/>
      <c r="AR375" s="16"/>
      <c r="AS375" s="16"/>
      <c r="AT375" s="16"/>
      <c r="AU375" s="10"/>
      <c r="AV375" s="10"/>
      <c r="AW375" s="10"/>
      <c r="AX375" s="10"/>
      <c r="AY375" s="10"/>
      <c r="AZ375" s="10"/>
      <c r="BA375" s="16"/>
      <c r="BB375" s="16"/>
      <c r="BH375" s="16"/>
    </row>
    <row r="376" spans="17:60" x14ac:dyDescent="0.2"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K376" s="10"/>
      <c r="AL376" s="10"/>
      <c r="AM376" s="10"/>
      <c r="AN376" s="10"/>
      <c r="AO376" s="10"/>
      <c r="AP376" s="10"/>
      <c r="AQ376" s="10"/>
      <c r="AR376" s="16"/>
      <c r="AS376" s="16"/>
      <c r="AT376" s="16"/>
      <c r="AU376" s="10"/>
      <c r="AV376" s="10"/>
      <c r="AW376" s="10"/>
      <c r="AX376" s="10"/>
      <c r="AY376" s="10"/>
      <c r="AZ376" s="10"/>
      <c r="BA376" s="16"/>
      <c r="BB376" s="16"/>
      <c r="BH376" s="16"/>
    </row>
    <row r="377" spans="17:60" x14ac:dyDescent="0.2"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K377" s="10"/>
      <c r="AL377" s="10"/>
      <c r="AM377" s="10"/>
      <c r="AN377" s="10"/>
      <c r="AO377" s="10"/>
      <c r="AP377" s="10"/>
      <c r="AQ377" s="10"/>
      <c r="AR377" s="16"/>
      <c r="AS377" s="16"/>
      <c r="AT377" s="16"/>
      <c r="AU377" s="10"/>
      <c r="AV377" s="10"/>
      <c r="AW377" s="10"/>
      <c r="AX377" s="10"/>
      <c r="AY377" s="10"/>
      <c r="AZ377" s="10"/>
      <c r="BA377" s="16"/>
      <c r="BB377" s="16"/>
      <c r="BH377" s="16"/>
    </row>
    <row r="378" spans="17:60" x14ac:dyDescent="0.2"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K378" s="10"/>
      <c r="AL378" s="10"/>
      <c r="AM378" s="10"/>
      <c r="AN378" s="10"/>
      <c r="AO378" s="10"/>
      <c r="AP378" s="10"/>
      <c r="AQ378" s="10"/>
      <c r="AR378" s="16"/>
      <c r="AS378" s="16"/>
      <c r="AT378" s="16"/>
      <c r="AU378" s="10"/>
      <c r="AV378" s="10"/>
      <c r="AW378" s="10"/>
      <c r="AX378" s="10"/>
      <c r="AY378" s="10"/>
      <c r="AZ378" s="10"/>
      <c r="BA378" s="16"/>
      <c r="BB378" s="16"/>
      <c r="BH378" s="16"/>
    </row>
    <row r="379" spans="17:60" x14ac:dyDescent="0.2"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K379" s="10"/>
      <c r="AL379" s="10"/>
      <c r="AM379" s="10"/>
      <c r="AN379" s="10"/>
      <c r="AO379" s="10"/>
      <c r="AP379" s="10"/>
      <c r="AQ379" s="10"/>
      <c r="AR379" s="16"/>
      <c r="AS379" s="16"/>
      <c r="AT379" s="16"/>
      <c r="AU379" s="10"/>
      <c r="AV379" s="10"/>
      <c r="AW379" s="10"/>
      <c r="AX379" s="10"/>
      <c r="AY379" s="10"/>
      <c r="AZ379" s="10"/>
      <c r="BA379" s="16"/>
      <c r="BB379" s="16"/>
      <c r="BH379" s="16"/>
    </row>
    <row r="380" spans="17:60" x14ac:dyDescent="0.2"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K380" s="10"/>
      <c r="AL380" s="10"/>
      <c r="AM380" s="10"/>
      <c r="AN380" s="10"/>
      <c r="AO380" s="10"/>
      <c r="AP380" s="10"/>
      <c r="AQ380" s="10"/>
      <c r="AR380" s="16"/>
      <c r="AS380" s="16"/>
      <c r="AT380" s="16"/>
      <c r="AU380" s="10"/>
      <c r="AV380" s="10"/>
      <c r="AW380" s="10"/>
      <c r="AX380" s="10"/>
      <c r="AY380" s="10"/>
      <c r="AZ380" s="10"/>
      <c r="BA380" s="16"/>
      <c r="BB380" s="16"/>
      <c r="BH380" s="16"/>
    </row>
    <row r="381" spans="17:60" x14ac:dyDescent="0.2"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K381" s="10"/>
      <c r="AL381" s="10"/>
      <c r="AM381" s="10"/>
      <c r="AN381" s="10"/>
      <c r="AO381" s="10"/>
      <c r="AP381" s="10"/>
      <c r="AQ381" s="10"/>
      <c r="AR381" s="16"/>
      <c r="AS381" s="16"/>
      <c r="AT381" s="16"/>
      <c r="AU381" s="10"/>
      <c r="AV381" s="10"/>
      <c r="AW381" s="10"/>
      <c r="AX381" s="10"/>
      <c r="AY381" s="10"/>
      <c r="AZ381" s="10"/>
      <c r="BA381" s="16"/>
      <c r="BB381" s="16"/>
      <c r="BH381" s="16"/>
    </row>
    <row r="382" spans="17:60" x14ac:dyDescent="0.2"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K382" s="10"/>
      <c r="AL382" s="10"/>
      <c r="AM382" s="10"/>
      <c r="AN382" s="10"/>
      <c r="AO382" s="10"/>
      <c r="AP382" s="10"/>
      <c r="AQ382" s="10"/>
      <c r="AR382" s="16"/>
      <c r="AS382" s="16"/>
      <c r="AT382" s="16"/>
      <c r="AU382" s="10"/>
      <c r="AV382" s="10"/>
      <c r="AW382" s="10"/>
      <c r="AX382" s="10"/>
      <c r="AY382" s="10"/>
      <c r="AZ382" s="10"/>
      <c r="BA382" s="16"/>
      <c r="BB382" s="16"/>
      <c r="BH382" s="16"/>
    </row>
    <row r="383" spans="17:60" x14ac:dyDescent="0.2"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K383" s="10"/>
      <c r="AL383" s="10"/>
      <c r="AM383" s="10"/>
      <c r="AN383" s="10"/>
      <c r="AO383" s="10"/>
      <c r="AP383" s="10"/>
      <c r="AQ383" s="10"/>
      <c r="AR383" s="16"/>
      <c r="AS383" s="16"/>
      <c r="AT383" s="16"/>
      <c r="AU383" s="10"/>
      <c r="AV383" s="10"/>
      <c r="AW383" s="10"/>
      <c r="AX383" s="10"/>
      <c r="AY383" s="10"/>
      <c r="AZ383" s="10"/>
      <c r="BA383" s="16"/>
      <c r="BB383" s="16"/>
      <c r="BH383" s="16"/>
    </row>
    <row r="384" spans="17:60" x14ac:dyDescent="0.2"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K384" s="10"/>
      <c r="AL384" s="10"/>
      <c r="AM384" s="10"/>
      <c r="AN384" s="10"/>
      <c r="AO384" s="10"/>
      <c r="AP384" s="10"/>
      <c r="AQ384" s="10"/>
      <c r="AR384" s="16"/>
      <c r="AS384" s="16"/>
      <c r="AT384" s="16"/>
      <c r="AU384" s="10"/>
      <c r="AV384" s="10"/>
      <c r="AW384" s="10"/>
      <c r="AX384" s="10"/>
      <c r="AY384" s="10"/>
      <c r="AZ384" s="10"/>
      <c r="BA384" s="16"/>
      <c r="BB384" s="16"/>
      <c r="BH384" s="16"/>
    </row>
    <row r="385" spans="17:60" x14ac:dyDescent="0.2"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K385" s="10"/>
      <c r="AL385" s="10"/>
      <c r="AM385" s="10"/>
      <c r="AN385" s="10"/>
      <c r="AO385" s="10"/>
      <c r="AP385" s="10"/>
      <c r="AQ385" s="10"/>
      <c r="AR385" s="16"/>
      <c r="AS385" s="16"/>
      <c r="AT385" s="16"/>
      <c r="AU385" s="10"/>
      <c r="AV385" s="10"/>
      <c r="AW385" s="10"/>
      <c r="AX385" s="10"/>
      <c r="AY385" s="10"/>
      <c r="AZ385" s="10"/>
      <c r="BA385" s="16"/>
      <c r="BB385" s="16"/>
      <c r="BH385" s="16"/>
    </row>
    <row r="386" spans="17:60" x14ac:dyDescent="0.2"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K386" s="10"/>
      <c r="AL386" s="10"/>
      <c r="AM386" s="10"/>
      <c r="AN386" s="10"/>
      <c r="AO386" s="10"/>
      <c r="AP386" s="10"/>
      <c r="AQ386" s="10"/>
      <c r="AR386" s="16"/>
      <c r="AS386" s="16"/>
      <c r="AT386" s="16"/>
      <c r="AU386" s="10"/>
      <c r="AV386" s="10"/>
      <c r="AW386" s="10"/>
      <c r="AX386" s="10"/>
      <c r="AY386" s="10"/>
      <c r="AZ386" s="10"/>
      <c r="BA386" s="16"/>
      <c r="BB386" s="16"/>
      <c r="BH386" s="16"/>
    </row>
    <row r="387" spans="17:60" x14ac:dyDescent="0.2"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K387" s="10"/>
      <c r="AL387" s="10"/>
      <c r="AM387" s="10"/>
      <c r="AN387" s="10"/>
      <c r="AO387" s="10"/>
      <c r="AP387" s="10"/>
      <c r="AQ387" s="10"/>
      <c r="AR387" s="16"/>
      <c r="AS387" s="16"/>
      <c r="AT387" s="16"/>
      <c r="AU387" s="10"/>
      <c r="AV387" s="10"/>
      <c r="AW387" s="10"/>
      <c r="AX387" s="10"/>
      <c r="AY387" s="10"/>
      <c r="AZ387" s="10"/>
      <c r="BA387" s="16"/>
      <c r="BB387" s="16"/>
      <c r="BH387" s="16"/>
    </row>
    <row r="388" spans="17:60" x14ac:dyDescent="0.2"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K388" s="10"/>
      <c r="AL388" s="10"/>
      <c r="AM388" s="10"/>
      <c r="AN388" s="10"/>
      <c r="AO388" s="10"/>
      <c r="AP388" s="10"/>
      <c r="AQ388" s="10"/>
      <c r="AR388" s="16"/>
      <c r="AS388" s="16"/>
      <c r="AT388" s="16"/>
      <c r="AU388" s="10"/>
      <c r="AV388" s="10"/>
      <c r="AW388" s="10"/>
      <c r="AX388" s="10"/>
      <c r="AY388" s="10"/>
      <c r="AZ388" s="10"/>
      <c r="BA388" s="16"/>
      <c r="BB388" s="16"/>
      <c r="BH388" s="16"/>
    </row>
    <row r="389" spans="17:60" x14ac:dyDescent="0.2"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K389" s="10"/>
      <c r="AL389" s="10"/>
      <c r="AM389" s="10"/>
      <c r="AN389" s="10"/>
      <c r="AO389" s="10"/>
      <c r="AP389" s="10"/>
      <c r="AQ389" s="10"/>
      <c r="AR389" s="16"/>
      <c r="AS389" s="16"/>
      <c r="AT389" s="16"/>
      <c r="AU389" s="10"/>
      <c r="AV389" s="10"/>
      <c r="AW389" s="10"/>
      <c r="AX389" s="10"/>
      <c r="AY389" s="10"/>
      <c r="AZ389" s="10"/>
      <c r="BA389" s="16"/>
      <c r="BB389" s="16"/>
      <c r="BH389" s="16"/>
    </row>
    <row r="390" spans="17:60" x14ac:dyDescent="0.2"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K390" s="10"/>
      <c r="AL390" s="10"/>
      <c r="AM390" s="10"/>
      <c r="AN390" s="10"/>
      <c r="AO390" s="10"/>
      <c r="AP390" s="10"/>
      <c r="AQ390" s="10"/>
      <c r="AR390" s="16"/>
      <c r="AS390" s="16"/>
      <c r="AT390" s="16"/>
      <c r="AU390" s="10"/>
      <c r="AV390" s="10"/>
      <c r="AW390" s="10"/>
      <c r="AX390" s="10"/>
      <c r="AY390" s="10"/>
      <c r="AZ390" s="10"/>
      <c r="BA390" s="16"/>
      <c r="BB390" s="16"/>
      <c r="BH390" s="16"/>
    </row>
    <row r="391" spans="17:60" x14ac:dyDescent="0.2"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K391" s="10"/>
      <c r="AL391" s="10"/>
      <c r="AM391" s="10"/>
      <c r="AN391" s="10"/>
      <c r="AO391" s="10"/>
      <c r="AP391" s="10"/>
      <c r="AQ391" s="10"/>
      <c r="AR391" s="16"/>
      <c r="AS391" s="16"/>
      <c r="AT391" s="16"/>
      <c r="AU391" s="10"/>
      <c r="AV391" s="10"/>
      <c r="AW391" s="10"/>
      <c r="AX391" s="10"/>
      <c r="AY391" s="10"/>
      <c r="AZ391" s="10"/>
      <c r="BA391" s="16"/>
      <c r="BB391" s="16"/>
      <c r="BH391" s="16"/>
    </row>
    <row r="392" spans="17:60" x14ac:dyDescent="0.2"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K392" s="10"/>
      <c r="AL392" s="10"/>
      <c r="AM392" s="10"/>
      <c r="AN392" s="10"/>
      <c r="AO392" s="10"/>
      <c r="AP392" s="10"/>
      <c r="AQ392" s="10"/>
      <c r="AR392" s="16"/>
      <c r="AS392" s="16"/>
      <c r="AT392" s="16"/>
      <c r="AU392" s="10"/>
      <c r="AV392" s="10"/>
      <c r="AW392" s="10"/>
      <c r="AX392" s="10"/>
      <c r="AY392" s="10"/>
      <c r="AZ392" s="10"/>
      <c r="BA392" s="16"/>
      <c r="BB392" s="16"/>
      <c r="BH392" s="16"/>
    </row>
    <row r="393" spans="17:60" x14ac:dyDescent="0.2"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K393" s="10"/>
      <c r="AL393" s="10"/>
      <c r="AM393" s="10"/>
      <c r="AN393" s="10"/>
      <c r="AO393" s="10"/>
      <c r="AP393" s="10"/>
      <c r="AQ393" s="10"/>
      <c r="AR393" s="16"/>
      <c r="AS393" s="16"/>
      <c r="AT393" s="16"/>
      <c r="AU393" s="10"/>
      <c r="AV393" s="10"/>
      <c r="AW393" s="10"/>
      <c r="AX393" s="10"/>
      <c r="AY393" s="10"/>
      <c r="AZ393" s="10"/>
      <c r="BA393" s="16"/>
      <c r="BB393" s="16"/>
      <c r="BH393" s="16"/>
    </row>
    <row r="394" spans="17:60" x14ac:dyDescent="0.2"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K394" s="10"/>
      <c r="AL394" s="10"/>
      <c r="AM394" s="10"/>
      <c r="AN394" s="10"/>
      <c r="AO394" s="10"/>
      <c r="AP394" s="10"/>
      <c r="AQ394" s="10"/>
      <c r="AR394" s="16"/>
      <c r="AS394" s="16"/>
      <c r="AT394" s="16"/>
      <c r="AU394" s="10"/>
      <c r="AV394" s="10"/>
      <c r="AW394" s="10"/>
      <c r="AX394" s="10"/>
      <c r="AY394" s="10"/>
      <c r="AZ394" s="10"/>
      <c r="BA394" s="16"/>
      <c r="BB394" s="16"/>
      <c r="BH394" s="16"/>
    </row>
    <row r="395" spans="17:60" x14ac:dyDescent="0.2"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K395" s="10"/>
      <c r="AL395" s="10"/>
      <c r="AM395" s="10"/>
      <c r="AN395" s="10"/>
      <c r="AO395" s="10"/>
      <c r="AP395" s="10"/>
      <c r="AQ395" s="10"/>
      <c r="AR395" s="16"/>
      <c r="AS395" s="16"/>
      <c r="AT395" s="16"/>
      <c r="AU395" s="10"/>
      <c r="AV395" s="10"/>
      <c r="AW395" s="10"/>
      <c r="AX395" s="10"/>
      <c r="AY395" s="10"/>
      <c r="AZ395" s="10"/>
      <c r="BA395" s="16"/>
      <c r="BB395" s="16"/>
      <c r="BH395" s="16"/>
    </row>
    <row r="396" spans="17:60" x14ac:dyDescent="0.2"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K396" s="10"/>
      <c r="AL396" s="10"/>
      <c r="AM396" s="10"/>
      <c r="AN396" s="10"/>
      <c r="AO396" s="10"/>
      <c r="AP396" s="10"/>
      <c r="AQ396" s="10"/>
      <c r="AR396" s="16"/>
      <c r="AS396" s="16"/>
      <c r="AT396" s="16"/>
      <c r="AU396" s="10"/>
      <c r="AV396" s="10"/>
      <c r="AW396" s="10"/>
      <c r="AX396" s="10"/>
      <c r="AY396" s="10"/>
      <c r="AZ396" s="10"/>
      <c r="BA396" s="16"/>
      <c r="BB396" s="16"/>
      <c r="BH396" s="16"/>
    </row>
    <row r="397" spans="17:60" x14ac:dyDescent="0.2"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K397" s="10"/>
      <c r="AL397" s="10"/>
      <c r="AM397" s="10"/>
      <c r="AN397" s="10"/>
      <c r="AO397" s="10"/>
      <c r="AP397" s="10"/>
      <c r="AQ397" s="10"/>
      <c r="AR397" s="16"/>
      <c r="AS397" s="16"/>
      <c r="AT397" s="16"/>
      <c r="AU397" s="10"/>
      <c r="AV397" s="10"/>
      <c r="AW397" s="10"/>
      <c r="AX397" s="10"/>
      <c r="AY397" s="10"/>
      <c r="AZ397" s="10"/>
      <c r="BA397" s="16"/>
      <c r="BB397" s="16"/>
      <c r="BH397" s="16"/>
    </row>
    <row r="398" spans="17:60" x14ac:dyDescent="0.2"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K398" s="10"/>
      <c r="AL398" s="10"/>
      <c r="AM398" s="10"/>
      <c r="AN398" s="10"/>
      <c r="AO398" s="10"/>
      <c r="AP398" s="10"/>
      <c r="AQ398" s="10"/>
      <c r="AR398" s="16"/>
      <c r="AS398" s="16"/>
      <c r="AT398" s="16"/>
      <c r="AU398" s="10"/>
      <c r="AV398" s="10"/>
      <c r="AW398" s="10"/>
      <c r="AX398" s="10"/>
      <c r="AY398" s="10"/>
      <c r="AZ398" s="10"/>
      <c r="BA398" s="16"/>
      <c r="BB398" s="16"/>
      <c r="BH398" s="16"/>
    </row>
    <row r="399" spans="17:60" x14ac:dyDescent="0.2"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K399" s="10"/>
      <c r="AL399" s="10"/>
      <c r="AM399" s="10"/>
      <c r="AN399" s="10"/>
      <c r="AO399" s="10"/>
      <c r="AP399" s="10"/>
      <c r="AQ399" s="10"/>
      <c r="AR399" s="16"/>
      <c r="AS399" s="16"/>
      <c r="AT399" s="16"/>
      <c r="AU399" s="10"/>
      <c r="AV399" s="10"/>
      <c r="AW399" s="10"/>
      <c r="AX399" s="10"/>
      <c r="AY399" s="10"/>
      <c r="AZ399" s="10"/>
      <c r="BA399" s="16"/>
      <c r="BB399" s="16"/>
      <c r="BH399" s="16"/>
    </row>
    <row r="400" spans="17:60" x14ac:dyDescent="0.2"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K400" s="10"/>
      <c r="AL400" s="10"/>
      <c r="AM400" s="10"/>
      <c r="AN400" s="10"/>
      <c r="AO400" s="10"/>
      <c r="AP400" s="10"/>
      <c r="AQ400" s="10"/>
      <c r="AR400" s="16"/>
      <c r="AS400" s="16"/>
      <c r="AT400" s="16"/>
      <c r="AU400" s="10"/>
      <c r="AV400" s="10"/>
      <c r="AW400" s="10"/>
      <c r="AX400" s="10"/>
      <c r="AY400" s="10"/>
      <c r="AZ400" s="10"/>
      <c r="BA400" s="16"/>
      <c r="BB400" s="16"/>
      <c r="BH400" s="16"/>
    </row>
    <row r="401" spans="17:60" x14ac:dyDescent="0.2"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K401" s="10"/>
      <c r="AL401" s="10"/>
      <c r="AM401" s="10"/>
      <c r="AN401" s="10"/>
      <c r="AO401" s="10"/>
      <c r="AP401" s="10"/>
      <c r="AQ401" s="10"/>
      <c r="AR401" s="16"/>
      <c r="AS401" s="16"/>
      <c r="AT401" s="16"/>
      <c r="AU401" s="10"/>
      <c r="AV401" s="10"/>
      <c r="AW401" s="10"/>
      <c r="AX401" s="10"/>
      <c r="AY401" s="10"/>
      <c r="AZ401" s="10"/>
      <c r="BA401" s="16"/>
      <c r="BB401" s="16"/>
      <c r="BH401" s="16"/>
    </row>
    <row r="402" spans="17:60" x14ac:dyDescent="0.2"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K402" s="10"/>
      <c r="AL402" s="10"/>
      <c r="AM402" s="10"/>
      <c r="AN402" s="10"/>
      <c r="AO402" s="10"/>
      <c r="AP402" s="10"/>
      <c r="AQ402" s="10"/>
      <c r="AR402" s="16"/>
      <c r="AS402" s="16"/>
      <c r="AT402" s="16"/>
      <c r="AU402" s="10"/>
      <c r="AV402" s="10"/>
      <c r="AW402" s="10"/>
      <c r="AX402" s="10"/>
      <c r="AY402" s="10"/>
      <c r="AZ402" s="10"/>
      <c r="BA402" s="16"/>
      <c r="BB402" s="16"/>
      <c r="BH402" s="16"/>
    </row>
    <row r="403" spans="17:60" x14ac:dyDescent="0.2"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K403" s="10"/>
      <c r="AL403" s="10"/>
      <c r="AM403" s="10"/>
      <c r="AN403" s="10"/>
      <c r="AO403" s="10"/>
      <c r="AP403" s="10"/>
      <c r="AQ403" s="10"/>
      <c r="AR403" s="16"/>
      <c r="AS403" s="16"/>
      <c r="AT403" s="16"/>
      <c r="AU403" s="10"/>
      <c r="AV403" s="10"/>
      <c r="AW403" s="10"/>
      <c r="AX403" s="10"/>
      <c r="AY403" s="10"/>
      <c r="AZ403" s="10"/>
      <c r="BA403" s="16"/>
      <c r="BB403" s="16"/>
      <c r="BH403" s="16"/>
    </row>
    <row r="404" spans="17:60" x14ac:dyDescent="0.2"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K404" s="10"/>
      <c r="AL404" s="10"/>
      <c r="AM404" s="10"/>
      <c r="AN404" s="10"/>
      <c r="AO404" s="10"/>
      <c r="AP404" s="10"/>
      <c r="AQ404" s="10"/>
      <c r="AR404" s="16"/>
      <c r="AS404" s="16"/>
      <c r="AT404" s="16"/>
      <c r="AU404" s="10"/>
      <c r="AV404" s="10"/>
      <c r="AW404" s="10"/>
      <c r="AX404" s="10"/>
      <c r="AY404" s="10"/>
      <c r="AZ404" s="10"/>
      <c r="BA404" s="16"/>
      <c r="BB404" s="16"/>
      <c r="BH404" s="16"/>
    </row>
    <row r="405" spans="17:60" x14ac:dyDescent="0.2"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K405" s="10"/>
      <c r="AL405" s="10"/>
      <c r="AM405" s="10"/>
      <c r="AN405" s="10"/>
      <c r="AO405" s="10"/>
      <c r="AP405" s="10"/>
      <c r="AQ405" s="10"/>
      <c r="AR405" s="16"/>
      <c r="AS405" s="16"/>
      <c r="AT405" s="16"/>
      <c r="AU405" s="10"/>
      <c r="AV405" s="10"/>
      <c r="AW405" s="10"/>
      <c r="AX405" s="10"/>
      <c r="AY405" s="10"/>
      <c r="AZ405" s="10"/>
      <c r="BA405" s="16"/>
      <c r="BB405" s="16"/>
      <c r="BH405" s="16"/>
    </row>
    <row r="406" spans="17:60" x14ac:dyDescent="0.2"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K406" s="10"/>
      <c r="AL406" s="10"/>
      <c r="AM406" s="10"/>
      <c r="AN406" s="10"/>
      <c r="AO406" s="10"/>
      <c r="AP406" s="10"/>
      <c r="AQ406" s="10"/>
      <c r="AR406" s="16"/>
      <c r="AS406" s="16"/>
      <c r="AT406" s="16"/>
      <c r="AU406" s="10"/>
      <c r="AV406" s="10"/>
      <c r="AW406" s="10"/>
      <c r="AX406" s="10"/>
      <c r="AY406" s="10"/>
      <c r="AZ406" s="10"/>
      <c r="BA406" s="16"/>
      <c r="BB406" s="16"/>
      <c r="BH406" s="16"/>
    </row>
    <row r="407" spans="17:60" x14ac:dyDescent="0.2"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K407" s="10"/>
      <c r="AL407" s="10"/>
      <c r="AM407" s="10"/>
      <c r="AN407" s="10"/>
      <c r="AO407" s="10"/>
      <c r="AP407" s="10"/>
      <c r="AQ407" s="10"/>
      <c r="AR407" s="16"/>
      <c r="AS407" s="16"/>
      <c r="AT407" s="16"/>
      <c r="AU407" s="10"/>
      <c r="AV407" s="10"/>
      <c r="AW407" s="10"/>
      <c r="AX407" s="10"/>
      <c r="AY407" s="10"/>
      <c r="AZ407" s="10"/>
      <c r="BA407" s="16"/>
      <c r="BB407" s="16"/>
      <c r="BH407" s="16"/>
    </row>
    <row r="408" spans="17:60" x14ac:dyDescent="0.2"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K408" s="10"/>
      <c r="AL408" s="10"/>
      <c r="AM408" s="10"/>
      <c r="AN408" s="10"/>
      <c r="AO408" s="10"/>
      <c r="AP408" s="10"/>
      <c r="AQ408" s="10"/>
      <c r="AR408" s="16"/>
      <c r="AS408" s="16"/>
      <c r="AT408" s="16"/>
      <c r="AU408" s="10"/>
      <c r="AV408" s="10"/>
      <c r="AW408" s="10"/>
      <c r="AX408" s="10"/>
      <c r="AY408" s="10"/>
      <c r="AZ408" s="10"/>
      <c r="BA408" s="16"/>
      <c r="BB408" s="16"/>
      <c r="BH408" s="16"/>
    </row>
    <row r="409" spans="17:60" x14ac:dyDescent="0.2"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K409" s="10"/>
      <c r="AL409" s="10"/>
      <c r="AM409" s="10"/>
      <c r="AN409" s="10"/>
      <c r="AO409" s="10"/>
      <c r="AP409" s="10"/>
      <c r="AQ409" s="10"/>
      <c r="AR409" s="16"/>
      <c r="AS409" s="16"/>
      <c r="AT409" s="16"/>
      <c r="AU409" s="10"/>
      <c r="AV409" s="10"/>
      <c r="AW409" s="10"/>
      <c r="AX409" s="10"/>
      <c r="AY409" s="10"/>
      <c r="AZ409" s="10"/>
      <c r="BA409" s="16"/>
      <c r="BB409" s="16"/>
      <c r="BH409" s="16"/>
    </row>
    <row r="410" spans="17:60" x14ac:dyDescent="0.2"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K410" s="10"/>
      <c r="AL410" s="10"/>
      <c r="AM410" s="10"/>
      <c r="AN410" s="10"/>
      <c r="AO410" s="10"/>
      <c r="AP410" s="10"/>
      <c r="AQ410" s="10"/>
      <c r="AR410" s="16"/>
      <c r="AS410" s="16"/>
      <c r="AT410" s="16"/>
      <c r="AU410" s="10"/>
      <c r="AV410" s="10"/>
      <c r="AW410" s="10"/>
      <c r="AX410" s="10"/>
      <c r="AY410" s="10"/>
      <c r="AZ410" s="10"/>
      <c r="BA410" s="16"/>
      <c r="BB410" s="16"/>
      <c r="BH410" s="16"/>
    </row>
    <row r="411" spans="17:60" x14ac:dyDescent="0.2"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K411" s="10"/>
      <c r="AL411" s="10"/>
      <c r="AM411" s="10"/>
      <c r="AN411" s="10"/>
      <c r="AO411" s="10"/>
      <c r="AP411" s="10"/>
      <c r="AQ411" s="10"/>
      <c r="AR411" s="16"/>
      <c r="AS411" s="16"/>
      <c r="AT411" s="16"/>
      <c r="AU411" s="10"/>
      <c r="AV411" s="10"/>
      <c r="AW411" s="10"/>
      <c r="AX411" s="10"/>
      <c r="AY411" s="10"/>
      <c r="AZ411" s="10"/>
      <c r="BA411" s="16"/>
      <c r="BB411" s="16"/>
      <c r="BH411" s="16"/>
    </row>
    <row r="412" spans="17:60" x14ac:dyDescent="0.2"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K412" s="10"/>
      <c r="AL412" s="10"/>
      <c r="AM412" s="10"/>
      <c r="AN412" s="10"/>
      <c r="AO412" s="10"/>
      <c r="AP412" s="10"/>
      <c r="AQ412" s="10"/>
      <c r="AR412" s="16"/>
      <c r="AS412" s="16"/>
      <c r="AT412" s="16"/>
      <c r="AU412" s="10"/>
      <c r="AV412" s="10"/>
      <c r="AW412" s="10"/>
      <c r="AX412" s="10"/>
      <c r="AY412" s="10"/>
      <c r="AZ412" s="10"/>
      <c r="BA412" s="16"/>
      <c r="BB412" s="16"/>
      <c r="BH412" s="16"/>
    </row>
    <row r="413" spans="17:60" x14ac:dyDescent="0.2"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K413" s="10"/>
      <c r="AL413" s="10"/>
      <c r="AM413" s="10"/>
      <c r="AN413" s="10"/>
      <c r="AO413" s="10"/>
      <c r="AP413" s="10"/>
      <c r="AQ413" s="10"/>
      <c r="AR413" s="16"/>
      <c r="AS413" s="16"/>
      <c r="AT413" s="16"/>
      <c r="AU413" s="10"/>
      <c r="AV413" s="10"/>
      <c r="AW413" s="10"/>
      <c r="AX413" s="10"/>
      <c r="AY413" s="10"/>
      <c r="AZ413" s="10"/>
      <c r="BA413" s="16"/>
      <c r="BB413" s="16"/>
      <c r="BH413" s="16"/>
    </row>
    <row r="414" spans="17:60" x14ac:dyDescent="0.2"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K414" s="10"/>
      <c r="AL414" s="10"/>
      <c r="AM414" s="10"/>
      <c r="AN414" s="10"/>
      <c r="AO414" s="10"/>
      <c r="AP414" s="10"/>
      <c r="AQ414" s="10"/>
      <c r="AR414" s="16"/>
      <c r="AS414" s="16"/>
      <c r="AT414" s="16"/>
      <c r="AU414" s="10"/>
      <c r="AV414" s="10"/>
      <c r="AW414" s="10"/>
      <c r="AX414" s="10"/>
      <c r="AY414" s="10"/>
      <c r="AZ414" s="10"/>
      <c r="BA414" s="16"/>
      <c r="BB414" s="16"/>
      <c r="BH414" s="16"/>
    </row>
    <row r="415" spans="17:60" x14ac:dyDescent="0.2"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K415" s="10"/>
      <c r="AL415" s="10"/>
      <c r="AM415" s="10"/>
      <c r="AN415" s="10"/>
      <c r="AO415" s="10"/>
      <c r="AP415" s="10"/>
      <c r="AQ415" s="10"/>
      <c r="AR415" s="16"/>
      <c r="AS415" s="16"/>
      <c r="AT415" s="16"/>
      <c r="AU415" s="10"/>
      <c r="AV415" s="10"/>
      <c r="AW415" s="10"/>
      <c r="AX415" s="10"/>
      <c r="AY415" s="10"/>
      <c r="AZ415" s="10"/>
      <c r="BA415" s="16"/>
      <c r="BB415" s="16"/>
      <c r="BH415" s="16"/>
    </row>
    <row r="416" spans="17:60" x14ac:dyDescent="0.2"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K416" s="10"/>
      <c r="AL416" s="10"/>
      <c r="AM416" s="10"/>
      <c r="AN416" s="10"/>
      <c r="AO416" s="10"/>
      <c r="AP416" s="10"/>
      <c r="AQ416" s="10"/>
      <c r="AR416" s="16"/>
      <c r="AS416" s="16"/>
      <c r="AT416" s="16"/>
      <c r="AU416" s="10"/>
      <c r="AV416" s="10"/>
      <c r="AW416" s="10"/>
      <c r="AX416" s="10"/>
      <c r="AY416" s="10"/>
      <c r="AZ416" s="10"/>
      <c r="BA416" s="16"/>
      <c r="BB416" s="16"/>
      <c r="BH416" s="16"/>
    </row>
    <row r="417" spans="17:60" x14ac:dyDescent="0.2"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K417" s="10"/>
      <c r="AL417" s="10"/>
      <c r="AM417" s="10"/>
      <c r="AN417" s="10"/>
      <c r="AO417" s="10"/>
      <c r="AP417" s="10"/>
      <c r="AQ417" s="10"/>
      <c r="AR417" s="16"/>
      <c r="AS417" s="16"/>
      <c r="AT417" s="16"/>
      <c r="AU417" s="10"/>
      <c r="AV417" s="10"/>
      <c r="AW417" s="10"/>
      <c r="AX417" s="10"/>
      <c r="AY417" s="10"/>
      <c r="AZ417" s="10"/>
      <c r="BA417" s="16"/>
      <c r="BB417" s="16"/>
      <c r="BH417" s="16"/>
    </row>
    <row r="418" spans="17:60" x14ac:dyDescent="0.2"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K418" s="10"/>
      <c r="AL418" s="10"/>
      <c r="AM418" s="10"/>
      <c r="AN418" s="10"/>
      <c r="AO418" s="10"/>
      <c r="AP418" s="10"/>
      <c r="AQ418" s="10"/>
      <c r="AR418" s="16"/>
      <c r="AS418" s="16"/>
      <c r="AT418" s="16"/>
      <c r="AU418" s="10"/>
      <c r="AV418" s="10"/>
      <c r="AW418" s="10"/>
      <c r="AX418" s="10"/>
      <c r="AY418" s="10"/>
      <c r="AZ418" s="10"/>
      <c r="BA418" s="16"/>
      <c r="BB418" s="16"/>
      <c r="BH418" s="16"/>
    </row>
    <row r="419" spans="17:60" x14ac:dyDescent="0.2"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K419" s="10"/>
      <c r="AL419" s="10"/>
      <c r="AM419" s="10"/>
      <c r="AN419" s="10"/>
      <c r="AO419" s="10"/>
      <c r="AP419" s="10"/>
      <c r="AQ419" s="10"/>
      <c r="AR419" s="16"/>
      <c r="AS419" s="16"/>
      <c r="AT419" s="16"/>
      <c r="AU419" s="10"/>
      <c r="AV419" s="10"/>
      <c r="AW419" s="10"/>
      <c r="AX419" s="10"/>
      <c r="AY419" s="10"/>
      <c r="AZ419" s="10"/>
      <c r="BA419" s="16"/>
      <c r="BB419" s="16"/>
      <c r="BH419" s="16"/>
    </row>
    <row r="420" spans="17:60" x14ac:dyDescent="0.2"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K420" s="10"/>
      <c r="AL420" s="10"/>
      <c r="AM420" s="10"/>
      <c r="AN420" s="10"/>
      <c r="AO420" s="10"/>
      <c r="AP420" s="10"/>
      <c r="AQ420" s="10"/>
      <c r="AR420" s="16"/>
      <c r="AS420" s="16"/>
      <c r="AT420" s="16"/>
      <c r="AU420" s="10"/>
      <c r="AV420" s="10"/>
      <c r="AW420" s="10"/>
      <c r="AX420" s="10"/>
      <c r="AY420" s="10"/>
      <c r="AZ420" s="10"/>
      <c r="BA420" s="16"/>
      <c r="BB420" s="16"/>
      <c r="BH420" s="16"/>
    </row>
    <row r="421" spans="17:60" x14ac:dyDescent="0.2"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K421" s="10"/>
      <c r="AL421" s="10"/>
      <c r="AM421" s="10"/>
      <c r="AN421" s="10"/>
      <c r="AO421" s="10"/>
      <c r="AP421" s="10"/>
      <c r="AQ421" s="10"/>
      <c r="AR421" s="16"/>
      <c r="AS421" s="16"/>
      <c r="AT421" s="16"/>
      <c r="AU421" s="10"/>
      <c r="AV421" s="10"/>
      <c r="AW421" s="10"/>
      <c r="AX421" s="10"/>
      <c r="AY421" s="10"/>
      <c r="AZ421" s="10"/>
      <c r="BA421" s="16"/>
      <c r="BB421" s="16"/>
      <c r="BH421" s="16"/>
    </row>
    <row r="422" spans="17:60" x14ac:dyDescent="0.2"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K422" s="10"/>
      <c r="AL422" s="10"/>
      <c r="AM422" s="10"/>
      <c r="AN422" s="10"/>
      <c r="AO422" s="10"/>
      <c r="AP422" s="10"/>
      <c r="AQ422" s="10"/>
      <c r="AR422" s="16"/>
      <c r="AS422" s="16"/>
      <c r="AT422" s="16"/>
      <c r="AU422" s="10"/>
      <c r="AV422" s="10"/>
      <c r="AW422" s="10"/>
      <c r="AX422" s="10"/>
      <c r="AY422" s="10"/>
      <c r="AZ422" s="10"/>
      <c r="BA422" s="16"/>
      <c r="BB422" s="16"/>
      <c r="BH422" s="16"/>
    </row>
    <row r="423" spans="17:60" x14ac:dyDescent="0.2"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K423" s="10"/>
      <c r="AL423" s="10"/>
      <c r="AM423" s="10"/>
      <c r="AN423" s="10"/>
      <c r="AO423" s="10"/>
      <c r="AP423" s="10"/>
      <c r="AQ423" s="10"/>
      <c r="AR423" s="16"/>
      <c r="AS423" s="16"/>
      <c r="AT423" s="16"/>
      <c r="AU423" s="10"/>
      <c r="AV423" s="10"/>
      <c r="AW423" s="10"/>
      <c r="AX423" s="10"/>
      <c r="AY423" s="10"/>
      <c r="AZ423" s="10"/>
      <c r="BA423" s="16"/>
      <c r="BB423" s="16"/>
      <c r="BH423" s="16"/>
    </row>
    <row r="424" spans="17:60" x14ac:dyDescent="0.2"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K424" s="10"/>
      <c r="AL424" s="10"/>
      <c r="AM424" s="10"/>
      <c r="AN424" s="10"/>
      <c r="AO424" s="10"/>
      <c r="AP424" s="10"/>
      <c r="AQ424" s="10"/>
      <c r="AR424" s="16"/>
      <c r="AS424" s="16"/>
      <c r="AT424" s="16"/>
      <c r="AU424" s="10"/>
      <c r="AV424" s="10"/>
      <c r="AW424" s="10"/>
      <c r="AX424" s="10"/>
      <c r="AY424" s="10"/>
      <c r="AZ424" s="10"/>
      <c r="BA424" s="16"/>
      <c r="BB424" s="16"/>
      <c r="BH424" s="16"/>
    </row>
    <row r="425" spans="17:60" x14ac:dyDescent="0.2"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K425" s="10"/>
      <c r="AL425" s="10"/>
      <c r="AM425" s="10"/>
      <c r="AN425" s="10"/>
      <c r="AO425" s="10"/>
      <c r="AP425" s="10"/>
      <c r="AQ425" s="10"/>
      <c r="AR425" s="16"/>
      <c r="AS425" s="16"/>
      <c r="AT425" s="16"/>
      <c r="AU425" s="10"/>
      <c r="AV425" s="10"/>
      <c r="AW425" s="10"/>
      <c r="AX425" s="10"/>
      <c r="AY425" s="10"/>
      <c r="AZ425" s="10"/>
      <c r="BA425" s="16"/>
      <c r="BB425" s="16"/>
      <c r="BH425" s="16"/>
    </row>
    <row r="426" spans="17:60" x14ac:dyDescent="0.2"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K426" s="10"/>
      <c r="AL426" s="10"/>
      <c r="AM426" s="10"/>
      <c r="AN426" s="10"/>
      <c r="AO426" s="10"/>
      <c r="AP426" s="10"/>
      <c r="AQ426" s="10"/>
      <c r="AR426" s="16"/>
      <c r="AS426" s="16"/>
      <c r="AT426" s="16"/>
      <c r="AU426" s="10"/>
      <c r="AV426" s="10"/>
      <c r="AW426" s="10"/>
      <c r="AX426" s="10"/>
      <c r="AY426" s="10"/>
      <c r="AZ426" s="10"/>
      <c r="BA426" s="16"/>
      <c r="BB426" s="16"/>
      <c r="BH426" s="16"/>
    </row>
    <row r="427" spans="17:60" x14ac:dyDescent="0.2"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K427" s="10"/>
      <c r="AL427" s="10"/>
      <c r="AM427" s="10"/>
      <c r="AN427" s="10"/>
      <c r="AO427" s="10"/>
      <c r="AP427" s="10"/>
      <c r="AQ427" s="10"/>
      <c r="AR427" s="16"/>
      <c r="AS427" s="16"/>
      <c r="AT427" s="16"/>
      <c r="AU427" s="10"/>
      <c r="AV427" s="10"/>
      <c r="AW427" s="10"/>
      <c r="AX427" s="10"/>
      <c r="AY427" s="10"/>
      <c r="AZ427" s="10"/>
      <c r="BA427" s="16"/>
      <c r="BB427" s="16"/>
      <c r="BH427" s="16"/>
    </row>
    <row r="428" spans="17:60" x14ac:dyDescent="0.2"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K428" s="10"/>
      <c r="AL428" s="10"/>
      <c r="AM428" s="10"/>
      <c r="AN428" s="10"/>
      <c r="AO428" s="10"/>
      <c r="AP428" s="10"/>
      <c r="AQ428" s="10"/>
      <c r="AR428" s="16"/>
      <c r="AS428" s="16"/>
      <c r="AT428" s="16"/>
      <c r="AU428" s="10"/>
      <c r="AV428" s="10"/>
      <c r="AW428" s="10"/>
      <c r="AX428" s="10"/>
      <c r="AY428" s="10"/>
      <c r="AZ428" s="10"/>
      <c r="BA428" s="16"/>
      <c r="BB428" s="16"/>
      <c r="BH428" s="16"/>
    </row>
    <row r="429" spans="17:60" x14ac:dyDescent="0.2"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K429" s="10"/>
      <c r="AL429" s="10"/>
      <c r="AM429" s="10"/>
      <c r="AN429" s="10"/>
      <c r="AO429" s="10"/>
      <c r="AP429" s="10"/>
      <c r="AQ429" s="10"/>
      <c r="AR429" s="16"/>
      <c r="AS429" s="16"/>
      <c r="AT429" s="16"/>
      <c r="AU429" s="10"/>
      <c r="AV429" s="10"/>
      <c r="AW429" s="10"/>
      <c r="AX429" s="10"/>
      <c r="AY429" s="10"/>
      <c r="AZ429" s="10"/>
      <c r="BA429" s="16"/>
      <c r="BB429" s="16"/>
      <c r="BH429" s="16"/>
    </row>
    <row r="430" spans="17:60" x14ac:dyDescent="0.2"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K430" s="10"/>
      <c r="AL430" s="10"/>
      <c r="AM430" s="10"/>
      <c r="AN430" s="10"/>
      <c r="AO430" s="10"/>
      <c r="AP430" s="10"/>
      <c r="AQ430" s="10"/>
      <c r="AR430" s="16"/>
      <c r="AS430" s="16"/>
      <c r="AT430" s="16"/>
      <c r="AU430" s="10"/>
      <c r="AV430" s="10"/>
      <c r="AW430" s="10"/>
      <c r="AX430" s="10"/>
      <c r="AY430" s="10"/>
      <c r="AZ430" s="10"/>
      <c r="BA430" s="16"/>
      <c r="BB430" s="16"/>
      <c r="BH430" s="16"/>
    </row>
    <row r="431" spans="17:60" x14ac:dyDescent="0.2"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K431" s="10"/>
      <c r="AL431" s="10"/>
      <c r="AM431" s="10"/>
      <c r="AN431" s="10"/>
      <c r="AO431" s="10"/>
      <c r="AP431" s="10"/>
      <c r="AQ431" s="10"/>
      <c r="AR431" s="16"/>
      <c r="AS431" s="16"/>
      <c r="AT431" s="16"/>
      <c r="AU431" s="10"/>
      <c r="AV431" s="10"/>
      <c r="AW431" s="10"/>
      <c r="AX431" s="10"/>
      <c r="AY431" s="10"/>
      <c r="AZ431" s="10"/>
      <c r="BA431" s="16"/>
      <c r="BB431" s="16"/>
      <c r="BH431" s="16"/>
    </row>
    <row r="432" spans="17:60" x14ac:dyDescent="0.2"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K432" s="10"/>
      <c r="AL432" s="10"/>
      <c r="AM432" s="10"/>
      <c r="AN432" s="10"/>
      <c r="AO432" s="10"/>
      <c r="AP432" s="10"/>
      <c r="AQ432" s="10"/>
      <c r="AR432" s="16"/>
      <c r="AS432" s="16"/>
      <c r="AT432" s="16"/>
      <c r="AU432" s="10"/>
      <c r="AV432" s="10"/>
      <c r="AW432" s="10"/>
      <c r="AX432" s="10"/>
      <c r="AY432" s="10"/>
      <c r="AZ432" s="10"/>
      <c r="BA432" s="16"/>
      <c r="BB432" s="16"/>
      <c r="BH432" s="16"/>
    </row>
    <row r="433" spans="17:60" x14ac:dyDescent="0.2"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K433" s="10"/>
      <c r="AL433" s="10"/>
      <c r="AM433" s="10"/>
      <c r="AN433" s="10"/>
      <c r="AO433" s="10"/>
      <c r="AP433" s="10"/>
      <c r="AQ433" s="10"/>
      <c r="AR433" s="16"/>
      <c r="AS433" s="16"/>
      <c r="AT433" s="16"/>
      <c r="AU433" s="10"/>
      <c r="AV433" s="10"/>
      <c r="AW433" s="10"/>
      <c r="AX433" s="10"/>
      <c r="AY433" s="10"/>
      <c r="AZ433" s="10"/>
      <c r="BA433" s="16"/>
      <c r="BB433" s="16"/>
      <c r="BH433" s="16"/>
    </row>
    <row r="434" spans="17:60" x14ac:dyDescent="0.2"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K434" s="10"/>
      <c r="AL434" s="10"/>
      <c r="AM434" s="10"/>
      <c r="AN434" s="10"/>
      <c r="AO434" s="10"/>
      <c r="AP434" s="10"/>
      <c r="AQ434" s="10"/>
      <c r="AR434" s="16"/>
      <c r="AS434" s="16"/>
      <c r="AT434" s="16"/>
      <c r="AU434" s="10"/>
      <c r="AV434" s="10"/>
      <c r="AW434" s="10"/>
      <c r="AX434" s="10"/>
      <c r="AY434" s="10"/>
      <c r="AZ434" s="10"/>
      <c r="BA434" s="16"/>
      <c r="BB434" s="16"/>
      <c r="BH434" s="16"/>
    </row>
    <row r="435" spans="17:60" x14ac:dyDescent="0.2"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K435" s="10"/>
      <c r="AL435" s="10"/>
      <c r="AM435" s="10"/>
      <c r="AN435" s="10"/>
      <c r="AO435" s="10"/>
      <c r="AP435" s="10"/>
      <c r="AQ435" s="10"/>
      <c r="AR435" s="16"/>
      <c r="AS435" s="16"/>
      <c r="AT435" s="16"/>
      <c r="AU435" s="10"/>
      <c r="AV435" s="10"/>
      <c r="AW435" s="10"/>
      <c r="AX435" s="10"/>
      <c r="AY435" s="10"/>
      <c r="AZ435" s="10"/>
      <c r="BA435" s="16"/>
      <c r="BB435" s="16"/>
      <c r="BH435" s="16"/>
    </row>
    <row r="436" spans="17:60" x14ac:dyDescent="0.2"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K436" s="10"/>
      <c r="AL436" s="10"/>
      <c r="AM436" s="10"/>
      <c r="AN436" s="10"/>
      <c r="AO436" s="10"/>
      <c r="AP436" s="10"/>
      <c r="AQ436" s="10"/>
      <c r="AR436" s="16"/>
      <c r="AS436" s="16"/>
      <c r="AT436" s="16"/>
      <c r="AU436" s="10"/>
      <c r="AV436" s="10"/>
      <c r="AW436" s="10"/>
      <c r="AX436" s="10"/>
      <c r="AY436" s="10"/>
      <c r="AZ436" s="10"/>
      <c r="BA436" s="16"/>
      <c r="BB436" s="16"/>
      <c r="BH436" s="16"/>
    </row>
    <row r="437" spans="17:60" x14ac:dyDescent="0.2"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K437" s="10"/>
      <c r="AL437" s="10"/>
      <c r="AM437" s="10"/>
      <c r="AN437" s="10"/>
      <c r="AO437" s="10"/>
      <c r="AP437" s="10"/>
      <c r="AQ437" s="10"/>
      <c r="AR437" s="16"/>
      <c r="AS437" s="16"/>
      <c r="AT437" s="16"/>
      <c r="AU437" s="10"/>
      <c r="AV437" s="10"/>
      <c r="AW437" s="10"/>
      <c r="AX437" s="10"/>
      <c r="AY437" s="10"/>
      <c r="AZ437" s="10"/>
      <c r="BA437" s="16"/>
      <c r="BB437" s="16"/>
      <c r="BH437" s="16"/>
    </row>
    <row r="438" spans="17:60" x14ac:dyDescent="0.2"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K438" s="10"/>
      <c r="AL438" s="10"/>
      <c r="AM438" s="10"/>
      <c r="AN438" s="10"/>
      <c r="AO438" s="10"/>
      <c r="AP438" s="10"/>
      <c r="AQ438" s="10"/>
      <c r="AR438" s="16"/>
      <c r="AS438" s="16"/>
      <c r="AT438" s="16"/>
      <c r="AU438" s="10"/>
      <c r="AV438" s="10"/>
      <c r="AW438" s="10"/>
      <c r="AX438" s="10"/>
      <c r="AY438" s="10"/>
      <c r="AZ438" s="10"/>
      <c r="BA438" s="16"/>
      <c r="BB438" s="16"/>
      <c r="BH438" s="16"/>
    </row>
    <row r="439" spans="17:60" x14ac:dyDescent="0.2"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K439" s="10"/>
      <c r="AL439" s="10"/>
      <c r="AM439" s="10"/>
      <c r="AN439" s="10"/>
      <c r="AO439" s="10"/>
      <c r="AP439" s="10"/>
      <c r="AQ439" s="10"/>
      <c r="AR439" s="16"/>
      <c r="AS439" s="16"/>
      <c r="AT439" s="16"/>
      <c r="AU439" s="10"/>
      <c r="AV439" s="10"/>
      <c r="AW439" s="10"/>
      <c r="AX439" s="10"/>
      <c r="AY439" s="10"/>
      <c r="AZ439" s="10"/>
      <c r="BA439" s="16"/>
      <c r="BB439" s="16"/>
      <c r="BH439" s="16"/>
    </row>
    <row r="440" spans="17:60" x14ac:dyDescent="0.2"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K440" s="10"/>
      <c r="AL440" s="10"/>
      <c r="AM440" s="10"/>
      <c r="AN440" s="10"/>
      <c r="AO440" s="10"/>
      <c r="AP440" s="10"/>
      <c r="AQ440" s="10"/>
      <c r="AR440" s="16"/>
      <c r="AS440" s="16"/>
      <c r="AT440" s="16"/>
      <c r="AU440" s="10"/>
      <c r="AV440" s="10"/>
      <c r="AW440" s="10"/>
      <c r="AX440" s="10"/>
      <c r="AY440" s="10"/>
      <c r="AZ440" s="10"/>
      <c r="BA440" s="16"/>
      <c r="BB440" s="16"/>
      <c r="BH440" s="16"/>
    </row>
    <row r="441" spans="17:60" x14ac:dyDescent="0.2"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K441" s="10"/>
      <c r="AL441" s="10"/>
      <c r="AM441" s="10"/>
      <c r="AN441" s="10"/>
      <c r="AO441" s="10"/>
      <c r="AP441" s="10"/>
      <c r="AQ441" s="10"/>
      <c r="AR441" s="16"/>
      <c r="AS441" s="16"/>
      <c r="AT441" s="16"/>
      <c r="AU441" s="10"/>
      <c r="AV441" s="10"/>
      <c r="AW441" s="10"/>
      <c r="AX441" s="10"/>
      <c r="AY441" s="10"/>
      <c r="AZ441" s="10"/>
      <c r="BA441" s="16"/>
      <c r="BB441" s="16"/>
      <c r="BH441" s="16"/>
    </row>
    <row r="442" spans="17:60" x14ac:dyDescent="0.2"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K442" s="10"/>
      <c r="AL442" s="10"/>
      <c r="AM442" s="10"/>
      <c r="AN442" s="10"/>
      <c r="AO442" s="10"/>
      <c r="AP442" s="10"/>
      <c r="AQ442" s="10"/>
      <c r="AR442" s="16"/>
      <c r="AS442" s="16"/>
      <c r="AT442" s="16"/>
      <c r="AU442" s="10"/>
      <c r="AV442" s="10"/>
      <c r="AW442" s="10"/>
      <c r="AX442" s="10"/>
      <c r="AY442" s="10"/>
      <c r="AZ442" s="10"/>
      <c r="BA442" s="16"/>
      <c r="BB442" s="16"/>
      <c r="BH442" s="16"/>
    </row>
    <row r="443" spans="17:60" x14ac:dyDescent="0.2"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K443" s="10"/>
      <c r="AL443" s="10"/>
      <c r="AM443" s="10"/>
      <c r="AN443" s="10"/>
      <c r="AO443" s="10"/>
      <c r="AP443" s="10"/>
      <c r="AQ443" s="10"/>
      <c r="AR443" s="16"/>
      <c r="AS443" s="16"/>
      <c r="AT443" s="16"/>
      <c r="AU443" s="10"/>
      <c r="AV443" s="10"/>
      <c r="AW443" s="10"/>
      <c r="AX443" s="10"/>
      <c r="AY443" s="10"/>
      <c r="AZ443" s="10"/>
      <c r="BA443" s="16"/>
      <c r="BB443" s="16"/>
      <c r="BH443" s="16"/>
    </row>
    <row r="444" spans="17:60" x14ac:dyDescent="0.2"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K444" s="10"/>
      <c r="AL444" s="10"/>
      <c r="AM444" s="10"/>
      <c r="AN444" s="10"/>
      <c r="AO444" s="10"/>
      <c r="AP444" s="10"/>
      <c r="AQ444" s="10"/>
      <c r="AR444" s="16"/>
      <c r="AS444" s="16"/>
      <c r="AT444" s="16"/>
      <c r="AU444" s="10"/>
      <c r="AV444" s="10"/>
      <c r="AW444" s="10"/>
      <c r="AX444" s="10"/>
      <c r="AY444" s="10"/>
      <c r="AZ444" s="10"/>
      <c r="BA444" s="16"/>
      <c r="BB444" s="16"/>
      <c r="BH444" s="16"/>
    </row>
    <row r="445" spans="17:60" x14ac:dyDescent="0.2"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K445" s="10"/>
      <c r="AL445" s="10"/>
      <c r="AM445" s="10"/>
      <c r="AN445" s="10"/>
      <c r="AO445" s="10"/>
      <c r="AP445" s="10"/>
      <c r="AQ445" s="10"/>
      <c r="AR445" s="16"/>
      <c r="AS445" s="16"/>
      <c r="AT445" s="16"/>
      <c r="AU445" s="10"/>
      <c r="AV445" s="10"/>
      <c r="AW445" s="10"/>
      <c r="AX445" s="10"/>
      <c r="AY445" s="10"/>
      <c r="AZ445" s="10"/>
      <c r="BA445" s="16"/>
      <c r="BB445" s="16"/>
      <c r="BH445" s="16"/>
    </row>
    <row r="446" spans="17:60" x14ac:dyDescent="0.2"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K446" s="10"/>
      <c r="AL446" s="10"/>
      <c r="AM446" s="10"/>
      <c r="AN446" s="10"/>
      <c r="AO446" s="10"/>
      <c r="AP446" s="10"/>
      <c r="AQ446" s="10"/>
      <c r="AR446" s="16"/>
      <c r="AS446" s="16"/>
      <c r="AT446" s="16"/>
      <c r="AU446" s="10"/>
      <c r="AV446" s="10"/>
      <c r="AW446" s="10"/>
      <c r="AX446" s="10"/>
      <c r="AY446" s="10"/>
      <c r="AZ446" s="10"/>
      <c r="BA446" s="16"/>
      <c r="BB446" s="16"/>
      <c r="BH446" s="16"/>
    </row>
    <row r="447" spans="17:60" x14ac:dyDescent="0.2"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K447" s="10"/>
      <c r="AL447" s="10"/>
      <c r="AM447" s="10"/>
      <c r="AN447" s="10"/>
      <c r="AO447" s="10"/>
      <c r="AP447" s="10"/>
      <c r="AQ447" s="10"/>
      <c r="AR447" s="16"/>
      <c r="AS447" s="16"/>
      <c r="AT447" s="16"/>
      <c r="AU447" s="10"/>
      <c r="AV447" s="10"/>
      <c r="AW447" s="10"/>
      <c r="AX447" s="10"/>
      <c r="AY447" s="10"/>
      <c r="AZ447" s="10"/>
      <c r="BA447" s="16"/>
      <c r="BB447" s="16"/>
      <c r="BH447" s="16"/>
    </row>
    <row r="448" spans="17:60" x14ac:dyDescent="0.2"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K448" s="10"/>
      <c r="AL448" s="10"/>
      <c r="AM448" s="10"/>
      <c r="AN448" s="10"/>
      <c r="AO448" s="10"/>
      <c r="AP448" s="10"/>
      <c r="AQ448" s="10"/>
      <c r="AR448" s="16"/>
      <c r="AS448" s="16"/>
      <c r="AT448" s="16"/>
      <c r="AU448" s="10"/>
      <c r="AV448" s="10"/>
      <c r="AW448" s="10"/>
      <c r="AX448" s="10"/>
      <c r="AY448" s="10"/>
      <c r="AZ448" s="10"/>
      <c r="BA448" s="16"/>
      <c r="BB448" s="16"/>
      <c r="BH448" s="16"/>
    </row>
    <row r="449" spans="17:60" x14ac:dyDescent="0.2"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K449" s="10"/>
      <c r="AL449" s="10"/>
      <c r="AM449" s="10"/>
      <c r="AN449" s="10"/>
      <c r="AO449" s="10"/>
      <c r="AP449" s="10"/>
      <c r="AQ449" s="10"/>
      <c r="AR449" s="16"/>
      <c r="AS449" s="16"/>
      <c r="AT449" s="16"/>
      <c r="AU449" s="10"/>
      <c r="AV449" s="10"/>
      <c r="AW449" s="10"/>
      <c r="AX449" s="10"/>
      <c r="AY449" s="10"/>
      <c r="AZ449" s="10"/>
      <c r="BA449" s="16"/>
      <c r="BB449" s="16"/>
      <c r="BH449" s="16"/>
    </row>
    <row r="450" spans="17:60" x14ac:dyDescent="0.2"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K450" s="10"/>
      <c r="AL450" s="10"/>
      <c r="AM450" s="10"/>
      <c r="AN450" s="10"/>
      <c r="AO450" s="10"/>
      <c r="AP450" s="10"/>
      <c r="AQ450" s="10"/>
      <c r="AR450" s="16"/>
      <c r="AS450" s="16"/>
      <c r="AT450" s="16"/>
      <c r="AU450" s="10"/>
      <c r="AV450" s="10"/>
      <c r="AW450" s="10"/>
      <c r="AX450" s="10"/>
      <c r="AY450" s="10"/>
      <c r="AZ450" s="10"/>
      <c r="BA450" s="16"/>
      <c r="BB450" s="16"/>
      <c r="BH450" s="16"/>
    </row>
    <row r="451" spans="17:60" x14ac:dyDescent="0.2"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K451" s="10"/>
      <c r="AL451" s="10"/>
      <c r="AM451" s="10"/>
      <c r="AN451" s="10"/>
      <c r="AO451" s="10"/>
      <c r="AP451" s="10"/>
      <c r="AQ451" s="10"/>
      <c r="AR451" s="16"/>
      <c r="AS451" s="16"/>
      <c r="AT451" s="16"/>
      <c r="AU451" s="10"/>
      <c r="AV451" s="10"/>
      <c r="AW451" s="10"/>
      <c r="AX451" s="10"/>
      <c r="AY451" s="10"/>
      <c r="AZ451" s="10"/>
      <c r="BA451" s="16"/>
      <c r="BB451" s="16"/>
      <c r="BH451" s="16"/>
    </row>
    <row r="452" spans="17:60" x14ac:dyDescent="0.2"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K452" s="10"/>
      <c r="AL452" s="10"/>
      <c r="AM452" s="10"/>
      <c r="AN452" s="10"/>
      <c r="AO452" s="10"/>
      <c r="AP452" s="10"/>
      <c r="AQ452" s="10"/>
      <c r="AR452" s="16"/>
      <c r="AS452" s="16"/>
      <c r="AT452" s="16"/>
      <c r="AU452" s="10"/>
      <c r="AV452" s="10"/>
      <c r="AW452" s="10"/>
      <c r="AX452" s="10"/>
      <c r="AY452" s="10"/>
      <c r="AZ452" s="10"/>
      <c r="BA452" s="16"/>
      <c r="BB452" s="16"/>
      <c r="BH452" s="16"/>
    </row>
    <row r="453" spans="17:60" x14ac:dyDescent="0.2"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K453" s="10"/>
      <c r="AL453" s="10"/>
      <c r="AM453" s="10"/>
      <c r="AN453" s="10"/>
      <c r="AO453" s="10"/>
      <c r="AP453" s="10"/>
      <c r="AQ453" s="10"/>
      <c r="AR453" s="16"/>
      <c r="AS453" s="16"/>
      <c r="AT453" s="16"/>
      <c r="AU453" s="10"/>
      <c r="AV453" s="10"/>
      <c r="AW453" s="10"/>
      <c r="AX453" s="10"/>
      <c r="AY453" s="10"/>
      <c r="AZ453" s="10"/>
      <c r="BA453" s="16"/>
      <c r="BB453" s="16"/>
      <c r="BH453" s="16"/>
    </row>
    <row r="454" spans="17:60" x14ac:dyDescent="0.2"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K454" s="10"/>
      <c r="AL454" s="10"/>
      <c r="AM454" s="10"/>
      <c r="AN454" s="10"/>
      <c r="AO454" s="10"/>
      <c r="AP454" s="10"/>
      <c r="AQ454" s="10"/>
      <c r="AR454" s="16"/>
      <c r="AS454" s="16"/>
      <c r="AT454" s="16"/>
      <c r="AU454" s="10"/>
      <c r="AV454" s="10"/>
      <c r="AW454" s="10"/>
      <c r="AX454" s="10"/>
      <c r="AY454" s="10"/>
      <c r="AZ454" s="10"/>
      <c r="BA454" s="16"/>
      <c r="BB454" s="16"/>
      <c r="BH454" s="16"/>
    </row>
    <row r="455" spans="17:60" x14ac:dyDescent="0.2"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K455" s="10"/>
      <c r="AL455" s="10"/>
      <c r="AM455" s="10"/>
      <c r="AN455" s="10"/>
      <c r="AO455" s="10"/>
      <c r="AP455" s="10"/>
      <c r="AQ455" s="10"/>
      <c r="AR455" s="16"/>
      <c r="AS455" s="16"/>
      <c r="AT455" s="16"/>
      <c r="AU455" s="10"/>
      <c r="AV455" s="10"/>
      <c r="AW455" s="10"/>
      <c r="AX455" s="10"/>
      <c r="AY455" s="10"/>
      <c r="AZ455" s="10"/>
      <c r="BA455" s="16"/>
      <c r="BB455" s="16"/>
      <c r="BH455" s="16"/>
    </row>
    <row r="456" spans="17:60" x14ac:dyDescent="0.2"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K456" s="10"/>
      <c r="AL456" s="10"/>
      <c r="AM456" s="10"/>
      <c r="AN456" s="10"/>
      <c r="AO456" s="10"/>
      <c r="AP456" s="10"/>
      <c r="AQ456" s="10"/>
      <c r="AR456" s="16"/>
      <c r="AS456" s="16"/>
      <c r="AT456" s="16"/>
      <c r="AU456" s="10"/>
      <c r="AV456" s="10"/>
      <c r="AW456" s="10"/>
      <c r="AX456" s="10"/>
      <c r="AY456" s="10"/>
      <c r="AZ456" s="10"/>
      <c r="BA456" s="16"/>
      <c r="BB456" s="16"/>
      <c r="BH456" s="16"/>
    </row>
    <row r="457" spans="17:60" x14ac:dyDescent="0.2"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K457" s="10"/>
      <c r="AL457" s="10"/>
      <c r="AM457" s="10"/>
      <c r="AN457" s="10"/>
      <c r="AO457" s="10"/>
      <c r="AP457" s="10"/>
      <c r="AQ457" s="10"/>
      <c r="AR457" s="16"/>
      <c r="AS457" s="16"/>
      <c r="AT457" s="16"/>
      <c r="AU457" s="10"/>
      <c r="AV457" s="10"/>
      <c r="AW457" s="10"/>
      <c r="AX457" s="10"/>
      <c r="AY457" s="10"/>
      <c r="AZ457" s="10"/>
      <c r="BA457" s="16"/>
      <c r="BB457" s="16"/>
      <c r="BH457" s="16"/>
    </row>
    <row r="458" spans="17:60" x14ac:dyDescent="0.2"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K458" s="10"/>
      <c r="AL458" s="10"/>
      <c r="AM458" s="10"/>
      <c r="AN458" s="10"/>
      <c r="AO458" s="10"/>
      <c r="AP458" s="10"/>
      <c r="AQ458" s="10"/>
      <c r="AR458" s="16"/>
      <c r="AS458" s="16"/>
      <c r="AT458" s="16"/>
      <c r="AU458" s="10"/>
      <c r="AV458" s="10"/>
      <c r="AW458" s="10"/>
      <c r="AX458" s="10"/>
      <c r="AY458" s="10"/>
      <c r="AZ458" s="10"/>
      <c r="BA458" s="16"/>
      <c r="BB458" s="16"/>
      <c r="BH458" s="16"/>
    </row>
    <row r="459" spans="17:60" x14ac:dyDescent="0.2"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K459" s="10"/>
      <c r="AL459" s="10"/>
      <c r="AM459" s="10"/>
      <c r="AN459" s="10"/>
      <c r="AO459" s="10"/>
      <c r="AP459" s="10"/>
      <c r="AQ459" s="10"/>
      <c r="AR459" s="16"/>
      <c r="AS459" s="16"/>
      <c r="AT459" s="16"/>
      <c r="AU459" s="10"/>
      <c r="AV459" s="10"/>
      <c r="AW459" s="10"/>
      <c r="AX459" s="10"/>
      <c r="AY459" s="10"/>
      <c r="AZ459" s="10"/>
      <c r="BA459" s="16"/>
      <c r="BB459" s="16"/>
      <c r="BH459" s="16"/>
    </row>
    <row r="460" spans="17:60" x14ac:dyDescent="0.2"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K460" s="10"/>
      <c r="AL460" s="10"/>
      <c r="AM460" s="10"/>
      <c r="AN460" s="10"/>
      <c r="AO460" s="10"/>
      <c r="AP460" s="10"/>
      <c r="AQ460" s="10"/>
      <c r="AR460" s="16"/>
      <c r="AS460" s="16"/>
      <c r="AT460" s="16"/>
      <c r="AU460" s="10"/>
      <c r="AV460" s="10"/>
      <c r="AW460" s="10"/>
      <c r="AX460" s="10"/>
      <c r="AY460" s="10"/>
      <c r="AZ460" s="10"/>
      <c r="BA460" s="16"/>
      <c r="BB460" s="16"/>
      <c r="BH460" s="16"/>
    </row>
    <row r="461" spans="17:60" x14ac:dyDescent="0.2"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K461" s="10"/>
      <c r="AL461" s="10"/>
      <c r="AM461" s="10"/>
      <c r="AN461" s="10"/>
      <c r="AO461" s="10"/>
      <c r="AP461" s="10"/>
      <c r="AQ461" s="10"/>
      <c r="AR461" s="16"/>
      <c r="AS461" s="16"/>
      <c r="AT461" s="16"/>
      <c r="AU461" s="10"/>
      <c r="AV461" s="10"/>
      <c r="AW461" s="10"/>
      <c r="AX461" s="10"/>
      <c r="AY461" s="10"/>
      <c r="AZ461" s="10"/>
      <c r="BA461" s="16"/>
      <c r="BB461" s="16"/>
      <c r="BH461" s="16"/>
    </row>
    <row r="462" spans="17:60" x14ac:dyDescent="0.2"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K462" s="10"/>
      <c r="AL462" s="10"/>
      <c r="AM462" s="10"/>
      <c r="AN462" s="10"/>
      <c r="AO462" s="10"/>
      <c r="AP462" s="10"/>
      <c r="AQ462" s="10"/>
      <c r="AR462" s="16"/>
      <c r="AS462" s="16"/>
      <c r="AT462" s="16"/>
      <c r="AU462" s="10"/>
      <c r="AV462" s="10"/>
      <c r="AW462" s="10"/>
      <c r="AX462" s="10"/>
      <c r="AY462" s="10"/>
      <c r="AZ462" s="10"/>
      <c r="BA462" s="16"/>
      <c r="BB462" s="16"/>
      <c r="BH462" s="16"/>
    </row>
    <row r="463" spans="17:60" x14ac:dyDescent="0.2"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K463" s="10"/>
      <c r="AL463" s="10"/>
      <c r="AM463" s="10"/>
      <c r="AN463" s="10"/>
      <c r="AO463" s="10"/>
      <c r="AP463" s="10"/>
      <c r="AQ463" s="10"/>
      <c r="AR463" s="16"/>
      <c r="AS463" s="16"/>
      <c r="AT463" s="16"/>
      <c r="AU463" s="10"/>
      <c r="AV463" s="10"/>
      <c r="AW463" s="10"/>
      <c r="AX463" s="10"/>
      <c r="AY463" s="10"/>
      <c r="AZ463" s="10"/>
      <c r="BA463" s="16"/>
      <c r="BB463" s="16"/>
      <c r="BH463" s="16"/>
    </row>
    <row r="464" spans="17:60" x14ac:dyDescent="0.2"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K464" s="10"/>
      <c r="AL464" s="10"/>
      <c r="AM464" s="10"/>
      <c r="AN464" s="10"/>
      <c r="AO464" s="10"/>
      <c r="AP464" s="10"/>
      <c r="AQ464" s="10"/>
      <c r="AR464" s="16"/>
      <c r="AS464" s="16"/>
      <c r="AT464" s="16"/>
      <c r="AU464" s="10"/>
      <c r="AV464" s="10"/>
      <c r="AW464" s="10"/>
      <c r="AX464" s="10"/>
      <c r="AY464" s="10"/>
      <c r="AZ464" s="10"/>
      <c r="BA464" s="16"/>
      <c r="BB464" s="16"/>
      <c r="BH464" s="16"/>
    </row>
    <row r="465" spans="17:60" x14ac:dyDescent="0.2"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K465" s="10"/>
      <c r="AL465" s="10"/>
      <c r="AM465" s="10"/>
      <c r="AN465" s="10"/>
      <c r="AO465" s="10"/>
      <c r="AP465" s="10"/>
      <c r="AQ465" s="10"/>
      <c r="AR465" s="16"/>
      <c r="AS465" s="16"/>
      <c r="AT465" s="16"/>
      <c r="AU465" s="10"/>
      <c r="AV465" s="10"/>
      <c r="AW465" s="10"/>
      <c r="AX465" s="10"/>
      <c r="AY465" s="10"/>
      <c r="AZ465" s="10"/>
      <c r="BA465" s="16"/>
      <c r="BB465" s="16"/>
      <c r="BH465" s="16"/>
    </row>
    <row r="466" spans="17:60" x14ac:dyDescent="0.2"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K466" s="10"/>
      <c r="AL466" s="10"/>
      <c r="AM466" s="10"/>
      <c r="AN466" s="10"/>
      <c r="AO466" s="10"/>
      <c r="AP466" s="10"/>
      <c r="AQ466" s="10"/>
      <c r="AR466" s="16"/>
      <c r="AS466" s="16"/>
      <c r="AT466" s="16"/>
      <c r="AU466" s="10"/>
      <c r="AV466" s="10"/>
      <c r="AW466" s="10"/>
      <c r="AX466" s="10"/>
      <c r="AY466" s="10"/>
      <c r="AZ466" s="10"/>
      <c r="BA466" s="16"/>
      <c r="BB466" s="16"/>
      <c r="BH466" s="16"/>
    </row>
    <row r="467" spans="17:60" x14ac:dyDescent="0.2"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K467" s="10"/>
      <c r="AL467" s="10"/>
      <c r="AM467" s="10"/>
      <c r="AN467" s="10"/>
      <c r="AO467" s="10"/>
      <c r="AP467" s="10"/>
      <c r="AQ467" s="10"/>
      <c r="AR467" s="16"/>
      <c r="AS467" s="16"/>
      <c r="AT467" s="16"/>
      <c r="AU467" s="10"/>
      <c r="AV467" s="10"/>
      <c r="AW467" s="10"/>
      <c r="AX467" s="10"/>
      <c r="AY467" s="10"/>
      <c r="AZ467" s="10"/>
      <c r="BA467" s="16"/>
      <c r="BB467" s="16"/>
      <c r="BH467" s="16"/>
    </row>
    <row r="468" spans="17:60" x14ac:dyDescent="0.2"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K468" s="10"/>
      <c r="AL468" s="10"/>
      <c r="AM468" s="10"/>
      <c r="AN468" s="10"/>
      <c r="AO468" s="10"/>
      <c r="AP468" s="10"/>
      <c r="AQ468" s="10"/>
      <c r="AR468" s="16"/>
      <c r="AS468" s="16"/>
      <c r="AT468" s="16"/>
      <c r="AU468" s="10"/>
      <c r="AV468" s="10"/>
      <c r="AW468" s="10"/>
      <c r="AX468" s="10"/>
      <c r="AY468" s="10"/>
      <c r="AZ468" s="10"/>
      <c r="BA468" s="16"/>
      <c r="BB468" s="16"/>
      <c r="BH468" s="16"/>
    </row>
    <row r="469" spans="17:60" x14ac:dyDescent="0.2"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K469" s="10"/>
      <c r="AL469" s="10"/>
      <c r="AM469" s="10"/>
      <c r="AN469" s="10"/>
      <c r="AO469" s="10"/>
      <c r="AP469" s="10"/>
      <c r="AQ469" s="10"/>
      <c r="AR469" s="16"/>
      <c r="AS469" s="16"/>
      <c r="AT469" s="16"/>
      <c r="AU469" s="10"/>
      <c r="AV469" s="10"/>
      <c r="AW469" s="10"/>
      <c r="AX469" s="10"/>
      <c r="AY469" s="10"/>
      <c r="AZ469" s="10"/>
      <c r="BA469" s="16"/>
      <c r="BB469" s="16"/>
      <c r="BH469" s="16"/>
    </row>
    <row r="470" spans="17:60" x14ac:dyDescent="0.2"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K470" s="10"/>
      <c r="AL470" s="10"/>
      <c r="AM470" s="10"/>
      <c r="AN470" s="10"/>
      <c r="AO470" s="10"/>
      <c r="AP470" s="10"/>
      <c r="AQ470" s="10"/>
      <c r="AR470" s="16"/>
      <c r="AS470" s="16"/>
      <c r="AT470" s="16"/>
      <c r="AU470" s="10"/>
      <c r="AV470" s="10"/>
      <c r="AW470" s="10"/>
      <c r="AX470" s="10"/>
      <c r="AY470" s="10"/>
      <c r="AZ470" s="10"/>
      <c r="BA470" s="16"/>
      <c r="BB470" s="16"/>
      <c r="BH470" s="16"/>
    </row>
    <row r="471" spans="17:60" x14ac:dyDescent="0.2"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K471" s="10"/>
      <c r="AL471" s="10"/>
      <c r="AM471" s="10"/>
      <c r="AN471" s="10"/>
      <c r="AO471" s="10"/>
      <c r="AP471" s="10"/>
      <c r="AQ471" s="10"/>
      <c r="AR471" s="16"/>
      <c r="AS471" s="16"/>
      <c r="AT471" s="16"/>
      <c r="AU471" s="10"/>
      <c r="AV471" s="10"/>
      <c r="AW471" s="10"/>
      <c r="AX471" s="10"/>
      <c r="AY471" s="10"/>
      <c r="AZ471" s="10"/>
      <c r="BA471" s="16"/>
      <c r="BB471" s="16"/>
      <c r="BH471" s="16"/>
    </row>
    <row r="472" spans="17:60" x14ac:dyDescent="0.2"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K472" s="10"/>
      <c r="AL472" s="10"/>
      <c r="AM472" s="10"/>
      <c r="AN472" s="10"/>
      <c r="AO472" s="10"/>
      <c r="AP472" s="10"/>
      <c r="AQ472" s="10"/>
      <c r="AR472" s="16"/>
      <c r="AS472" s="16"/>
      <c r="AT472" s="16"/>
      <c r="AU472" s="10"/>
      <c r="AV472" s="10"/>
      <c r="AW472" s="10"/>
      <c r="AX472" s="10"/>
      <c r="AY472" s="10"/>
      <c r="AZ472" s="10"/>
      <c r="BA472" s="16"/>
      <c r="BB472" s="16"/>
      <c r="BH472" s="16"/>
    </row>
    <row r="473" spans="17:60" x14ac:dyDescent="0.2"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K473" s="10"/>
      <c r="AL473" s="10"/>
      <c r="AM473" s="10"/>
      <c r="AN473" s="10"/>
      <c r="AO473" s="10"/>
      <c r="AP473" s="10"/>
      <c r="AQ473" s="10"/>
      <c r="AR473" s="16"/>
      <c r="AS473" s="16"/>
      <c r="AT473" s="16"/>
      <c r="AU473" s="10"/>
      <c r="AV473" s="10"/>
      <c r="AW473" s="10"/>
      <c r="AX473" s="10"/>
      <c r="AY473" s="10"/>
      <c r="AZ473" s="10"/>
      <c r="BA473" s="16"/>
      <c r="BB473" s="16"/>
      <c r="BH473" s="16"/>
    </row>
    <row r="474" spans="17:60" x14ac:dyDescent="0.2"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K474" s="10"/>
      <c r="AL474" s="10"/>
      <c r="AM474" s="10"/>
      <c r="AN474" s="10"/>
      <c r="AO474" s="10"/>
      <c r="AP474" s="10"/>
      <c r="AQ474" s="10"/>
      <c r="AR474" s="16"/>
      <c r="AS474" s="16"/>
      <c r="AT474" s="16"/>
      <c r="AU474" s="10"/>
      <c r="AV474" s="10"/>
      <c r="AW474" s="10"/>
      <c r="AX474" s="10"/>
      <c r="AY474" s="10"/>
      <c r="AZ474" s="10"/>
      <c r="BA474" s="16"/>
      <c r="BB474" s="16"/>
      <c r="BH474" s="16"/>
    </row>
    <row r="475" spans="17:60" x14ac:dyDescent="0.2"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K475" s="10"/>
      <c r="AL475" s="10"/>
      <c r="AM475" s="10"/>
      <c r="AN475" s="10"/>
      <c r="AO475" s="10"/>
      <c r="AP475" s="10"/>
      <c r="AQ475" s="10"/>
      <c r="AR475" s="16"/>
      <c r="AS475" s="16"/>
      <c r="AT475" s="16"/>
      <c r="AU475" s="10"/>
      <c r="AV475" s="10"/>
      <c r="AW475" s="10"/>
      <c r="AX475" s="10"/>
      <c r="AY475" s="10"/>
      <c r="AZ475" s="10"/>
      <c r="BA475" s="16"/>
      <c r="BB475" s="16"/>
      <c r="BH475" s="16"/>
    </row>
    <row r="476" spans="17:60" x14ac:dyDescent="0.2"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K476" s="10"/>
      <c r="AL476" s="10"/>
      <c r="AM476" s="10"/>
      <c r="AN476" s="10"/>
      <c r="AO476" s="10"/>
      <c r="AP476" s="10"/>
      <c r="AQ476" s="10"/>
      <c r="AR476" s="16"/>
      <c r="AS476" s="16"/>
      <c r="AT476" s="16"/>
      <c r="AU476" s="10"/>
      <c r="AV476" s="10"/>
      <c r="AW476" s="10"/>
      <c r="AX476" s="10"/>
      <c r="AY476" s="10"/>
      <c r="AZ476" s="10"/>
      <c r="BA476" s="16"/>
      <c r="BB476" s="16"/>
      <c r="BH476" s="16"/>
    </row>
    <row r="477" spans="17:60" x14ac:dyDescent="0.2"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K477" s="10"/>
      <c r="AL477" s="10"/>
      <c r="AM477" s="10"/>
      <c r="AN477" s="10"/>
      <c r="AO477" s="10"/>
      <c r="AP477" s="10"/>
      <c r="AQ477" s="10"/>
      <c r="AR477" s="16"/>
      <c r="AS477" s="16"/>
      <c r="AT477" s="16"/>
      <c r="AU477" s="10"/>
      <c r="AV477" s="10"/>
      <c r="AW477" s="10"/>
      <c r="AX477" s="10"/>
      <c r="AY477" s="10"/>
      <c r="AZ477" s="10"/>
      <c r="BA477" s="16"/>
      <c r="BB477" s="16"/>
      <c r="BH477" s="16"/>
    </row>
    <row r="478" spans="17:60" x14ac:dyDescent="0.2"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K478" s="10"/>
      <c r="AL478" s="10"/>
      <c r="AM478" s="10"/>
      <c r="AN478" s="10"/>
      <c r="AO478" s="10"/>
      <c r="AP478" s="10"/>
      <c r="AQ478" s="10"/>
      <c r="AR478" s="16"/>
      <c r="AS478" s="16"/>
      <c r="AT478" s="16"/>
      <c r="AU478" s="10"/>
      <c r="AV478" s="10"/>
      <c r="AW478" s="10"/>
      <c r="AX478" s="10"/>
      <c r="AY478" s="10"/>
      <c r="AZ478" s="10"/>
      <c r="BA478" s="16"/>
      <c r="BB478" s="16"/>
      <c r="BH478" s="16"/>
    </row>
    <row r="479" spans="17:60" x14ac:dyDescent="0.2"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K479" s="10"/>
      <c r="AL479" s="10"/>
      <c r="AM479" s="10"/>
      <c r="AN479" s="10"/>
      <c r="AO479" s="10"/>
      <c r="AP479" s="10"/>
      <c r="AQ479" s="10"/>
      <c r="AR479" s="16"/>
      <c r="AS479" s="16"/>
      <c r="AT479" s="16"/>
      <c r="AU479" s="10"/>
      <c r="AV479" s="10"/>
      <c r="AW479" s="10"/>
      <c r="AX479" s="10"/>
      <c r="AY479" s="10"/>
      <c r="AZ479" s="10"/>
      <c r="BA479" s="16"/>
      <c r="BB479" s="16"/>
      <c r="BH479" s="16"/>
    </row>
    <row r="480" spans="17:60" x14ac:dyDescent="0.2"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K480" s="10"/>
      <c r="AL480" s="10"/>
      <c r="AM480" s="10"/>
      <c r="AN480" s="10"/>
      <c r="AO480" s="10"/>
      <c r="AP480" s="10"/>
      <c r="AQ480" s="10"/>
      <c r="AR480" s="16"/>
      <c r="AS480" s="16"/>
      <c r="AT480" s="16"/>
      <c r="AU480" s="10"/>
      <c r="AV480" s="10"/>
      <c r="AW480" s="10"/>
      <c r="AX480" s="10"/>
      <c r="AY480" s="10"/>
      <c r="AZ480" s="10"/>
      <c r="BA480" s="16"/>
      <c r="BB480" s="16"/>
      <c r="BH480" s="16"/>
    </row>
    <row r="481" spans="17:60" x14ac:dyDescent="0.2"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K481" s="10"/>
      <c r="AL481" s="10"/>
      <c r="AM481" s="10"/>
      <c r="AN481" s="10"/>
      <c r="AO481" s="10"/>
      <c r="AP481" s="10"/>
      <c r="AQ481" s="10"/>
      <c r="AR481" s="16"/>
      <c r="AS481" s="16"/>
      <c r="AT481" s="16"/>
      <c r="AU481" s="10"/>
      <c r="AV481" s="10"/>
      <c r="AW481" s="10"/>
      <c r="AX481" s="10"/>
      <c r="AY481" s="10"/>
      <c r="AZ481" s="10"/>
      <c r="BA481" s="16"/>
      <c r="BB481" s="16"/>
      <c r="BH481" s="16"/>
    </row>
    <row r="482" spans="17:60" x14ac:dyDescent="0.2"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K482" s="10"/>
      <c r="AL482" s="10"/>
      <c r="AM482" s="10"/>
      <c r="AN482" s="10"/>
      <c r="AO482" s="10"/>
      <c r="AP482" s="10"/>
      <c r="AQ482" s="10"/>
      <c r="AR482" s="16"/>
      <c r="AS482" s="16"/>
      <c r="AT482" s="16"/>
      <c r="AU482" s="10"/>
      <c r="AV482" s="10"/>
      <c r="AW482" s="10"/>
      <c r="AX482" s="10"/>
      <c r="AY482" s="10"/>
      <c r="AZ482" s="10"/>
      <c r="BA482" s="16"/>
      <c r="BB482" s="16"/>
      <c r="BH482" s="16"/>
    </row>
    <row r="483" spans="17:60" x14ac:dyDescent="0.2"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K483" s="10"/>
      <c r="AL483" s="10"/>
      <c r="AM483" s="10"/>
      <c r="AN483" s="10"/>
      <c r="AO483" s="10"/>
      <c r="AP483" s="10"/>
      <c r="AQ483" s="10"/>
      <c r="AR483" s="16"/>
      <c r="AS483" s="16"/>
      <c r="AT483" s="16"/>
      <c r="AU483" s="10"/>
      <c r="AV483" s="10"/>
      <c r="AW483" s="10"/>
      <c r="AX483" s="10"/>
      <c r="AY483" s="10"/>
      <c r="AZ483" s="10"/>
      <c r="BA483" s="16"/>
      <c r="BB483" s="16"/>
      <c r="BH483" s="16"/>
    </row>
    <row r="484" spans="17:60" x14ac:dyDescent="0.2"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K484" s="10"/>
      <c r="AL484" s="10"/>
      <c r="AM484" s="10"/>
      <c r="AN484" s="10"/>
      <c r="AO484" s="10"/>
      <c r="AP484" s="10"/>
      <c r="AQ484" s="10"/>
      <c r="AR484" s="16"/>
      <c r="AS484" s="16"/>
      <c r="AT484" s="16"/>
      <c r="AU484" s="10"/>
      <c r="AV484" s="10"/>
      <c r="AW484" s="10"/>
      <c r="AX484" s="10"/>
      <c r="AY484" s="10"/>
      <c r="AZ484" s="10"/>
      <c r="BA484" s="16"/>
      <c r="BB484" s="16"/>
      <c r="BH484" s="16"/>
    </row>
    <row r="485" spans="17:60" x14ac:dyDescent="0.2"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K485" s="10"/>
      <c r="AL485" s="10"/>
      <c r="AM485" s="10"/>
      <c r="AN485" s="10"/>
      <c r="AO485" s="10"/>
      <c r="AP485" s="10"/>
      <c r="AQ485" s="10"/>
      <c r="AR485" s="16"/>
      <c r="AS485" s="16"/>
      <c r="AT485" s="16"/>
      <c r="AU485" s="10"/>
      <c r="AV485" s="10"/>
      <c r="AW485" s="10"/>
      <c r="AX485" s="10"/>
      <c r="AY485" s="10"/>
      <c r="AZ485" s="10"/>
      <c r="BA485" s="16"/>
      <c r="BB485" s="16"/>
      <c r="BH485" s="16"/>
    </row>
    <row r="486" spans="17:60" x14ac:dyDescent="0.2"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K486" s="10"/>
      <c r="AL486" s="10"/>
      <c r="AM486" s="10"/>
      <c r="AN486" s="10"/>
      <c r="AO486" s="10"/>
      <c r="AP486" s="10"/>
      <c r="AQ486" s="10"/>
      <c r="AR486" s="16"/>
      <c r="AS486" s="16"/>
      <c r="AT486" s="16"/>
      <c r="AU486" s="10"/>
      <c r="AV486" s="10"/>
      <c r="AW486" s="10"/>
      <c r="AX486" s="10"/>
      <c r="AY486" s="10"/>
      <c r="AZ486" s="10"/>
      <c r="BA486" s="16"/>
      <c r="BB486" s="16"/>
      <c r="BH486" s="16"/>
    </row>
    <row r="487" spans="17:60" x14ac:dyDescent="0.2"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K487" s="10"/>
      <c r="AL487" s="10"/>
      <c r="AM487" s="10"/>
      <c r="AN487" s="10"/>
      <c r="AO487" s="10"/>
      <c r="AP487" s="10"/>
      <c r="AQ487" s="10"/>
      <c r="AR487" s="16"/>
      <c r="AS487" s="16"/>
      <c r="AT487" s="16"/>
      <c r="AU487" s="10"/>
      <c r="AV487" s="10"/>
      <c r="AW487" s="10"/>
      <c r="AX487" s="10"/>
      <c r="AY487" s="10"/>
      <c r="AZ487" s="10"/>
      <c r="BA487" s="16"/>
      <c r="BB487" s="16"/>
      <c r="BH487" s="16"/>
    </row>
    <row r="488" spans="17:60" x14ac:dyDescent="0.2"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K488" s="10"/>
      <c r="AL488" s="10"/>
      <c r="AM488" s="10"/>
      <c r="AN488" s="10"/>
      <c r="AO488" s="10"/>
      <c r="AP488" s="10"/>
      <c r="AQ488" s="10"/>
      <c r="AR488" s="16"/>
      <c r="AS488" s="16"/>
      <c r="AT488" s="16"/>
      <c r="AU488" s="10"/>
      <c r="AV488" s="10"/>
      <c r="AW488" s="10"/>
      <c r="AX488" s="10"/>
      <c r="AY488" s="10"/>
      <c r="AZ488" s="10"/>
      <c r="BA488" s="16"/>
      <c r="BB488" s="16"/>
      <c r="BH488" s="16"/>
    </row>
    <row r="489" spans="17:60" x14ac:dyDescent="0.2"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K489" s="10"/>
      <c r="AL489" s="10"/>
      <c r="AM489" s="10"/>
      <c r="AN489" s="10"/>
      <c r="AO489" s="10"/>
      <c r="AP489" s="10"/>
      <c r="AQ489" s="10"/>
      <c r="AR489" s="16"/>
      <c r="AS489" s="16"/>
      <c r="AT489" s="16"/>
      <c r="AU489" s="10"/>
      <c r="AV489" s="10"/>
      <c r="AW489" s="10"/>
      <c r="AX489" s="10"/>
      <c r="AY489" s="10"/>
      <c r="AZ489" s="10"/>
      <c r="BA489" s="16"/>
      <c r="BB489" s="16"/>
      <c r="BH489" s="16"/>
    </row>
    <row r="490" spans="17:60" x14ac:dyDescent="0.2"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K490" s="10"/>
      <c r="AL490" s="10"/>
      <c r="AM490" s="10"/>
      <c r="AN490" s="10"/>
      <c r="AO490" s="10"/>
      <c r="AP490" s="10"/>
      <c r="AQ490" s="10"/>
      <c r="AR490" s="16"/>
      <c r="AS490" s="16"/>
      <c r="AT490" s="16"/>
      <c r="AU490" s="10"/>
      <c r="AV490" s="10"/>
      <c r="AW490" s="10"/>
      <c r="AX490" s="10"/>
      <c r="AY490" s="10"/>
      <c r="AZ490" s="10"/>
      <c r="BA490" s="16"/>
      <c r="BB490" s="16"/>
      <c r="BH490" s="16"/>
    </row>
    <row r="491" spans="17:60" x14ac:dyDescent="0.2"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K491" s="10"/>
      <c r="AL491" s="10"/>
      <c r="AM491" s="10"/>
      <c r="AN491" s="10"/>
      <c r="AO491" s="10"/>
      <c r="AP491" s="10"/>
      <c r="AQ491" s="10"/>
      <c r="AR491" s="16"/>
      <c r="AS491" s="16"/>
      <c r="AT491" s="16"/>
      <c r="AU491" s="10"/>
      <c r="AV491" s="10"/>
      <c r="AW491" s="10"/>
      <c r="AX491" s="10"/>
      <c r="AY491" s="10"/>
      <c r="AZ491" s="10"/>
      <c r="BA491" s="16"/>
      <c r="BB491" s="16"/>
      <c r="BH491" s="16"/>
    </row>
    <row r="492" spans="17:60" x14ac:dyDescent="0.2"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K492" s="10"/>
      <c r="AL492" s="10"/>
      <c r="AM492" s="10"/>
      <c r="AN492" s="10"/>
      <c r="AO492" s="10"/>
      <c r="AP492" s="10"/>
      <c r="AQ492" s="10"/>
      <c r="AR492" s="16"/>
      <c r="AS492" s="16"/>
      <c r="AT492" s="16"/>
      <c r="AU492" s="10"/>
      <c r="AV492" s="10"/>
      <c r="AW492" s="10"/>
      <c r="AX492" s="10"/>
      <c r="AY492" s="10"/>
      <c r="AZ492" s="10"/>
      <c r="BA492" s="16"/>
      <c r="BB492" s="16"/>
      <c r="BH492" s="16"/>
    </row>
    <row r="493" spans="17:60" x14ac:dyDescent="0.2"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K493" s="10"/>
      <c r="AL493" s="10"/>
      <c r="AM493" s="10"/>
      <c r="AN493" s="10"/>
      <c r="AO493" s="10"/>
      <c r="AP493" s="10"/>
      <c r="AQ493" s="10"/>
      <c r="AR493" s="16"/>
      <c r="AS493" s="16"/>
      <c r="AT493" s="16"/>
      <c r="AU493" s="10"/>
      <c r="AV493" s="10"/>
      <c r="AW493" s="10"/>
      <c r="AX493" s="10"/>
      <c r="AY493" s="10"/>
      <c r="AZ493" s="10"/>
      <c r="BA493" s="16"/>
      <c r="BB493" s="16"/>
      <c r="BH493" s="16"/>
    </row>
    <row r="494" spans="17:60" x14ac:dyDescent="0.2"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K494" s="10"/>
      <c r="AL494" s="10"/>
      <c r="AM494" s="10"/>
      <c r="AN494" s="10"/>
      <c r="AO494" s="10"/>
      <c r="AP494" s="10"/>
      <c r="AQ494" s="10"/>
      <c r="AR494" s="16"/>
      <c r="AS494" s="16"/>
      <c r="AT494" s="16"/>
      <c r="AU494" s="10"/>
      <c r="AV494" s="10"/>
      <c r="AW494" s="10"/>
      <c r="AX494" s="10"/>
      <c r="AY494" s="10"/>
      <c r="AZ494" s="10"/>
      <c r="BA494" s="16"/>
      <c r="BB494" s="16"/>
      <c r="BH494" s="16"/>
    </row>
    <row r="495" spans="17:60" x14ac:dyDescent="0.2"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K495" s="10"/>
      <c r="AL495" s="10"/>
      <c r="AM495" s="10"/>
      <c r="AN495" s="10"/>
      <c r="AO495" s="10"/>
      <c r="AP495" s="10"/>
      <c r="AQ495" s="10"/>
      <c r="AR495" s="16"/>
      <c r="AS495" s="16"/>
      <c r="AT495" s="16"/>
      <c r="AU495" s="10"/>
      <c r="AV495" s="10"/>
      <c r="AW495" s="10"/>
      <c r="AX495" s="10"/>
      <c r="AY495" s="10"/>
      <c r="AZ495" s="10"/>
      <c r="BA495" s="16"/>
      <c r="BB495" s="16"/>
      <c r="BH495" s="16"/>
    </row>
    <row r="496" spans="17:60" x14ac:dyDescent="0.2"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K496" s="10"/>
      <c r="AL496" s="10"/>
      <c r="AM496" s="10"/>
      <c r="AN496" s="10"/>
      <c r="AO496" s="10"/>
      <c r="AP496" s="10"/>
      <c r="AQ496" s="10"/>
      <c r="AR496" s="16"/>
      <c r="AS496" s="16"/>
      <c r="AT496" s="16"/>
      <c r="AU496" s="10"/>
      <c r="AV496" s="10"/>
      <c r="AW496" s="10"/>
      <c r="AX496" s="10"/>
      <c r="AY496" s="10"/>
      <c r="AZ496" s="10"/>
      <c r="BA496" s="16"/>
      <c r="BB496" s="16"/>
      <c r="BH496" s="16"/>
    </row>
    <row r="497" spans="17:60" x14ac:dyDescent="0.2"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K497" s="10"/>
      <c r="AL497" s="10"/>
      <c r="AM497" s="10"/>
      <c r="AN497" s="10"/>
      <c r="AO497" s="10"/>
      <c r="AP497" s="10"/>
      <c r="AQ497" s="10"/>
      <c r="AR497" s="16"/>
      <c r="AS497" s="16"/>
      <c r="AT497" s="16"/>
      <c r="AU497" s="10"/>
      <c r="AV497" s="10"/>
      <c r="AW497" s="10"/>
      <c r="AX497" s="10"/>
      <c r="AY497" s="10"/>
      <c r="AZ497" s="10"/>
      <c r="BA497" s="16"/>
      <c r="BB497" s="16"/>
      <c r="BH497" s="16"/>
    </row>
    <row r="498" spans="17:60" x14ac:dyDescent="0.2"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K498" s="10"/>
      <c r="AL498" s="10"/>
      <c r="AM498" s="10"/>
      <c r="AN498" s="10"/>
      <c r="AO498" s="10"/>
      <c r="AP498" s="10"/>
      <c r="AQ498" s="10"/>
      <c r="AR498" s="16"/>
      <c r="AS498" s="16"/>
      <c r="AT498" s="16"/>
      <c r="AU498" s="10"/>
      <c r="AV498" s="10"/>
      <c r="AW498" s="10"/>
      <c r="AX498" s="10"/>
      <c r="AY498" s="10"/>
      <c r="AZ498" s="10"/>
      <c r="BA498" s="16"/>
      <c r="BB498" s="16"/>
      <c r="BH498" s="16"/>
    </row>
    <row r="499" spans="17:60" x14ac:dyDescent="0.2"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K499" s="10"/>
      <c r="AL499" s="10"/>
      <c r="AM499" s="10"/>
      <c r="AN499" s="10"/>
      <c r="AO499" s="10"/>
      <c r="AP499" s="10"/>
      <c r="AQ499" s="10"/>
      <c r="AR499" s="16"/>
      <c r="AS499" s="16"/>
      <c r="AT499" s="16"/>
      <c r="AU499" s="10"/>
      <c r="AV499" s="10"/>
      <c r="AW499" s="10"/>
      <c r="AX499" s="10"/>
      <c r="AY499" s="10"/>
      <c r="AZ499" s="10"/>
      <c r="BA499" s="16"/>
      <c r="BB499" s="16"/>
      <c r="BH499" s="16"/>
    </row>
    <row r="500" spans="17:60" x14ac:dyDescent="0.2"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K500" s="10"/>
      <c r="AL500" s="10"/>
      <c r="AM500" s="10"/>
      <c r="AN500" s="10"/>
      <c r="AO500" s="10"/>
      <c r="AP500" s="10"/>
      <c r="AQ500" s="10"/>
      <c r="AR500" s="16"/>
      <c r="AS500" s="16"/>
      <c r="AT500" s="16"/>
      <c r="AU500" s="10"/>
      <c r="AV500" s="10"/>
      <c r="AW500" s="10"/>
      <c r="AX500" s="10"/>
      <c r="AY500" s="10"/>
      <c r="AZ500" s="10"/>
      <c r="BA500" s="16"/>
      <c r="BB500" s="16"/>
      <c r="BH500" s="16"/>
    </row>
    <row r="501" spans="17:60" x14ac:dyDescent="0.2"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K501" s="10"/>
      <c r="AL501" s="10"/>
      <c r="AM501" s="10"/>
      <c r="AN501" s="10"/>
      <c r="AO501" s="10"/>
      <c r="AP501" s="10"/>
      <c r="AQ501" s="10"/>
      <c r="AR501" s="16"/>
      <c r="AS501" s="16"/>
      <c r="AT501" s="16"/>
      <c r="AU501" s="10"/>
      <c r="AV501" s="10"/>
      <c r="AW501" s="10"/>
      <c r="AX501" s="10"/>
      <c r="AY501" s="10"/>
      <c r="AZ501" s="10"/>
      <c r="BA501" s="16"/>
      <c r="BB501" s="16"/>
      <c r="BH501" s="16"/>
    </row>
    <row r="502" spans="17:60" x14ac:dyDescent="0.2"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K502" s="10"/>
      <c r="AL502" s="10"/>
      <c r="AM502" s="10"/>
      <c r="AN502" s="10"/>
      <c r="AO502" s="10"/>
      <c r="AP502" s="10"/>
      <c r="AQ502" s="10"/>
      <c r="AR502" s="16"/>
      <c r="AS502" s="16"/>
      <c r="AT502" s="16"/>
      <c r="AU502" s="10"/>
      <c r="AV502" s="10"/>
      <c r="AW502" s="10"/>
      <c r="AX502" s="10"/>
      <c r="AY502" s="10"/>
      <c r="AZ502" s="10"/>
      <c r="BA502" s="16"/>
      <c r="BB502" s="16"/>
      <c r="BH502" s="16"/>
    </row>
    <row r="503" spans="17:60" x14ac:dyDescent="0.2"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K503" s="10"/>
      <c r="AL503" s="10"/>
      <c r="AM503" s="10"/>
      <c r="AN503" s="10"/>
      <c r="AO503" s="10"/>
      <c r="AP503" s="10"/>
      <c r="AQ503" s="10"/>
      <c r="AR503" s="16"/>
      <c r="AS503" s="16"/>
      <c r="AT503" s="16"/>
      <c r="AU503" s="10"/>
      <c r="AV503" s="10"/>
      <c r="AW503" s="10"/>
      <c r="AX503" s="10"/>
      <c r="AY503" s="10"/>
      <c r="AZ503" s="10"/>
      <c r="BA503" s="16"/>
      <c r="BB503" s="16"/>
      <c r="BH503" s="16"/>
    </row>
    <row r="504" spans="17:60" x14ac:dyDescent="0.2"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K504" s="10"/>
      <c r="AL504" s="10"/>
      <c r="AM504" s="10"/>
      <c r="AN504" s="10"/>
      <c r="AO504" s="10"/>
      <c r="AP504" s="10"/>
      <c r="AQ504" s="10"/>
      <c r="AR504" s="16"/>
      <c r="AS504" s="16"/>
      <c r="AT504" s="16"/>
      <c r="AU504" s="10"/>
      <c r="AV504" s="10"/>
      <c r="AW504" s="10"/>
      <c r="AX504" s="10"/>
      <c r="AY504" s="10"/>
      <c r="AZ504" s="10"/>
      <c r="BA504" s="16"/>
      <c r="BB504" s="16"/>
      <c r="BH504" s="16"/>
    </row>
    <row r="505" spans="17:60" x14ac:dyDescent="0.2"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K505" s="10"/>
      <c r="AL505" s="10"/>
      <c r="AM505" s="10"/>
      <c r="AN505" s="10"/>
      <c r="AO505" s="10"/>
      <c r="AP505" s="10"/>
      <c r="AQ505" s="10"/>
      <c r="AR505" s="16"/>
      <c r="AS505" s="16"/>
      <c r="AT505" s="16"/>
      <c r="AU505" s="10"/>
      <c r="AV505" s="10"/>
      <c r="AW505" s="10"/>
      <c r="AX505" s="10"/>
      <c r="AY505" s="10"/>
      <c r="AZ505" s="10"/>
      <c r="BA505" s="16"/>
      <c r="BB505" s="16"/>
      <c r="BH505" s="16"/>
    </row>
    <row r="506" spans="17:60" x14ac:dyDescent="0.2"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K506" s="10"/>
      <c r="AL506" s="10"/>
      <c r="AM506" s="10"/>
      <c r="AN506" s="10"/>
      <c r="AO506" s="10"/>
      <c r="AP506" s="10"/>
      <c r="AQ506" s="10"/>
      <c r="AR506" s="16"/>
      <c r="AS506" s="16"/>
      <c r="AT506" s="16"/>
      <c r="AU506" s="10"/>
      <c r="AV506" s="10"/>
      <c r="AW506" s="10"/>
      <c r="AX506" s="10"/>
      <c r="AY506" s="10"/>
      <c r="AZ506" s="10"/>
      <c r="BA506" s="16"/>
      <c r="BB506" s="16"/>
      <c r="BH506" s="16"/>
    </row>
    <row r="507" spans="17:60" x14ac:dyDescent="0.2"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K507" s="10"/>
      <c r="AL507" s="10"/>
      <c r="AM507" s="10"/>
      <c r="AN507" s="10"/>
      <c r="AO507" s="10"/>
      <c r="AP507" s="10"/>
      <c r="AQ507" s="10"/>
      <c r="AR507" s="16"/>
      <c r="AS507" s="16"/>
      <c r="AT507" s="16"/>
      <c r="AU507" s="10"/>
      <c r="AV507" s="10"/>
      <c r="AW507" s="10"/>
      <c r="AX507" s="10"/>
      <c r="AY507" s="10"/>
      <c r="AZ507" s="10"/>
      <c r="BA507" s="16"/>
      <c r="BB507" s="16"/>
      <c r="BH507" s="16"/>
    </row>
    <row r="508" spans="17:60" x14ac:dyDescent="0.2"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K508" s="10"/>
      <c r="AL508" s="10"/>
      <c r="AM508" s="10"/>
      <c r="AN508" s="10"/>
      <c r="AO508" s="10"/>
      <c r="AP508" s="10"/>
      <c r="AQ508" s="10"/>
      <c r="AR508" s="16"/>
      <c r="AS508" s="16"/>
      <c r="AT508" s="16"/>
      <c r="AU508" s="10"/>
      <c r="AV508" s="10"/>
      <c r="AW508" s="10"/>
      <c r="AX508" s="10"/>
      <c r="AY508" s="10"/>
      <c r="AZ508" s="10"/>
      <c r="BA508" s="16"/>
      <c r="BB508" s="16"/>
      <c r="BH508" s="16"/>
    </row>
    <row r="509" spans="17:60" x14ac:dyDescent="0.2"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K509" s="10"/>
      <c r="AL509" s="10"/>
      <c r="AM509" s="10"/>
      <c r="AN509" s="10"/>
      <c r="AO509" s="10"/>
      <c r="AP509" s="10"/>
      <c r="AQ509" s="10"/>
      <c r="AR509" s="16"/>
      <c r="AS509" s="16"/>
      <c r="AT509" s="16"/>
      <c r="AU509" s="10"/>
      <c r="AV509" s="10"/>
      <c r="AW509" s="10"/>
      <c r="AX509" s="10"/>
      <c r="AY509" s="10"/>
      <c r="AZ509" s="10"/>
      <c r="BA509" s="16"/>
      <c r="BB509" s="16"/>
      <c r="BH509" s="16"/>
    </row>
    <row r="510" spans="17:60" x14ac:dyDescent="0.2"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K510" s="10"/>
      <c r="AL510" s="10"/>
      <c r="AM510" s="10"/>
      <c r="AN510" s="10"/>
      <c r="AO510" s="10"/>
      <c r="AP510" s="10"/>
      <c r="AQ510" s="10"/>
      <c r="AR510" s="16"/>
      <c r="AS510" s="16"/>
      <c r="AT510" s="16"/>
      <c r="AU510" s="10"/>
      <c r="AV510" s="10"/>
      <c r="AW510" s="10"/>
      <c r="AX510" s="10"/>
      <c r="AY510" s="10"/>
      <c r="AZ510" s="10"/>
      <c r="BA510" s="16"/>
      <c r="BB510" s="16"/>
      <c r="BH510" s="16"/>
    </row>
    <row r="511" spans="17:60" x14ac:dyDescent="0.2"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K511" s="10"/>
      <c r="AL511" s="10"/>
      <c r="AM511" s="10"/>
      <c r="AN511" s="10"/>
      <c r="AO511" s="10"/>
      <c r="AP511" s="10"/>
      <c r="AQ511" s="10"/>
      <c r="AR511" s="16"/>
      <c r="AS511" s="16"/>
      <c r="AT511" s="16"/>
      <c r="AU511" s="10"/>
      <c r="AV511" s="10"/>
      <c r="AW511" s="10"/>
      <c r="AX511" s="10"/>
      <c r="AY511" s="10"/>
      <c r="AZ511" s="10"/>
      <c r="BA511" s="16"/>
      <c r="BB511" s="16"/>
      <c r="BH511" s="16"/>
    </row>
    <row r="512" spans="17:60" x14ac:dyDescent="0.2"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K512" s="10"/>
      <c r="AL512" s="10"/>
      <c r="AM512" s="10"/>
      <c r="AN512" s="10"/>
      <c r="AO512" s="10"/>
      <c r="AP512" s="10"/>
      <c r="AQ512" s="10"/>
      <c r="AR512" s="16"/>
      <c r="AS512" s="16"/>
      <c r="AT512" s="16"/>
      <c r="AU512" s="10"/>
      <c r="AV512" s="10"/>
      <c r="AW512" s="10"/>
      <c r="AX512" s="10"/>
      <c r="AY512" s="10"/>
      <c r="AZ512" s="10"/>
      <c r="BA512" s="16"/>
      <c r="BB512" s="16"/>
      <c r="BH512" s="16"/>
    </row>
    <row r="513" spans="17:60" x14ac:dyDescent="0.2"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K513" s="10"/>
      <c r="AL513" s="10"/>
      <c r="AM513" s="10"/>
      <c r="AN513" s="10"/>
      <c r="AO513" s="10"/>
      <c r="AP513" s="10"/>
      <c r="AQ513" s="10"/>
      <c r="AR513" s="16"/>
      <c r="AS513" s="16"/>
      <c r="AT513" s="16"/>
      <c r="AU513" s="10"/>
      <c r="AV513" s="10"/>
      <c r="AW513" s="10"/>
      <c r="AX513" s="10"/>
      <c r="AY513" s="10"/>
      <c r="AZ513" s="10"/>
      <c r="BA513" s="16"/>
      <c r="BB513" s="16"/>
      <c r="BH513" s="16"/>
    </row>
    <row r="514" spans="17:60" x14ac:dyDescent="0.2"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K514" s="10"/>
      <c r="AL514" s="10"/>
      <c r="AM514" s="10"/>
      <c r="AN514" s="10"/>
      <c r="AO514" s="10"/>
      <c r="AP514" s="10"/>
      <c r="AQ514" s="10"/>
      <c r="AR514" s="16"/>
      <c r="AS514" s="16"/>
      <c r="AT514" s="16"/>
      <c r="AU514" s="10"/>
      <c r="AV514" s="10"/>
      <c r="AW514" s="10"/>
      <c r="AX514" s="10"/>
      <c r="AY514" s="10"/>
      <c r="AZ514" s="10"/>
      <c r="BA514" s="16"/>
      <c r="BB514" s="16"/>
      <c r="BH514" s="16"/>
    </row>
    <row r="515" spans="17:60" x14ac:dyDescent="0.2"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K515" s="10"/>
      <c r="AL515" s="10"/>
      <c r="AM515" s="10"/>
      <c r="AN515" s="10"/>
      <c r="AO515" s="10"/>
      <c r="AP515" s="10"/>
      <c r="AQ515" s="10"/>
      <c r="AR515" s="16"/>
      <c r="AS515" s="16"/>
      <c r="AT515" s="16"/>
      <c r="AU515" s="10"/>
      <c r="AV515" s="10"/>
      <c r="AW515" s="10"/>
      <c r="AX515" s="10"/>
      <c r="AY515" s="10"/>
      <c r="AZ515" s="10"/>
      <c r="BA515" s="16"/>
      <c r="BB515" s="16"/>
      <c r="BH515" s="16"/>
    </row>
    <row r="516" spans="17:60" x14ac:dyDescent="0.2"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K516" s="10"/>
      <c r="AL516" s="10"/>
      <c r="AM516" s="10"/>
      <c r="AN516" s="10"/>
      <c r="AO516" s="10"/>
      <c r="AP516" s="10"/>
      <c r="AQ516" s="10"/>
      <c r="AR516" s="16"/>
      <c r="AS516" s="16"/>
      <c r="AT516" s="16"/>
      <c r="AU516" s="10"/>
      <c r="AV516" s="10"/>
      <c r="AW516" s="10"/>
      <c r="AX516" s="10"/>
      <c r="AY516" s="10"/>
      <c r="AZ516" s="10"/>
      <c r="BA516" s="16"/>
      <c r="BB516" s="16"/>
      <c r="BH516" s="16"/>
    </row>
    <row r="517" spans="17:60" x14ac:dyDescent="0.2"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K517" s="10"/>
      <c r="AL517" s="10"/>
      <c r="AM517" s="10"/>
      <c r="AN517" s="10"/>
      <c r="AO517" s="10"/>
      <c r="AP517" s="10"/>
      <c r="AQ517" s="10"/>
      <c r="AR517" s="16"/>
      <c r="AS517" s="16"/>
      <c r="AT517" s="16"/>
      <c r="AU517" s="10"/>
      <c r="AV517" s="10"/>
      <c r="AW517" s="10"/>
      <c r="AX517" s="10"/>
      <c r="AY517" s="10"/>
      <c r="AZ517" s="10"/>
      <c r="BA517" s="16"/>
      <c r="BB517" s="16"/>
      <c r="BH517" s="16"/>
    </row>
    <row r="518" spans="17:60" x14ac:dyDescent="0.2"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K518" s="10"/>
      <c r="AL518" s="10"/>
      <c r="AM518" s="10"/>
      <c r="AN518" s="10"/>
      <c r="AO518" s="10"/>
      <c r="AP518" s="10"/>
      <c r="AQ518" s="10"/>
      <c r="AR518" s="16"/>
      <c r="AS518" s="16"/>
      <c r="AT518" s="16"/>
      <c r="AU518" s="10"/>
      <c r="AV518" s="10"/>
      <c r="AW518" s="10"/>
      <c r="AX518" s="10"/>
      <c r="AY518" s="10"/>
      <c r="AZ518" s="10"/>
      <c r="BA518" s="16"/>
      <c r="BB518" s="16"/>
      <c r="BH518" s="16"/>
    </row>
    <row r="519" spans="17:60" x14ac:dyDescent="0.2"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K519" s="10"/>
      <c r="AL519" s="10"/>
      <c r="AM519" s="10"/>
      <c r="AN519" s="10"/>
      <c r="AO519" s="10"/>
      <c r="AP519" s="10"/>
      <c r="AQ519" s="10"/>
      <c r="AR519" s="16"/>
      <c r="AS519" s="16"/>
      <c r="AT519" s="16"/>
      <c r="AU519" s="10"/>
      <c r="AV519" s="10"/>
      <c r="AW519" s="10"/>
      <c r="AX519" s="10"/>
      <c r="AY519" s="10"/>
      <c r="AZ519" s="10"/>
      <c r="BA519" s="16"/>
      <c r="BB519" s="16"/>
      <c r="BH519" s="16"/>
    </row>
    <row r="520" spans="17:60" x14ac:dyDescent="0.2"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K520" s="10"/>
      <c r="AL520" s="10"/>
      <c r="AM520" s="10"/>
      <c r="AN520" s="10"/>
      <c r="AO520" s="10"/>
      <c r="AP520" s="10"/>
      <c r="AQ520" s="10"/>
      <c r="AR520" s="16"/>
      <c r="AS520" s="16"/>
      <c r="AT520" s="16"/>
      <c r="AU520" s="10"/>
      <c r="AV520" s="10"/>
      <c r="AW520" s="10"/>
      <c r="AX520" s="10"/>
      <c r="AY520" s="10"/>
      <c r="AZ520" s="10"/>
      <c r="BA520" s="16"/>
      <c r="BB520" s="16"/>
      <c r="BH520" s="16"/>
    </row>
    <row r="521" spans="17:60" x14ac:dyDescent="0.2"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K521" s="10"/>
      <c r="AL521" s="10"/>
      <c r="AM521" s="10"/>
      <c r="AN521" s="10"/>
      <c r="AO521" s="10"/>
      <c r="AP521" s="10"/>
      <c r="AQ521" s="10"/>
      <c r="AR521" s="16"/>
      <c r="AS521" s="16"/>
      <c r="AT521" s="16"/>
      <c r="AU521" s="10"/>
      <c r="AV521" s="10"/>
      <c r="AW521" s="10"/>
      <c r="AX521" s="10"/>
      <c r="AY521" s="10"/>
      <c r="AZ521" s="10"/>
      <c r="BA521" s="16"/>
      <c r="BB521" s="16"/>
      <c r="BH521" s="16"/>
    </row>
    <row r="522" spans="17:60" x14ac:dyDescent="0.2"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K522" s="10"/>
      <c r="AL522" s="10"/>
      <c r="AM522" s="10"/>
      <c r="AN522" s="10"/>
      <c r="AO522" s="10"/>
      <c r="AP522" s="10"/>
      <c r="AQ522" s="10"/>
      <c r="AR522" s="16"/>
      <c r="AS522" s="16"/>
      <c r="AT522" s="16"/>
      <c r="AU522" s="10"/>
      <c r="AV522" s="10"/>
      <c r="AW522" s="10"/>
      <c r="AX522" s="10"/>
      <c r="AY522" s="10"/>
      <c r="AZ522" s="10"/>
      <c r="BA522" s="16"/>
      <c r="BB522" s="16"/>
      <c r="BH522" s="16"/>
    </row>
    <row r="523" spans="17:60" x14ac:dyDescent="0.2"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K523" s="10"/>
      <c r="AL523" s="10"/>
      <c r="AM523" s="10"/>
      <c r="AN523" s="10"/>
      <c r="AO523" s="10"/>
      <c r="AP523" s="10"/>
      <c r="AQ523" s="10"/>
      <c r="AR523" s="16"/>
      <c r="AS523" s="16"/>
      <c r="AT523" s="16"/>
      <c r="AU523" s="10"/>
      <c r="AV523" s="10"/>
      <c r="AW523" s="10"/>
      <c r="AX523" s="10"/>
      <c r="AY523" s="10"/>
      <c r="AZ523" s="10"/>
      <c r="BA523" s="16"/>
      <c r="BB523" s="16"/>
      <c r="BH523" s="16"/>
    </row>
    <row r="524" spans="17:60" x14ac:dyDescent="0.2"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K524" s="10"/>
      <c r="AL524" s="10"/>
      <c r="AM524" s="10"/>
      <c r="AN524" s="10"/>
      <c r="AO524" s="10"/>
      <c r="AP524" s="10"/>
      <c r="AQ524" s="10"/>
      <c r="AR524" s="16"/>
      <c r="AS524" s="16"/>
      <c r="AT524" s="16"/>
      <c r="AU524" s="10"/>
      <c r="AV524" s="10"/>
      <c r="AW524" s="10"/>
      <c r="AX524" s="10"/>
      <c r="AY524" s="10"/>
      <c r="AZ524" s="10"/>
      <c r="BA524" s="16"/>
      <c r="BB524" s="16"/>
      <c r="BH524" s="16"/>
    </row>
    <row r="525" spans="17:60" x14ac:dyDescent="0.2"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K525" s="10"/>
      <c r="AL525" s="10"/>
      <c r="AM525" s="10"/>
      <c r="AN525" s="10"/>
      <c r="AO525" s="10"/>
      <c r="AP525" s="10"/>
      <c r="AQ525" s="10"/>
      <c r="AR525" s="16"/>
      <c r="AS525" s="16"/>
      <c r="AT525" s="16"/>
      <c r="AU525" s="10"/>
      <c r="AV525" s="10"/>
      <c r="AW525" s="10"/>
      <c r="AX525" s="10"/>
      <c r="AY525" s="10"/>
      <c r="AZ525" s="10"/>
      <c r="BA525" s="16"/>
      <c r="BB525" s="16"/>
      <c r="BH525" s="16"/>
    </row>
    <row r="526" spans="17:60" x14ac:dyDescent="0.2"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K526" s="10"/>
      <c r="AL526" s="10"/>
      <c r="AM526" s="10"/>
      <c r="AN526" s="10"/>
      <c r="AO526" s="10"/>
      <c r="AP526" s="10"/>
      <c r="AQ526" s="10"/>
      <c r="AR526" s="16"/>
      <c r="AS526" s="16"/>
      <c r="AT526" s="16"/>
      <c r="AU526" s="10"/>
      <c r="AV526" s="10"/>
      <c r="AW526" s="10"/>
      <c r="AX526" s="10"/>
      <c r="AY526" s="10"/>
      <c r="AZ526" s="10"/>
      <c r="BA526" s="16"/>
      <c r="BB526" s="16"/>
      <c r="BH526" s="16"/>
    </row>
    <row r="527" spans="17:60" x14ac:dyDescent="0.2"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K527" s="10"/>
      <c r="AL527" s="10"/>
      <c r="AM527" s="10"/>
      <c r="AN527" s="10"/>
      <c r="AO527" s="10"/>
      <c r="AP527" s="10"/>
      <c r="AQ527" s="10"/>
      <c r="AR527" s="16"/>
      <c r="AS527" s="16"/>
      <c r="AT527" s="16"/>
      <c r="AU527" s="10"/>
      <c r="AV527" s="10"/>
      <c r="AW527" s="10"/>
      <c r="AX527" s="10"/>
      <c r="AY527" s="10"/>
      <c r="AZ527" s="10"/>
      <c r="BA527" s="16"/>
      <c r="BB527" s="16"/>
      <c r="BH527" s="16"/>
    </row>
    <row r="528" spans="17:60" x14ac:dyDescent="0.2"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K528" s="10"/>
      <c r="AL528" s="10"/>
      <c r="AM528" s="10"/>
      <c r="AN528" s="10"/>
      <c r="AO528" s="10"/>
      <c r="AP528" s="10"/>
      <c r="AQ528" s="10"/>
      <c r="AR528" s="16"/>
      <c r="AS528" s="16"/>
      <c r="AT528" s="16"/>
      <c r="AU528" s="10"/>
      <c r="AV528" s="10"/>
      <c r="AW528" s="10"/>
      <c r="AX528" s="10"/>
      <c r="AY528" s="10"/>
      <c r="AZ528" s="10"/>
      <c r="BA528" s="16"/>
      <c r="BB528" s="16"/>
      <c r="BH528" s="16"/>
    </row>
    <row r="529" spans="17:60" x14ac:dyDescent="0.2"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K529" s="10"/>
      <c r="AL529" s="10"/>
      <c r="AM529" s="10"/>
      <c r="AN529" s="10"/>
      <c r="AO529" s="10"/>
      <c r="AP529" s="10"/>
      <c r="AQ529" s="10"/>
      <c r="AR529" s="16"/>
      <c r="AS529" s="16"/>
      <c r="AT529" s="16"/>
      <c r="AU529" s="10"/>
      <c r="AV529" s="10"/>
      <c r="AW529" s="10"/>
      <c r="AX529" s="10"/>
      <c r="AY529" s="10"/>
      <c r="AZ529" s="10"/>
      <c r="BA529" s="16"/>
      <c r="BB529" s="16"/>
      <c r="BH529" s="16"/>
    </row>
    <row r="530" spans="17:60" x14ac:dyDescent="0.2"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K530" s="10"/>
      <c r="AL530" s="10"/>
      <c r="AM530" s="10"/>
      <c r="AN530" s="10"/>
      <c r="AO530" s="10"/>
      <c r="AP530" s="10"/>
      <c r="AQ530" s="10"/>
      <c r="AR530" s="16"/>
      <c r="AS530" s="16"/>
      <c r="AT530" s="16"/>
      <c r="AU530" s="10"/>
      <c r="AV530" s="10"/>
      <c r="AW530" s="10"/>
      <c r="AX530" s="10"/>
      <c r="AY530" s="10"/>
      <c r="AZ530" s="10"/>
      <c r="BA530" s="16"/>
      <c r="BB530" s="16"/>
      <c r="BH530" s="16"/>
    </row>
    <row r="531" spans="17:60" x14ac:dyDescent="0.2"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K531" s="10"/>
      <c r="AL531" s="10"/>
      <c r="AM531" s="10"/>
      <c r="AN531" s="10"/>
      <c r="AO531" s="10"/>
      <c r="AP531" s="10"/>
      <c r="AQ531" s="10"/>
      <c r="AR531" s="16"/>
      <c r="AS531" s="16"/>
      <c r="AT531" s="16"/>
      <c r="AU531" s="10"/>
      <c r="AV531" s="10"/>
      <c r="AW531" s="10"/>
      <c r="AX531" s="10"/>
      <c r="AY531" s="10"/>
      <c r="AZ531" s="10"/>
      <c r="BA531" s="16"/>
      <c r="BB531" s="16"/>
      <c r="BH531" s="16"/>
    </row>
    <row r="532" spans="17:60" x14ac:dyDescent="0.2"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K532" s="10"/>
      <c r="AL532" s="10"/>
      <c r="AM532" s="10"/>
      <c r="AN532" s="10"/>
      <c r="AO532" s="10"/>
      <c r="AP532" s="10"/>
      <c r="AQ532" s="10"/>
      <c r="AR532" s="16"/>
      <c r="AS532" s="16"/>
      <c r="AT532" s="16"/>
      <c r="AU532" s="10"/>
      <c r="AV532" s="10"/>
      <c r="AW532" s="10"/>
      <c r="AX532" s="10"/>
      <c r="AY532" s="10"/>
      <c r="AZ532" s="10"/>
      <c r="BA532" s="16"/>
      <c r="BB532" s="16"/>
      <c r="BH532" s="16"/>
    </row>
    <row r="533" spans="17:60" x14ac:dyDescent="0.2"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K533" s="10"/>
      <c r="AL533" s="10"/>
      <c r="AM533" s="10"/>
      <c r="AN533" s="10"/>
      <c r="AO533" s="10"/>
      <c r="AP533" s="10"/>
      <c r="AQ533" s="10"/>
      <c r="AR533" s="16"/>
      <c r="AS533" s="16"/>
      <c r="AT533" s="16"/>
      <c r="AU533" s="10"/>
      <c r="AV533" s="10"/>
      <c r="AW533" s="10"/>
      <c r="AX533" s="10"/>
      <c r="AY533" s="10"/>
      <c r="AZ533" s="10"/>
      <c r="BA533" s="16"/>
      <c r="BB533" s="16"/>
      <c r="BH533" s="16"/>
    </row>
    <row r="534" spans="17:60" x14ac:dyDescent="0.2"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K534" s="10"/>
      <c r="AL534" s="10"/>
      <c r="AM534" s="10"/>
      <c r="AN534" s="10"/>
      <c r="AO534" s="10"/>
      <c r="AP534" s="10"/>
      <c r="AQ534" s="10"/>
      <c r="AR534" s="16"/>
      <c r="AS534" s="16"/>
      <c r="AT534" s="16"/>
      <c r="AU534" s="10"/>
      <c r="AV534" s="10"/>
      <c r="AW534" s="10"/>
      <c r="AX534" s="10"/>
      <c r="AY534" s="10"/>
      <c r="AZ534" s="10"/>
      <c r="BA534" s="16"/>
      <c r="BB534" s="16"/>
      <c r="BH534" s="16"/>
    </row>
    <row r="535" spans="17:60" x14ac:dyDescent="0.2"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K535" s="10"/>
      <c r="AL535" s="10"/>
      <c r="AM535" s="10"/>
      <c r="AN535" s="10"/>
      <c r="AO535" s="10"/>
      <c r="AP535" s="10"/>
      <c r="AQ535" s="10"/>
      <c r="AR535" s="16"/>
      <c r="AS535" s="16"/>
      <c r="AT535" s="16"/>
      <c r="AU535" s="10"/>
      <c r="AV535" s="10"/>
      <c r="AW535" s="10"/>
      <c r="AX535" s="10"/>
      <c r="AY535" s="10"/>
      <c r="AZ535" s="10"/>
      <c r="BA535" s="16"/>
      <c r="BB535" s="16"/>
      <c r="BH535" s="16"/>
    </row>
    <row r="536" spans="17:60" x14ac:dyDescent="0.2"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K536" s="10"/>
      <c r="AL536" s="10"/>
      <c r="AM536" s="10"/>
      <c r="AN536" s="10"/>
      <c r="AO536" s="10"/>
      <c r="AP536" s="10"/>
      <c r="AQ536" s="10"/>
      <c r="AR536" s="16"/>
      <c r="AS536" s="16"/>
      <c r="AT536" s="16"/>
      <c r="AU536" s="10"/>
      <c r="AV536" s="10"/>
      <c r="AW536" s="10"/>
      <c r="AX536" s="10"/>
      <c r="AY536" s="10"/>
      <c r="AZ536" s="10"/>
      <c r="BA536" s="16"/>
      <c r="BB536" s="16"/>
      <c r="BH536" s="16"/>
    </row>
    <row r="537" spans="17:60" x14ac:dyDescent="0.2"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K537" s="10"/>
      <c r="AL537" s="10"/>
      <c r="AM537" s="10"/>
      <c r="AN537" s="10"/>
      <c r="AO537" s="10"/>
      <c r="AP537" s="10"/>
      <c r="AQ537" s="10"/>
      <c r="AR537" s="16"/>
      <c r="AS537" s="16"/>
      <c r="AT537" s="16"/>
      <c r="AU537" s="10"/>
      <c r="AV537" s="10"/>
      <c r="AW537" s="10"/>
      <c r="AX537" s="10"/>
      <c r="AY537" s="10"/>
      <c r="AZ537" s="10"/>
      <c r="BA537" s="16"/>
      <c r="BB537" s="16"/>
      <c r="BH537" s="16"/>
    </row>
    <row r="538" spans="17:60" x14ac:dyDescent="0.2"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K538" s="10"/>
      <c r="AL538" s="10"/>
      <c r="AM538" s="10"/>
      <c r="AN538" s="10"/>
      <c r="AO538" s="10"/>
      <c r="AP538" s="10"/>
      <c r="AQ538" s="10"/>
      <c r="AR538" s="16"/>
      <c r="AS538" s="16"/>
      <c r="AT538" s="16"/>
      <c r="AU538" s="10"/>
      <c r="AV538" s="10"/>
      <c r="AW538" s="10"/>
      <c r="AX538" s="10"/>
      <c r="AY538" s="10"/>
      <c r="AZ538" s="10"/>
      <c r="BA538" s="16"/>
      <c r="BB538" s="16"/>
      <c r="BH538" s="16"/>
    </row>
    <row r="539" spans="17:60" x14ac:dyDescent="0.2"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K539" s="10"/>
      <c r="AL539" s="10"/>
      <c r="AM539" s="10"/>
      <c r="AN539" s="10"/>
      <c r="AO539" s="10"/>
      <c r="AP539" s="10"/>
      <c r="AQ539" s="10"/>
      <c r="AR539" s="16"/>
      <c r="AS539" s="16"/>
      <c r="AT539" s="16"/>
      <c r="AU539" s="10"/>
      <c r="AV539" s="10"/>
      <c r="AW539" s="10"/>
      <c r="AX539" s="10"/>
      <c r="AY539" s="10"/>
      <c r="AZ539" s="10"/>
      <c r="BA539" s="16"/>
      <c r="BB539" s="16"/>
      <c r="BH539" s="16"/>
    </row>
    <row r="540" spans="17:60" x14ac:dyDescent="0.2"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K540" s="10"/>
      <c r="AL540" s="10"/>
      <c r="AM540" s="10"/>
      <c r="AN540" s="10"/>
      <c r="AO540" s="10"/>
      <c r="AP540" s="10"/>
      <c r="AQ540" s="10"/>
      <c r="AR540" s="16"/>
      <c r="AS540" s="16"/>
      <c r="AT540" s="16"/>
      <c r="AU540" s="10"/>
      <c r="AV540" s="10"/>
      <c r="AW540" s="10"/>
      <c r="AX540" s="10"/>
      <c r="AY540" s="10"/>
      <c r="AZ540" s="10"/>
      <c r="BA540" s="16"/>
      <c r="BB540" s="16"/>
      <c r="BH540" s="16"/>
    </row>
    <row r="541" spans="17:60" x14ac:dyDescent="0.2"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K541" s="10"/>
      <c r="AL541" s="10"/>
      <c r="AM541" s="10"/>
      <c r="AN541" s="10"/>
      <c r="AO541" s="10"/>
      <c r="AP541" s="10"/>
      <c r="AQ541" s="10"/>
      <c r="AR541" s="16"/>
      <c r="AS541" s="16"/>
      <c r="AT541" s="16"/>
      <c r="AU541" s="10"/>
      <c r="AV541" s="10"/>
      <c r="AW541" s="10"/>
      <c r="AX541" s="10"/>
      <c r="AY541" s="10"/>
      <c r="AZ541" s="10"/>
      <c r="BA541" s="16"/>
      <c r="BB541" s="16"/>
      <c r="BH541" s="16"/>
    </row>
    <row r="542" spans="17:60" x14ac:dyDescent="0.2"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K542" s="10"/>
      <c r="AL542" s="10"/>
      <c r="AM542" s="10"/>
      <c r="AN542" s="10"/>
      <c r="AO542" s="10"/>
      <c r="AP542" s="10"/>
      <c r="AQ542" s="10"/>
      <c r="AR542" s="16"/>
      <c r="AS542" s="16"/>
      <c r="AT542" s="16"/>
      <c r="AU542" s="10"/>
      <c r="AV542" s="10"/>
      <c r="AW542" s="10"/>
      <c r="AX542" s="10"/>
      <c r="AY542" s="10"/>
      <c r="AZ542" s="10"/>
      <c r="BA542" s="16"/>
      <c r="BB542" s="16"/>
      <c r="BH542" s="16"/>
    </row>
    <row r="543" spans="17:60" x14ac:dyDescent="0.2"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K543" s="10"/>
      <c r="AL543" s="10"/>
      <c r="AM543" s="10"/>
      <c r="AN543" s="10"/>
      <c r="AO543" s="10"/>
      <c r="AP543" s="10"/>
      <c r="AQ543" s="10"/>
      <c r="AR543" s="16"/>
      <c r="AS543" s="16"/>
      <c r="AT543" s="16"/>
      <c r="AU543" s="10"/>
      <c r="AV543" s="10"/>
      <c r="AW543" s="10"/>
      <c r="AX543" s="10"/>
      <c r="AY543" s="10"/>
      <c r="AZ543" s="10"/>
      <c r="BA543" s="16"/>
      <c r="BB543" s="16"/>
      <c r="BH543" s="16"/>
    </row>
    <row r="544" spans="17:60" x14ac:dyDescent="0.2"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K544" s="10"/>
      <c r="AL544" s="10"/>
      <c r="AM544" s="10"/>
      <c r="AN544" s="10"/>
      <c r="AO544" s="10"/>
      <c r="AP544" s="10"/>
      <c r="AQ544" s="10"/>
      <c r="AR544" s="16"/>
      <c r="AS544" s="16"/>
      <c r="AT544" s="16"/>
      <c r="AU544" s="10"/>
      <c r="AV544" s="10"/>
      <c r="AW544" s="10"/>
      <c r="AX544" s="10"/>
      <c r="AY544" s="10"/>
      <c r="AZ544" s="10"/>
      <c r="BA544" s="16"/>
      <c r="BB544" s="16"/>
      <c r="BH544" s="16"/>
    </row>
    <row r="545" spans="17:60" x14ac:dyDescent="0.2"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K545" s="10"/>
      <c r="AL545" s="10"/>
      <c r="AM545" s="10"/>
      <c r="AN545" s="10"/>
      <c r="AO545" s="10"/>
      <c r="AP545" s="10"/>
      <c r="AQ545" s="10"/>
      <c r="AR545" s="16"/>
      <c r="AS545" s="16"/>
      <c r="AT545" s="16"/>
      <c r="AU545" s="10"/>
      <c r="AV545" s="10"/>
      <c r="AW545" s="10"/>
      <c r="AX545" s="10"/>
      <c r="AY545" s="10"/>
      <c r="AZ545" s="10"/>
      <c r="BA545" s="16"/>
      <c r="BB545" s="16"/>
      <c r="BH545" s="16"/>
    </row>
    <row r="546" spans="17:60" x14ac:dyDescent="0.2"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K546" s="10"/>
      <c r="AL546" s="10"/>
      <c r="AM546" s="10"/>
      <c r="AN546" s="10"/>
      <c r="AO546" s="10"/>
      <c r="AP546" s="10"/>
      <c r="AQ546" s="10"/>
      <c r="AR546" s="16"/>
      <c r="AS546" s="16"/>
      <c r="AT546" s="16"/>
      <c r="AU546" s="10"/>
      <c r="AV546" s="10"/>
      <c r="AW546" s="10"/>
      <c r="AX546" s="10"/>
      <c r="AY546" s="10"/>
      <c r="AZ546" s="10"/>
      <c r="BA546" s="16"/>
      <c r="BB546" s="16"/>
      <c r="BH546" s="16"/>
    </row>
    <row r="547" spans="17:60" x14ac:dyDescent="0.2"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K547" s="10"/>
      <c r="AL547" s="10"/>
      <c r="AM547" s="10"/>
      <c r="AN547" s="10"/>
      <c r="AO547" s="10"/>
      <c r="AP547" s="10"/>
      <c r="AQ547" s="10"/>
      <c r="AR547" s="16"/>
      <c r="AS547" s="16"/>
      <c r="AT547" s="16"/>
      <c r="AU547" s="10"/>
      <c r="AV547" s="10"/>
      <c r="AW547" s="10"/>
      <c r="AX547" s="10"/>
      <c r="AY547" s="10"/>
      <c r="AZ547" s="10"/>
      <c r="BA547" s="16"/>
      <c r="BB547" s="16"/>
      <c r="BH547" s="16"/>
    </row>
    <row r="548" spans="17:60" x14ac:dyDescent="0.2"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K548" s="10"/>
      <c r="AL548" s="10"/>
      <c r="AM548" s="10"/>
      <c r="AN548" s="10"/>
      <c r="AO548" s="10"/>
      <c r="AP548" s="10"/>
      <c r="AQ548" s="10"/>
      <c r="AR548" s="16"/>
      <c r="AS548" s="16"/>
      <c r="AT548" s="16"/>
      <c r="AU548" s="10"/>
      <c r="AV548" s="10"/>
      <c r="AW548" s="10"/>
      <c r="AX548" s="10"/>
      <c r="AY548" s="10"/>
      <c r="AZ548" s="10"/>
      <c r="BA548" s="16"/>
      <c r="BB548" s="16"/>
      <c r="BH548" s="16"/>
    </row>
    <row r="549" spans="17:60" x14ac:dyDescent="0.2"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K549" s="10"/>
      <c r="AL549" s="10"/>
      <c r="AM549" s="10"/>
      <c r="AN549" s="10"/>
      <c r="AO549" s="10"/>
      <c r="AP549" s="10"/>
      <c r="AQ549" s="10"/>
      <c r="AR549" s="16"/>
      <c r="AS549" s="16"/>
      <c r="AT549" s="16"/>
      <c r="AU549" s="10"/>
      <c r="AV549" s="10"/>
      <c r="AW549" s="10"/>
      <c r="AX549" s="10"/>
      <c r="AY549" s="10"/>
      <c r="AZ549" s="10"/>
      <c r="BA549" s="16"/>
      <c r="BB549" s="16"/>
      <c r="BH549" s="16"/>
    </row>
    <row r="550" spans="17:60" x14ac:dyDescent="0.2"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K550" s="10"/>
      <c r="AL550" s="10"/>
      <c r="AM550" s="10"/>
      <c r="AN550" s="10"/>
      <c r="AO550" s="10"/>
      <c r="AP550" s="10"/>
      <c r="AQ550" s="10"/>
      <c r="AR550" s="16"/>
      <c r="AS550" s="16"/>
      <c r="AT550" s="16"/>
      <c r="AU550" s="10"/>
      <c r="AV550" s="10"/>
      <c r="AW550" s="10"/>
      <c r="AX550" s="10"/>
      <c r="AY550" s="10"/>
      <c r="AZ550" s="10"/>
      <c r="BA550" s="16"/>
      <c r="BB550" s="16"/>
      <c r="BH550" s="16"/>
    </row>
    <row r="551" spans="17:60" x14ac:dyDescent="0.2"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K551" s="10"/>
      <c r="AL551" s="10"/>
      <c r="AM551" s="10"/>
      <c r="AN551" s="10"/>
      <c r="AO551" s="10"/>
      <c r="AP551" s="10"/>
      <c r="AQ551" s="10"/>
      <c r="AR551" s="16"/>
      <c r="AS551" s="16"/>
      <c r="AT551" s="16"/>
      <c r="AU551" s="10"/>
      <c r="AV551" s="10"/>
      <c r="AW551" s="10"/>
      <c r="AX551" s="10"/>
      <c r="AY551" s="10"/>
      <c r="AZ551" s="10"/>
      <c r="BA551" s="16"/>
      <c r="BB551" s="16"/>
      <c r="BH551" s="16"/>
    </row>
    <row r="552" spans="17:60" x14ac:dyDescent="0.2"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K552" s="10"/>
      <c r="AL552" s="10"/>
      <c r="AM552" s="10"/>
      <c r="AN552" s="10"/>
      <c r="AO552" s="10"/>
      <c r="AP552" s="10"/>
      <c r="AQ552" s="10"/>
      <c r="AR552" s="16"/>
      <c r="AS552" s="16"/>
      <c r="AT552" s="16"/>
      <c r="AU552" s="10"/>
      <c r="AV552" s="10"/>
      <c r="AW552" s="10"/>
      <c r="AX552" s="10"/>
      <c r="AY552" s="10"/>
      <c r="AZ552" s="10"/>
      <c r="BA552" s="16"/>
      <c r="BB552" s="16"/>
      <c r="BH552" s="16"/>
    </row>
    <row r="553" spans="17:60" x14ac:dyDescent="0.2"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K553" s="10"/>
      <c r="AL553" s="10"/>
      <c r="AM553" s="10"/>
      <c r="AN553" s="10"/>
      <c r="AO553" s="10"/>
      <c r="AP553" s="10"/>
      <c r="AQ553" s="10"/>
      <c r="AR553" s="16"/>
      <c r="AS553" s="16"/>
      <c r="AT553" s="16"/>
      <c r="AU553" s="10"/>
      <c r="AV553" s="10"/>
      <c r="AW553" s="10"/>
      <c r="AX553" s="10"/>
      <c r="AY553" s="10"/>
      <c r="AZ553" s="10"/>
      <c r="BA553" s="16"/>
      <c r="BB553" s="16"/>
      <c r="BH553" s="16"/>
    </row>
    <row r="554" spans="17:60" x14ac:dyDescent="0.2"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K554" s="10"/>
      <c r="AL554" s="10"/>
      <c r="AM554" s="10"/>
      <c r="AN554" s="10"/>
      <c r="AO554" s="10"/>
      <c r="AP554" s="10"/>
      <c r="AQ554" s="10"/>
      <c r="AR554" s="16"/>
      <c r="AS554" s="16"/>
      <c r="AT554" s="16"/>
      <c r="AU554" s="10"/>
      <c r="AV554" s="10"/>
      <c r="AW554" s="10"/>
      <c r="AX554" s="10"/>
      <c r="AY554" s="10"/>
      <c r="AZ554" s="10"/>
      <c r="BA554" s="16"/>
      <c r="BB554" s="16"/>
      <c r="BH554" s="16"/>
    </row>
    <row r="555" spans="17:60" x14ac:dyDescent="0.2"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K555" s="10"/>
      <c r="AL555" s="10"/>
      <c r="AM555" s="10"/>
      <c r="AN555" s="10"/>
      <c r="AO555" s="10"/>
      <c r="AP555" s="10"/>
      <c r="AQ555" s="10"/>
      <c r="AR555" s="16"/>
      <c r="AS555" s="16"/>
      <c r="AT555" s="16"/>
      <c r="AU555" s="10"/>
      <c r="AV555" s="10"/>
      <c r="AW555" s="10"/>
      <c r="AX555" s="10"/>
      <c r="AY555" s="10"/>
      <c r="AZ555" s="10"/>
      <c r="BA555" s="16"/>
      <c r="BB555" s="16"/>
      <c r="BH555" s="16"/>
    </row>
    <row r="556" spans="17:60" x14ac:dyDescent="0.2"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K556" s="10"/>
      <c r="AL556" s="10"/>
      <c r="AM556" s="10"/>
      <c r="AN556" s="10"/>
      <c r="AO556" s="10"/>
      <c r="AP556" s="10"/>
      <c r="AQ556" s="10"/>
      <c r="AR556" s="16"/>
      <c r="AS556" s="16"/>
      <c r="AT556" s="16"/>
      <c r="AU556" s="10"/>
      <c r="AV556" s="10"/>
      <c r="AW556" s="10"/>
      <c r="AX556" s="10"/>
      <c r="AY556" s="10"/>
      <c r="AZ556" s="10"/>
      <c r="BA556" s="16"/>
      <c r="BB556" s="16"/>
      <c r="BH556" s="16"/>
    </row>
    <row r="557" spans="17:60" x14ac:dyDescent="0.2"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K557" s="10"/>
      <c r="AL557" s="10"/>
      <c r="AM557" s="10"/>
      <c r="AN557" s="10"/>
      <c r="AO557" s="10"/>
      <c r="AP557" s="10"/>
      <c r="AQ557" s="10"/>
      <c r="AR557" s="16"/>
      <c r="AS557" s="16"/>
      <c r="AT557" s="16"/>
      <c r="AU557" s="10"/>
      <c r="AV557" s="10"/>
      <c r="AW557" s="10"/>
      <c r="AX557" s="10"/>
      <c r="AY557" s="10"/>
      <c r="AZ557" s="10"/>
      <c r="BA557" s="16"/>
      <c r="BB557" s="16"/>
      <c r="BH557" s="16"/>
    </row>
    <row r="558" spans="17:60" x14ac:dyDescent="0.2"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K558" s="10"/>
      <c r="AL558" s="10"/>
      <c r="AM558" s="10"/>
      <c r="AN558" s="10"/>
      <c r="AO558" s="10"/>
      <c r="AP558" s="10"/>
      <c r="AQ558" s="10"/>
      <c r="AR558" s="16"/>
      <c r="AS558" s="16"/>
      <c r="AT558" s="16"/>
      <c r="AU558" s="10"/>
      <c r="AV558" s="10"/>
      <c r="AW558" s="10"/>
      <c r="AX558" s="10"/>
      <c r="AY558" s="10"/>
      <c r="AZ558" s="10"/>
      <c r="BA558" s="16"/>
      <c r="BB558" s="16"/>
      <c r="BH558" s="16"/>
    </row>
    <row r="559" spans="17:60" x14ac:dyDescent="0.2"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K559" s="10"/>
      <c r="AL559" s="10"/>
      <c r="AM559" s="10"/>
      <c r="AN559" s="10"/>
      <c r="AO559" s="10"/>
      <c r="AP559" s="10"/>
      <c r="AQ559" s="10"/>
      <c r="AR559" s="16"/>
      <c r="AS559" s="16"/>
      <c r="AT559" s="16"/>
      <c r="AU559" s="10"/>
      <c r="AV559" s="10"/>
      <c r="AW559" s="10"/>
      <c r="AX559" s="10"/>
      <c r="AY559" s="10"/>
      <c r="AZ559" s="10"/>
      <c r="BA559" s="16"/>
      <c r="BB559" s="16"/>
      <c r="BH559" s="16"/>
    </row>
    <row r="560" spans="17:60" x14ac:dyDescent="0.2"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K560" s="10"/>
      <c r="AL560" s="10"/>
      <c r="AM560" s="10"/>
      <c r="AN560" s="10"/>
      <c r="AO560" s="10"/>
      <c r="AP560" s="10"/>
      <c r="AQ560" s="10"/>
      <c r="AR560" s="16"/>
      <c r="AS560" s="16"/>
      <c r="AT560" s="16"/>
      <c r="AU560" s="10"/>
      <c r="AV560" s="10"/>
      <c r="AW560" s="10"/>
      <c r="AX560" s="10"/>
      <c r="AY560" s="10"/>
      <c r="AZ560" s="10"/>
      <c r="BA560" s="16"/>
      <c r="BB560" s="16"/>
      <c r="BH560" s="16"/>
    </row>
    <row r="561" spans="17:60" x14ac:dyDescent="0.2"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K561" s="10"/>
      <c r="AL561" s="10"/>
      <c r="AM561" s="10"/>
      <c r="AN561" s="10"/>
      <c r="AO561" s="10"/>
      <c r="AP561" s="10"/>
      <c r="AQ561" s="10"/>
      <c r="AR561" s="16"/>
      <c r="AS561" s="16"/>
      <c r="AT561" s="16"/>
      <c r="AU561" s="10"/>
      <c r="AV561" s="10"/>
      <c r="AW561" s="10"/>
      <c r="AX561" s="10"/>
      <c r="AY561" s="10"/>
      <c r="AZ561" s="10"/>
      <c r="BA561" s="16"/>
      <c r="BB561" s="16"/>
      <c r="BH561" s="16"/>
    </row>
    <row r="562" spans="17:60" x14ac:dyDescent="0.2"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K562" s="10"/>
      <c r="AL562" s="10"/>
      <c r="AM562" s="10"/>
      <c r="AN562" s="10"/>
      <c r="AO562" s="10"/>
      <c r="AP562" s="10"/>
      <c r="AQ562" s="10"/>
      <c r="AR562" s="16"/>
      <c r="AS562" s="16"/>
      <c r="AT562" s="16"/>
      <c r="AU562" s="10"/>
      <c r="AV562" s="10"/>
      <c r="AW562" s="10"/>
      <c r="AX562" s="10"/>
      <c r="AY562" s="10"/>
      <c r="AZ562" s="10"/>
      <c r="BA562" s="16"/>
      <c r="BB562" s="16"/>
      <c r="BH562" s="16"/>
    </row>
    <row r="563" spans="17:60" x14ac:dyDescent="0.2"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K563" s="10"/>
      <c r="AL563" s="10"/>
      <c r="AM563" s="10"/>
      <c r="AN563" s="10"/>
      <c r="AO563" s="10"/>
      <c r="AP563" s="10"/>
      <c r="AQ563" s="10"/>
      <c r="AR563" s="16"/>
      <c r="AS563" s="16"/>
      <c r="AT563" s="16"/>
      <c r="AU563" s="10"/>
      <c r="AV563" s="10"/>
      <c r="AW563" s="10"/>
      <c r="AX563" s="10"/>
      <c r="AY563" s="10"/>
      <c r="AZ563" s="10"/>
      <c r="BA563" s="16"/>
      <c r="BB563" s="16"/>
      <c r="BH563" s="16"/>
    </row>
    <row r="564" spans="17:60" x14ac:dyDescent="0.2"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K564" s="10"/>
      <c r="AL564" s="10"/>
      <c r="AM564" s="10"/>
      <c r="AN564" s="10"/>
      <c r="AO564" s="10"/>
      <c r="AP564" s="10"/>
      <c r="AQ564" s="10"/>
      <c r="AR564" s="16"/>
      <c r="AS564" s="16"/>
      <c r="AT564" s="16"/>
      <c r="AU564" s="10"/>
      <c r="AV564" s="10"/>
      <c r="AW564" s="10"/>
      <c r="AX564" s="10"/>
      <c r="AY564" s="10"/>
      <c r="AZ564" s="10"/>
      <c r="BA564" s="16"/>
      <c r="BB564" s="16"/>
      <c r="BH564" s="16"/>
    </row>
    <row r="565" spans="17:60" x14ac:dyDescent="0.2"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K565" s="10"/>
      <c r="AL565" s="10"/>
      <c r="AM565" s="10"/>
      <c r="AN565" s="10"/>
      <c r="AO565" s="10"/>
      <c r="AP565" s="10"/>
      <c r="AQ565" s="10"/>
      <c r="AR565" s="16"/>
      <c r="AS565" s="16"/>
      <c r="AT565" s="16"/>
      <c r="AU565" s="10"/>
      <c r="AV565" s="10"/>
      <c r="AW565" s="10"/>
      <c r="AX565" s="10"/>
      <c r="AY565" s="10"/>
      <c r="AZ565" s="10"/>
      <c r="BA565" s="16"/>
      <c r="BB565" s="16"/>
      <c r="BH565" s="16"/>
    </row>
    <row r="566" spans="17:60" x14ac:dyDescent="0.2"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K566" s="10"/>
      <c r="AL566" s="10"/>
      <c r="AM566" s="10"/>
      <c r="AN566" s="10"/>
      <c r="AO566" s="10"/>
      <c r="AP566" s="10"/>
      <c r="AQ566" s="10"/>
      <c r="AR566" s="16"/>
      <c r="AS566" s="16"/>
      <c r="AT566" s="16"/>
      <c r="AU566" s="10"/>
      <c r="AV566" s="10"/>
      <c r="AW566" s="10"/>
      <c r="AX566" s="10"/>
      <c r="AY566" s="10"/>
      <c r="AZ566" s="10"/>
      <c r="BA566" s="16"/>
      <c r="BB566" s="16"/>
      <c r="BH566" s="16"/>
    </row>
    <row r="567" spans="17:60" x14ac:dyDescent="0.2"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K567" s="10"/>
      <c r="AL567" s="10"/>
      <c r="AM567" s="10"/>
      <c r="AN567" s="10"/>
      <c r="AO567" s="10"/>
      <c r="AP567" s="10"/>
      <c r="AQ567" s="10"/>
      <c r="AR567" s="16"/>
      <c r="AS567" s="16"/>
      <c r="AT567" s="16"/>
      <c r="AU567" s="10"/>
      <c r="AV567" s="10"/>
      <c r="AW567" s="10"/>
      <c r="AX567" s="10"/>
      <c r="AY567" s="10"/>
      <c r="AZ567" s="10"/>
      <c r="BA567" s="16"/>
      <c r="BB567" s="16"/>
      <c r="BH567" s="16"/>
    </row>
    <row r="568" spans="17:60" x14ac:dyDescent="0.2"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K568" s="10"/>
      <c r="AL568" s="10"/>
      <c r="AM568" s="10"/>
      <c r="AN568" s="10"/>
      <c r="AO568" s="10"/>
      <c r="AP568" s="10"/>
      <c r="AQ568" s="10"/>
      <c r="AR568" s="16"/>
      <c r="AS568" s="16"/>
      <c r="AT568" s="16"/>
      <c r="AU568" s="10"/>
      <c r="AV568" s="10"/>
      <c r="AW568" s="10"/>
      <c r="AX568" s="10"/>
      <c r="AY568" s="10"/>
      <c r="AZ568" s="10"/>
      <c r="BA568" s="16"/>
      <c r="BB568" s="16"/>
      <c r="BH568" s="16"/>
    </row>
    <row r="569" spans="17:60" x14ac:dyDescent="0.2"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K569" s="10"/>
      <c r="AL569" s="10"/>
      <c r="AM569" s="10"/>
      <c r="AN569" s="10"/>
      <c r="AO569" s="10"/>
      <c r="AP569" s="10"/>
      <c r="AQ569" s="10"/>
      <c r="AR569" s="16"/>
      <c r="AS569" s="16"/>
      <c r="AT569" s="16"/>
      <c r="AU569" s="10"/>
      <c r="AV569" s="10"/>
      <c r="AW569" s="10"/>
      <c r="AX569" s="10"/>
      <c r="AY569" s="10"/>
      <c r="AZ569" s="10"/>
      <c r="BA569" s="16"/>
      <c r="BB569" s="16"/>
      <c r="BH569" s="16"/>
    </row>
    <row r="570" spans="17:60" x14ac:dyDescent="0.2"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K570" s="10"/>
      <c r="AL570" s="10"/>
      <c r="AM570" s="10"/>
      <c r="AN570" s="10"/>
      <c r="AO570" s="10"/>
      <c r="AP570" s="10"/>
      <c r="AQ570" s="10"/>
      <c r="AR570" s="16"/>
      <c r="AS570" s="16"/>
      <c r="AT570" s="16"/>
      <c r="AU570" s="10"/>
      <c r="AV570" s="10"/>
      <c r="AW570" s="10"/>
      <c r="AX570" s="10"/>
      <c r="AY570" s="10"/>
      <c r="AZ570" s="10"/>
      <c r="BA570" s="16"/>
      <c r="BB570" s="16"/>
      <c r="BH570" s="16"/>
    </row>
    <row r="571" spans="17:60" x14ac:dyDescent="0.2"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K571" s="10"/>
      <c r="AL571" s="10"/>
      <c r="AM571" s="10"/>
      <c r="AN571" s="10"/>
      <c r="AO571" s="10"/>
      <c r="AP571" s="10"/>
      <c r="AQ571" s="10"/>
      <c r="AR571" s="16"/>
      <c r="AS571" s="16"/>
      <c r="AT571" s="16"/>
      <c r="AU571" s="10"/>
      <c r="AV571" s="10"/>
      <c r="AW571" s="10"/>
      <c r="AX571" s="10"/>
      <c r="AY571" s="10"/>
      <c r="AZ571" s="10"/>
      <c r="BA571" s="16"/>
      <c r="BB571" s="16"/>
      <c r="BH571" s="16"/>
    </row>
    <row r="572" spans="17:60" x14ac:dyDescent="0.2"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K572" s="10"/>
      <c r="AL572" s="10"/>
      <c r="AM572" s="10"/>
      <c r="AN572" s="10"/>
      <c r="AO572" s="10"/>
      <c r="AP572" s="10"/>
      <c r="AQ572" s="10"/>
      <c r="AR572" s="16"/>
      <c r="AS572" s="16"/>
      <c r="AT572" s="16"/>
      <c r="AU572" s="10"/>
      <c r="AV572" s="10"/>
      <c r="AW572" s="10"/>
      <c r="AX572" s="10"/>
      <c r="AY572" s="10"/>
      <c r="AZ572" s="10"/>
      <c r="BA572" s="16"/>
      <c r="BB572" s="16"/>
      <c r="BH572" s="16"/>
    </row>
    <row r="573" spans="17:60" x14ac:dyDescent="0.2"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K573" s="10"/>
      <c r="AL573" s="10"/>
      <c r="AM573" s="10"/>
      <c r="AN573" s="10"/>
      <c r="AO573" s="10"/>
      <c r="AP573" s="10"/>
      <c r="AQ573" s="10"/>
      <c r="AR573" s="16"/>
      <c r="AS573" s="16"/>
      <c r="AT573" s="16"/>
      <c r="AU573" s="10"/>
      <c r="AV573" s="10"/>
      <c r="AW573" s="10"/>
      <c r="AX573" s="10"/>
      <c r="AY573" s="10"/>
      <c r="AZ573" s="10"/>
      <c r="BA573" s="16"/>
      <c r="BB573" s="16"/>
      <c r="BH573" s="16"/>
    </row>
    <row r="574" spans="17:60" x14ac:dyDescent="0.2"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K574" s="10"/>
      <c r="AL574" s="10"/>
      <c r="AM574" s="10"/>
      <c r="AN574" s="10"/>
      <c r="AO574" s="10"/>
      <c r="AP574" s="10"/>
      <c r="AQ574" s="10"/>
      <c r="AR574" s="16"/>
      <c r="AS574" s="16"/>
      <c r="AT574" s="16"/>
      <c r="AU574" s="10"/>
      <c r="AV574" s="10"/>
      <c r="AW574" s="10"/>
      <c r="AX574" s="10"/>
      <c r="AY574" s="10"/>
      <c r="AZ574" s="10"/>
      <c r="BA574" s="16"/>
      <c r="BB574" s="16"/>
      <c r="BH574" s="16"/>
    </row>
    <row r="575" spans="17:60" x14ac:dyDescent="0.2"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K575" s="10"/>
      <c r="AL575" s="10"/>
      <c r="AM575" s="10"/>
      <c r="AN575" s="10"/>
      <c r="AO575" s="10"/>
      <c r="AP575" s="10"/>
      <c r="AQ575" s="10"/>
      <c r="AR575" s="16"/>
      <c r="AS575" s="16"/>
      <c r="AT575" s="16"/>
      <c r="AU575" s="10"/>
      <c r="AV575" s="10"/>
      <c r="AW575" s="10"/>
      <c r="AX575" s="10"/>
      <c r="AY575" s="10"/>
      <c r="AZ575" s="10"/>
      <c r="BA575" s="16"/>
      <c r="BB575" s="16"/>
      <c r="BH575" s="16"/>
    </row>
    <row r="576" spans="17:60" x14ac:dyDescent="0.2"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K576" s="10"/>
      <c r="AL576" s="10"/>
      <c r="AM576" s="10"/>
      <c r="AN576" s="10"/>
      <c r="AO576" s="10"/>
      <c r="AP576" s="10"/>
      <c r="AQ576" s="10"/>
      <c r="AR576" s="16"/>
      <c r="AS576" s="16"/>
      <c r="AT576" s="16"/>
      <c r="AU576" s="10"/>
      <c r="AV576" s="10"/>
      <c r="AW576" s="10"/>
      <c r="AX576" s="10"/>
      <c r="AY576" s="10"/>
      <c r="AZ576" s="10"/>
      <c r="BA576" s="16"/>
      <c r="BB576" s="16"/>
      <c r="BH576" s="16"/>
    </row>
    <row r="577" spans="17:60" x14ac:dyDescent="0.2"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K577" s="10"/>
      <c r="AL577" s="10"/>
      <c r="AM577" s="10"/>
      <c r="AN577" s="10"/>
      <c r="AO577" s="10"/>
      <c r="AP577" s="10"/>
      <c r="AQ577" s="10"/>
      <c r="AR577" s="16"/>
      <c r="AS577" s="16"/>
      <c r="AT577" s="16"/>
      <c r="AU577" s="10"/>
      <c r="AV577" s="10"/>
      <c r="AW577" s="10"/>
      <c r="AX577" s="10"/>
      <c r="AY577" s="10"/>
      <c r="AZ577" s="10"/>
      <c r="BA577" s="16"/>
      <c r="BB577" s="16"/>
      <c r="BH577" s="16"/>
    </row>
    <row r="578" spans="17:60" x14ac:dyDescent="0.2"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K578" s="10"/>
      <c r="AL578" s="10"/>
      <c r="AM578" s="10"/>
      <c r="AN578" s="10"/>
      <c r="AO578" s="10"/>
      <c r="AP578" s="10"/>
      <c r="AQ578" s="10"/>
      <c r="AR578" s="16"/>
      <c r="AS578" s="16"/>
      <c r="AT578" s="16"/>
      <c r="AU578" s="10"/>
      <c r="AV578" s="10"/>
      <c r="AW578" s="10"/>
      <c r="AX578" s="10"/>
      <c r="AY578" s="10"/>
      <c r="AZ578" s="10"/>
      <c r="BA578" s="16"/>
      <c r="BB578" s="16"/>
      <c r="BH578" s="16"/>
    </row>
    <row r="579" spans="17:60" x14ac:dyDescent="0.2"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K579" s="10"/>
      <c r="AL579" s="10"/>
      <c r="AM579" s="10"/>
      <c r="AN579" s="10"/>
      <c r="AO579" s="10"/>
      <c r="AP579" s="10"/>
      <c r="AQ579" s="10"/>
      <c r="AR579" s="16"/>
      <c r="AS579" s="16"/>
      <c r="AT579" s="16"/>
      <c r="AU579" s="10"/>
      <c r="AV579" s="10"/>
      <c r="AW579" s="10"/>
      <c r="AX579" s="10"/>
      <c r="AY579" s="10"/>
      <c r="AZ579" s="10"/>
      <c r="BA579" s="16"/>
      <c r="BB579" s="16"/>
      <c r="BH579" s="16"/>
    </row>
    <row r="580" spans="17:60" x14ac:dyDescent="0.2"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K580" s="10"/>
      <c r="AL580" s="10"/>
      <c r="AM580" s="10"/>
      <c r="AN580" s="10"/>
      <c r="AO580" s="10"/>
      <c r="AP580" s="10"/>
      <c r="AQ580" s="10"/>
      <c r="AR580" s="16"/>
      <c r="AS580" s="16"/>
      <c r="AT580" s="16"/>
      <c r="AU580" s="10"/>
      <c r="AV580" s="10"/>
      <c r="AW580" s="10"/>
      <c r="AX580" s="10"/>
      <c r="AY580" s="10"/>
      <c r="AZ580" s="10"/>
      <c r="BA580" s="16"/>
      <c r="BB580" s="16"/>
      <c r="BH580" s="16"/>
    </row>
    <row r="581" spans="17:60" x14ac:dyDescent="0.2"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K581" s="10"/>
      <c r="AL581" s="10"/>
      <c r="AM581" s="10"/>
      <c r="AN581" s="10"/>
      <c r="AO581" s="10"/>
      <c r="AP581" s="10"/>
      <c r="AQ581" s="10"/>
      <c r="AR581" s="16"/>
      <c r="AS581" s="16"/>
      <c r="AT581" s="16"/>
      <c r="AU581" s="10"/>
      <c r="AV581" s="10"/>
      <c r="AW581" s="10"/>
      <c r="AX581" s="10"/>
      <c r="AY581" s="10"/>
      <c r="AZ581" s="10"/>
      <c r="BA581" s="16"/>
      <c r="BB581" s="16"/>
      <c r="BH581" s="16"/>
    </row>
    <row r="582" spans="17:60" x14ac:dyDescent="0.2"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K582" s="10"/>
      <c r="AL582" s="10"/>
      <c r="AM582" s="10"/>
      <c r="AN582" s="10"/>
      <c r="AO582" s="10"/>
      <c r="AP582" s="10"/>
      <c r="AQ582" s="10"/>
      <c r="AR582" s="16"/>
      <c r="AS582" s="16"/>
      <c r="AT582" s="16"/>
      <c r="AU582" s="10"/>
      <c r="AV582" s="10"/>
      <c r="AW582" s="10"/>
      <c r="AX582" s="10"/>
      <c r="AY582" s="10"/>
      <c r="AZ582" s="10"/>
      <c r="BA582" s="16"/>
      <c r="BB582" s="16"/>
      <c r="BH582" s="16"/>
    </row>
    <row r="583" spans="17:60" x14ac:dyDescent="0.2"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K583" s="10"/>
      <c r="AL583" s="10"/>
      <c r="AM583" s="10"/>
      <c r="AN583" s="10"/>
      <c r="AO583" s="10"/>
      <c r="AP583" s="10"/>
      <c r="AQ583" s="10"/>
      <c r="AR583" s="16"/>
      <c r="AS583" s="16"/>
      <c r="AT583" s="16"/>
      <c r="AU583" s="10"/>
      <c r="AV583" s="10"/>
      <c r="AW583" s="10"/>
      <c r="AX583" s="10"/>
      <c r="AY583" s="10"/>
      <c r="AZ583" s="10"/>
      <c r="BA583" s="16"/>
      <c r="BB583" s="16"/>
      <c r="BH583" s="16"/>
    </row>
    <row r="584" spans="17:60" x14ac:dyDescent="0.2"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K584" s="10"/>
      <c r="AL584" s="10"/>
      <c r="AM584" s="10"/>
      <c r="AN584" s="10"/>
      <c r="AO584" s="10"/>
      <c r="AP584" s="10"/>
      <c r="AQ584" s="10"/>
      <c r="AR584" s="16"/>
      <c r="AS584" s="16"/>
      <c r="AT584" s="16"/>
      <c r="AU584" s="10"/>
      <c r="AV584" s="10"/>
      <c r="AW584" s="10"/>
      <c r="AX584" s="10"/>
      <c r="AY584" s="10"/>
      <c r="AZ584" s="10"/>
      <c r="BA584" s="16"/>
      <c r="BB584" s="16"/>
      <c r="BH584" s="16"/>
    </row>
    <row r="585" spans="17:60" x14ac:dyDescent="0.2"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K585" s="10"/>
      <c r="AL585" s="10"/>
      <c r="AM585" s="10"/>
      <c r="AN585" s="10"/>
      <c r="AO585" s="10"/>
      <c r="AP585" s="10"/>
      <c r="AQ585" s="10"/>
      <c r="AR585" s="16"/>
      <c r="AS585" s="16"/>
      <c r="AT585" s="16"/>
      <c r="AU585" s="10"/>
      <c r="AV585" s="10"/>
      <c r="AW585" s="10"/>
      <c r="AX585" s="10"/>
      <c r="AY585" s="10"/>
      <c r="AZ585" s="10"/>
      <c r="BA585" s="16"/>
      <c r="BB585" s="16"/>
      <c r="BH585" s="16"/>
    </row>
    <row r="586" spans="17:60" x14ac:dyDescent="0.2"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K586" s="10"/>
      <c r="AL586" s="10"/>
      <c r="AM586" s="10"/>
      <c r="AN586" s="10"/>
      <c r="AO586" s="10"/>
      <c r="AP586" s="10"/>
      <c r="AQ586" s="10"/>
      <c r="AR586" s="16"/>
      <c r="AS586" s="16"/>
      <c r="AT586" s="16"/>
      <c r="AU586" s="10"/>
      <c r="AV586" s="10"/>
      <c r="AW586" s="10"/>
      <c r="AX586" s="10"/>
      <c r="AY586" s="10"/>
      <c r="AZ586" s="10"/>
      <c r="BA586" s="16"/>
      <c r="BB586" s="16"/>
      <c r="BH586" s="16"/>
    </row>
    <row r="587" spans="17:60" x14ac:dyDescent="0.2"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K587" s="10"/>
      <c r="AL587" s="10"/>
      <c r="AM587" s="10"/>
      <c r="AN587" s="10"/>
      <c r="AO587" s="10"/>
      <c r="AP587" s="10"/>
      <c r="AQ587" s="10"/>
      <c r="AR587" s="16"/>
      <c r="AS587" s="16"/>
      <c r="AT587" s="16"/>
      <c r="AU587" s="10"/>
      <c r="AV587" s="10"/>
      <c r="AW587" s="10"/>
      <c r="AX587" s="10"/>
      <c r="AY587" s="10"/>
      <c r="AZ587" s="10"/>
      <c r="BA587" s="16"/>
      <c r="BB587" s="16"/>
      <c r="BH587" s="16"/>
    </row>
    <row r="588" spans="17:60" x14ac:dyDescent="0.2"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K588" s="10"/>
      <c r="AL588" s="10"/>
      <c r="AM588" s="10"/>
      <c r="AN588" s="10"/>
      <c r="AO588" s="10"/>
      <c r="AP588" s="10"/>
      <c r="AQ588" s="10"/>
      <c r="AR588" s="16"/>
      <c r="AS588" s="16"/>
      <c r="AT588" s="16"/>
      <c r="AU588" s="10"/>
      <c r="AV588" s="10"/>
      <c r="AW588" s="10"/>
      <c r="AX588" s="10"/>
      <c r="AY588" s="10"/>
      <c r="AZ588" s="10"/>
      <c r="BA588" s="16"/>
      <c r="BB588" s="16"/>
      <c r="BH588" s="16"/>
    </row>
    <row r="589" spans="17:60" x14ac:dyDescent="0.2"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K589" s="10"/>
      <c r="AL589" s="10"/>
      <c r="AM589" s="10"/>
      <c r="AN589" s="10"/>
      <c r="AO589" s="10"/>
      <c r="AP589" s="10"/>
      <c r="AQ589" s="10"/>
      <c r="AR589" s="16"/>
      <c r="AS589" s="16"/>
      <c r="AT589" s="16"/>
      <c r="AU589" s="10"/>
      <c r="AV589" s="10"/>
      <c r="AW589" s="10"/>
      <c r="AX589" s="10"/>
      <c r="AY589" s="10"/>
      <c r="AZ589" s="10"/>
      <c r="BA589" s="16"/>
      <c r="BB589" s="16"/>
      <c r="BH589" s="16"/>
    </row>
    <row r="590" spans="17:60" x14ac:dyDescent="0.2"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K590" s="10"/>
      <c r="AL590" s="10"/>
      <c r="AM590" s="10"/>
      <c r="AN590" s="10"/>
      <c r="AO590" s="10"/>
      <c r="AP590" s="10"/>
      <c r="AQ590" s="10"/>
      <c r="AR590" s="16"/>
      <c r="AS590" s="16"/>
      <c r="AT590" s="16"/>
      <c r="AU590" s="10"/>
      <c r="AV590" s="10"/>
      <c r="AW590" s="10"/>
      <c r="AX590" s="10"/>
      <c r="AY590" s="10"/>
      <c r="AZ590" s="10"/>
      <c r="BA590" s="16"/>
      <c r="BB590" s="16"/>
      <c r="BH590" s="16"/>
    </row>
    <row r="591" spans="17:60" x14ac:dyDescent="0.2"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K591" s="10"/>
      <c r="AL591" s="10"/>
      <c r="AM591" s="10"/>
      <c r="AN591" s="10"/>
      <c r="AO591" s="10"/>
      <c r="AP591" s="10"/>
      <c r="AQ591" s="10"/>
      <c r="AR591" s="16"/>
      <c r="AS591" s="16"/>
      <c r="AT591" s="16"/>
      <c r="AU591" s="10"/>
      <c r="AV591" s="10"/>
      <c r="AW591" s="10"/>
      <c r="AX591" s="10"/>
      <c r="AY591" s="10"/>
      <c r="AZ591" s="10"/>
      <c r="BA591" s="16"/>
      <c r="BB591" s="16"/>
      <c r="BH591" s="16"/>
    </row>
    <row r="592" spans="17:60" x14ac:dyDescent="0.2"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K592" s="10"/>
      <c r="AL592" s="10"/>
      <c r="AM592" s="10"/>
      <c r="AN592" s="10"/>
      <c r="AO592" s="10"/>
      <c r="AP592" s="10"/>
      <c r="AQ592" s="10"/>
      <c r="AR592" s="16"/>
      <c r="AS592" s="16"/>
      <c r="AT592" s="16"/>
      <c r="AU592" s="10"/>
      <c r="AV592" s="10"/>
      <c r="AW592" s="10"/>
      <c r="AX592" s="10"/>
      <c r="AY592" s="10"/>
      <c r="AZ592" s="10"/>
      <c r="BA592" s="16"/>
      <c r="BB592" s="16"/>
      <c r="BH592" s="16"/>
    </row>
    <row r="593" spans="17:60" x14ac:dyDescent="0.2"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K593" s="10"/>
      <c r="AL593" s="10"/>
      <c r="AM593" s="10"/>
      <c r="AN593" s="10"/>
      <c r="AO593" s="10"/>
      <c r="AP593" s="10"/>
      <c r="AQ593" s="10"/>
      <c r="AR593" s="16"/>
      <c r="AS593" s="16"/>
      <c r="AT593" s="16"/>
      <c r="AU593" s="10"/>
      <c r="AV593" s="10"/>
      <c r="AW593" s="10"/>
      <c r="AX593" s="10"/>
      <c r="AY593" s="10"/>
      <c r="AZ593" s="10"/>
      <c r="BA593" s="16"/>
      <c r="BB593" s="16"/>
      <c r="BH593" s="16"/>
    </row>
    <row r="594" spans="17:60" x14ac:dyDescent="0.2"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K594" s="10"/>
      <c r="AL594" s="10"/>
      <c r="AM594" s="10"/>
      <c r="AN594" s="10"/>
      <c r="AO594" s="10"/>
      <c r="AP594" s="10"/>
      <c r="AQ594" s="10"/>
      <c r="AR594" s="16"/>
      <c r="AS594" s="16"/>
      <c r="AT594" s="16"/>
      <c r="AU594" s="10"/>
      <c r="AV594" s="10"/>
      <c r="AW594" s="10"/>
      <c r="AX594" s="10"/>
      <c r="AY594" s="10"/>
      <c r="AZ594" s="10"/>
      <c r="BA594" s="16"/>
      <c r="BB594" s="16"/>
      <c r="BH594" s="16"/>
    </row>
    <row r="595" spans="17:60" x14ac:dyDescent="0.2"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K595" s="10"/>
      <c r="AL595" s="10"/>
      <c r="AM595" s="10"/>
      <c r="AN595" s="10"/>
      <c r="AO595" s="10"/>
      <c r="AP595" s="10"/>
      <c r="AQ595" s="10"/>
      <c r="AR595" s="16"/>
      <c r="AS595" s="16"/>
      <c r="AT595" s="16"/>
      <c r="AU595" s="10"/>
      <c r="AV595" s="10"/>
      <c r="AW595" s="10"/>
      <c r="AX595" s="10"/>
      <c r="AY595" s="10"/>
      <c r="AZ595" s="10"/>
      <c r="BA595" s="16"/>
      <c r="BB595" s="16"/>
      <c r="BH595" s="16"/>
    </row>
    <row r="596" spans="17:60" x14ac:dyDescent="0.2"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K596" s="10"/>
      <c r="AL596" s="10"/>
      <c r="AM596" s="10"/>
      <c r="AN596" s="10"/>
      <c r="AO596" s="10"/>
      <c r="AP596" s="10"/>
      <c r="AQ596" s="10"/>
      <c r="AR596" s="16"/>
      <c r="AS596" s="16"/>
      <c r="AT596" s="16"/>
      <c r="AU596" s="10"/>
      <c r="AV596" s="10"/>
      <c r="AW596" s="10"/>
      <c r="AX596" s="10"/>
      <c r="AY596" s="10"/>
      <c r="AZ596" s="10"/>
      <c r="BA596" s="16"/>
      <c r="BB596" s="16"/>
      <c r="BH596" s="16"/>
    </row>
    <row r="597" spans="17:60" x14ac:dyDescent="0.2"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K597" s="10"/>
      <c r="AL597" s="10"/>
      <c r="AM597" s="10"/>
      <c r="AN597" s="10"/>
      <c r="AO597" s="10"/>
      <c r="AP597" s="10"/>
      <c r="AQ597" s="10"/>
      <c r="AR597" s="16"/>
      <c r="AS597" s="16"/>
      <c r="AT597" s="16"/>
      <c r="AU597" s="10"/>
      <c r="AV597" s="10"/>
      <c r="AW597" s="10"/>
      <c r="AX597" s="10"/>
      <c r="AY597" s="10"/>
      <c r="AZ597" s="10"/>
      <c r="BA597" s="16"/>
      <c r="BB597" s="16"/>
      <c r="BH597" s="16"/>
    </row>
    <row r="598" spans="17:60" x14ac:dyDescent="0.2"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K598" s="10"/>
      <c r="AL598" s="10"/>
      <c r="AM598" s="10"/>
      <c r="AN598" s="10"/>
      <c r="AO598" s="10"/>
      <c r="AP598" s="10"/>
      <c r="AQ598" s="10"/>
      <c r="AR598" s="16"/>
      <c r="AS598" s="16"/>
      <c r="AT598" s="16"/>
      <c r="AU598" s="10"/>
      <c r="AV598" s="10"/>
      <c r="AW598" s="10"/>
      <c r="AX598" s="10"/>
      <c r="AY598" s="10"/>
      <c r="AZ598" s="10"/>
      <c r="BA598" s="16"/>
      <c r="BB598" s="16"/>
      <c r="BH598" s="16"/>
    </row>
    <row r="599" spans="17:60" x14ac:dyDescent="0.2"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K599" s="10"/>
      <c r="AL599" s="10"/>
      <c r="AM599" s="10"/>
      <c r="AN599" s="10"/>
      <c r="AO599" s="10"/>
      <c r="AP599" s="10"/>
      <c r="AQ599" s="10"/>
      <c r="AR599" s="16"/>
      <c r="AS599" s="16"/>
      <c r="AT599" s="16"/>
      <c r="AU599" s="10"/>
      <c r="AV599" s="10"/>
      <c r="AW599" s="10"/>
      <c r="AX599" s="10"/>
      <c r="AY599" s="10"/>
      <c r="AZ599" s="10"/>
      <c r="BA599" s="16"/>
      <c r="BB599" s="16"/>
      <c r="BH599" s="16"/>
    </row>
    <row r="600" spans="17:60" x14ac:dyDescent="0.2"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K600" s="10"/>
      <c r="AL600" s="10"/>
      <c r="AM600" s="10"/>
      <c r="AN600" s="10"/>
      <c r="AO600" s="10"/>
      <c r="AP600" s="10"/>
      <c r="AQ600" s="10"/>
      <c r="AR600" s="16"/>
      <c r="AS600" s="16"/>
      <c r="AT600" s="16"/>
      <c r="AU600" s="10"/>
      <c r="AV600" s="10"/>
      <c r="AW600" s="10"/>
      <c r="AX600" s="10"/>
      <c r="AY600" s="10"/>
      <c r="AZ600" s="10"/>
      <c r="BA600" s="16"/>
      <c r="BB600" s="16"/>
      <c r="BH600" s="16"/>
    </row>
    <row r="601" spans="17:60" x14ac:dyDescent="0.2"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K601" s="10"/>
      <c r="AL601" s="10"/>
      <c r="AM601" s="10"/>
      <c r="AN601" s="10"/>
      <c r="AO601" s="10"/>
      <c r="AP601" s="10"/>
      <c r="AQ601" s="10"/>
      <c r="AR601" s="16"/>
      <c r="AS601" s="16"/>
      <c r="AT601" s="16"/>
      <c r="AU601" s="10"/>
      <c r="AV601" s="10"/>
      <c r="AW601" s="10"/>
      <c r="AX601" s="10"/>
      <c r="AY601" s="10"/>
      <c r="AZ601" s="10"/>
      <c r="BA601" s="16"/>
      <c r="BB601" s="16"/>
      <c r="BH601" s="16"/>
    </row>
    <row r="602" spans="17:60" x14ac:dyDescent="0.2"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K602" s="10"/>
      <c r="AL602" s="10"/>
      <c r="AM602" s="10"/>
      <c r="AN602" s="10"/>
      <c r="AO602" s="10"/>
      <c r="AP602" s="10"/>
      <c r="AQ602" s="10"/>
      <c r="AR602" s="16"/>
      <c r="AS602" s="16"/>
      <c r="AT602" s="16"/>
      <c r="AU602" s="10"/>
      <c r="AV602" s="10"/>
      <c r="AW602" s="10"/>
      <c r="AX602" s="10"/>
      <c r="AY602" s="10"/>
      <c r="AZ602" s="10"/>
      <c r="BA602" s="16"/>
      <c r="BB602" s="16"/>
      <c r="BH602" s="16"/>
    </row>
    <row r="603" spans="17:60" x14ac:dyDescent="0.2"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K603" s="10"/>
      <c r="AL603" s="10"/>
      <c r="AM603" s="10"/>
      <c r="AN603" s="10"/>
      <c r="AO603" s="10"/>
      <c r="AP603" s="10"/>
      <c r="AQ603" s="10"/>
      <c r="AR603" s="16"/>
      <c r="AS603" s="16"/>
      <c r="AT603" s="16"/>
      <c r="AU603" s="10"/>
      <c r="AV603" s="10"/>
      <c r="AW603" s="10"/>
      <c r="AX603" s="10"/>
      <c r="AY603" s="10"/>
      <c r="AZ603" s="10"/>
      <c r="BA603" s="16"/>
      <c r="BB603" s="16"/>
      <c r="BH603" s="16"/>
    </row>
    <row r="604" spans="17:60" x14ac:dyDescent="0.2"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K604" s="10"/>
      <c r="AL604" s="10"/>
      <c r="AM604" s="10"/>
      <c r="AN604" s="10"/>
      <c r="AO604" s="10"/>
      <c r="AP604" s="10"/>
      <c r="AQ604" s="10"/>
      <c r="AR604" s="16"/>
      <c r="AS604" s="16"/>
      <c r="AT604" s="16"/>
      <c r="AU604" s="10"/>
      <c r="AV604" s="10"/>
      <c r="AW604" s="10"/>
      <c r="AX604" s="10"/>
      <c r="AY604" s="10"/>
      <c r="AZ604" s="10"/>
      <c r="BA604" s="16"/>
      <c r="BB604" s="16"/>
      <c r="BH604" s="16"/>
    </row>
    <row r="605" spans="17:60" x14ac:dyDescent="0.2"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K605" s="10"/>
      <c r="AL605" s="10"/>
      <c r="AM605" s="10"/>
      <c r="AN605" s="10"/>
      <c r="AO605" s="10"/>
      <c r="AP605" s="10"/>
      <c r="AQ605" s="10"/>
      <c r="AR605" s="16"/>
      <c r="AS605" s="16"/>
      <c r="AT605" s="16"/>
      <c r="AU605" s="10"/>
      <c r="AV605" s="10"/>
      <c r="AW605" s="10"/>
      <c r="AX605" s="10"/>
      <c r="AY605" s="10"/>
      <c r="AZ605" s="10"/>
      <c r="BA605" s="16"/>
      <c r="BB605" s="16"/>
      <c r="BH605" s="16"/>
    </row>
    <row r="606" spans="17:60" x14ac:dyDescent="0.2"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K606" s="10"/>
      <c r="AL606" s="10"/>
      <c r="AM606" s="10"/>
      <c r="AN606" s="10"/>
      <c r="AO606" s="10"/>
      <c r="AP606" s="10"/>
      <c r="AQ606" s="10"/>
      <c r="AR606" s="16"/>
      <c r="AS606" s="16"/>
      <c r="AT606" s="16"/>
      <c r="AU606" s="10"/>
      <c r="AV606" s="10"/>
      <c r="AW606" s="10"/>
      <c r="AX606" s="10"/>
      <c r="AY606" s="10"/>
      <c r="AZ606" s="10"/>
      <c r="BA606" s="16"/>
      <c r="BB606" s="16"/>
      <c r="BH606" s="16"/>
    </row>
    <row r="607" spans="17:60" x14ac:dyDescent="0.2"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K607" s="10"/>
      <c r="AL607" s="10"/>
      <c r="AM607" s="10"/>
      <c r="AN607" s="10"/>
      <c r="AO607" s="10"/>
      <c r="AP607" s="10"/>
      <c r="AQ607" s="10"/>
      <c r="AR607" s="16"/>
      <c r="AS607" s="16"/>
      <c r="AT607" s="16"/>
      <c r="AU607" s="10"/>
      <c r="AV607" s="10"/>
      <c r="AW607" s="10"/>
      <c r="AX607" s="10"/>
      <c r="AY607" s="10"/>
      <c r="AZ607" s="10"/>
      <c r="BA607" s="16"/>
      <c r="BB607" s="16"/>
      <c r="BH607" s="16"/>
    </row>
    <row r="608" spans="17:60" x14ac:dyDescent="0.2"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K608" s="10"/>
      <c r="AL608" s="10"/>
      <c r="AM608" s="10"/>
      <c r="AN608" s="10"/>
      <c r="AO608" s="10"/>
      <c r="AP608" s="10"/>
      <c r="AQ608" s="10"/>
      <c r="AR608" s="16"/>
      <c r="AS608" s="16"/>
      <c r="AT608" s="16"/>
      <c r="AU608" s="10"/>
      <c r="AV608" s="10"/>
      <c r="AW608" s="10"/>
      <c r="AX608" s="10"/>
      <c r="AY608" s="10"/>
      <c r="AZ608" s="10"/>
      <c r="BA608" s="16"/>
      <c r="BB608" s="16"/>
      <c r="BH608" s="16"/>
    </row>
    <row r="609" spans="17:60" x14ac:dyDescent="0.2"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K609" s="10"/>
      <c r="AL609" s="10"/>
      <c r="AM609" s="10"/>
      <c r="AN609" s="10"/>
      <c r="AO609" s="10"/>
      <c r="AP609" s="10"/>
      <c r="AQ609" s="10"/>
      <c r="AR609" s="16"/>
      <c r="AS609" s="16"/>
      <c r="AT609" s="16"/>
      <c r="AU609" s="10"/>
      <c r="AV609" s="10"/>
      <c r="AW609" s="10"/>
      <c r="AX609" s="10"/>
      <c r="AY609" s="10"/>
      <c r="AZ609" s="10"/>
      <c r="BA609" s="16"/>
      <c r="BB609" s="16"/>
      <c r="BH609" s="16"/>
    </row>
    <row r="610" spans="17:60" x14ac:dyDescent="0.2"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K610" s="10"/>
      <c r="AL610" s="10"/>
      <c r="AM610" s="10"/>
      <c r="AN610" s="10"/>
      <c r="AO610" s="10"/>
      <c r="AP610" s="10"/>
      <c r="AQ610" s="10"/>
      <c r="AR610" s="16"/>
      <c r="AS610" s="16"/>
      <c r="AT610" s="16"/>
      <c r="AU610" s="10"/>
      <c r="AV610" s="10"/>
      <c r="AW610" s="10"/>
      <c r="AX610" s="10"/>
      <c r="AY610" s="10"/>
      <c r="AZ610" s="10"/>
      <c r="BA610" s="16"/>
      <c r="BB610" s="16"/>
      <c r="BH610" s="16"/>
    </row>
    <row r="611" spans="17:60" x14ac:dyDescent="0.2"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K611" s="10"/>
      <c r="AL611" s="10"/>
      <c r="AM611" s="10"/>
      <c r="AN611" s="10"/>
      <c r="AO611" s="10"/>
      <c r="AP611" s="10"/>
      <c r="AQ611" s="10"/>
      <c r="AR611" s="16"/>
      <c r="AS611" s="16"/>
      <c r="AT611" s="16"/>
      <c r="AU611" s="10"/>
      <c r="AV611" s="10"/>
      <c r="AW611" s="10"/>
      <c r="AX611" s="10"/>
      <c r="AY611" s="10"/>
      <c r="AZ611" s="10"/>
      <c r="BA611" s="16"/>
      <c r="BB611" s="16"/>
      <c r="BH611" s="16"/>
    </row>
    <row r="612" spans="17:60" x14ac:dyDescent="0.2"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K612" s="10"/>
      <c r="AL612" s="10"/>
      <c r="AM612" s="10"/>
      <c r="AN612" s="10"/>
      <c r="AO612" s="10"/>
      <c r="AP612" s="10"/>
      <c r="AQ612" s="10"/>
      <c r="AR612" s="16"/>
      <c r="AS612" s="16"/>
      <c r="AT612" s="16"/>
      <c r="AU612" s="10"/>
      <c r="AV612" s="10"/>
      <c r="AW612" s="10"/>
      <c r="AX612" s="10"/>
      <c r="AY612" s="10"/>
      <c r="AZ612" s="10"/>
      <c r="BA612" s="16"/>
      <c r="BB612" s="16"/>
      <c r="BH612" s="16"/>
    </row>
    <row r="613" spans="17:60" x14ac:dyDescent="0.2"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K613" s="10"/>
      <c r="AL613" s="10"/>
      <c r="AM613" s="10"/>
      <c r="AN613" s="10"/>
      <c r="AO613" s="10"/>
      <c r="AP613" s="10"/>
      <c r="AQ613" s="10"/>
      <c r="AR613" s="16"/>
      <c r="AS613" s="16"/>
      <c r="AT613" s="16"/>
      <c r="AU613" s="10"/>
      <c r="AV613" s="10"/>
      <c r="AW613" s="10"/>
      <c r="AX613" s="10"/>
      <c r="AY613" s="10"/>
      <c r="AZ613" s="10"/>
      <c r="BA613" s="16"/>
      <c r="BB613" s="16"/>
      <c r="BH613" s="16"/>
    </row>
    <row r="614" spans="17:60" x14ac:dyDescent="0.2"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K614" s="10"/>
      <c r="AL614" s="10"/>
      <c r="AM614" s="10"/>
      <c r="AN614" s="10"/>
      <c r="AO614" s="10"/>
      <c r="AP614" s="10"/>
      <c r="AQ614" s="10"/>
      <c r="AR614" s="16"/>
      <c r="AS614" s="16"/>
      <c r="AT614" s="16"/>
      <c r="AU614" s="10"/>
      <c r="AV614" s="10"/>
      <c r="AW614" s="10"/>
      <c r="AX614" s="10"/>
      <c r="AY614" s="10"/>
      <c r="AZ614" s="10"/>
      <c r="BA614" s="16"/>
      <c r="BB614" s="16"/>
      <c r="BH614" s="16"/>
    </row>
    <row r="615" spans="17:60" x14ac:dyDescent="0.2"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K615" s="10"/>
      <c r="AL615" s="10"/>
      <c r="AM615" s="10"/>
      <c r="AN615" s="10"/>
      <c r="AO615" s="10"/>
      <c r="AP615" s="10"/>
      <c r="AQ615" s="10"/>
      <c r="AR615" s="16"/>
      <c r="AS615" s="16"/>
      <c r="AT615" s="16"/>
      <c r="AU615" s="10"/>
      <c r="AV615" s="10"/>
      <c r="AW615" s="10"/>
      <c r="AX615" s="10"/>
      <c r="AY615" s="10"/>
      <c r="AZ615" s="10"/>
      <c r="BA615" s="16"/>
      <c r="BB615" s="16"/>
      <c r="BH615" s="16"/>
    </row>
    <row r="616" spans="17:60" x14ac:dyDescent="0.2"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K616" s="10"/>
      <c r="AL616" s="10"/>
      <c r="AM616" s="10"/>
      <c r="AN616" s="10"/>
      <c r="AO616" s="10"/>
      <c r="AP616" s="10"/>
      <c r="AQ616" s="10"/>
      <c r="AR616" s="16"/>
      <c r="AS616" s="16"/>
      <c r="AT616" s="16"/>
      <c r="AU616" s="10"/>
      <c r="AV616" s="10"/>
      <c r="AW616" s="10"/>
      <c r="AX616" s="10"/>
      <c r="AY616" s="10"/>
      <c r="AZ616" s="10"/>
      <c r="BA616" s="16"/>
      <c r="BB616" s="16"/>
      <c r="BH616" s="16"/>
    </row>
    <row r="617" spans="17:60" x14ac:dyDescent="0.2"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K617" s="10"/>
      <c r="AL617" s="10"/>
      <c r="AM617" s="10"/>
      <c r="AN617" s="10"/>
      <c r="AO617" s="10"/>
      <c r="AP617" s="10"/>
      <c r="AQ617" s="10"/>
      <c r="AR617" s="16"/>
      <c r="AS617" s="16"/>
      <c r="AT617" s="16"/>
      <c r="AU617" s="10"/>
      <c r="AV617" s="10"/>
      <c r="AW617" s="10"/>
      <c r="AX617" s="10"/>
      <c r="AY617" s="10"/>
      <c r="AZ617" s="10"/>
      <c r="BA617" s="16"/>
      <c r="BB617" s="16"/>
      <c r="BH617" s="16"/>
    </row>
    <row r="618" spans="17:60" x14ac:dyDescent="0.2"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K618" s="10"/>
      <c r="AL618" s="10"/>
      <c r="AM618" s="10"/>
      <c r="AN618" s="10"/>
      <c r="AO618" s="10"/>
      <c r="AP618" s="10"/>
      <c r="AQ618" s="10"/>
      <c r="AR618" s="16"/>
      <c r="AS618" s="16"/>
      <c r="AT618" s="16"/>
      <c r="AU618" s="10"/>
      <c r="AV618" s="10"/>
      <c r="AW618" s="10"/>
      <c r="AX618" s="10"/>
      <c r="AY618" s="10"/>
      <c r="AZ618" s="10"/>
      <c r="BA618" s="16"/>
      <c r="BB618" s="16"/>
      <c r="BH618" s="16"/>
    </row>
    <row r="619" spans="17:60" x14ac:dyDescent="0.2"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K619" s="10"/>
      <c r="AL619" s="10"/>
      <c r="AM619" s="10"/>
      <c r="AN619" s="10"/>
      <c r="AO619" s="10"/>
      <c r="AP619" s="10"/>
      <c r="AQ619" s="10"/>
      <c r="AR619" s="16"/>
      <c r="AS619" s="16"/>
      <c r="AT619" s="16"/>
      <c r="AU619" s="10"/>
      <c r="AV619" s="10"/>
      <c r="AW619" s="10"/>
      <c r="AX619" s="10"/>
      <c r="AY619" s="10"/>
      <c r="AZ619" s="10"/>
      <c r="BA619" s="16"/>
      <c r="BB619" s="16"/>
      <c r="BH619" s="16"/>
    </row>
    <row r="620" spans="17:60" x14ac:dyDescent="0.2"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K620" s="10"/>
      <c r="AL620" s="10"/>
      <c r="AM620" s="10"/>
      <c r="AN620" s="10"/>
      <c r="AO620" s="10"/>
      <c r="AP620" s="10"/>
      <c r="AQ620" s="10"/>
      <c r="AR620" s="16"/>
      <c r="AS620" s="16"/>
      <c r="AT620" s="16"/>
      <c r="AU620" s="10"/>
      <c r="AV620" s="10"/>
      <c r="AW620" s="10"/>
      <c r="AX620" s="10"/>
      <c r="AY620" s="10"/>
      <c r="AZ620" s="10"/>
      <c r="BA620" s="16"/>
      <c r="BB620" s="16"/>
      <c r="BH620" s="16"/>
    </row>
    <row r="621" spans="17:60" x14ac:dyDescent="0.2"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K621" s="10"/>
      <c r="AL621" s="10"/>
      <c r="AM621" s="10"/>
      <c r="AN621" s="10"/>
      <c r="AO621" s="10"/>
      <c r="AP621" s="10"/>
      <c r="AQ621" s="10"/>
      <c r="AR621" s="16"/>
      <c r="AS621" s="16"/>
      <c r="AT621" s="16"/>
      <c r="AU621" s="10"/>
      <c r="AV621" s="10"/>
      <c r="AW621" s="10"/>
      <c r="AX621" s="10"/>
      <c r="AY621" s="10"/>
      <c r="AZ621" s="10"/>
      <c r="BA621" s="16"/>
      <c r="BB621" s="16"/>
      <c r="BH621" s="16"/>
    </row>
    <row r="622" spans="17:60" x14ac:dyDescent="0.2"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K622" s="10"/>
      <c r="AL622" s="10"/>
      <c r="AM622" s="10"/>
      <c r="AN622" s="10"/>
      <c r="AO622" s="10"/>
      <c r="AP622" s="10"/>
      <c r="AQ622" s="10"/>
      <c r="AR622" s="16"/>
      <c r="AS622" s="16"/>
      <c r="AT622" s="16"/>
      <c r="AU622" s="10"/>
      <c r="AV622" s="10"/>
      <c r="AW622" s="10"/>
      <c r="AX622" s="10"/>
      <c r="AY622" s="10"/>
      <c r="AZ622" s="10"/>
      <c r="BA622" s="16"/>
      <c r="BB622" s="16"/>
      <c r="BH622" s="16"/>
    </row>
    <row r="623" spans="17:60" x14ac:dyDescent="0.2"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K623" s="10"/>
      <c r="AL623" s="10"/>
      <c r="AM623" s="10"/>
      <c r="AN623" s="10"/>
      <c r="AO623" s="10"/>
      <c r="AP623" s="10"/>
      <c r="AQ623" s="10"/>
      <c r="AR623" s="16"/>
      <c r="AS623" s="16"/>
      <c r="AT623" s="16"/>
      <c r="AU623" s="10"/>
      <c r="AV623" s="10"/>
      <c r="AW623" s="10"/>
      <c r="AX623" s="10"/>
      <c r="AY623" s="10"/>
      <c r="AZ623" s="10"/>
      <c r="BA623" s="16"/>
      <c r="BB623" s="16"/>
      <c r="BH623" s="16"/>
    </row>
    <row r="624" spans="17:60" x14ac:dyDescent="0.2"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K624" s="10"/>
      <c r="AL624" s="10"/>
      <c r="AM624" s="10"/>
      <c r="AN624" s="10"/>
      <c r="AO624" s="10"/>
      <c r="AP624" s="10"/>
      <c r="AQ624" s="10"/>
      <c r="AR624" s="16"/>
      <c r="AS624" s="16"/>
      <c r="AT624" s="16"/>
      <c r="AU624" s="10"/>
      <c r="AV624" s="10"/>
      <c r="AW624" s="10"/>
      <c r="AX624" s="10"/>
      <c r="AY624" s="10"/>
      <c r="AZ624" s="10"/>
      <c r="BA624" s="16"/>
      <c r="BB624" s="16"/>
      <c r="BH624" s="16"/>
    </row>
    <row r="625" spans="17:60" x14ac:dyDescent="0.2"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K625" s="10"/>
      <c r="AL625" s="10"/>
      <c r="AM625" s="10"/>
      <c r="AN625" s="10"/>
      <c r="AO625" s="10"/>
      <c r="AP625" s="10"/>
      <c r="AQ625" s="10"/>
      <c r="AR625" s="16"/>
      <c r="AS625" s="16"/>
      <c r="AT625" s="16"/>
      <c r="AU625" s="10"/>
      <c r="AV625" s="10"/>
      <c r="AW625" s="10"/>
      <c r="AX625" s="10"/>
      <c r="AY625" s="10"/>
      <c r="AZ625" s="10"/>
      <c r="BA625" s="16"/>
      <c r="BB625" s="16"/>
      <c r="BH625" s="16"/>
    </row>
    <row r="626" spans="17:60" x14ac:dyDescent="0.2"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K626" s="10"/>
      <c r="AL626" s="10"/>
      <c r="AM626" s="10"/>
      <c r="AN626" s="10"/>
      <c r="AO626" s="10"/>
      <c r="AP626" s="10"/>
      <c r="AQ626" s="10"/>
      <c r="AR626" s="16"/>
      <c r="AS626" s="16"/>
      <c r="AT626" s="16"/>
      <c r="AU626" s="10"/>
      <c r="AV626" s="10"/>
      <c r="AW626" s="10"/>
      <c r="AX626" s="10"/>
      <c r="AY626" s="10"/>
      <c r="AZ626" s="10"/>
      <c r="BA626" s="16"/>
      <c r="BB626" s="16"/>
      <c r="BH626" s="16"/>
    </row>
    <row r="627" spans="17:60" x14ac:dyDescent="0.2"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K627" s="10"/>
      <c r="AL627" s="10"/>
      <c r="AM627" s="10"/>
      <c r="AN627" s="10"/>
      <c r="AO627" s="10"/>
      <c r="AP627" s="10"/>
      <c r="AQ627" s="10"/>
      <c r="AR627" s="16"/>
      <c r="AS627" s="16"/>
      <c r="AT627" s="16"/>
      <c r="AU627" s="10"/>
      <c r="AV627" s="10"/>
      <c r="AW627" s="10"/>
      <c r="AX627" s="10"/>
      <c r="AY627" s="10"/>
      <c r="AZ627" s="10"/>
      <c r="BA627" s="16"/>
      <c r="BB627" s="16"/>
      <c r="BH627" s="16"/>
    </row>
    <row r="628" spans="17:60" x14ac:dyDescent="0.2"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K628" s="10"/>
      <c r="AL628" s="10"/>
      <c r="AM628" s="10"/>
      <c r="AN628" s="10"/>
      <c r="AO628" s="10"/>
      <c r="AP628" s="10"/>
      <c r="AQ628" s="10"/>
      <c r="AR628" s="16"/>
      <c r="AS628" s="16"/>
      <c r="AT628" s="16"/>
      <c r="AU628" s="10"/>
      <c r="AV628" s="10"/>
      <c r="AW628" s="10"/>
      <c r="AX628" s="10"/>
      <c r="AY628" s="10"/>
      <c r="AZ628" s="10"/>
      <c r="BA628" s="16"/>
      <c r="BB628" s="16"/>
      <c r="BH628" s="16"/>
    </row>
    <row r="629" spans="17:60" x14ac:dyDescent="0.2"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K629" s="10"/>
      <c r="AL629" s="10"/>
      <c r="AM629" s="10"/>
      <c r="AN629" s="10"/>
      <c r="AO629" s="10"/>
      <c r="AP629" s="10"/>
      <c r="AQ629" s="10"/>
      <c r="AR629" s="16"/>
      <c r="AS629" s="16"/>
      <c r="AT629" s="16"/>
      <c r="AU629" s="10"/>
      <c r="AV629" s="10"/>
      <c r="AW629" s="10"/>
      <c r="AX629" s="10"/>
      <c r="AY629" s="10"/>
      <c r="AZ629" s="10"/>
      <c r="BA629" s="16"/>
      <c r="BB629" s="16"/>
      <c r="BH629" s="16"/>
    </row>
    <row r="630" spans="17:60" x14ac:dyDescent="0.2"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K630" s="10"/>
      <c r="AL630" s="10"/>
      <c r="AM630" s="10"/>
      <c r="AN630" s="10"/>
      <c r="AO630" s="10"/>
      <c r="AP630" s="10"/>
      <c r="AQ630" s="10"/>
      <c r="AR630" s="16"/>
      <c r="AS630" s="16"/>
      <c r="AT630" s="16"/>
      <c r="AU630" s="10"/>
      <c r="AV630" s="10"/>
      <c r="AW630" s="10"/>
      <c r="AX630" s="10"/>
      <c r="AY630" s="10"/>
      <c r="AZ630" s="10"/>
      <c r="BA630" s="16"/>
      <c r="BB630" s="16"/>
      <c r="BH630" s="16"/>
    </row>
    <row r="631" spans="17:60" x14ac:dyDescent="0.2"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K631" s="10"/>
      <c r="AL631" s="10"/>
      <c r="AM631" s="10"/>
      <c r="AN631" s="10"/>
      <c r="AO631" s="10"/>
      <c r="AP631" s="10"/>
      <c r="AQ631" s="10"/>
      <c r="AR631" s="16"/>
      <c r="AS631" s="16"/>
      <c r="AT631" s="16"/>
      <c r="AU631" s="10"/>
      <c r="AV631" s="10"/>
      <c r="AW631" s="10"/>
      <c r="AX631" s="10"/>
      <c r="AY631" s="10"/>
      <c r="AZ631" s="10"/>
      <c r="BA631" s="16"/>
      <c r="BB631" s="16"/>
      <c r="BH631" s="16"/>
    </row>
    <row r="632" spans="17:60" x14ac:dyDescent="0.2"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K632" s="10"/>
      <c r="AL632" s="10"/>
      <c r="AM632" s="10"/>
      <c r="AN632" s="10"/>
      <c r="AO632" s="10"/>
      <c r="AP632" s="10"/>
      <c r="AQ632" s="10"/>
      <c r="AR632" s="16"/>
      <c r="AS632" s="16"/>
      <c r="AT632" s="16"/>
      <c r="AU632" s="10"/>
      <c r="AV632" s="10"/>
      <c r="AW632" s="10"/>
      <c r="AX632" s="10"/>
      <c r="AY632" s="10"/>
      <c r="AZ632" s="10"/>
      <c r="BA632" s="16"/>
      <c r="BB632" s="16"/>
      <c r="BH632" s="16"/>
    </row>
    <row r="633" spans="17:60" x14ac:dyDescent="0.2"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K633" s="10"/>
      <c r="AL633" s="10"/>
      <c r="AM633" s="10"/>
      <c r="AN633" s="10"/>
      <c r="AO633" s="10"/>
      <c r="AP633" s="10"/>
      <c r="AQ633" s="10"/>
      <c r="AR633" s="16"/>
      <c r="AS633" s="16"/>
      <c r="AT633" s="16"/>
      <c r="AU633" s="10"/>
      <c r="AV633" s="10"/>
      <c r="AW633" s="10"/>
      <c r="AX633" s="10"/>
      <c r="AY633" s="10"/>
      <c r="AZ633" s="10"/>
      <c r="BA633" s="16"/>
      <c r="BB633" s="16"/>
      <c r="BH633" s="16"/>
    </row>
    <row r="634" spans="17:60" x14ac:dyDescent="0.2"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K634" s="10"/>
      <c r="AL634" s="10"/>
      <c r="AM634" s="10"/>
      <c r="AN634" s="10"/>
      <c r="AO634" s="10"/>
      <c r="AP634" s="10"/>
      <c r="AQ634" s="10"/>
      <c r="AR634" s="16"/>
      <c r="AS634" s="16"/>
      <c r="AT634" s="16"/>
      <c r="AU634" s="10"/>
      <c r="AV634" s="10"/>
      <c r="AW634" s="10"/>
      <c r="AX634" s="10"/>
      <c r="AY634" s="10"/>
      <c r="AZ634" s="10"/>
      <c r="BA634" s="16"/>
      <c r="BB634" s="16"/>
      <c r="BH634" s="16"/>
    </row>
    <row r="635" spans="17:60" x14ac:dyDescent="0.2"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K635" s="10"/>
      <c r="AL635" s="10"/>
      <c r="AM635" s="10"/>
      <c r="AN635" s="10"/>
      <c r="AO635" s="10"/>
      <c r="AP635" s="10"/>
      <c r="AQ635" s="10"/>
      <c r="AR635" s="16"/>
      <c r="AS635" s="16"/>
      <c r="AT635" s="16"/>
      <c r="AU635" s="10"/>
      <c r="AV635" s="10"/>
      <c r="AW635" s="10"/>
      <c r="AX635" s="10"/>
      <c r="AY635" s="10"/>
      <c r="AZ635" s="10"/>
      <c r="BA635" s="16"/>
      <c r="BB635" s="16"/>
      <c r="BH635" s="16"/>
    </row>
    <row r="636" spans="17:60" x14ac:dyDescent="0.2"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K636" s="10"/>
      <c r="AL636" s="10"/>
      <c r="AM636" s="10"/>
      <c r="AN636" s="10"/>
      <c r="AO636" s="10"/>
      <c r="AP636" s="10"/>
      <c r="AQ636" s="10"/>
      <c r="AR636" s="16"/>
      <c r="AS636" s="16"/>
      <c r="AT636" s="16"/>
      <c r="AU636" s="10"/>
      <c r="AV636" s="10"/>
      <c r="AW636" s="10"/>
      <c r="AX636" s="10"/>
      <c r="AY636" s="10"/>
      <c r="AZ636" s="10"/>
      <c r="BA636" s="16"/>
      <c r="BB636" s="16"/>
      <c r="BH636" s="16"/>
    </row>
    <row r="637" spans="17:60" x14ac:dyDescent="0.2"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K637" s="10"/>
      <c r="AL637" s="10"/>
      <c r="AM637" s="10"/>
      <c r="AN637" s="10"/>
      <c r="AO637" s="10"/>
      <c r="AP637" s="10"/>
      <c r="AQ637" s="10"/>
      <c r="AR637" s="16"/>
      <c r="AS637" s="16"/>
      <c r="AT637" s="16"/>
      <c r="AU637" s="10"/>
      <c r="AV637" s="10"/>
      <c r="AW637" s="10"/>
      <c r="AX637" s="10"/>
      <c r="AY637" s="10"/>
      <c r="AZ637" s="10"/>
      <c r="BA637" s="16"/>
      <c r="BB637" s="16"/>
      <c r="BH637" s="16"/>
    </row>
    <row r="638" spans="17:60" x14ac:dyDescent="0.2"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K638" s="10"/>
      <c r="AL638" s="10"/>
      <c r="AM638" s="10"/>
      <c r="AN638" s="10"/>
      <c r="AO638" s="10"/>
      <c r="AP638" s="10"/>
      <c r="AQ638" s="10"/>
      <c r="AR638" s="16"/>
      <c r="AS638" s="16"/>
      <c r="AT638" s="16"/>
      <c r="AU638" s="10"/>
      <c r="AV638" s="10"/>
      <c r="AW638" s="10"/>
      <c r="AX638" s="10"/>
      <c r="AY638" s="10"/>
      <c r="AZ638" s="10"/>
      <c r="BA638" s="16"/>
      <c r="BB638" s="16"/>
      <c r="BH638" s="16"/>
    </row>
    <row r="639" spans="17:60" x14ac:dyDescent="0.2"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K639" s="10"/>
      <c r="AL639" s="10"/>
      <c r="AM639" s="10"/>
      <c r="AN639" s="10"/>
      <c r="AO639" s="10"/>
      <c r="AP639" s="10"/>
      <c r="AQ639" s="10"/>
      <c r="AR639" s="16"/>
      <c r="AS639" s="16"/>
      <c r="AT639" s="16"/>
      <c r="AU639" s="10"/>
      <c r="AV639" s="10"/>
      <c r="AW639" s="10"/>
      <c r="AX639" s="10"/>
      <c r="AY639" s="10"/>
      <c r="AZ639" s="10"/>
      <c r="BA639" s="16"/>
      <c r="BB639" s="16"/>
      <c r="BH639" s="16"/>
    </row>
    <row r="640" spans="17:60" x14ac:dyDescent="0.2"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K640" s="10"/>
      <c r="AL640" s="10"/>
      <c r="AM640" s="10"/>
      <c r="AN640" s="10"/>
      <c r="AO640" s="10"/>
      <c r="AP640" s="10"/>
      <c r="AQ640" s="10"/>
      <c r="AR640" s="16"/>
      <c r="AS640" s="16"/>
      <c r="AT640" s="16"/>
      <c r="AU640" s="10"/>
      <c r="AV640" s="10"/>
      <c r="AW640" s="10"/>
      <c r="AX640" s="10"/>
      <c r="AY640" s="10"/>
      <c r="AZ640" s="10"/>
      <c r="BA640" s="16"/>
      <c r="BB640" s="16"/>
      <c r="BH640" s="16"/>
    </row>
    <row r="641" spans="17:60" x14ac:dyDescent="0.2"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K641" s="10"/>
      <c r="AL641" s="10"/>
      <c r="AM641" s="10"/>
      <c r="AN641" s="10"/>
      <c r="AO641" s="10"/>
      <c r="AP641" s="10"/>
      <c r="AQ641" s="10"/>
      <c r="AR641" s="16"/>
      <c r="AS641" s="16"/>
      <c r="AT641" s="16"/>
      <c r="AU641" s="10"/>
      <c r="AV641" s="10"/>
      <c r="AW641" s="10"/>
      <c r="AX641" s="10"/>
      <c r="AY641" s="10"/>
      <c r="AZ641" s="10"/>
      <c r="BA641" s="16"/>
      <c r="BB641" s="16"/>
      <c r="BH641" s="16"/>
    </row>
    <row r="642" spans="17:60" x14ac:dyDescent="0.2"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K642" s="10"/>
      <c r="AL642" s="10"/>
      <c r="AM642" s="10"/>
      <c r="AN642" s="10"/>
      <c r="AO642" s="10"/>
      <c r="AP642" s="10"/>
      <c r="AQ642" s="10"/>
      <c r="AR642" s="16"/>
      <c r="AS642" s="16"/>
      <c r="AT642" s="16"/>
      <c r="AU642" s="10"/>
      <c r="AV642" s="10"/>
      <c r="AW642" s="10"/>
      <c r="AX642" s="10"/>
      <c r="AY642" s="10"/>
      <c r="AZ642" s="10"/>
      <c r="BA642" s="16"/>
      <c r="BB642" s="16"/>
      <c r="BH642" s="16"/>
    </row>
    <row r="643" spans="17:60" x14ac:dyDescent="0.2"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K643" s="10"/>
      <c r="AL643" s="10"/>
      <c r="AM643" s="10"/>
      <c r="AN643" s="10"/>
      <c r="AO643" s="10"/>
      <c r="AP643" s="10"/>
      <c r="AQ643" s="10"/>
      <c r="AR643" s="16"/>
      <c r="AS643" s="16"/>
      <c r="AT643" s="16"/>
      <c r="AU643" s="10"/>
      <c r="AV643" s="10"/>
      <c r="AW643" s="10"/>
      <c r="AX643" s="10"/>
      <c r="AY643" s="10"/>
      <c r="AZ643" s="10"/>
      <c r="BA643" s="16"/>
      <c r="BB643" s="16"/>
      <c r="BH643" s="16"/>
    </row>
    <row r="644" spans="17:60" x14ac:dyDescent="0.2"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K644" s="10"/>
      <c r="AL644" s="10"/>
      <c r="AM644" s="10"/>
      <c r="AN644" s="10"/>
      <c r="AO644" s="10"/>
      <c r="AP644" s="10"/>
      <c r="AQ644" s="10"/>
      <c r="AR644" s="16"/>
      <c r="AS644" s="16"/>
      <c r="AT644" s="16"/>
      <c r="AU644" s="10"/>
      <c r="AV644" s="10"/>
      <c r="AW644" s="10"/>
      <c r="AX644" s="10"/>
      <c r="AY644" s="10"/>
      <c r="AZ644" s="10"/>
      <c r="BA644" s="16"/>
      <c r="BB644" s="16"/>
      <c r="BH644" s="16"/>
    </row>
    <row r="645" spans="17:60" x14ac:dyDescent="0.2"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K645" s="10"/>
      <c r="AL645" s="10"/>
      <c r="AM645" s="10"/>
      <c r="AN645" s="10"/>
      <c r="AO645" s="10"/>
      <c r="AP645" s="10"/>
      <c r="AQ645" s="10"/>
      <c r="AR645" s="16"/>
      <c r="AS645" s="16"/>
      <c r="AT645" s="16"/>
      <c r="AU645" s="10"/>
      <c r="AV645" s="10"/>
      <c r="AW645" s="10"/>
      <c r="AX645" s="10"/>
      <c r="AY645" s="10"/>
      <c r="AZ645" s="10"/>
      <c r="BA645" s="16"/>
      <c r="BB645" s="16"/>
      <c r="BH645" s="16"/>
    </row>
    <row r="646" spans="17:60" x14ac:dyDescent="0.2"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K646" s="10"/>
      <c r="AL646" s="10"/>
      <c r="AM646" s="10"/>
      <c r="AN646" s="10"/>
      <c r="AO646" s="10"/>
      <c r="AP646" s="10"/>
      <c r="AQ646" s="10"/>
      <c r="AR646" s="16"/>
      <c r="AS646" s="16"/>
      <c r="AT646" s="16"/>
      <c r="AU646" s="10"/>
      <c r="AV646" s="10"/>
      <c r="AW646" s="10"/>
      <c r="AX646" s="10"/>
      <c r="AY646" s="10"/>
      <c r="AZ646" s="10"/>
      <c r="BA646" s="16"/>
      <c r="BB646" s="16"/>
      <c r="BH646" s="16"/>
    </row>
    <row r="647" spans="17:60" x14ac:dyDescent="0.2"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K647" s="10"/>
      <c r="AL647" s="10"/>
      <c r="AM647" s="10"/>
      <c r="AN647" s="10"/>
      <c r="AO647" s="10"/>
      <c r="AP647" s="10"/>
      <c r="AQ647" s="10"/>
      <c r="AR647" s="16"/>
      <c r="AS647" s="16"/>
      <c r="AT647" s="16"/>
      <c r="AU647" s="10"/>
      <c r="AV647" s="10"/>
      <c r="AW647" s="10"/>
      <c r="AX647" s="10"/>
      <c r="AY647" s="10"/>
      <c r="AZ647" s="10"/>
      <c r="BA647" s="16"/>
      <c r="BB647" s="16"/>
      <c r="BH647" s="16"/>
    </row>
    <row r="648" spans="17:60" x14ac:dyDescent="0.2"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K648" s="10"/>
      <c r="AL648" s="10"/>
      <c r="AM648" s="10"/>
      <c r="AN648" s="10"/>
      <c r="AO648" s="10"/>
      <c r="AP648" s="10"/>
      <c r="AQ648" s="10"/>
      <c r="AR648" s="16"/>
      <c r="AS648" s="16"/>
      <c r="AT648" s="16"/>
      <c r="AU648" s="10"/>
      <c r="AV648" s="10"/>
      <c r="AW648" s="10"/>
      <c r="AX648" s="10"/>
      <c r="AY648" s="10"/>
      <c r="AZ648" s="10"/>
      <c r="BA648" s="16"/>
      <c r="BB648" s="16"/>
      <c r="BH648" s="16"/>
    </row>
    <row r="649" spans="17:60" x14ac:dyDescent="0.2"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K649" s="10"/>
      <c r="AL649" s="10"/>
      <c r="AM649" s="10"/>
      <c r="AN649" s="10"/>
      <c r="AO649" s="10"/>
      <c r="AP649" s="10"/>
      <c r="AQ649" s="10"/>
      <c r="AR649" s="16"/>
      <c r="AS649" s="16"/>
      <c r="AT649" s="16"/>
      <c r="AU649" s="10"/>
      <c r="AV649" s="10"/>
      <c r="AW649" s="10"/>
      <c r="AX649" s="10"/>
      <c r="AY649" s="10"/>
      <c r="AZ649" s="10"/>
      <c r="BA649" s="16"/>
      <c r="BB649" s="16"/>
      <c r="BH649" s="16"/>
    </row>
    <row r="650" spans="17:60" x14ac:dyDescent="0.2"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K650" s="10"/>
      <c r="AL650" s="10"/>
      <c r="AM650" s="10"/>
      <c r="AN650" s="10"/>
      <c r="AO650" s="10"/>
      <c r="AP650" s="10"/>
      <c r="AQ650" s="10"/>
      <c r="AR650" s="16"/>
      <c r="AS650" s="16"/>
      <c r="AT650" s="16"/>
      <c r="AU650" s="10"/>
      <c r="AV650" s="10"/>
      <c r="AW650" s="10"/>
      <c r="AX650" s="10"/>
      <c r="AY650" s="10"/>
      <c r="AZ650" s="10"/>
      <c r="BA650" s="16"/>
      <c r="BB650" s="16"/>
      <c r="BH650" s="16"/>
    </row>
    <row r="651" spans="17:60" x14ac:dyDescent="0.2"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K651" s="10"/>
      <c r="AL651" s="10"/>
      <c r="AM651" s="10"/>
      <c r="AN651" s="10"/>
      <c r="AO651" s="10"/>
      <c r="AP651" s="10"/>
      <c r="AQ651" s="10"/>
      <c r="AR651" s="16"/>
      <c r="AS651" s="16"/>
      <c r="AT651" s="16"/>
      <c r="AU651" s="10"/>
      <c r="AV651" s="10"/>
      <c r="AW651" s="10"/>
      <c r="AX651" s="10"/>
      <c r="AY651" s="10"/>
      <c r="AZ651" s="10"/>
      <c r="BA651" s="16"/>
      <c r="BB651" s="16"/>
      <c r="BH651" s="16"/>
    </row>
    <row r="652" spans="17:60" x14ac:dyDescent="0.2"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K652" s="10"/>
      <c r="AL652" s="10"/>
      <c r="AM652" s="10"/>
      <c r="AN652" s="10"/>
      <c r="AO652" s="10"/>
      <c r="AP652" s="10"/>
      <c r="AQ652" s="10"/>
      <c r="AR652" s="16"/>
      <c r="AS652" s="16"/>
      <c r="AT652" s="16"/>
      <c r="AU652" s="10"/>
      <c r="AV652" s="10"/>
      <c r="AW652" s="10"/>
      <c r="AX652" s="10"/>
      <c r="AY652" s="10"/>
      <c r="AZ652" s="10"/>
      <c r="BA652" s="16"/>
      <c r="BB652" s="16"/>
      <c r="BH652" s="16"/>
    </row>
    <row r="653" spans="17:60" x14ac:dyDescent="0.2"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K653" s="10"/>
      <c r="AL653" s="10"/>
      <c r="AM653" s="10"/>
      <c r="AN653" s="10"/>
      <c r="AO653" s="10"/>
      <c r="AP653" s="10"/>
      <c r="AQ653" s="10"/>
      <c r="AR653" s="16"/>
      <c r="AS653" s="16"/>
      <c r="AT653" s="16"/>
      <c r="AU653" s="10"/>
      <c r="AV653" s="10"/>
      <c r="AW653" s="10"/>
      <c r="AX653" s="10"/>
      <c r="AY653" s="10"/>
      <c r="AZ653" s="10"/>
      <c r="BA653" s="16"/>
      <c r="BB653" s="16"/>
      <c r="BH653" s="16"/>
    </row>
    <row r="654" spans="17:60" x14ac:dyDescent="0.2"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K654" s="10"/>
      <c r="AL654" s="10"/>
      <c r="AM654" s="10"/>
      <c r="AN654" s="10"/>
      <c r="AO654" s="10"/>
      <c r="AP654" s="10"/>
      <c r="AQ654" s="10"/>
      <c r="AR654" s="16"/>
      <c r="AS654" s="16"/>
      <c r="AT654" s="16"/>
      <c r="AU654" s="10"/>
      <c r="AV654" s="10"/>
      <c r="AW654" s="10"/>
      <c r="AX654" s="10"/>
      <c r="AY654" s="10"/>
      <c r="AZ654" s="10"/>
      <c r="BA654" s="16"/>
      <c r="BB654" s="16"/>
      <c r="BH654" s="16"/>
    </row>
    <row r="655" spans="17:60" x14ac:dyDescent="0.2"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K655" s="10"/>
      <c r="AL655" s="10"/>
      <c r="AM655" s="10"/>
      <c r="AN655" s="10"/>
      <c r="AO655" s="10"/>
      <c r="AP655" s="10"/>
      <c r="AQ655" s="10"/>
      <c r="AR655" s="16"/>
      <c r="AS655" s="16"/>
      <c r="AT655" s="16"/>
      <c r="AU655" s="10"/>
      <c r="AV655" s="10"/>
      <c r="AW655" s="10"/>
      <c r="AX655" s="10"/>
      <c r="AY655" s="10"/>
      <c r="AZ655" s="10"/>
      <c r="BA655" s="16"/>
      <c r="BB655" s="16"/>
      <c r="BH655" s="16"/>
    </row>
    <row r="656" spans="17:60" x14ac:dyDescent="0.2"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K656" s="10"/>
      <c r="AL656" s="10"/>
      <c r="AM656" s="10"/>
      <c r="AN656" s="10"/>
      <c r="AO656" s="10"/>
      <c r="AP656" s="10"/>
      <c r="AQ656" s="10"/>
      <c r="AR656" s="16"/>
      <c r="AS656" s="16"/>
      <c r="AT656" s="16"/>
      <c r="AU656" s="10"/>
      <c r="AV656" s="10"/>
      <c r="AW656" s="10"/>
      <c r="AX656" s="10"/>
      <c r="AY656" s="10"/>
      <c r="AZ656" s="10"/>
      <c r="BA656" s="16"/>
      <c r="BB656" s="16"/>
      <c r="BH656" s="16"/>
    </row>
    <row r="657" spans="17:60" x14ac:dyDescent="0.2"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K657" s="10"/>
      <c r="AL657" s="10"/>
      <c r="AM657" s="10"/>
      <c r="AN657" s="10"/>
      <c r="AO657" s="10"/>
      <c r="AP657" s="10"/>
      <c r="AQ657" s="10"/>
      <c r="AR657" s="16"/>
      <c r="AS657" s="16"/>
      <c r="AT657" s="16"/>
      <c r="AU657" s="10"/>
      <c r="AV657" s="10"/>
      <c r="AW657" s="10"/>
      <c r="AX657" s="10"/>
      <c r="AY657" s="10"/>
      <c r="AZ657" s="10"/>
      <c r="BA657" s="16"/>
      <c r="BB657" s="16"/>
      <c r="BH657" s="16"/>
    </row>
    <row r="658" spans="17:60" x14ac:dyDescent="0.2"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K658" s="10"/>
      <c r="AL658" s="10"/>
      <c r="AM658" s="10"/>
      <c r="AN658" s="10"/>
      <c r="AO658" s="10"/>
      <c r="AP658" s="10"/>
      <c r="AQ658" s="10"/>
      <c r="AR658" s="16"/>
      <c r="AS658" s="16"/>
      <c r="AT658" s="16"/>
      <c r="AU658" s="10"/>
      <c r="AV658" s="10"/>
      <c r="AW658" s="10"/>
      <c r="AX658" s="10"/>
      <c r="AY658" s="10"/>
      <c r="AZ658" s="10"/>
      <c r="BA658" s="16"/>
      <c r="BB658" s="16"/>
      <c r="BH658" s="16"/>
    </row>
    <row r="659" spans="17:60" x14ac:dyDescent="0.2"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K659" s="10"/>
      <c r="AL659" s="10"/>
      <c r="AM659" s="10"/>
      <c r="AN659" s="10"/>
      <c r="AO659" s="10"/>
      <c r="AP659" s="10"/>
      <c r="AQ659" s="10"/>
      <c r="AR659" s="16"/>
      <c r="AS659" s="16"/>
      <c r="AT659" s="16"/>
      <c r="AU659" s="10"/>
      <c r="AV659" s="10"/>
      <c r="AW659" s="10"/>
      <c r="AX659" s="10"/>
      <c r="AY659" s="10"/>
      <c r="AZ659" s="10"/>
      <c r="BA659" s="16"/>
      <c r="BB659" s="16"/>
      <c r="BH659" s="16"/>
    </row>
    <row r="660" spans="17:60" x14ac:dyDescent="0.2"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K660" s="10"/>
      <c r="AL660" s="10"/>
      <c r="AM660" s="10"/>
      <c r="AN660" s="10"/>
      <c r="AO660" s="10"/>
      <c r="AP660" s="10"/>
      <c r="AQ660" s="10"/>
      <c r="AR660" s="16"/>
      <c r="AS660" s="16"/>
      <c r="AT660" s="16"/>
      <c r="AU660" s="10"/>
      <c r="AV660" s="10"/>
      <c r="AW660" s="10"/>
      <c r="AX660" s="10"/>
      <c r="AY660" s="10"/>
      <c r="AZ660" s="10"/>
      <c r="BA660" s="16"/>
      <c r="BB660" s="16"/>
      <c r="BH660" s="16"/>
    </row>
    <row r="661" spans="17:60" x14ac:dyDescent="0.2"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K661" s="10"/>
      <c r="AL661" s="10"/>
      <c r="AM661" s="10"/>
      <c r="AN661" s="10"/>
      <c r="AO661" s="10"/>
      <c r="AP661" s="10"/>
      <c r="AQ661" s="10"/>
      <c r="AR661" s="16"/>
      <c r="AS661" s="16"/>
      <c r="AT661" s="16"/>
      <c r="AU661" s="10"/>
      <c r="AV661" s="10"/>
      <c r="AW661" s="10"/>
      <c r="AX661" s="10"/>
      <c r="AY661" s="10"/>
      <c r="AZ661" s="10"/>
      <c r="BA661" s="16"/>
      <c r="BB661" s="16"/>
      <c r="BH661" s="16"/>
    </row>
    <row r="662" spans="17:60" x14ac:dyDescent="0.2"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K662" s="10"/>
      <c r="AL662" s="10"/>
      <c r="AM662" s="10"/>
      <c r="AN662" s="10"/>
      <c r="AO662" s="10"/>
      <c r="AP662" s="10"/>
      <c r="AQ662" s="10"/>
      <c r="AR662" s="16"/>
      <c r="AS662" s="16"/>
      <c r="AT662" s="16"/>
      <c r="AU662" s="10"/>
      <c r="AV662" s="10"/>
      <c r="AW662" s="10"/>
      <c r="AX662" s="10"/>
      <c r="AY662" s="10"/>
      <c r="AZ662" s="10"/>
      <c r="BA662" s="16"/>
      <c r="BB662" s="16"/>
      <c r="BH662" s="16"/>
    </row>
    <row r="663" spans="17:60" x14ac:dyDescent="0.2"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K663" s="10"/>
      <c r="AL663" s="10"/>
      <c r="AM663" s="10"/>
      <c r="AN663" s="10"/>
      <c r="AO663" s="10"/>
      <c r="AP663" s="10"/>
      <c r="AQ663" s="10"/>
      <c r="AR663" s="16"/>
      <c r="AS663" s="16"/>
      <c r="AT663" s="16"/>
      <c r="AU663" s="10"/>
      <c r="AV663" s="10"/>
      <c r="AW663" s="10"/>
      <c r="AX663" s="10"/>
      <c r="AY663" s="10"/>
      <c r="AZ663" s="10"/>
      <c r="BA663" s="16"/>
      <c r="BB663" s="16"/>
      <c r="BH663" s="16"/>
    </row>
    <row r="664" spans="17:60" x14ac:dyDescent="0.2"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K664" s="10"/>
      <c r="AL664" s="10"/>
      <c r="AM664" s="10"/>
      <c r="AN664" s="10"/>
      <c r="AO664" s="10"/>
      <c r="AP664" s="10"/>
      <c r="AQ664" s="10"/>
      <c r="AR664" s="16"/>
      <c r="AS664" s="16"/>
      <c r="AT664" s="16"/>
      <c r="AU664" s="10"/>
      <c r="AV664" s="10"/>
      <c r="AW664" s="10"/>
      <c r="AX664" s="10"/>
      <c r="AY664" s="10"/>
      <c r="AZ664" s="10"/>
      <c r="BA664" s="16"/>
      <c r="BB664" s="16"/>
      <c r="BH664" s="16"/>
    </row>
    <row r="665" spans="17:60" x14ac:dyDescent="0.2"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K665" s="10"/>
      <c r="AL665" s="10"/>
      <c r="AM665" s="10"/>
      <c r="AN665" s="10"/>
      <c r="AO665" s="10"/>
      <c r="AP665" s="10"/>
      <c r="AQ665" s="10"/>
      <c r="AR665" s="16"/>
      <c r="AS665" s="16"/>
      <c r="AT665" s="16"/>
      <c r="AU665" s="10"/>
      <c r="AV665" s="10"/>
      <c r="AW665" s="10"/>
      <c r="AX665" s="10"/>
      <c r="AY665" s="10"/>
      <c r="AZ665" s="10"/>
      <c r="BA665" s="16"/>
      <c r="BB665" s="16"/>
      <c r="BH665" s="16"/>
    </row>
    <row r="666" spans="17:60" x14ac:dyDescent="0.2"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K666" s="10"/>
      <c r="AL666" s="10"/>
      <c r="AM666" s="10"/>
      <c r="AN666" s="10"/>
      <c r="AO666" s="10"/>
      <c r="AP666" s="10"/>
      <c r="AQ666" s="10"/>
      <c r="AR666" s="16"/>
      <c r="AS666" s="16"/>
      <c r="AT666" s="16"/>
      <c r="AU666" s="10"/>
      <c r="AV666" s="10"/>
      <c r="AW666" s="10"/>
      <c r="AX666" s="10"/>
      <c r="AY666" s="10"/>
      <c r="AZ666" s="10"/>
      <c r="BA666" s="16"/>
      <c r="BB666" s="16"/>
      <c r="BH666" s="16"/>
    </row>
    <row r="667" spans="17:60" x14ac:dyDescent="0.2"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K667" s="10"/>
      <c r="AL667" s="10"/>
      <c r="AM667" s="10"/>
      <c r="AN667" s="10"/>
      <c r="AO667" s="10"/>
      <c r="AP667" s="10"/>
      <c r="AQ667" s="10"/>
      <c r="AR667" s="16"/>
      <c r="AS667" s="16"/>
      <c r="AT667" s="16"/>
      <c r="AU667" s="10"/>
      <c r="AV667" s="10"/>
      <c r="AW667" s="10"/>
      <c r="AX667" s="10"/>
      <c r="AY667" s="10"/>
      <c r="AZ667" s="10"/>
      <c r="BA667" s="16"/>
      <c r="BB667" s="16"/>
      <c r="BH667" s="16"/>
    </row>
    <row r="668" spans="17:60" x14ac:dyDescent="0.2"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K668" s="10"/>
      <c r="AL668" s="10"/>
      <c r="AM668" s="10"/>
      <c r="AN668" s="10"/>
      <c r="AO668" s="10"/>
      <c r="AP668" s="10"/>
      <c r="AQ668" s="10"/>
      <c r="AR668" s="16"/>
      <c r="AS668" s="16"/>
      <c r="AT668" s="16"/>
      <c r="AU668" s="10"/>
      <c r="AV668" s="10"/>
      <c r="AW668" s="10"/>
      <c r="AX668" s="10"/>
      <c r="AY668" s="10"/>
      <c r="AZ668" s="10"/>
      <c r="BA668" s="16"/>
      <c r="BB668" s="16"/>
      <c r="BH668" s="16"/>
    </row>
    <row r="669" spans="17:60" x14ac:dyDescent="0.2"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K669" s="10"/>
      <c r="AL669" s="10"/>
      <c r="AM669" s="10"/>
      <c r="AN669" s="10"/>
      <c r="AO669" s="10"/>
      <c r="AP669" s="10"/>
      <c r="AQ669" s="10"/>
      <c r="AR669" s="16"/>
      <c r="AS669" s="16"/>
      <c r="AT669" s="16"/>
      <c r="AU669" s="10"/>
      <c r="AV669" s="10"/>
      <c r="AW669" s="10"/>
      <c r="AX669" s="10"/>
      <c r="AY669" s="10"/>
      <c r="AZ669" s="10"/>
      <c r="BA669" s="16"/>
      <c r="BB669" s="16"/>
      <c r="BH669" s="16"/>
    </row>
    <row r="670" spans="17:60" x14ac:dyDescent="0.2"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K670" s="10"/>
      <c r="AL670" s="10"/>
      <c r="AM670" s="10"/>
      <c r="AN670" s="10"/>
      <c r="AO670" s="10"/>
      <c r="AP670" s="10"/>
      <c r="AQ670" s="10"/>
      <c r="AR670" s="16"/>
      <c r="AS670" s="16"/>
      <c r="AT670" s="16"/>
      <c r="AU670" s="10"/>
      <c r="AV670" s="10"/>
      <c r="AW670" s="10"/>
      <c r="AX670" s="10"/>
      <c r="AY670" s="10"/>
      <c r="AZ670" s="10"/>
      <c r="BA670" s="16"/>
      <c r="BB670" s="16"/>
      <c r="BH670" s="16"/>
    </row>
    <row r="671" spans="17:60" x14ac:dyDescent="0.2"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K671" s="10"/>
      <c r="AL671" s="10"/>
      <c r="AM671" s="10"/>
      <c r="AN671" s="10"/>
      <c r="AO671" s="10"/>
      <c r="AP671" s="10"/>
      <c r="AQ671" s="10"/>
      <c r="AR671" s="16"/>
      <c r="AS671" s="16"/>
      <c r="AT671" s="16"/>
      <c r="AU671" s="10"/>
      <c r="AV671" s="10"/>
      <c r="AW671" s="10"/>
      <c r="AX671" s="10"/>
      <c r="AY671" s="10"/>
      <c r="AZ671" s="10"/>
      <c r="BA671" s="16"/>
      <c r="BB671" s="16"/>
      <c r="BH671" s="16"/>
    </row>
    <row r="672" spans="17:60" x14ac:dyDescent="0.2"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K672" s="10"/>
      <c r="AL672" s="10"/>
      <c r="AM672" s="10"/>
      <c r="AN672" s="10"/>
      <c r="AO672" s="10"/>
      <c r="AP672" s="10"/>
      <c r="AQ672" s="10"/>
      <c r="AR672" s="16"/>
      <c r="AS672" s="16"/>
      <c r="AT672" s="16"/>
      <c r="AU672" s="10"/>
      <c r="AV672" s="10"/>
      <c r="AW672" s="10"/>
      <c r="AX672" s="10"/>
      <c r="AY672" s="10"/>
      <c r="AZ672" s="10"/>
      <c r="BA672" s="16"/>
      <c r="BB672" s="16"/>
      <c r="BH672" s="16"/>
    </row>
    <row r="673" spans="17:60" x14ac:dyDescent="0.2"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K673" s="10"/>
      <c r="AL673" s="10"/>
      <c r="AM673" s="10"/>
      <c r="AN673" s="10"/>
      <c r="AO673" s="10"/>
      <c r="AP673" s="10"/>
      <c r="AQ673" s="10"/>
      <c r="AR673" s="16"/>
      <c r="AS673" s="16"/>
      <c r="AT673" s="16"/>
      <c r="AU673" s="10"/>
      <c r="AV673" s="10"/>
      <c r="AW673" s="10"/>
      <c r="AX673" s="10"/>
      <c r="AY673" s="10"/>
      <c r="AZ673" s="10"/>
      <c r="BA673" s="16"/>
      <c r="BB673" s="16"/>
      <c r="BH673" s="16"/>
    </row>
    <row r="674" spans="17:60" x14ac:dyDescent="0.2"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K674" s="10"/>
      <c r="AL674" s="10"/>
      <c r="AM674" s="10"/>
      <c r="AN674" s="10"/>
      <c r="AO674" s="10"/>
      <c r="AP674" s="10"/>
      <c r="AQ674" s="10"/>
      <c r="AR674" s="16"/>
      <c r="AS674" s="16"/>
      <c r="AT674" s="16"/>
      <c r="AU674" s="10"/>
      <c r="AV674" s="10"/>
      <c r="AW674" s="10"/>
      <c r="AX674" s="10"/>
      <c r="AY674" s="10"/>
      <c r="AZ674" s="10"/>
      <c r="BA674" s="16"/>
      <c r="BB674" s="16"/>
      <c r="BH674" s="16"/>
    </row>
    <row r="675" spans="17:60" x14ac:dyDescent="0.2"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K675" s="10"/>
      <c r="AL675" s="10"/>
      <c r="AM675" s="10"/>
      <c r="AN675" s="10"/>
      <c r="AO675" s="10"/>
      <c r="AP675" s="10"/>
      <c r="AQ675" s="10"/>
      <c r="AR675" s="16"/>
      <c r="AS675" s="16"/>
      <c r="AT675" s="16"/>
      <c r="AU675" s="10"/>
      <c r="AV675" s="10"/>
      <c r="AW675" s="10"/>
      <c r="AX675" s="10"/>
      <c r="AY675" s="10"/>
      <c r="AZ675" s="10"/>
      <c r="BA675" s="16"/>
      <c r="BB675" s="16"/>
      <c r="BH675" s="16"/>
    </row>
    <row r="676" spans="17:60" x14ac:dyDescent="0.2"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K676" s="10"/>
      <c r="AL676" s="10"/>
      <c r="AM676" s="10"/>
      <c r="AN676" s="10"/>
      <c r="AO676" s="10"/>
      <c r="AP676" s="10"/>
      <c r="AQ676" s="10"/>
      <c r="AR676" s="16"/>
      <c r="AS676" s="16"/>
      <c r="AT676" s="16"/>
      <c r="AU676" s="10"/>
      <c r="AV676" s="10"/>
      <c r="AW676" s="10"/>
      <c r="AX676" s="10"/>
      <c r="AY676" s="10"/>
      <c r="AZ676" s="10"/>
      <c r="BA676" s="16"/>
      <c r="BB676" s="16"/>
      <c r="BH676" s="16"/>
    </row>
    <row r="677" spans="17:60" x14ac:dyDescent="0.2"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K677" s="10"/>
      <c r="AL677" s="10"/>
      <c r="AM677" s="10"/>
      <c r="AN677" s="10"/>
      <c r="AO677" s="10"/>
      <c r="AP677" s="10"/>
      <c r="AQ677" s="10"/>
      <c r="AR677" s="16"/>
      <c r="AS677" s="16"/>
      <c r="AT677" s="16"/>
      <c r="AU677" s="10"/>
      <c r="AV677" s="10"/>
      <c r="AW677" s="10"/>
      <c r="AX677" s="10"/>
      <c r="AY677" s="10"/>
      <c r="AZ677" s="10"/>
      <c r="BA677" s="16"/>
      <c r="BB677" s="16"/>
      <c r="BH677" s="16"/>
    </row>
    <row r="678" spans="17:60" x14ac:dyDescent="0.2"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K678" s="10"/>
      <c r="AL678" s="10"/>
      <c r="AM678" s="10"/>
      <c r="AN678" s="10"/>
      <c r="AO678" s="10"/>
      <c r="AP678" s="10"/>
      <c r="AQ678" s="10"/>
      <c r="AR678" s="16"/>
      <c r="AS678" s="16"/>
      <c r="AT678" s="16"/>
      <c r="AU678" s="10"/>
      <c r="AV678" s="10"/>
      <c r="AW678" s="10"/>
      <c r="AX678" s="10"/>
      <c r="AY678" s="10"/>
      <c r="AZ678" s="10"/>
      <c r="BA678" s="16"/>
      <c r="BB678" s="16"/>
      <c r="BH678" s="16"/>
    </row>
    <row r="679" spans="17:60" x14ac:dyDescent="0.2"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K679" s="10"/>
      <c r="AL679" s="10"/>
      <c r="AM679" s="10"/>
      <c r="AN679" s="10"/>
      <c r="AO679" s="10"/>
      <c r="AP679" s="10"/>
      <c r="AQ679" s="10"/>
      <c r="AR679" s="16"/>
      <c r="AS679" s="16"/>
      <c r="AT679" s="16"/>
      <c r="AU679" s="10"/>
      <c r="AV679" s="10"/>
      <c r="AW679" s="10"/>
      <c r="AX679" s="10"/>
      <c r="AY679" s="10"/>
      <c r="AZ679" s="10"/>
      <c r="BA679" s="16"/>
      <c r="BB679" s="16"/>
      <c r="BH679" s="16"/>
    </row>
    <row r="680" spans="17:60" x14ac:dyDescent="0.2"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K680" s="10"/>
      <c r="AL680" s="10"/>
      <c r="AM680" s="10"/>
      <c r="AN680" s="10"/>
      <c r="AO680" s="10"/>
      <c r="AP680" s="10"/>
      <c r="AQ680" s="10"/>
      <c r="AR680" s="16"/>
      <c r="AS680" s="16"/>
      <c r="AT680" s="16"/>
      <c r="AU680" s="10"/>
      <c r="AV680" s="10"/>
      <c r="AW680" s="10"/>
      <c r="AX680" s="10"/>
      <c r="AY680" s="10"/>
      <c r="AZ680" s="10"/>
      <c r="BA680" s="16"/>
      <c r="BB680" s="16"/>
      <c r="BH680" s="16"/>
    </row>
    <row r="681" spans="17:60" x14ac:dyDescent="0.2"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K681" s="10"/>
      <c r="AL681" s="10"/>
      <c r="AM681" s="10"/>
      <c r="AN681" s="10"/>
      <c r="AO681" s="10"/>
      <c r="AP681" s="10"/>
      <c r="AQ681" s="10"/>
      <c r="AR681" s="16"/>
      <c r="AS681" s="16"/>
      <c r="AT681" s="16"/>
      <c r="AU681" s="10"/>
      <c r="AV681" s="10"/>
      <c r="AW681" s="10"/>
      <c r="AX681" s="10"/>
      <c r="AY681" s="10"/>
      <c r="AZ681" s="10"/>
      <c r="BA681" s="16"/>
      <c r="BB681" s="16"/>
      <c r="BH681" s="16"/>
    </row>
    <row r="682" spans="17:60" x14ac:dyDescent="0.2"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K682" s="10"/>
      <c r="AL682" s="10"/>
      <c r="AM682" s="10"/>
      <c r="AN682" s="10"/>
      <c r="AO682" s="10"/>
      <c r="AP682" s="10"/>
      <c r="AQ682" s="10"/>
      <c r="AR682" s="16"/>
      <c r="AS682" s="16"/>
      <c r="AT682" s="16"/>
      <c r="AU682" s="10"/>
      <c r="AV682" s="10"/>
      <c r="AW682" s="10"/>
      <c r="AX682" s="10"/>
      <c r="AY682" s="10"/>
      <c r="AZ682" s="10"/>
      <c r="BA682" s="16"/>
      <c r="BB682" s="16"/>
      <c r="BH682" s="16"/>
    </row>
    <row r="683" spans="17:60" x14ac:dyDescent="0.2"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K683" s="10"/>
      <c r="AL683" s="10"/>
      <c r="AM683" s="10"/>
      <c r="AN683" s="10"/>
      <c r="AO683" s="10"/>
      <c r="AP683" s="10"/>
      <c r="AQ683" s="10"/>
      <c r="AR683" s="16"/>
      <c r="AS683" s="16"/>
      <c r="AT683" s="16"/>
      <c r="AU683" s="10"/>
      <c r="AV683" s="10"/>
      <c r="AW683" s="10"/>
      <c r="AX683" s="10"/>
      <c r="AY683" s="10"/>
      <c r="AZ683" s="10"/>
      <c r="BA683" s="16"/>
      <c r="BB683" s="16"/>
      <c r="BH683" s="16"/>
    </row>
    <row r="684" spans="17:60" x14ac:dyDescent="0.2"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K684" s="10"/>
      <c r="AL684" s="10"/>
      <c r="AM684" s="10"/>
      <c r="AN684" s="10"/>
      <c r="AO684" s="10"/>
      <c r="AP684" s="10"/>
      <c r="AQ684" s="10"/>
      <c r="AR684" s="16"/>
      <c r="AS684" s="16"/>
      <c r="AT684" s="16"/>
      <c r="AU684" s="10"/>
      <c r="AV684" s="10"/>
      <c r="AW684" s="10"/>
      <c r="AX684" s="10"/>
      <c r="AY684" s="10"/>
      <c r="AZ684" s="10"/>
      <c r="BA684" s="16"/>
      <c r="BB684" s="16"/>
      <c r="BH684" s="16"/>
    </row>
    <row r="685" spans="17:60" x14ac:dyDescent="0.2"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K685" s="10"/>
      <c r="AL685" s="10"/>
      <c r="AM685" s="10"/>
      <c r="AN685" s="10"/>
      <c r="AO685" s="10"/>
      <c r="AP685" s="10"/>
      <c r="AQ685" s="10"/>
      <c r="AR685" s="16"/>
      <c r="AS685" s="16"/>
      <c r="AT685" s="16"/>
      <c r="AU685" s="10"/>
      <c r="AV685" s="10"/>
      <c r="AW685" s="10"/>
      <c r="AX685" s="10"/>
      <c r="AY685" s="10"/>
      <c r="AZ685" s="10"/>
      <c r="BA685" s="16"/>
      <c r="BB685" s="16"/>
      <c r="BH685" s="16"/>
    </row>
    <row r="686" spans="17:60" x14ac:dyDescent="0.2"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K686" s="10"/>
      <c r="AL686" s="10"/>
      <c r="AM686" s="10"/>
      <c r="AN686" s="10"/>
      <c r="AO686" s="10"/>
      <c r="AP686" s="10"/>
      <c r="AQ686" s="10"/>
      <c r="AR686" s="16"/>
      <c r="AS686" s="16"/>
      <c r="AT686" s="16"/>
      <c r="AU686" s="10"/>
      <c r="AV686" s="10"/>
      <c r="AW686" s="10"/>
      <c r="AX686" s="10"/>
      <c r="AY686" s="10"/>
      <c r="AZ686" s="10"/>
      <c r="BA686" s="16"/>
      <c r="BB686" s="16"/>
      <c r="BH686" s="16"/>
    </row>
    <row r="687" spans="17:60" x14ac:dyDescent="0.2"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K687" s="10"/>
      <c r="AL687" s="10"/>
      <c r="AM687" s="10"/>
      <c r="AN687" s="10"/>
      <c r="AO687" s="10"/>
      <c r="AP687" s="10"/>
      <c r="AQ687" s="10"/>
      <c r="AR687" s="16"/>
      <c r="AS687" s="16"/>
      <c r="AT687" s="16"/>
      <c r="AU687" s="10"/>
      <c r="AV687" s="10"/>
      <c r="AW687" s="10"/>
      <c r="AX687" s="10"/>
      <c r="AY687" s="10"/>
      <c r="AZ687" s="10"/>
      <c r="BA687" s="16"/>
      <c r="BB687" s="16"/>
      <c r="BH687" s="16"/>
    </row>
    <row r="688" spans="17:60" x14ac:dyDescent="0.2"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K688" s="10"/>
      <c r="AL688" s="10"/>
      <c r="AM688" s="10"/>
      <c r="AN688" s="10"/>
      <c r="AO688" s="10"/>
      <c r="AP688" s="10"/>
      <c r="AQ688" s="10"/>
      <c r="AR688" s="16"/>
      <c r="AS688" s="16"/>
      <c r="AT688" s="16"/>
      <c r="AU688" s="10"/>
      <c r="AV688" s="10"/>
      <c r="AW688" s="10"/>
      <c r="AX688" s="10"/>
      <c r="AY688" s="10"/>
      <c r="AZ688" s="10"/>
      <c r="BA688" s="16"/>
      <c r="BB688" s="16"/>
      <c r="BH688" s="16"/>
    </row>
    <row r="689" spans="17:60" x14ac:dyDescent="0.2"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K689" s="10"/>
      <c r="AL689" s="10"/>
      <c r="AM689" s="10"/>
      <c r="AN689" s="10"/>
      <c r="AO689" s="10"/>
      <c r="AP689" s="10"/>
      <c r="AQ689" s="10"/>
      <c r="AR689" s="16"/>
      <c r="AS689" s="16"/>
      <c r="AT689" s="16"/>
      <c r="AU689" s="10"/>
      <c r="AV689" s="10"/>
      <c r="AW689" s="10"/>
      <c r="AX689" s="10"/>
      <c r="AY689" s="10"/>
      <c r="AZ689" s="10"/>
      <c r="BA689" s="16"/>
      <c r="BB689" s="16"/>
      <c r="BH689" s="16"/>
    </row>
    <row r="690" spans="17:60" x14ac:dyDescent="0.2"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K690" s="10"/>
      <c r="AL690" s="10"/>
      <c r="AM690" s="10"/>
      <c r="AN690" s="10"/>
      <c r="AO690" s="10"/>
      <c r="AP690" s="10"/>
      <c r="AQ690" s="10"/>
      <c r="AR690" s="16"/>
      <c r="AS690" s="16"/>
      <c r="AT690" s="16"/>
      <c r="AU690" s="10"/>
      <c r="AV690" s="10"/>
      <c r="AW690" s="10"/>
      <c r="AX690" s="10"/>
      <c r="AY690" s="10"/>
      <c r="AZ690" s="10"/>
      <c r="BA690" s="16"/>
      <c r="BB690" s="16"/>
      <c r="BH690" s="16"/>
    </row>
    <row r="691" spans="17:60" x14ac:dyDescent="0.2"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K691" s="10"/>
      <c r="AL691" s="10"/>
      <c r="AM691" s="10"/>
      <c r="AN691" s="10"/>
      <c r="AO691" s="10"/>
      <c r="AP691" s="10"/>
      <c r="AQ691" s="10"/>
      <c r="AR691" s="16"/>
      <c r="AS691" s="16"/>
      <c r="AT691" s="16"/>
      <c r="AU691" s="10"/>
      <c r="AV691" s="10"/>
      <c r="AW691" s="10"/>
      <c r="AX691" s="10"/>
      <c r="AY691" s="10"/>
      <c r="AZ691" s="10"/>
      <c r="BA691" s="16"/>
      <c r="BB691" s="16"/>
      <c r="BH691" s="16"/>
    </row>
    <row r="692" spans="17:60" x14ac:dyDescent="0.2"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K692" s="10"/>
      <c r="AL692" s="10"/>
      <c r="AM692" s="10"/>
      <c r="AN692" s="10"/>
      <c r="AO692" s="10"/>
      <c r="AP692" s="10"/>
      <c r="AQ692" s="10"/>
      <c r="AR692" s="16"/>
      <c r="AS692" s="16"/>
      <c r="AT692" s="16"/>
      <c r="AU692" s="10"/>
      <c r="AV692" s="10"/>
      <c r="AW692" s="10"/>
      <c r="AX692" s="10"/>
      <c r="AY692" s="10"/>
      <c r="AZ692" s="10"/>
      <c r="BA692" s="16"/>
      <c r="BB692" s="16"/>
      <c r="BH692" s="16"/>
    </row>
    <row r="693" spans="17:60" x14ac:dyDescent="0.2"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K693" s="10"/>
      <c r="AL693" s="10"/>
      <c r="AM693" s="10"/>
      <c r="AN693" s="10"/>
      <c r="AO693" s="10"/>
      <c r="AP693" s="10"/>
      <c r="AQ693" s="10"/>
      <c r="AR693" s="16"/>
      <c r="AS693" s="16"/>
      <c r="AT693" s="16"/>
      <c r="AU693" s="10"/>
      <c r="AV693" s="10"/>
      <c r="AW693" s="10"/>
      <c r="AX693" s="10"/>
      <c r="AY693" s="10"/>
      <c r="AZ693" s="10"/>
      <c r="BA693" s="16"/>
      <c r="BB693" s="16"/>
      <c r="BH693" s="16"/>
    </row>
    <row r="694" spans="17:60" x14ac:dyDescent="0.2"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K694" s="10"/>
      <c r="AL694" s="10"/>
      <c r="AM694" s="10"/>
      <c r="AN694" s="10"/>
      <c r="AO694" s="10"/>
      <c r="AP694" s="10"/>
      <c r="AQ694" s="10"/>
      <c r="AR694" s="16"/>
      <c r="AS694" s="16"/>
      <c r="AT694" s="16"/>
      <c r="AU694" s="10"/>
      <c r="AV694" s="10"/>
      <c r="AW694" s="10"/>
      <c r="AX694" s="10"/>
      <c r="AY694" s="10"/>
      <c r="AZ694" s="10"/>
      <c r="BA694" s="16"/>
      <c r="BB694" s="16"/>
      <c r="BH694" s="16"/>
    </row>
    <row r="695" spans="17:60" x14ac:dyDescent="0.2"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K695" s="10"/>
      <c r="AL695" s="10"/>
      <c r="AM695" s="10"/>
      <c r="AN695" s="10"/>
      <c r="AO695" s="10"/>
      <c r="AP695" s="10"/>
      <c r="AQ695" s="10"/>
      <c r="AR695" s="16"/>
      <c r="AS695" s="16"/>
      <c r="AT695" s="16"/>
      <c r="AU695" s="10"/>
      <c r="AV695" s="10"/>
      <c r="AW695" s="10"/>
      <c r="AX695" s="10"/>
      <c r="AY695" s="10"/>
      <c r="AZ695" s="10"/>
      <c r="BA695" s="16"/>
      <c r="BB695" s="16"/>
      <c r="BH695" s="16"/>
    </row>
    <row r="696" spans="17:60" x14ac:dyDescent="0.2"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K696" s="10"/>
      <c r="AL696" s="10"/>
      <c r="AM696" s="10"/>
      <c r="AN696" s="10"/>
      <c r="AO696" s="10"/>
      <c r="AP696" s="10"/>
      <c r="AQ696" s="10"/>
      <c r="AR696" s="16"/>
      <c r="AS696" s="16"/>
      <c r="AT696" s="16"/>
      <c r="AU696" s="10"/>
      <c r="AV696" s="10"/>
      <c r="AW696" s="10"/>
      <c r="AX696" s="10"/>
      <c r="AY696" s="10"/>
      <c r="AZ696" s="10"/>
      <c r="BA696" s="16"/>
      <c r="BB696" s="16"/>
      <c r="BH696" s="16"/>
    </row>
    <row r="697" spans="17:60" x14ac:dyDescent="0.2"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K697" s="10"/>
      <c r="AL697" s="10"/>
      <c r="AM697" s="10"/>
      <c r="AN697" s="10"/>
      <c r="AO697" s="10"/>
      <c r="AP697" s="10"/>
      <c r="AQ697" s="10"/>
      <c r="AR697" s="16"/>
      <c r="AS697" s="16"/>
      <c r="AT697" s="16"/>
      <c r="AU697" s="10"/>
      <c r="AV697" s="10"/>
      <c r="AW697" s="10"/>
      <c r="AX697" s="10"/>
      <c r="AY697" s="10"/>
      <c r="AZ697" s="10"/>
      <c r="BA697" s="16"/>
      <c r="BB697" s="16"/>
      <c r="BH697" s="16"/>
    </row>
    <row r="698" spans="17:60" x14ac:dyDescent="0.2"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K698" s="10"/>
      <c r="AL698" s="10"/>
      <c r="AM698" s="10"/>
      <c r="AN698" s="10"/>
      <c r="AO698" s="10"/>
      <c r="AP698" s="10"/>
      <c r="AQ698" s="10"/>
      <c r="AR698" s="16"/>
      <c r="AS698" s="16"/>
      <c r="AT698" s="16"/>
      <c r="AU698" s="10"/>
      <c r="AV698" s="10"/>
      <c r="AW698" s="10"/>
      <c r="AX698" s="10"/>
      <c r="AY698" s="10"/>
      <c r="AZ698" s="10"/>
      <c r="BA698" s="16"/>
      <c r="BB698" s="16"/>
      <c r="BH698" s="16"/>
    </row>
    <row r="699" spans="17:60" x14ac:dyDescent="0.2"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K699" s="10"/>
      <c r="AL699" s="10"/>
      <c r="AM699" s="10"/>
      <c r="AN699" s="10"/>
      <c r="AO699" s="10"/>
      <c r="AP699" s="10"/>
      <c r="AQ699" s="10"/>
      <c r="AR699" s="16"/>
      <c r="AS699" s="16"/>
      <c r="AT699" s="16"/>
      <c r="AU699" s="10"/>
      <c r="AV699" s="10"/>
      <c r="AW699" s="10"/>
      <c r="AX699" s="10"/>
      <c r="AY699" s="10"/>
      <c r="AZ699" s="10"/>
      <c r="BA699" s="16"/>
      <c r="BB699" s="16"/>
      <c r="BH699" s="16"/>
    </row>
    <row r="700" spans="17:60" x14ac:dyDescent="0.2"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K700" s="10"/>
      <c r="AL700" s="10"/>
      <c r="AM700" s="10"/>
      <c r="AN700" s="10"/>
      <c r="AO700" s="10"/>
      <c r="AP700" s="10"/>
      <c r="AQ700" s="10"/>
      <c r="AR700" s="16"/>
      <c r="AS700" s="16"/>
      <c r="AT700" s="16"/>
      <c r="AU700" s="10"/>
      <c r="AV700" s="10"/>
      <c r="AW700" s="10"/>
      <c r="AX700" s="10"/>
      <c r="AY700" s="10"/>
      <c r="AZ700" s="10"/>
      <c r="BA700" s="16"/>
      <c r="BB700" s="16"/>
      <c r="BH700" s="16"/>
    </row>
    <row r="701" spans="17:60" x14ac:dyDescent="0.2"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K701" s="10"/>
      <c r="AL701" s="10"/>
      <c r="AM701" s="10"/>
      <c r="AN701" s="10"/>
      <c r="AO701" s="10"/>
      <c r="AP701" s="10"/>
      <c r="AQ701" s="10"/>
      <c r="AR701" s="16"/>
      <c r="AS701" s="16"/>
      <c r="AT701" s="16"/>
      <c r="AU701" s="10"/>
      <c r="AV701" s="10"/>
      <c r="AW701" s="10"/>
      <c r="AX701" s="10"/>
      <c r="AY701" s="10"/>
      <c r="AZ701" s="10"/>
      <c r="BA701" s="16"/>
      <c r="BB701" s="16"/>
      <c r="BH701" s="16"/>
    </row>
    <row r="702" spans="17:60" x14ac:dyDescent="0.2"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K702" s="10"/>
      <c r="AL702" s="10"/>
      <c r="AM702" s="10"/>
      <c r="AN702" s="10"/>
      <c r="AO702" s="10"/>
      <c r="AP702" s="10"/>
      <c r="AQ702" s="10"/>
      <c r="AR702" s="16"/>
      <c r="AS702" s="16"/>
      <c r="AT702" s="16"/>
      <c r="AU702" s="10"/>
      <c r="AV702" s="10"/>
      <c r="AW702" s="10"/>
      <c r="AX702" s="10"/>
      <c r="AY702" s="10"/>
      <c r="AZ702" s="10"/>
      <c r="BA702" s="16"/>
      <c r="BB702" s="16"/>
      <c r="BH702" s="16"/>
    </row>
    <row r="703" spans="17:60" x14ac:dyDescent="0.2"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K703" s="10"/>
      <c r="AL703" s="10"/>
      <c r="AM703" s="10"/>
      <c r="AN703" s="10"/>
      <c r="AO703" s="10"/>
      <c r="AP703" s="10"/>
      <c r="AQ703" s="10"/>
      <c r="AR703" s="16"/>
      <c r="AS703" s="16"/>
      <c r="AT703" s="16"/>
      <c r="AU703" s="10"/>
      <c r="AV703" s="10"/>
      <c r="AW703" s="10"/>
      <c r="AX703" s="10"/>
      <c r="AY703" s="10"/>
      <c r="AZ703" s="10"/>
      <c r="BA703" s="16"/>
      <c r="BB703" s="16"/>
      <c r="BH703" s="16"/>
    </row>
    <row r="704" spans="17:60" x14ac:dyDescent="0.2"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K704" s="10"/>
      <c r="AL704" s="10"/>
      <c r="AM704" s="10"/>
      <c r="AN704" s="10"/>
      <c r="AO704" s="10"/>
      <c r="AP704" s="10"/>
      <c r="AQ704" s="10"/>
      <c r="AR704" s="16"/>
      <c r="AS704" s="16"/>
      <c r="AT704" s="16"/>
      <c r="AU704" s="10"/>
      <c r="AV704" s="10"/>
      <c r="AW704" s="10"/>
      <c r="AX704" s="10"/>
      <c r="AY704" s="10"/>
      <c r="AZ704" s="10"/>
      <c r="BA704" s="16"/>
      <c r="BB704" s="16"/>
      <c r="BH704" s="16"/>
    </row>
    <row r="705" spans="17:60" x14ac:dyDescent="0.2"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K705" s="10"/>
      <c r="AL705" s="10"/>
      <c r="AM705" s="10"/>
      <c r="AN705" s="10"/>
      <c r="AO705" s="10"/>
      <c r="AP705" s="10"/>
      <c r="AQ705" s="10"/>
      <c r="AR705" s="16"/>
      <c r="AS705" s="16"/>
      <c r="AT705" s="16"/>
      <c r="AU705" s="10"/>
      <c r="AV705" s="10"/>
      <c r="AW705" s="10"/>
      <c r="AX705" s="10"/>
      <c r="AY705" s="10"/>
      <c r="AZ705" s="10"/>
      <c r="BA705" s="16"/>
      <c r="BB705" s="16"/>
      <c r="BH705" s="16"/>
    </row>
    <row r="706" spans="17:60" x14ac:dyDescent="0.2"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K706" s="10"/>
      <c r="AL706" s="10"/>
      <c r="AM706" s="10"/>
      <c r="AN706" s="10"/>
      <c r="AO706" s="10"/>
      <c r="AP706" s="10"/>
      <c r="AQ706" s="10"/>
      <c r="AR706" s="16"/>
      <c r="AS706" s="16"/>
      <c r="AT706" s="16"/>
      <c r="AU706" s="10"/>
      <c r="AV706" s="10"/>
      <c r="AW706" s="10"/>
      <c r="AX706" s="10"/>
      <c r="AY706" s="10"/>
      <c r="AZ706" s="10"/>
      <c r="BA706" s="16"/>
      <c r="BB706" s="16"/>
      <c r="BH706" s="16"/>
    </row>
    <row r="707" spans="17:60" x14ac:dyDescent="0.2"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K707" s="10"/>
      <c r="AL707" s="10"/>
      <c r="AM707" s="10"/>
      <c r="AN707" s="10"/>
      <c r="AO707" s="10"/>
      <c r="AP707" s="10"/>
      <c r="AQ707" s="10"/>
      <c r="AR707" s="16"/>
      <c r="AS707" s="16"/>
      <c r="AT707" s="16"/>
      <c r="AU707" s="10"/>
      <c r="AV707" s="10"/>
      <c r="AW707" s="10"/>
      <c r="AX707" s="10"/>
      <c r="AY707" s="10"/>
      <c r="AZ707" s="10"/>
      <c r="BA707" s="16"/>
      <c r="BB707" s="16"/>
      <c r="BH707" s="16"/>
    </row>
    <row r="708" spans="17:60" x14ac:dyDescent="0.2"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K708" s="10"/>
      <c r="AL708" s="10"/>
      <c r="AM708" s="10"/>
      <c r="AN708" s="10"/>
      <c r="AO708" s="10"/>
      <c r="AP708" s="10"/>
      <c r="AQ708" s="10"/>
      <c r="AR708" s="16"/>
      <c r="AS708" s="16"/>
      <c r="AT708" s="16"/>
      <c r="AU708" s="10"/>
      <c r="AV708" s="10"/>
      <c r="AW708" s="10"/>
      <c r="AX708" s="10"/>
      <c r="AY708" s="10"/>
      <c r="AZ708" s="10"/>
      <c r="BA708" s="16"/>
      <c r="BB708" s="16"/>
      <c r="BH708" s="16"/>
    </row>
    <row r="709" spans="17:60" x14ac:dyDescent="0.2"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K709" s="10"/>
      <c r="AL709" s="10"/>
      <c r="AM709" s="10"/>
      <c r="AN709" s="10"/>
      <c r="AO709" s="10"/>
      <c r="AP709" s="10"/>
      <c r="AQ709" s="10"/>
      <c r="AR709" s="16"/>
      <c r="AS709" s="16"/>
      <c r="AT709" s="16"/>
      <c r="AU709" s="10"/>
      <c r="AV709" s="10"/>
      <c r="AW709" s="10"/>
      <c r="AX709" s="10"/>
      <c r="AY709" s="10"/>
      <c r="AZ709" s="10"/>
      <c r="BA709" s="16"/>
      <c r="BB709" s="16"/>
      <c r="BH709" s="16"/>
    </row>
    <row r="710" spans="17:60" x14ac:dyDescent="0.2"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K710" s="10"/>
      <c r="AL710" s="10"/>
      <c r="AM710" s="10"/>
      <c r="AN710" s="10"/>
      <c r="AO710" s="10"/>
      <c r="AP710" s="10"/>
      <c r="AQ710" s="10"/>
      <c r="AR710" s="16"/>
      <c r="AS710" s="16"/>
      <c r="AT710" s="16"/>
      <c r="AU710" s="10"/>
      <c r="AV710" s="10"/>
      <c r="AW710" s="10"/>
      <c r="AX710" s="10"/>
      <c r="AY710" s="10"/>
      <c r="AZ710" s="10"/>
      <c r="BA710" s="16"/>
      <c r="BB710" s="16"/>
      <c r="BH710" s="16"/>
    </row>
    <row r="711" spans="17:60" x14ac:dyDescent="0.2"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K711" s="10"/>
      <c r="AL711" s="10"/>
      <c r="AM711" s="10"/>
      <c r="AN711" s="10"/>
      <c r="AO711" s="10"/>
      <c r="AP711" s="10"/>
      <c r="AQ711" s="10"/>
      <c r="AR711" s="16"/>
      <c r="AS711" s="16"/>
      <c r="AT711" s="16"/>
      <c r="AU711" s="10"/>
      <c r="AV711" s="10"/>
      <c r="AW711" s="10"/>
      <c r="AX711" s="10"/>
      <c r="AY711" s="10"/>
      <c r="AZ711" s="10"/>
      <c r="BA711" s="16"/>
      <c r="BB711" s="16"/>
      <c r="BH711" s="16"/>
    </row>
    <row r="712" spans="17:60" x14ac:dyDescent="0.2"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K712" s="10"/>
      <c r="AL712" s="10"/>
      <c r="AM712" s="10"/>
      <c r="AN712" s="10"/>
      <c r="AO712" s="10"/>
      <c r="AP712" s="10"/>
      <c r="AQ712" s="10"/>
      <c r="AR712" s="16"/>
      <c r="AS712" s="16"/>
      <c r="AT712" s="16"/>
      <c r="AU712" s="10"/>
      <c r="AV712" s="10"/>
      <c r="AW712" s="10"/>
      <c r="AX712" s="10"/>
      <c r="AY712" s="10"/>
      <c r="AZ712" s="10"/>
      <c r="BA712" s="16"/>
      <c r="BB712" s="16"/>
      <c r="BH712" s="16"/>
    </row>
    <row r="713" spans="17:60" x14ac:dyDescent="0.2"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K713" s="10"/>
      <c r="AL713" s="10"/>
      <c r="AM713" s="10"/>
      <c r="AN713" s="10"/>
      <c r="AO713" s="10"/>
      <c r="AP713" s="10"/>
      <c r="AQ713" s="10"/>
      <c r="AR713" s="16"/>
      <c r="AS713" s="16"/>
      <c r="AT713" s="16"/>
      <c r="AU713" s="10"/>
      <c r="AV713" s="10"/>
      <c r="AW713" s="10"/>
      <c r="AX713" s="10"/>
      <c r="AY713" s="10"/>
      <c r="AZ713" s="10"/>
      <c r="BA713" s="16"/>
      <c r="BB713" s="16"/>
      <c r="BH713" s="16"/>
    </row>
    <row r="714" spans="17:60" x14ac:dyDescent="0.2"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K714" s="10"/>
      <c r="AL714" s="10"/>
      <c r="AM714" s="10"/>
      <c r="AN714" s="10"/>
      <c r="AO714" s="10"/>
      <c r="AP714" s="10"/>
      <c r="AQ714" s="10"/>
      <c r="AR714" s="16"/>
      <c r="AS714" s="16"/>
      <c r="AT714" s="16"/>
      <c r="AU714" s="10"/>
      <c r="AV714" s="10"/>
      <c r="AW714" s="10"/>
      <c r="AX714" s="10"/>
      <c r="AY714" s="10"/>
      <c r="AZ714" s="10"/>
      <c r="BA714" s="16"/>
      <c r="BB714" s="16"/>
      <c r="BH714" s="16"/>
    </row>
    <row r="715" spans="17:60" x14ac:dyDescent="0.2"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K715" s="10"/>
      <c r="AL715" s="10"/>
      <c r="AM715" s="10"/>
      <c r="AN715" s="10"/>
      <c r="AO715" s="10"/>
      <c r="AP715" s="10"/>
      <c r="AQ715" s="10"/>
      <c r="AR715" s="16"/>
      <c r="AS715" s="16"/>
      <c r="AT715" s="16"/>
      <c r="AU715" s="10"/>
      <c r="AV715" s="10"/>
      <c r="AW715" s="10"/>
      <c r="AX715" s="10"/>
      <c r="AY715" s="10"/>
      <c r="AZ715" s="10"/>
      <c r="BA715" s="16"/>
      <c r="BB715" s="16"/>
      <c r="BH715" s="16"/>
    </row>
    <row r="716" spans="17:60" x14ac:dyDescent="0.2"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K716" s="10"/>
      <c r="AL716" s="10"/>
      <c r="AM716" s="10"/>
      <c r="AN716" s="10"/>
      <c r="AO716" s="10"/>
      <c r="AP716" s="10"/>
      <c r="AQ716" s="10"/>
      <c r="AR716" s="16"/>
      <c r="AS716" s="16"/>
      <c r="AT716" s="16"/>
      <c r="AU716" s="10"/>
      <c r="AV716" s="10"/>
      <c r="AW716" s="10"/>
      <c r="AX716" s="10"/>
      <c r="AY716" s="10"/>
      <c r="AZ716" s="10"/>
      <c r="BA716" s="16"/>
      <c r="BB716" s="16"/>
      <c r="BH716" s="16"/>
    </row>
    <row r="717" spans="17:60" x14ac:dyDescent="0.2"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K717" s="10"/>
      <c r="AL717" s="10"/>
      <c r="AM717" s="10"/>
      <c r="AN717" s="10"/>
      <c r="AO717" s="10"/>
      <c r="AP717" s="10"/>
      <c r="AQ717" s="10"/>
      <c r="AR717" s="16"/>
      <c r="AS717" s="16"/>
      <c r="AT717" s="16"/>
      <c r="AU717" s="10"/>
      <c r="AV717" s="10"/>
      <c r="AW717" s="10"/>
      <c r="AX717" s="10"/>
      <c r="AY717" s="10"/>
      <c r="AZ717" s="10"/>
      <c r="BA717" s="16"/>
      <c r="BB717" s="16"/>
      <c r="BH717" s="16"/>
    </row>
    <row r="718" spans="17:60" x14ac:dyDescent="0.2"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K718" s="10"/>
      <c r="AL718" s="10"/>
      <c r="AM718" s="10"/>
      <c r="AN718" s="10"/>
      <c r="AO718" s="10"/>
      <c r="AP718" s="10"/>
      <c r="AQ718" s="10"/>
      <c r="AR718" s="16"/>
      <c r="AS718" s="16"/>
      <c r="AT718" s="16"/>
      <c r="AU718" s="10"/>
      <c r="AV718" s="10"/>
      <c r="AW718" s="10"/>
      <c r="AX718" s="10"/>
      <c r="AY718" s="10"/>
      <c r="AZ718" s="10"/>
      <c r="BA718" s="16"/>
      <c r="BB718" s="16"/>
      <c r="BH718" s="16"/>
    </row>
    <row r="719" spans="17:60" x14ac:dyDescent="0.2"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K719" s="10"/>
      <c r="AL719" s="10"/>
      <c r="AM719" s="10"/>
      <c r="AN719" s="10"/>
      <c r="AO719" s="10"/>
      <c r="AP719" s="10"/>
      <c r="AQ719" s="10"/>
      <c r="AR719" s="16"/>
      <c r="AS719" s="16"/>
      <c r="AT719" s="16"/>
      <c r="AU719" s="10"/>
      <c r="AV719" s="10"/>
      <c r="AW719" s="10"/>
      <c r="AX719" s="10"/>
      <c r="AY719" s="10"/>
      <c r="AZ719" s="10"/>
      <c r="BA719" s="16"/>
      <c r="BB719" s="16"/>
      <c r="BH719" s="16"/>
    </row>
    <row r="720" spans="17:60" x14ac:dyDescent="0.2"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K720" s="10"/>
      <c r="AL720" s="10"/>
      <c r="AM720" s="10"/>
      <c r="AN720" s="10"/>
      <c r="AO720" s="10"/>
      <c r="AP720" s="10"/>
      <c r="AQ720" s="10"/>
      <c r="AR720" s="16"/>
      <c r="AS720" s="16"/>
      <c r="AT720" s="16"/>
      <c r="AU720" s="10"/>
      <c r="AV720" s="10"/>
      <c r="AW720" s="10"/>
      <c r="AX720" s="10"/>
      <c r="AY720" s="10"/>
      <c r="AZ720" s="10"/>
      <c r="BA720" s="16"/>
      <c r="BB720" s="16"/>
      <c r="BH720" s="16"/>
    </row>
    <row r="721" spans="17:60" x14ac:dyDescent="0.2"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K721" s="10"/>
      <c r="AL721" s="10"/>
      <c r="AM721" s="10"/>
      <c r="AN721" s="10"/>
      <c r="AO721" s="10"/>
      <c r="AP721" s="10"/>
      <c r="AQ721" s="10"/>
      <c r="AR721" s="16"/>
      <c r="AS721" s="16"/>
      <c r="AT721" s="16"/>
      <c r="AU721" s="10"/>
      <c r="AV721" s="10"/>
      <c r="AW721" s="10"/>
      <c r="AX721" s="10"/>
      <c r="AY721" s="10"/>
      <c r="AZ721" s="10"/>
      <c r="BA721" s="16"/>
      <c r="BB721" s="16"/>
      <c r="BH721" s="16"/>
    </row>
    <row r="722" spans="17:60" x14ac:dyDescent="0.2"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K722" s="10"/>
      <c r="AL722" s="10"/>
      <c r="AM722" s="10"/>
      <c r="AN722" s="10"/>
      <c r="AO722" s="10"/>
      <c r="AP722" s="10"/>
      <c r="AQ722" s="10"/>
      <c r="AR722" s="16"/>
      <c r="AS722" s="16"/>
      <c r="AT722" s="16"/>
      <c r="AU722" s="10"/>
      <c r="AV722" s="10"/>
      <c r="AW722" s="10"/>
      <c r="AX722" s="10"/>
      <c r="AY722" s="10"/>
      <c r="AZ722" s="10"/>
      <c r="BA722" s="16"/>
      <c r="BB722" s="16"/>
      <c r="BH722" s="16"/>
    </row>
    <row r="723" spans="17:60" x14ac:dyDescent="0.2"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K723" s="10"/>
      <c r="AL723" s="10"/>
      <c r="AM723" s="10"/>
      <c r="AN723" s="10"/>
      <c r="AO723" s="10"/>
      <c r="AP723" s="10"/>
      <c r="AQ723" s="10"/>
      <c r="AR723" s="16"/>
      <c r="AS723" s="16"/>
      <c r="AT723" s="16"/>
      <c r="AU723" s="10"/>
      <c r="AV723" s="10"/>
      <c r="AW723" s="10"/>
      <c r="AX723" s="10"/>
      <c r="AY723" s="10"/>
      <c r="AZ723" s="10"/>
      <c r="BA723" s="16"/>
      <c r="BB723" s="16"/>
      <c r="BH723" s="16"/>
    </row>
    <row r="724" spans="17:60" x14ac:dyDescent="0.2"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K724" s="10"/>
      <c r="AL724" s="10"/>
      <c r="AM724" s="10"/>
      <c r="AN724" s="10"/>
      <c r="AO724" s="10"/>
      <c r="AP724" s="10"/>
      <c r="AQ724" s="10"/>
      <c r="AR724" s="16"/>
      <c r="AS724" s="16"/>
      <c r="AT724" s="16"/>
      <c r="AU724" s="10"/>
      <c r="AV724" s="10"/>
      <c r="AW724" s="10"/>
      <c r="AX724" s="10"/>
      <c r="AY724" s="10"/>
      <c r="AZ724" s="10"/>
      <c r="BA724" s="16"/>
      <c r="BB724" s="16"/>
      <c r="BH724" s="16"/>
    </row>
    <row r="725" spans="17:60" x14ac:dyDescent="0.2"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K725" s="10"/>
      <c r="AL725" s="10"/>
      <c r="AM725" s="10"/>
      <c r="AN725" s="10"/>
      <c r="AO725" s="10"/>
      <c r="AP725" s="10"/>
      <c r="AQ725" s="10"/>
      <c r="AR725" s="16"/>
      <c r="AS725" s="16"/>
      <c r="AT725" s="16"/>
      <c r="AU725" s="10"/>
      <c r="AV725" s="10"/>
      <c r="AW725" s="10"/>
      <c r="AX725" s="10"/>
      <c r="AY725" s="10"/>
      <c r="AZ725" s="10"/>
      <c r="BA725" s="16"/>
      <c r="BB725" s="16"/>
      <c r="BH725" s="16"/>
    </row>
    <row r="726" spans="17:60" x14ac:dyDescent="0.2"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K726" s="10"/>
      <c r="AL726" s="10"/>
      <c r="AM726" s="10"/>
      <c r="AN726" s="10"/>
      <c r="AO726" s="10"/>
      <c r="AP726" s="10"/>
      <c r="AQ726" s="10"/>
      <c r="AR726" s="16"/>
      <c r="AS726" s="16"/>
      <c r="AT726" s="16"/>
      <c r="AU726" s="10"/>
      <c r="AV726" s="10"/>
      <c r="AW726" s="10"/>
      <c r="AX726" s="10"/>
      <c r="AY726" s="10"/>
      <c r="AZ726" s="10"/>
      <c r="BA726" s="16"/>
      <c r="BB726" s="16"/>
      <c r="BH726" s="16"/>
    </row>
    <row r="727" spans="17:60" x14ac:dyDescent="0.2"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K727" s="10"/>
      <c r="AL727" s="10"/>
      <c r="AM727" s="10"/>
      <c r="AN727" s="10"/>
      <c r="AO727" s="10"/>
      <c r="AP727" s="10"/>
      <c r="AQ727" s="10"/>
      <c r="AR727" s="16"/>
      <c r="AS727" s="16"/>
      <c r="AT727" s="16"/>
      <c r="AU727" s="10"/>
      <c r="AV727" s="10"/>
      <c r="AW727" s="10"/>
      <c r="AX727" s="10"/>
      <c r="AY727" s="10"/>
      <c r="AZ727" s="10"/>
      <c r="BA727" s="16"/>
      <c r="BB727" s="16"/>
      <c r="BH727" s="16"/>
    </row>
    <row r="728" spans="17:60" x14ac:dyDescent="0.2"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K728" s="10"/>
      <c r="AL728" s="10"/>
      <c r="AM728" s="10"/>
      <c r="AN728" s="10"/>
      <c r="AO728" s="10"/>
      <c r="AP728" s="10"/>
      <c r="AQ728" s="10"/>
      <c r="AR728" s="16"/>
      <c r="AS728" s="16"/>
      <c r="AT728" s="16"/>
      <c r="AU728" s="10"/>
      <c r="AV728" s="10"/>
      <c r="AW728" s="10"/>
      <c r="AX728" s="10"/>
      <c r="AY728" s="10"/>
      <c r="AZ728" s="10"/>
      <c r="BA728" s="16"/>
      <c r="BB728" s="16"/>
      <c r="BH728" s="16"/>
    </row>
    <row r="729" spans="17:60" x14ac:dyDescent="0.2"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K729" s="10"/>
      <c r="AL729" s="10"/>
      <c r="AM729" s="10"/>
      <c r="AN729" s="10"/>
      <c r="AO729" s="10"/>
      <c r="AP729" s="10"/>
      <c r="AQ729" s="10"/>
      <c r="AR729" s="16"/>
      <c r="AS729" s="16"/>
      <c r="AT729" s="16"/>
      <c r="AU729" s="10"/>
      <c r="AV729" s="10"/>
      <c r="AW729" s="10"/>
      <c r="AX729" s="10"/>
      <c r="AY729" s="10"/>
      <c r="AZ729" s="10"/>
      <c r="BA729" s="16"/>
      <c r="BB729" s="16"/>
      <c r="BH729" s="16"/>
    </row>
    <row r="730" spans="17:60" x14ac:dyDescent="0.2"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K730" s="10"/>
      <c r="AL730" s="10"/>
      <c r="AM730" s="10"/>
      <c r="AN730" s="10"/>
      <c r="AO730" s="10"/>
      <c r="AP730" s="10"/>
      <c r="AQ730" s="10"/>
      <c r="AR730" s="16"/>
      <c r="AS730" s="16"/>
      <c r="AT730" s="16"/>
      <c r="AU730" s="10"/>
      <c r="AV730" s="10"/>
      <c r="AW730" s="10"/>
      <c r="AX730" s="10"/>
      <c r="AY730" s="10"/>
      <c r="AZ730" s="10"/>
      <c r="BA730" s="16"/>
      <c r="BB730" s="16"/>
      <c r="BH730" s="16"/>
    </row>
    <row r="731" spans="17:60" x14ac:dyDescent="0.2"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K731" s="10"/>
      <c r="AL731" s="10"/>
      <c r="AM731" s="10"/>
      <c r="AN731" s="10"/>
      <c r="AO731" s="10"/>
      <c r="AP731" s="10"/>
      <c r="AQ731" s="10"/>
      <c r="AR731" s="16"/>
      <c r="AS731" s="16"/>
      <c r="AT731" s="16"/>
      <c r="AU731" s="10"/>
      <c r="AV731" s="10"/>
      <c r="AW731" s="10"/>
      <c r="AX731" s="10"/>
      <c r="AY731" s="10"/>
      <c r="AZ731" s="10"/>
      <c r="BA731" s="16"/>
      <c r="BB731" s="16"/>
      <c r="BH731" s="16"/>
    </row>
    <row r="732" spans="17:60" x14ac:dyDescent="0.2"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K732" s="10"/>
      <c r="AL732" s="10"/>
      <c r="AM732" s="10"/>
      <c r="AN732" s="10"/>
      <c r="AO732" s="10"/>
      <c r="AP732" s="10"/>
      <c r="AQ732" s="10"/>
      <c r="AR732" s="16"/>
      <c r="AS732" s="16"/>
      <c r="AT732" s="16"/>
      <c r="AU732" s="10"/>
      <c r="AV732" s="10"/>
      <c r="AW732" s="10"/>
      <c r="AX732" s="10"/>
      <c r="AY732" s="10"/>
      <c r="AZ732" s="10"/>
      <c r="BA732" s="16"/>
      <c r="BB732" s="16"/>
      <c r="BH732" s="16"/>
    </row>
    <row r="733" spans="17:60" x14ac:dyDescent="0.2"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K733" s="10"/>
      <c r="AL733" s="10"/>
      <c r="AM733" s="10"/>
      <c r="AN733" s="10"/>
      <c r="AO733" s="10"/>
      <c r="AP733" s="10"/>
      <c r="AQ733" s="10"/>
      <c r="AR733" s="16"/>
      <c r="AS733" s="16"/>
      <c r="AT733" s="16"/>
      <c r="AU733" s="10"/>
      <c r="AV733" s="10"/>
      <c r="AW733" s="10"/>
      <c r="AX733" s="10"/>
      <c r="AY733" s="10"/>
      <c r="AZ733" s="10"/>
      <c r="BA733" s="16"/>
      <c r="BB733" s="16"/>
      <c r="BH733" s="16"/>
    </row>
    <row r="734" spans="17:60" x14ac:dyDescent="0.2"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K734" s="10"/>
      <c r="AL734" s="10"/>
      <c r="AM734" s="10"/>
      <c r="AN734" s="10"/>
      <c r="AO734" s="10"/>
      <c r="AP734" s="10"/>
      <c r="AQ734" s="10"/>
      <c r="AR734" s="16"/>
      <c r="AS734" s="16"/>
      <c r="AT734" s="16"/>
      <c r="AU734" s="10"/>
      <c r="AV734" s="10"/>
      <c r="AW734" s="10"/>
      <c r="AX734" s="10"/>
      <c r="AY734" s="10"/>
      <c r="AZ734" s="10"/>
      <c r="BA734" s="16"/>
      <c r="BB734" s="16"/>
      <c r="BH734" s="16"/>
    </row>
    <row r="735" spans="17:60" x14ac:dyDescent="0.2"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K735" s="10"/>
      <c r="AL735" s="10"/>
      <c r="AM735" s="10"/>
      <c r="AN735" s="10"/>
      <c r="AO735" s="10"/>
      <c r="AP735" s="10"/>
      <c r="AQ735" s="10"/>
      <c r="AR735" s="16"/>
      <c r="AS735" s="16"/>
      <c r="AT735" s="16"/>
      <c r="AU735" s="10"/>
      <c r="AV735" s="10"/>
      <c r="AW735" s="10"/>
      <c r="AX735" s="10"/>
      <c r="AY735" s="10"/>
      <c r="AZ735" s="10"/>
      <c r="BA735" s="16"/>
      <c r="BB735" s="16"/>
      <c r="BH735" s="16"/>
    </row>
    <row r="736" spans="17:60" x14ac:dyDescent="0.2"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K736" s="10"/>
      <c r="AL736" s="10"/>
      <c r="AM736" s="10"/>
      <c r="AN736" s="10"/>
      <c r="AO736" s="10"/>
      <c r="AP736" s="10"/>
      <c r="AQ736" s="10"/>
      <c r="AR736" s="16"/>
      <c r="AS736" s="16"/>
      <c r="AT736" s="16"/>
      <c r="AU736" s="10"/>
      <c r="AV736" s="10"/>
      <c r="AW736" s="10"/>
      <c r="AX736" s="10"/>
      <c r="AY736" s="10"/>
      <c r="AZ736" s="10"/>
      <c r="BA736" s="16"/>
      <c r="BB736" s="16"/>
      <c r="BH736" s="16"/>
    </row>
    <row r="737" spans="17:60" x14ac:dyDescent="0.2"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K737" s="10"/>
      <c r="AL737" s="10"/>
      <c r="AM737" s="10"/>
      <c r="AN737" s="10"/>
      <c r="AO737" s="10"/>
      <c r="AP737" s="10"/>
      <c r="AQ737" s="10"/>
      <c r="AR737" s="16"/>
      <c r="AS737" s="16"/>
      <c r="AT737" s="16"/>
      <c r="AU737" s="10"/>
      <c r="AV737" s="10"/>
      <c r="AW737" s="10"/>
      <c r="AX737" s="10"/>
      <c r="AY737" s="10"/>
      <c r="AZ737" s="10"/>
      <c r="BA737" s="16"/>
      <c r="BB737" s="16"/>
      <c r="BH737" s="16"/>
    </row>
    <row r="738" spans="17:60" x14ac:dyDescent="0.2"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K738" s="10"/>
      <c r="AL738" s="10"/>
      <c r="AM738" s="10"/>
      <c r="AN738" s="10"/>
      <c r="AO738" s="10"/>
      <c r="AP738" s="10"/>
      <c r="AQ738" s="10"/>
      <c r="AR738" s="16"/>
      <c r="AS738" s="16"/>
      <c r="AT738" s="16"/>
      <c r="AU738" s="10"/>
      <c r="AV738" s="10"/>
      <c r="AW738" s="10"/>
      <c r="AX738" s="10"/>
      <c r="AY738" s="10"/>
      <c r="AZ738" s="10"/>
      <c r="BA738" s="16"/>
      <c r="BB738" s="16"/>
      <c r="BH738" s="16"/>
    </row>
    <row r="739" spans="17:60" x14ac:dyDescent="0.2"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K739" s="10"/>
      <c r="AL739" s="10"/>
      <c r="AM739" s="10"/>
      <c r="AN739" s="10"/>
      <c r="AO739" s="10"/>
      <c r="AP739" s="10"/>
      <c r="AQ739" s="10"/>
      <c r="AR739" s="16"/>
      <c r="AS739" s="16"/>
      <c r="AT739" s="16"/>
      <c r="AU739" s="10"/>
      <c r="AV739" s="10"/>
      <c r="AW739" s="10"/>
      <c r="AX739" s="10"/>
      <c r="AY739" s="10"/>
      <c r="AZ739" s="10"/>
      <c r="BA739" s="16"/>
      <c r="BB739" s="16"/>
      <c r="BH739" s="16"/>
    </row>
    <row r="740" spans="17:60" x14ac:dyDescent="0.2"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K740" s="10"/>
      <c r="AL740" s="10"/>
      <c r="AM740" s="10"/>
      <c r="AN740" s="10"/>
      <c r="AO740" s="10"/>
      <c r="AP740" s="10"/>
      <c r="AQ740" s="10"/>
      <c r="AR740" s="16"/>
      <c r="AS740" s="16"/>
      <c r="AT740" s="16"/>
      <c r="AU740" s="10"/>
      <c r="AV740" s="10"/>
      <c r="AW740" s="10"/>
      <c r="AX740" s="10"/>
      <c r="AY740" s="10"/>
      <c r="AZ740" s="10"/>
      <c r="BA740" s="16"/>
      <c r="BB740" s="16"/>
      <c r="BH740" s="16"/>
    </row>
    <row r="741" spans="17:60" x14ac:dyDescent="0.2"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K741" s="10"/>
      <c r="AL741" s="10"/>
      <c r="AM741" s="10"/>
      <c r="AN741" s="10"/>
      <c r="AO741" s="10"/>
      <c r="AP741" s="10"/>
      <c r="AQ741" s="10"/>
      <c r="AR741" s="16"/>
      <c r="AS741" s="16"/>
      <c r="AT741" s="16"/>
      <c r="AU741" s="10"/>
      <c r="AV741" s="10"/>
      <c r="AW741" s="10"/>
      <c r="AX741" s="10"/>
      <c r="AY741" s="10"/>
      <c r="AZ741" s="10"/>
      <c r="BA741" s="16"/>
      <c r="BB741" s="16"/>
      <c r="BH741" s="16"/>
    </row>
    <row r="742" spans="17:60" x14ac:dyDescent="0.2"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K742" s="10"/>
      <c r="AL742" s="10"/>
      <c r="AM742" s="10"/>
      <c r="AN742" s="10"/>
      <c r="AO742" s="10"/>
      <c r="AP742" s="10"/>
      <c r="AQ742" s="10"/>
      <c r="AR742" s="16"/>
      <c r="AS742" s="16"/>
      <c r="AT742" s="16"/>
      <c r="AU742" s="10"/>
      <c r="AV742" s="10"/>
      <c r="AW742" s="10"/>
      <c r="AX742" s="10"/>
      <c r="AY742" s="10"/>
      <c r="AZ742" s="10"/>
      <c r="BA742" s="16"/>
      <c r="BB742" s="16"/>
      <c r="BH742" s="16"/>
    </row>
    <row r="743" spans="17:60" x14ac:dyDescent="0.2"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K743" s="10"/>
      <c r="AL743" s="10"/>
      <c r="AM743" s="10"/>
      <c r="AN743" s="10"/>
      <c r="AO743" s="10"/>
      <c r="AP743" s="10"/>
      <c r="AQ743" s="10"/>
      <c r="AR743" s="16"/>
      <c r="AS743" s="16"/>
      <c r="AT743" s="16"/>
      <c r="AU743" s="10"/>
      <c r="AV743" s="10"/>
      <c r="AW743" s="10"/>
      <c r="AX743" s="10"/>
      <c r="AY743" s="10"/>
      <c r="AZ743" s="10"/>
      <c r="BA743" s="16"/>
      <c r="BB743" s="16"/>
      <c r="BH743" s="16"/>
    </row>
    <row r="744" spans="17:60" x14ac:dyDescent="0.2"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K744" s="10"/>
      <c r="AL744" s="10"/>
      <c r="AM744" s="10"/>
      <c r="AN744" s="10"/>
      <c r="AO744" s="10"/>
      <c r="AP744" s="10"/>
      <c r="AQ744" s="10"/>
      <c r="AR744" s="16"/>
      <c r="AS744" s="16"/>
      <c r="AT744" s="16"/>
      <c r="AU744" s="10"/>
      <c r="AV744" s="10"/>
      <c r="AW744" s="10"/>
      <c r="AX744" s="10"/>
      <c r="AY744" s="10"/>
      <c r="AZ744" s="10"/>
      <c r="BA744" s="16"/>
      <c r="BB744" s="16"/>
      <c r="BH744" s="16"/>
    </row>
    <row r="745" spans="17:60" x14ac:dyDescent="0.2"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K745" s="10"/>
      <c r="AL745" s="10"/>
      <c r="AM745" s="10"/>
      <c r="AN745" s="10"/>
      <c r="AO745" s="10"/>
      <c r="AP745" s="10"/>
      <c r="AQ745" s="10"/>
      <c r="AR745" s="16"/>
      <c r="AS745" s="16"/>
      <c r="AT745" s="16"/>
      <c r="AU745" s="10"/>
      <c r="AV745" s="10"/>
      <c r="AW745" s="10"/>
      <c r="AX745" s="10"/>
      <c r="AY745" s="10"/>
      <c r="AZ745" s="10"/>
      <c r="BA745" s="16"/>
      <c r="BB745" s="16"/>
      <c r="BH745" s="16"/>
    </row>
    <row r="746" spans="17:60" x14ac:dyDescent="0.2"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K746" s="10"/>
      <c r="AL746" s="10"/>
      <c r="AM746" s="10"/>
      <c r="AN746" s="10"/>
      <c r="AO746" s="10"/>
      <c r="AP746" s="10"/>
      <c r="AQ746" s="10"/>
      <c r="AR746" s="16"/>
      <c r="AS746" s="16"/>
      <c r="AT746" s="16"/>
      <c r="AU746" s="10"/>
      <c r="AV746" s="10"/>
      <c r="AW746" s="10"/>
      <c r="AX746" s="10"/>
      <c r="AY746" s="10"/>
      <c r="AZ746" s="10"/>
      <c r="BA746" s="16"/>
      <c r="BB746" s="16"/>
      <c r="BH746" s="16"/>
    </row>
    <row r="747" spans="17:60" x14ac:dyDescent="0.2"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K747" s="10"/>
      <c r="AL747" s="10"/>
      <c r="AM747" s="10"/>
      <c r="AN747" s="10"/>
      <c r="AO747" s="10"/>
      <c r="AP747" s="10"/>
      <c r="AQ747" s="10"/>
      <c r="AR747" s="16"/>
      <c r="AS747" s="16"/>
      <c r="AT747" s="16"/>
      <c r="AU747" s="10"/>
      <c r="AV747" s="10"/>
      <c r="AW747" s="10"/>
      <c r="AX747" s="10"/>
      <c r="AY747" s="10"/>
      <c r="AZ747" s="10"/>
      <c r="BA747" s="16"/>
      <c r="BB747" s="16"/>
      <c r="BH747" s="16"/>
    </row>
    <row r="748" spans="17:60" x14ac:dyDescent="0.2"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K748" s="10"/>
      <c r="AL748" s="10"/>
      <c r="AM748" s="10"/>
      <c r="AN748" s="10"/>
      <c r="AO748" s="10"/>
      <c r="AP748" s="10"/>
      <c r="AQ748" s="10"/>
      <c r="AR748" s="16"/>
      <c r="AS748" s="16"/>
      <c r="AT748" s="16"/>
      <c r="AU748" s="10"/>
      <c r="AV748" s="10"/>
      <c r="AW748" s="10"/>
      <c r="AX748" s="10"/>
      <c r="AY748" s="10"/>
      <c r="AZ748" s="10"/>
      <c r="BA748" s="16"/>
      <c r="BB748" s="16"/>
      <c r="BH748" s="16"/>
    </row>
    <row r="749" spans="17:60" x14ac:dyDescent="0.2"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K749" s="10"/>
      <c r="AL749" s="10"/>
      <c r="AM749" s="10"/>
      <c r="AN749" s="10"/>
      <c r="AO749" s="10"/>
      <c r="AP749" s="10"/>
      <c r="AQ749" s="10"/>
      <c r="AR749" s="16"/>
      <c r="AS749" s="16"/>
      <c r="AT749" s="16"/>
      <c r="AU749" s="10"/>
      <c r="AV749" s="10"/>
      <c r="AW749" s="10"/>
      <c r="AX749" s="10"/>
      <c r="AY749" s="10"/>
      <c r="AZ749" s="10"/>
      <c r="BA749" s="16"/>
      <c r="BB749" s="16"/>
      <c r="BH749" s="16"/>
    </row>
    <row r="750" spans="17:60" x14ac:dyDescent="0.2"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K750" s="10"/>
      <c r="AL750" s="10"/>
      <c r="AM750" s="10"/>
      <c r="AN750" s="10"/>
      <c r="AO750" s="10"/>
      <c r="AP750" s="10"/>
      <c r="AQ750" s="10"/>
      <c r="AR750" s="16"/>
      <c r="AS750" s="16"/>
      <c r="AT750" s="16"/>
      <c r="AU750" s="10"/>
      <c r="AV750" s="10"/>
      <c r="AW750" s="10"/>
      <c r="AX750" s="10"/>
      <c r="AY750" s="10"/>
      <c r="AZ750" s="10"/>
      <c r="BA750" s="16"/>
      <c r="BB750" s="16"/>
      <c r="BH750" s="16"/>
    </row>
    <row r="751" spans="17:60" x14ac:dyDescent="0.2"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K751" s="10"/>
      <c r="AL751" s="10"/>
      <c r="AM751" s="10"/>
      <c r="AN751" s="10"/>
      <c r="AO751" s="10"/>
      <c r="AP751" s="10"/>
      <c r="AQ751" s="10"/>
      <c r="AR751" s="16"/>
      <c r="AS751" s="16"/>
      <c r="AT751" s="16"/>
      <c r="AU751" s="10"/>
      <c r="AV751" s="10"/>
      <c r="AW751" s="10"/>
      <c r="AX751" s="10"/>
      <c r="AY751" s="10"/>
      <c r="AZ751" s="10"/>
      <c r="BA751" s="16"/>
      <c r="BB751" s="16"/>
      <c r="BH751" s="16"/>
    </row>
    <row r="752" spans="17:60" x14ac:dyDescent="0.2"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K752" s="10"/>
      <c r="AL752" s="10"/>
      <c r="AM752" s="10"/>
      <c r="AN752" s="10"/>
      <c r="AO752" s="10"/>
      <c r="AP752" s="10"/>
      <c r="AQ752" s="10"/>
      <c r="AR752" s="16"/>
      <c r="AS752" s="16"/>
      <c r="AT752" s="16"/>
      <c r="AU752" s="10"/>
      <c r="AV752" s="10"/>
      <c r="AW752" s="10"/>
      <c r="AX752" s="10"/>
      <c r="AY752" s="10"/>
      <c r="AZ752" s="10"/>
      <c r="BA752" s="16"/>
      <c r="BB752" s="16"/>
      <c r="BH752" s="16"/>
    </row>
    <row r="753" spans="17:60" x14ac:dyDescent="0.2"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K753" s="10"/>
      <c r="AL753" s="10"/>
      <c r="AM753" s="10"/>
      <c r="AN753" s="10"/>
      <c r="AO753" s="10"/>
      <c r="AP753" s="10"/>
      <c r="AQ753" s="10"/>
      <c r="AR753" s="16"/>
      <c r="AS753" s="16"/>
      <c r="AT753" s="16"/>
      <c r="AU753" s="10"/>
      <c r="AV753" s="10"/>
      <c r="AW753" s="10"/>
      <c r="AX753" s="10"/>
      <c r="AY753" s="10"/>
      <c r="AZ753" s="10"/>
      <c r="BA753" s="16"/>
      <c r="BB753" s="16"/>
      <c r="BH753" s="16"/>
    </row>
    <row r="754" spans="17:60" x14ac:dyDescent="0.2"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K754" s="10"/>
      <c r="AL754" s="10"/>
      <c r="AM754" s="10"/>
      <c r="AN754" s="10"/>
      <c r="AO754" s="10"/>
      <c r="AP754" s="10"/>
      <c r="AQ754" s="10"/>
      <c r="AR754" s="16"/>
      <c r="AS754" s="16"/>
      <c r="AT754" s="16"/>
      <c r="AU754" s="10"/>
      <c r="AV754" s="10"/>
      <c r="AW754" s="10"/>
      <c r="AX754" s="10"/>
      <c r="AY754" s="10"/>
      <c r="AZ754" s="10"/>
      <c r="BA754" s="16"/>
      <c r="BB754" s="16"/>
      <c r="BH754" s="16"/>
    </row>
    <row r="755" spans="17:60" x14ac:dyDescent="0.2"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K755" s="10"/>
      <c r="AL755" s="10"/>
      <c r="AM755" s="10"/>
      <c r="AN755" s="10"/>
      <c r="AO755" s="10"/>
      <c r="AP755" s="10"/>
      <c r="AQ755" s="10"/>
      <c r="AR755" s="16"/>
      <c r="AS755" s="16"/>
      <c r="AT755" s="16"/>
      <c r="AU755" s="10"/>
      <c r="AV755" s="10"/>
      <c r="AW755" s="10"/>
      <c r="AX755" s="10"/>
      <c r="AY755" s="10"/>
      <c r="AZ755" s="10"/>
      <c r="BA755" s="16"/>
      <c r="BB755" s="16"/>
      <c r="BH755" s="16"/>
    </row>
    <row r="756" spans="17:60" x14ac:dyDescent="0.2"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K756" s="10"/>
      <c r="AL756" s="10"/>
      <c r="AM756" s="10"/>
      <c r="AN756" s="10"/>
      <c r="AO756" s="10"/>
      <c r="AP756" s="10"/>
      <c r="AQ756" s="10"/>
      <c r="AR756" s="16"/>
      <c r="AS756" s="16"/>
      <c r="AT756" s="16"/>
      <c r="AU756" s="10"/>
      <c r="AV756" s="10"/>
      <c r="AW756" s="10"/>
      <c r="AX756" s="10"/>
      <c r="AY756" s="10"/>
      <c r="AZ756" s="10"/>
      <c r="BA756" s="16"/>
      <c r="BB756" s="16"/>
      <c r="BH756" s="16"/>
    </row>
    <row r="757" spans="17:60" x14ac:dyDescent="0.2"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K757" s="10"/>
      <c r="AL757" s="10"/>
      <c r="AM757" s="10"/>
      <c r="AN757" s="10"/>
      <c r="AO757" s="10"/>
      <c r="AP757" s="10"/>
      <c r="AQ757" s="10"/>
      <c r="AR757" s="16"/>
      <c r="AS757" s="16"/>
      <c r="AT757" s="16"/>
      <c r="AU757" s="10"/>
      <c r="AV757" s="10"/>
      <c r="AW757" s="10"/>
      <c r="AX757" s="10"/>
      <c r="AY757" s="10"/>
      <c r="AZ757" s="10"/>
      <c r="BA757" s="16"/>
      <c r="BB757" s="16"/>
      <c r="BH757" s="16"/>
    </row>
    <row r="758" spans="17:60" x14ac:dyDescent="0.2"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K758" s="10"/>
      <c r="AL758" s="10"/>
      <c r="AM758" s="10"/>
      <c r="AN758" s="10"/>
      <c r="AO758" s="10"/>
      <c r="AP758" s="10"/>
      <c r="AQ758" s="10"/>
      <c r="AR758" s="16"/>
      <c r="AS758" s="16"/>
      <c r="AT758" s="16"/>
      <c r="AU758" s="10"/>
      <c r="AV758" s="10"/>
      <c r="AW758" s="10"/>
      <c r="AX758" s="10"/>
      <c r="AY758" s="10"/>
      <c r="AZ758" s="10"/>
      <c r="BA758" s="16"/>
      <c r="BB758" s="16"/>
      <c r="BH758" s="16"/>
    </row>
    <row r="759" spans="17:60" x14ac:dyDescent="0.2"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K759" s="10"/>
      <c r="AL759" s="10"/>
      <c r="AM759" s="10"/>
      <c r="AN759" s="10"/>
      <c r="AO759" s="10"/>
      <c r="AP759" s="10"/>
      <c r="AQ759" s="10"/>
      <c r="AR759" s="16"/>
      <c r="AS759" s="16"/>
      <c r="AT759" s="16"/>
      <c r="AU759" s="10"/>
      <c r="AV759" s="10"/>
      <c r="AW759" s="10"/>
      <c r="AX759" s="10"/>
      <c r="AY759" s="10"/>
      <c r="AZ759" s="10"/>
      <c r="BA759" s="16"/>
      <c r="BB759" s="16"/>
      <c r="BH759" s="16"/>
    </row>
    <row r="760" spans="17:60" x14ac:dyDescent="0.2"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K760" s="10"/>
      <c r="AL760" s="10"/>
      <c r="AM760" s="10"/>
      <c r="AN760" s="10"/>
      <c r="AO760" s="10"/>
      <c r="AP760" s="10"/>
      <c r="AQ760" s="10"/>
      <c r="AR760" s="16"/>
      <c r="AS760" s="16"/>
      <c r="AT760" s="16"/>
      <c r="AU760" s="10"/>
      <c r="AV760" s="10"/>
      <c r="AW760" s="10"/>
      <c r="AX760" s="10"/>
      <c r="AY760" s="10"/>
      <c r="AZ760" s="10"/>
      <c r="BA760" s="16"/>
      <c r="BB760" s="16"/>
      <c r="BH760" s="16"/>
    </row>
    <row r="761" spans="17:60" x14ac:dyDescent="0.2"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K761" s="10"/>
      <c r="AL761" s="10"/>
      <c r="AM761" s="10"/>
      <c r="AN761" s="10"/>
      <c r="AO761" s="10"/>
      <c r="AP761" s="10"/>
      <c r="AQ761" s="10"/>
      <c r="AR761" s="16"/>
      <c r="AS761" s="16"/>
      <c r="AT761" s="16"/>
      <c r="AU761" s="10"/>
      <c r="AV761" s="10"/>
      <c r="AW761" s="10"/>
      <c r="AX761" s="10"/>
      <c r="AY761" s="10"/>
      <c r="AZ761" s="10"/>
      <c r="BA761" s="16"/>
      <c r="BB761" s="16"/>
      <c r="BH761" s="16"/>
    </row>
    <row r="762" spans="17:60" x14ac:dyDescent="0.2"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K762" s="10"/>
      <c r="AL762" s="10"/>
      <c r="AM762" s="10"/>
      <c r="AN762" s="10"/>
      <c r="AO762" s="10"/>
      <c r="AP762" s="10"/>
      <c r="AQ762" s="10"/>
      <c r="AR762" s="16"/>
      <c r="AS762" s="16"/>
      <c r="AT762" s="16"/>
      <c r="AU762" s="10"/>
      <c r="AV762" s="10"/>
      <c r="AW762" s="10"/>
      <c r="AX762" s="10"/>
      <c r="AY762" s="10"/>
      <c r="AZ762" s="10"/>
      <c r="BA762" s="16"/>
      <c r="BB762" s="16"/>
      <c r="BH762" s="16"/>
    </row>
    <row r="763" spans="17:60" x14ac:dyDescent="0.2"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K763" s="10"/>
      <c r="AL763" s="10"/>
      <c r="AM763" s="10"/>
      <c r="AN763" s="10"/>
      <c r="AO763" s="10"/>
      <c r="AP763" s="10"/>
      <c r="AQ763" s="10"/>
      <c r="AR763" s="16"/>
      <c r="AS763" s="16"/>
      <c r="AT763" s="16"/>
      <c r="AU763" s="10"/>
      <c r="AV763" s="10"/>
      <c r="AW763" s="10"/>
      <c r="AX763" s="10"/>
      <c r="AY763" s="10"/>
      <c r="AZ763" s="10"/>
      <c r="BA763" s="16"/>
      <c r="BB763" s="16"/>
      <c r="BH763" s="16"/>
    </row>
    <row r="764" spans="17:60" x14ac:dyDescent="0.2"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K764" s="10"/>
      <c r="AL764" s="10"/>
      <c r="AM764" s="10"/>
      <c r="AN764" s="10"/>
      <c r="AO764" s="10"/>
      <c r="AP764" s="10"/>
      <c r="AQ764" s="10"/>
      <c r="AR764" s="16"/>
      <c r="AS764" s="16"/>
      <c r="AT764" s="16"/>
      <c r="AU764" s="10"/>
      <c r="AV764" s="10"/>
      <c r="AW764" s="10"/>
      <c r="AX764" s="10"/>
      <c r="AY764" s="10"/>
      <c r="AZ764" s="10"/>
      <c r="BA764" s="16"/>
      <c r="BB764" s="16"/>
      <c r="BH764" s="16"/>
    </row>
    <row r="765" spans="17:60" x14ac:dyDescent="0.2"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K765" s="10"/>
      <c r="AL765" s="10"/>
      <c r="AM765" s="10"/>
      <c r="AN765" s="10"/>
      <c r="AO765" s="10"/>
      <c r="AP765" s="10"/>
      <c r="AQ765" s="10"/>
      <c r="AR765" s="16"/>
      <c r="AS765" s="16"/>
      <c r="AT765" s="16"/>
      <c r="AU765" s="10"/>
      <c r="AV765" s="10"/>
      <c r="AW765" s="10"/>
      <c r="AX765" s="10"/>
      <c r="AY765" s="10"/>
      <c r="AZ765" s="10"/>
      <c r="BA765" s="16"/>
      <c r="BB765" s="16"/>
      <c r="BH765" s="16"/>
    </row>
    <row r="766" spans="17:60" x14ac:dyDescent="0.2"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K766" s="10"/>
      <c r="AL766" s="10"/>
      <c r="AM766" s="10"/>
      <c r="AN766" s="10"/>
      <c r="AO766" s="10"/>
      <c r="AP766" s="10"/>
      <c r="AQ766" s="10"/>
      <c r="AR766" s="16"/>
      <c r="AS766" s="16"/>
      <c r="AT766" s="16"/>
      <c r="AU766" s="10"/>
      <c r="AV766" s="10"/>
      <c r="AW766" s="10"/>
      <c r="AX766" s="10"/>
      <c r="AY766" s="10"/>
      <c r="AZ766" s="10"/>
      <c r="BA766" s="16"/>
      <c r="BB766" s="16"/>
      <c r="BH766" s="16"/>
    </row>
    <row r="767" spans="17:60" x14ac:dyDescent="0.2"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K767" s="10"/>
      <c r="AL767" s="10"/>
      <c r="AM767" s="10"/>
      <c r="AN767" s="10"/>
      <c r="AO767" s="10"/>
      <c r="AP767" s="10"/>
      <c r="AQ767" s="10"/>
      <c r="AR767" s="16"/>
      <c r="AS767" s="16"/>
      <c r="AT767" s="16"/>
      <c r="AU767" s="10"/>
      <c r="AV767" s="10"/>
      <c r="AW767" s="10"/>
      <c r="AX767" s="10"/>
      <c r="AY767" s="10"/>
      <c r="AZ767" s="10"/>
      <c r="BA767" s="16"/>
      <c r="BB767" s="16"/>
      <c r="BH767" s="16"/>
    </row>
    <row r="768" spans="17:60" x14ac:dyDescent="0.2"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K768" s="10"/>
      <c r="AL768" s="10"/>
      <c r="AM768" s="10"/>
      <c r="AN768" s="10"/>
      <c r="AO768" s="10"/>
      <c r="AP768" s="10"/>
      <c r="AQ768" s="10"/>
      <c r="AR768" s="16"/>
      <c r="AS768" s="16"/>
      <c r="AT768" s="16"/>
      <c r="AU768" s="10"/>
      <c r="AV768" s="10"/>
      <c r="AW768" s="10"/>
      <c r="AX768" s="10"/>
      <c r="AY768" s="10"/>
      <c r="AZ768" s="10"/>
      <c r="BA768" s="16"/>
      <c r="BB768" s="16"/>
      <c r="BH768" s="16"/>
    </row>
    <row r="769" spans="17:60" x14ac:dyDescent="0.2"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K769" s="10"/>
      <c r="AL769" s="10"/>
      <c r="AM769" s="10"/>
      <c r="AN769" s="10"/>
      <c r="AO769" s="10"/>
      <c r="AP769" s="10"/>
      <c r="AQ769" s="10"/>
      <c r="AR769" s="16"/>
      <c r="AS769" s="16"/>
      <c r="AT769" s="16"/>
      <c r="AU769" s="10"/>
      <c r="AV769" s="10"/>
      <c r="AW769" s="10"/>
      <c r="AX769" s="10"/>
      <c r="AY769" s="10"/>
      <c r="AZ769" s="10"/>
      <c r="BA769" s="16"/>
      <c r="BB769" s="16"/>
      <c r="BH769" s="16"/>
    </row>
    <row r="770" spans="17:60" x14ac:dyDescent="0.2"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K770" s="10"/>
      <c r="AL770" s="10"/>
      <c r="AM770" s="10"/>
      <c r="AN770" s="10"/>
      <c r="AO770" s="10"/>
      <c r="AP770" s="10"/>
      <c r="AQ770" s="10"/>
      <c r="AR770" s="16"/>
      <c r="AS770" s="16"/>
      <c r="AT770" s="16"/>
      <c r="AU770" s="10"/>
      <c r="AV770" s="10"/>
      <c r="AW770" s="10"/>
      <c r="AX770" s="10"/>
      <c r="AY770" s="10"/>
      <c r="AZ770" s="10"/>
      <c r="BA770" s="16"/>
      <c r="BB770" s="16"/>
      <c r="BH770" s="16"/>
    </row>
    <row r="771" spans="17:60" x14ac:dyDescent="0.2"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K771" s="10"/>
      <c r="AL771" s="10"/>
      <c r="AM771" s="10"/>
      <c r="AN771" s="10"/>
      <c r="AO771" s="10"/>
      <c r="AP771" s="10"/>
      <c r="AQ771" s="10"/>
      <c r="AR771" s="16"/>
      <c r="AS771" s="16"/>
      <c r="AT771" s="16"/>
      <c r="AU771" s="10"/>
      <c r="AV771" s="10"/>
      <c r="AW771" s="10"/>
      <c r="AX771" s="10"/>
      <c r="AY771" s="10"/>
      <c r="AZ771" s="10"/>
      <c r="BA771" s="16"/>
      <c r="BB771" s="16"/>
      <c r="BH771" s="16"/>
    </row>
    <row r="772" spans="17:60" x14ac:dyDescent="0.2"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K772" s="10"/>
      <c r="AL772" s="10"/>
      <c r="AM772" s="10"/>
      <c r="AN772" s="10"/>
      <c r="AO772" s="10"/>
      <c r="AP772" s="10"/>
      <c r="AQ772" s="10"/>
      <c r="AR772" s="16"/>
      <c r="AS772" s="16"/>
      <c r="AT772" s="16"/>
      <c r="AU772" s="10"/>
      <c r="AV772" s="10"/>
      <c r="AW772" s="10"/>
      <c r="AX772" s="10"/>
      <c r="AY772" s="10"/>
      <c r="AZ772" s="10"/>
      <c r="BA772" s="16"/>
      <c r="BB772" s="16"/>
      <c r="BH772" s="16"/>
    </row>
    <row r="773" spans="17:60" x14ac:dyDescent="0.2"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K773" s="10"/>
      <c r="AL773" s="10"/>
      <c r="AM773" s="10"/>
      <c r="AN773" s="10"/>
      <c r="AO773" s="10"/>
      <c r="AP773" s="10"/>
      <c r="AQ773" s="10"/>
      <c r="AR773" s="16"/>
      <c r="AS773" s="16"/>
      <c r="AT773" s="16"/>
      <c r="AU773" s="10"/>
      <c r="AV773" s="10"/>
      <c r="AW773" s="10"/>
      <c r="AX773" s="10"/>
      <c r="AY773" s="10"/>
      <c r="AZ773" s="10"/>
      <c r="BA773" s="16"/>
      <c r="BB773" s="16"/>
      <c r="BH773" s="16"/>
    </row>
    <row r="774" spans="17:60" x14ac:dyDescent="0.2"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K774" s="10"/>
      <c r="AL774" s="10"/>
      <c r="AM774" s="10"/>
      <c r="AN774" s="10"/>
      <c r="AO774" s="10"/>
      <c r="AP774" s="10"/>
      <c r="AQ774" s="10"/>
      <c r="AR774" s="16"/>
      <c r="AS774" s="16"/>
      <c r="AT774" s="16"/>
      <c r="AU774" s="10"/>
      <c r="AV774" s="10"/>
      <c r="AW774" s="10"/>
      <c r="AX774" s="10"/>
      <c r="AY774" s="10"/>
      <c r="AZ774" s="10"/>
      <c r="BA774" s="16"/>
      <c r="BB774" s="16"/>
      <c r="BH774" s="16"/>
    </row>
    <row r="775" spans="17:60" x14ac:dyDescent="0.2"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K775" s="10"/>
      <c r="AL775" s="10"/>
      <c r="AM775" s="10"/>
      <c r="AN775" s="10"/>
      <c r="AO775" s="10"/>
      <c r="AP775" s="10"/>
      <c r="AQ775" s="10"/>
      <c r="AR775" s="16"/>
      <c r="AS775" s="16"/>
      <c r="AT775" s="16"/>
      <c r="AU775" s="10"/>
      <c r="AV775" s="10"/>
      <c r="AW775" s="10"/>
      <c r="AX775" s="10"/>
      <c r="AY775" s="10"/>
      <c r="AZ775" s="10"/>
      <c r="BA775" s="16"/>
      <c r="BB775" s="16"/>
      <c r="BH775" s="16"/>
    </row>
    <row r="776" spans="17:60" x14ac:dyDescent="0.2"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K776" s="10"/>
      <c r="AL776" s="10"/>
      <c r="AM776" s="10"/>
      <c r="AN776" s="10"/>
      <c r="AO776" s="10"/>
      <c r="AP776" s="10"/>
      <c r="AQ776" s="10"/>
      <c r="AR776" s="16"/>
      <c r="AS776" s="16"/>
      <c r="AT776" s="16"/>
      <c r="AU776" s="10"/>
      <c r="AV776" s="10"/>
      <c r="AW776" s="10"/>
      <c r="AX776" s="10"/>
      <c r="AY776" s="10"/>
      <c r="AZ776" s="10"/>
      <c r="BA776" s="16"/>
      <c r="BB776" s="16"/>
      <c r="BH776" s="16"/>
    </row>
    <row r="777" spans="17:60" x14ac:dyDescent="0.2"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K777" s="10"/>
      <c r="AL777" s="10"/>
      <c r="AM777" s="10"/>
      <c r="AN777" s="10"/>
      <c r="AO777" s="10"/>
      <c r="AP777" s="10"/>
      <c r="AQ777" s="10"/>
      <c r="AR777" s="16"/>
      <c r="AS777" s="16"/>
      <c r="AT777" s="16"/>
      <c r="AU777" s="10"/>
      <c r="AV777" s="10"/>
      <c r="AW777" s="10"/>
      <c r="AX777" s="10"/>
      <c r="AY777" s="10"/>
      <c r="AZ777" s="10"/>
      <c r="BA777" s="16"/>
      <c r="BB777" s="16"/>
      <c r="BH777" s="16"/>
    </row>
    <row r="778" spans="17:60" x14ac:dyDescent="0.2"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K778" s="10"/>
      <c r="AL778" s="10"/>
      <c r="AM778" s="10"/>
      <c r="AN778" s="10"/>
      <c r="AO778" s="10"/>
      <c r="AP778" s="10"/>
      <c r="AQ778" s="10"/>
      <c r="AR778" s="16"/>
      <c r="AS778" s="16"/>
      <c r="AT778" s="16"/>
      <c r="AU778" s="10"/>
      <c r="AV778" s="10"/>
      <c r="AW778" s="10"/>
      <c r="AX778" s="10"/>
      <c r="AY778" s="10"/>
      <c r="AZ778" s="10"/>
      <c r="BA778" s="16"/>
      <c r="BB778" s="16"/>
      <c r="BH778" s="16"/>
    </row>
    <row r="779" spans="17:60" x14ac:dyDescent="0.2"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K779" s="10"/>
      <c r="AL779" s="10"/>
      <c r="AM779" s="10"/>
      <c r="AN779" s="10"/>
      <c r="AO779" s="10"/>
      <c r="AP779" s="10"/>
      <c r="AQ779" s="10"/>
      <c r="AR779" s="16"/>
      <c r="AS779" s="16"/>
      <c r="AT779" s="16"/>
      <c r="AU779" s="10"/>
      <c r="AV779" s="10"/>
      <c r="AW779" s="10"/>
      <c r="AX779" s="10"/>
      <c r="AY779" s="10"/>
      <c r="AZ779" s="10"/>
      <c r="BA779" s="16"/>
      <c r="BB779" s="16"/>
      <c r="BH779" s="16"/>
    </row>
    <row r="780" spans="17:60" x14ac:dyDescent="0.2"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K780" s="10"/>
      <c r="AL780" s="10"/>
      <c r="AM780" s="10"/>
      <c r="AN780" s="10"/>
      <c r="AO780" s="10"/>
      <c r="AP780" s="10"/>
      <c r="AQ780" s="10"/>
      <c r="AR780" s="16"/>
      <c r="AS780" s="16"/>
      <c r="AT780" s="16"/>
      <c r="AU780" s="10"/>
      <c r="AV780" s="10"/>
      <c r="AW780" s="10"/>
      <c r="AX780" s="10"/>
      <c r="AY780" s="10"/>
      <c r="AZ780" s="10"/>
      <c r="BA780" s="16"/>
      <c r="BB780" s="16"/>
      <c r="BH780" s="16"/>
    </row>
    <row r="781" spans="17:60" x14ac:dyDescent="0.2"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K781" s="10"/>
      <c r="AL781" s="10"/>
      <c r="AM781" s="10"/>
      <c r="AN781" s="10"/>
      <c r="AO781" s="10"/>
      <c r="AP781" s="10"/>
      <c r="AQ781" s="10"/>
      <c r="AR781" s="16"/>
      <c r="AS781" s="16"/>
      <c r="AT781" s="16"/>
      <c r="AU781" s="10"/>
      <c r="AV781" s="10"/>
      <c r="AW781" s="10"/>
      <c r="AX781" s="10"/>
      <c r="AY781" s="10"/>
      <c r="AZ781" s="10"/>
      <c r="BA781" s="16"/>
      <c r="BB781" s="16"/>
      <c r="BH781" s="16"/>
    </row>
    <row r="782" spans="17:60" x14ac:dyDescent="0.2"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K782" s="10"/>
      <c r="AL782" s="10"/>
      <c r="AM782" s="10"/>
      <c r="AN782" s="10"/>
      <c r="AO782" s="10"/>
      <c r="AP782" s="10"/>
      <c r="AQ782" s="10"/>
      <c r="AR782" s="16"/>
      <c r="AS782" s="16"/>
      <c r="AT782" s="16"/>
      <c r="AU782" s="10"/>
      <c r="AV782" s="10"/>
      <c r="AW782" s="10"/>
      <c r="AX782" s="10"/>
      <c r="AY782" s="10"/>
      <c r="AZ782" s="10"/>
      <c r="BA782" s="16"/>
      <c r="BB782" s="16"/>
      <c r="BH782" s="16"/>
    </row>
    <row r="783" spans="17:60" x14ac:dyDescent="0.2"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K783" s="10"/>
      <c r="AL783" s="10"/>
      <c r="AM783" s="10"/>
      <c r="AN783" s="10"/>
      <c r="AO783" s="10"/>
      <c r="AP783" s="10"/>
      <c r="AQ783" s="10"/>
      <c r="AR783" s="16"/>
      <c r="AS783" s="16"/>
      <c r="AT783" s="16"/>
      <c r="AU783" s="10"/>
      <c r="AV783" s="10"/>
      <c r="AW783" s="10"/>
      <c r="AX783" s="10"/>
      <c r="AY783" s="10"/>
      <c r="AZ783" s="10"/>
      <c r="BA783" s="16"/>
      <c r="BB783" s="16"/>
      <c r="BH783" s="16"/>
    </row>
    <row r="784" spans="17:60" x14ac:dyDescent="0.2"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K784" s="10"/>
      <c r="AL784" s="10"/>
      <c r="AM784" s="10"/>
      <c r="AN784" s="10"/>
      <c r="AO784" s="10"/>
      <c r="AP784" s="10"/>
      <c r="AQ784" s="10"/>
      <c r="AR784" s="16"/>
      <c r="AS784" s="16"/>
      <c r="AT784" s="16"/>
      <c r="AU784" s="10"/>
      <c r="AV784" s="10"/>
      <c r="AW784" s="10"/>
      <c r="AX784" s="10"/>
      <c r="AY784" s="10"/>
      <c r="AZ784" s="10"/>
      <c r="BA784" s="16"/>
      <c r="BB784" s="16"/>
      <c r="BH784" s="16"/>
    </row>
    <row r="785" spans="17:60" x14ac:dyDescent="0.2"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K785" s="10"/>
      <c r="AL785" s="10"/>
      <c r="AM785" s="10"/>
      <c r="AN785" s="10"/>
      <c r="AO785" s="10"/>
      <c r="AP785" s="10"/>
      <c r="AQ785" s="10"/>
      <c r="AR785" s="16"/>
      <c r="AS785" s="16"/>
      <c r="AT785" s="16"/>
      <c r="AU785" s="10"/>
      <c r="AV785" s="10"/>
      <c r="AW785" s="10"/>
      <c r="AX785" s="10"/>
      <c r="AY785" s="10"/>
      <c r="AZ785" s="10"/>
      <c r="BA785" s="16"/>
      <c r="BB785" s="16"/>
      <c r="BH785" s="16"/>
    </row>
    <row r="786" spans="17:60" x14ac:dyDescent="0.2"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K786" s="10"/>
      <c r="AL786" s="10"/>
      <c r="AM786" s="10"/>
      <c r="AN786" s="10"/>
      <c r="AO786" s="10"/>
      <c r="AP786" s="10"/>
      <c r="AQ786" s="10"/>
      <c r="AR786" s="16"/>
      <c r="AS786" s="16"/>
      <c r="AT786" s="16"/>
      <c r="AU786" s="10"/>
      <c r="AV786" s="10"/>
      <c r="AW786" s="10"/>
      <c r="AX786" s="10"/>
      <c r="AY786" s="10"/>
      <c r="AZ786" s="10"/>
      <c r="BA786" s="16"/>
      <c r="BB786" s="16"/>
      <c r="BH786" s="16"/>
    </row>
    <row r="787" spans="17:60" x14ac:dyDescent="0.2"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K787" s="10"/>
      <c r="AL787" s="10"/>
      <c r="AM787" s="10"/>
      <c r="AN787" s="10"/>
      <c r="AO787" s="10"/>
      <c r="AP787" s="10"/>
      <c r="AQ787" s="10"/>
      <c r="AR787" s="16"/>
      <c r="AS787" s="16"/>
      <c r="AT787" s="16"/>
      <c r="AU787" s="10"/>
      <c r="AV787" s="10"/>
      <c r="AW787" s="10"/>
      <c r="AX787" s="10"/>
      <c r="AY787" s="10"/>
      <c r="AZ787" s="10"/>
      <c r="BA787" s="16"/>
      <c r="BB787" s="16"/>
      <c r="BH787" s="16"/>
    </row>
    <row r="788" spans="17:60" x14ac:dyDescent="0.2"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K788" s="10"/>
      <c r="AL788" s="10"/>
      <c r="AM788" s="10"/>
      <c r="AN788" s="10"/>
      <c r="AO788" s="10"/>
      <c r="AP788" s="10"/>
      <c r="AQ788" s="10"/>
      <c r="AR788" s="16"/>
      <c r="AS788" s="16"/>
      <c r="AT788" s="16"/>
      <c r="AU788" s="10"/>
      <c r="AV788" s="10"/>
      <c r="AW788" s="10"/>
      <c r="AX788" s="10"/>
      <c r="AY788" s="10"/>
      <c r="AZ788" s="10"/>
      <c r="BA788" s="16"/>
      <c r="BB788" s="16"/>
      <c r="BH788" s="16"/>
    </row>
    <row r="789" spans="17:60" x14ac:dyDescent="0.2"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K789" s="10"/>
      <c r="AL789" s="10"/>
      <c r="AM789" s="10"/>
      <c r="AN789" s="10"/>
      <c r="AO789" s="10"/>
      <c r="AP789" s="10"/>
      <c r="AQ789" s="10"/>
      <c r="AR789" s="16"/>
      <c r="AS789" s="16"/>
      <c r="AT789" s="16"/>
      <c r="AU789" s="10"/>
      <c r="AV789" s="10"/>
      <c r="AW789" s="10"/>
      <c r="AX789" s="10"/>
      <c r="AY789" s="10"/>
      <c r="AZ789" s="10"/>
      <c r="BA789" s="16"/>
      <c r="BB789" s="16"/>
      <c r="BH789" s="16"/>
    </row>
    <row r="790" spans="17:60" x14ac:dyDescent="0.2"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K790" s="10"/>
      <c r="AL790" s="10"/>
      <c r="AM790" s="10"/>
      <c r="AN790" s="10"/>
      <c r="AO790" s="10"/>
      <c r="AP790" s="10"/>
      <c r="AQ790" s="10"/>
      <c r="AR790" s="16"/>
      <c r="AS790" s="16"/>
      <c r="AT790" s="16"/>
      <c r="AU790" s="10"/>
      <c r="AV790" s="10"/>
      <c r="AW790" s="10"/>
      <c r="AX790" s="10"/>
      <c r="AY790" s="10"/>
      <c r="AZ790" s="10"/>
      <c r="BA790" s="16"/>
      <c r="BB790" s="16"/>
      <c r="BH790" s="16"/>
    </row>
    <row r="791" spans="17:60" x14ac:dyDescent="0.2"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K791" s="10"/>
      <c r="AL791" s="10"/>
      <c r="AM791" s="10"/>
      <c r="AN791" s="10"/>
      <c r="AO791" s="10"/>
      <c r="AP791" s="10"/>
      <c r="AQ791" s="10"/>
      <c r="AR791" s="16"/>
      <c r="AS791" s="16"/>
      <c r="AT791" s="16"/>
      <c r="AU791" s="10"/>
      <c r="AV791" s="10"/>
      <c r="AW791" s="10"/>
      <c r="AX791" s="10"/>
      <c r="AY791" s="10"/>
      <c r="AZ791" s="10"/>
      <c r="BA791" s="16"/>
      <c r="BB791" s="16"/>
      <c r="BH791" s="16"/>
    </row>
    <row r="792" spans="17:60" x14ac:dyDescent="0.2"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K792" s="10"/>
      <c r="AL792" s="10"/>
      <c r="AM792" s="10"/>
      <c r="AN792" s="10"/>
      <c r="AO792" s="10"/>
      <c r="AP792" s="10"/>
      <c r="AQ792" s="10"/>
      <c r="AR792" s="16"/>
      <c r="AS792" s="16"/>
      <c r="AT792" s="16"/>
      <c r="AU792" s="10"/>
      <c r="AV792" s="10"/>
      <c r="AW792" s="10"/>
      <c r="AX792" s="10"/>
      <c r="AY792" s="10"/>
      <c r="AZ792" s="10"/>
      <c r="BA792" s="16"/>
      <c r="BB792" s="16"/>
      <c r="BH792" s="16"/>
    </row>
    <row r="793" spans="17:60" x14ac:dyDescent="0.2"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K793" s="10"/>
      <c r="AL793" s="10"/>
      <c r="AM793" s="10"/>
      <c r="AN793" s="10"/>
      <c r="AO793" s="10"/>
      <c r="AP793" s="10"/>
      <c r="AQ793" s="10"/>
      <c r="AR793" s="16"/>
      <c r="AS793" s="16"/>
      <c r="AT793" s="16"/>
      <c r="AU793" s="10"/>
      <c r="AV793" s="10"/>
      <c r="AW793" s="10"/>
      <c r="AX793" s="10"/>
      <c r="AY793" s="10"/>
      <c r="AZ793" s="10"/>
      <c r="BA793" s="16"/>
      <c r="BB793" s="16"/>
      <c r="BH793" s="16"/>
    </row>
    <row r="794" spans="17:60" x14ac:dyDescent="0.2"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K794" s="10"/>
      <c r="AL794" s="10"/>
      <c r="AM794" s="10"/>
      <c r="AN794" s="10"/>
      <c r="AO794" s="10"/>
      <c r="AP794" s="10"/>
      <c r="AQ794" s="10"/>
      <c r="AR794" s="16"/>
      <c r="AS794" s="16"/>
      <c r="AT794" s="16"/>
      <c r="AU794" s="10"/>
      <c r="AV794" s="10"/>
      <c r="AW794" s="10"/>
      <c r="AX794" s="10"/>
      <c r="AY794" s="10"/>
      <c r="AZ794" s="10"/>
      <c r="BA794" s="16"/>
      <c r="BB794" s="16"/>
      <c r="BH794" s="16"/>
    </row>
    <row r="795" spans="17:60" x14ac:dyDescent="0.2"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K795" s="10"/>
      <c r="AL795" s="10"/>
      <c r="AM795" s="10"/>
      <c r="AN795" s="10"/>
      <c r="AO795" s="10"/>
      <c r="AP795" s="10"/>
      <c r="AQ795" s="10"/>
      <c r="AR795" s="16"/>
      <c r="AS795" s="16"/>
      <c r="AT795" s="16"/>
      <c r="AU795" s="10"/>
      <c r="AV795" s="10"/>
      <c r="AW795" s="10"/>
      <c r="AX795" s="10"/>
      <c r="AY795" s="10"/>
      <c r="AZ795" s="10"/>
      <c r="BA795" s="16"/>
      <c r="BB795" s="16"/>
      <c r="BH795" s="16"/>
    </row>
    <row r="796" spans="17:60" x14ac:dyDescent="0.2"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K796" s="10"/>
      <c r="AL796" s="10"/>
      <c r="AM796" s="10"/>
      <c r="AN796" s="10"/>
      <c r="AO796" s="10"/>
      <c r="AP796" s="10"/>
      <c r="AQ796" s="10"/>
      <c r="AR796" s="16"/>
      <c r="AS796" s="16"/>
      <c r="AT796" s="16"/>
      <c r="AU796" s="10"/>
      <c r="AV796" s="10"/>
      <c r="AW796" s="10"/>
      <c r="AX796" s="10"/>
      <c r="AY796" s="10"/>
      <c r="AZ796" s="10"/>
      <c r="BA796" s="16"/>
      <c r="BB796" s="16"/>
      <c r="BH796" s="16"/>
    </row>
    <row r="797" spans="17:60" x14ac:dyDescent="0.2"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K797" s="10"/>
      <c r="AL797" s="10"/>
      <c r="AM797" s="10"/>
      <c r="AN797" s="10"/>
      <c r="AO797" s="10"/>
      <c r="AP797" s="10"/>
      <c r="AQ797" s="10"/>
      <c r="AR797" s="16"/>
      <c r="AS797" s="16"/>
      <c r="AT797" s="16"/>
      <c r="AU797" s="10"/>
      <c r="AV797" s="10"/>
      <c r="AW797" s="10"/>
      <c r="AX797" s="10"/>
      <c r="AY797" s="10"/>
      <c r="AZ797" s="10"/>
      <c r="BA797" s="16"/>
      <c r="BB797" s="16"/>
      <c r="BH797" s="16"/>
    </row>
    <row r="798" spans="17:60" x14ac:dyDescent="0.2"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K798" s="10"/>
      <c r="AL798" s="10"/>
      <c r="AM798" s="10"/>
      <c r="AN798" s="10"/>
      <c r="AO798" s="10"/>
      <c r="AP798" s="10"/>
      <c r="AQ798" s="10"/>
      <c r="AR798" s="16"/>
      <c r="AS798" s="16"/>
      <c r="AT798" s="16"/>
      <c r="AU798" s="10"/>
      <c r="AV798" s="10"/>
      <c r="AW798" s="10"/>
      <c r="AX798" s="10"/>
      <c r="AY798" s="10"/>
      <c r="AZ798" s="10"/>
      <c r="BA798" s="16"/>
      <c r="BB798" s="16"/>
      <c r="BH798" s="16"/>
    </row>
    <row r="799" spans="17:60" x14ac:dyDescent="0.2"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K799" s="10"/>
      <c r="AL799" s="10"/>
      <c r="AM799" s="10"/>
      <c r="AN799" s="10"/>
      <c r="AO799" s="10"/>
      <c r="AP799" s="10"/>
      <c r="AQ799" s="10"/>
      <c r="AR799" s="16"/>
      <c r="AS799" s="16"/>
      <c r="AT799" s="16"/>
      <c r="AU799" s="10"/>
      <c r="AV799" s="10"/>
      <c r="AW799" s="10"/>
      <c r="AX799" s="10"/>
      <c r="AY799" s="10"/>
      <c r="AZ799" s="10"/>
      <c r="BA799" s="16"/>
      <c r="BB799" s="16"/>
      <c r="BH799" s="16"/>
    </row>
    <row r="800" spans="17:60" x14ac:dyDescent="0.2"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K800" s="10"/>
      <c r="AL800" s="10"/>
      <c r="AM800" s="10"/>
      <c r="AN800" s="10"/>
      <c r="AO800" s="10"/>
      <c r="AP800" s="10"/>
      <c r="AQ800" s="10"/>
      <c r="AR800" s="16"/>
      <c r="AS800" s="16"/>
      <c r="AT800" s="16"/>
      <c r="AU800" s="10"/>
      <c r="AV800" s="10"/>
      <c r="AW800" s="10"/>
      <c r="AX800" s="10"/>
      <c r="AY800" s="10"/>
      <c r="AZ800" s="10"/>
      <c r="BA800" s="16"/>
      <c r="BB800" s="16"/>
      <c r="BH800" s="16"/>
    </row>
    <row r="801" spans="17:60" x14ac:dyDescent="0.2"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K801" s="10"/>
      <c r="AL801" s="10"/>
      <c r="AM801" s="10"/>
      <c r="AN801" s="10"/>
      <c r="AO801" s="10"/>
      <c r="AP801" s="10"/>
      <c r="AQ801" s="10"/>
      <c r="AR801" s="16"/>
      <c r="AS801" s="16"/>
      <c r="AT801" s="16"/>
      <c r="AU801" s="10"/>
      <c r="AV801" s="10"/>
      <c r="AW801" s="10"/>
      <c r="AX801" s="10"/>
      <c r="AY801" s="10"/>
      <c r="AZ801" s="10"/>
      <c r="BA801" s="16"/>
      <c r="BB801" s="16"/>
      <c r="BH801" s="16"/>
    </row>
    <row r="802" spans="17:60" x14ac:dyDescent="0.2"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K802" s="10"/>
      <c r="AL802" s="10"/>
      <c r="AM802" s="10"/>
      <c r="AN802" s="10"/>
      <c r="AO802" s="10"/>
      <c r="AP802" s="10"/>
      <c r="AQ802" s="10"/>
      <c r="AR802" s="16"/>
      <c r="AS802" s="16"/>
      <c r="AT802" s="16"/>
      <c r="AU802" s="10"/>
      <c r="AV802" s="10"/>
      <c r="AW802" s="10"/>
      <c r="AX802" s="10"/>
      <c r="AY802" s="10"/>
      <c r="AZ802" s="10"/>
      <c r="BA802" s="16"/>
      <c r="BB802" s="16"/>
      <c r="BH802" s="16"/>
    </row>
    <row r="803" spans="17:60" x14ac:dyDescent="0.2"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K803" s="10"/>
      <c r="AL803" s="10"/>
      <c r="AM803" s="10"/>
      <c r="AN803" s="10"/>
      <c r="AO803" s="10"/>
      <c r="AP803" s="10"/>
      <c r="AQ803" s="10"/>
      <c r="AR803" s="16"/>
      <c r="AS803" s="16"/>
      <c r="AT803" s="16"/>
      <c r="AU803" s="10"/>
      <c r="AV803" s="10"/>
      <c r="AW803" s="10"/>
      <c r="AX803" s="10"/>
      <c r="AY803" s="10"/>
      <c r="AZ803" s="10"/>
      <c r="BA803" s="16"/>
      <c r="BB803" s="16"/>
      <c r="BH803" s="16"/>
    </row>
    <row r="804" spans="17:60" x14ac:dyDescent="0.2"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K804" s="10"/>
      <c r="AL804" s="10"/>
      <c r="AM804" s="10"/>
      <c r="AN804" s="10"/>
      <c r="AO804" s="10"/>
      <c r="AP804" s="10"/>
      <c r="AQ804" s="10"/>
      <c r="AR804" s="16"/>
      <c r="AS804" s="16"/>
      <c r="AT804" s="16"/>
      <c r="AU804" s="10"/>
      <c r="AV804" s="10"/>
      <c r="AW804" s="10"/>
      <c r="AX804" s="10"/>
      <c r="AY804" s="10"/>
      <c r="AZ804" s="10"/>
      <c r="BA804" s="16"/>
      <c r="BB804" s="16"/>
      <c r="BH804" s="16"/>
    </row>
    <row r="805" spans="17:60" x14ac:dyDescent="0.2"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K805" s="10"/>
      <c r="AL805" s="10"/>
      <c r="AM805" s="10"/>
      <c r="AN805" s="10"/>
      <c r="AO805" s="10"/>
      <c r="AP805" s="10"/>
      <c r="AQ805" s="10"/>
      <c r="AR805" s="16"/>
      <c r="AS805" s="16"/>
      <c r="AT805" s="16"/>
      <c r="AU805" s="10"/>
      <c r="AV805" s="10"/>
      <c r="AW805" s="10"/>
      <c r="AX805" s="10"/>
      <c r="AY805" s="10"/>
      <c r="AZ805" s="10"/>
      <c r="BA805" s="16"/>
      <c r="BB805" s="16"/>
      <c r="BH805" s="16"/>
    </row>
    <row r="806" spans="17:60" x14ac:dyDescent="0.2"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K806" s="10"/>
      <c r="AL806" s="10"/>
      <c r="AM806" s="10"/>
      <c r="AN806" s="10"/>
      <c r="AO806" s="10"/>
      <c r="AP806" s="10"/>
      <c r="AQ806" s="10"/>
      <c r="AR806" s="16"/>
      <c r="AS806" s="16"/>
      <c r="AT806" s="16"/>
      <c r="AU806" s="10"/>
      <c r="AV806" s="10"/>
      <c r="AW806" s="10"/>
      <c r="AX806" s="10"/>
      <c r="AY806" s="10"/>
      <c r="AZ806" s="10"/>
      <c r="BA806" s="16"/>
      <c r="BB806" s="16"/>
      <c r="BH806" s="16"/>
    </row>
    <row r="807" spans="17:60" x14ac:dyDescent="0.2"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K807" s="10"/>
      <c r="AL807" s="10"/>
      <c r="AM807" s="10"/>
      <c r="AN807" s="10"/>
      <c r="AO807" s="10"/>
      <c r="AP807" s="10"/>
      <c r="AQ807" s="10"/>
      <c r="AR807" s="16"/>
      <c r="AS807" s="16"/>
      <c r="AT807" s="16"/>
      <c r="AU807" s="10"/>
      <c r="AV807" s="10"/>
      <c r="AW807" s="10"/>
      <c r="AX807" s="10"/>
      <c r="AY807" s="10"/>
      <c r="AZ807" s="10"/>
      <c r="BA807" s="16"/>
      <c r="BB807" s="16"/>
      <c r="BH807" s="16"/>
    </row>
    <row r="808" spans="17:60" x14ac:dyDescent="0.2"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K808" s="10"/>
      <c r="AL808" s="10"/>
      <c r="AM808" s="10"/>
      <c r="AN808" s="10"/>
      <c r="AO808" s="10"/>
      <c r="AP808" s="10"/>
      <c r="AQ808" s="10"/>
      <c r="AR808" s="16"/>
      <c r="AS808" s="16"/>
      <c r="AT808" s="16"/>
      <c r="AU808" s="10"/>
      <c r="AV808" s="10"/>
      <c r="AW808" s="10"/>
      <c r="AX808" s="10"/>
      <c r="AY808" s="10"/>
      <c r="AZ808" s="10"/>
      <c r="BA808" s="16"/>
      <c r="BB808" s="16"/>
      <c r="BH808" s="16"/>
    </row>
    <row r="809" spans="17:60" x14ac:dyDescent="0.2"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K809" s="10"/>
      <c r="AL809" s="10"/>
      <c r="AM809" s="10"/>
      <c r="AN809" s="10"/>
      <c r="AO809" s="10"/>
      <c r="AP809" s="10"/>
      <c r="AQ809" s="10"/>
      <c r="AR809" s="16"/>
      <c r="AS809" s="16"/>
      <c r="AT809" s="16"/>
      <c r="AU809" s="10"/>
      <c r="AV809" s="10"/>
      <c r="AW809" s="10"/>
      <c r="AX809" s="10"/>
      <c r="AY809" s="10"/>
      <c r="AZ809" s="10"/>
      <c r="BA809" s="16"/>
      <c r="BB809" s="16"/>
      <c r="BH809" s="16"/>
    </row>
    <row r="810" spans="17:60" x14ac:dyDescent="0.2"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K810" s="10"/>
      <c r="AL810" s="10"/>
      <c r="AM810" s="10"/>
      <c r="AN810" s="10"/>
      <c r="AO810" s="10"/>
      <c r="AP810" s="10"/>
      <c r="AQ810" s="10"/>
      <c r="AR810" s="16"/>
      <c r="AS810" s="16"/>
      <c r="AT810" s="16"/>
      <c r="AU810" s="10"/>
      <c r="AV810" s="10"/>
      <c r="AW810" s="10"/>
      <c r="AX810" s="10"/>
      <c r="AY810" s="10"/>
      <c r="AZ810" s="10"/>
      <c r="BA810" s="16"/>
      <c r="BB810" s="16"/>
      <c r="BH810" s="16"/>
    </row>
    <row r="811" spans="17:60" x14ac:dyDescent="0.2"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K811" s="10"/>
      <c r="AL811" s="10"/>
      <c r="AM811" s="10"/>
      <c r="AN811" s="10"/>
      <c r="AO811" s="10"/>
      <c r="AP811" s="10"/>
      <c r="AQ811" s="10"/>
      <c r="AR811" s="16"/>
      <c r="AS811" s="16"/>
      <c r="AT811" s="16"/>
      <c r="AU811" s="10"/>
      <c r="AV811" s="10"/>
      <c r="AW811" s="10"/>
      <c r="AX811" s="10"/>
      <c r="AY811" s="10"/>
      <c r="AZ811" s="10"/>
      <c r="BA811" s="16"/>
      <c r="BB811" s="16"/>
      <c r="BH811" s="16"/>
    </row>
    <row r="812" spans="17:60" x14ac:dyDescent="0.2"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K812" s="10"/>
      <c r="AL812" s="10"/>
      <c r="AM812" s="10"/>
      <c r="AN812" s="10"/>
      <c r="AO812" s="10"/>
      <c r="AP812" s="10"/>
      <c r="AQ812" s="10"/>
      <c r="AR812" s="16"/>
      <c r="AS812" s="16"/>
      <c r="AT812" s="16"/>
      <c r="AU812" s="10"/>
      <c r="AV812" s="10"/>
      <c r="AW812" s="10"/>
      <c r="AX812" s="10"/>
      <c r="AY812" s="10"/>
      <c r="AZ812" s="10"/>
      <c r="BA812" s="16"/>
      <c r="BB812" s="16"/>
      <c r="BH812" s="16"/>
    </row>
    <row r="813" spans="17:60" x14ac:dyDescent="0.2"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K813" s="10"/>
      <c r="AL813" s="10"/>
      <c r="AM813" s="10"/>
      <c r="AN813" s="10"/>
      <c r="AO813" s="10"/>
      <c r="AP813" s="10"/>
      <c r="AQ813" s="10"/>
      <c r="AR813" s="16"/>
      <c r="AS813" s="16"/>
      <c r="AT813" s="16"/>
      <c r="AU813" s="10"/>
      <c r="AV813" s="10"/>
      <c r="AW813" s="10"/>
      <c r="AX813" s="10"/>
      <c r="AY813" s="10"/>
      <c r="AZ813" s="10"/>
      <c r="BA813" s="16"/>
      <c r="BB813" s="16"/>
      <c r="BH813" s="16"/>
    </row>
    <row r="814" spans="17:60" x14ac:dyDescent="0.2"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K814" s="10"/>
      <c r="AL814" s="10"/>
      <c r="AM814" s="10"/>
      <c r="AN814" s="10"/>
      <c r="AO814" s="10"/>
      <c r="AP814" s="10"/>
      <c r="AQ814" s="10"/>
      <c r="AR814" s="16"/>
      <c r="AS814" s="16"/>
      <c r="AT814" s="16"/>
      <c r="AU814" s="10"/>
      <c r="AV814" s="10"/>
      <c r="AW814" s="10"/>
      <c r="AX814" s="10"/>
      <c r="AY814" s="10"/>
      <c r="AZ814" s="10"/>
      <c r="BA814" s="16"/>
      <c r="BB814" s="16"/>
      <c r="BH814" s="16"/>
    </row>
    <row r="815" spans="17:60" x14ac:dyDescent="0.2"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K815" s="10"/>
      <c r="AL815" s="10"/>
      <c r="AM815" s="10"/>
      <c r="AN815" s="10"/>
      <c r="AO815" s="10"/>
      <c r="AP815" s="10"/>
      <c r="AQ815" s="10"/>
      <c r="AR815" s="16"/>
      <c r="AS815" s="16"/>
      <c r="AT815" s="16"/>
      <c r="AU815" s="10"/>
      <c r="AV815" s="10"/>
      <c r="AW815" s="10"/>
      <c r="AX815" s="10"/>
      <c r="AY815" s="10"/>
      <c r="AZ815" s="10"/>
      <c r="BA815" s="16"/>
      <c r="BB815" s="16"/>
      <c r="BH815" s="16"/>
    </row>
    <row r="816" spans="17:60" x14ac:dyDescent="0.2"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K816" s="10"/>
      <c r="AL816" s="10"/>
      <c r="AM816" s="10"/>
      <c r="AN816" s="10"/>
      <c r="AO816" s="10"/>
      <c r="AP816" s="10"/>
      <c r="AQ816" s="10"/>
      <c r="AR816" s="16"/>
      <c r="AS816" s="16"/>
      <c r="AT816" s="16"/>
      <c r="AU816" s="10"/>
      <c r="AV816" s="10"/>
      <c r="AW816" s="10"/>
      <c r="AX816" s="10"/>
      <c r="AY816" s="10"/>
      <c r="AZ816" s="10"/>
      <c r="BA816" s="16"/>
      <c r="BB816" s="16"/>
      <c r="BH816" s="16"/>
    </row>
    <row r="817" spans="17:60" x14ac:dyDescent="0.2"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K817" s="10"/>
      <c r="AL817" s="10"/>
      <c r="AM817" s="10"/>
      <c r="AN817" s="10"/>
      <c r="AO817" s="10"/>
      <c r="AP817" s="10"/>
      <c r="AQ817" s="10"/>
      <c r="AR817" s="16"/>
      <c r="AS817" s="16"/>
      <c r="AT817" s="16"/>
      <c r="AU817" s="10"/>
      <c r="AV817" s="10"/>
      <c r="AW817" s="10"/>
      <c r="AX817" s="10"/>
      <c r="AY817" s="10"/>
      <c r="AZ817" s="10"/>
      <c r="BA817" s="16"/>
      <c r="BB817" s="16"/>
      <c r="BH817" s="16"/>
    </row>
    <row r="818" spans="17:60" x14ac:dyDescent="0.2"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K818" s="10"/>
      <c r="AL818" s="10"/>
      <c r="AM818" s="10"/>
      <c r="AN818" s="10"/>
      <c r="AO818" s="10"/>
      <c r="AP818" s="10"/>
      <c r="AQ818" s="10"/>
      <c r="AR818" s="16"/>
      <c r="AS818" s="16"/>
      <c r="AT818" s="16"/>
      <c r="AU818" s="10"/>
      <c r="AV818" s="10"/>
      <c r="AW818" s="10"/>
      <c r="AX818" s="10"/>
      <c r="AY818" s="10"/>
      <c r="AZ818" s="10"/>
      <c r="BA818" s="16"/>
      <c r="BB818" s="16"/>
      <c r="BH818" s="16"/>
    </row>
    <row r="819" spans="17:60" x14ac:dyDescent="0.2"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K819" s="10"/>
      <c r="AL819" s="10"/>
      <c r="AM819" s="10"/>
      <c r="AN819" s="10"/>
      <c r="AO819" s="10"/>
      <c r="AP819" s="10"/>
      <c r="AQ819" s="10"/>
      <c r="AR819" s="16"/>
      <c r="AS819" s="16"/>
      <c r="AT819" s="16"/>
      <c r="AU819" s="10"/>
      <c r="AV819" s="10"/>
      <c r="AW819" s="10"/>
      <c r="AX819" s="10"/>
      <c r="AY819" s="10"/>
      <c r="AZ819" s="10"/>
      <c r="BA819" s="16"/>
      <c r="BB819" s="16"/>
      <c r="BH819" s="16"/>
    </row>
    <row r="820" spans="17:60" x14ac:dyDescent="0.2"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K820" s="10"/>
      <c r="AL820" s="10"/>
      <c r="AM820" s="10"/>
      <c r="AN820" s="10"/>
      <c r="AO820" s="10"/>
      <c r="AP820" s="10"/>
      <c r="AQ820" s="10"/>
      <c r="AR820" s="16"/>
      <c r="AS820" s="16"/>
      <c r="AT820" s="16"/>
      <c r="AU820" s="10"/>
      <c r="AV820" s="10"/>
      <c r="AW820" s="10"/>
      <c r="AX820" s="10"/>
      <c r="AY820" s="10"/>
      <c r="AZ820" s="10"/>
      <c r="BA820" s="16"/>
      <c r="BB820" s="16"/>
      <c r="BH820" s="16"/>
    </row>
    <row r="821" spans="17:60" x14ac:dyDescent="0.2"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K821" s="10"/>
      <c r="AL821" s="10"/>
      <c r="AM821" s="10"/>
      <c r="AN821" s="10"/>
      <c r="AO821" s="10"/>
      <c r="AP821" s="10"/>
      <c r="AQ821" s="10"/>
      <c r="AR821" s="16"/>
      <c r="AS821" s="16"/>
      <c r="AT821" s="16"/>
      <c r="AU821" s="10"/>
      <c r="AV821" s="10"/>
      <c r="AW821" s="10"/>
      <c r="AX821" s="10"/>
      <c r="AY821" s="10"/>
      <c r="AZ821" s="10"/>
      <c r="BA821" s="16"/>
      <c r="BB821" s="16"/>
      <c r="BH821" s="16"/>
    </row>
    <row r="822" spans="17:60" x14ac:dyDescent="0.2"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K822" s="10"/>
      <c r="AL822" s="10"/>
      <c r="AM822" s="10"/>
      <c r="AN822" s="10"/>
      <c r="AO822" s="10"/>
      <c r="AP822" s="10"/>
      <c r="AQ822" s="10"/>
      <c r="AR822" s="16"/>
      <c r="AS822" s="16"/>
      <c r="AT822" s="16"/>
      <c r="AU822" s="10"/>
      <c r="AV822" s="10"/>
      <c r="AW822" s="10"/>
      <c r="AX822" s="10"/>
      <c r="AY822" s="10"/>
      <c r="AZ822" s="10"/>
      <c r="BA822" s="16"/>
      <c r="BB822" s="16"/>
      <c r="BH822" s="16"/>
    </row>
    <row r="823" spans="17:60" x14ac:dyDescent="0.2"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K823" s="10"/>
      <c r="AL823" s="10"/>
      <c r="AM823" s="10"/>
      <c r="AN823" s="10"/>
      <c r="AO823" s="10"/>
      <c r="AP823" s="10"/>
      <c r="AQ823" s="10"/>
      <c r="AR823" s="16"/>
      <c r="AS823" s="16"/>
      <c r="AT823" s="16"/>
      <c r="AU823" s="10"/>
      <c r="AV823" s="10"/>
      <c r="AW823" s="10"/>
      <c r="AX823" s="10"/>
      <c r="AY823" s="10"/>
      <c r="AZ823" s="10"/>
      <c r="BA823" s="16"/>
      <c r="BB823" s="16"/>
      <c r="BH823" s="16"/>
    </row>
    <row r="824" spans="17:60" x14ac:dyDescent="0.2"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K824" s="10"/>
      <c r="AL824" s="10"/>
      <c r="AM824" s="10"/>
      <c r="AN824" s="10"/>
      <c r="AO824" s="10"/>
      <c r="AP824" s="10"/>
      <c r="AQ824" s="10"/>
      <c r="AR824" s="16"/>
      <c r="AS824" s="16"/>
      <c r="AT824" s="16"/>
      <c r="AU824" s="10"/>
      <c r="AV824" s="10"/>
      <c r="AW824" s="10"/>
      <c r="AX824" s="10"/>
      <c r="AY824" s="10"/>
      <c r="AZ824" s="10"/>
      <c r="BA824" s="16"/>
      <c r="BB824" s="16"/>
      <c r="BH824" s="16"/>
    </row>
    <row r="825" spans="17:60" x14ac:dyDescent="0.2"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K825" s="10"/>
      <c r="AL825" s="10"/>
      <c r="AM825" s="10"/>
      <c r="AN825" s="10"/>
      <c r="AO825" s="10"/>
      <c r="AP825" s="10"/>
      <c r="AQ825" s="10"/>
      <c r="AR825" s="16"/>
      <c r="AS825" s="16"/>
      <c r="AT825" s="16"/>
      <c r="AU825" s="10"/>
      <c r="AV825" s="10"/>
      <c r="AW825" s="10"/>
      <c r="AX825" s="10"/>
      <c r="AY825" s="10"/>
      <c r="AZ825" s="10"/>
      <c r="BA825" s="16"/>
      <c r="BB825" s="16"/>
      <c r="BH825" s="16"/>
    </row>
    <row r="826" spans="17:60" x14ac:dyDescent="0.2"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K826" s="10"/>
      <c r="AL826" s="10"/>
      <c r="AM826" s="10"/>
      <c r="AN826" s="10"/>
      <c r="AO826" s="10"/>
      <c r="AP826" s="10"/>
      <c r="AQ826" s="10"/>
      <c r="AR826" s="16"/>
      <c r="AS826" s="16"/>
      <c r="AT826" s="16"/>
      <c r="AU826" s="10"/>
      <c r="AV826" s="10"/>
      <c r="AW826" s="10"/>
      <c r="AX826" s="10"/>
      <c r="AY826" s="10"/>
      <c r="AZ826" s="10"/>
      <c r="BA826" s="16"/>
      <c r="BB826" s="16"/>
      <c r="BH826" s="16"/>
    </row>
    <row r="827" spans="17:60" x14ac:dyDescent="0.2"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K827" s="10"/>
      <c r="AL827" s="10"/>
      <c r="AM827" s="10"/>
      <c r="AN827" s="10"/>
      <c r="AO827" s="10"/>
      <c r="AP827" s="10"/>
      <c r="AQ827" s="10"/>
      <c r="AR827" s="16"/>
      <c r="AS827" s="16"/>
      <c r="AT827" s="16"/>
      <c r="AU827" s="10"/>
      <c r="AV827" s="10"/>
      <c r="AW827" s="10"/>
      <c r="AX827" s="10"/>
      <c r="AY827" s="10"/>
      <c r="AZ827" s="10"/>
      <c r="BA827" s="16"/>
      <c r="BB827" s="16"/>
      <c r="BH827" s="16"/>
    </row>
    <row r="828" spans="17:60" x14ac:dyDescent="0.2"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K828" s="10"/>
      <c r="AL828" s="10"/>
      <c r="AM828" s="10"/>
      <c r="AN828" s="10"/>
      <c r="AO828" s="10"/>
      <c r="AP828" s="10"/>
      <c r="AQ828" s="10"/>
      <c r="AR828" s="16"/>
      <c r="AS828" s="16"/>
      <c r="AT828" s="16"/>
      <c r="AU828" s="10"/>
      <c r="AV828" s="10"/>
      <c r="AW828" s="10"/>
      <c r="AX828" s="10"/>
      <c r="AY828" s="10"/>
      <c r="AZ828" s="10"/>
      <c r="BA828" s="16"/>
      <c r="BB828" s="16"/>
      <c r="BH828" s="16"/>
    </row>
    <row r="829" spans="17:60" x14ac:dyDescent="0.2"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K829" s="10"/>
      <c r="AL829" s="10"/>
      <c r="AM829" s="10"/>
      <c r="AN829" s="10"/>
      <c r="AO829" s="10"/>
      <c r="AP829" s="10"/>
      <c r="AQ829" s="10"/>
      <c r="AR829" s="16"/>
      <c r="AS829" s="16"/>
      <c r="AT829" s="16"/>
      <c r="AU829" s="10"/>
      <c r="AV829" s="10"/>
      <c r="AW829" s="10"/>
      <c r="AX829" s="10"/>
      <c r="AY829" s="10"/>
      <c r="AZ829" s="10"/>
      <c r="BA829" s="16"/>
      <c r="BB829" s="16"/>
      <c r="BH829" s="16"/>
    </row>
    <row r="830" spans="17:60" x14ac:dyDescent="0.2"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K830" s="10"/>
      <c r="AL830" s="10"/>
      <c r="AM830" s="10"/>
      <c r="AN830" s="10"/>
      <c r="AO830" s="10"/>
      <c r="AP830" s="10"/>
      <c r="AQ830" s="10"/>
      <c r="AR830" s="16"/>
      <c r="AS830" s="16"/>
      <c r="AT830" s="16"/>
      <c r="AU830" s="10"/>
      <c r="AV830" s="10"/>
      <c r="AW830" s="10"/>
      <c r="AX830" s="10"/>
      <c r="AY830" s="10"/>
      <c r="AZ830" s="10"/>
      <c r="BA830" s="16"/>
      <c r="BB830" s="16"/>
      <c r="BH830" s="16"/>
    </row>
    <row r="831" spans="17:60" x14ac:dyDescent="0.2"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K831" s="10"/>
      <c r="AL831" s="10"/>
      <c r="AM831" s="10"/>
      <c r="AN831" s="10"/>
      <c r="AO831" s="10"/>
      <c r="AP831" s="10"/>
      <c r="AQ831" s="10"/>
      <c r="AR831" s="16"/>
      <c r="AS831" s="16"/>
      <c r="AT831" s="16"/>
      <c r="AU831" s="10"/>
      <c r="AV831" s="10"/>
      <c r="AW831" s="10"/>
      <c r="AX831" s="10"/>
      <c r="AY831" s="10"/>
      <c r="AZ831" s="10"/>
      <c r="BA831" s="16"/>
      <c r="BB831" s="16"/>
      <c r="BH831" s="16"/>
    </row>
    <row r="832" spans="17:60" x14ac:dyDescent="0.2"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K832" s="10"/>
      <c r="AL832" s="10"/>
      <c r="AM832" s="10"/>
      <c r="AN832" s="10"/>
      <c r="AO832" s="10"/>
      <c r="AP832" s="10"/>
      <c r="AQ832" s="10"/>
      <c r="AR832" s="16"/>
      <c r="AS832" s="16"/>
      <c r="AT832" s="16"/>
      <c r="AU832" s="10"/>
      <c r="AV832" s="10"/>
      <c r="AW832" s="10"/>
      <c r="AX832" s="10"/>
      <c r="AY832" s="10"/>
      <c r="AZ832" s="10"/>
      <c r="BA832" s="16"/>
      <c r="BB832" s="16"/>
      <c r="BH832" s="16"/>
    </row>
    <row r="833" spans="17:60" x14ac:dyDescent="0.2"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K833" s="10"/>
      <c r="AL833" s="10"/>
      <c r="AM833" s="10"/>
      <c r="AN833" s="10"/>
      <c r="AO833" s="10"/>
      <c r="AP833" s="10"/>
      <c r="AQ833" s="10"/>
      <c r="AR833" s="16"/>
      <c r="AS833" s="16"/>
      <c r="AT833" s="16"/>
      <c r="AU833" s="10"/>
      <c r="AV833" s="10"/>
      <c r="AW833" s="10"/>
      <c r="AX833" s="10"/>
      <c r="AY833" s="10"/>
      <c r="AZ833" s="10"/>
      <c r="BA833" s="16"/>
      <c r="BB833" s="16"/>
      <c r="BH833" s="16"/>
    </row>
    <row r="834" spans="17:60" x14ac:dyDescent="0.2"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K834" s="10"/>
      <c r="AL834" s="10"/>
      <c r="AM834" s="10"/>
      <c r="AN834" s="10"/>
      <c r="AO834" s="10"/>
      <c r="AP834" s="10"/>
      <c r="AQ834" s="10"/>
      <c r="AR834" s="16"/>
      <c r="AS834" s="16"/>
      <c r="AT834" s="16"/>
      <c r="AU834" s="10"/>
      <c r="AV834" s="10"/>
      <c r="AW834" s="10"/>
      <c r="AX834" s="10"/>
      <c r="AY834" s="10"/>
      <c r="AZ834" s="10"/>
      <c r="BA834" s="16"/>
      <c r="BB834" s="16"/>
      <c r="BH834" s="16"/>
    </row>
    <row r="835" spans="17:60" x14ac:dyDescent="0.2"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K835" s="10"/>
      <c r="AL835" s="10"/>
      <c r="AM835" s="10"/>
      <c r="AN835" s="10"/>
      <c r="AO835" s="10"/>
      <c r="AP835" s="10"/>
      <c r="AQ835" s="10"/>
      <c r="AR835" s="16"/>
      <c r="AS835" s="16"/>
      <c r="AT835" s="16"/>
      <c r="AU835" s="10"/>
      <c r="AV835" s="10"/>
      <c r="AW835" s="10"/>
      <c r="AX835" s="10"/>
      <c r="AY835" s="10"/>
      <c r="AZ835" s="10"/>
      <c r="BA835" s="16"/>
      <c r="BB835" s="16"/>
      <c r="BH835" s="16"/>
    </row>
    <row r="836" spans="17:60" x14ac:dyDescent="0.2"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K836" s="10"/>
      <c r="AL836" s="10"/>
      <c r="AM836" s="10"/>
      <c r="AN836" s="10"/>
      <c r="AO836" s="10"/>
      <c r="AP836" s="10"/>
      <c r="AQ836" s="10"/>
      <c r="AR836" s="16"/>
      <c r="AS836" s="16"/>
      <c r="AT836" s="16"/>
      <c r="AU836" s="10"/>
      <c r="AV836" s="10"/>
      <c r="AW836" s="10"/>
      <c r="AX836" s="10"/>
      <c r="AY836" s="10"/>
      <c r="AZ836" s="10"/>
      <c r="BA836" s="16"/>
      <c r="BB836" s="16"/>
      <c r="BH836" s="16"/>
    </row>
    <row r="837" spans="17:60" x14ac:dyDescent="0.2"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K837" s="10"/>
      <c r="AL837" s="10"/>
      <c r="AM837" s="10"/>
      <c r="AN837" s="10"/>
      <c r="AO837" s="10"/>
      <c r="AP837" s="10"/>
      <c r="AQ837" s="10"/>
      <c r="AR837" s="16"/>
      <c r="AS837" s="16"/>
      <c r="AT837" s="16"/>
      <c r="AU837" s="10"/>
      <c r="AV837" s="10"/>
      <c r="AW837" s="10"/>
      <c r="AX837" s="10"/>
      <c r="AY837" s="10"/>
      <c r="AZ837" s="10"/>
      <c r="BA837" s="16"/>
      <c r="BB837" s="16"/>
      <c r="BH837" s="16"/>
    </row>
    <row r="838" spans="17:60" x14ac:dyDescent="0.2"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K838" s="10"/>
      <c r="AL838" s="10"/>
      <c r="AM838" s="10"/>
      <c r="AN838" s="10"/>
      <c r="AO838" s="10"/>
      <c r="AP838" s="10"/>
      <c r="AQ838" s="10"/>
      <c r="AR838" s="16"/>
      <c r="AS838" s="16"/>
      <c r="AT838" s="16"/>
      <c r="AU838" s="10"/>
      <c r="AV838" s="10"/>
      <c r="AW838" s="10"/>
      <c r="AX838" s="10"/>
      <c r="AY838" s="10"/>
      <c r="AZ838" s="10"/>
      <c r="BA838" s="16"/>
      <c r="BB838" s="16"/>
      <c r="BH838" s="16"/>
    </row>
    <row r="839" spans="17:60" x14ac:dyDescent="0.2"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K839" s="10"/>
      <c r="AL839" s="10"/>
      <c r="AM839" s="10"/>
      <c r="AN839" s="10"/>
      <c r="AO839" s="10"/>
      <c r="AP839" s="10"/>
      <c r="AQ839" s="10"/>
      <c r="AR839" s="16"/>
      <c r="AS839" s="16"/>
      <c r="AT839" s="16"/>
      <c r="AU839" s="10"/>
      <c r="AV839" s="10"/>
      <c r="AW839" s="10"/>
      <c r="AX839" s="10"/>
      <c r="AY839" s="10"/>
      <c r="AZ839" s="10"/>
      <c r="BA839" s="16"/>
      <c r="BB839" s="16"/>
      <c r="BH839" s="16"/>
    </row>
    <row r="840" spans="17:60" x14ac:dyDescent="0.2"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K840" s="10"/>
      <c r="AL840" s="10"/>
      <c r="AM840" s="10"/>
      <c r="AN840" s="10"/>
      <c r="AO840" s="10"/>
      <c r="AP840" s="10"/>
      <c r="AQ840" s="10"/>
      <c r="AR840" s="16"/>
      <c r="AS840" s="16"/>
      <c r="AT840" s="16"/>
      <c r="AU840" s="10"/>
      <c r="AV840" s="10"/>
      <c r="AW840" s="10"/>
      <c r="AX840" s="10"/>
      <c r="AY840" s="10"/>
      <c r="AZ840" s="10"/>
      <c r="BA840" s="16"/>
      <c r="BB840" s="16"/>
      <c r="BH840" s="16"/>
    </row>
    <row r="841" spans="17:60" x14ac:dyDescent="0.2"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K841" s="10"/>
      <c r="AL841" s="10"/>
      <c r="AM841" s="10"/>
      <c r="AN841" s="10"/>
      <c r="AO841" s="10"/>
      <c r="AP841" s="10"/>
      <c r="AQ841" s="10"/>
      <c r="AR841" s="16"/>
      <c r="AS841" s="16"/>
      <c r="AT841" s="16"/>
      <c r="AU841" s="10"/>
      <c r="AV841" s="10"/>
      <c r="AW841" s="10"/>
      <c r="AX841" s="10"/>
      <c r="AY841" s="10"/>
      <c r="AZ841" s="10"/>
      <c r="BA841" s="16"/>
      <c r="BB841" s="16"/>
      <c r="BH841" s="16"/>
    </row>
    <row r="842" spans="17:60" x14ac:dyDescent="0.2"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K842" s="10"/>
      <c r="AL842" s="10"/>
      <c r="AM842" s="10"/>
      <c r="AN842" s="10"/>
      <c r="AO842" s="10"/>
      <c r="AP842" s="10"/>
      <c r="AQ842" s="10"/>
      <c r="AR842" s="16"/>
      <c r="AS842" s="16"/>
      <c r="AT842" s="16"/>
      <c r="AU842" s="10"/>
      <c r="AV842" s="10"/>
      <c r="AW842" s="10"/>
      <c r="AX842" s="10"/>
      <c r="AY842" s="10"/>
      <c r="AZ842" s="10"/>
      <c r="BA842" s="16"/>
      <c r="BB842" s="16"/>
      <c r="BH842" s="16"/>
    </row>
    <row r="843" spans="17:60" x14ac:dyDescent="0.2"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K843" s="10"/>
      <c r="AL843" s="10"/>
      <c r="AM843" s="10"/>
      <c r="AN843" s="10"/>
      <c r="AO843" s="10"/>
      <c r="AP843" s="10"/>
      <c r="AQ843" s="10"/>
      <c r="AR843" s="16"/>
      <c r="AS843" s="16"/>
      <c r="AT843" s="16"/>
      <c r="AU843" s="10"/>
      <c r="AV843" s="10"/>
      <c r="AW843" s="10"/>
      <c r="AX843" s="10"/>
      <c r="AY843" s="10"/>
      <c r="AZ843" s="10"/>
      <c r="BA843" s="16"/>
      <c r="BB843" s="16"/>
      <c r="BH843" s="16"/>
    </row>
    <row r="844" spans="17:60" x14ac:dyDescent="0.2"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K844" s="10"/>
      <c r="AL844" s="10"/>
      <c r="AM844" s="10"/>
      <c r="AN844" s="10"/>
      <c r="AO844" s="10"/>
      <c r="AP844" s="10"/>
      <c r="AQ844" s="10"/>
      <c r="AR844" s="16"/>
      <c r="AS844" s="16"/>
      <c r="AT844" s="16"/>
      <c r="AU844" s="10"/>
      <c r="AV844" s="10"/>
      <c r="AW844" s="10"/>
      <c r="AX844" s="10"/>
      <c r="AY844" s="10"/>
      <c r="AZ844" s="10"/>
      <c r="BA844" s="16"/>
      <c r="BB844" s="16"/>
      <c r="BH844" s="16"/>
    </row>
    <row r="845" spans="17:60" x14ac:dyDescent="0.2"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K845" s="10"/>
      <c r="AL845" s="10"/>
      <c r="AM845" s="10"/>
      <c r="AN845" s="10"/>
      <c r="AO845" s="10"/>
      <c r="AP845" s="10"/>
      <c r="AQ845" s="10"/>
      <c r="AR845" s="16"/>
      <c r="AS845" s="16"/>
      <c r="AT845" s="16"/>
      <c r="AU845" s="10"/>
      <c r="AV845" s="10"/>
      <c r="AW845" s="10"/>
      <c r="AX845" s="10"/>
      <c r="AY845" s="10"/>
      <c r="AZ845" s="10"/>
      <c r="BA845" s="16"/>
      <c r="BB845" s="16"/>
      <c r="BH845" s="16"/>
    </row>
    <row r="846" spans="17:60" x14ac:dyDescent="0.2"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K846" s="10"/>
      <c r="AL846" s="10"/>
      <c r="AM846" s="10"/>
      <c r="AN846" s="10"/>
      <c r="AO846" s="10"/>
      <c r="AP846" s="10"/>
      <c r="AQ846" s="10"/>
      <c r="AR846" s="16"/>
      <c r="AS846" s="16"/>
      <c r="AT846" s="16"/>
      <c r="AU846" s="10"/>
      <c r="AV846" s="10"/>
      <c r="AW846" s="10"/>
      <c r="AX846" s="10"/>
      <c r="AY846" s="10"/>
      <c r="AZ846" s="10"/>
      <c r="BA846" s="16"/>
      <c r="BB846" s="16"/>
      <c r="BH846" s="16"/>
    </row>
    <row r="847" spans="17:60" x14ac:dyDescent="0.2"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K847" s="10"/>
      <c r="AL847" s="10"/>
      <c r="AM847" s="10"/>
      <c r="AN847" s="10"/>
      <c r="AO847" s="10"/>
      <c r="AP847" s="10"/>
      <c r="AQ847" s="10"/>
      <c r="AR847" s="16"/>
      <c r="AS847" s="16"/>
      <c r="AT847" s="16"/>
      <c r="AU847" s="10"/>
      <c r="AV847" s="10"/>
      <c r="AW847" s="10"/>
      <c r="AX847" s="10"/>
      <c r="AY847" s="10"/>
      <c r="AZ847" s="10"/>
      <c r="BA847" s="16"/>
      <c r="BB847" s="16"/>
      <c r="BH847" s="16"/>
    </row>
    <row r="848" spans="17:60" x14ac:dyDescent="0.2"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K848" s="10"/>
      <c r="AL848" s="10"/>
      <c r="AM848" s="10"/>
      <c r="AN848" s="10"/>
      <c r="AO848" s="10"/>
      <c r="AP848" s="10"/>
      <c r="AQ848" s="10"/>
      <c r="AR848" s="16"/>
      <c r="AS848" s="16"/>
      <c r="AT848" s="16"/>
      <c r="AU848" s="10"/>
      <c r="AV848" s="10"/>
      <c r="AW848" s="10"/>
      <c r="AX848" s="10"/>
      <c r="AY848" s="10"/>
      <c r="AZ848" s="10"/>
      <c r="BA848" s="16"/>
      <c r="BB848" s="16"/>
      <c r="BH848" s="16"/>
    </row>
    <row r="849" spans="17:60" x14ac:dyDescent="0.2"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K849" s="10"/>
      <c r="AL849" s="10"/>
      <c r="AM849" s="10"/>
      <c r="AN849" s="10"/>
      <c r="AO849" s="10"/>
      <c r="AP849" s="10"/>
      <c r="AQ849" s="10"/>
      <c r="AR849" s="16"/>
      <c r="AS849" s="16"/>
      <c r="AT849" s="16"/>
      <c r="AU849" s="10"/>
      <c r="AV849" s="10"/>
      <c r="AW849" s="10"/>
      <c r="AX849" s="10"/>
      <c r="AY849" s="10"/>
      <c r="AZ849" s="10"/>
      <c r="BA849" s="16"/>
      <c r="BB849" s="16"/>
      <c r="BH849" s="16"/>
    </row>
    <row r="850" spans="17:60" x14ac:dyDescent="0.2"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K850" s="10"/>
      <c r="AL850" s="10"/>
      <c r="AM850" s="10"/>
      <c r="AN850" s="10"/>
      <c r="AO850" s="10"/>
      <c r="AP850" s="10"/>
      <c r="AQ850" s="10"/>
      <c r="AR850" s="16"/>
      <c r="AS850" s="16"/>
      <c r="AT850" s="16"/>
      <c r="AU850" s="10"/>
      <c r="AV850" s="10"/>
      <c r="AW850" s="10"/>
      <c r="AX850" s="10"/>
      <c r="AY850" s="10"/>
      <c r="AZ850" s="10"/>
      <c r="BA850" s="16"/>
      <c r="BB850" s="16"/>
      <c r="BH850" s="16"/>
    </row>
    <row r="851" spans="17:60" x14ac:dyDescent="0.2"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K851" s="10"/>
      <c r="AL851" s="10"/>
      <c r="AM851" s="10"/>
      <c r="AN851" s="10"/>
      <c r="AO851" s="10"/>
      <c r="AP851" s="10"/>
      <c r="AQ851" s="10"/>
      <c r="AR851" s="16"/>
      <c r="AS851" s="16"/>
      <c r="AT851" s="16"/>
      <c r="AU851" s="10"/>
      <c r="AV851" s="10"/>
      <c r="AW851" s="10"/>
      <c r="AX851" s="10"/>
      <c r="AY851" s="10"/>
      <c r="AZ851" s="10"/>
      <c r="BA851" s="16"/>
      <c r="BB851" s="16"/>
      <c r="BH851" s="16"/>
    </row>
    <row r="852" spans="17:60" x14ac:dyDescent="0.2"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K852" s="10"/>
      <c r="AL852" s="10"/>
      <c r="AM852" s="10"/>
      <c r="AN852" s="10"/>
      <c r="AO852" s="10"/>
      <c r="AP852" s="10"/>
      <c r="AQ852" s="10"/>
      <c r="AR852" s="16"/>
      <c r="AS852" s="16"/>
      <c r="AT852" s="16"/>
      <c r="AU852" s="10"/>
      <c r="AV852" s="10"/>
      <c r="AW852" s="10"/>
      <c r="AX852" s="10"/>
      <c r="AY852" s="10"/>
      <c r="AZ852" s="10"/>
      <c r="BA852" s="16"/>
      <c r="BB852" s="16"/>
      <c r="BH852" s="16"/>
    </row>
    <row r="853" spans="17:60" x14ac:dyDescent="0.2"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K853" s="10"/>
      <c r="AL853" s="10"/>
      <c r="AM853" s="10"/>
      <c r="AN853" s="10"/>
      <c r="AO853" s="10"/>
      <c r="AP853" s="10"/>
      <c r="AQ853" s="10"/>
      <c r="AR853" s="16"/>
      <c r="AS853" s="16"/>
      <c r="AT853" s="16"/>
      <c r="AU853" s="10"/>
      <c r="AV853" s="10"/>
      <c r="AW853" s="10"/>
      <c r="AX853" s="10"/>
      <c r="AY853" s="10"/>
      <c r="AZ853" s="10"/>
      <c r="BA853" s="16"/>
      <c r="BB853" s="16"/>
      <c r="BH853" s="16"/>
    </row>
    <row r="854" spans="17:60" x14ac:dyDescent="0.2"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K854" s="10"/>
      <c r="AL854" s="10"/>
      <c r="AM854" s="10"/>
      <c r="AN854" s="10"/>
      <c r="AO854" s="10"/>
      <c r="AP854" s="10"/>
      <c r="AQ854" s="10"/>
      <c r="AR854" s="16"/>
      <c r="AS854" s="16"/>
      <c r="AT854" s="16"/>
      <c r="AU854" s="10"/>
      <c r="AV854" s="10"/>
      <c r="AW854" s="10"/>
      <c r="AX854" s="10"/>
      <c r="AY854" s="10"/>
      <c r="AZ854" s="10"/>
      <c r="BA854" s="16"/>
      <c r="BB854" s="16"/>
      <c r="BH854" s="16"/>
    </row>
    <row r="855" spans="17:60" x14ac:dyDescent="0.2"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K855" s="10"/>
      <c r="AL855" s="10"/>
      <c r="AM855" s="10"/>
      <c r="AN855" s="10"/>
      <c r="AO855" s="10"/>
      <c r="AP855" s="10"/>
      <c r="AQ855" s="10"/>
      <c r="AR855" s="16"/>
      <c r="AS855" s="16"/>
      <c r="AT855" s="16"/>
      <c r="AU855" s="10"/>
      <c r="AV855" s="10"/>
      <c r="AW855" s="10"/>
      <c r="AX855" s="10"/>
      <c r="AY855" s="10"/>
      <c r="AZ855" s="10"/>
      <c r="BA855" s="16"/>
      <c r="BB855" s="16"/>
      <c r="BH855" s="16"/>
    </row>
    <row r="856" spans="17:60" x14ac:dyDescent="0.2"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K856" s="10"/>
      <c r="AL856" s="10"/>
      <c r="AM856" s="10"/>
      <c r="AN856" s="10"/>
      <c r="AO856" s="10"/>
      <c r="AP856" s="10"/>
      <c r="AQ856" s="10"/>
      <c r="AR856" s="16"/>
      <c r="AS856" s="16"/>
      <c r="AT856" s="16"/>
      <c r="AU856" s="10"/>
      <c r="AV856" s="10"/>
      <c r="AW856" s="10"/>
      <c r="AX856" s="10"/>
      <c r="AY856" s="10"/>
      <c r="AZ856" s="10"/>
      <c r="BA856" s="16"/>
      <c r="BB856" s="16"/>
      <c r="BH856" s="16"/>
    </row>
    <row r="857" spans="17:60" x14ac:dyDescent="0.2"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K857" s="10"/>
      <c r="AL857" s="10"/>
      <c r="AM857" s="10"/>
      <c r="AN857" s="10"/>
      <c r="AO857" s="10"/>
      <c r="AP857" s="10"/>
      <c r="AQ857" s="10"/>
      <c r="AR857" s="16"/>
      <c r="AS857" s="16"/>
      <c r="AT857" s="16"/>
      <c r="AU857" s="10"/>
      <c r="AV857" s="10"/>
      <c r="AW857" s="10"/>
      <c r="AX857" s="10"/>
      <c r="AY857" s="10"/>
      <c r="AZ857" s="10"/>
      <c r="BA857" s="16"/>
      <c r="BB857" s="16"/>
      <c r="BH857" s="16"/>
    </row>
    <row r="858" spans="17:60" x14ac:dyDescent="0.2"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K858" s="10"/>
      <c r="AL858" s="10"/>
      <c r="AM858" s="10"/>
      <c r="AN858" s="10"/>
      <c r="AO858" s="10"/>
      <c r="AP858" s="10"/>
      <c r="AQ858" s="10"/>
      <c r="AR858" s="16"/>
      <c r="AS858" s="16"/>
      <c r="AT858" s="16"/>
      <c r="AU858" s="10"/>
      <c r="AV858" s="10"/>
      <c r="AW858" s="10"/>
      <c r="AX858" s="10"/>
      <c r="AY858" s="10"/>
      <c r="AZ858" s="10"/>
      <c r="BA858" s="16"/>
      <c r="BB858" s="16"/>
      <c r="BH858" s="16"/>
    </row>
    <row r="859" spans="17:60" x14ac:dyDescent="0.2"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K859" s="10"/>
      <c r="AL859" s="10"/>
      <c r="AM859" s="10"/>
      <c r="AN859" s="10"/>
      <c r="AO859" s="10"/>
      <c r="AP859" s="10"/>
      <c r="AQ859" s="10"/>
      <c r="AR859" s="16"/>
      <c r="AS859" s="16"/>
      <c r="AT859" s="16"/>
      <c r="AU859" s="10"/>
      <c r="AV859" s="10"/>
      <c r="AW859" s="10"/>
      <c r="AX859" s="10"/>
      <c r="AY859" s="10"/>
      <c r="AZ859" s="10"/>
      <c r="BA859" s="16"/>
      <c r="BB859" s="16"/>
      <c r="BH859" s="16"/>
    </row>
    <row r="860" spans="17:60" x14ac:dyDescent="0.2"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K860" s="10"/>
      <c r="AL860" s="10"/>
      <c r="AM860" s="10"/>
      <c r="AN860" s="10"/>
      <c r="AO860" s="10"/>
      <c r="AP860" s="10"/>
      <c r="AQ860" s="10"/>
      <c r="AR860" s="16"/>
      <c r="AS860" s="16"/>
      <c r="AT860" s="16"/>
      <c r="AU860" s="10"/>
      <c r="AV860" s="10"/>
      <c r="AW860" s="10"/>
      <c r="AX860" s="10"/>
      <c r="AY860" s="10"/>
      <c r="AZ860" s="10"/>
      <c r="BA860" s="16"/>
      <c r="BB860" s="16"/>
      <c r="BH860" s="16"/>
    </row>
    <row r="861" spans="17:60" x14ac:dyDescent="0.2"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K861" s="10"/>
      <c r="AL861" s="10"/>
      <c r="AM861" s="10"/>
      <c r="AN861" s="10"/>
      <c r="AO861" s="10"/>
      <c r="AP861" s="10"/>
      <c r="AQ861" s="10"/>
      <c r="AR861" s="16"/>
      <c r="AS861" s="16"/>
      <c r="AT861" s="16"/>
      <c r="AU861" s="10"/>
      <c r="AV861" s="10"/>
      <c r="AW861" s="10"/>
      <c r="AX861" s="10"/>
      <c r="AY861" s="10"/>
      <c r="AZ861" s="10"/>
      <c r="BA861" s="16"/>
      <c r="BB861" s="16"/>
      <c r="BH861" s="16"/>
    </row>
    <row r="862" spans="17:60" x14ac:dyDescent="0.2"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K862" s="10"/>
      <c r="AL862" s="10"/>
      <c r="AM862" s="10"/>
      <c r="AN862" s="10"/>
      <c r="AO862" s="10"/>
      <c r="AP862" s="10"/>
      <c r="AQ862" s="10"/>
      <c r="AR862" s="16"/>
      <c r="AS862" s="16"/>
      <c r="AT862" s="16"/>
      <c r="AU862" s="10"/>
      <c r="AV862" s="10"/>
      <c r="AW862" s="10"/>
      <c r="AX862" s="10"/>
      <c r="AY862" s="10"/>
      <c r="AZ862" s="10"/>
      <c r="BA862" s="16"/>
      <c r="BB862" s="16"/>
      <c r="BH862" s="16"/>
    </row>
    <row r="863" spans="17:60" x14ac:dyDescent="0.2"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K863" s="10"/>
      <c r="AL863" s="10"/>
      <c r="AM863" s="10"/>
      <c r="AN863" s="10"/>
      <c r="AO863" s="10"/>
      <c r="AP863" s="10"/>
      <c r="AQ863" s="10"/>
      <c r="AR863" s="16"/>
      <c r="AS863" s="16"/>
      <c r="AT863" s="16"/>
      <c r="AU863" s="10"/>
      <c r="AV863" s="10"/>
      <c r="AW863" s="10"/>
      <c r="AX863" s="10"/>
      <c r="AY863" s="10"/>
      <c r="AZ863" s="10"/>
      <c r="BA863" s="16"/>
      <c r="BB863" s="16"/>
      <c r="BH863" s="16"/>
    </row>
    <row r="864" spans="17:60" x14ac:dyDescent="0.2"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K864" s="10"/>
      <c r="AL864" s="10"/>
      <c r="AM864" s="10"/>
      <c r="AN864" s="10"/>
      <c r="AO864" s="10"/>
      <c r="AP864" s="10"/>
      <c r="AQ864" s="10"/>
      <c r="AR864" s="16"/>
      <c r="AS864" s="16"/>
      <c r="AT864" s="16"/>
      <c r="AU864" s="10"/>
      <c r="AV864" s="10"/>
      <c r="AW864" s="10"/>
      <c r="AX864" s="10"/>
      <c r="AY864" s="10"/>
      <c r="AZ864" s="10"/>
      <c r="BA864" s="16"/>
      <c r="BB864" s="16"/>
      <c r="BH864" s="16"/>
    </row>
    <row r="865" spans="17:60" x14ac:dyDescent="0.2"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K865" s="10"/>
      <c r="AL865" s="10"/>
      <c r="AM865" s="10"/>
      <c r="AN865" s="10"/>
      <c r="AO865" s="10"/>
      <c r="AP865" s="10"/>
      <c r="AQ865" s="10"/>
      <c r="AR865" s="16"/>
      <c r="AS865" s="16"/>
      <c r="AT865" s="16"/>
      <c r="AU865" s="10"/>
      <c r="AV865" s="10"/>
      <c r="AW865" s="10"/>
      <c r="AX865" s="10"/>
      <c r="AY865" s="10"/>
      <c r="AZ865" s="10"/>
      <c r="BA865" s="16"/>
      <c r="BB865" s="16"/>
      <c r="BH865" s="16"/>
    </row>
    <row r="866" spans="17:60" x14ac:dyDescent="0.2"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K866" s="10"/>
      <c r="AL866" s="10"/>
      <c r="AM866" s="10"/>
      <c r="AN866" s="10"/>
      <c r="AO866" s="10"/>
      <c r="AP866" s="10"/>
      <c r="AQ866" s="10"/>
      <c r="AR866" s="16"/>
      <c r="AS866" s="16"/>
      <c r="AT866" s="16"/>
      <c r="AU866" s="10"/>
      <c r="AV866" s="10"/>
      <c r="AW866" s="10"/>
      <c r="AX866" s="10"/>
      <c r="AY866" s="10"/>
      <c r="AZ866" s="10"/>
      <c r="BA866" s="16"/>
      <c r="BB866" s="16"/>
      <c r="BH866" s="16"/>
    </row>
    <row r="867" spans="17:60" x14ac:dyDescent="0.2"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K867" s="10"/>
      <c r="AL867" s="10"/>
      <c r="AM867" s="10"/>
      <c r="AN867" s="10"/>
      <c r="AO867" s="10"/>
      <c r="AP867" s="10"/>
      <c r="AQ867" s="10"/>
      <c r="AR867" s="16"/>
      <c r="AS867" s="16"/>
      <c r="AT867" s="16"/>
      <c r="AU867" s="10"/>
      <c r="AV867" s="10"/>
      <c r="AW867" s="10"/>
      <c r="AX867" s="10"/>
      <c r="AY867" s="10"/>
      <c r="AZ867" s="10"/>
      <c r="BA867" s="16"/>
      <c r="BB867" s="16"/>
      <c r="BH867" s="16"/>
    </row>
    <row r="868" spans="17:60" x14ac:dyDescent="0.2"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K868" s="10"/>
      <c r="AL868" s="10"/>
      <c r="AM868" s="10"/>
      <c r="AN868" s="10"/>
      <c r="AO868" s="10"/>
      <c r="AP868" s="10"/>
      <c r="AQ868" s="10"/>
      <c r="AR868" s="16"/>
      <c r="AS868" s="16"/>
      <c r="AT868" s="16"/>
      <c r="AU868" s="10"/>
      <c r="AV868" s="10"/>
      <c r="AW868" s="10"/>
      <c r="AX868" s="10"/>
      <c r="AY868" s="10"/>
      <c r="AZ868" s="10"/>
      <c r="BA868" s="16"/>
      <c r="BB868" s="16"/>
      <c r="BH868" s="16"/>
    </row>
  </sheetData>
  <autoFilter ref="A4:BH206" xr:uid="{00000000-0001-0000-0000-000000000000}">
    <filterColumn colId="35">
      <filters>
        <filter val="1"/>
      </filters>
    </filterColumn>
    <filterColumn colId="58">
      <filters>
        <filter val="QB"/>
        <filter val="RB"/>
        <filter val="TE"/>
        <filter val="WR"/>
      </filters>
    </filterColumn>
  </autoFilter>
  <sortState xmlns:xlrd2="http://schemas.microsoft.com/office/spreadsheetml/2017/richdata2" ref="A7:BH554">
    <sortCondition ref="J5:J679"/>
    <sortCondition ref="B5:B679"/>
    <sortCondition descending="1" ref="H5:H679"/>
  </sortState>
  <mergeCells count="4">
    <mergeCell ref="O3:P3"/>
    <mergeCell ref="T3:W3"/>
    <mergeCell ref="Y3:AC3"/>
    <mergeCell ref="AD3:AG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FFC000"/>
  </sheetPr>
  <dimension ref="B1:U36"/>
  <sheetViews>
    <sheetView workbookViewId="0">
      <selection activeCell="Q5" sqref="Q5"/>
    </sheetView>
  </sheetViews>
  <sheetFormatPr baseColWidth="10" defaultColWidth="8.83203125" defaultRowHeight="15" x14ac:dyDescent="0.2"/>
  <cols>
    <col min="5" max="5" width="11.33203125" customWidth="1"/>
    <col min="6" max="6" width="12.5" customWidth="1"/>
    <col min="15" max="17" width="11.1640625" customWidth="1"/>
  </cols>
  <sheetData>
    <row r="1" spans="2:21" ht="152" customHeight="1" x14ac:dyDescent="0.2">
      <c r="J1">
        <f>100/1.5</f>
        <v>66.666666666666671</v>
      </c>
      <c r="N1" s="2" t="s">
        <v>703</v>
      </c>
      <c r="O1" s="2" t="s">
        <v>704</v>
      </c>
      <c r="Q1" s="2" t="s">
        <v>705</v>
      </c>
    </row>
    <row r="2" spans="2:21" x14ac:dyDescent="0.2">
      <c r="J2" s="72"/>
      <c r="O2" s="2"/>
      <c r="U2" t="s">
        <v>706</v>
      </c>
    </row>
    <row r="3" spans="2:21" s="2" customFormat="1" ht="48" x14ac:dyDescent="0.2">
      <c r="B3" s="2" t="s">
        <v>21</v>
      </c>
      <c r="C3" s="2" t="s">
        <v>22</v>
      </c>
      <c r="D3" s="2" t="s">
        <v>707</v>
      </c>
      <c r="E3" s="2" t="s">
        <v>708</v>
      </c>
      <c r="F3" s="2" t="s">
        <v>709</v>
      </c>
      <c r="G3" s="2" t="s">
        <v>710</v>
      </c>
      <c r="H3" s="11" t="s">
        <v>711</v>
      </c>
      <c r="I3" s="11" t="s">
        <v>712</v>
      </c>
      <c r="J3" s="11" t="s">
        <v>713</v>
      </c>
      <c r="K3" s="11" t="s">
        <v>714</v>
      </c>
      <c r="L3" s="11" t="s">
        <v>715</v>
      </c>
      <c r="M3" s="11" t="s">
        <v>716</v>
      </c>
      <c r="N3" s="11" t="s">
        <v>717</v>
      </c>
      <c r="O3" s="11" t="s">
        <v>718</v>
      </c>
      <c r="P3" s="11" t="s">
        <v>719</v>
      </c>
      <c r="Q3" s="11" t="s">
        <v>720</v>
      </c>
      <c r="R3" s="11" t="s">
        <v>721</v>
      </c>
      <c r="S3" s="11" t="s">
        <v>722</v>
      </c>
      <c r="T3" s="2" t="s">
        <v>723</v>
      </c>
      <c r="U3" s="2" t="s">
        <v>724</v>
      </c>
    </row>
    <row r="4" spans="2:21" x14ac:dyDescent="0.2">
      <c r="B4" t="s">
        <v>122</v>
      </c>
      <c r="C4" s="78" t="e">
        <f>VLOOKUP('Vegas Odds'!$B4,'Vegas Copy-Paste'!$P:$V,7,FALSE)</f>
        <v>#N/A</v>
      </c>
      <c r="D4" s="78">
        <f>VLOOKUP('Vegas Odds'!$B4,'Vegas Copy-Paste'!$P:$V,6,FALSE)</f>
        <v>0</v>
      </c>
      <c r="E4" s="78"/>
      <c r="F4" s="78" t="e">
        <f>VLOOKUP('Vegas Odds'!$B4,'Vegas Copy-Paste'!$P:$V,5,FALSE)</f>
        <v>#DIV/0!</v>
      </c>
      <c r="G4" s="78" t="e">
        <f>F4/2+D4/2</f>
        <v>#DIV/0!</v>
      </c>
      <c r="H4" s="79">
        <f>ROUND(VLOOKUP($B4,Team_Offense_Table__PY[[Lookup Name]:[% Pass]],5,FALSE),2)</f>
        <v>21.5</v>
      </c>
      <c r="I4" s="79">
        <f>ROUND(VLOOKUP($B4,Team_Offense_Table__PY[[Lookup Name]:[% Pass]],6,FALSE),2)</f>
        <v>34.130000000000003</v>
      </c>
      <c r="J4" s="79" t="e">
        <f>VLOOKUP($C4,Team_Defense_Table__PY[[Lookup]:[Yards per completion]],3,FALSE)</f>
        <v>#N/A</v>
      </c>
      <c r="K4" s="79" t="e">
        <f>VLOOKUP($C4,Team_Defense_Table__PY[[Lookup]:[Yards per completion]],5,FALSE)</f>
        <v>#N/A</v>
      </c>
      <c r="L4" s="79" t="e">
        <f>ROUND(VLOOKUP($C4,Team_Offense_Table__PY[[Lookup Name]:[% Pass]],5,FALSE),2)</f>
        <v>#N/A</v>
      </c>
      <c r="M4" s="79" t="e">
        <f>ROUND(VLOOKUP($C4,Team_Offense_Table__PY[[Lookup Name]:[% Pass]],6,FALSE),2)</f>
        <v>#N/A</v>
      </c>
      <c r="N4" s="79" t="e">
        <f>ROUND(AVERAGE(
SUM(H4:I4)/SUM($H$36:$I$36)*SUM(L4:M4),
SUM(H4:I4)),1)</f>
        <v>#N/A</v>
      </c>
      <c r="O4" s="81">
        <f>1-(D4/$J$1)</f>
        <v>1</v>
      </c>
      <c r="P4" s="79"/>
      <c r="Q4" s="81" t="e">
        <f>1+(K4-J4)/96</f>
        <v>#N/A</v>
      </c>
      <c r="R4" s="79" t="e">
        <f>H4/SUM(H4:I4)*N4*O4*Q4</f>
        <v>#N/A</v>
      </c>
      <c r="S4" s="79" t="e">
        <f>N4-R4</f>
        <v>#N/A</v>
      </c>
      <c r="T4" s="80">
        <f>VLOOKUP($B4,'PY Offensive Stats'!$AC:$AJ,2,FALSE)</f>
        <v>24</v>
      </c>
      <c r="U4" s="9" t="e">
        <f>(G4-T4)/T4</f>
        <v>#DIV/0!</v>
      </c>
    </row>
    <row r="5" spans="2:21" x14ac:dyDescent="0.2">
      <c r="B5" t="s">
        <v>81</v>
      </c>
      <c r="C5" s="78" t="str">
        <f>VLOOKUP('Vegas Odds'!$B5,'Vegas Copy-Paste'!$P:$V,7,FALSE)</f>
        <v>PIT</v>
      </c>
      <c r="D5" s="78">
        <f>VLOOKUP('Vegas Odds'!$B5,'Vegas Copy-Paste'!$P:$V,6,FALSE)</f>
        <v>0</v>
      </c>
      <c r="E5" s="78"/>
      <c r="F5" s="78" t="e">
        <f>VLOOKUP('Vegas Odds'!$B5,'Vegas Copy-Paste'!$P:$V,5,FALSE)</f>
        <v>#DIV/0!</v>
      </c>
      <c r="G5" s="78" t="e">
        <f>F5/2+D5/2</f>
        <v>#DIV/0!</v>
      </c>
      <c r="H5" s="79">
        <f>ROUND(VLOOKUP($B5,Team_Offense_Table__PY[[Lookup Name]:[% Pass]],5,FALSE),2)</f>
        <v>25.19</v>
      </c>
      <c r="I5" s="79">
        <f>ROUND(VLOOKUP($B5,Team_Offense_Table__PY[[Lookup Name]:[% Pass]],6,FALSE),2)</f>
        <v>39.380000000000003</v>
      </c>
      <c r="J5" s="79">
        <f>VLOOKUP($C5,Team_Defense_Table__PY[[Lookup]:[Yards per completion]],3,FALSE)</f>
        <v>3</v>
      </c>
      <c r="K5" s="79">
        <f>VLOOKUP($C5,Team_Defense_Table__PY[[Lookup]:[Yards per completion]],5,FALSE)</f>
        <v>11</v>
      </c>
      <c r="L5" s="79">
        <f>ROUND(VLOOKUP($C5,Team_Offense_Table__PY[[Lookup Name]:[% Pass]],5,FALSE),2)</f>
        <v>23.31</v>
      </c>
      <c r="M5" s="79">
        <f>ROUND(VLOOKUP($C5,Team_Offense_Table__PY[[Lookup Name]:[% Pass]],6,FALSE),2)</f>
        <v>41</v>
      </c>
      <c r="N5" s="79">
        <f t="shared" ref="N5:N35" si="0">ROUND(AVERAGE(
SUM(H5:I5)/SUM($H$36:$I$36)*SUM(L5:M5),
SUM(H5:I5)),1)</f>
        <v>65.7</v>
      </c>
      <c r="O5" s="81">
        <f>1-(D5/$J$1)</f>
        <v>1</v>
      </c>
      <c r="P5" s="79"/>
      <c r="Q5" s="81">
        <f t="shared" ref="Q5:Q35" si="1">1+(K5-J5)/96</f>
        <v>1.0833333333333333</v>
      </c>
      <c r="R5" s="79">
        <f t="shared" ref="R5:R35" si="2">H5/SUM(H5:I5)*N5*O5*Q5</f>
        <v>27.766737649063032</v>
      </c>
      <c r="S5" s="79">
        <f t="shared" ref="S5:S35" si="3">N5-R5</f>
        <v>37.933262350936971</v>
      </c>
      <c r="T5" s="80">
        <f>VLOOKUP($B5,'PY Offensive Stats'!$AC:$AJ,2,FALSE)</f>
        <v>29.5625</v>
      </c>
      <c r="U5" s="9" t="e">
        <f t="shared" ref="U5:U35" si="4">(G5-T5)/T5</f>
        <v>#DIV/0!</v>
      </c>
    </row>
    <row r="6" spans="2:21" x14ac:dyDescent="0.2">
      <c r="B6" t="s">
        <v>142</v>
      </c>
      <c r="C6" s="78" t="e">
        <f>VLOOKUP('Vegas Odds'!$B6,'Vegas Copy-Paste'!$P:$V,7,FALSE)</f>
        <v>#N/A</v>
      </c>
      <c r="D6" s="78">
        <f>VLOOKUP('Vegas Odds'!$B6,'Vegas Copy-Paste'!$P:$V,6,FALSE)</f>
        <v>0</v>
      </c>
      <c r="E6" s="78"/>
      <c r="F6" s="78" t="e">
        <f>VLOOKUP('Vegas Odds'!$B6,'Vegas Copy-Paste'!$P:$V,5,FALSE)</f>
        <v>#DIV/0!</v>
      </c>
      <c r="G6" s="78" t="e">
        <f t="shared" ref="G6:G35" si="5">F6/2+D6/2</f>
        <v>#DIV/0!</v>
      </c>
      <c r="H6" s="79">
        <f>ROUND(VLOOKUP($B6,Team_Offense_Table__PY[[Lookup Name]:[% Pass]],5,FALSE),2)</f>
        <v>26.75</v>
      </c>
      <c r="I6" s="79">
        <f>ROUND(VLOOKUP($B6,Team_Offense_Table__PY[[Lookup Name]:[% Pass]],6,FALSE),2)</f>
        <v>34.94</v>
      </c>
      <c r="J6" s="79" t="e">
        <f>VLOOKUP($C6,Team_Defense_Table__PY[[Lookup]:[Yards per completion]],3,FALSE)</f>
        <v>#N/A</v>
      </c>
      <c r="K6" s="79" t="e">
        <f>VLOOKUP($C6,Team_Defense_Table__PY[[Lookup]:[Yards per completion]],5,FALSE)</f>
        <v>#N/A</v>
      </c>
      <c r="L6" s="79" t="e">
        <f>ROUND(VLOOKUP($C6,Team_Offense_Table__PY[[Lookup Name]:[% Pass]],5,FALSE),2)</f>
        <v>#N/A</v>
      </c>
      <c r="M6" s="79" t="e">
        <f>ROUND(VLOOKUP($C6,Team_Offense_Table__PY[[Lookup Name]:[% Pass]],6,FALSE),2)</f>
        <v>#N/A</v>
      </c>
      <c r="N6" s="79" t="e">
        <f t="shared" si="0"/>
        <v>#N/A</v>
      </c>
      <c r="O6" s="81">
        <f t="shared" ref="O6:O35" si="6">1-(D6/$J$1)</f>
        <v>1</v>
      </c>
      <c r="P6" s="79"/>
      <c r="Q6" s="81" t="e">
        <f t="shared" si="1"/>
        <v>#N/A</v>
      </c>
      <c r="R6" s="79" t="e">
        <f t="shared" si="2"/>
        <v>#N/A</v>
      </c>
      <c r="S6" s="79" t="e">
        <f t="shared" si="3"/>
        <v>#N/A</v>
      </c>
      <c r="T6" s="80">
        <f>VLOOKUP($B6,'PY Offensive Stats'!$AC:$AJ,2,FALSE)</f>
        <v>25.25</v>
      </c>
      <c r="U6" s="9" t="e">
        <f t="shared" si="4"/>
        <v>#DIV/0!</v>
      </c>
    </row>
    <row r="7" spans="2:21" x14ac:dyDescent="0.2">
      <c r="B7" t="s">
        <v>141</v>
      </c>
      <c r="C7" s="78" t="e">
        <f>VLOOKUP('Vegas Odds'!$B7,'Vegas Copy-Paste'!$P:$V,7,FALSE)</f>
        <v>#N/A</v>
      </c>
      <c r="D7" s="78">
        <f>VLOOKUP('Vegas Odds'!$B7,'Vegas Copy-Paste'!$P:$V,6,FALSE)</f>
        <v>0</v>
      </c>
      <c r="E7" s="78"/>
      <c r="F7" s="78" t="e">
        <f>VLOOKUP('Vegas Odds'!$B7,'Vegas Copy-Paste'!$P:$V,5,FALSE)</f>
        <v>#DIV/0!</v>
      </c>
      <c r="G7" s="78" t="e">
        <f t="shared" si="5"/>
        <v>#DIV/0!</v>
      </c>
      <c r="H7" s="79">
        <f>ROUND(VLOOKUP($B7,Team_Offense_Table__PY[[Lookup Name]:[% Pass]],5,FALSE),2)</f>
        <v>31.38</v>
      </c>
      <c r="I7" s="79">
        <f>ROUND(VLOOKUP($B7,Team_Offense_Table__PY[[Lookup Name]:[% Pass]],6,FALSE),2)</f>
        <v>27.5</v>
      </c>
      <c r="J7" s="79" t="e">
        <f>VLOOKUP($C7,Team_Defense_Table__PY[[Lookup]:[Yards per completion]],3,FALSE)</f>
        <v>#N/A</v>
      </c>
      <c r="K7" s="79" t="e">
        <f>VLOOKUP($C7,Team_Defense_Table__PY[[Lookup]:[Yards per completion]],5,FALSE)</f>
        <v>#N/A</v>
      </c>
      <c r="L7" s="79" t="e">
        <f>ROUND(VLOOKUP($C7,Team_Offense_Table__PY[[Lookup Name]:[% Pass]],5,FALSE),2)</f>
        <v>#N/A</v>
      </c>
      <c r="M7" s="79" t="e">
        <f>ROUND(VLOOKUP($C7,Team_Offense_Table__PY[[Lookup Name]:[% Pass]],6,FALSE),2)</f>
        <v>#N/A</v>
      </c>
      <c r="N7" s="79" t="e">
        <f t="shared" si="0"/>
        <v>#N/A</v>
      </c>
      <c r="O7" s="81">
        <f t="shared" si="6"/>
        <v>1</v>
      </c>
      <c r="P7" s="79"/>
      <c r="Q7" s="81" t="e">
        <f t="shared" si="1"/>
        <v>#N/A</v>
      </c>
      <c r="R7" s="79" t="e">
        <f t="shared" si="2"/>
        <v>#N/A</v>
      </c>
      <c r="S7" s="79" t="e">
        <f t="shared" si="3"/>
        <v>#N/A</v>
      </c>
      <c r="T7" s="80">
        <f>VLOOKUP($B7,'PY Offensive Stats'!$AC:$AJ,2,FALSE)</f>
        <v>20.375</v>
      </c>
      <c r="U7" s="9" t="e">
        <f t="shared" si="4"/>
        <v>#DIV/0!</v>
      </c>
    </row>
    <row r="8" spans="2:21" x14ac:dyDescent="0.2">
      <c r="B8" t="s">
        <v>82</v>
      </c>
      <c r="C8" s="78" t="e">
        <f>VLOOKUP('Vegas Odds'!$B8,'Vegas Copy-Paste'!$P:$V,7,FALSE)</f>
        <v>#N/A</v>
      </c>
      <c r="D8" s="78">
        <f>VLOOKUP('Vegas Odds'!$B8,'Vegas Copy-Paste'!$P:$V,6,FALSE)</f>
        <v>0</v>
      </c>
      <c r="E8" s="78"/>
      <c r="F8" s="78" t="e">
        <f>VLOOKUP('Vegas Odds'!$B8,'Vegas Copy-Paste'!$P:$V,5,FALSE)</f>
        <v>#DIV/0!</v>
      </c>
      <c r="G8" s="78" t="e">
        <f t="shared" si="5"/>
        <v>#DIV/0!</v>
      </c>
      <c r="H8" s="79">
        <f>ROUND(VLOOKUP($B8,Team_Offense_Table__PY[[Lookup Name]:[% Pass]],5,FALSE),2)</f>
        <v>30.94</v>
      </c>
      <c r="I8" s="79">
        <f>ROUND(VLOOKUP($B8,Team_Offense_Table__PY[[Lookup Name]:[% Pass]],6,FALSE),2)</f>
        <v>31.31</v>
      </c>
      <c r="J8" s="79" t="e">
        <f>VLOOKUP($C8,Team_Defense_Table__PY[[Lookup]:[Yards per completion]],3,FALSE)</f>
        <v>#N/A</v>
      </c>
      <c r="K8" s="79" t="e">
        <f>VLOOKUP($C8,Team_Defense_Table__PY[[Lookup]:[Yards per completion]],5,FALSE)</f>
        <v>#N/A</v>
      </c>
      <c r="L8" s="79" t="e">
        <f>ROUND(VLOOKUP($C8,Team_Offense_Table__PY[[Lookup Name]:[% Pass]],5,FALSE),2)</f>
        <v>#N/A</v>
      </c>
      <c r="M8" s="79" t="e">
        <f>ROUND(VLOOKUP($C8,Team_Offense_Table__PY[[Lookup Name]:[% Pass]],6,FALSE),2)</f>
        <v>#N/A</v>
      </c>
      <c r="N8" s="79" t="e">
        <f t="shared" si="0"/>
        <v>#N/A</v>
      </c>
      <c r="O8" s="81">
        <f t="shared" si="6"/>
        <v>1</v>
      </c>
      <c r="P8" s="79"/>
      <c r="Q8" s="81" t="e">
        <f t="shared" si="1"/>
        <v>#N/A</v>
      </c>
      <c r="R8" s="79" t="e">
        <f t="shared" si="2"/>
        <v>#N/A</v>
      </c>
      <c r="S8" s="79" t="e">
        <f t="shared" si="3"/>
        <v>#N/A</v>
      </c>
      <c r="T8" s="80">
        <f>VLOOKUP($B8,'PY Offensive Stats'!$AC:$AJ,2,FALSE)</f>
        <v>25.5</v>
      </c>
      <c r="U8" s="9" t="e">
        <f t="shared" si="4"/>
        <v>#DIV/0!</v>
      </c>
    </row>
    <row r="9" spans="2:21" x14ac:dyDescent="0.2">
      <c r="B9" t="s">
        <v>725</v>
      </c>
      <c r="C9" s="78" t="e">
        <f>VLOOKUP('Vegas Odds'!$B9,'Vegas Copy-Paste'!$P:$V,7,FALSE)</f>
        <v>#N/A</v>
      </c>
      <c r="D9" s="78">
        <f>VLOOKUP('Vegas Odds'!$B9,'Vegas Copy-Paste'!$P:$V,6,FALSE)</f>
        <v>0</v>
      </c>
      <c r="E9" s="78"/>
      <c r="F9" s="78" t="e">
        <f>VLOOKUP('Vegas Odds'!$B9,'Vegas Copy-Paste'!$P:$V,5,FALSE)</f>
        <v>#DIV/0!</v>
      </c>
      <c r="G9" s="78" t="e">
        <f t="shared" si="5"/>
        <v>#DIV/0!</v>
      </c>
      <c r="H9" s="79">
        <f>ROUND(VLOOKUP($B9,Team_Offense_Table__PY[[Lookup Name]:[% Pass]],5,FALSE),2)</f>
        <v>34.69</v>
      </c>
      <c r="I9" s="79">
        <f>ROUND(VLOOKUP($B9,Team_Offense_Table__PY[[Lookup Name]:[% Pass]],6,FALSE),2)</f>
        <v>25.38</v>
      </c>
      <c r="J9" s="79" t="e">
        <f>VLOOKUP($C9,Team_Defense_Table__PY[[Lookup]:[Yards per completion]],3,FALSE)</f>
        <v>#N/A</v>
      </c>
      <c r="K9" s="79" t="e">
        <f>VLOOKUP($C9,Team_Defense_Table__PY[[Lookup]:[Yards per completion]],5,FALSE)</f>
        <v>#N/A</v>
      </c>
      <c r="L9" s="79" t="e">
        <f>ROUND(VLOOKUP($C9,Team_Offense_Table__PY[[Lookup Name]:[% Pass]],5,FALSE),2)</f>
        <v>#N/A</v>
      </c>
      <c r="M9" s="79" t="e">
        <f>ROUND(VLOOKUP($C9,Team_Offense_Table__PY[[Lookup Name]:[% Pass]],6,FALSE),2)</f>
        <v>#N/A</v>
      </c>
      <c r="N9" s="79" t="e">
        <f t="shared" si="0"/>
        <v>#N/A</v>
      </c>
      <c r="O9" s="81">
        <f t="shared" si="6"/>
        <v>1</v>
      </c>
      <c r="P9" s="79"/>
      <c r="Q9" s="81" t="e">
        <f t="shared" si="1"/>
        <v>#N/A</v>
      </c>
      <c r="R9" s="79" t="e">
        <f t="shared" si="2"/>
        <v>#N/A</v>
      </c>
      <c r="S9" s="79" t="e">
        <f t="shared" si="3"/>
        <v>#N/A</v>
      </c>
      <c r="T9" s="80">
        <f>VLOOKUP($B9,'PY Offensive Stats'!$AC:$AJ,2,FALSE)</f>
        <v>29.25</v>
      </c>
      <c r="U9" s="9" t="e">
        <f>(G9-T9)/T9</f>
        <v>#DIV/0!</v>
      </c>
    </row>
    <row r="10" spans="2:21" x14ac:dyDescent="0.2">
      <c r="B10" t="s">
        <v>71</v>
      </c>
      <c r="C10" s="78" t="e">
        <f>VLOOKUP('Vegas Odds'!$B10,'Vegas Copy-Paste'!$P:$V,7,FALSE)</f>
        <v>#N/A</v>
      </c>
      <c r="D10" s="78">
        <f>VLOOKUP('Vegas Odds'!$B10,'Vegas Copy-Paste'!$P:$V,6,FALSE)</f>
        <v>0</v>
      </c>
      <c r="E10" s="78"/>
      <c r="F10" s="78" t="e">
        <f>VLOOKUP('Vegas Odds'!$B10,'Vegas Copy-Paste'!$P:$V,5,FALSE)</f>
        <v>#DIV/0!</v>
      </c>
      <c r="G10" s="78" t="e">
        <f t="shared" si="5"/>
        <v>#DIV/0!</v>
      </c>
      <c r="H10" s="79">
        <f>ROUND(VLOOKUP($B10,Team_Offense_Table__PY[[Lookup Name]:[% Pass]],5,FALSE),2)</f>
        <v>25.38</v>
      </c>
      <c r="I10" s="79">
        <f>ROUND(VLOOKUP($B10,Team_Offense_Table__PY[[Lookup Name]:[% Pass]],6,FALSE),2)</f>
        <v>31.19</v>
      </c>
      <c r="J10" s="79" t="e">
        <f>VLOOKUP($C10,Team_Defense_Table__PY[[Lookup]:[Yards per completion]],3,FALSE)</f>
        <v>#N/A</v>
      </c>
      <c r="K10" s="79" t="e">
        <f>VLOOKUP($C10,Team_Defense_Table__PY[[Lookup]:[Yards per completion]],5,FALSE)</f>
        <v>#N/A</v>
      </c>
      <c r="L10" s="79" t="e">
        <f>ROUND(VLOOKUP($C10,Team_Offense_Table__PY[[Lookup Name]:[% Pass]],5,FALSE),2)</f>
        <v>#N/A</v>
      </c>
      <c r="M10" s="79" t="e">
        <f>ROUND(VLOOKUP($C10,Team_Offense_Table__PY[[Lookup Name]:[% Pass]],6,FALSE),2)</f>
        <v>#N/A</v>
      </c>
      <c r="N10" s="79" t="e">
        <f t="shared" si="0"/>
        <v>#N/A</v>
      </c>
      <c r="O10" s="81">
        <f t="shared" si="6"/>
        <v>1</v>
      </c>
      <c r="P10" s="79"/>
      <c r="Q10" s="81" t="e">
        <f t="shared" si="1"/>
        <v>#N/A</v>
      </c>
      <c r="R10" s="79" t="e">
        <f t="shared" si="2"/>
        <v>#N/A</v>
      </c>
      <c r="S10" s="79" t="e">
        <f t="shared" si="3"/>
        <v>#N/A</v>
      </c>
      <c r="T10" s="80">
        <f>VLOOKUP($B10,'PY Offensive Stats'!$AC:$AJ,2,FALSE)</f>
        <v>15.1875</v>
      </c>
      <c r="U10" s="9" t="e">
        <f t="shared" si="4"/>
        <v>#DIV/0!</v>
      </c>
    </row>
    <row r="11" spans="2:21" x14ac:dyDescent="0.2">
      <c r="B11" t="s">
        <v>98</v>
      </c>
      <c r="C11" s="78" t="e">
        <f>VLOOKUP('Vegas Odds'!$B11,'Vegas Copy-Paste'!$P:$V,7,FALSE)</f>
        <v>#N/A</v>
      </c>
      <c r="D11" s="78">
        <f>VLOOKUP('Vegas Odds'!$B11,'Vegas Copy-Paste'!$P:$V,6,FALSE)</f>
        <v>0</v>
      </c>
      <c r="E11" s="78"/>
      <c r="F11" s="78" t="e">
        <f>VLOOKUP('Vegas Odds'!$B11,'Vegas Copy-Paste'!$P:$V,5,FALSE)</f>
        <v>#DIV/0!</v>
      </c>
      <c r="G11" s="78" t="e">
        <f t="shared" si="5"/>
        <v>#DIV/0!</v>
      </c>
      <c r="H11" s="79">
        <f>ROUND(VLOOKUP($B11,Team_Offense_Table__PY[[Lookup Name]:[% Pass]],5,FALSE),2)</f>
        <v>25.69</v>
      </c>
      <c r="I11" s="79">
        <f>ROUND(VLOOKUP($B11,Team_Offense_Table__PY[[Lookup Name]:[% Pass]],6,FALSE),2)</f>
        <v>37.25</v>
      </c>
      <c r="J11" s="79" t="e">
        <f>VLOOKUP($C11,Team_Defense_Table__PY[[Lookup]:[Yards per completion]],3,FALSE)</f>
        <v>#N/A</v>
      </c>
      <c r="K11" s="79" t="e">
        <f>VLOOKUP($C11,Team_Defense_Table__PY[[Lookup]:[Yards per completion]],5,FALSE)</f>
        <v>#N/A</v>
      </c>
      <c r="L11" s="79" t="e">
        <f>ROUND(VLOOKUP($C11,Team_Offense_Table__PY[[Lookup Name]:[% Pass]],5,FALSE),2)</f>
        <v>#N/A</v>
      </c>
      <c r="M11" s="79" t="e">
        <f>ROUND(VLOOKUP($C11,Team_Offense_Table__PY[[Lookup Name]:[% Pass]],6,FALSE),2)</f>
        <v>#N/A</v>
      </c>
      <c r="N11" s="79" t="e">
        <f t="shared" si="0"/>
        <v>#N/A</v>
      </c>
      <c r="O11" s="81">
        <f t="shared" si="6"/>
        <v>1</v>
      </c>
      <c r="P11" s="79"/>
      <c r="Q11" s="81" t="e">
        <f t="shared" si="1"/>
        <v>#N/A</v>
      </c>
      <c r="R11" s="79" t="e">
        <f t="shared" si="2"/>
        <v>#N/A</v>
      </c>
      <c r="S11" s="79" t="e">
        <f t="shared" si="3"/>
        <v>#N/A</v>
      </c>
      <c r="T11" s="80">
        <f>VLOOKUP($B11,'PY Offensive Stats'!$AC:$AJ,2,FALSE)</f>
        <v>31.3125</v>
      </c>
      <c r="U11" s="9" t="e">
        <f t="shared" si="4"/>
        <v>#DIV/0!</v>
      </c>
    </row>
    <row r="12" spans="2:21" x14ac:dyDescent="0.2">
      <c r="B12" t="s">
        <v>726</v>
      </c>
      <c r="C12" s="78" t="e">
        <f>VLOOKUP('Vegas Odds'!$B12,'Vegas Copy-Paste'!$P:$V,7,FALSE)</f>
        <v>#N/A</v>
      </c>
      <c r="D12" s="78">
        <f>VLOOKUP('Vegas Odds'!$B12,'Vegas Copy-Paste'!$P:$V,6,FALSE)</f>
        <v>0</v>
      </c>
      <c r="E12" s="78"/>
      <c r="F12" s="78" t="e">
        <f>VLOOKUP('Vegas Odds'!$B12,'Vegas Copy-Paste'!$P:$V,5,FALSE)</f>
        <v>#DIV/0!</v>
      </c>
      <c r="G12" s="78" t="e">
        <f t="shared" si="5"/>
        <v>#DIV/0!</v>
      </c>
      <c r="H12" s="79">
        <f>ROUND(VLOOKUP($B12,Team_Offense_Table__PY[[Lookup Name]:[% Pass]],5,FALSE),2)</f>
        <v>28.56</v>
      </c>
      <c r="I12" s="79">
        <f>ROUND(VLOOKUP($B12,Team_Offense_Table__PY[[Lookup Name]:[% Pass]],6,FALSE),2)</f>
        <v>34.44</v>
      </c>
      <c r="J12" s="79" t="e">
        <f>VLOOKUP($C12,Team_Defense_Table__PY[[Lookup]:[Yards per completion]],3,FALSE)</f>
        <v>#N/A</v>
      </c>
      <c r="K12" s="79" t="e">
        <f>VLOOKUP($C12,Team_Defense_Table__PY[[Lookup]:[Yards per completion]],5,FALSE)</f>
        <v>#N/A</v>
      </c>
      <c r="L12" s="79" t="e">
        <f>ROUND(VLOOKUP($C12,Team_Offense_Table__PY[[Lookup Name]:[% Pass]],5,FALSE),2)</f>
        <v>#N/A</v>
      </c>
      <c r="M12" s="79" t="e">
        <f>ROUND(VLOOKUP($C12,Team_Offense_Table__PY[[Lookup Name]:[% Pass]],6,FALSE),2)</f>
        <v>#N/A</v>
      </c>
      <c r="N12" s="79" t="e">
        <f t="shared" si="0"/>
        <v>#N/A</v>
      </c>
      <c r="O12" s="81">
        <f t="shared" si="6"/>
        <v>1</v>
      </c>
      <c r="P12" s="79"/>
      <c r="Q12" s="81" t="e">
        <f t="shared" si="1"/>
        <v>#N/A</v>
      </c>
      <c r="R12" s="79" t="e">
        <f t="shared" si="2"/>
        <v>#N/A</v>
      </c>
      <c r="S12" s="79" t="e">
        <f t="shared" si="3"/>
        <v>#N/A</v>
      </c>
      <c r="T12" s="80">
        <f>VLOOKUP($B12,'PY Offensive Stats'!$AC:$AJ,2,FALSE)</f>
        <v>27.125</v>
      </c>
      <c r="U12" s="9" t="e">
        <f t="shared" si="4"/>
        <v>#DIV/0!</v>
      </c>
    </row>
    <row r="13" spans="2:21" x14ac:dyDescent="0.2">
      <c r="B13" t="s">
        <v>70</v>
      </c>
      <c r="C13" s="78" t="e">
        <f>VLOOKUP('Vegas Odds'!$B13,'Vegas Copy-Paste'!$P:$V,7,FALSE)</f>
        <v>#N/A</v>
      </c>
      <c r="D13" s="78">
        <f>VLOOKUP('Vegas Odds'!$B13,'Vegas Copy-Paste'!$P:$V,6,FALSE)</f>
        <v>0</v>
      </c>
      <c r="E13" s="78"/>
      <c r="F13" s="78" t="e">
        <f>VLOOKUP('Vegas Odds'!$B13,'Vegas Copy-Paste'!$P:$V,5,FALSE)</f>
        <v>#DIV/0!</v>
      </c>
      <c r="G13" s="78" t="e">
        <f t="shared" si="5"/>
        <v>#DIV/0!</v>
      </c>
      <c r="H13" s="79">
        <f>ROUND(VLOOKUP($B13,Team_Offense_Table__PY[[Lookup Name]:[% Pass]],5,FALSE),2)</f>
        <v>25.44</v>
      </c>
      <c r="I13" s="79">
        <f>ROUND(VLOOKUP($B13,Team_Offense_Table__PY[[Lookup Name]:[% Pass]],6,FALSE),2)</f>
        <v>34.380000000000003</v>
      </c>
      <c r="J13" s="79" t="e">
        <f>VLOOKUP($C13,Team_Defense_Table__PY[[Lookup]:[Yards per completion]],3,FALSE)</f>
        <v>#N/A</v>
      </c>
      <c r="K13" s="79" t="e">
        <f>VLOOKUP($C13,Team_Defense_Table__PY[[Lookup]:[Yards per completion]],5,FALSE)</f>
        <v>#N/A</v>
      </c>
      <c r="L13" s="79" t="e">
        <f>ROUND(VLOOKUP($C13,Team_Offense_Table__PY[[Lookup Name]:[% Pass]],5,FALSE),2)</f>
        <v>#N/A</v>
      </c>
      <c r="M13" s="79" t="e">
        <f>ROUND(VLOOKUP($C13,Team_Offense_Table__PY[[Lookup Name]:[% Pass]],6,FALSE),2)</f>
        <v>#N/A</v>
      </c>
      <c r="N13" s="79" t="e">
        <f t="shared" si="0"/>
        <v>#N/A</v>
      </c>
      <c r="O13" s="81">
        <f t="shared" si="6"/>
        <v>1</v>
      </c>
      <c r="P13" s="79"/>
      <c r="Q13" s="81" t="e">
        <f t="shared" si="1"/>
        <v>#N/A</v>
      </c>
      <c r="R13" s="79" t="e">
        <f t="shared" si="2"/>
        <v>#N/A</v>
      </c>
      <c r="S13" s="79" t="e">
        <f t="shared" si="3"/>
        <v>#N/A</v>
      </c>
      <c r="T13" s="80">
        <f>VLOOKUP($B13,'PY Offensive Stats'!$AC:$AJ,2,FALSE)</f>
        <v>21.875</v>
      </c>
      <c r="U13" s="9" t="e">
        <f t="shared" si="4"/>
        <v>#DIV/0!</v>
      </c>
    </row>
    <row r="14" spans="2:21" x14ac:dyDescent="0.2">
      <c r="B14" t="s">
        <v>108</v>
      </c>
      <c r="C14" s="78" t="e">
        <f>VLOOKUP('Vegas Odds'!$B14,'Vegas Copy-Paste'!$P:$V,7,FALSE)</f>
        <v>#N/A</v>
      </c>
      <c r="D14" s="78">
        <f>VLOOKUP('Vegas Odds'!$B14,'Vegas Copy-Paste'!$P:$V,6,FALSE)</f>
        <v>0</v>
      </c>
      <c r="E14" s="78"/>
      <c r="F14" s="78" t="e">
        <f>VLOOKUP('Vegas Odds'!$B14,'Vegas Copy-Paste'!$P:$V,5,FALSE)</f>
        <v>#DIV/0!</v>
      </c>
      <c r="G14" s="78" t="e">
        <f t="shared" si="5"/>
        <v>#DIV/0!</v>
      </c>
      <c r="H14" s="79">
        <f>ROUND(VLOOKUP($B14,Team_Offense_Table__PY[[Lookup Name]:[% Pass]],5,FALSE),2)</f>
        <v>25.69</v>
      </c>
      <c r="I14" s="79">
        <f>ROUND(VLOOKUP($B14,Team_Offense_Table__PY[[Lookup Name]:[% Pass]],6,FALSE),2)</f>
        <v>35.19</v>
      </c>
      <c r="J14" s="79" t="e">
        <f>VLOOKUP($C14,Team_Defense_Table__PY[[Lookup]:[Yards per completion]],3,FALSE)</f>
        <v>#N/A</v>
      </c>
      <c r="K14" s="79" t="e">
        <f>VLOOKUP($C14,Team_Defense_Table__PY[[Lookup]:[Yards per completion]],5,FALSE)</f>
        <v>#N/A</v>
      </c>
      <c r="L14" s="79" t="e">
        <f>ROUND(VLOOKUP($C14,Team_Offense_Table__PY[[Lookup Name]:[% Pass]],5,FALSE),2)</f>
        <v>#N/A</v>
      </c>
      <c r="M14" s="79" t="e">
        <f>ROUND(VLOOKUP($C14,Team_Offense_Table__PY[[Lookup Name]:[% Pass]],6,FALSE),2)</f>
        <v>#N/A</v>
      </c>
      <c r="N14" s="79" t="e">
        <f t="shared" si="0"/>
        <v>#N/A</v>
      </c>
      <c r="O14" s="81">
        <f t="shared" si="6"/>
        <v>1</v>
      </c>
      <c r="P14" s="79"/>
      <c r="Q14" s="81" t="e">
        <f t="shared" si="1"/>
        <v>#N/A</v>
      </c>
      <c r="R14" s="79" t="e">
        <f t="shared" si="2"/>
        <v>#N/A</v>
      </c>
      <c r="S14" s="79" t="e">
        <f t="shared" si="3"/>
        <v>#N/A</v>
      </c>
      <c r="T14" s="80">
        <f>VLOOKUP($B14,'PY Offensive Stats'!$AC:$AJ,2,FALSE)</f>
        <v>28.6875</v>
      </c>
      <c r="U14" s="9" t="e">
        <f t="shared" si="4"/>
        <v>#DIV/0!</v>
      </c>
    </row>
    <row r="15" spans="2:21" x14ac:dyDescent="0.2">
      <c r="B15" t="s">
        <v>101</v>
      </c>
      <c r="C15" s="78" t="e">
        <f>VLOOKUP('Vegas Odds'!$B15,'Vegas Copy-Paste'!$P:$V,7,FALSE)</f>
        <v>#N/A</v>
      </c>
      <c r="D15" s="78">
        <f>VLOOKUP('Vegas Odds'!$B15,'Vegas Copy-Paste'!$P:$V,6,FALSE)</f>
        <v>0</v>
      </c>
      <c r="E15" s="78"/>
      <c r="F15" s="78" t="e">
        <f>VLOOKUP('Vegas Odds'!$B15,'Vegas Copy-Paste'!$P:$V,5,FALSE)</f>
        <v>#DIV/0!</v>
      </c>
      <c r="G15" s="78" t="e">
        <f t="shared" si="5"/>
        <v>#DIV/0!</v>
      </c>
      <c r="H15" s="79">
        <f>ROUND(VLOOKUP($B15,Team_Offense_Table__PY[[Lookup Name]:[% Pass]],5,FALSE),2)</f>
        <v>25.56</v>
      </c>
      <c r="I15" s="79">
        <f>ROUND(VLOOKUP($B15,Team_Offense_Table__PY[[Lookup Name]:[% Pass]],6,FALSE),2)</f>
        <v>39.25</v>
      </c>
      <c r="J15" s="79" t="e">
        <f>VLOOKUP($C15,Team_Defense_Table__PY[[Lookup]:[Yards per completion]],3,FALSE)</f>
        <v>#N/A</v>
      </c>
      <c r="K15" s="79" t="e">
        <f>VLOOKUP($C15,Team_Defense_Table__PY[[Lookup]:[Yards per completion]],5,FALSE)</f>
        <v>#N/A</v>
      </c>
      <c r="L15" s="79" t="e">
        <f>ROUND(VLOOKUP($C15,Team_Offense_Table__PY[[Lookup Name]:[% Pass]],5,FALSE),2)</f>
        <v>#N/A</v>
      </c>
      <c r="M15" s="79" t="e">
        <f>ROUND(VLOOKUP($C15,Team_Offense_Table__PY[[Lookup Name]:[% Pass]],6,FALSE),2)</f>
        <v>#N/A</v>
      </c>
      <c r="N15" s="79" t="e">
        <f t="shared" si="0"/>
        <v>#N/A</v>
      </c>
      <c r="O15" s="81">
        <f t="shared" si="6"/>
        <v>1</v>
      </c>
      <c r="P15" s="79"/>
      <c r="Q15" s="81" t="e">
        <f t="shared" si="1"/>
        <v>#N/A</v>
      </c>
      <c r="R15" s="79" t="e">
        <f t="shared" si="2"/>
        <v>#N/A</v>
      </c>
      <c r="S15" s="79" t="e">
        <f t="shared" si="3"/>
        <v>#N/A</v>
      </c>
      <c r="T15" s="80">
        <f>VLOOKUP($B15,'PY Offensive Stats'!$AC:$AJ,2,FALSE)</f>
        <v>24.75</v>
      </c>
      <c r="U15" s="9" t="e">
        <f t="shared" si="4"/>
        <v>#DIV/0!</v>
      </c>
    </row>
    <row r="16" spans="2:21" x14ac:dyDescent="0.2">
      <c r="B16" t="s">
        <v>102</v>
      </c>
      <c r="C16" s="78" t="str">
        <f>VLOOKUP('Vegas Odds'!$B16,'Vegas Copy-Paste'!$P:$V,7,FALSE)</f>
        <v>TB</v>
      </c>
      <c r="D16" s="78">
        <f>VLOOKUP('Vegas Odds'!$B16,'Vegas Copy-Paste'!$P:$V,6,FALSE)</f>
        <v>7.3888888888888893</v>
      </c>
      <c r="E16" s="78"/>
      <c r="F16" s="78">
        <f>VLOOKUP('Vegas Odds'!$B16,'Vegas Copy-Paste'!$P:$V,5,FALSE)</f>
        <v>46.861111111111114</v>
      </c>
      <c r="G16" s="78">
        <f t="shared" si="5"/>
        <v>27.125</v>
      </c>
      <c r="H16" s="79">
        <f>ROUND(VLOOKUP($B16,Team_Offense_Table__PY[[Lookup Name]:[% Pass]],5,FALSE),2)</f>
        <v>25.19</v>
      </c>
      <c r="I16" s="79">
        <f>ROUND(VLOOKUP($B16,Team_Offense_Table__PY[[Lookup Name]:[% Pass]],6,FALSE),2)</f>
        <v>37.380000000000003</v>
      </c>
      <c r="J16" s="79">
        <f>VLOOKUP($C16,Team_Defense_Table__PY[[Lookup]:[Yards per completion]],3,FALSE)</f>
        <v>21</v>
      </c>
      <c r="K16" s="79">
        <f>VLOOKUP($C16,Team_Defense_Table__PY[[Lookup]:[Yards per completion]],5,FALSE)</f>
        <v>1</v>
      </c>
      <c r="L16" s="79">
        <f>ROUND(VLOOKUP($C16,Team_Offense_Table__PY[[Lookup Name]:[% Pass]],5,FALSE),2)</f>
        <v>23.06</v>
      </c>
      <c r="M16" s="79">
        <f>ROUND(VLOOKUP($C16,Team_Offense_Table__PY[[Lookup Name]:[% Pass]],6,FALSE),2)</f>
        <v>39.130000000000003</v>
      </c>
      <c r="N16" s="79">
        <f t="shared" si="0"/>
        <v>62.6</v>
      </c>
      <c r="O16" s="81">
        <f t="shared" si="6"/>
        <v>0.88916666666666666</v>
      </c>
      <c r="P16" s="79"/>
      <c r="Q16" s="81">
        <f t="shared" si="1"/>
        <v>0.79166666666666663</v>
      </c>
      <c r="R16" s="79">
        <f t="shared" si="2"/>
        <v>17.740337523085255</v>
      </c>
      <c r="S16" s="79">
        <f t="shared" si="3"/>
        <v>44.85966247691475</v>
      </c>
      <c r="T16" s="80">
        <f>VLOOKUP($B16,'PY Offensive Stats'!$AC:$AJ,2,FALSE)</f>
        <v>20.875</v>
      </c>
      <c r="U16" s="9">
        <f t="shared" si="4"/>
        <v>0.29940119760479039</v>
      </c>
    </row>
    <row r="17" spans="2:21" x14ac:dyDescent="0.2">
      <c r="B17" t="s">
        <v>119</v>
      </c>
      <c r="C17" s="78" t="e">
        <f>VLOOKUP('Vegas Odds'!$B17,'Vegas Copy-Paste'!$P:$V,7,FALSE)</f>
        <v>#N/A</v>
      </c>
      <c r="D17" s="78">
        <f>VLOOKUP('Vegas Odds'!$B17,'Vegas Copy-Paste'!$P:$V,6,FALSE)</f>
        <v>0</v>
      </c>
      <c r="E17" s="78"/>
      <c r="F17" s="78" t="e">
        <f>VLOOKUP('Vegas Odds'!$B17,'Vegas Copy-Paste'!$P:$V,5,FALSE)</f>
        <v>#DIV/0!</v>
      </c>
      <c r="G17" s="78" t="e">
        <f t="shared" si="5"/>
        <v>#DIV/0!</v>
      </c>
      <c r="H17" s="79">
        <f>ROUND(VLOOKUP($B17,Team_Offense_Table__PY[[Lookup Name]:[% Pass]],5,FALSE),2)</f>
        <v>25</v>
      </c>
      <c r="I17" s="79">
        <f>ROUND(VLOOKUP($B17,Team_Offense_Table__PY[[Lookup Name]:[% Pass]],6,FALSE),2)</f>
        <v>37.56</v>
      </c>
      <c r="J17" s="79" t="e">
        <f>VLOOKUP($C17,Team_Defense_Table__PY[[Lookup]:[Yards per completion]],3,FALSE)</f>
        <v>#N/A</v>
      </c>
      <c r="K17" s="79" t="e">
        <f>VLOOKUP($C17,Team_Defense_Table__PY[[Lookup]:[Yards per completion]],5,FALSE)</f>
        <v>#N/A</v>
      </c>
      <c r="L17" s="79" t="e">
        <f>ROUND(VLOOKUP($C17,Team_Offense_Table__PY[[Lookup Name]:[% Pass]],5,FALSE),2)</f>
        <v>#N/A</v>
      </c>
      <c r="M17" s="79" t="e">
        <f>ROUND(VLOOKUP($C17,Team_Offense_Table__PY[[Lookup Name]:[% Pass]],6,FALSE),2)</f>
        <v>#N/A</v>
      </c>
      <c r="N17" s="79" t="e">
        <f t="shared" si="0"/>
        <v>#N/A</v>
      </c>
      <c r="O17" s="81">
        <f t="shared" si="6"/>
        <v>1</v>
      </c>
      <c r="P17" s="79"/>
      <c r="Q17" s="81" t="e">
        <f t="shared" si="1"/>
        <v>#N/A</v>
      </c>
      <c r="R17" s="79" t="e">
        <f t="shared" si="2"/>
        <v>#N/A</v>
      </c>
      <c r="S17" s="79" t="e">
        <f t="shared" si="3"/>
        <v>#N/A</v>
      </c>
      <c r="T17" s="80">
        <f>VLOOKUP($B17,'PY Offensive Stats'!$AC:$AJ,2,FALSE)</f>
        <v>20.9375</v>
      </c>
      <c r="U17" s="9" t="e">
        <f t="shared" si="4"/>
        <v>#DIV/0!</v>
      </c>
    </row>
    <row r="18" spans="2:21" x14ac:dyDescent="0.2">
      <c r="B18" t="s">
        <v>727</v>
      </c>
      <c r="C18" s="78" t="e">
        <f>VLOOKUP('Vegas Odds'!$B18,'Vegas Copy-Paste'!$P:$V,7,FALSE)</f>
        <v>#N/A</v>
      </c>
      <c r="D18" s="78">
        <f>VLOOKUP('Vegas Odds'!$B18,'Vegas Copy-Paste'!$P:$V,6,FALSE)</f>
        <v>0</v>
      </c>
      <c r="E18" s="78"/>
      <c r="F18" s="78" t="e">
        <f>VLOOKUP('Vegas Odds'!$B18,'Vegas Copy-Paste'!$P:$V,5,FALSE)</f>
        <v>#DIV/0!</v>
      </c>
      <c r="G18" s="78" t="e">
        <f t="shared" si="5"/>
        <v>#DIV/0!</v>
      </c>
      <c r="H18" s="79">
        <f>ROUND(VLOOKUP($B18,Team_Offense_Table__PY[[Lookup Name]:[% Pass]],5,FALSE),2)</f>
        <v>24.56</v>
      </c>
      <c r="I18" s="79">
        <f>ROUND(VLOOKUP($B18,Team_Offense_Table__PY[[Lookup Name]:[% Pass]],6,FALSE),2)</f>
        <v>38.380000000000003</v>
      </c>
      <c r="J18" s="79" t="e">
        <f>VLOOKUP($C18,Team_Defense_Table__PY[[Lookup]:[Yards per completion]],3,FALSE)</f>
        <v>#N/A</v>
      </c>
      <c r="K18" s="79" t="e">
        <f>VLOOKUP($C18,Team_Defense_Table__PY[[Lookup]:[Yards per completion]],5,FALSE)</f>
        <v>#N/A</v>
      </c>
      <c r="L18" s="79" t="e">
        <f>ROUND(VLOOKUP($C18,Team_Offense_Table__PY[[Lookup Name]:[% Pass]],5,FALSE),2)</f>
        <v>#N/A</v>
      </c>
      <c r="M18" s="79" t="e">
        <f>ROUND(VLOOKUP($C18,Team_Offense_Table__PY[[Lookup Name]:[% Pass]],6,FALSE),2)</f>
        <v>#N/A</v>
      </c>
      <c r="N18" s="79" t="e">
        <f t="shared" si="0"/>
        <v>#N/A</v>
      </c>
      <c r="O18" s="81">
        <f t="shared" si="6"/>
        <v>1</v>
      </c>
      <c r="P18" s="79"/>
      <c r="Q18" s="81" t="e">
        <f t="shared" si="1"/>
        <v>#N/A</v>
      </c>
      <c r="R18" s="79" t="e">
        <f t="shared" si="2"/>
        <v>#N/A</v>
      </c>
      <c r="S18" s="79" t="e">
        <f t="shared" si="3"/>
        <v>#N/A</v>
      </c>
      <c r="T18" s="80">
        <f>VLOOKUP($B18,'PY Offensive Stats'!$AC:$AJ,2,FALSE)</f>
        <v>23.25</v>
      </c>
      <c r="U18" s="9" t="e">
        <f t="shared" si="4"/>
        <v>#DIV/0!</v>
      </c>
    </row>
    <row r="19" spans="2:21" x14ac:dyDescent="0.2">
      <c r="B19" t="s">
        <v>139</v>
      </c>
      <c r="C19" s="78" t="e">
        <f>VLOOKUP('Vegas Odds'!$B19,'Vegas Copy-Paste'!$P:$V,7,FALSE)</f>
        <v>#N/A</v>
      </c>
      <c r="D19" s="78">
        <f>VLOOKUP('Vegas Odds'!$B19,'Vegas Copy-Paste'!$P:$V,6,FALSE)</f>
        <v>0</v>
      </c>
      <c r="E19" s="78"/>
      <c r="F19" s="78" t="e">
        <f>VLOOKUP('Vegas Odds'!$B19,'Vegas Copy-Paste'!$P:$V,5,FALSE)</f>
        <v>#DIV/0!</v>
      </c>
      <c r="G19" s="78" t="e">
        <f t="shared" si="5"/>
        <v>#DIV/0!</v>
      </c>
      <c r="H19" s="79">
        <f>ROUND(VLOOKUP($B19,Team_Offense_Table__PY[[Lookup Name]:[% Pass]],5,FALSE),2)</f>
        <v>22.94</v>
      </c>
      <c r="I19" s="79">
        <f>ROUND(VLOOKUP($B19,Team_Offense_Table__PY[[Lookup Name]:[% Pass]],6,FALSE),2)</f>
        <v>36.380000000000003</v>
      </c>
      <c r="J19" s="79" t="e">
        <f>VLOOKUP($C19,Team_Defense_Table__PY[[Lookup]:[Yards per completion]],3,FALSE)</f>
        <v>#N/A</v>
      </c>
      <c r="K19" s="79" t="e">
        <f>VLOOKUP($C19,Team_Defense_Table__PY[[Lookup]:[Yards per completion]],5,FALSE)</f>
        <v>#N/A</v>
      </c>
      <c r="L19" s="79" t="e">
        <f>ROUND(VLOOKUP($C19,Team_Offense_Table__PY[[Lookup Name]:[% Pass]],5,FALSE),2)</f>
        <v>#N/A</v>
      </c>
      <c r="M19" s="79" t="e">
        <f>ROUND(VLOOKUP($C19,Team_Offense_Table__PY[[Lookup Name]:[% Pass]],6,FALSE),2)</f>
        <v>#N/A</v>
      </c>
      <c r="N19" s="79" t="e">
        <f t="shared" si="0"/>
        <v>#N/A</v>
      </c>
      <c r="O19" s="81">
        <f t="shared" si="6"/>
        <v>1</v>
      </c>
      <c r="P19" s="79"/>
      <c r="Q19" s="81" t="e">
        <f t="shared" si="1"/>
        <v>#N/A</v>
      </c>
      <c r="R19" s="79" t="e">
        <f t="shared" si="2"/>
        <v>#N/A</v>
      </c>
      <c r="S19" s="79" t="e">
        <f t="shared" si="3"/>
        <v>#N/A</v>
      </c>
      <c r="T19" s="80">
        <f>VLOOKUP($B19,'PY Offensive Stats'!$AC:$AJ,2,FALSE)</f>
        <v>23.5625</v>
      </c>
      <c r="U19" s="9" t="e">
        <f t="shared" si="4"/>
        <v>#DIV/0!</v>
      </c>
    </row>
    <row r="20" spans="2:21" x14ac:dyDescent="0.2">
      <c r="B20" t="s">
        <v>107</v>
      </c>
      <c r="C20" s="78" t="e">
        <f>VLOOKUP('Vegas Odds'!$B20,'Vegas Copy-Paste'!$P:$V,7,FALSE)</f>
        <v>#N/A</v>
      </c>
      <c r="D20" s="78">
        <f>VLOOKUP('Vegas Odds'!$B20,'Vegas Copy-Paste'!$P:$V,6,FALSE)</f>
        <v>0</v>
      </c>
      <c r="E20" s="78"/>
      <c r="F20" s="78" t="e">
        <f>VLOOKUP('Vegas Odds'!$B20,'Vegas Copy-Paste'!$P:$V,5,FALSE)</f>
        <v>#DIV/0!</v>
      </c>
      <c r="G20" s="78" t="e">
        <f t="shared" si="5"/>
        <v>#DIV/0!</v>
      </c>
      <c r="H20" s="79">
        <f>ROUND(VLOOKUP($B20,Team_Offense_Table__PY[[Lookup Name]:[% Pass]],5,FALSE),2)</f>
        <v>28.69</v>
      </c>
      <c r="I20" s="79">
        <f>ROUND(VLOOKUP($B20,Team_Offense_Table__PY[[Lookup Name]:[% Pass]],6,FALSE),2)</f>
        <v>34.5</v>
      </c>
      <c r="J20" s="79" t="e">
        <f>VLOOKUP($C20,Team_Defense_Table__PY[[Lookup]:[Yards per completion]],3,FALSE)</f>
        <v>#N/A</v>
      </c>
      <c r="K20" s="79" t="e">
        <f>VLOOKUP($C20,Team_Defense_Table__PY[[Lookup]:[Yards per completion]],5,FALSE)</f>
        <v>#N/A</v>
      </c>
      <c r="L20" s="79" t="e">
        <f>ROUND(VLOOKUP($C20,Team_Offense_Table__PY[[Lookup Name]:[% Pass]],5,FALSE),2)</f>
        <v>#N/A</v>
      </c>
      <c r="M20" s="79" t="e">
        <f>ROUND(VLOOKUP($C20,Team_Offense_Table__PY[[Lookup Name]:[% Pass]],6,FALSE),2)</f>
        <v>#N/A</v>
      </c>
      <c r="N20" s="79" t="e">
        <f t="shared" si="0"/>
        <v>#N/A</v>
      </c>
      <c r="O20" s="81">
        <f t="shared" si="6"/>
        <v>1</v>
      </c>
      <c r="P20" s="79"/>
      <c r="Q20" s="81" t="e">
        <f t="shared" si="1"/>
        <v>#N/A</v>
      </c>
      <c r="R20" s="79" t="e">
        <f t="shared" si="2"/>
        <v>#N/A</v>
      </c>
      <c r="S20" s="79" t="e">
        <f t="shared" si="3"/>
        <v>#N/A</v>
      </c>
      <c r="T20" s="80">
        <f>VLOOKUP($B20,'PY Offensive Stats'!$AC:$AJ,2,FALSE)</f>
        <v>28.1875</v>
      </c>
      <c r="U20" s="9" t="e">
        <f t="shared" si="4"/>
        <v>#DIV/0!</v>
      </c>
    </row>
    <row r="21" spans="2:21" x14ac:dyDescent="0.2">
      <c r="B21" t="s">
        <v>123</v>
      </c>
      <c r="C21" s="78" t="e">
        <f>VLOOKUP('Vegas Odds'!$B21,'Vegas Copy-Paste'!$P:$V,7,FALSE)</f>
        <v>#N/A</v>
      </c>
      <c r="D21" s="78">
        <f>VLOOKUP('Vegas Odds'!$B21,'Vegas Copy-Paste'!$P:$V,6,FALSE)</f>
        <v>0</v>
      </c>
      <c r="E21" s="78"/>
      <c r="F21" s="78" t="e">
        <f>VLOOKUP('Vegas Odds'!$B21,'Vegas Copy-Paste'!$P:$V,5,FALSE)</f>
        <v>#DIV/0!</v>
      </c>
      <c r="G21" s="78" t="e">
        <f t="shared" si="5"/>
        <v>#DIV/0!</v>
      </c>
      <c r="H21" s="79">
        <f>ROUND(VLOOKUP($B21,Team_Offense_Table__PY[[Lookup Name]:[% Pass]],5,FALSE),2)</f>
        <v>21.06</v>
      </c>
      <c r="I21" s="79">
        <f>ROUND(VLOOKUP($B21,Team_Offense_Table__PY[[Lookup Name]:[% Pass]],6,FALSE),2)</f>
        <v>38.5</v>
      </c>
      <c r="J21" s="79" t="e">
        <f>VLOOKUP($C21,Team_Defense_Table__PY[[Lookup]:[Yards per completion]],3,FALSE)</f>
        <v>#N/A</v>
      </c>
      <c r="K21" s="79" t="e">
        <f>VLOOKUP($C21,Team_Defense_Table__PY[[Lookup]:[Yards per completion]],5,FALSE)</f>
        <v>#N/A</v>
      </c>
      <c r="L21" s="79" t="e">
        <f>ROUND(VLOOKUP($C21,Team_Offense_Table__PY[[Lookup Name]:[% Pass]],5,FALSE),2)</f>
        <v>#N/A</v>
      </c>
      <c r="M21" s="79" t="e">
        <f>ROUND(VLOOKUP($C21,Team_Offense_Table__PY[[Lookup Name]:[% Pass]],6,FALSE),2)</f>
        <v>#N/A</v>
      </c>
      <c r="N21" s="79" t="e">
        <f t="shared" si="0"/>
        <v>#N/A</v>
      </c>
      <c r="O21" s="81">
        <f t="shared" si="6"/>
        <v>1</v>
      </c>
      <c r="P21" s="79"/>
      <c r="Q21" s="81" t="e">
        <f t="shared" si="1"/>
        <v>#N/A</v>
      </c>
      <c r="R21" s="79" t="e">
        <f t="shared" si="2"/>
        <v>#N/A</v>
      </c>
      <c r="S21" s="79" t="e">
        <f t="shared" si="3"/>
        <v>#N/A</v>
      </c>
      <c r="T21" s="80">
        <f>VLOOKUP($B21,'PY Offensive Stats'!$AC:$AJ,2,FALSE)</f>
        <v>19.125</v>
      </c>
      <c r="U21" s="9" t="e">
        <f t="shared" si="4"/>
        <v>#DIV/0!</v>
      </c>
    </row>
    <row r="22" spans="2:21" x14ac:dyDescent="0.2">
      <c r="B22" t="s">
        <v>85</v>
      </c>
      <c r="C22" s="78" t="e">
        <f>VLOOKUP('Vegas Odds'!$B22,'Vegas Copy-Paste'!$P:$V,7,FALSE)</f>
        <v>#N/A</v>
      </c>
      <c r="D22" s="78">
        <f>VLOOKUP('Vegas Odds'!$B22,'Vegas Copy-Paste'!$P:$V,6,FALSE)</f>
        <v>0</v>
      </c>
      <c r="E22" s="78"/>
      <c r="F22" s="78" t="e">
        <f>VLOOKUP('Vegas Odds'!$B22,'Vegas Copy-Paste'!$P:$V,5,FALSE)</f>
        <v>#DIV/0!</v>
      </c>
      <c r="G22" s="78" t="e">
        <f t="shared" si="5"/>
        <v>#DIV/0!</v>
      </c>
      <c r="H22" s="79">
        <f>ROUND(VLOOKUP($B22,Team_Offense_Table__PY[[Lookup Name]:[% Pass]],5,FALSE),2)</f>
        <v>27.69</v>
      </c>
      <c r="I22" s="79">
        <f>ROUND(VLOOKUP($B22,Team_Offense_Table__PY[[Lookup Name]:[% Pass]],6,FALSE),2)</f>
        <v>32.880000000000003</v>
      </c>
      <c r="J22" s="79" t="e">
        <f>VLOOKUP($C22,Team_Defense_Table__PY[[Lookup]:[Yards per completion]],3,FALSE)</f>
        <v>#N/A</v>
      </c>
      <c r="K22" s="79" t="e">
        <f>VLOOKUP($C22,Team_Defense_Table__PY[[Lookup]:[Yards per completion]],5,FALSE)</f>
        <v>#N/A</v>
      </c>
      <c r="L22" s="79" t="e">
        <f>ROUND(VLOOKUP($C22,Team_Offense_Table__PY[[Lookup Name]:[% Pass]],5,FALSE),2)</f>
        <v>#N/A</v>
      </c>
      <c r="M22" s="79" t="e">
        <f>ROUND(VLOOKUP($C22,Team_Offense_Table__PY[[Lookup Name]:[% Pass]],6,FALSE),2)</f>
        <v>#N/A</v>
      </c>
      <c r="N22" s="79" t="e">
        <f t="shared" si="0"/>
        <v>#N/A</v>
      </c>
      <c r="O22" s="81">
        <f t="shared" si="6"/>
        <v>1</v>
      </c>
      <c r="P22" s="79"/>
      <c r="Q22" s="81" t="e">
        <f t="shared" si="1"/>
        <v>#N/A</v>
      </c>
      <c r="R22" s="79" t="e">
        <f t="shared" si="2"/>
        <v>#N/A</v>
      </c>
      <c r="S22" s="79" t="e">
        <f t="shared" si="3"/>
        <v>#N/A</v>
      </c>
      <c r="T22" s="80">
        <f>VLOOKUP($B22,'PY Offensive Stats'!$AC:$AJ,2,FALSE)</f>
        <v>31.8125</v>
      </c>
      <c r="U22" s="9" t="e">
        <f t="shared" si="4"/>
        <v>#DIV/0!</v>
      </c>
    </row>
    <row r="23" spans="2:21" x14ac:dyDescent="0.2">
      <c r="B23" t="s">
        <v>73</v>
      </c>
      <c r="C23" s="78" t="e">
        <f>VLOOKUP('Vegas Odds'!$B23,'Vegas Copy-Paste'!$P:$V,7,FALSE)</f>
        <v>#N/A</v>
      </c>
      <c r="D23" s="78">
        <f>VLOOKUP('Vegas Odds'!$B23,'Vegas Copy-Paste'!$P:$V,6,FALSE)</f>
        <v>0</v>
      </c>
      <c r="E23" s="78"/>
      <c r="F23" s="78" t="e">
        <f>VLOOKUP('Vegas Odds'!$B23,'Vegas Copy-Paste'!$P:$V,5,FALSE)</f>
        <v>#DIV/0!</v>
      </c>
      <c r="G23" s="78" t="e">
        <f t="shared" si="5"/>
        <v>#DIV/0!</v>
      </c>
      <c r="H23" s="79">
        <f>ROUND(VLOOKUP($B23,Team_Offense_Table__PY[[Lookup Name]:[% Pass]],5,FALSE),2)</f>
        <v>29.25</v>
      </c>
      <c r="I23" s="79">
        <f>ROUND(VLOOKUP($B23,Team_Offense_Table__PY[[Lookup Name]:[% Pass]],6,FALSE),2)</f>
        <v>32.25</v>
      </c>
      <c r="J23" s="79" t="e">
        <f>VLOOKUP($C23,Team_Defense_Table__PY[[Lookup]:[Yards per completion]],3,FALSE)</f>
        <v>#N/A</v>
      </c>
      <c r="K23" s="79" t="e">
        <f>VLOOKUP($C23,Team_Defense_Table__PY[[Lookup]:[Yards per completion]],5,FALSE)</f>
        <v>#N/A</v>
      </c>
      <c r="L23" s="79" t="e">
        <f>ROUND(VLOOKUP($C23,Team_Offense_Table__PY[[Lookup Name]:[% Pass]],5,FALSE),2)</f>
        <v>#N/A</v>
      </c>
      <c r="M23" s="79" t="e">
        <f>ROUND(VLOOKUP($C23,Team_Offense_Table__PY[[Lookup Name]:[% Pass]],6,FALSE),2)</f>
        <v>#N/A</v>
      </c>
      <c r="N23" s="79" t="e">
        <f t="shared" si="0"/>
        <v>#N/A</v>
      </c>
      <c r="O23" s="81">
        <f t="shared" si="6"/>
        <v>1</v>
      </c>
      <c r="P23" s="79"/>
      <c r="Q23" s="81" t="e">
        <f t="shared" si="1"/>
        <v>#N/A</v>
      </c>
      <c r="R23" s="79" t="e">
        <f t="shared" si="2"/>
        <v>#N/A</v>
      </c>
      <c r="S23" s="79" t="e">
        <f t="shared" si="3"/>
        <v>#N/A</v>
      </c>
      <c r="T23" s="80">
        <f>VLOOKUP($B23,'PY Offensive Stats'!$AC:$AJ,2,FALSE)</f>
        <v>26.875</v>
      </c>
      <c r="U23" s="9" t="e">
        <f t="shared" si="4"/>
        <v>#DIV/0!</v>
      </c>
    </row>
    <row r="24" spans="2:21" x14ac:dyDescent="0.2">
      <c r="B24" t="s">
        <v>118</v>
      </c>
      <c r="C24" s="78" t="e">
        <f>VLOOKUP('Vegas Odds'!$B24,'Vegas Copy-Paste'!$P:$V,7,FALSE)</f>
        <v>#N/A</v>
      </c>
      <c r="D24" s="78">
        <f>VLOOKUP('Vegas Odds'!$B24,'Vegas Copy-Paste'!$P:$V,6,FALSE)</f>
        <v>0</v>
      </c>
      <c r="E24" s="78"/>
      <c r="F24" s="78" t="e">
        <f>VLOOKUP('Vegas Odds'!$B24,'Vegas Copy-Paste'!$P:$V,5,FALSE)</f>
        <v>#DIV/0!</v>
      </c>
      <c r="G24" s="78" t="e">
        <f t="shared" si="5"/>
        <v>#DIV/0!</v>
      </c>
      <c r="H24" s="79">
        <f>ROUND(VLOOKUP($B24,Team_Offense_Table__PY[[Lookup Name]:[% Pass]],5,FALSE),2)</f>
        <v>29.13</v>
      </c>
      <c r="I24" s="79">
        <f>ROUND(VLOOKUP($B24,Team_Offense_Table__PY[[Lookup Name]:[% Pass]],6,FALSE),2)</f>
        <v>39.19</v>
      </c>
      <c r="J24" s="79" t="e">
        <f>VLOOKUP($C24,Team_Defense_Table__PY[[Lookup]:[Yards per completion]],3,FALSE)</f>
        <v>#N/A</v>
      </c>
      <c r="K24" s="79" t="e">
        <f>VLOOKUP($C24,Team_Defense_Table__PY[[Lookup]:[Yards per completion]],5,FALSE)</f>
        <v>#N/A</v>
      </c>
      <c r="L24" s="79" t="e">
        <f>ROUND(VLOOKUP($C24,Team_Offense_Table__PY[[Lookup Name]:[% Pass]],5,FALSE),2)</f>
        <v>#N/A</v>
      </c>
      <c r="M24" s="79" t="e">
        <f>ROUND(VLOOKUP($C24,Team_Offense_Table__PY[[Lookup Name]:[% Pass]],6,FALSE),2)</f>
        <v>#N/A</v>
      </c>
      <c r="N24" s="79" t="e">
        <f t="shared" si="0"/>
        <v>#N/A</v>
      </c>
      <c r="O24" s="81">
        <f t="shared" si="6"/>
        <v>1</v>
      </c>
      <c r="P24" s="79"/>
      <c r="Q24" s="81" t="e">
        <f t="shared" si="1"/>
        <v>#N/A</v>
      </c>
      <c r="R24" s="79" t="e">
        <f t="shared" si="2"/>
        <v>#N/A</v>
      </c>
      <c r="S24" s="79" t="e">
        <f t="shared" si="3"/>
        <v>#N/A</v>
      </c>
      <c r="T24" s="80">
        <f>VLOOKUP($B24,'PY Offensive Stats'!$AC:$AJ,2,FALSE)</f>
        <v>24</v>
      </c>
      <c r="U24" s="9" t="e">
        <f t="shared" si="4"/>
        <v>#DIV/0!</v>
      </c>
    </row>
    <row r="25" spans="2:21" x14ac:dyDescent="0.2">
      <c r="B25" t="s">
        <v>74</v>
      </c>
      <c r="C25" s="78" t="e">
        <f>VLOOKUP('Vegas Odds'!$B25,'Vegas Copy-Paste'!$P:$V,7,FALSE)</f>
        <v>#N/A</v>
      </c>
      <c r="D25" s="78">
        <f>VLOOKUP('Vegas Odds'!$B25,'Vegas Copy-Paste'!$P:$V,6,FALSE)</f>
        <v>0</v>
      </c>
      <c r="E25" s="78"/>
      <c r="F25" s="78" t="e">
        <f>VLOOKUP('Vegas Odds'!$B25,'Vegas Copy-Paste'!$P:$V,5,FALSE)</f>
        <v>#DIV/0!</v>
      </c>
      <c r="G25" s="78" t="e">
        <f t="shared" si="5"/>
        <v>#DIV/0!</v>
      </c>
      <c r="H25" s="79">
        <f>ROUND(VLOOKUP($B25,Team_Offense_Table__PY[[Lookup Name]:[% Pass]],5,FALSE),2)</f>
        <v>25.69</v>
      </c>
      <c r="I25" s="79">
        <f>ROUND(VLOOKUP($B25,Team_Offense_Table__PY[[Lookup Name]:[% Pass]],6,FALSE),2)</f>
        <v>36.31</v>
      </c>
      <c r="J25" s="79" t="e">
        <f>VLOOKUP($C25,Team_Defense_Table__PY[[Lookup]:[Yards per completion]],3,FALSE)</f>
        <v>#N/A</v>
      </c>
      <c r="K25" s="79" t="e">
        <f>VLOOKUP($C25,Team_Defense_Table__PY[[Lookup]:[Yards per completion]],5,FALSE)</f>
        <v>#N/A</v>
      </c>
      <c r="L25" s="79" t="e">
        <f>ROUND(VLOOKUP($C25,Team_Offense_Table__PY[[Lookup Name]:[% Pass]],5,FALSE),2)</f>
        <v>#N/A</v>
      </c>
      <c r="M25" s="79" t="e">
        <f>ROUND(VLOOKUP($C25,Team_Offense_Table__PY[[Lookup Name]:[% Pass]],6,FALSE),2)</f>
        <v>#N/A</v>
      </c>
      <c r="N25" s="79" t="e">
        <f t="shared" si="0"/>
        <v>#N/A</v>
      </c>
      <c r="O25" s="81">
        <f t="shared" si="6"/>
        <v>1</v>
      </c>
      <c r="P25" s="79"/>
      <c r="Q25" s="81" t="e">
        <f t="shared" si="1"/>
        <v>#N/A</v>
      </c>
      <c r="R25" s="79" t="e">
        <f t="shared" si="2"/>
        <v>#N/A</v>
      </c>
      <c r="S25" s="79" t="e">
        <f t="shared" si="3"/>
        <v>#N/A</v>
      </c>
      <c r="T25" s="80">
        <f>VLOOKUP($B25,'PY Offensive Stats'!$AC:$AJ,2,FALSE)</f>
        <v>19.4375</v>
      </c>
      <c r="U25" s="9" t="e">
        <f t="shared" si="4"/>
        <v>#DIV/0!</v>
      </c>
    </row>
    <row r="26" spans="2:21" x14ac:dyDescent="0.2">
      <c r="B26" t="s">
        <v>78</v>
      </c>
      <c r="C26" s="78" t="str">
        <f>VLOOKUP('Vegas Odds'!$B26,'Vegas Copy-Paste'!$P:$V,7,FALSE)</f>
        <v>LAR</v>
      </c>
      <c r="D26" s="78">
        <f>VLOOKUP('Vegas Odds'!$B26,'Vegas Copy-Paste'!$P:$V,6,FALSE)</f>
        <v>0</v>
      </c>
      <c r="E26" s="78"/>
      <c r="F26" s="78" t="e">
        <f>VLOOKUP('Vegas Odds'!$B26,'Vegas Copy-Paste'!$P:$V,5,FALSE)</f>
        <v>#DIV/0!</v>
      </c>
      <c r="G26" s="78" t="e">
        <f t="shared" si="5"/>
        <v>#DIV/0!</v>
      </c>
      <c r="H26" s="79">
        <f>ROUND(VLOOKUP($B26,Team_Offense_Table__PY[[Lookup Name]:[% Pass]],5,FALSE),2)</f>
        <v>29.94</v>
      </c>
      <c r="I26" s="79">
        <f>ROUND(VLOOKUP($B26,Team_Offense_Table__PY[[Lookup Name]:[% Pass]],6,FALSE),2)</f>
        <v>35.94</v>
      </c>
      <c r="J26" s="79">
        <f>VLOOKUP($C26,Team_Defense_Table__PY[[Lookup]:[Yards per completion]],3,FALSE)</f>
        <v>1</v>
      </c>
      <c r="K26" s="79">
        <f>VLOOKUP($C26,Team_Defense_Table__PY[[Lookup]:[Yards per completion]],5,FALSE)</f>
        <v>3</v>
      </c>
      <c r="L26" s="79">
        <f>ROUND(VLOOKUP($C26,Team_Offense_Table__PY[[Lookup Name]:[% Pass]],5,FALSE),2)</f>
        <v>29.56</v>
      </c>
      <c r="M26" s="79">
        <f>ROUND(VLOOKUP($C26,Team_Offense_Table__PY[[Lookup Name]:[% Pass]],6,FALSE),2)</f>
        <v>36.880000000000003</v>
      </c>
      <c r="N26" s="79">
        <f t="shared" si="0"/>
        <v>68.2</v>
      </c>
      <c r="O26" s="81">
        <f t="shared" si="6"/>
        <v>1</v>
      </c>
      <c r="P26" s="79"/>
      <c r="Q26" s="81">
        <f t="shared" si="1"/>
        <v>1.0208333333333333</v>
      </c>
      <c r="R26" s="79">
        <f t="shared" si="2"/>
        <v>31.640069064966603</v>
      </c>
      <c r="S26" s="79">
        <f t="shared" si="3"/>
        <v>36.5599309350334</v>
      </c>
      <c r="T26" s="80">
        <f>VLOOKUP($B26,'PY Offensive Stats'!$AC:$AJ,2,FALSE)</f>
        <v>25.625</v>
      </c>
      <c r="U26" s="9" t="e">
        <f t="shared" si="4"/>
        <v>#DIV/0!</v>
      </c>
    </row>
    <row r="27" spans="2:21" x14ac:dyDescent="0.2">
      <c r="B27" t="s">
        <v>138</v>
      </c>
      <c r="C27" s="78" t="str">
        <f>VLOOKUP('Vegas Odds'!$B27,'Vegas Copy-Paste'!$P:$V,7,FALSE)</f>
        <v>DAL</v>
      </c>
      <c r="D27" s="78">
        <f>VLOOKUP('Vegas Odds'!$B27,'Vegas Copy-Paste'!$P:$V,6,FALSE)</f>
        <v>3.1470588235294117</v>
      </c>
      <c r="E27" s="78"/>
      <c r="F27" s="78">
        <f>VLOOKUP('Vegas Odds'!$B27,'Vegas Copy-Paste'!$P:$V,5,FALSE)</f>
        <v>51</v>
      </c>
      <c r="G27" s="78">
        <f t="shared" si="5"/>
        <v>27.073529411764707</v>
      </c>
      <c r="H27" s="79">
        <f>ROUND(VLOOKUP($B27,Team_Offense_Table__PY[[Lookup Name]:[% Pass]],5,FALSE),2)</f>
        <v>27.31</v>
      </c>
      <c r="I27" s="79">
        <f>ROUND(VLOOKUP($B27,Team_Offense_Table__PY[[Lookup Name]:[% Pass]],6,FALSE),2)</f>
        <v>35.630000000000003</v>
      </c>
      <c r="J27" s="79">
        <f>VLOOKUP($C27,Team_Defense_Table__PY[[Lookup]:[Yards per completion]],3,FALSE)</f>
        <v>11</v>
      </c>
      <c r="K27" s="79">
        <f>VLOOKUP($C27,Team_Defense_Table__PY[[Lookup]:[Yards per completion]],5,FALSE)</f>
        <v>31</v>
      </c>
      <c r="L27" s="79">
        <f>ROUND(VLOOKUP($C27,Team_Offense_Table__PY[[Lookup Name]:[% Pass]],5,FALSE),2)</f>
        <v>26.88</v>
      </c>
      <c r="M27" s="79">
        <f>ROUND(VLOOKUP($C27,Team_Offense_Table__PY[[Lookup Name]:[% Pass]],6,FALSE),2)</f>
        <v>39.94</v>
      </c>
      <c r="N27" s="79">
        <f t="shared" si="0"/>
        <v>65.3</v>
      </c>
      <c r="O27" s="81">
        <f t="shared" si="6"/>
        <v>0.95279411764705879</v>
      </c>
      <c r="P27" s="79"/>
      <c r="Q27" s="81">
        <f t="shared" si="1"/>
        <v>1.2083333333333333</v>
      </c>
      <c r="R27" s="79">
        <f t="shared" si="2"/>
        <v>32.620751829960213</v>
      </c>
      <c r="S27" s="79">
        <f t="shared" si="3"/>
        <v>32.679248170039784</v>
      </c>
      <c r="T27" s="80">
        <f>VLOOKUP($B27,'PY Offensive Stats'!$AC:$AJ,2,FALSE)</f>
        <v>23.5</v>
      </c>
      <c r="U27" s="9">
        <f t="shared" si="4"/>
        <v>0.15206508135168964</v>
      </c>
    </row>
    <row r="28" spans="2:21" x14ac:dyDescent="0.2">
      <c r="B28" t="s">
        <v>728</v>
      </c>
      <c r="C28" s="78" t="str">
        <f>VLOOKUP('Vegas Odds'!$B28,'Vegas Copy-Paste'!$P:$V,7,FALSE)</f>
        <v>PHI</v>
      </c>
      <c r="D28" s="78">
        <f>VLOOKUP('Vegas Odds'!$B28,'Vegas Copy-Paste'!$P:$V,6,FALSE)</f>
        <v>-7.3888888888888893</v>
      </c>
      <c r="E28" s="78"/>
      <c r="F28" s="78">
        <f>VLOOKUP('Vegas Odds'!$B28,'Vegas Copy-Paste'!$P:$V,5,FALSE)</f>
        <v>46.861111111111114</v>
      </c>
      <c r="G28" s="78">
        <f t="shared" si="5"/>
        <v>19.736111111111114</v>
      </c>
      <c r="H28" s="79">
        <f>ROUND(VLOOKUP($B28,Team_Offense_Table__PY[[Lookup Name]:[% Pass]],5,FALSE),2)</f>
        <v>23.06</v>
      </c>
      <c r="I28" s="79">
        <f>ROUND(VLOOKUP($B28,Team_Offense_Table__PY[[Lookup Name]:[% Pass]],6,FALSE),2)</f>
        <v>39.130000000000003</v>
      </c>
      <c r="J28" s="79">
        <f>VLOOKUP($C28,Team_Defense_Table__PY[[Lookup]:[Yards per completion]],3,FALSE)</f>
        <v>15</v>
      </c>
      <c r="K28" s="79">
        <f>VLOOKUP($C28,Team_Defense_Table__PY[[Lookup]:[Yards per completion]],5,FALSE)</f>
        <v>23</v>
      </c>
      <c r="L28" s="79">
        <f>ROUND(VLOOKUP($C28,Team_Offense_Table__PY[[Lookup Name]:[% Pass]],5,FALSE),2)</f>
        <v>25.19</v>
      </c>
      <c r="M28" s="79">
        <f>ROUND(VLOOKUP($C28,Team_Offense_Table__PY[[Lookup Name]:[% Pass]],6,FALSE),2)</f>
        <v>37.380000000000003</v>
      </c>
      <c r="N28" s="79">
        <f t="shared" si="0"/>
        <v>62.4</v>
      </c>
      <c r="O28" s="81">
        <f t="shared" si="6"/>
        <v>1.1108333333333333</v>
      </c>
      <c r="P28" s="79"/>
      <c r="Q28" s="81">
        <f t="shared" si="1"/>
        <v>1.0833333333333333</v>
      </c>
      <c r="R28" s="79">
        <f t="shared" si="2"/>
        <v>27.844174411748938</v>
      </c>
      <c r="S28" s="79">
        <f t="shared" si="3"/>
        <v>34.555825588251061</v>
      </c>
      <c r="T28" s="80">
        <f>VLOOKUP($B28,'PY Offensive Stats'!$AC:$AJ,2,FALSE)</f>
        <v>30.75</v>
      </c>
      <c r="U28" s="9">
        <f t="shared" si="4"/>
        <v>-0.35817524841915077</v>
      </c>
    </row>
    <row r="29" spans="2:21" x14ac:dyDescent="0.2">
      <c r="B29" t="s">
        <v>86</v>
      </c>
      <c r="C29" s="78" t="e">
        <f>VLOOKUP('Vegas Odds'!$B29,'Vegas Copy-Paste'!$P:$V,7,FALSE)</f>
        <v>#N/A</v>
      </c>
      <c r="D29" s="78">
        <f>VLOOKUP('Vegas Odds'!$B29,'Vegas Copy-Paste'!$P:$V,6,FALSE)</f>
        <v>0</v>
      </c>
      <c r="E29" s="78"/>
      <c r="F29" s="78" t="e">
        <f>VLOOKUP('Vegas Odds'!$B29,'Vegas Copy-Paste'!$P:$V,5,FALSE)</f>
        <v>#DIV/0!</v>
      </c>
      <c r="G29" s="78" t="e">
        <f t="shared" si="5"/>
        <v>#DIV/0!</v>
      </c>
      <c r="H29" s="79">
        <f>ROUND(VLOOKUP($B29,Team_Offense_Table__PY[[Lookup Name]:[% Pass]],5,FALSE),2)</f>
        <v>30.88</v>
      </c>
      <c r="I29" s="79">
        <f>ROUND(VLOOKUP($B29,Team_Offense_Table__PY[[Lookup Name]:[% Pass]],6,FALSE),2)</f>
        <v>32.630000000000003</v>
      </c>
      <c r="J29" s="79" t="e">
        <f>VLOOKUP($C29,Team_Defense_Table__PY[[Lookup]:[Yards per completion]],3,FALSE)</f>
        <v>#N/A</v>
      </c>
      <c r="K29" s="79" t="e">
        <f>VLOOKUP($C29,Team_Defense_Table__PY[[Lookup]:[Yards per completion]],5,FALSE)</f>
        <v>#N/A</v>
      </c>
      <c r="L29" s="79" t="e">
        <f>ROUND(VLOOKUP($C29,Team_Offense_Table__PY[[Lookup Name]:[% Pass]],5,FALSE),2)</f>
        <v>#N/A</v>
      </c>
      <c r="M29" s="79" t="e">
        <f>ROUND(VLOOKUP($C29,Team_Offense_Table__PY[[Lookup Name]:[% Pass]],6,FALSE),2)</f>
        <v>#N/A</v>
      </c>
      <c r="N29" s="79" t="e">
        <f t="shared" si="0"/>
        <v>#N/A</v>
      </c>
      <c r="O29" s="81">
        <f t="shared" si="6"/>
        <v>1</v>
      </c>
      <c r="P29" s="79"/>
      <c r="Q29" s="81" t="e">
        <f t="shared" si="1"/>
        <v>#N/A</v>
      </c>
      <c r="R29" s="79" t="e">
        <f t="shared" si="2"/>
        <v>#N/A</v>
      </c>
      <c r="S29" s="79" t="e">
        <f t="shared" si="3"/>
        <v>#N/A</v>
      </c>
      <c r="T29" s="80">
        <f>VLOOKUP($B29,'PY Offensive Stats'!$AC:$AJ,2,FALSE)</f>
        <v>30.125</v>
      </c>
      <c r="U29" s="9" t="e">
        <f t="shared" si="4"/>
        <v>#DIV/0!</v>
      </c>
    </row>
    <row r="30" spans="2:21" x14ac:dyDescent="0.2">
      <c r="B30" t="s">
        <v>729</v>
      </c>
      <c r="C30" s="78" t="str">
        <f>VLOOKUP('Vegas Odds'!$B30,'Vegas Copy-Paste'!$P:$V,7,FALSE)</f>
        <v>SF</v>
      </c>
      <c r="D30" s="78">
        <f>VLOOKUP('Vegas Odds'!$B30,'Vegas Copy-Paste'!$P:$V,6,FALSE)</f>
        <v>-3.1470588235294117</v>
      </c>
      <c r="E30" s="78"/>
      <c r="F30" s="78">
        <f>VLOOKUP('Vegas Odds'!$B30,'Vegas Copy-Paste'!$P:$V,5,FALSE)</f>
        <v>51</v>
      </c>
      <c r="G30" s="78">
        <f t="shared" si="5"/>
        <v>23.926470588235293</v>
      </c>
      <c r="H30" s="79">
        <f>ROUND(VLOOKUP($B30,Team_Offense_Table__PY[[Lookup Name]:[% Pass]],5,FALSE),2)</f>
        <v>26.88</v>
      </c>
      <c r="I30" s="79">
        <f>ROUND(VLOOKUP($B30,Team_Offense_Table__PY[[Lookup Name]:[% Pass]],6,FALSE),2)</f>
        <v>39.94</v>
      </c>
      <c r="J30" s="79">
        <f>VLOOKUP($C30,Team_Defense_Table__PY[[Lookup]:[Yards per completion]],3,FALSE)</f>
        <v>4</v>
      </c>
      <c r="K30" s="79">
        <f>VLOOKUP($C30,Team_Defense_Table__PY[[Lookup]:[Yards per completion]],5,FALSE)</f>
        <v>7</v>
      </c>
      <c r="L30" s="79">
        <f>ROUND(VLOOKUP($C30,Team_Offense_Table__PY[[Lookup Name]:[% Pass]],5,FALSE),2)</f>
        <v>27.31</v>
      </c>
      <c r="M30" s="79">
        <f>ROUND(VLOOKUP($C30,Team_Offense_Table__PY[[Lookup Name]:[% Pass]],6,FALSE),2)</f>
        <v>35.630000000000003</v>
      </c>
      <c r="N30" s="79">
        <f t="shared" si="0"/>
        <v>67.3</v>
      </c>
      <c r="O30" s="81">
        <f t="shared" si="6"/>
        <v>1.0472058823529411</v>
      </c>
      <c r="P30" s="79"/>
      <c r="Q30" s="81">
        <f t="shared" si="1"/>
        <v>1.03125</v>
      </c>
      <c r="R30" s="79">
        <f t="shared" si="2"/>
        <v>29.237072988009928</v>
      </c>
      <c r="S30" s="79">
        <f t="shared" si="3"/>
        <v>38.06292701199007</v>
      </c>
      <c r="T30" s="80">
        <f>VLOOKUP($B30,'PY Offensive Stats'!$AC:$AJ,2,FALSE)</f>
        <v>24.6875</v>
      </c>
      <c r="U30" s="9">
        <f t="shared" si="4"/>
        <v>-3.0826507818317226E-2</v>
      </c>
    </row>
    <row r="31" spans="2:21" x14ac:dyDescent="0.2">
      <c r="B31" t="s">
        <v>730</v>
      </c>
      <c r="C31" s="78" t="str">
        <f>VLOOKUP('Vegas Odds'!$B31,'Vegas Copy-Paste'!$P:$V,7,FALSE)</f>
        <v>ARI</v>
      </c>
      <c r="D31" s="78">
        <f>VLOOKUP('Vegas Odds'!$B31,'Vegas Copy-Paste'!$P:$V,6,FALSE)</f>
        <v>0</v>
      </c>
      <c r="E31" s="78"/>
      <c r="F31" s="78" t="e">
        <f>VLOOKUP('Vegas Odds'!$B31,'Vegas Copy-Paste'!$P:$V,5,FALSE)</f>
        <v>#DIV/0!</v>
      </c>
      <c r="G31" s="78" t="e">
        <f t="shared" si="5"/>
        <v>#DIV/0!</v>
      </c>
      <c r="H31" s="79">
        <f>ROUND(VLOOKUP($B31,Team_Offense_Table__PY[[Lookup Name]:[% Pass]],5,FALSE),2)</f>
        <v>29.56</v>
      </c>
      <c r="I31" s="79">
        <f>ROUND(VLOOKUP($B31,Team_Offense_Table__PY[[Lookup Name]:[% Pass]],6,FALSE),2)</f>
        <v>36.880000000000003</v>
      </c>
      <c r="J31" s="79">
        <f>VLOOKUP($C31,Team_Defense_Table__PY[[Lookup]:[Yards per completion]],3,FALSE)</f>
        <v>10</v>
      </c>
      <c r="K31" s="79">
        <f>VLOOKUP($C31,Team_Defense_Table__PY[[Lookup]:[Yards per completion]],5,FALSE)</f>
        <v>22</v>
      </c>
      <c r="L31" s="79">
        <f>ROUND(VLOOKUP($C31,Team_Offense_Table__PY[[Lookup Name]:[% Pass]],5,FALSE),2)</f>
        <v>29.94</v>
      </c>
      <c r="M31" s="79">
        <f>ROUND(VLOOKUP($C31,Team_Offense_Table__PY[[Lookup Name]:[% Pass]],6,FALSE),2)</f>
        <v>35.94</v>
      </c>
      <c r="N31" s="79">
        <f t="shared" si="0"/>
        <v>68.400000000000006</v>
      </c>
      <c r="O31" s="81">
        <f t="shared" si="6"/>
        <v>1</v>
      </c>
      <c r="P31" s="79"/>
      <c r="Q31" s="81">
        <f t="shared" si="1"/>
        <v>1.125</v>
      </c>
      <c r="R31" s="79">
        <f t="shared" si="2"/>
        <v>34.236032510535821</v>
      </c>
      <c r="S31" s="79">
        <f t="shared" si="3"/>
        <v>34.163967489464184</v>
      </c>
      <c r="T31" s="80">
        <f>VLOOKUP($B31,'PY Offensive Stats'!$AC:$AJ,2,FALSE)</f>
        <v>23.25</v>
      </c>
      <c r="U31" s="9" t="e">
        <f t="shared" si="4"/>
        <v>#DIV/0!</v>
      </c>
    </row>
    <row r="32" spans="2:21" x14ac:dyDescent="0.2">
      <c r="B32" t="s">
        <v>99</v>
      </c>
      <c r="C32" s="78" t="str">
        <f>VLOOKUP('Vegas Odds'!$B32,'Vegas Copy-Paste'!$P:$V,7,FALSE)</f>
        <v>KC</v>
      </c>
      <c r="D32" s="78">
        <f>VLOOKUP('Vegas Odds'!$B32,'Vegas Copy-Paste'!$P:$V,6,FALSE)</f>
        <v>0</v>
      </c>
      <c r="E32" s="78"/>
      <c r="F32" s="78" t="e">
        <f>VLOOKUP('Vegas Odds'!$B32,'Vegas Copy-Paste'!$P:$V,5,FALSE)</f>
        <v>#DIV/0!</v>
      </c>
      <c r="G32" s="78" t="e">
        <f t="shared" si="5"/>
        <v>#DIV/0!</v>
      </c>
      <c r="H32" s="79">
        <f>ROUND(VLOOKUP($B32,Team_Offense_Table__PY[[Lookup Name]:[% Pass]],5,FALSE),2)</f>
        <v>23.31</v>
      </c>
      <c r="I32" s="79">
        <f>ROUND(VLOOKUP($B32,Team_Offense_Table__PY[[Lookup Name]:[% Pass]],6,FALSE),2)</f>
        <v>41</v>
      </c>
      <c r="J32" s="79">
        <f>VLOOKUP($C32,Team_Defense_Table__PY[[Lookup]:[Yards per completion]],3,FALSE)</f>
        <v>14</v>
      </c>
      <c r="K32" s="79">
        <f>VLOOKUP($C32,Team_Defense_Table__PY[[Lookup]:[Yards per completion]],5,FALSE)</f>
        <v>21</v>
      </c>
      <c r="L32" s="79">
        <f>ROUND(VLOOKUP($C32,Team_Offense_Table__PY[[Lookup Name]:[% Pass]],5,FALSE),2)</f>
        <v>25.19</v>
      </c>
      <c r="M32" s="79">
        <f>ROUND(VLOOKUP($C32,Team_Offense_Table__PY[[Lookup Name]:[% Pass]],6,FALSE),2)</f>
        <v>39.380000000000003</v>
      </c>
      <c r="N32" s="79">
        <f t="shared" si="0"/>
        <v>65.599999999999994</v>
      </c>
      <c r="O32" s="81">
        <f t="shared" si="6"/>
        <v>1</v>
      </c>
      <c r="P32" s="79"/>
      <c r="Q32" s="81">
        <f t="shared" si="1"/>
        <v>1.0729166666666667</v>
      </c>
      <c r="R32" s="79">
        <f t="shared" si="2"/>
        <v>25.511359042139631</v>
      </c>
      <c r="S32" s="79">
        <f t="shared" si="3"/>
        <v>40.088640957860363</v>
      </c>
      <c r="T32" s="80">
        <f>VLOOKUP($B32,'PY Offensive Stats'!$AC:$AJ,2,FALSE)</f>
        <v>26</v>
      </c>
      <c r="U32" s="9" t="e">
        <f t="shared" si="4"/>
        <v>#DIV/0!</v>
      </c>
    </row>
    <row r="33" spans="2:21" x14ac:dyDescent="0.2">
      <c r="B33" t="s">
        <v>92</v>
      </c>
      <c r="C33" s="78" t="e">
        <f>VLOOKUP('Vegas Odds'!$B33,'Vegas Copy-Paste'!$P:$V,7,FALSE)</f>
        <v>#N/A</v>
      </c>
      <c r="D33" s="78">
        <f>VLOOKUP('Vegas Odds'!$B33,'Vegas Copy-Paste'!$P:$V,6,FALSE)</f>
        <v>0</v>
      </c>
      <c r="E33" s="78"/>
      <c r="F33" s="78" t="e">
        <f>VLOOKUP('Vegas Odds'!$B33,'Vegas Copy-Paste'!$P:$V,5,FALSE)</f>
        <v>#DIV/0!</v>
      </c>
      <c r="G33" s="78" t="e">
        <f t="shared" si="5"/>
        <v>#DIV/0!</v>
      </c>
      <c r="H33" s="79">
        <f>ROUND(VLOOKUP($B33,Team_Offense_Table__PY[[Lookup Name]:[% Pass]],5,FALSE),2)</f>
        <v>24.94</v>
      </c>
      <c r="I33" s="79">
        <f>ROUND(VLOOKUP($B33,Team_Offense_Table__PY[[Lookup Name]:[% Pass]],6,FALSE),2)</f>
        <v>32.31</v>
      </c>
      <c r="J33" s="79" t="e">
        <f>VLOOKUP($C33,Team_Defense_Table__PY[[Lookup]:[Yards per completion]],3,FALSE)</f>
        <v>#N/A</v>
      </c>
      <c r="K33" s="79" t="e">
        <f>VLOOKUP($C33,Team_Defense_Table__PY[[Lookup]:[Yards per completion]],5,FALSE)</f>
        <v>#N/A</v>
      </c>
      <c r="L33" s="79" t="e">
        <f>ROUND(VLOOKUP($C33,Team_Offense_Table__PY[[Lookup Name]:[% Pass]],5,FALSE),2)</f>
        <v>#N/A</v>
      </c>
      <c r="M33" s="79" t="e">
        <f>ROUND(VLOOKUP($C33,Team_Offense_Table__PY[[Lookup Name]:[% Pass]],6,FALSE),2)</f>
        <v>#N/A</v>
      </c>
      <c r="N33" s="79" t="e">
        <f t="shared" si="0"/>
        <v>#N/A</v>
      </c>
      <c r="O33" s="81">
        <f t="shared" si="6"/>
        <v>1</v>
      </c>
      <c r="P33" s="79"/>
      <c r="Q33" s="81" t="e">
        <f t="shared" si="1"/>
        <v>#N/A</v>
      </c>
      <c r="R33" s="79" t="e">
        <f t="shared" si="2"/>
        <v>#N/A</v>
      </c>
      <c r="S33" s="79" t="e">
        <f t="shared" si="3"/>
        <v>#N/A</v>
      </c>
      <c r="T33" s="80">
        <f>VLOOKUP($B33,'PY Offensive Stats'!$AC:$AJ,2,FALSE)</f>
        <v>17.5</v>
      </c>
      <c r="U33" s="9" t="e">
        <f t="shared" si="4"/>
        <v>#DIV/0!</v>
      </c>
    </row>
    <row r="34" spans="2:21" x14ac:dyDescent="0.2">
      <c r="B34" t="s">
        <v>77</v>
      </c>
      <c r="C34" s="78" t="e">
        <f>VLOOKUP('Vegas Odds'!$B34,'Vegas Copy-Paste'!$P:$V,7,FALSE)</f>
        <v>#N/A</v>
      </c>
      <c r="D34" s="78">
        <f>VLOOKUP('Vegas Odds'!$B34,'Vegas Copy-Paste'!$P:$V,6,FALSE)</f>
        <v>0</v>
      </c>
      <c r="E34" s="78"/>
      <c r="F34" s="78" t="e">
        <f>VLOOKUP('Vegas Odds'!$B34,'Vegas Copy-Paste'!$P:$V,5,FALSE)</f>
        <v>#DIV/0!</v>
      </c>
      <c r="G34" s="78" t="e">
        <f t="shared" si="5"/>
        <v>#DIV/0!</v>
      </c>
      <c r="H34" s="79">
        <f>ROUND(VLOOKUP($B34,Team_Offense_Table__PY[[Lookup Name]:[% Pass]],5,FALSE),2)</f>
        <v>32.56</v>
      </c>
      <c r="I34" s="79">
        <f>ROUND(VLOOKUP($B34,Team_Offense_Table__PY[[Lookup Name]:[% Pass]],6,FALSE),2)</f>
        <v>30.31</v>
      </c>
      <c r="J34" s="79" t="e">
        <f>VLOOKUP($C34,Team_Defense_Table__PY[[Lookup]:[Yards per completion]],3,FALSE)</f>
        <v>#N/A</v>
      </c>
      <c r="K34" s="79" t="e">
        <f>VLOOKUP($C34,Team_Defense_Table__PY[[Lookup]:[Yards per completion]],5,FALSE)</f>
        <v>#N/A</v>
      </c>
      <c r="L34" s="79" t="e">
        <f>ROUND(VLOOKUP($C34,Team_Offense_Table__PY[[Lookup Name]:[% Pass]],5,FALSE),2)</f>
        <v>#N/A</v>
      </c>
      <c r="M34" s="79" t="e">
        <f>ROUND(VLOOKUP($C34,Team_Offense_Table__PY[[Lookup Name]:[% Pass]],6,FALSE),2)</f>
        <v>#N/A</v>
      </c>
      <c r="N34" s="79" t="e">
        <f t="shared" si="0"/>
        <v>#N/A</v>
      </c>
      <c r="O34" s="81">
        <f t="shared" si="6"/>
        <v>1</v>
      </c>
      <c r="P34" s="79"/>
      <c r="Q34" s="81" t="e">
        <f t="shared" si="1"/>
        <v>#N/A</v>
      </c>
      <c r="R34" s="79" t="e">
        <f t="shared" si="2"/>
        <v>#N/A</v>
      </c>
      <c r="S34" s="79" t="e">
        <f t="shared" si="3"/>
        <v>#N/A</v>
      </c>
      <c r="T34" s="80">
        <f>VLOOKUP($B34,'PY Offensive Stats'!$AC:$AJ,2,FALSE)</f>
        <v>30.6875</v>
      </c>
      <c r="U34" s="9" t="e">
        <f t="shared" si="4"/>
        <v>#DIV/0!</v>
      </c>
    </row>
    <row r="35" spans="2:21" x14ac:dyDescent="0.2">
      <c r="B35" t="s">
        <v>93</v>
      </c>
      <c r="C35" s="78" t="e">
        <f>VLOOKUP('Vegas Odds'!$B35,'Vegas Copy-Paste'!$P:$V,7,FALSE)</f>
        <v>#N/A</v>
      </c>
      <c r="D35" s="78">
        <f>VLOOKUP('Vegas Odds'!$B35,'Vegas Copy-Paste'!$P:$V,6,FALSE)</f>
        <v>0</v>
      </c>
      <c r="E35" s="78"/>
      <c r="F35" s="78" t="e">
        <f>VLOOKUP('Vegas Odds'!$B35,'Vegas Copy-Paste'!$P:$V,5,FALSE)</f>
        <v>#DIV/0!</v>
      </c>
      <c r="G35" s="78" t="e">
        <f t="shared" si="5"/>
        <v>#DIV/0!</v>
      </c>
      <c r="H35" s="79">
        <f>ROUND(VLOOKUP($B35,Team_Offense_Table__PY[[Lookup Name]:[% Pass]],5,FALSE),2)</f>
        <v>27.63</v>
      </c>
      <c r="I35" s="79">
        <f>ROUND(VLOOKUP($B35,Team_Offense_Table__PY[[Lookup Name]:[% Pass]],6,FALSE),2)</f>
        <v>34.75</v>
      </c>
      <c r="J35" s="79" t="e">
        <f>VLOOKUP($C35,Team_Defense_Table__PY[[Lookup]:[Yards per completion]],3,FALSE)</f>
        <v>#N/A</v>
      </c>
      <c r="K35" s="79" t="e">
        <f>VLOOKUP($C35,Team_Defense_Table__PY[[Lookup]:[Yards per completion]],5,FALSE)</f>
        <v>#N/A</v>
      </c>
      <c r="L35" s="79" t="e">
        <f>ROUND(VLOOKUP($C35,Team_Offense_Table__PY[[Lookup Name]:[% Pass]],5,FALSE),2)</f>
        <v>#N/A</v>
      </c>
      <c r="M35" s="79" t="e">
        <f>ROUND(VLOOKUP($C35,Team_Offense_Table__PY[[Lookup Name]:[% Pass]],6,FALSE),2)</f>
        <v>#N/A</v>
      </c>
      <c r="N35" s="79" t="e">
        <f t="shared" si="0"/>
        <v>#N/A</v>
      </c>
      <c r="O35" s="81">
        <f t="shared" si="6"/>
        <v>1</v>
      </c>
      <c r="P35" s="79"/>
      <c r="Q35" s="81" t="e">
        <f t="shared" si="1"/>
        <v>#N/A</v>
      </c>
      <c r="R35" s="79" t="e">
        <f t="shared" si="2"/>
        <v>#N/A</v>
      </c>
      <c r="S35" s="79" t="e">
        <f t="shared" si="3"/>
        <v>#N/A</v>
      </c>
      <c r="T35" s="80">
        <f>VLOOKUP($B35,'PY Offensive Stats'!$AC:$AJ,2,FALSE)</f>
        <v>20.1875</v>
      </c>
      <c r="U35" s="9" t="e">
        <f t="shared" si="4"/>
        <v>#DIV/0!</v>
      </c>
    </row>
    <row r="36" spans="2:21" x14ac:dyDescent="0.2">
      <c r="B36" t="s">
        <v>731</v>
      </c>
      <c r="C36" s="78"/>
      <c r="D36" s="78"/>
      <c r="E36" s="78"/>
      <c r="F36" s="78"/>
      <c r="G36" s="78"/>
      <c r="H36" s="79">
        <f>ROUND(AVERAGE(H4:H35),2)</f>
        <v>26.94</v>
      </c>
      <c r="I36" s="79">
        <f>ROUND(AVERAGE(I4:I35),2)</f>
        <v>35.19</v>
      </c>
      <c r="J36" s="79"/>
      <c r="K36" s="79"/>
      <c r="L36" s="79" t="e">
        <f>ROUND(AVERAGE(L4:L35),2)</f>
        <v>#N/A</v>
      </c>
      <c r="M36" s="79" t="e">
        <f>ROUND(AVERAGE(M4:M35),2)</f>
        <v>#N/A</v>
      </c>
      <c r="N36" s="79"/>
      <c r="O36" s="79"/>
      <c r="P36" s="79"/>
      <c r="Q36" s="79"/>
      <c r="R36" s="79"/>
      <c r="S36" s="79"/>
      <c r="T36" s="80"/>
      <c r="U36" s="9"/>
    </row>
  </sheetData>
  <autoFilter ref="B3:U36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B050"/>
  </sheetPr>
  <dimension ref="A1:AA53"/>
  <sheetViews>
    <sheetView topLeftCell="H1" zoomScale="90" workbookViewId="0">
      <selection activeCell="P6" sqref="P6"/>
    </sheetView>
  </sheetViews>
  <sheetFormatPr baseColWidth="10" defaultColWidth="8.83203125" defaultRowHeight="15" x14ac:dyDescent="0.2"/>
  <cols>
    <col min="2" max="2" width="14.5" bestFit="1" customWidth="1"/>
    <col min="3" max="3" width="9.33203125" bestFit="1" customWidth="1"/>
    <col min="4" max="4" width="9" bestFit="1" customWidth="1"/>
    <col min="5" max="5" width="9.33203125" bestFit="1" customWidth="1"/>
    <col min="6" max="6" width="9" bestFit="1" customWidth="1"/>
    <col min="7" max="7" width="11.33203125" bestFit="1" customWidth="1"/>
    <col min="8" max="9" width="9" bestFit="1" customWidth="1"/>
    <col min="10" max="10" width="9.1640625" bestFit="1" customWidth="1"/>
    <col min="11" max="11" width="9" bestFit="1" customWidth="1"/>
    <col min="12" max="12" width="16.33203125" bestFit="1" customWidth="1"/>
    <col min="13" max="13" width="9.1640625" bestFit="1" customWidth="1"/>
    <col min="14" max="14" width="9" bestFit="1" customWidth="1"/>
    <col min="15" max="15" width="10.5" customWidth="1"/>
    <col min="16" max="16" width="12.6640625" bestFit="1" customWidth="1"/>
    <col min="17" max="17" width="9.1640625" bestFit="1" customWidth="1"/>
    <col min="18" max="19" width="9" hidden="1" customWidth="1"/>
    <col min="20" max="20" width="0" hidden="1" customWidth="1"/>
    <col min="27" max="27" width="10.83203125" bestFit="1" customWidth="1"/>
  </cols>
  <sheetData>
    <row r="1" spans="1:17" x14ac:dyDescent="0.2">
      <c r="F1" s="34">
        <v>0</v>
      </c>
      <c r="N1" s="35"/>
    </row>
    <row r="2" spans="1:17" x14ac:dyDescent="0.2">
      <c r="A2" t="s">
        <v>732</v>
      </c>
      <c r="B2" t="s">
        <v>733</v>
      </c>
      <c r="C2" t="s">
        <v>734</v>
      </c>
      <c r="E2" t="s">
        <v>735</v>
      </c>
      <c r="F2" t="s">
        <v>736</v>
      </c>
      <c r="G2" t="s">
        <v>737</v>
      </c>
      <c r="I2" t="s">
        <v>738</v>
      </c>
      <c r="L2" t="s">
        <v>739</v>
      </c>
      <c r="M2" t="s">
        <v>740</v>
      </c>
      <c r="O2" t="s">
        <v>741</v>
      </c>
      <c r="P2" t="s">
        <v>742</v>
      </c>
      <c r="Q2" t="s">
        <v>743</v>
      </c>
    </row>
    <row r="3" spans="1:17" x14ac:dyDescent="0.2">
      <c r="A3" t="s">
        <v>744</v>
      </c>
      <c r="B3" s="32">
        <f>J3</f>
        <v>0</v>
      </c>
      <c r="C3" s="9">
        <f>IFERROR(B3/$B$17,0)</f>
        <v>0</v>
      </c>
      <c r="E3" t="str">
        <f>A3</f>
        <v>Randy</v>
      </c>
      <c r="F3" s="35">
        <f>$F$1*C3</f>
        <v>0</v>
      </c>
      <c r="G3" s="35">
        <f>F3-J3</f>
        <v>0</v>
      </c>
      <c r="I3" t="str">
        <f t="shared" ref="I3:I8" si="0">A3</f>
        <v>Randy</v>
      </c>
      <c r="J3" s="32">
        <f>-X21</f>
        <v>0</v>
      </c>
      <c r="L3" t="s">
        <v>745</v>
      </c>
      <c r="M3" s="35">
        <f>N3*$J$17</f>
        <v>12.5</v>
      </c>
      <c r="N3" s="69">
        <v>0.5</v>
      </c>
      <c r="P3" s="32">
        <v>12</v>
      </c>
      <c r="Q3" s="35">
        <f>M3-P3</f>
        <v>0.5</v>
      </c>
    </row>
    <row r="4" spans="1:17" x14ac:dyDescent="0.2">
      <c r="A4" t="s">
        <v>223</v>
      </c>
      <c r="B4" s="32">
        <f t="shared" ref="B4:B15" si="1">J4</f>
        <v>0</v>
      </c>
      <c r="C4" s="9">
        <f t="shared" ref="C4:C16" si="2">IFERROR(B4/$B$17,0)</f>
        <v>0</v>
      </c>
      <c r="E4" t="str">
        <f>IF(A4="","",A4)</f>
        <v>Ian</v>
      </c>
      <c r="F4" s="35">
        <f t="shared" ref="F4:F16" si="3">$F$1*C4</f>
        <v>0</v>
      </c>
      <c r="G4" s="35">
        <f t="shared" ref="G4:G17" si="4">F4-J4</f>
        <v>0</v>
      </c>
      <c r="I4" t="str">
        <f t="shared" si="0"/>
        <v>Ian</v>
      </c>
      <c r="J4" s="32">
        <f t="shared" ref="J4:J16" si="5">-X22</f>
        <v>0</v>
      </c>
      <c r="L4" t="s">
        <v>746</v>
      </c>
      <c r="M4" s="35">
        <f>N4*$J$17</f>
        <v>3.75</v>
      </c>
      <c r="N4" s="69">
        <v>0.15</v>
      </c>
      <c r="P4" s="32">
        <v>2</v>
      </c>
      <c r="Q4" s="35">
        <f>M4-P4</f>
        <v>1.75</v>
      </c>
    </row>
    <row r="5" spans="1:17" x14ac:dyDescent="0.2">
      <c r="A5" t="s">
        <v>127</v>
      </c>
      <c r="B5" s="32">
        <f t="shared" si="1"/>
        <v>0</v>
      </c>
      <c r="C5" s="9">
        <f t="shared" si="2"/>
        <v>0</v>
      </c>
      <c r="E5" t="str">
        <f t="shared" ref="E5:E16" si="6">IF(A5="","",A5)</f>
        <v>Matt</v>
      </c>
      <c r="F5" s="35">
        <f t="shared" si="3"/>
        <v>0</v>
      </c>
      <c r="G5" s="35">
        <f t="shared" si="4"/>
        <v>0</v>
      </c>
      <c r="I5" t="str">
        <f t="shared" si="0"/>
        <v>Matt</v>
      </c>
      <c r="J5" s="32">
        <f t="shared" si="5"/>
        <v>0</v>
      </c>
      <c r="L5" t="s">
        <v>747</v>
      </c>
      <c r="M5" s="35">
        <f>N5*$J$17</f>
        <v>3.75</v>
      </c>
      <c r="N5" s="69">
        <v>0.15</v>
      </c>
      <c r="P5" s="32">
        <v>6</v>
      </c>
      <c r="Q5" s="35">
        <f>M5-P5</f>
        <v>-2.25</v>
      </c>
    </row>
    <row r="6" spans="1:17" x14ac:dyDescent="0.2">
      <c r="A6" t="s">
        <v>405</v>
      </c>
      <c r="B6" s="32">
        <f t="shared" si="1"/>
        <v>25</v>
      </c>
      <c r="C6" s="9">
        <f t="shared" si="2"/>
        <v>1</v>
      </c>
      <c r="E6" t="str">
        <f t="shared" si="6"/>
        <v>Scott</v>
      </c>
      <c r="F6" s="35">
        <f t="shared" si="3"/>
        <v>0</v>
      </c>
      <c r="G6" s="35">
        <f t="shared" si="4"/>
        <v>-25</v>
      </c>
      <c r="I6" t="str">
        <f t="shared" si="0"/>
        <v>Scott</v>
      </c>
      <c r="J6" s="32">
        <f t="shared" si="5"/>
        <v>25</v>
      </c>
      <c r="L6" t="s">
        <v>748</v>
      </c>
      <c r="M6" s="35">
        <f>N6*$J$17</f>
        <v>2.5</v>
      </c>
      <c r="N6" s="69">
        <v>0.1</v>
      </c>
      <c r="P6" s="32"/>
      <c r="Q6" s="35">
        <f>M6-P6</f>
        <v>2.5</v>
      </c>
    </row>
    <row r="7" spans="1:17" x14ac:dyDescent="0.2">
      <c r="A7" t="s">
        <v>749</v>
      </c>
      <c r="B7" s="32">
        <f t="shared" si="1"/>
        <v>0</v>
      </c>
      <c r="C7" s="9">
        <f t="shared" si="2"/>
        <v>0</v>
      </c>
      <c r="E7" t="str">
        <f t="shared" si="6"/>
        <v>Brandt</v>
      </c>
      <c r="F7" s="35">
        <f t="shared" si="3"/>
        <v>0</v>
      </c>
      <c r="G7" s="35">
        <f t="shared" si="4"/>
        <v>0</v>
      </c>
      <c r="I7" t="str">
        <f t="shared" si="0"/>
        <v>Brandt</v>
      </c>
      <c r="J7" s="32">
        <f t="shared" si="5"/>
        <v>0</v>
      </c>
      <c r="L7" t="s">
        <v>750</v>
      </c>
      <c r="M7" s="35">
        <f>N7*$J$17</f>
        <v>2.5</v>
      </c>
      <c r="N7" s="69">
        <v>0.1</v>
      </c>
      <c r="P7" s="32">
        <v>5</v>
      </c>
      <c r="Q7" s="35">
        <f>M7-P7</f>
        <v>-2.5</v>
      </c>
    </row>
    <row r="8" spans="1:17" x14ac:dyDescent="0.2">
      <c r="A8" t="s">
        <v>189</v>
      </c>
      <c r="B8" s="32">
        <f t="shared" si="1"/>
        <v>0</v>
      </c>
      <c r="C8" s="9">
        <f t="shared" si="2"/>
        <v>0</v>
      </c>
      <c r="E8" t="str">
        <f t="shared" si="6"/>
        <v>AJ</v>
      </c>
      <c r="F8" s="35">
        <f t="shared" si="3"/>
        <v>0</v>
      </c>
      <c r="G8" s="35">
        <f t="shared" si="4"/>
        <v>0</v>
      </c>
      <c r="I8" t="str">
        <f t="shared" si="0"/>
        <v>AJ</v>
      </c>
      <c r="J8" s="32">
        <f t="shared" si="5"/>
        <v>0</v>
      </c>
      <c r="N8" s="69">
        <f>SUM(N3:N7)</f>
        <v>1</v>
      </c>
      <c r="P8" s="35">
        <f>SUM(P3:P7)</f>
        <v>25</v>
      </c>
      <c r="Q8" s="35">
        <f>SUM(Q3:Q7)</f>
        <v>0</v>
      </c>
    </row>
    <row r="9" spans="1:17" x14ac:dyDescent="0.2">
      <c r="B9" s="32">
        <f t="shared" si="1"/>
        <v>0</v>
      </c>
      <c r="C9" s="9">
        <f t="shared" si="2"/>
        <v>0</v>
      </c>
      <c r="E9" t="str">
        <f t="shared" si="6"/>
        <v/>
      </c>
      <c r="F9" s="35">
        <f t="shared" si="3"/>
        <v>0</v>
      </c>
      <c r="G9" s="35">
        <f t="shared" si="4"/>
        <v>0</v>
      </c>
      <c r="I9" t="str">
        <f>IF(A9="","",E9)</f>
        <v/>
      </c>
      <c r="J9" s="32">
        <f t="shared" si="5"/>
        <v>0</v>
      </c>
    </row>
    <row r="10" spans="1:17" x14ac:dyDescent="0.2">
      <c r="B10" s="32">
        <f t="shared" si="1"/>
        <v>0</v>
      </c>
      <c r="C10" s="9">
        <f t="shared" si="2"/>
        <v>0</v>
      </c>
      <c r="E10" t="str">
        <f t="shared" si="6"/>
        <v/>
      </c>
      <c r="F10" s="35">
        <f t="shared" si="3"/>
        <v>0</v>
      </c>
      <c r="G10" s="35">
        <f t="shared" si="4"/>
        <v>0</v>
      </c>
      <c r="I10" t="str">
        <f t="shared" ref="I10:I16" si="7">IF(A10="","",E10)</f>
        <v/>
      </c>
      <c r="J10" s="32">
        <f t="shared" si="5"/>
        <v>0</v>
      </c>
      <c r="L10" t="s">
        <v>731</v>
      </c>
      <c r="M10" s="35">
        <f>SUM(M3:M9)</f>
        <v>25</v>
      </c>
    </row>
    <row r="11" spans="1:17" x14ac:dyDescent="0.2">
      <c r="B11" s="32">
        <f t="shared" si="1"/>
        <v>0</v>
      </c>
      <c r="C11" s="9">
        <f t="shared" si="2"/>
        <v>0</v>
      </c>
      <c r="E11" t="str">
        <f t="shared" si="6"/>
        <v/>
      </c>
      <c r="F11" s="35">
        <f t="shared" si="3"/>
        <v>0</v>
      </c>
      <c r="G11" s="35">
        <f t="shared" si="4"/>
        <v>0</v>
      </c>
      <c r="I11" t="str">
        <f t="shared" si="7"/>
        <v/>
      </c>
      <c r="J11" s="32">
        <f t="shared" si="5"/>
        <v>0</v>
      </c>
      <c r="L11" t="s">
        <v>751</v>
      </c>
      <c r="M11" s="35">
        <f>J17</f>
        <v>25</v>
      </c>
    </row>
    <row r="12" spans="1:17" x14ac:dyDescent="0.2">
      <c r="B12" s="32">
        <f t="shared" si="1"/>
        <v>0</v>
      </c>
      <c r="C12" s="9">
        <f t="shared" si="2"/>
        <v>0</v>
      </c>
      <c r="E12" t="str">
        <f t="shared" si="6"/>
        <v/>
      </c>
      <c r="F12" s="35">
        <f t="shared" si="3"/>
        <v>0</v>
      </c>
      <c r="G12" s="35">
        <f t="shared" si="4"/>
        <v>0</v>
      </c>
      <c r="I12" t="str">
        <f t="shared" si="7"/>
        <v/>
      </c>
      <c r="J12" s="32">
        <f t="shared" si="5"/>
        <v>0</v>
      </c>
      <c r="L12" t="s">
        <v>743</v>
      </c>
      <c r="M12" s="35">
        <f>M11-M10</f>
        <v>0</v>
      </c>
    </row>
    <row r="13" spans="1:17" x14ac:dyDescent="0.2">
      <c r="B13" s="32">
        <f t="shared" si="1"/>
        <v>0</v>
      </c>
      <c r="C13" s="9">
        <f t="shared" si="2"/>
        <v>0</v>
      </c>
      <c r="E13" t="str">
        <f t="shared" si="6"/>
        <v/>
      </c>
      <c r="F13" s="35">
        <f t="shared" si="3"/>
        <v>0</v>
      </c>
      <c r="G13" s="35">
        <f t="shared" si="4"/>
        <v>0</v>
      </c>
      <c r="I13" t="str">
        <f t="shared" si="7"/>
        <v/>
      </c>
      <c r="J13" s="32">
        <f t="shared" si="5"/>
        <v>0</v>
      </c>
    </row>
    <row r="14" spans="1:17" x14ac:dyDescent="0.2">
      <c r="B14" s="32">
        <f t="shared" si="1"/>
        <v>0</v>
      </c>
      <c r="C14" s="9">
        <f t="shared" si="2"/>
        <v>0</v>
      </c>
      <c r="E14" t="str">
        <f t="shared" si="6"/>
        <v/>
      </c>
      <c r="F14" s="35">
        <f t="shared" si="3"/>
        <v>0</v>
      </c>
      <c r="G14" s="35">
        <f t="shared" si="4"/>
        <v>0</v>
      </c>
      <c r="I14" t="str">
        <f t="shared" si="7"/>
        <v/>
      </c>
      <c r="J14" s="32">
        <f t="shared" si="5"/>
        <v>0</v>
      </c>
    </row>
    <row r="15" spans="1:17" x14ac:dyDescent="0.2">
      <c r="B15" s="32">
        <f t="shared" si="1"/>
        <v>0</v>
      </c>
      <c r="C15" s="9">
        <f t="shared" si="2"/>
        <v>0</v>
      </c>
      <c r="E15" t="str">
        <f t="shared" si="6"/>
        <v/>
      </c>
      <c r="F15" s="35">
        <f t="shared" si="3"/>
        <v>0</v>
      </c>
      <c r="G15" s="35">
        <f t="shared" si="4"/>
        <v>0</v>
      </c>
      <c r="I15" t="str">
        <f t="shared" si="7"/>
        <v/>
      </c>
      <c r="J15" s="32">
        <f t="shared" si="5"/>
        <v>0</v>
      </c>
    </row>
    <row r="16" spans="1:17" x14ac:dyDescent="0.2">
      <c r="B16" s="32"/>
      <c r="C16" s="9">
        <f t="shared" si="2"/>
        <v>0</v>
      </c>
      <c r="E16" t="str">
        <f t="shared" si="6"/>
        <v/>
      </c>
      <c r="F16" s="35">
        <f t="shared" si="3"/>
        <v>0</v>
      </c>
      <c r="G16" s="35">
        <f t="shared" si="4"/>
        <v>0</v>
      </c>
      <c r="I16" t="str">
        <f t="shared" si="7"/>
        <v/>
      </c>
      <c r="J16" s="32">
        <f t="shared" si="5"/>
        <v>0</v>
      </c>
    </row>
    <row r="17" spans="1:27" x14ac:dyDescent="0.2">
      <c r="A17" t="s">
        <v>752</v>
      </c>
      <c r="B17" s="32">
        <f>SUM(B3:B16)</f>
        <v>25</v>
      </c>
      <c r="F17" s="35">
        <f>SUM(F3:F16)</f>
        <v>0</v>
      </c>
      <c r="G17" s="35">
        <f t="shared" si="4"/>
        <v>-25</v>
      </c>
      <c r="J17" s="32">
        <f>SUM(J3:J16)</f>
        <v>25</v>
      </c>
    </row>
    <row r="20" spans="1:27" x14ac:dyDescent="0.2">
      <c r="A20" t="s">
        <v>732</v>
      </c>
      <c r="B20" t="s">
        <v>2361</v>
      </c>
      <c r="C20" t="s">
        <v>754</v>
      </c>
      <c r="D20" t="s">
        <v>755</v>
      </c>
      <c r="E20" t="s">
        <v>756</v>
      </c>
      <c r="F20" t="s">
        <v>757</v>
      </c>
      <c r="G20" t="s">
        <v>758</v>
      </c>
      <c r="H20" t="s">
        <v>759</v>
      </c>
      <c r="I20" t="s">
        <v>760</v>
      </c>
      <c r="J20" t="s">
        <v>761</v>
      </c>
      <c r="K20" t="s">
        <v>762</v>
      </c>
      <c r="L20" t="s">
        <v>763</v>
      </c>
      <c r="M20" t="s">
        <v>764</v>
      </c>
      <c r="N20" t="s">
        <v>765</v>
      </c>
      <c r="O20" t="s">
        <v>766</v>
      </c>
      <c r="P20" t="s">
        <v>767</v>
      </c>
      <c r="Q20" t="s">
        <v>768</v>
      </c>
      <c r="R20" t="s">
        <v>769</v>
      </c>
      <c r="S20" t="s">
        <v>770</v>
      </c>
      <c r="T20" t="s">
        <v>771</v>
      </c>
      <c r="U20" t="s">
        <v>2637</v>
      </c>
      <c r="V20" t="s">
        <v>2638</v>
      </c>
      <c r="W20" t="s">
        <v>2639</v>
      </c>
      <c r="X20" t="s">
        <v>3082</v>
      </c>
    </row>
    <row r="21" spans="1:27" x14ac:dyDescent="0.2">
      <c r="A21" t="s">
        <v>744</v>
      </c>
      <c r="B21" s="32">
        <v>25</v>
      </c>
      <c r="C21" s="32">
        <f>-25+25</f>
        <v>0</v>
      </c>
      <c r="D21" s="32">
        <f>-25+54.34</f>
        <v>29.340000000000003</v>
      </c>
      <c r="E21" s="32">
        <f>-54.34+98.65</f>
        <v>44.31</v>
      </c>
      <c r="F21" s="32">
        <f>-98.650840776699+249.28</f>
        <v>150.629159223301</v>
      </c>
      <c r="G21" s="32">
        <v>-249.27915922330101</v>
      </c>
      <c r="H21" s="32">
        <v>-25</v>
      </c>
      <c r="I21" s="32">
        <f>-25+50.33</f>
        <v>25.33</v>
      </c>
      <c r="J21" s="32">
        <v>-50.33</v>
      </c>
      <c r="K21" s="32">
        <v>-25</v>
      </c>
      <c r="L21" s="32"/>
      <c r="M21" s="32"/>
      <c r="N21" s="32">
        <v>-25</v>
      </c>
      <c r="O21" s="32">
        <f>-25+10</f>
        <v>-15</v>
      </c>
      <c r="P21" s="32">
        <f>-25+39.76</f>
        <v>14.759999999999998</v>
      </c>
      <c r="Q21" s="32">
        <v>-39.76</v>
      </c>
      <c r="R21" s="32"/>
      <c r="S21" s="32"/>
      <c r="T21" s="32"/>
      <c r="U21" s="32">
        <v>-15</v>
      </c>
      <c r="V21" s="32"/>
      <c r="W21" s="32"/>
      <c r="X21" s="32"/>
      <c r="Y21" s="32"/>
      <c r="Z21" s="32"/>
      <c r="AA21" s="35">
        <f>SUM(B21:W21)</f>
        <v>-155</v>
      </c>
    </row>
    <row r="22" spans="1:27" x14ac:dyDescent="0.2">
      <c r="A22" t="s">
        <v>223</v>
      </c>
      <c r="B22" s="32">
        <v>10</v>
      </c>
      <c r="C22" s="32"/>
      <c r="D22" s="32">
        <f>-10+21.74</f>
        <v>11.739999999999998</v>
      </c>
      <c r="E22" s="32">
        <f>-21.74+39.47</f>
        <v>17.73</v>
      </c>
      <c r="F22" s="32">
        <f>-39.4675980582524+99.73</f>
        <v>60.262401941747605</v>
      </c>
      <c r="G22" s="32">
        <v>-99.732401941747597</v>
      </c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5">
        <f t="shared" ref="AA22:AA35" si="8">SUM(B22:W22)</f>
        <v>0</v>
      </c>
    </row>
    <row r="23" spans="1:27" x14ac:dyDescent="0.2">
      <c r="A23" t="s">
        <v>127</v>
      </c>
      <c r="B23" s="32">
        <v>0</v>
      </c>
      <c r="C23" s="32"/>
      <c r="D23" s="32"/>
      <c r="E23" s="32"/>
      <c r="F23" s="32">
        <v>0</v>
      </c>
      <c r="G23" s="32">
        <v>0</v>
      </c>
      <c r="H23" s="32"/>
      <c r="I23" s="32"/>
      <c r="J23" s="32"/>
      <c r="K23" s="32"/>
      <c r="L23" s="32"/>
      <c r="M23" s="32"/>
      <c r="N23" s="32">
        <v>-20</v>
      </c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5">
        <f t="shared" si="8"/>
        <v>-20</v>
      </c>
    </row>
    <row r="24" spans="1:27" x14ac:dyDescent="0.2">
      <c r="A24" t="s">
        <v>405</v>
      </c>
      <c r="B24" s="32">
        <v>27</v>
      </c>
      <c r="C24" s="32">
        <f>-27+24</f>
        <v>-3</v>
      </c>
      <c r="D24" s="32">
        <f>-25+54.34</f>
        <v>29.340000000000003</v>
      </c>
      <c r="E24" s="32">
        <f>-53.84+97.74</f>
        <v>43.899999999999991</v>
      </c>
      <c r="F24" s="32">
        <f>-97.7431223300971+246.98</f>
        <v>149.2368776699029</v>
      </c>
      <c r="G24" s="32">
        <v>-246.47687766990299</v>
      </c>
      <c r="H24" s="32">
        <v>-25</v>
      </c>
      <c r="I24" s="32">
        <f>-25+50.33</f>
        <v>25.33</v>
      </c>
      <c r="J24" s="32">
        <v>-50.33</v>
      </c>
      <c r="K24" s="32">
        <v>-25</v>
      </c>
      <c r="L24" s="32"/>
      <c r="M24" s="32"/>
      <c r="N24" s="32">
        <v>-25</v>
      </c>
      <c r="O24" s="32">
        <f>-25+10</f>
        <v>-15</v>
      </c>
      <c r="P24" s="32">
        <f>-25+39.76</f>
        <v>14.759999999999998</v>
      </c>
      <c r="Q24" s="32">
        <v>-39.76</v>
      </c>
      <c r="R24" s="32"/>
      <c r="S24" s="32"/>
      <c r="T24" s="32"/>
      <c r="U24" s="32">
        <v>-25</v>
      </c>
      <c r="V24" s="32"/>
      <c r="W24" s="32">
        <v>-25</v>
      </c>
      <c r="X24" s="32">
        <v>-25</v>
      </c>
      <c r="Y24" s="32"/>
      <c r="Z24" s="32"/>
      <c r="AA24" s="35">
        <f t="shared" si="8"/>
        <v>-190.00000000000011</v>
      </c>
    </row>
    <row r="25" spans="1:27" x14ac:dyDescent="0.2">
      <c r="A25" t="s">
        <v>749</v>
      </c>
      <c r="B25" s="32">
        <v>25</v>
      </c>
      <c r="C25" s="32">
        <f>-25+25</f>
        <v>0</v>
      </c>
      <c r="D25" s="32">
        <f>-25+54.34</f>
        <v>29.340000000000003</v>
      </c>
      <c r="E25" s="32">
        <f>-54.34+98.65</f>
        <v>44.31</v>
      </c>
      <c r="F25" s="32">
        <f>-98.650840776699+249.28</f>
        <v>150.629159223301</v>
      </c>
      <c r="G25" s="32">
        <v>-249.27915922330101</v>
      </c>
      <c r="H25" s="32"/>
      <c r="I25" s="32">
        <f>-25+50.33</f>
        <v>25.33</v>
      </c>
      <c r="J25" s="32">
        <v>-50.33</v>
      </c>
      <c r="K25" s="32">
        <v>-25</v>
      </c>
      <c r="L25" s="32"/>
      <c r="M25" s="32"/>
      <c r="N25" s="32">
        <v>-25</v>
      </c>
      <c r="O25" s="32">
        <f>-25+10</f>
        <v>-15</v>
      </c>
      <c r="P25" s="32">
        <f>-25+39.76</f>
        <v>14.759999999999998</v>
      </c>
      <c r="Q25" s="32">
        <v>-39.76</v>
      </c>
      <c r="R25" s="32"/>
      <c r="S25" s="32"/>
      <c r="T25" s="32"/>
      <c r="U25" s="32">
        <v>-25</v>
      </c>
      <c r="V25" s="32"/>
      <c r="W25" s="32"/>
      <c r="X25" s="32"/>
      <c r="Y25" s="32"/>
      <c r="Z25" s="32"/>
      <c r="AA25" s="35">
        <f t="shared" si="8"/>
        <v>-140</v>
      </c>
    </row>
    <row r="26" spans="1:27" x14ac:dyDescent="0.2">
      <c r="A26" t="s">
        <v>189</v>
      </c>
      <c r="B26" s="32">
        <v>10</v>
      </c>
      <c r="C26" s="32">
        <f>-10+10</f>
        <v>0</v>
      </c>
      <c r="D26" s="32">
        <f>-10+21.74</f>
        <v>11.739999999999998</v>
      </c>
      <c r="E26" s="32">
        <f>-21.74+39.47</f>
        <v>17.73</v>
      </c>
      <c r="F26" s="32">
        <f>-39.4675980582524+99.73</f>
        <v>60.262401941747605</v>
      </c>
      <c r="G26" s="32">
        <v>-99.732401941747597</v>
      </c>
      <c r="H26" s="32"/>
      <c r="I26" s="32"/>
      <c r="J26" s="32"/>
      <c r="K26" s="32"/>
      <c r="L26" s="32"/>
      <c r="M26" s="32"/>
      <c r="N26" s="32">
        <v>-20</v>
      </c>
      <c r="O26" s="32">
        <f>-20+8</f>
        <v>-12</v>
      </c>
      <c r="P26" s="32">
        <f>-8+12.72</f>
        <v>4.7200000000000006</v>
      </c>
      <c r="Q26" s="32">
        <v>-12.72</v>
      </c>
      <c r="R26" s="32"/>
      <c r="S26" s="32"/>
      <c r="T26" s="32"/>
      <c r="U26" s="32"/>
      <c r="V26" s="32"/>
      <c r="W26" s="32"/>
      <c r="X26" s="32"/>
      <c r="Y26" s="32"/>
      <c r="Z26" s="32"/>
      <c r="AA26" s="35">
        <f t="shared" si="8"/>
        <v>-39.999999999999986</v>
      </c>
    </row>
    <row r="27" spans="1:27" x14ac:dyDescent="0.2">
      <c r="B27" s="32">
        <v>0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5">
        <f t="shared" si="8"/>
        <v>0</v>
      </c>
    </row>
    <row r="28" spans="1:27" x14ac:dyDescent="0.2">
      <c r="B28" s="32">
        <v>0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5">
        <f t="shared" si="8"/>
        <v>0</v>
      </c>
    </row>
    <row r="29" spans="1:27" x14ac:dyDescent="0.2">
      <c r="B29" s="32">
        <v>0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5">
        <f t="shared" si="8"/>
        <v>0</v>
      </c>
    </row>
    <row r="30" spans="1:27" x14ac:dyDescent="0.2">
      <c r="B30" s="32">
        <v>0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5">
        <f t="shared" si="8"/>
        <v>0</v>
      </c>
    </row>
    <row r="31" spans="1:27" x14ac:dyDescent="0.2">
      <c r="B31" s="32">
        <v>0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5">
        <f t="shared" si="8"/>
        <v>0</v>
      </c>
    </row>
    <row r="32" spans="1:27" x14ac:dyDescent="0.2">
      <c r="B32" s="32">
        <v>0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5">
        <f t="shared" si="8"/>
        <v>0</v>
      </c>
    </row>
    <row r="33" spans="1:27" x14ac:dyDescent="0.2">
      <c r="B33" s="32">
        <v>0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5">
        <f t="shared" si="8"/>
        <v>0</v>
      </c>
    </row>
    <row r="34" spans="1:27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5">
        <f t="shared" si="8"/>
        <v>0</v>
      </c>
    </row>
    <row r="35" spans="1:27" x14ac:dyDescent="0.2">
      <c r="A35" t="s">
        <v>752</v>
      </c>
      <c r="B35" s="32">
        <f t="shared" ref="B35:R35" si="9">SUM(B21:B34)</f>
        <v>97</v>
      </c>
      <c r="C35" s="32">
        <f t="shared" si="9"/>
        <v>-3</v>
      </c>
      <c r="D35" s="32">
        <f t="shared" si="9"/>
        <v>111.5</v>
      </c>
      <c r="E35" s="32">
        <f t="shared" si="9"/>
        <v>167.98</v>
      </c>
      <c r="F35" s="32">
        <f t="shared" si="9"/>
        <v>571.0200000000001</v>
      </c>
      <c r="G35" s="32">
        <f t="shared" si="9"/>
        <v>-944.50000000000023</v>
      </c>
      <c r="H35" s="32">
        <f t="shared" si="9"/>
        <v>-50</v>
      </c>
      <c r="I35" s="32">
        <f t="shared" si="9"/>
        <v>75.989999999999995</v>
      </c>
      <c r="J35" s="32">
        <f t="shared" si="9"/>
        <v>-150.99</v>
      </c>
      <c r="K35" s="32">
        <f t="shared" si="9"/>
        <v>-75</v>
      </c>
      <c r="L35" s="32">
        <f t="shared" si="9"/>
        <v>0</v>
      </c>
      <c r="M35" s="32">
        <f t="shared" si="9"/>
        <v>0</v>
      </c>
      <c r="N35" s="32">
        <f t="shared" si="9"/>
        <v>-115</v>
      </c>
      <c r="O35" s="32">
        <f t="shared" si="9"/>
        <v>-57</v>
      </c>
      <c r="P35" s="32">
        <f t="shared" si="9"/>
        <v>48.999999999999993</v>
      </c>
      <c r="Q35" s="32">
        <f t="shared" si="9"/>
        <v>-132</v>
      </c>
      <c r="R35" s="32">
        <f t="shared" si="9"/>
        <v>0</v>
      </c>
      <c r="S35" s="32"/>
      <c r="T35" s="32"/>
      <c r="U35" s="32"/>
      <c r="V35" s="32"/>
      <c r="W35" s="32"/>
      <c r="X35" s="32"/>
      <c r="Y35" s="32"/>
      <c r="Z35" s="32"/>
      <c r="AA35" s="35">
        <f t="shared" si="8"/>
        <v>-455.00000000000011</v>
      </c>
    </row>
    <row r="37" spans="1:27" x14ac:dyDescent="0.2">
      <c r="A37" s="91" t="s">
        <v>772</v>
      </c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</row>
    <row r="38" spans="1:27" x14ac:dyDescent="0.2">
      <c r="A38" t="s">
        <v>732</v>
      </c>
      <c r="B38" t="s">
        <v>753</v>
      </c>
      <c r="C38" t="s">
        <v>754</v>
      </c>
      <c r="D38" t="s">
        <v>755</v>
      </c>
      <c r="E38" t="s">
        <v>756</v>
      </c>
      <c r="F38" t="s">
        <v>757</v>
      </c>
      <c r="G38" t="s">
        <v>758</v>
      </c>
      <c r="H38" t="s">
        <v>759</v>
      </c>
      <c r="I38" t="s">
        <v>760</v>
      </c>
      <c r="J38" t="s">
        <v>761</v>
      </c>
      <c r="K38" t="s">
        <v>762</v>
      </c>
      <c r="L38" t="s">
        <v>763</v>
      </c>
      <c r="M38" t="s">
        <v>764</v>
      </c>
      <c r="N38" t="s">
        <v>765</v>
      </c>
      <c r="O38" t="s">
        <v>766</v>
      </c>
      <c r="P38" t="s">
        <v>767</v>
      </c>
      <c r="Q38" t="s">
        <v>768</v>
      </c>
      <c r="R38" t="s">
        <v>769</v>
      </c>
      <c r="S38" t="s">
        <v>770</v>
      </c>
      <c r="AA38" t="s">
        <v>731</v>
      </c>
    </row>
    <row r="39" spans="1:27" x14ac:dyDescent="0.2">
      <c r="A39" t="s">
        <v>744</v>
      </c>
      <c r="B39" s="70">
        <v>50</v>
      </c>
      <c r="C39" s="32">
        <v>-25</v>
      </c>
      <c r="D39" s="32">
        <v>14.75</v>
      </c>
      <c r="E39" s="32">
        <v>-39.75</v>
      </c>
      <c r="F39" s="70">
        <f>25+F21</f>
        <v>175.629159223301</v>
      </c>
      <c r="G39" s="32">
        <v>-25</v>
      </c>
      <c r="H39" s="32">
        <v>15</v>
      </c>
      <c r="I39" s="32">
        <f>10.33</f>
        <v>10.33</v>
      </c>
      <c r="J39" s="32">
        <v>-25</v>
      </c>
      <c r="K39" s="34">
        <f>-25+30</f>
        <v>5</v>
      </c>
      <c r="L39" s="32">
        <v>39.33</v>
      </c>
      <c r="M39" s="32">
        <v>-25</v>
      </c>
      <c r="N39" s="32">
        <v>-25</v>
      </c>
      <c r="O39" s="34">
        <f>31-10</f>
        <v>21</v>
      </c>
      <c r="P39" s="32">
        <v>-25</v>
      </c>
      <c r="Q39" s="34">
        <f>25-25</f>
        <v>0</v>
      </c>
      <c r="R39" s="34">
        <f>10-25</f>
        <v>-15</v>
      </c>
      <c r="S39" s="32">
        <f>25-25</f>
        <v>0</v>
      </c>
      <c r="T39" s="32"/>
      <c r="U39" s="32"/>
      <c r="V39" s="32"/>
      <c r="W39" s="32"/>
      <c r="X39" s="32"/>
      <c r="Y39" s="32"/>
      <c r="Z39" s="32"/>
      <c r="AA39" s="35">
        <f>SUM(B39:S39)</f>
        <v>126.289159223301</v>
      </c>
    </row>
    <row r="40" spans="1:27" x14ac:dyDescent="0.2">
      <c r="A40" t="s">
        <v>223</v>
      </c>
      <c r="B40" s="70">
        <v>50</v>
      </c>
      <c r="C40" s="32">
        <v>-25</v>
      </c>
      <c r="D40" s="32">
        <v>14.75</v>
      </c>
      <c r="E40" s="32">
        <v>-39.75</v>
      </c>
      <c r="F40" s="32"/>
      <c r="G40" s="32">
        <f>25-25</f>
        <v>0</v>
      </c>
      <c r="H40" s="32"/>
      <c r="I40" s="32"/>
      <c r="J40" s="32">
        <v>0</v>
      </c>
      <c r="K40" s="34"/>
      <c r="L40" s="32"/>
      <c r="M40" s="32"/>
      <c r="N40" s="32"/>
      <c r="O40" s="34">
        <f>25-10</f>
        <v>15</v>
      </c>
      <c r="P40" s="32">
        <v>-15</v>
      </c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5">
        <f t="shared" ref="AA40:AA53" si="10">SUM(B40:S40)</f>
        <v>0</v>
      </c>
    </row>
    <row r="41" spans="1:27" x14ac:dyDescent="0.2">
      <c r="A41" t="s">
        <v>127</v>
      </c>
      <c r="B41" s="32"/>
      <c r="C41" s="32"/>
      <c r="D41" s="32"/>
      <c r="E41" s="32"/>
      <c r="F41" s="32"/>
      <c r="G41" s="32"/>
      <c r="H41" s="32"/>
      <c r="I41" s="32"/>
      <c r="J41" s="32"/>
      <c r="K41" s="34"/>
      <c r="L41" s="32"/>
      <c r="M41" s="32"/>
      <c r="N41" s="32"/>
      <c r="O41" s="34">
        <f>30-12</f>
        <v>18</v>
      </c>
      <c r="P41" s="32">
        <v>-18</v>
      </c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5">
        <f t="shared" si="10"/>
        <v>0</v>
      </c>
    </row>
    <row r="42" spans="1:27" x14ac:dyDescent="0.2">
      <c r="A42" t="s">
        <v>405</v>
      </c>
      <c r="B42" s="70">
        <v>50</v>
      </c>
      <c r="C42" s="32">
        <v>-25</v>
      </c>
      <c r="D42" s="32">
        <v>14.75</v>
      </c>
      <c r="E42" s="32">
        <v>-39.75</v>
      </c>
      <c r="F42" s="70">
        <f>25+F24</f>
        <v>174.2368776699029</v>
      </c>
      <c r="G42" s="32">
        <v>-25</v>
      </c>
      <c r="H42" s="32">
        <v>15</v>
      </c>
      <c r="I42" s="32">
        <f>10.33</f>
        <v>10.33</v>
      </c>
      <c r="J42" s="32">
        <v>-25</v>
      </c>
      <c r="K42" s="34">
        <f>-25+30</f>
        <v>5</v>
      </c>
      <c r="L42" s="32">
        <v>39.33</v>
      </c>
      <c r="M42" s="32">
        <v>-25</v>
      </c>
      <c r="N42" s="32">
        <v>-25</v>
      </c>
      <c r="O42" s="34">
        <f>31-10</f>
        <v>21</v>
      </c>
      <c r="P42" s="32">
        <v>-25</v>
      </c>
      <c r="Q42" s="34">
        <f>25-25</f>
        <v>0</v>
      </c>
      <c r="R42" s="34">
        <f>10-25</f>
        <v>-15</v>
      </c>
      <c r="S42" s="34">
        <f>25-25</f>
        <v>0</v>
      </c>
      <c r="T42" s="34"/>
      <c r="U42" s="34"/>
      <c r="V42" s="34"/>
      <c r="W42" s="34"/>
      <c r="X42" s="34"/>
      <c r="Y42" s="34"/>
      <c r="Z42" s="34"/>
      <c r="AA42" s="35">
        <f t="shared" si="10"/>
        <v>124.89687766990289</v>
      </c>
    </row>
    <row r="43" spans="1:27" x14ac:dyDescent="0.2">
      <c r="A43" t="s">
        <v>749</v>
      </c>
      <c r="B43" s="32"/>
      <c r="C43" s="32"/>
      <c r="D43" s="32"/>
      <c r="E43" s="32"/>
      <c r="F43" s="32"/>
      <c r="G43" s="32"/>
      <c r="H43" s="32"/>
      <c r="I43" s="70">
        <f>25+10.33</f>
        <v>35.33</v>
      </c>
      <c r="J43" s="32">
        <v>-25</v>
      </c>
      <c r="K43" s="34">
        <f>25-25+30</f>
        <v>30</v>
      </c>
      <c r="L43" s="32">
        <v>39.33</v>
      </c>
      <c r="M43" s="32">
        <v>-25</v>
      </c>
      <c r="N43" s="32">
        <v>-25</v>
      </c>
      <c r="O43" s="34">
        <f>-25+15</f>
        <v>-10</v>
      </c>
      <c r="P43" s="32">
        <v>-20</v>
      </c>
      <c r="Q43" s="32">
        <f>25-25</f>
        <v>0</v>
      </c>
      <c r="R43" s="34">
        <f>25-25</f>
        <v>0</v>
      </c>
      <c r="S43" s="32"/>
      <c r="T43" s="32"/>
      <c r="U43" s="32"/>
      <c r="V43" s="32"/>
      <c r="W43" s="32"/>
      <c r="X43" s="32"/>
      <c r="Y43" s="32"/>
      <c r="Z43" s="32"/>
      <c r="AA43" s="35">
        <f t="shared" si="10"/>
        <v>-0.34000000000000341</v>
      </c>
    </row>
    <row r="44" spans="1:27" x14ac:dyDescent="0.2">
      <c r="A44" t="s">
        <v>189</v>
      </c>
      <c r="B44" s="70">
        <v>50</v>
      </c>
      <c r="C44" s="32">
        <v>-25</v>
      </c>
      <c r="D44" s="32">
        <v>14.75</v>
      </c>
      <c r="E44" s="32">
        <v>-39.75</v>
      </c>
      <c r="F44" s="32"/>
      <c r="G44" s="32"/>
      <c r="H44" s="32"/>
      <c r="I44" s="32"/>
      <c r="J44" s="32"/>
      <c r="K44" s="32"/>
      <c r="L44" s="32"/>
      <c r="M44" s="32"/>
      <c r="N44" s="34">
        <f>25-25</f>
        <v>0</v>
      </c>
      <c r="O44" s="34">
        <f>20-8</f>
        <v>12</v>
      </c>
      <c r="P44" s="32">
        <v>-12</v>
      </c>
      <c r="Q44" s="32"/>
      <c r="R44" s="32"/>
      <c r="S44" s="34">
        <f>20-20</f>
        <v>0</v>
      </c>
      <c r="T44" s="34"/>
      <c r="U44" s="34"/>
      <c r="V44" s="34"/>
      <c r="W44" s="34"/>
      <c r="X44" s="34"/>
      <c r="Y44" s="34"/>
      <c r="Z44" s="34"/>
      <c r="AA44" s="35">
        <f t="shared" si="10"/>
        <v>0</v>
      </c>
    </row>
    <row r="45" spans="1:27" x14ac:dyDescent="0.2"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5">
        <f t="shared" si="10"/>
        <v>0</v>
      </c>
    </row>
    <row r="46" spans="1:27" x14ac:dyDescent="0.2"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5">
        <f t="shared" si="10"/>
        <v>0</v>
      </c>
    </row>
    <row r="47" spans="1:27" x14ac:dyDescent="0.2"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5">
        <f t="shared" si="10"/>
        <v>0</v>
      </c>
    </row>
    <row r="48" spans="1:27" x14ac:dyDescent="0.2"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5">
        <f t="shared" si="10"/>
        <v>0</v>
      </c>
    </row>
    <row r="49" spans="1:27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5">
        <f t="shared" si="10"/>
        <v>0</v>
      </c>
    </row>
    <row r="50" spans="1:27" x14ac:dyDescent="0.2"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5">
        <f t="shared" si="10"/>
        <v>0</v>
      </c>
    </row>
    <row r="51" spans="1:27" x14ac:dyDescent="0.2"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5">
        <f t="shared" si="10"/>
        <v>0</v>
      </c>
    </row>
    <row r="52" spans="1:27" x14ac:dyDescent="0.2"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5">
        <f t="shared" si="10"/>
        <v>0</v>
      </c>
    </row>
    <row r="53" spans="1:27" x14ac:dyDescent="0.2">
      <c r="A53" t="s">
        <v>752</v>
      </c>
      <c r="B53" s="32">
        <f t="shared" ref="B53:R53" si="11">SUM(B39:B52)</f>
        <v>200</v>
      </c>
      <c r="C53" s="32">
        <f t="shared" si="11"/>
        <v>-100</v>
      </c>
      <c r="D53" s="32">
        <f t="shared" si="11"/>
        <v>59</v>
      </c>
      <c r="E53" s="32">
        <f t="shared" si="11"/>
        <v>-159</v>
      </c>
      <c r="F53" s="32">
        <f t="shared" si="11"/>
        <v>349.8660368932039</v>
      </c>
      <c r="G53" s="32">
        <f t="shared" si="11"/>
        <v>-50</v>
      </c>
      <c r="H53" s="32">
        <f t="shared" si="11"/>
        <v>30</v>
      </c>
      <c r="I53" s="32">
        <f t="shared" si="11"/>
        <v>55.989999999999995</v>
      </c>
      <c r="J53" s="32">
        <f t="shared" si="11"/>
        <v>-75</v>
      </c>
      <c r="K53" s="32">
        <f t="shared" si="11"/>
        <v>40</v>
      </c>
      <c r="L53" s="32">
        <f t="shared" si="11"/>
        <v>117.99</v>
      </c>
      <c r="M53" s="32">
        <f t="shared" si="11"/>
        <v>-75</v>
      </c>
      <c r="N53" s="32">
        <f t="shared" si="11"/>
        <v>-75</v>
      </c>
      <c r="O53" s="32">
        <f t="shared" si="11"/>
        <v>77</v>
      </c>
      <c r="P53" s="32">
        <f t="shared" si="11"/>
        <v>-115</v>
      </c>
      <c r="Q53" s="32">
        <f t="shared" si="11"/>
        <v>0</v>
      </c>
      <c r="R53" s="32">
        <f t="shared" si="11"/>
        <v>-30</v>
      </c>
      <c r="S53" s="32"/>
      <c r="T53" s="32"/>
      <c r="U53" s="32"/>
      <c r="V53" s="32"/>
      <c r="W53" s="32"/>
      <c r="X53" s="32"/>
      <c r="Y53" s="32"/>
      <c r="Z53" s="32"/>
      <c r="AA53" s="35">
        <f t="shared" si="10"/>
        <v>250.84603689320392</v>
      </c>
    </row>
  </sheetData>
  <mergeCells count="1">
    <mergeCell ref="A37:AA37"/>
  </mergeCells>
  <phoneticPr fontId="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W251"/>
  <sheetViews>
    <sheetView topLeftCell="A197" workbookViewId="0">
      <selection activeCell="B236" sqref="B236"/>
    </sheetView>
  </sheetViews>
  <sheetFormatPr baseColWidth="10" defaultColWidth="8.83203125" defaultRowHeight="15" x14ac:dyDescent="0.2"/>
  <cols>
    <col min="2" max="2" width="15.83203125" customWidth="1"/>
    <col min="3" max="3" width="11.5" bestFit="1" customWidth="1"/>
    <col min="4" max="4" width="22.1640625" bestFit="1" customWidth="1"/>
    <col min="20" max="20" width="17.33203125" bestFit="1" customWidth="1"/>
  </cols>
  <sheetData>
    <row r="1" spans="1:23" x14ac:dyDescent="0.2">
      <c r="A1" t="s">
        <v>13</v>
      </c>
      <c r="B1" t="s">
        <v>773</v>
      </c>
      <c r="C1" t="s">
        <v>774</v>
      </c>
      <c r="D1" t="s">
        <v>66</v>
      </c>
      <c r="E1" t="s">
        <v>19</v>
      </c>
      <c r="F1" t="s">
        <v>13</v>
      </c>
      <c r="G1" t="s">
        <v>710</v>
      </c>
      <c r="H1" t="s">
        <v>21</v>
      </c>
      <c r="I1" t="s">
        <v>775</v>
      </c>
      <c r="J1" t="s">
        <v>79</v>
      </c>
      <c r="K1" t="s">
        <v>68</v>
      </c>
      <c r="L1" t="s">
        <v>83</v>
      </c>
      <c r="M1" t="s">
        <v>88</v>
      </c>
      <c r="N1" t="s">
        <v>2369</v>
      </c>
      <c r="R1" t="s">
        <v>776</v>
      </c>
      <c r="T1" t="s">
        <v>66</v>
      </c>
      <c r="U1" t="s">
        <v>19</v>
      </c>
      <c r="V1" t="s">
        <v>13</v>
      </c>
      <c r="W1" t="s">
        <v>777</v>
      </c>
    </row>
    <row r="2" spans="1:23" x14ac:dyDescent="0.2">
      <c r="A2">
        <f>IF(C2=1,F2,0)</f>
        <v>0</v>
      </c>
      <c r="B2">
        <f>IF(C2=0,0,A2&amp;" "&amp;COUNTIF($A$1:A2,A2))</f>
        <v>0</v>
      </c>
      <c r="C2">
        <v>0</v>
      </c>
      <c r="D2" t="s">
        <v>80</v>
      </c>
      <c r="E2">
        <v>8700</v>
      </c>
      <c r="F2" t="s">
        <v>79</v>
      </c>
      <c r="G2" s="16">
        <v>14.216069491997796</v>
      </c>
      <c r="J2">
        <f>IF($F2=J$1,$C2*1,0)</f>
        <v>0</v>
      </c>
      <c r="K2">
        <f>IF($F2=K$1,$C2*1,0)</f>
        <v>0</v>
      </c>
      <c r="L2">
        <f>IF($F2=L$1,$C2*1,0)</f>
        <v>0</v>
      </c>
      <c r="M2">
        <f>IF($F2=M$1,$C2*1,0)</f>
        <v>0</v>
      </c>
      <c r="N2" t="str">
        <f>IF(AND(E2&lt;=7000,E2&gt;=6000,F2&lt;&gt;"QB"),"Y","N")</f>
        <v>N</v>
      </c>
      <c r="R2">
        <v>1</v>
      </c>
      <c r="T2">
        <f>VLOOKUP($W2,'Fanduel Export'!$BA:$BG,4,FALSE)</f>
        <v>1</v>
      </c>
      <c r="U2" t="str">
        <f>VLOOKUP($W2,'Fanduel Export'!$BA:$BG,5,FALSE)</f>
        <v>Deebo Samuel</v>
      </c>
      <c r="V2">
        <f>VLOOKUP($W2,'Fanduel Export'!$BA:$BG,6,FALSE)</f>
        <v>8700</v>
      </c>
      <c r="W2">
        <f>LARGE('Fanduel Export'!$BA:$BA,R2)</f>
        <v>14.482942865273781</v>
      </c>
    </row>
    <row r="3" spans="1:23" x14ac:dyDescent="0.2">
      <c r="A3" t="str">
        <f t="shared" ref="A3:A66" si="0">IF(C3=1,F3,0)</f>
        <v>WR</v>
      </c>
      <c r="B3" t="str">
        <f>IF(C3=0,0,A3&amp;" "&amp;COUNTIF($A$1:A3,A3))</f>
        <v>WR 1</v>
      </c>
      <c r="C3">
        <v>1</v>
      </c>
      <c r="D3" t="s">
        <v>185</v>
      </c>
      <c r="E3">
        <v>8700</v>
      </c>
      <c r="F3" t="s">
        <v>83</v>
      </c>
      <c r="G3" s="16">
        <v>14.482942865273781</v>
      </c>
      <c r="J3">
        <f t="shared" ref="J3:M66" si="1">IF($F3=J$1,$C3*1,0)</f>
        <v>0</v>
      </c>
      <c r="K3">
        <f t="shared" si="1"/>
        <v>0</v>
      </c>
      <c r="L3">
        <f t="shared" si="1"/>
        <v>1</v>
      </c>
      <c r="M3">
        <f t="shared" si="1"/>
        <v>0</v>
      </c>
      <c r="N3" t="str">
        <f t="shared" ref="N3:N66" si="2">IF(AND(E3&lt;=7000,E3&gt;=6000,F3&lt;&gt;"QB"),"Y","N")</f>
        <v>N</v>
      </c>
      <c r="R3">
        <f>R2+1</f>
        <v>2</v>
      </c>
      <c r="T3">
        <f>VLOOKUP($W3,'Fanduel Export'!$BA:$BG,4,FALSE)</f>
        <v>1</v>
      </c>
      <c r="U3" t="str">
        <f>VLOOKUP($W3,'Fanduel Export'!$BA:$BG,5,FALSE)</f>
        <v>Jalen Hurts</v>
      </c>
      <c r="V3">
        <f>VLOOKUP($W3,'Fanduel Export'!$BA:$BG,6,FALSE)</f>
        <v>7700</v>
      </c>
      <c r="W3">
        <f>LARGE('Fanduel Export'!$BA:$BA,R3)</f>
        <v>14.332219657587864</v>
      </c>
    </row>
    <row r="4" spans="1:23" x14ac:dyDescent="0.2">
      <c r="A4">
        <f t="shared" si="0"/>
        <v>0</v>
      </c>
      <c r="B4">
        <f>IF(C4=0,0,A4&amp;" "&amp;COUNTIF($A$1:A4,A4))</f>
        <v>0</v>
      </c>
      <c r="C4">
        <v>0</v>
      </c>
      <c r="D4" t="s">
        <v>975</v>
      </c>
      <c r="E4">
        <v>8400</v>
      </c>
      <c r="F4" t="s">
        <v>79</v>
      </c>
      <c r="G4" s="16">
        <v>11.090527568056892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N4" t="str">
        <f t="shared" si="2"/>
        <v>N</v>
      </c>
      <c r="R4">
        <f t="shared" ref="R4:R67" si="3">R3+1</f>
        <v>3</v>
      </c>
      <c r="T4">
        <f>VLOOKUP($W4,'Fanduel Export'!$BA:$BG,4,FALSE)</f>
        <v>1</v>
      </c>
      <c r="U4" t="str">
        <f>VLOOKUP($W4,'Fanduel Export'!$BA:$BG,5,FALSE)</f>
        <v>Patrick Mahomes</v>
      </c>
      <c r="V4">
        <f>VLOOKUP($W4,'Fanduel Export'!$BA:$BG,6,FALSE)</f>
        <v>8700</v>
      </c>
      <c r="W4">
        <f>LARGE('Fanduel Export'!$BA:$BA,R4)</f>
        <v>14.216069491997796</v>
      </c>
    </row>
    <row r="5" spans="1:23" x14ac:dyDescent="0.2">
      <c r="A5">
        <f t="shared" si="0"/>
        <v>0</v>
      </c>
      <c r="B5">
        <f>IF(C5=0,0,A5&amp;" "&amp;COUNTIF($A$1:A5,A5))</f>
        <v>0</v>
      </c>
      <c r="C5">
        <v>0</v>
      </c>
      <c r="D5" t="s">
        <v>866</v>
      </c>
      <c r="E5">
        <v>8200</v>
      </c>
      <c r="F5" t="s">
        <v>83</v>
      </c>
      <c r="G5" s="16">
        <v>7.614558880950467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N5" t="str">
        <f t="shared" si="2"/>
        <v>N</v>
      </c>
      <c r="R5">
        <f t="shared" si="3"/>
        <v>4</v>
      </c>
      <c r="T5">
        <f>VLOOKUP($W5,'Fanduel Export'!$BA:$BG,4,FALSE)</f>
        <v>1</v>
      </c>
      <c r="U5" t="str">
        <f>VLOOKUP($W5,'Fanduel Export'!$BA:$BG,5,FALSE)</f>
        <v>Chase Claypool</v>
      </c>
      <c r="V5">
        <f>VLOOKUP($W5,'Fanduel Export'!$BA:$BG,6,FALSE)</f>
        <v>5900</v>
      </c>
      <c r="W5">
        <f>LARGE('Fanduel Export'!$BA:$BA,R5)</f>
        <v>13.298644138415796</v>
      </c>
    </row>
    <row r="6" spans="1:23" x14ac:dyDescent="0.2">
      <c r="A6">
        <f t="shared" si="0"/>
        <v>0</v>
      </c>
      <c r="B6">
        <f>IF(C6=0,0,A6&amp;" "&amp;COUNTIF($A$1:A6,A6))</f>
        <v>0</v>
      </c>
      <c r="C6">
        <v>0</v>
      </c>
      <c r="D6" t="s">
        <v>90</v>
      </c>
      <c r="E6">
        <v>8000</v>
      </c>
      <c r="F6" t="s">
        <v>83</v>
      </c>
      <c r="G6" s="16">
        <v>11.473879935451983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 t="str">
        <f t="shared" si="2"/>
        <v>N</v>
      </c>
      <c r="R6">
        <f t="shared" si="3"/>
        <v>5</v>
      </c>
      <c r="T6">
        <f>VLOOKUP($W6,'Fanduel Export'!$BA:$BG,4,FALSE)</f>
        <v>1</v>
      </c>
      <c r="U6" t="str">
        <f>VLOOKUP($W6,'Fanduel Export'!$BA:$BG,5,FALSE)</f>
        <v>Ben Roethlisberger</v>
      </c>
      <c r="V6">
        <f>VLOOKUP($W6,'Fanduel Export'!$BA:$BG,6,FALSE)</f>
        <v>6400</v>
      </c>
      <c r="W6">
        <f>LARGE('Fanduel Export'!$BA:$BA,R6)</f>
        <v>12.58587750591934</v>
      </c>
    </row>
    <row r="7" spans="1:23" x14ac:dyDescent="0.2">
      <c r="A7" t="str">
        <f t="shared" si="0"/>
        <v>RB</v>
      </c>
      <c r="B7" t="str">
        <f>IF(C7=0,0,A7&amp;" "&amp;COUNTIF($A$1:A7,A7))</f>
        <v>RB 1</v>
      </c>
      <c r="C7">
        <v>1</v>
      </c>
      <c r="D7" t="s">
        <v>170</v>
      </c>
      <c r="E7">
        <v>8000</v>
      </c>
      <c r="F7" t="s">
        <v>68</v>
      </c>
      <c r="G7" s="16">
        <v>12.815049337082952</v>
      </c>
      <c r="J7">
        <f t="shared" si="1"/>
        <v>0</v>
      </c>
      <c r="K7">
        <f t="shared" si="1"/>
        <v>1</v>
      </c>
      <c r="L7">
        <f t="shared" si="1"/>
        <v>0</v>
      </c>
      <c r="M7">
        <f t="shared" si="1"/>
        <v>0</v>
      </c>
      <c r="N7" t="str">
        <f t="shared" si="2"/>
        <v>N</v>
      </c>
      <c r="R7">
        <f t="shared" si="3"/>
        <v>6</v>
      </c>
      <c r="T7">
        <f>VLOOKUP($W7,'Fanduel Export'!$BA:$BG,4,FALSE)</f>
        <v>1</v>
      </c>
      <c r="U7" t="str">
        <f>VLOOKUP($W7,'Fanduel Export'!$BA:$BG,5,FALSE)</f>
        <v>Jimmy Garoppolo</v>
      </c>
      <c r="V7">
        <f>VLOOKUP($W7,'Fanduel Export'!$BA:$BG,6,FALSE)</f>
        <v>6800</v>
      </c>
      <c r="W7">
        <f>LARGE('Fanduel Export'!$BA:$BA,R7)</f>
        <v>12.523071139541383</v>
      </c>
    </row>
    <row r="8" spans="1:23" x14ac:dyDescent="0.2">
      <c r="A8">
        <f t="shared" si="0"/>
        <v>0</v>
      </c>
      <c r="B8">
        <f>IF(C8=0,0,A8&amp;" "&amp;COUNTIF($A$1:A8,A8))</f>
        <v>0</v>
      </c>
      <c r="C8">
        <v>0</v>
      </c>
      <c r="D8" t="s">
        <v>956</v>
      </c>
      <c r="E8">
        <v>8000</v>
      </c>
      <c r="F8" t="s">
        <v>79</v>
      </c>
      <c r="G8" s="16">
        <v>11.38290765461999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N8" t="str">
        <f t="shared" si="2"/>
        <v>N</v>
      </c>
      <c r="R8">
        <f t="shared" si="3"/>
        <v>7</v>
      </c>
      <c r="T8">
        <f>VLOOKUP($W8,'Fanduel Export'!$BA:$BG,4,FALSE)</f>
        <v>1</v>
      </c>
      <c r="U8" t="str">
        <f>VLOOKUP($W8,'Fanduel Export'!$BA:$BG,5,FALSE)</f>
        <v>Tyreek Hill</v>
      </c>
      <c r="V8">
        <f>VLOOKUP($W8,'Fanduel Export'!$BA:$BG,6,FALSE)</f>
        <v>8000</v>
      </c>
      <c r="W8">
        <f>LARGE('Fanduel Export'!$BA:$BA,R8)</f>
        <v>11.473879935451983</v>
      </c>
    </row>
    <row r="9" spans="1:23" x14ac:dyDescent="0.2">
      <c r="A9">
        <f t="shared" si="0"/>
        <v>0</v>
      </c>
      <c r="B9">
        <f>IF(C9=0,0,A9&amp;" "&amp;COUNTIF($A$1:A9,A9))</f>
        <v>0</v>
      </c>
      <c r="C9">
        <v>0</v>
      </c>
      <c r="D9" t="s">
        <v>1460</v>
      </c>
      <c r="E9">
        <v>7700</v>
      </c>
      <c r="F9" t="s">
        <v>68</v>
      </c>
      <c r="G9" s="16">
        <v>9.6877180846018991</v>
      </c>
      <c r="J9">
        <f t="shared" si="1"/>
        <v>0</v>
      </c>
      <c r="K9">
        <f t="shared" si="1"/>
        <v>0</v>
      </c>
      <c r="L9">
        <f t="shared" si="1"/>
        <v>0</v>
      </c>
      <c r="M9">
        <f t="shared" si="1"/>
        <v>0</v>
      </c>
      <c r="N9" t="str">
        <f t="shared" si="2"/>
        <v>N</v>
      </c>
      <c r="R9">
        <f t="shared" si="3"/>
        <v>8</v>
      </c>
      <c r="T9">
        <f>VLOOKUP($W9,'Fanduel Export'!$BA:$BG,4,FALSE)</f>
        <v>1</v>
      </c>
      <c r="U9" t="str">
        <f>VLOOKUP($W9,'Fanduel Export'!$BA:$BG,5,FALSE)</f>
        <v>Dak Prescott</v>
      </c>
      <c r="V9">
        <f>VLOOKUP($W9,'Fanduel Export'!$BA:$BG,6,FALSE)</f>
        <v>8000</v>
      </c>
      <c r="W9">
        <f>LARGE('Fanduel Export'!$BA:$BA,R9)</f>
        <v>11.38290765461999</v>
      </c>
    </row>
    <row r="10" spans="1:23" x14ac:dyDescent="0.2">
      <c r="A10">
        <f t="shared" si="0"/>
        <v>0</v>
      </c>
      <c r="B10">
        <f>IF(C10=0,0,A10&amp;" "&amp;COUNTIF($A$1:A10,A10))</f>
        <v>0</v>
      </c>
      <c r="C10">
        <v>0</v>
      </c>
      <c r="D10" t="s">
        <v>120</v>
      </c>
      <c r="E10">
        <v>7700</v>
      </c>
      <c r="F10" t="s">
        <v>79</v>
      </c>
      <c r="G10" s="16">
        <v>14.332219657587864</v>
      </c>
      <c r="J10">
        <f t="shared" si="1"/>
        <v>0</v>
      </c>
      <c r="K10">
        <f t="shared" si="1"/>
        <v>0</v>
      </c>
      <c r="L10">
        <f t="shared" si="1"/>
        <v>0</v>
      </c>
      <c r="M10">
        <f t="shared" si="1"/>
        <v>0</v>
      </c>
      <c r="N10" t="str">
        <f t="shared" si="2"/>
        <v>N</v>
      </c>
      <c r="R10">
        <f t="shared" si="3"/>
        <v>9</v>
      </c>
      <c r="T10">
        <f>VLOOKUP($W10,'Fanduel Export'!$BA:$BG,4,FALSE)</f>
        <v>1</v>
      </c>
      <c r="U10" t="str">
        <f>VLOOKUP($W10,'Fanduel Export'!$BA:$BG,5,FALSE)</f>
        <v>Tom Brady</v>
      </c>
      <c r="V10">
        <f>VLOOKUP($W10,'Fanduel Export'!$BA:$BG,6,FALSE)</f>
        <v>8400</v>
      </c>
      <c r="W10">
        <f>LARGE('Fanduel Export'!$BA:$BA,R10)</f>
        <v>11.090527568056892</v>
      </c>
    </row>
    <row r="11" spans="1:23" x14ac:dyDescent="0.2">
      <c r="A11">
        <f t="shared" si="0"/>
        <v>0</v>
      </c>
      <c r="B11">
        <f>IF(C11=0,0,A11&amp;" "&amp;COUNTIF($A$1:A11,A11))</f>
        <v>0</v>
      </c>
      <c r="C11">
        <v>0</v>
      </c>
      <c r="D11" t="s">
        <v>89</v>
      </c>
      <c r="E11">
        <v>7500</v>
      </c>
      <c r="F11" t="s">
        <v>88</v>
      </c>
      <c r="G11" s="16">
        <v>9.3848507796631608</v>
      </c>
      <c r="J11">
        <f t="shared" si="1"/>
        <v>0</v>
      </c>
      <c r="K11">
        <f t="shared" si="1"/>
        <v>0</v>
      </c>
      <c r="L11">
        <f t="shared" si="1"/>
        <v>0</v>
      </c>
      <c r="M11">
        <f t="shared" si="1"/>
        <v>0</v>
      </c>
      <c r="N11" t="str">
        <f t="shared" si="2"/>
        <v>N</v>
      </c>
      <c r="R11">
        <f t="shared" si="3"/>
        <v>10</v>
      </c>
      <c r="T11">
        <f>VLOOKUP($W11,'Fanduel Export'!$BA:$BG,4,FALSE)</f>
        <v>1</v>
      </c>
      <c r="U11" t="str">
        <f>VLOOKUP($W11,'Fanduel Export'!$BA:$BG,5,FALSE)</f>
        <v>Eli Mitchell</v>
      </c>
      <c r="V11">
        <f>VLOOKUP($W11,'Fanduel Export'!$BA:$BG,6,FALSE)</f>
        <v>7400</v>
      </c>
      <c r="W11">
        <f>LARGE('Fanduel Export'!$BA:$BA,R11)</f>
        <v>10.445143466368991</v>
      </c>
    </row>
    <row r="12" spans="1:23" x14ac:dyDescent="0.2">
      <c r="A12">
        <f t="shared" si="0"/>
        <v>0</v>
      </c>
      <c r="B12">
        <f>IF(C12=0,0,A12&amp;" "&amp;COUNTIF($A$1:A12,A12))</f>
        <v>0</v>
      </c>
      <c r="C12">
        <v>0</v>
      </c>
      <c r="D12" t="s">
        <v>2099</v>
      </c>
      <c r="E12">
        <v>7400</v>
      </c>
      <c r="F12" t="s">
        <v>88</v>
      </c>
      <c r="G12" s="16">
        <v>8.1057787923656175</v>
      </c>
      <c r="J12">
        <f t="shared" si="1"/>
        <v>0</v>
      </c>
      <c r="K12">
        <f t="shared" si="1"/>
        <v>0</v>
      </c>
      <c r="L12">
        <f t="shared" si="1"/>
        <v>0</v>
      </c>
      <c r="M12">
        <f t="shared" si="1"/>
        <v>0</v>
      </c>
      <c r="N12" t="str">
        <f t="shared" si="2"/>
        <v>N</v>
      </c>
      <c r="R12">
        <f t="shared" si="3"/>
        <v>11</v>
      </c>
      <c r="T12">
        <f>VLOOKUP($W12,'Fanduel Export'!$BA:$BG,4,FALSE)</f>
        <v>1</v>
      </c>
      <c r="U12" t="str">
        <f>VLOOKUP($W12,'Fanduel Export'!$BA:$BG,5,FALSE)</f>
        <v>Travis Kelce</v>
      </c>
      <c r="V12">
        <f>VLOOKUP($W12,'Fanduel Export'!$BA:$BG,6,FALSE)</f>
        <v>7500</v>
      </c>
      <c r="W12">
        <f>LARGE('Fanduel Export'!$BA:$BA,R12)</f>
        <v>10.414518478488038</v>
      </c>
    </row>
    <row r="13" spans="1:23" x14ac:dyDescent="0.2">
      <c r="A13" t="str">
        <f t="shared" si="0"/>
        <v>RB</v>
      </c>
      <c r="B13" t="str">
        <f>IF(C13=0,0,A13&amp;" "&amp;COUNTIF($A$1:A13,A13))</f>
        <v>RB 2</v>
      </c>
      <c r="C13">
        <v>1</v>
      </c>
      <c r="D13" t="s">
        <v>2418</v>
      </c>
      <c r="E13">
        <v>7400</v>
      </c>
      <c r="F13" t="s">
        <v>68</v>
      </c>
      <c r="G13" s="16">
        <v>10.470334286938854</v>
      </c>
      <c r="J13">
        <f t="shared" si="1"/>
        <v>0</v>
      </c>
      <c r="K13">
        <f t="shared" si="1"/>
        <v>1</v>
      </c>
      <c r="L13">
        <f t="shared" si="1"/>
        <v>0</v>
      </c>
      <c r="M13">
        <f t="shared" si="1"/>
        <v>0</v>
      </c>
      <c r="N13" t="str">
        <f t="shared" si="2"/>
        <v>N</v>
      </c>
      <c r="R13">
        <f t="shared" si="3"/>
        <v>12</v>
      </c>
      <c r="T13">
        <f>VLOOKUP($W13,'Fanduel Export'!$BA:$BG,4,FALSE)</f>
        <v>1</v>
      </c>
      <c r="U13" t="str">
        <f>VLOOKUP($W13,'Fanduel Export'!$BA:$BG,5,FALSE)</f>
        <v>George Kittle</v>
      </c>
      <c r="V13">
        <f>VLOOKUP($W13,'Fanduel Export'!$BA:$BG,6,FALSE)</f>
        <v>6500</v>
      </c>
      <c r="W13">
        <f>LARGE('Fanduel Export'!$BA:$BA,R13)</f>
        <v>10.347467046326788</v>
      </c>
    </row>
    <row r="14" spans="1:23" x14ac:dyDescent="0.2">
      <c r="A14">
        <f t="shared" si="0"/>
        <v>0</v>
      </c>
      <c r="B14">
        <f>IF(C14=0,0,A14&amp;" "&amp;COUNTIF($A$1:A14,A14))</f>
        <v>0</v>
      </c>
      <c r="C14">
        <v>0</v>
      </c>
      <c r="D14" t="s">
        <v>1851</v>
      </c>
      <c r="E14">
        <v>7300</v>
      </c>
      <c r="F14" t="s">
        <v>83</v>
      </c>
      <c r="G14" s="16">
        <v>9.6998626920031406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N14" t="str">
        <f t="shared" si="2"/>
        <v>N</v>
      </c>
      <c r="R14">
        <f t="shared" si="3"/>
        <v>13</v>
      </c>
      <c r="T14">
        <f>VLOOKUP($W14,'Fanduel Export'!$BA:$BG,4,FALSE)</f>
        <v>1</v>
      </c>
      <c r="U14" t="str">
        <f>VLOOKUP($W14,'Fanduel Export'!$BA:$BG,5,FALSE)</f>
        <v>Dallas Goedert</v>
      </c>
      <c r="V14">
        <f>VLOOKUP($W14,'Fanduel Export'!$BA:$BG,6,FALSE)</f>
        <v>5900</v>
      </c>
      <c r="W14">
        <f>LARGE('Fanduel Export'!$BA:$BA,R14)</f>
        <v>9.925614983730835</v>
      </c>
    </row>
    <row r="15" spans="1:23" x14ac:dyDescent="0.2">
      <c r="A15" t="str">
        <f t="shared" si="0"/>
        <v>WR</v>
      </c>
      <c r="B15" t="str">
        <f>IF(C15=0,0,A15&amp;" "&amp;COUNTIF($A$1:A15,A15))</f>
        <v>WR 2</v>
      </c>
      <c r="C15">
        <v>1</v>
      </c>
      <c r="D15" t="s">
        <v>162</v>
      </c>
      <c r="E15">
        <v>7200</v>
      </c>
      <c r="F15" t="s">
        <v>83</v>
      </c>
      <c r="G15" s="16">
        <v>11.696330440918617</v>
      </c>
      <c r="J15">
        <f t="shared" si="1"/>
        <v>0</v>
      </c>
      <c r="K15">
        <f t="shared" si="1"/>
        <v>0</v>
      </c>
      <c r="L15">
        <f t="shared" si="1"/>
        <v>1</v>
      </c>
      <c r="M15">
        <f t="shared" si="1"/>
        <v>0</v>
      </c>
      <c r="N15" t="str">
        <f t="shared" si="2"/>
        <v>N</v>
      </c>
      <c r="R15">
        <f t="shared" si="3"/>
        <v>14</v>
      </c>
      <c r="T15">
        <f>VLOOKUP($W15,'Fanduel Export'!$BA:$BG,4,FALSE)</f>
        <v>1</v>
      </c>
      <c r="U15" t="str">
        <f>VLOOKUP($W15,'Fanduel Export'!$BA:$BG,5,FALSE)</f>
        <v>DeVonta Smith</v>
      </c>
      <c r="V15">
        <f>VLOOKUP($W15,'Fanduel Export'!$BA:$BG,6,FALSE)</f>
        <v>6200</v>
      </c>
      <c r="W15">
        <f>LARGE('Fanduel Export'!$BA:$BA,R15)</f>
        <v>9.7344738315251593</v>
      </c>
    </row>
    <row r="16" spans="1:23" x14ac:dyDescent="0.2">
      <c r="A16">
        <f t="shared" si="0"/>
        <v>0</v>
      </c>
      <c r="B16">
        <f>IF(C16=0,0,A16&amp;" "&amp;COUNTIF($A$1:A16,A16))</f>
        <v>0</v>
      </c>
      <c r="C16">
        <v>0</v>
      </c>
      <c r="D16" t="s">
        <v>1895</v>
      </c>
      <c r="E16">
        <v>7100</v>
      </c>
      <c r="F16" t="s">
        <v>83</v>
      </c>
      <c r="G16" s="16">
        <v>7.9013891327555612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 t="str">
        <f t="shared" si="2"/>
        <v>N</v>
      </c>
      <c r="R16">
        <f t="shared" si="3"/>
        <v>15</v>
      </c>
      <c r="T16">
        <f>VLOOKUP($W16,'Fanduel Export'!$BA:$BG,4,FALSE)</f>
        <v>1</v>
      </c>
      <c r="U16" t="str">
        <f>VLOOKUP($W16,'Fanduel Export'!$BA:$BG,5,FALSE)</f>
        <v>Ezekiel Elliott</v>
      </c>
      <c r="V16">
        <f>VLOOKUP($W16,'Fanduel Export'!$BA:$BG,6,FALSE)</f>
        <v>7700</v>
      </c>
      <c r="W16">
        <f>LARGE('Fanduel Export'!$BA:$BA,R16)</f>
        <v>9.6877180846018991</v>
      </c>
    </row>
    <row r="17" spans="1:23" x14ac:dyDescent="0.2">
      <c r="A17">
        <f t="shared" si="0"/>
        <v>0</v>
      </c>
      <c r="B17">
        <f>IF(C17=0,0,A17&amp;" "&amp;COUNTIF($A$1:A17,A17))</f>
        <v>0</v>
      </c>
      <c r="C17">
        <v>0</v>
      </c>
      <c r="D17" t="s">
        <v>148</v>
      </c>
      <c r="E17">
        <v>6800</v>
      </c>
      <c r="F17" t="s">
        <v>79</v>
      </c>
      <c r="G17" s="16">
        <v>12.523071139541383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N17" t="str">
        <f t="shared" si="2"/>
        <v>N</v>
      </c>
      <c r="R17">
        <f t="shared" si="3"/>
        <v>16</v>
      </c>
      <c r="T17">
        <f>VLOOKUP($W17,'Fanduel Export'!$BA:$BG,4,FALSE)</f>
        <v>1</v>
      </c>
      <c r="U17" t="str">
        <f>VLOOKUP($W17,'Fanduel Export'!$BA:$BG,5,FALSE)</f>
        <v>Rob Gronkowski</v>
      </c>
      <c r="V17">
        <f>VLOOKUP($W17,'Fanduel Export'!$BA:$BG,6,FALSE)</f>
        <v>7400</v>
      </c>
      <c r="W17">
        <f>LARGE('Fanduel Export'!$BA:$BA,R17)</f>
        <v>9.6111472660490929</v>
      </c>
    </row>
    <row r="18" spans="1:23" x14ac:dyDescent="0.2">
      <c r="A18">
        <f t="shared" si="0"/>
        <v>0</v>
      </c>
      <c r="B18">
        <f>IF(C18=0,0,A18&amp;" "&amp;COUNTIF($A$1:A18,A18))</f>
        <v>0</v>
      </c>
      <c r="C18">
        <v>0</v>
      </c>
      <c r="D18" t="s">
        <v>306</v>
      </c>
      <c r="E18">
        <v>6600</v>
      </c>
      <c r="F18" t="s">
        <v>68</v>
      </c>
      <c r="G18" s="16">
        <v>8.6036889915806363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 t="str">
        <f t="shared" si="2"/>
        <v>Y</v>
      </c>
      <c r="R18">
        <f t="shared" si="3"/>
        <v>17</v>
      </c>
      <c r="T18">
        <f>VLOOKUP($W18,'Fanduel Export'!$BA:$BG,4,FALSE)</f>
        <v>1</v>
      </c>
      <c r="U18" t="str">
        <f>VLOOKUP($W18,'Fanduel Export'!$BA:$BG,5,FALSE)</f>
        <v>Tony Pollard</v>
      </c>
      <c r="V18">
        <f>VLOOKUP($W18,'Fanduel Export'!$BA:$BG,6,FALSE)</f>
        <v>5700</v>
      </c>
      <c r="W18">
        <f>LARGE('Fanduel Export'!$BA:$BA,R18)</f>
        <v>9.3159105277196108</v>
      </c>
    </row>
    <row r="19" spans="1:23" x14ac:dyDescent="0.2">
      <c r="A19">
        <f t="shared" si="0"/>
        <v>0</v>
      </c>
      <c r="B19">
        <f>IF(C19=0,0,A19&amp;" "&amp;COUNTIF($A$1:A19,A19))</f>
        <v>0</v>
      </c>
      <c r="C19">
        <v>0</v>
      </c>
      <c r="D19" t="s">
        <v>137</v>
      </c>
      <c r="E19">
        <v>6500</v>
      </c>
      <c r="F19" t="s">
        <v>88</v>
      </c>
      <c r="G19" s="16">
        <v>10.478955974414093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N19" t="str">
        <f t="shared" si="2"/>
        <v>Y</v>
      </c>
      <c r="R19">
        <f t="shared" si="3"/>
        <v>18</v>
      </c>
      <c r="T19">
        <f>VLOOKUP($W19,'Fanduel Export'!$BA:$BG,4,FALSE)</f>
        <v>1</v>
      </c>
      <c r="U19" t="str">
        <f>VLOOKUP($W19,'Fanduel Export'!$BA:$BG,5,FALSE)</f>
        <v>Amari Cooper</v>
      </c>
      <c r="V19">
        <f>VLOOKUP($W19,'Fanduel Export'!$BA:$BG,6,FALSE)</f>
        <v>7100</v>
      </c>
      <c r="W19">
        <f>LARGE('Fanduel Export'!$BA:$BA,R19)</f>
        <v>9.3007633279329092</v>
      </c>
    </row>
    <row r="20" spans="1:23" x14ac:dyDescent="0.2">
      <c r="A20" t="str">
        <f t="shared" si="0"/>
        <v>QB</v>
      </c>
      <c r="B20" t="str">
        <f>IF(C20=0,0,A20&amp;" "&amp;COUNTIF($A$1:A20,A20))</f>
        <v>QB 1</v>
      </c>
      <c r="C20">
        <v>1</v>
      </c>
      <c r="D20" t="s">
        <v>133</v>
      </c>
      <c r="E20">
        <v>6400</v>
      </c>
      <c r="F20" t="s">
        <v>79</v>
      </c>
      <c r="G20" s="16">
        <v>13.941778655079094</v>
      </c>
      <c r="J20">
        <f t="shared" si="1"/>
        <v>1</v>
      </c>
      <c r="K20">
        <f t="shared" si="1"/>
        <v>0</v>
      </c>
      <c r="L20">
        <f t="shared" si="1"/>
        <v>0</v>
      </c>
      <c r="M20">
        <f t="shared" si="1"/>
        <v>0</v>
      </c>
      <c r="N20" t="str">
        <f t="shared" si="2"/>
        <v>N</v>
      </c>
      <c r="R20">
        <f t="shared" si="3"/>
        <v>19</v>
      </c>
      <c r="T20">
        <f>VLOOKUP($W20,'Fanduel Export'!$BA:$BG,4,FALSE)</f>
        <v>1</v>
      </c>
      <c r="U20" t="str">
        <f>VLOOKUP($W20,'Fanduel Export'!$BA:$BG,5,FALSE)</f>
        <v>Darrel Williams</v>
      </c>
      <c r="V20">
        <f>VLOOKUP($W20,'Fanduel Export'!$BA:$BG,6,FALSE)</f>
        <v>6600</v>
      </c>
      <c r="W20">
        <f>LARGE('Fanduel Export'!$BA:$BA,R20)</f>
        <v>8.2405401592574457</v>
      </c>
    </row>
    <row r="21" spans="1:23" x14ac:dyDescent="0.2">
      <c r="A21">
        <f t="shared" si="0"/>
        <v>0</v>
      </c>
      <c r="B21">
        <f>IF(C21=0,0,A21&amp;" "&amp;COUNTIF($A$1:A21,A21))</f>
        <v>0</v>
      </c>
      <c r="C21">
        <v>0</v>
      </c>
      <c r="D21" t="s">
        <v>2101</v>
      </c>
      <c r="E21">
        <v>6200</v>
      </c>
      <c r="F21" t="s">
        <v>88</v>
      </c>
      <c r="G21" s="16">
        <v>6.9642606168003756</v>
      </c>
      <c r="J21">
        <f t="shared" si="1"/>
        <v>0</v>
      </c>
      <c r="K21">
        <f t="shared" si="1"/>
        <v>0</v>
      </c>
      <c r="L21">
        <f t="shared" si="1"/>
        <v>0</v>
      </c>
      <c r="M21">
        <f t="shared" si="1"/>
        <v>0</v>
      </c>
      <c r="N21" t="str">
        <f t="shared" si="2"/>
        <v>Y</v>
      </c>
      <c r="R21">
        <f t="shared" si="3"/>
        <v>20</v>
      </c>
      <c r="T21">
        <f>VLOOKUP($W21,'Fanduel Export'!$BA:$BG,4,FALSE)</f>
        <v>1</v>
      </c>
      <c r="U21" t="str">
        <f>VLOOKUP($W21,'Fanduel Export'!$BA:$BG,5,FALSE)</f>
        <v>Dalton Schultz</v>
      </c>
      <c r="V21" t="s">
        <v>778</v>
      </c>
      <c r="W21">
        <f>LARGE('Fanduel Export'!$BA:$BA,R21)</f>
        <v>8.124083056854186</v>
      </c>
    </row>
    <row r="22" spans="1:23" x14ac:dyDescent="0.2">
      <c r="A22" t="str">
        <f t="shared" si="0"/>
        <v>WR</v>
      </c>
      <c r="B22" t="str">
        <f>IF(C22=0,0,A22&amp;" "&amp;COUNTIF($A$1:A22,A22))</f>
        <v>WR 3</v>
      </c>
      <c r="C22">
        <v>1</v>
      </c>
      <c r="D22" t="s">
        <v>278</v>
      </c>
      <c r="E22">
        <v>6200</v>
      </c>
      <c r="F22" t="s">
        <v>83</v>
      </c>
      <c r="G22" s="16">
        <v>10.039227584209936</v>
      </c>
      <c r="J22">
        <f t="shared" si="1"/>
        <v>0</v>
      </c>
      <c r="K22">
        <f t="shared" si="1"/>
        <v>0</v>
      </c>
      <c r="L22">
        <f t="shared" si="1"/>
        <v>1</v>
      </c>
      <c r="M22">
        <f t="shared" si="1"/>
        <v>0</v>
      </c>
      <c r="N22" t="str">
        <f t="shared" si="2"/>
        <v>Y</v>
      </c>
      <c r="R22">
        <f t="shared" si="3"/>
        <v>21</v>
      </c>
      <c r="T22">
        <f>VLOOKUP($W22,'Fanduel Export'!$BA:$BG,4,FALSE)</f>
        <v>1</v>
      </c>
      <c r="U22" t="str">
        <f>VLOOKUP($W22,'Fanduel Export'!$BA:$BG,5,FALSE)</f>
        <v>Brandon Aiyuk</v>
      </c>
      <c r="V22">
        <f>VLOOKUP($W22,'Fanduel Export'!$BA:$BG,6,FALSE)</f>
        <v>6100</v>
      </c>
      <c r="W22">
        <f>LARGE('Fanduel Export'!$BA:$BA,R22)</f>
        <v>7.506786119294226</v>
      </c>
    </row>
    <row r="23" spans="1:23" x14ac:dyDescent="0.2">
      <c r="A23">
        <f t="shared" si="0"/>
        <v>0</v>
      </c>
      <c r="B23">
        <f>IF(C23=0,0,A23&amp;" "&amp;COUNTIF($A$1:A23,A23))</f>
        <v>0</v>
      </c>
      <c r="C23">
        <v>0</v>
      </c>
      <c r="D23" t="s">
        <v>174</v>
      </c>
      <c r="E23">
        <v>6100</v>
      </c>
      <c r="F23" t="s">
        <v>83</v>
      </c>
      <c r="G23" s="16">
        <v>7.6055389886489415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 t="str">
        <f t="shared" si="2"/>
        <v>Y</v>
      </c>
      <c r="R23">
        <f t="shared" si="3"/>
        <v>22</v>
      </c>
      <c r="T23">
        <f>VLOOKUP($W23,'Fanduel Export'!$BA:$BG,4,FALSE)</f>
        <v>1</v>
      </c>
      <c r="U23" t="str">
        <f>VLOOKUP($W23,'Fanduel Export'!$BA:$BG,5,FALSE)</f>
        <v>Quez Watkins</v>
      </c>
      <c r="V23">
        <f>VLOOKUP($W23,'Fanduel Export'!$BA:$BG,6,FALSE)</f>
        <v>5100</v>
      </c>
      <c r="W23">
        <f>LARGE('Fanduel Export'!$BA:$BA,R23)</f>
        <v>6.8027399371706432</v>
      </c>
    </row>
    <row r="24" spans="1:23" x14ac:dyDescent="0.2">
      <c r="A24">
        <f t="shared" si="0"/>
        <v>0</v>
      </c>
      <c r="B24">
        <f>IF(C24=0,0,A24&amp;" "&amp;COUNTIF($A$1:A24,A24))</f>
        <v>0</v>
      </c>
      <c r="C24">
        <v>0</v>
      </c>
      <c r="D24" t="s">
        <v>2448</v>
      </c>
      <c r="E24">
        <v>6000</v>
      </c>
      <c r="F24" t="s">
        <v>83</v>
      </c>
      <c r="G24" s="16">
        <v>5.1695488314015821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 t="str">
        <f t="shared" si="2"/>
        <v>Y</v>
      </c>
      <c r="R24">
        <f t="shared" si="3"/>
        <v>23</v>
      </c>
      <c r="T24">
        <f>VLOOKUP($W24,'Fanduel Export'!$BA:$BG,4,FALSE)</f>
        <v>1</v>
      </c>
      <c r="U24" t="str">
        <f>VLOOKUP($W24,'Fanduel Export'!$BA:$BG,5,FALSE)</f>
        <v>Pat Freiermuth</v>
      </c>
      <c r="V24">
        <f>VLOOKUP($W24,'Fanduel Export'!$BA:$BG,6,FALSE)</f>
        <v>5400</v>
      </c>
      <c r="W24">
        <f>LARGE('Fanduel Export'!$BA:$BA,R24)</f>
        <v>6.4493891193561961</v>
      </c>
    </row>
    <row r="25" spans="1:23" x14ac:dyDescent="0.2">
      <c r="A25" t="str">
        <f t="shared" si="0"/>
        <v>TE</v>
      </c>
      <c r="B25" t="str">
        <f>IF(C25=0,0,A25&amp;" "&amp;COUNTIF($A$1:A25,A25))</f>
        <v>TE 1</v>
      </c>
      <c r="C25">
        <v>1</v>
      </c>
      <c r="D25" t="s">
        <v>238</v>
      </c>
      <c r="E25">
        <v>5900</v>
      </c>
      <c r="F25" t="s">
        <v>88</v>
      </c>
      <c r="G25" s="16">
        <v>10.238396049714767</v>
      </c>
      <c r="J25">
        <f t="shared" si="1"/>
        <v>0</v>
      </c>
      <c r="K25">
        <f t="shared" si="1"/>
        <v>0</v>
      </c>
      <c r="L25">
        <f t="shared" si="1"/>
        <v>0</v>
      </c>
      <c r="M25">
        <f t="shared" si="1"/>
        <v>1</v>
      </c>
      <c r="N25" t="str">
        <f t="shared" si="2"/>
        <v>N</v>
      </c>
      <c r="R25">
        <f t="shared" si="3"/>
        <v>24</v>
      </c>
      <c r="T25">
        <f>VLOOKUP($W25,'Fanduel Export'!$BA:$BG,4,FALSE)</f>
        <v>1</v>
      </c>
      <c r="U25" t="str">
        <f>VLOOKUP($W25,'Fanduel Export'!$BA:$BG,5,FALSE)</f>
        <v>Mecole Hardman</v>
      </c>
      <c r="V25">
        <f>VLOOKUP($W25,'Fanduel Export'!$BA:$BG,6,FALSE)</f>
        <v>5700</v>
      </c>
      <c r="W25">
        <f>LARGE('Fanduel Export'!$BA:$BA,R25)</f>
        <v>6.4179690392441175</v>
      </c>
    </row>
    <row r="26" spans="1:23" x14ac:dyDescent="0.2">
      <c r="A26">
        <f t="shared" si="0"/>
        <v>0</v>
      </c>
      <c r="B26">
        <f>IF(C26=0,0,A26&amp;" "&amp;COUNTIF($A$1:A26,A26))</f>
        <v>0</v>
      </c>
      <c r="C26">
        <v>0</v>
      </c>
      <c r="D26" t="s">
        <v>160</v>
      </c>
      <c r="E26">
        <v>5900</v>
      </c>
      <c r="F26" t="s">
        <v>68</v>
      </c>
      <c r="G26" s="16">
        <v>4.5596789789339569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N26" t="str">
        <f t="shared" si="2"/>
        <v>N</v>
      </c>
      <c r="R26">
        <f t="shared" si="3"/>
        <v>25</v>
      </c>
      <c r="T26">
        <f>VLOOKUP($W26,'Fanduel Export'!$BA:$BG,4,FALSE)</f>
        <v>1</v>
      </c>
      <c r="U26" t="str">
        <f>VLOOKUP($W26,'Fanduel Export'!$BA:$BG,5,FALSE)</f>
        <v>JuJu Smith-Schuster</v>
      </c>
      <c r="V26">
        <f>VLOOKUP($W26,'Fanduel Export'!$BA:$BG,6,FALSE)</f>
        <v>4500</v>
      </c>
      <c r="W26">
        <f>LARGE('Fanduel Export'!$BA:$BA,R26)</f>
        <v>6.1001271387383289</v>
      </c>
    </row>
    <row r="27" spans="1:23" x14ac:dyDescent="0.2">
      <c r="A27">
        <f t="shared" si="0"/>
        <v>0</v>
      </c>
      <c r="B27">
        <f>IF(C27=0,0,A27&amp;" "&amp;COUNTIF($A$1:A27,A27))</f>
        <v>0</v>
      </c>
      <c r="C27">
        <v>0</v>
      </c>
      <c r="D27" t="s">
        <v>222</v>
      </c>
      <c r="E27">
        <v>5900</v>
      </c>
      <c r="F27" t="s">
        <v>83</v>
      </c>
      <c r="G27" s="16">
        <v>8.9489747929330559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N27" t="str">
        <f t="shared" si="2"/>
        <v>N</v>
      </c>
      <c r="R27">
        <f t="shared" si="3"/>
        <v>26</v>
      </c>
      <c r="T27">
        <f>VLOOKUP($W27,'Fanduel Export'!$BA:$BG,4,FALSE)</f>
        <v>1</v>
      </c>
      <c r="U27" t="str">
        <f>VLOOKUP($W27,'Fanduel Export'!$BA:$BG,5,FALSE)</f>
        <v>Cedrick Wilson</v>
      </c>
      <c r="V27">
        <f>VLOOKUP($W27,'Fanduel Export'!$BA:$BG,6,FALSE)</f>
        <v>6000</v>
      </c>
      <c r="W27">
        <f>LARGE('Fanduel Export'!$BA:$BA,R27)</f>
        <v>6.0869814241905589</v>
      </c>
    </row>
    <row r="28" spans="1:23" x14ac:dyDescent="0.2">
      <c r="A28">
        <f t="shared" si="0"/>
        <v>0</v>
      </c>
      <c r="B28">
        <f>IF(C28=0,0,A28&amp;" "&amp;COUNTIF($A$1:A28,A28))</f>
        <v>0</v>
      </c>
      <c r="C28">
        <v>0</v>
      </c>
      <c r="D28" t="s">
        <v>404</v>
      </c>
      <c r="E28">
        <v>5900</v>
      </c>
      <c r="F28" t="s">
        <v>68</v>
      </c>
      <c r="G28" s="16">
        <v>1.7429240144000739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N28" t="str">
        <f t="shared" si="2"/>
        <v>N</v>
      </c>
      <c r="R28">
        <f t="shared" si="3"/>
        <v>27</v>
      </c>
      <c r="T28">
        <f>VLOOKUP($W28,'Fanduel Export'!$BA:$BG,4,FALSE)</f>
        <v>1</v>
      </c>
      <c r="U28" t="str">
        <f>VLOOKUP($W28,'Fanduel Export'!$BA:$BG,5,FALSE)</f>
        <v>Byron Pringle</v>
      </c>
      <c r="V28">
        <f>VLOOKUP($W28,'Fanduel Export'!$BA:$BG,6,FALSE)</f>
        <v>5400</v>
      </c>
      <c r="W28">
        <f>LARGE('Fanduel Export'!$BA:$BA,R28)</f>
        <v>4.8091388692818064</v>
      </c>
    </row>
    <row r="29" spans="1:23" x14ac:dyDescent="0.2">
      <c r="A29">
        <f t="shared" si="0"/>
        <v>0</v>
      </c>
      <c r="B29">
        <f>IF(C29=0,0,A29&amp;" "&amp;COUNTIF($A$1:A29,A29))</f>
        <v>0</v>
      </c>
      <c r="C29">
        <v>0</v>
      </c>
      <c r="D29" t="s">
        <v>275</v>
      </c>
      <c r="E29">
        <v>5700</v>
      </c>
      <c r="F29" t="s">
        <v>83</v>
      </c>
      <c r="G29" s="16">
        <v>5.8817987150779496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N29" t="str">
        <f t="shared" si="2"/>
        <v>N</v>
      </c>
      <c r="R29">
        <f t="shared" si="3"/>
        <v>28</v>
      </c>
      <c r="T29">
        <f>VLOOKUP($W29,'Fanduel Export'!$BA:$BG,4,FALSE)</f>
        <v>1</v>
      </c>
      <c r="U29" t="str">
        <f>VLOOKUP($W29,'Fanduel Export'!$BA:$BG,5,FALSE)</f>
        <v>Miles Sanders</v>
      </c>
      <c r="V29">
        <f>VLOOKUP($W29,'Fanduel Export'!$BA:$BG,6,FALSE)</f>
        <v>5900</v>
      </c>
      <c r="W29">
        <f>LARGE('Fanduel Export'!$BA:$BA,R29)</f>
        <v>4.484861355464707</v>
      </c>
    </row>
    <row r="30" spans="1:23" x14ac:dyDescent="0.2">
      <c r="A30">
        <f t="shared" si="0"/>
        <v>0</v>
      </c>
      <c r="B30">
        <f>IF(C30=0,0,A30&amp;" "&amp;COUNTIF($A$1:A30,A30))</f>
        <v>0</v>
      </c>
      <c r="C30">
        <v>0</v>
      </c>
      <c r="D30" t="s">
        <v>1525</v>
      </c>
      <c r="E30">
        <v>5700</v>
      </c>
      <c r="F30" t="s">
        <v>68</v>
      </c>
      <c r="G30" s="16">
        <v>8.6752005930154112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N30" t="str">
        <f t="shared" si="2"/>
        <v>N</v>
      </c>
      <c r="R30">
        <f t="shared" si="3"/>
        <v>29</v>
      </c>
      <c r="T30">
        <f>VLOOKUP($W30,'Fanduel Export'!$BA:$BG,4,FALSE)</f>
        <v>1</v>
      </c>
      <c r="U30" t="str">
        <f>VLOOKUP($W30,'Fanduel Export'!$BA:$BG,5,FALSE)</f>
        <v>Derrick Gore</v>
      </c>
      <c r="V30">
        <f>VLOOKUP($W30,'Fanduel Export'!$BA:$BG,6,FALSE)</f>
        <v>5400</v>
      </c>
      <c r="W30">
        <f>LARGE('Fanduel Export'!$BA:$BA,R30)</f>
        <v>4.2014127460099218</v>
      </c>
    </row>
    <row r="31" spans="1:23" x14ac:dyDescent="0.2">
      <c r="A31">
        <f t="shared" si="0"/>
        <v>0</v>
      </c>
      <c r="B31">
        <f>IF(C31=0,0,A31&amp;" "&amp;COUNTIF($A$1:A31,A31))</f>
        <v>0</v>
      </c>
      <c r="C31">
        <v>0</v>
      </c>
      <c r="D31" t="s">
        <v>2411</v>
      </c>
      <c r="E31">
        <v>5400</v>
      </c>
      <c r="F31" t="s">
        <v>68</v>
      </c>
      <c r="G31" s="16">
        <v>4.5903329348970114</v>
      </c>
      <c r="J31">
        <f t="shared" si="1"/>
        <v>0</v>
      </c>
      <c r="K31">
        <f t="shared" si="1"/>
        <v>0</v>
      </c>
      <c r="L31">
        <f t="shared" si="1"/>
        <v>0</v>
      </c>
      <c r="M31">
        <f t="shared" si="1"/>
        <v>0</v>
      </c>
      <c r="N31" t="str">
        <f t="shared" si="2"/>
        <v>N</v>
      </c>
      <c r="R31">
        <f t="shared" si="3"/>
        <v>30</v>
      </c>
      <c r="T31">
        <f>VLOOKUP($W31,'Fanduel Export'!$BA:$BG,4,FALSE)</f>
        <v>1</v>
      </c>
      <c r="U31" t="str">
        <f>VLOOKUP($W31,'Fanduel Export'!$BA:$BG,5,FALSE)</f>
        <v>Ray-Ray McCloud III</v>
      </c>
      <c r="V31">
        <f>VLOOKUP($W31,'Fanduel Export'!$BA:$BG,6,FALSE)</f>
        <v>4900</v>
      </c>
      <c r="W31">
        <f>LARGE('Fanduel Export'!$BA:$BA,R31)</f>
        <v>4.1832332592337407</v>
      </c>
    </row>
    <row r="32" spans="1:23" x14ac:dyDescent="0.2">
      <c r="A32">
        <f t="shared" si="0"/>
        <v>0</v>
      </c>
      <c r="B32">
        <f>IF(C32=0,0,A32&amp;" "&amp;COUNTIF($A$1:A32,A32))</f>
        <v>0</v>
      </c>
      <c r="C32">
        <v>0</v>
      </c>
      <c r="D32" t="s">
        <v>1804</v>
      </c>
      <c r="E32">
        <v>5400</v>
      </c>
      <c r="F32" t="s">
        <v>68</v>
      </c>
      <c r="G32" s="16">
        <v>3.5466352542676374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N32" t="str">
        <f t="shared" si="2"/>
        <v>N</v>
      </c>
      <c r="R32">
        <f t="shared" si="3"/>
        <v>31</v>
      </c>
      <c r="T32">
        <f>VLOOKUP($W32,'Fanduel Export'!$BA:$BG,4,FALSE)</f>
        <v>1</v>
      </c>
      <c r="U32" t="str">
        <f>VLOOKUP($W32,'Fanduel Export'!$BA:$BG,5,FALSE)</f>
        <v>James Washington</v>
      </c>
      <c r="V32">
        <f>VLOOKUP($W32,'Fanduel Export'!$BA:$BG,6,FALSE)</f>
        <v>4800</v>
      </c>
      <c r="W32">
        <f>LARGE('Fanduel Export'!$BA:$BA,R32)</f>
        <v>3.9874797457784457</v>
      </c>
    </row>
    <row r="33" spans="1:23" x14ac:dyDescent="0.2">
      <c r="A33">
        <f t="shared" si="0"/>
        <v>0</v>
      </c>
      <c r="B33">
        <f>IF(C33=0,0,A33&amp;" "&amp;COUNTIF($A$1:A33,A33))</f>
        <v>0</v>
      </c>
      <c r="C33">
        <v>0</v>
      </c>
      <c r="D33" t="s">
        <v>386</v>
      </c>
      <c r="E33">
        <v>5400</v>
      </c>
      <c r="F33" t="s">
        <v>83</v>
      </c>
      <c r="G33" s="16">
        <v>4.3175459202045676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N33" t="str">
        <f t="shared" si="2"/>
        <v>N</v>
      </c>
      <c r="R33">
        <f t="shared" si="3"/>
        <v>32</v>
      </c>
      <c r="T33">
        <f>VLOOKUP($W33,'Fanduel Export'!$BA:$BG,4,FALSE)</f>
        <v>1</v>
      </c>
      <c r="U33" t="str">
        <f>VLOOKUP($W33,'Fanduel Export'!$BA:$BG,5,FALSE)</f>
        <v>Breshad Perriman</v>
      </c>
      <c r="V33">
        <f>VLOOKUP($W33,'Fanduel Export'!$BA:$BG,6,FALSE)</f>
        <v>5200</v>
      </c>
      <c r="W33">
        <f>LARGE('Fanduel Export'!$BA:$BA,R33)</f>
        <v>3.8578355051331887</v>
      </c>
    </row>
    <row r="34" spans="1:23" x14ac:dyDescent="0.2">
      <c r="A34">
        <f t="shared" si="0"/>
        <v>0</v>
      </c>
      <c r="B34">
        <f>IF(C34=0,0,A34&amp;" "&amp;COUNTIF($A$1:A34,A34))</f>
        <v>0</v>
      </c>
      <c r="C34">
        <v>0</v>
      </c>
      <c r="D34" t="s">
        <v>613</v>
      </c>
      <c r="E34">
        <v>5400</v>
      </c>
      <c r="F34" t="s">
        <v>88</v>
      </c>
      <c r="G34" s="16">
        <v>5.2930236869765661</v>
      </c>
      <c r="J34">
        <f t="shared" si="1"/>
        <v>0</v>
      </c>
      <c r="K34">
        <f t="shared" si="1"/>
        <v>0</v>
      </c>
      <c r="L34">
        <f t="shared" si="1"/>
        <v>0</v>
      </c>
      <c r="M34">
        <f t="shared" si="1"/>
        <v>0</v>
      </c>
      <c r="N34" t="str">
        <f t="shared" si="2"/>
        <v>N</v>
      </c>
      <c r="R34">
        <f t="shared" si="3"/>
        <v>33</v>
      </c>
      <c r="T34">
        <f>VLOOKUP($W34,'Fanduel Export'!$BA:$BG,4,FALSE)</f>
        <v>1</v>
      </c>
      <c r="U34" t="str">
        <f>VLOOKUP($W34,'Fanduel Export'!$BA:$BG,5,FALSE)</f>
        <v>Kenneth Gainwell</v>
      </c>
      <c r="V34">
        <f>VLOOKUP($W34,'Fanduel Export'!$BA:$BG,6,FALSE)</f>
        <v>5000</v>
      </c>
      <c r="W34">
        <f>LARGE('Fanduel Export'!$BA:$BA,R34)</f>
        <v>3.7765445657309247</v>
      </c>
    </row>
    <row r="35" spans="1:23" x14ac:dyDescent="0.2">
      <c r="A35">
        <f t="shared" si="0"/>
        <v>0</v>
      </c>
      <c r="B35">
        <f>IF(C35=0,0,A35&amp;" "&amp;COUNTIF($A$1:A35,A35))</f>
        <v>0</v>
      </c>
      <c r="C35">
        <v>0</v>
      </c>
      <c r="D35" t="s">
        <v>439</v>
      </c>
      <c r="E35">
        <v>5200</v>
      </c>
      <c r="F35" t="s">
        <v>83</v>
      </c>
      <c r="G35" s="16">
        <v>2.8799652388536736</v>
      </c>
      <c r="J35">
        <f t="shared" si="1"/>
        <v>0</v>
      </c>
      <c r="K35">
        <f t="shared" si="1"/>
        <v>0</v>
      </c>
      <c r="L35">
        <f t="shared" si="1"/>
        <v>0</v>
      </c>
      <c r="M35">
        <f t="shared" si="1"/>
        <v>0</v>
      </c>
      <c r="N35" t="str">
        <f t="shared" si="2"/>
        <v>N</v>
      </c>
      <c r="R35">
        <f t="shared" si="3"/>
        <v>34</v>
      </c>
      <c r="T35">
        <f>VLOOKUP($W35,'Fanduel Export'!$BA:$BG,4,FALSE)</f>
        <v>1</v>
      </c>
      <c r="U35" t="str">
        <f>VLOOKUP($W35,'Fanduel Export'!$BA:$BG,5,FALSE)</f>
        <v>Jeff Wilson Jr.</v>
      </c>
      <c r="V35">
        <f>VLOOKUP($W35,'Fanduel Export'!$BA:$BG,6,FALSE)</f>
        <v>4700</v>
      </c>
      <c r="W35">
        <f>LARGE('Fanduel Export'!$BA:$BA,R35)</f>
        <v>3.7718770882944934</v>
      </c>
    </row>
    <row r="36" spans="1:23" x14ac:dyDescent="0.2">
      <c r="A36">
        <f t="shared" si="0"/>
        <v>0</v>
      </c>
      <c r="B36">
        <f>IF(C36=0,0,A36&amp;" "&amp;COUNTIF($A$1:A36,A36))</f>
        <v>0</v>
      </c>
      <c r="C36">
        <v>0</v>
      </c>
      <c r="D36" t="s">
        <v>526</v>
      </c>
      <c r="E36">
        <v>5200</v>
      </c>
      <c r="F36" t="s">
        <v>68</v>
      </c>
      <c r="G36" s="16">
        <v>1.9094272627591642</v>
      </c>
      <c r="J36">
        <f t="shared" si="1"/>
        <v>0</v>
      </c>
      <c r="K36">
        <f t="shared" si="1"/>
        <v>0</v>
      </c>
      <c r="L36">
        <f t="shared" si="1"/>
        <v>0</v>
      </c>
      <c r="M36">
        <f t="shared" si="1"/>
        <v>0</v>
      </c>
      <c r="N36" t="str">
        <f t="shared" si="2"/>
        <v>N</v>
      </c>
      <c r="R36">
        <f t="shared" si="3"/>
        <v>35</v>
      </c>
      <c r="T36">
        <f>VLOOKUP($W36,'Fanduel Export'!$BA:$BG,4,FALSE)</f>
        <v>1</v>
      </c>
      <c r="U36" t="str">
        <f>VLOOKUP($W36,'Fanduel Export'!$BA:$BG,5,FALSE)</f>
        <v>Ke'Shawn Vaughn</v>
      </c>
      <c r="V36">
        <f>VLOOKUP($W36,'Fanduel Export'!$BA:$BG,6,FALSE)</f>
        <v>5400</v>
      </c>
      <c r="W36">
        <f>LARGE('Fanduel Export'!$BA:$BA,R36)</f>
        <v>3.6119699667039336</v>
      </c>
    </row>
    <row r="37" spans="1:23" x14ac:dyDescent="0.2">
      <c r="A37">
        <f t="shared" si="0"/>
        <v>0</v>
      </c>
      <c r="B37">
        <f>IF(C37=0,0,A37&amp;" "&amp;COUNTIF($A$1:A37,A37))</f>
        <v>0</v>
      </c>
      <c r="C37">
        <v>0</v>
      </c>
      <c r="D37" t="s">
        <v>378</v>
      </c>
      <c r="E37">
        <v>5200</v>
      </c>
      <c r="F37" t="s">
        <v>68</v>
      </c>
      <c r="G37" s="16">
        <v>1.9506589549565279</v>
      </c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N37" t="str">
        <f t="shared" si="2"/>
        <v>N</v>
      </c>
      <c r="R37">
        <f t="shared" si="3"/>
        <v>36</v>
      </c>
      <c r="T37">
        <f>VLOOKUP($W37,'Fanduel Export'!$BA:$BG,4,FALSE)</f>
        <v>1</v>
      </c>
      <c r="U37" t="str">
        <f>VLOOKUP($W37,'Fanduel Export'!$BA:$BG,5,FALSE)</f>
        <v>Jalen Reagor</v>
      </c>
      <c r="V37">
        <f>VLOOKUP($W37,'Fanduel Export'!$BA:$BG,6,FALSE)</f>
        <v>4900</v>
      </c>
      <c r="W37">
        <f>LARGE('Fanduel Export'!$BA:$BA,R37)</f>
        <v>3.5912471354730862</v>
      </c>
    </row>
    <row r="38" spans="1:23" x14ac:dyDescent="0.2">
      <c r="A38">
        <f t="shared" si="0"/>
        <v>0</v>
      </c>
      <c r="B38">
        <f>IF(C38=0,0,A38&amp;" "&amp;COUNTIF($A$1:A38,A38))</f>
        <v>0</v>
      </c>
      <c r="C38">
        <v>0</v>
      </c>
      <c r="D38" t="s">
        <v>897</v>
      </c>
      <c r="E38">
        <v>5200</v>
      </c>
      <c r="F38" t="s">
        <v>83</v>
      </c>
      <c r="G38" s="16">
        <v>1.6612498034640777</v>
      </c>
      <c r="J38">
        <f t="shared" si="1"/>
        <v>0</v>
      </c>
      <c r="K38">
        <f t="shared" si="1"/>
        <v>0</v>
      </c>
      <c r="L38">
        <f t="shared" si="1"/>
        <v>0</v>
      </c>
      <c r="M38">
        <f t="shared" si="1"/>
        <v>0</v>
      </c>
      <c r="N38" t="str">
        <f t="shared" si="2"/>
        <v>N</v>
      </c>
      <c r="R38">
        <f t="shared" si="3"/>
        <v>37</v>
      </c>
      <c r="T38">
        <f>VLOOKUP($W38,'Fanduel Export'!$BA:$BG,4,FALSE)</f>
        <v>1</v>
      </c>
      <c r="U38" t="str">
        <f>VLOOKUP($W38,'Fanduel Export'!$BA:$BG,5,FALSE)</f>
        <v>Le'Veon Bell</v>
      </c>
      <c r="V38">
        <f>VLOOKUP($W38,'Fanduel Export'!$BA:$BG,6,FALSE)</f>
        <v>5000</v>
      </c>
      <c r="W38">
        <f>LARGE('Fanduel Export'!$BA:$BA,R38)</f>
        <v>3.4337036275150248</v>
      </c>
    </row>
    <row r="39" spans="1:23" x14ac:dyDescent="0.2">
      <c r="A39">
        <f t="shared" si="0"/>
        <v>0</v>
      </c>
      <c r="B39">
        <f>IF(C39=0,0,A39&amp;" "&amp;COUNTIF($A$1:A39,A39))</f>
        <v>0</v>
      </c>
      <c r="C39">
        <v>0</v>
      </c>
      <c r="D39" t="s">
        <v>2060</v>
      </c>
      <c r="E39">
        <v>5200</v>
      </c>
      <c r="F39" t="s">
        <v>83</v>
      </c>
      <c r="G39" s="16">
        <v>3.2314954331438961</v>
      </c>
      <c r="J39">
        <f t="shared" si="1"/>
        <v>0</v>
      </c>
      <c r="K39">
        <f t="shared" si="1"/>
        <v>0</v>
      </c>
      <c r="L39">
        <f t="shared" si="1"/>
        <v>0</v>
      </c>
      <c r="M39">
        <f t="shared" si="1"/>
        <v>0</v>
      </c>
      <c r="N39" t="str">
        <f t="shared" si="2"/>
        <v>N</v>
      </c>
      <c r="R39">
        <f t="shared" si="3"/>
        <v>38</v>
      </c>
      <c r="T39">
        <f>VLOOKUP($W39,'Fanduel Export'!$BA:$BG,4,FALSE)</f>
        <v>1</v>
      </c>
      <c r="U39" t="str">
        <f>VLOOKUP($W39,'Fanduel Export'!$BA:$BG,5,FALSE)</f>
        <v>Tyler Johnson</v>
      </c>
      <c r="V39">
        <f>VLOOKUP($W39,'Fanduel Export'!$BA:$BG,6,FALSE)</f>
        <v>5100</v>
      </c>
      <c r="W39">
        <f>LARGE('Fanduel Export'!$BA:$BA,R39)</f>
        <v>3.3751487941786005</v>
      </c>
    </row>
    <row r="40" spans="1:23" x14ac:dyDescent="0.2">
      <c r="A40">
        <f t="shared" si="0"/>
        <v>0</v>
      </c>
      <c r="B40">
        <f>IF(C40=0,0,A40&amp;" "&amp;COUNTIF($A$1:A40,A40))</f>
        <v>0</v>
      </c>
      <c r="C40">
        <v>0</v>
      </c>
      <c r="D40" t="s">
        <v>2126</v>
      </c>
      <c r="E40">
        <v>5100</v>
      </c>
      <c r="F40" t="s">
        <v>83</v>
      </c>
      <c r="G40" s="16">
        <v>2.8987593863467485</v>
      </c>
      <c r="J40">
        <f t="shared" si="1"/>
        <v>0</v>
      </c>
      <c r="K40">
        <f t="shared" si="1"/>
        <v>0</v>
      </c>
      <c r="L40">
        <f t="shared" si="1"/>
        <v>0</v>
      </c>
      <c r="M40">
        <f t="shared" si="1"/>
        <v>0</v>
      </c>
      <c r="N40" t="str">
        <f t="shared" si="2"/>
        <v>N</v>
      </c>
      <c r="R40">
        <f t="shared" si="3"/>
        <v>39</v>
      </c>
      <c r="T40">
        <f>VLOOKUP($W40,'Fanduel Export'!$BA:$BG,4,FALSE)</f>
        <v>1</v>
      </c>
      <c r="U40" t="str">
        <f>VLOOKUP($W40,'Fanduel Export'!$BA:$BG,5,FALSE)</f>
        <v>JaMycal Hasty</v>
      </c>
      <c r="V40">
        <f>VLOOKUP($W40,'Fanduel Export'!$BA:$BG,6,FALSE)</f>
        <v>4800</v>
      </c>
      <c r="W40">
        <f>LARGE('Fanduel Export'!$BA:$BA,R40)</f>
        <v>3.3011483678169973</v>
      </c>
    </row>
    <row r="41" spans="1:23" x14ac:dyDescent="0.2">
      <c r="A41">
        <f t="shared" si="0"/>
        <v>0</v>
      </c>
      <c r="B41">
        <f>IF(C41=0,0,A41&amp;" "&amp;COUNTIF($A$1:A41,A41))</f>
        <v>0</v>
      </c>
      <c r="C41">
        <v>0</v>
      </c>
      <c r="D41" t="s">
        <v>429</v>
      </c>
      <c r="E41">
        <v>5100</v>
      </c>
      <c r="F41" t="s">
        <v>83</v>
      </c>
      <c r="G41" s="16">
        <v>7.0175194066654862</v>
      </c>
      <c r="J41">
        <f t="shared" si="1"/>
        <v>0</v>
      </c>
      <c r="K41">
        <f t="shared" si="1"/>
        <v>0</v>
      </c>
      <c r="L41">
        <f t="shared" si="1"/>
        <v>0</v>
      </c>
      <c r="M41">
        <f t="shared" si="1"/>
        <v>0</v>
      </c>
      <c r="N41" t="str">
        <f t="shared" si="2"/>
        <v>N</v>
      </c>
      <c r="R41">
        <f t="shared" si="3"/>
        <v>40</v>
      </c>
      <c r="T41">
        <f>VLOOKUP($W41,'Fanduel Export'!$BA:$BG,4,FALSE)</f>
        <v>1</v>
      </c>
      <c r="U41" t="str">
        <f>VLOOKUP($W41,'Fanduel Export'!$BA:$BG,5,FALSE)</f>
        <v>Giovani Bernard</v>
      </c>
      <c r="V41">
        <f>VLOOKUP($W41,'Fanduel Export'!$BA:$BG,6,FALSE)</f>
        <v>4700</v>
      </c>
      <c r="W41">
        <f>LARGE('Fanduel Export'!$BA:$BA,R41)</f>
        <v>3.110390419852322</v>
      </c>
    </row>
    <row r="42" spans="1:23" x14ac:dyDescent="0.2">
      <c r="A42">
        <f t="shared" si="0"/>
        <v>0</v>
      </c>
      <c r="B42">
        <f>IF(C42=0,0,A42&amp;" "&amp;COUNTIF($A$1:A42,A42))</f>
        <v>0</v>
      </c>
      <c r="C42">
        <v>0</v>
      </c>
      <c r="D42" t="s">
        <v>1741</v>
      </c>
      <c r="E42">
        <v>5000</v>
      </c>
      <c r="F42" t="s">
        <v>68</v>
      </c>
      <c r="G42" s="16">
        <v>3.3353219026683334</v>
      </c>
      <c r="J42">
        <f t="shared" si="1"/>
        <v>0</v>
      </c>
      <c r="K42">
        <f t="shared" si="1"/>
        <v>0</v>
      </c>
      <c r="L42">
        <f t="shared" si="1"/>
        <v>0</v>
      </c>
      <c r="M42">
        <f t="shared" si="1"/>
        <v>0</v>
      </c>
      <c r="N42" t="str">
        <f t="shared" si="2"/>
        <v>N</v>
      </c>
      <c r="R42">
        <f t="shared" si="3"/>
        <v>41</v>
      </c>
      <c r="T42">
        <f>VLOOKUP($W42,'Fanduel Export'!$BA:$BG,4,FALSE)</f>
        <v>1</v>
      </c>
      <c r="U42" t="str">
        <f>VLOOKUP($W42,'Fanduel Export'!$BA:$BG,5,FALSE)</f>
        <v>Jauan Jennings</v>
      </c>
      <c r="V42">
        <f>VLOOKUP($W42,'Fanduel Export'!$BA:$BG,6,FALSE)</f>
        <v>5200</v>
      </c>
      <c r="W42">
        <f>LARGE('Fanduel Export'!$BA:$BA,R42)</f>
        <v>2.8441125139636716</v>
      </c>
    </row>
    <row r="43" spans="1:23" x14ac:dyDescent="0.2">
      <c r="A43">
        <f t="shared" si="0"/>
        <v>0</v>
      </c>
      <c r="B43">
        <f>IF(C43=0,0,A43&amp;" "&amp;COUNTIF($A$1:A43,A43))</f>
        <v>0</v>
      </c>
      <c r="C43">
        <v>0</v>
      </c>
      <c r="D43" t="s">
        <v>373</v>
      </c>
      <c r="E43">
        <v>5000</v>
      </c>
      <c r="F43" t="s">
        <v>68</v>
      </c>
      <c r="G43" s="16">
        <v>3.8664460070465134</v>
      </c>
      <c r="J43">
        <f t="shared" si="1"/>
        <v>0</v>
      </c>
      <c r="K43">
        <f t="shared" si="1"/>
        <v>0</v>
      </c>
      <c r="L43">
        <f t="shared" si="1"/>
        <v>0</v>
      </c>
      <c r="M43">
        <f t="shared" si="1"/>
        <v>0</v>
      </c>
      <c r="N43" t="str">
        <f t="shared" si="2"/>
        <v>N</v>
      </c>
      <c r="R43">
        <f t="shared" si="3"/>
        <v>42</v>
      </c>
      <c r="T43">
        <f>VLOOKUP($W43,'Fanduel Export'!$BA:$BG,4,FALSE)</f>
        <v>1</v>
      </c>
      <c r="U43" t="str">
        <f>VLOOKUP($W43,'Fanduel Export'!$BA:$BG,5,FALSE)</f>
        <v>Benny Snell Jr.</v>
      </c>
      <c r="V43">
        <f>VLOOKUP($W43,'Fanduel Export'!$BA:$BG,6,FALSE)</f>
        <v>4900</v>
      </c>
      <c r="W43">
        <f>LARGE('Fanduel Export'!$BA:$BA,R43)</f>
        <v>2.738893127142028</v>
      </c>
    </row>
    <row r="44" spans="1:23" x14ac:dyDescent="0.2">
      <c r="A44">
        <f t="shared" si="0"/>
        <v>0</v>
      </c>
      <c r="B44">
        <f>IF(C44=0,0,A44&amp;" "&amp;COUNTIF($A$1:A44,A44))</f>
        <v>0</v>
      </c>
      <c r="C44">
        <v>0</v>
      </c>
      <c r="D44" t="s">
        <v>343</v>
      </c>
      <c r="E44">
        <v>5000</v>
      </c>
      <c r="F44" t="s">
        <v>83</v>
      </c>
      <c r="G44" s="16">
        <v>2.1758527202533022</v>
      </c>
      <c r="J44">
        <f t="shared" si="1"/>
        <v>0</v>
      </c>
      <c r="K44">
        <f t="shared" si="1"/>
        <v>0</v>
      </c>
      <c r="L44">
        <f t="shared" si="1"/>
        <v>0</v>
      </c>
      <c r="M44">
        <f t="shared" si="1"/>
        <v>0</v>
      </c>
      <c r="N44" t="str">
        <f t="shared" si="2"/>
        <v>N</v>
      </c>
      <c r="R44">
        <f t="shared" si="3"/>
        <v>43</v>
      </c>
      <c r="T44">
        <f>VLOOKUP($W44,'Fanduel Export'!$BA:$BG,4,FALSE)</f>
        <v>1</v>
      </c>
      <c r="U44" t="str">
        <f>VLOOKUP($W44,'Fanduel Export'!$BA:$BG,5,FALSE)</f>
        <v>Cameron Brate</v>
      </c>
      <c r="V44">
        <f>VLOOKUP($W44,'Fanduel Export'!$BA:$BG,6,FALSE)</f>
        <v>4600</v>
      </c>
      <c r="W44">
        <f>LARGE('Fanduel Export'!$BA:$BA,R44)</f>
        <v>2.4651752054338081</v>
      </c>
    </row>
    <row r="45" spans="1:23" x14ac:dyDescent="0.2">
      <c r="A45">
        <f t="shared" si="0"/>
        <v>0</v>
      </c>
      <c r="B45">
        <f>IF(C45=0,0,A45&amp;" "&amp;COUNTIF($A$1:A45,A45))</f>
        <v>0</v>
      </c>
      <c r="C45">
        <v>0</v>
      </c>
      <c r="D45" t="s">
        <v>2546</v>
      </c>
      <c r="E45">
        <v>4900</v>
      </c>
      <c r="F45" t="s">
        <v>83</v>
      </c>
      <c r="G45" s="16">
        <v>3.2176531872703085</v>
      </c>
      <c r="J45">
        <f t="shared" si="1"/>
        <v>0</v>
      </c>
      <c r="K45">
        <f t="shared" si="1"/>
        <v>0</v>
      </c>
      <c r="L45">
        <f t="shared" si="1"/>
        <v>0</v>
      </c>
      <c r="M45">
        <f t="shared" si="1"/>
        <v>0</v>
      </c>
      <c r="N45" t="str">
        <f t="shared" si="2"/>
        <v>N</v>
      </c>
      <c r="R45">
        <f t="shared" si="3"/>
        <v>44</v>
      </c>
      <c r="T45">
        <f>VLOOKUP($W45,'Fanduel Export'!$BA:$BG,4,FALSE)</f>
        <v>1</v>
      </c>
      <c r="U45" t="str">
        <f>VLOOKUP($W45,'Fanduel Export'!$BA:$BG,5,FALSE)</f>
        <v>Demarcus Robinson</v>
      </c>
      <c r="V45">
        <f>VLOOKUP($W45,'Fanduel Export'!$BA:$BG,6,FALSE)</f>
        <v>5000</v>
      </c>
      <c r="W45">
        <f>LARGE('Fanduel Export'!$BA:$BA,R45)</f>
        <v>2.4056095659419583</v>
      </c>
    </row>
    <row r="46" spans="1:23" x14ac:dyDescent="0.2">
      <c r="A46">
        <f t="shared" si="0"/>
        <v>0</v>
      </c>
      <c r="B46">
        <f>IF(C46=0,0,A46&amp;" "&amp;COUNTIF($A$1:A46,A46))</f>
        <v>0</v>
      </c>
      <c r="C46">
        <v>0</v>
      </c>
      <c r="D46" t="s">
        <v>358</v>
      </c>
      <c r="E46">
        <v>4900</v>
      </c>
      <c r="F46" t="s">
        <v>68</v>
      </c>
      <c r="G46" s="16">
        <v>0.74292262046430213</v>
      </c>
      <c r="J46">
        <f t="shared" si="1"/>
        <v>0</v>
      </c>
      <c r="K46">
        <f t="shared" si="1"/>
        <v>0</v>
      </c>
      <c r="L46">
        <f t="shared" si="1"/>
        <v>0</v>
      </c>
      <c r="M46">
        <f t="shared" si="1"/>
        <v>0</v>
      </c>
      <c r="N46" t="str">
        <f t="shared" si="2"/>
        <v>N</v>
      </c>
      <c r="R46">
        <f t="shared" si="3"/>
        <v>45</v>
      </c>
      <c r="T46">
        <f>VLOOKUP($W46,'Fanduel Export'!$BA:$BG,4,FALSE)</f>
        <v>1</v>
      </c>
      <c r="U46" t="str">
        <f>VLOOKUP($W46,'Fanduel Export'!$BA:$BG,5,FALSE)</f>
        <v>Noah Brown</v>
      </c>
      <c r="V46">
        <f>VLOOKUP($W46,'Fanduel Export'!$BA:$BG,6,FALSE)</f>
        <v>4700</v>
      </c>
      <c r="W46">
        <f>LARGE('Fanduel Export'!$BA:$BA,R46)</f>
        <v>2.3446491239796581</v>
      </c>
    </row>
    <row r="47" spans="1:23" x14ac:dyDescent="0.2">
      <c r="A47">
        <f t="shared" si="0"/>
        <v>0</v>
      </c>
      <c r="B47">
        <f>IF(C47=0,0,A47&amp;" "&amp;COUNTIF($A$1:A47,A47))</f>
        <v>0</v>
      </c>
      <c r="C47">
        <v>0</v>
      </c>
      <c r="D47" t="s">
        <v>1812</v>
      </c>
      <c r="E47">
        <v>4900</v>
      </c>
      <c r="F47" t="s">
        <v>68</v>
      </c>
      <c r="G47" s="16">
        <v>1.2294318424621906</v>
      </c>
      <c r="J47">
        <f t="shared" si="1"/>
        <v>0</v>
      </c>
      <c r="K47">
        <f t="shared" si="1"/>
        <v>0</v>
      </c>
      <c r="L47">
        <f t="shared" si="1"/>
        <v>0</v>
      </c>
      <c r="M47">
        <f t="shared" si="1"/>
        <v>0</v>
      </c>
      <c r="N47" t="str">
        <f t="shared" si="2"/>
        <v>N</v>
      </c>
      <c r="R47">
        <f t="shared" si="3"/>
        <v>46</v>
      </c>
      <c r="T47">
        <f>VLOOKUP($W47,'Fanduel Export'!$BA:$BG,4,FALSE)</f>
        <v>1</v>
      </c>
      <c r="U47" t="str">
        <f>VLOOKUP($W47,'Fanduel Export'!$BA:$BG,5,FALSE)</f>
        <v>Anthony Miller</v>
      </c>
      <c r="V47">
        <f>VLOOKUP($W47,'Fanduel Export'!$BA:$BG,6,FALSE)</f>
        <v>4600</v>
      </c>
      <c r="W47">
        <f>LARGE('Fanduel Export'!$BA:$BA,R47)</f>
        <v>2.2345339310069736</v>
      </c>
    </row>
    <row r="48" spans="1:23" x14ac:dyDescent="0.2">
      <c r="A48">
        <f t="shared" si="0"/>
        <v>0</v>
      </c>
      <c r="B48">
        <f>IF(C48=0,0,A48&amp;" "&amp;COUNTIF($A$1:A48,A48))</f>
        <v>0</v>
      </c>
      <c r="C48">
        <v>0</v>
      </c>
      <c r="D48" t="s">
        <v>271</v>
      </c>
      <c r="E48">
        <v>4900</v>
      </c>
      <c r="F48" t="s">
        <v>83</v>
      </c>
      <c r="G48" s="16">
        <v>3.6912444605727783</v>
      </c>
      <c r="J48">
        <f t="shared" si="1"/>
        <v>0</v>
      </c>
      <c r="K48">
        <f t="shared" si="1"/>
        <v>0</v>
      </c>
      <c r="L48">
        <f t="shared" si="1"/>
        <v>0</v>
      </c>
      <c r="M48">
        <f t="shared" si="1"/>
        <v>0</v>
      </c>
      <c r="N48" t="str">
        <f t="shared" si="2"/>
        <v>N</v>
      </c>
      <c r="R48">
        <f t="shared" si="3"/>
        <v>47</v>
      </c>
      <c r="T48">
        <f>VLOOKUP($W48,'Fanduel Export'!$BA:$BG,4,FALSE)</f>
        <v>1</v>
      </c>
      <c r="U48" t="str">
        <f>VLOOKUP($W48,'Fanduel Export'!$BA:$BG,5,FALSE)</f>
        <v>Trey Sermon</v>
      </c>
      <c r="V48">
        <f>VLOOKUP($W48,'Fanduel Export'!$BA:$BG,6,FALSE)</f>
        <v>4500</v>
      </c>
      <c r="W48">
        <f>LARGE('Fanduel Export'!$BA:$BA,R48)</f>
        <v>2.2224576201044788</v>
      </c>
    </row>
    <row r="49" spans="1:23" x14ac:dyDescent="0.2">
      <c r="A49">
        <f t="shared" si="0"/>
        <v>0</v>
      </c>
      <c r="B49">
        <f>IF(C49=0,0,A49&amp;" "&amp;COUNTIF($A$1:A49,A49))</f>
        <v>0</v>
      </c>
      <c r="C49">
        <v>0</v>
      </c>
      <c r="D49" t="s">
        <v>2679</v>
      </c>
      <c r="E49">
        <v>4800</v>
      </c>
      <c r="F49" t="s">
        <v>68</v>
      </c>
      <c r="G49" s="16">
        <v>3.3299483995211387</v>
      </c>
      <c r="J49">
        <f t="shared" si="1"/>
        <v>0</v>
      </c>
      <c r="K49">
        <f t="shared" si="1"/>
        <v>0</v>
      </c>
      <c r="L49">
        <f t="shared" si="1"/>
        <v>0</v>
      </c>
      <c r="M49">
        <f t="shared" si="1"/>
        <v>0</v>
      </c>
      <c r="N49" t="str">
        <f t="shared" si="2"/>
        <v>N</v>
      </c>
      <c r="R49">
        <f t="shared" si="3"/>
        <v>48</v>
      </c>
      <c r="T49">
        <f>VLOOKUP($W49,'Fanduel Export'!$BA:$BG,4,FALSE)</f>
        <v>1</v>
      </c>
      <c r="U49" t="str">
        <f>VLOOKUP($W49,'Fanduel Export'!$BA:$BG,5,FALSE)</f>
        <v>Blake Jarwin</v>
      </c>
      <c r="V49">
        <f>VLOOKUP($W49,'Fanduel Export'!$BA:$BG,6,FALSE)</f>
        <v>4300</v>
      </c>
      <c r="W49">
        <f>LARGE('Fanduel Export'!$BA:$BA,R49)</f>
        <v>2.1490339505048186</v>
      </c>
    </row>
    <row r="50" spans="1:23" x14ac:dyDescent="0.2">
      <c r="A50">
        <f t="shared" si="0"/>
        <v>0</v>
      </c>
      <c r="B50">
        <f>IF(C50=0,0,A50&amp;" "&amp;COUNTIF($A$1:A50,A50))</f>
        <v>0</v>
      </c>
      <c r="C50">
        <v>0</v>
      </c>
      <c r="D50" t="s">
        <v>334</v>
      </c>
      <c r="E50">
        <v>4800</v>
      </c>
      <c r="F50" t="s">
        <v>83</v>
      </c>
      <c r="G50" s="16">
        <v>2.9818620749145612</v>
      </c>
      <c r="J50">
        <f t="shared" si="1"/>
        <v>0</v>
      </c>
      <c r="K50">
        <f t="shared" si="1"/>
        <v>0</v>
      </c>
      <c r="L50">
        <f t="shared" si="1"/>
        <v>0</v>
      </c>
      <c r="M50">
        <f t="shared" si="1"/>
        <v>0</v>
      </c>
      <c r="N50" t="str">
        <f t="shared" si="2"/>
        <v>N</v>
      </c>
      <c r="R50">
        <f t="shared" si="3"/>
        <v>49</v>
      </c>
      <c r="T50">
        <f>VLOOKUP($W50,'Fanduel Export'!$BA:$BG,4,FALSE)</f>
        <v>1</v>
      </c>
      <c r="U50" t="str">
        <f>VLOOKUP($W50,'Fanduel Export'!$BA:$BG,5,FALSE)</f>
        <v>Zach Gentry</v>
      </c>
      <c r="V50">
        <f>VLOOKUP($W50,'Fanduel Export'!$BA:$BG,6,FALSE)</f>
        <v>4500</v>
      </c>
      <c r="W50">
        <f>LARGE('Fanduel Export'!$BA:$BA,R50)</f>
        <v>2.0043002329437396</v>
      </c>
    </row>
    <row r="51" spans="1:23" x14ac:dyDescent="0.2">
      <c r="A51">
        <f t="shared" si="0"/>
        <v>0</v>
      </c>
      <c r="B51">
        <f>IF(C51=0,0,A51&amp;" "&amp;COUNTIF($A$1:A51,A51))</f>
        <v>0</v>
      </c>
      <c r="C51">
        <v>0</v>
      </c>
      <c r="D51" t="s">
        <v>1696</v>
      </c>
      <c r="E51">
        <v>4700</v>
      </c>
      <c r="F51" t="s">
        <v>68</v>
      </c>
      <c r="G51" s="16">
        <v>2.8764833493821098</v>
      </c>
      <c r="J51">
        <f t="shared" si="1"/>
        <v>0</v>
      </c>
      <c r="K51">
        <f t="shared" si="1"/>
        <v>0</v>
      </c>
      <c r="L51">
        <f t="shared" si="1"/>
        <v>0</v>
      </c>
      <c r="M51">
        <f t="shared" si="1"/>
        <v>0</v>
      </c>
      <c r="N51" t="str">
        <f t="shared" si="2"/>
        <v>N</v>
      </c>
      <c r="R51">
        <f t="shared" si="3"/>
        <v>50</v>
      </c>
      <c r="T51">
        <f>VLOOKUP($W51,'Fanduel Export'!$BA:$BG,4,FALSE)</f>
        <v>1</v>
      </c>
      <c r="U51" t="str">
        <f>VLOOKUP($W51,'Fanduel Export'!$BA:$BG,5,FALSE)</f>
        <v>Jerick McKinnon</v>
      </c>
      <c r="V51">
        <f>VLOOKUP($W51,'Fanduel Export'!$BA:$BG,6,FALSE)</f>
        <v>5200</v>
      </c>
      <c r="W51">
        <f>LARGE('Fanduel Export'!$BA:$BA,R51)</f>
        <v>1.9619144235269714</v>
      </c>
    </row>
    <row r="52" spans="1:23" x14ac:dyDescent="0.2">
      <c r="A52">
        <f t="shared" si="0"/>
        <v>0</v>
      </c>
      <c r="B52">
        <f>IF(C52=0,0,A52&amp;" "&amp;COUNTIF($A$1:A52,A52))</f>
        <v>0</v>
      </c>
      <c r="C52">
        <v>0</v>
      </c>
      <c r="D52" t="s">
        <v>450</v>
      </c>
      <c r="E52">
        <v>4700</v>
      </c>
      <c r="F52" t="s">
        <v>68</v>
      </c>
      <c r="G52" s="16">
        <v>3.7788090652349333</v>
      </c>
      <c r="J52">
        <f t="shared" si="1"/>
        <v>0</v>
      </c>
      <c r="K52">
        <f t="shared" si="1"/>
        <v>0</v>
      </c>
      <c r="L52">
        <f t="shared" si="1"/>
        <v>0</v>
      </c>
      <c r="M52">
        <f t="shared" si="1"/>
        <v>0</v>
      </c>
      <c r="N52" t="str">
        <f t="shared" si="2"/>
        <v>N</v>
      </c>
      <c r="R52">
        <f t="shared" si="3"/>
        <v>51</v>
      </c>
      <c r="T52">
        <f>VLOOKUP($W52,'Fanduel Export'!$BA:$BG,4,FALSE)</f>
        <v>1</v>
      </c>
      <c r="U52" t="str">
        <f>VLOOKUP($W52,'Fanduel Export'!$BA:$BG,5,FALSE)</f>
        <v>Jordan Howard</v>
      </c>
      <c r="V52">
        <f>VLOOKUP($W52,'Fanduel Export'!$BA:$BG,6,FALSE)</f>
        <v>5200</v>
      </c>
      <c r="W52">
        <f>LARGE('Fanduel Export'!$BA:$BA,R52)</f>
        <v>1.8940620869791345</v>
      </c>
    </row>
    <row r="53" spans="1:23" x14ac:dyDescent="0.2">
      <c r="A53">
        <f t="shared" si="0"/>
        <v>0</v>
      </c>
      <c r="B53">
        <f>IF(C53=0,0,A53&amp;" "&amp;COUNTIF($A$1:A53,A53))</f>
        <v>0</v>
      </c>
      <c r="C53">
        <v>0</v>
      </c>
      <c r="D53" t="s">
        <v>2003</v>
      </c>
      <c r="E53">
        <v>4700</v>
      </c>
      <c r="F53" t="s">
        <v>83</v>
      </c>
      <c r="G53" s="16">
        <v>2.0006265370724829</v>
      </c>
      <c r="J53">
        <f t="shared" si="1"/>
        <v>0</v>
      </c>
      <c r="K53">
        <f t="shared" si="1"/>
        <v>0</v>
      </c>
      <c r="L53">
        <f t="shared" si="1"/>
        <v>0</v>
      </c>
      <c r="M53">
        <f t="shared" si="1"/>
        <v>0</v>
      </c>
      <c r="N53" t="str">
        <f t="shared" si="2"/>
        <v>N</v>
      </c>
      <c r="R53">
        <f t="shared" si="3"/>
        <v>52</v>
      </c>
      <c r="T53">
        <f>VLOOKUP($W53,'Fanduel Export'!$BA:$BG,4,FALSE)</f>
        <v>1</v>
      </c>
      <c r="U53" t="str">
        <f>VLOOKUP($W53,'Fanduel Export'!$BA:$BG,5,FALSE)</f>
        <v>Scotty Miller</v>
      </c>
      <c r="V53">
        <f>VLOOKUP($W53,'Fanduel Export'!$BA:$BG,6,FALSE)</f>
        <v>5200</v>
      </c>
      <c r="W53">
        <f>LARGE('Fanduel Export'!$BA:$BA,R53)</f>
        <v>1.7615188011314338</v>
      </c>
    </row>
    <row r="54" spans="1:23" x14ac:dyDescent="0.2">
      <c r="A54">
        <f t="shared" si="0"/>
        <v>0</v>
      </c>
      <c r="B54">
        <f>IF(C54=0,0,A54&amp;" "&amp;COUNTIF($A$1:A54,A54))</f>
        <v>0</v>
      </c>
      <c r="C54">
        <v>0</v>
      </c>
      <c r="D54" t="s">
        <v>470</v>
      </c>
      <c r="E54">
        <v>4600</v>
      </c>
      <c r="F54" t="s">
        <v>68</v>
      </c>
      <c r="G54" s="16">
        <v>1.1900073656689263</v>
      </c>
      <c r="J54">
        <f t="shared" si="1"/>
        <v>0</v>
      </c>
      <c r="K54">
        <f t="shared" si="1"/>
        <v>0</v>
      </c>
      <c r="L54">
        <f t="shared" si="1"/>
        <v>0</v>
      </c>
      <c r="M54">
        <f t="shared" si="1"/>
        <v>0</v>
      </c>
      <c r="N54" t="str">
        <f t="shared" si="2"/>
        <v>N</v>
      </c>
      <c r="R54">
        <f t="shared" si="3"/>
        <v>53</v>
      </c>
      <c r="T54">
        <f>VLOOKUP($W54,'Fanduel Export'!$BA:$BG,4,FALSE)</f>
        <v>1</v>
      </c>
      <c r="U54" t="str">
        <f>VLOOKUP($W54,'Fanduel Export'!$BA:$BG,5,FALSE)</f>
        <v>Anthony McFarland Jr.</v>
      </c>
      <c r="V54">
        <f>VLOOKUP($W54,'Fanduel Export'!$BA:$BG,6,FALSE)</f>
        <v>4600</v>
      </c>
      <c r="W54">
        <f>LARGE('Fanduel Export'!$BA:$BA,R54)</f>
        <v>1.7319460803638969</v>
      </c>
    </row>
    <row r="55" spans="1:23" x14ac:dyDescent="0.2">
      <c r="A55">
        <f t="shared" si="0"/>
        <v>0</v>
      </c>
      <c r="B55">
        <f>IF(C55=0,0,A55&amp;" "&amp;COUNTIF($A$1:A55,A55))</f>
        <v>0</v>
      </c>
      <c r="C55">
        <v>0</v>
      </c>
      <c r="D55" t="s">
        <v>525</v>
      </c>
      <c r="E55">
        <v>4600</v>
      </c>
      <c r="F55" t="s">
        <v>68</v>
      </c>
      <c r="G55" s="16">
        <v>0.33276911411129301</v>
      </c>
      <c r="J55">
        <f t="shared" si="1"/>
        <v>0</v>
      </c>
      <c r="K55">
        <f t="shared" si="1"/>
        <v>0</v>
      </c>
      <c r="L55">
        <f t="shared" si="1"/>
        <v>0</v>
      </c>
      <c r="M55">
        <f t="shared" si="1"/>
        <v>0</v>
      </c>
      <c r="N55" t="str">
        <f t="shared" si="2"/>
        <v>N</v>
      </c>
      <c r="R55">
        <f t="shared" si="3"/>
        <v>54</v>
      </c>
      <c r="T55">
        <f>VLOOKUP($W55,'Fanduel Export'!$BA:$BG,4,FALSE)</f>
        <v>1</v>
      </c>
      <c r="U55" t="str">
        <f>VLOOKUP($W55,'Fanduel Export'!$BA:$BG,5,FALSE)</f>
        <v>Malik Turner</v>
      </c>
      <c r="V55">
        <f>VLOOKUP($W55,'Fanduel Export'!$BA:$BG,6,FALSE)</f>
        <v>4600</v>
      </c>
      <c r="W55">
        <f>LARGE('Fanduel Export'!$BA:$BA,R55)</f>
        <v>1.7271309260195076</v>
      </c>
    </row>
    <row r="56" spans="1:23" x14ac:dyDescent="0.2">
      <c r="A56">
        <f t="shared" si="0"/>
        <v>0</v>
      </c>
      <c r="B56">
        <f>IF(C56=0,0,A56&amp;" "&amp;COUNTIF($A$1:A56,A56))</f>
        <v>0</v>
      </c>
      <c r="C56">
        <v>0</v>
      </c>
      <c r="D56" t="s">
        <v>2379</v>
      </c>
      <c r="E56">
        <v>4600</v>
      </c>
      <c r="F56" t="s">
        <v>83</v>
      </c>
      <c r="G56" s="16">
        <v>0.4547685156659737</v>
      </c>
      <c r="J56">
        <f t="shared" si="1"/>
        <v>0</v>
      </c>
      <c r="K56">
        <f t="shared" si="1"/>
        <v>0</v>
      </c>
      <c r="L56">
        <f t="shared" si="1"/>
        <v>0</v>
      </c>
      <c r="M56">
        <f t="shared" si="1"/>
        <v>0</v>
      </c>
      <c r="N56" t="str">
        <f t="shared" si="2"/>
        <v>N</v>
      </c>
      <c r="R56">
        <f t="shared" si="3"/>
        <v>55</v>
      </c>
      <c r="T56">
        <f>VLOOKUP($W56,'Fanduel Export'!$BA:$BG,4,FALSE)</f>
        <v>1</v>
      </c>
      <c r="U56" t="str">
        <f>VLOOKUP($W56,'Fanduel Export'!$BA:$BG,5,FALSE)</f>
        <v>Boston Scott</v>
      </c>
      <c r="V56">
        <f>VLOOKUP($W56,'Fanduel Export'!$BA:$BG,6,FALSE)</f>
        <v>5900</v>
      </c>
      <c r="W56">
        <f>LARGE('Fanduel Export'!$BA:$BA,R56)</f>
        <v>1.7134875723793854</v>
      </c>
    </row>
    <row r="57" spans="1:23" x14ac:dyDescent="0.2">
      <c r="A57">
        <f t="shared" si="0"/>
        <v>0</v>
      </c>
      <c r="B57">
        <f>IF(C57=0,0,A57&amp;" "&amp;COUNTIF($A$1:A57,A57))</f>
        <v>0</v>
      </c>
      <c r="C57">
        <v>0</v>
      </c>
      <c r="D57" t="s">
        <v>445</v>
      </c>
      <c r="E57">
        <v>4600</v>
      </c>
      <c r="F57" t="s">
        <v>68</v>
      </c>
      <c r="G57" s="16">
        <v>1.0114275698651034</v>
      </c>
      <c r="J57">
        <f t="shared" si="1"/>
        <v>0</v>
      </c>
      <c r="K57">
        <f t="shared" si="1"/>
        <v>0</v>
      </c>
      <c r="L57">
        <f t="shared" si="1"/>
        <v>0</v>
      </c>
      <c r="M57">
        <f t="shared" si="1"/>
        <v>0</v>
      </c>
      <c r="N57" t="str">
        <f t="shared" si="2"/>
        <v>N</v>
      </c>
      <c r="R57">
        <f t="shared" si="3"/>
        <v>56</v>
      </c>
      <c r="T57">
        <f>VLOOKUP($W57,'Fanduel Export'!$BA:$BG,4,FALSE)</f>
        <v>1</v>
      </c>
      <c r="U57" t="str">
        <f>VLOOKUP($W57,'Fanduel Export'!$BA:$BG,5,FALSE)</f>
        <v>Corey Clement</v>
      </c>
      <c r="V57">
        <f>VLOOKUP($W57,'Fanduel Export'!$BA:$BG,6,FALSE)</f>
        <v>4900</v>
      </c>
      <c r="W57">
        <f>LARGE('Fanduel Export'!$BA:$BA,R57)</f>
        <v>1.2872390950344641</v>
      </c>
    </row>
    <row r="58" spans="1:23" x14ac:dyDescent="0.2">
      <c r="A58">
        <f t="shared" si="0"/>
        <v>0</v>
      </c>
      <c r="B58">
        <f>IF(C58=0,0,A58&amp;" "&amp;COUNTIF($A$1:A58,A58))</f>
        <v>0</v>
      </c>
      <c r="C58">
        <v>0</v>
      </c>
      <c r="D58" t="s">
        <v>2527</v>
      </c>
      <c r="E58">
        <v>4600</v>
      </c>
      <c r="F58" t="s">
        <v>68</v>
      </c>
      <c r="G58" s="16">
        <v>1.0591267782647962</v>
      </c>
      <c r="J58">
        <f t="shared" si="1"/>
        <v>0</v>
      </c>
      <c r="K58">
        <f t="shared" si="1"/>
        <v>0</v>
      </c>
      <c r="L58">
        <f t="shared" si="1"/>
        <v>0</v>
      </c>
      <c r="M58">
        <f t="shared" si="1"/>
        <v>0</v>
      </c>
      <c r="N58" t="str">
        <f t="shared" si="2"/>
        <v>N</v>
      </c>
      <c r="R58">
        <f t="shared" si="3"/>
        <v>57</v>
      </c>
      <c r="T58">
        <f>VLOOKUP($W58,'Fanduel Export'!$BA:$BG,4,FALSE)</f>
        <v>1</v>
      </c>
      <c r="U58" t="str">
        <f>VLOOKUP($W58,'Fanduel Export'!$BA:$BG,5,FALSE)</f>
        <v>O.J. Howard</v>
      </c>
      <c r="V58">
        <f>VLOOKUP($W58,'Fanduel Export'!$BA:$BG,6,FALSE)</f>
        <v>4200</v>
      </c>
      <c r="W58">
        <f>LARGE('Fanduel Export'!$BA:$BA,R58)</f>
        <v>1.2765261380619717</v>
      </c>
    </row>
    <row r="59" spans="1:23" x14ac:dyDescent="0.2">
      <c r="A59">
        <f t="shared" si="0"/>
        <v>0</v>
      </c>
      <c r="B59">
        <f>IF(C59=0,0,A59&amp;" "&amp;COUNTIF($A$1:A59,A59))</f>
        <v>0</v>
      </c>
      <c r="C59">
        <v>0</v>
      </c>
      <c r="D59" t="s">
        <v>490</v>
      </c>
      <c r="E59">
        <v>4600</v>
      </c>
      <c r="F59" t="s">
        <v>83</v>
      </c>
      <c r="G59" s="16">
        <v>0.88267186889971994</v>
      </c>
      <c r="J59">
        <f t="shared" si="1"/>
        <v>0</v>
      </c>
      <c r="K59">
        <f t="shared" si="1"/>
        <v>0</v>
      </c>
      <c r="L59">
        <f t="shared" si="1"/>
        <v>0</v>
      </c>
      <c r="M59">
        <f t="shared" si="1"/>
        <v>0</v>
      </c>
      <c r="N59" t="str">
        <f t="shared" si="2"/>
        <v>N</v>
      </c>
      <c r="R59">
        <f t="shared" si="3"/>
        <v>58</v>
      </c>
      <c r="T59">
        <f>VLOOKUP($W59,'Fanduel Export'!$BA:$BG,4,FALSE)</f>
        <v>1</v>
      </c>
      <c r="U59" t="str">
        <f>VLOOKUP($W59,'Fanduel Export'!$BA:$BG,5,FALSE)</f>
        <v>Jason Huntley</v>
      </c>
      <c r="V59">
        <f>VLOOKUP($W59,'Fanduel Export'!$BA:$BG,6,FALSE)</f>
        <v>4600</v>
      </c>
      <c r="W59">
        <f>LARGE('Fanduel Export'!$BA:$BA,R59)</f>
        <v>1.1900073656689263</v>
      </c>
    </row>
    <row r="60" spans="1:23" x14ac:dyDescent="0.2">
      <c r="A60">
        <f t="shared" si="0"/>
        <v>0</v>
      </c>
      <c r="B60">
        <f>IF(C60=0,0,A60&amp;" "&amp;COUNTIF($A$1:A60,A60))</f>
        <v>0</v>
      </c>
      <c r="C60">
        <v>0</v>
      </c>
      <c r="D60" t="s">
        <v>2464</v>
      </c>
      <c r="E60">
        <v>4600</v>
      </c>
      <c r="F60" t="s">
        <v>83</v>
      </c>
      <c r="G60" s="16">
        <v>1.4687934679010135</v>
      </c>
      <c r="J60">
        <f t="shared" si="1"/>
        <v>0</v>
      </c>
      <c r="K60">
        <f t="shared" si="1"/>
        <v>0</v>
      </c>
      <c r="L60">
        <f t="shared" si="1"/>
        <v>0</v>
      </c>
      <c r="M60">
        <f t="shared" si="1"/>
        <v>0</v>
      </c>
      <c r="N60" t="str">
        <f t="shared" si="2"/>
        <v>N</v>
      </c>
      <c r="R60">
        <f t="shared" si="3"/>
        <v>59</v>
      </c>
      <c r="T60">
        <f>VLOOKUP($W60,'Fanduel Export'!$BA:$BG,4,FALSE)</f>
        <v>1</v>
      </c>
      <c r="U60" t="str">
        <f>VLOOKUP($W60,'Fanduel Export'!$BA:$BG,5,FALSE)</f>
        <v>Jaelon Darden</v>
      </c>
      <c r="V60">
        <f>VLOOKUP($W60,'Fanduel Export'!$BA:$BG,6,FALSE)</f>
        <v>4600</v>
      </c>
      <c r="W60">
        <f>LARGE('Fanduel Export'!$BA:$BA,R60)</f>
        <v>1.1197848230118865</v>
      </c>
    </row>
    <row r="61" spans="1:23" x14ac:dyDescent="0.2">
      <c r="A61">
        <f t="shared" si="0"/>
        <v>0</v>
      </c>
      <c r="B61">
        <f>IF(C61=0,0,A61&amp;" "&amp;COUNTIF($A$1:A61,A61))</f>
        <v>0</v>
      </c>
      <c r="C61">
        <v>0</v>
      </c>
      <c r="D61" t="s">
        <v>1764</v>
      </c>
      <c r="E61">
        <v>4600</v>
      </c>
      <c r="F61" t="s">
        <v>68</v>
      </c>
      <c r="G61" s="16">
        <v>0.43525758010882021</v>
      </c>
      <c r="J61">
        <f t="shared" si="1"/>
        <v>0</v>
      </c>
      <c r="K61">
        <f t="shared" si="1"/>
        <v>0</v>
      </c>
      <c r="L61">
        <f t="shared" si="1"/>
        <v>0</v>
      </c>
      <c r="M61">
        <f t="shared" si="1"/>
        <v>0</v>
      </c>
      <c r="N61" t="str">
        <f t="shared" si="2"/>
        <v>N</v>
      </c>
      <c r="R61">
        <f t="shared" si="3"/>
        <v>60</v>
      </c>
      <c r="T61">
        <f>VLOOKUP($W61,'Fanduel Export'!$BA:$BG,4,FALSE)</f>
        <v>1</v>
      </c>
      <c r="U61" t="str">
        <f>VLOOKUP($W61,'Fanduel Export'!$BA:$BG,5,FALSE)</f>
        <v>JaQuan Hardy</v>
      </c>
      <c r="V61">
        <f>VLOOKUP($W61,'Fanduel Export'!$BA:$BG,6,FALSE)</f>
        <v>4600</v>
      </c>
      <c r="W61">
        <f>LARGE('Fanduel Export'!$BA:$BA,R61)</f>
        <v>1.078980539239375</v>
      </c>
    </row>
    <row r="62" spans="1:23" x14ac:dyDescent="0.2">
      <c r="A62">
        <f t="shared" si="0"/>
        <v>0</v>
      </c>
      <c r="B62">
        <f>IF(C62=0,0,A62&amp;" "&amp;COUNTIF($A$1:A62,A62))</f>
        <v>0</v>
      </c>
      <c r="C62">
        <v>0</v>
      </c>
      <c r="D62" t="s">
        <v>2295</v>
      </c>
      <c r="E62">
        <v>4600</v>
      </c>
      <c r="F62" t="s">
        <v>83</v>
      </c>
      <c r="G62" s="16">
        <v>1.0104512001823209</v>
      </c>
      <c r="J62">
        <f t="shared" si="1"/>
        <v>0</v>
      </c>
      <c r="K62">
        <f t="shared" si="1"/>
        <v>0</v>
      </c>
      <c r="L62">
        <f t="shared" si="1"/>
        <v>0</v>
      </c>
      <c r="M62">
        <f t="shared" si="1"/>
        <v>0</v>
      </c>
      <c r="N62" t="str">
        <f t="shared" si="2"/>
        <v>N</v>
      </c>
      <c r="R62">
        <f t="shared" si="3"/>
        <v>61</v>
      </c>
      <c r="T62">
        <f>VLOOKUP($W62,'Fanduel Export'!$BA:$BG,4,FALSE)</f>
        <v>1</v>
      </c>
      <c r="U62" t="str">
        <f>VLOOKUP($W62,'Fanduel Export'!$BA:$BG,5,FALSE)</f>
        <v>Kalen Ballage</v>
      </c>
      <c r="V62">
        <f>VLOOKUP($W62,'Fanduel Export'!$BA:$BG,6,FALSE)</f>
        <v>4600</v>
      </c>
      <c r="W62">
        <f>LARGE('Fanduel Export'!$BA:$BA,R62)</f>
        <v>1.0789784478746278</v>
      </c>
    </row>
    <row r="63" spans="1:23" x14ac:dyDescent="0.2">
      <c r="A63">
        <f t="shared" si="0"/>
        <v>0</v>
      </c>
      <c r="B63">
        <f>IF(C63=0,0,A63&amp;" "&amp;COUNTIF($A$1:A63,A63))</f>
        <v>0</v>
      </c>
      <c r="C63">
        <v>0</v>
      </c>
      <c r="D63" t="s">
        <v>293</v>
      </c>
      <c r="E63">
        <v>4600</v>
      </c>
      <c r="F63" t="s">
        <v>83</v>
      </c>
      <c r="G63" s="16">
        <v>1.9224545854009045</v>
      </c>
      <c r="J63">
        <f t="shared" si="1"/>
        <v>0</v>
      </c>
      <c r="K63">
        <f t="shared" si="1"/>
        <v>0</v>
      </c>
      <c r="L63">
        <f t="shared" si="1"/>
        <v>0</v>
      </c>
      <c r="M63">
        <f t="shared" si="1"/>
        <v>0</v>
      </c>
      <c r="N63" t="str">
        <f t="shared" si="2"/>
        <v>N</v>
      </c>
      <c r="R63">
        <f t="shared" si="3"/>
        <v>62</v>
      </c>
      <c r="T63">
        <f>VLOOKUP($W63,'Fanduel Export'!$BA:$BG,4,FALSE)</f>
        <v>1</v>
      </c>
      <c r="U63" t="str">
        <f>VLOOKUP($W63,'Fanduel Export'!$BA:$BG,5,FALSE)</f>
        <v>Greg Ward</v>
      </c>
      <c r="V63">
        <f>VLOOKUP($W63,'Fanduel Export'!$BA:$BG,6,FALSE)</f>
        <v>4600</v>
      </c>
      <c r="W63">
        <f>LARGE('Fanduel Export'!$BA:$BA,R63)</f>
        <v>1.0226676553463283</v>
      </c>
    </row>
    <row r="64" spans="1:23" x14ac:dyDescent="0.2">
      <c r="A64">
        <f t="shared" si="0"/>
        <v>0</v>
      </c>
      <c r="B64">
        <f>IF(C64=0,0,A64&amp;" "&amp;COUNTIF($A$1:A64,A64))</f>
        <v>0</v>
      </c>
      <c r="C64">
        <v>0</v>
      </c>
      <c r="D64" t="s">
        <v>323</v>
      </c>
      <c r="E64">
        <v>4600</v>
      </c>
      <c r="F64" t="s">
        <v>83</v>
      </c>
      <c r="G64" s="16">
        <v>1.0543684390609163</v>
      </c>
      <c r="J64">
        <f t="shared" si="1"/>
        <v>0</v>
      </c>
      <c r="K64">
        <f t="shared" si="1"/>
        <v>0</v>
      </c>
      <c r="L64">
        <f t="shared" si="1"/>
        <v>0</v>
      </c>
      <c r="M64">
        <f t="shared" si="1"/>
        <v>0</v>
      </c>
      <c r="N64" t="str">
        <f t="shared" si="2"/>
        <v>N</v>
      </c>
      <c r="R64">
        <f t="shared" si="3"/>
        <v>63</v>
      </c>
      <c r="T64">
        <f>VLOOKUP($W64,'Fanduel Export'!$BA:$BG,4,FALSE)</f>
        <v>1</v>
      </c>
      <c r="U64" t="str">
        <f>VLOOKUP($W64,'Fanduel Export'!$BA:$BG,5,FALSE)</f>
        <v>Blake Bell</v>
      </c>
      <c r="V64">
        <f>VLOOKUP($W64,'Fanduel Export'!$BA:$BG,6,FALSE)</f>
        <v>4300</v>
      </c>
      <c r="W64">
        <f>LARGE('Fanduel Export'!$BA:$BA,R64)</f>
        <v>0.94184582547822282</v>
      </c>
    </row>
    <row r="65" spans="1:23" x14ac:dyDescent="0.2">
      <c r="A65">
        <f t="shared" si="0"/>
        <v>0</v>
      </c>
      <c r="B65">
        <f>IF(C65=0,0,A65&amp;" "&amp;COUNTIF($A$1:A65,A65))</f>
        <v>0</v>
      </c>
      <c r="C65">
        <v>0</v>
      </c>
      <c r="D65" t="s">
        <v>2117</v>
      </c>
      <c r="E65">
        <v>4600</v>
      </c>
      <c r="F65" t="s">
        <v>88</v>
      </c>
      <c r="G65" s="16">
        <v>2.1396424434153758</v>
      </c>
      <c r="J65">
        <f t="shared" si="1"/>
        <v>0</v>
      </c>
      <c r="K65">
        <f t="shared" si="1"/>
        <v>0</v>
      </c>
      <c r="L65">
        <f t="shared" si="1"/>
        <v>0</v>
      </c>
      <c r="M65">
        <f t="shared" si="1"/>
        <v>0</v>
      </c>
      <c r="N65" t="str">
        <f t="shared" si="2"/>
        <v>N</v>
      </c>
      <c r="R65">
        <f t="shared" si="3"/>
        <v>64</v>
      </c>
      <c r="T65">
        <f>VLOOKUP($W65,'Fanduel Export'!$BA:$BG,4,FALSE)</f>
        <v>1</v>
      </c>
      <c r="U65" t="str">
        <f>VLOOKUP($W65,'Fanduel Export'!$BA:$BG,5,FALSE)</f>
        <v>Trent Sherfield</v>
      </c>
      <c r="V65">
        <f>VLOOKUP($W65,'Fanduel Export'!$BA:$BG,6,FALSE)</f>
        <v>4600</v>
      </c>
      <c r="W65">
        <f>LARGE('Fanduel Export'!$BA:$BA,R65)</f>
        <v>0.87226993176812395</v>
      </c>
    </row>
    <row r="66" spans="1:23" x14ac:dyDescent="0.2">
      <c r="A66">
        <f t="shared" si="0"/>
        <v>0</v>
      </c>
      <c r="B66">
        <f>IF(C66=0,0,A66&amp;" "&amp;COUNTIF($A$1:A66,A66))</f>
        <v>0</v>
      </c>
      <c r="C66">
        <v>0</v>
      </c>
      <c r="D66" t="s">
        <v>468</v>
      </c>
      <c r="E66">
        <v>4500</v>
      </c>
      <c r="F66" t="s">
        <v>68</v>
      </c>
      <c r="G66" s="16">
        <v>0</v>
      </c>
      <c r="J66">
        <f t="shared" si="1"/>
        <v>0</v>
      </c>
      <c r="K66">
        <f t="shared" si="1"/>
        <v>0</v>
      </c>
      <c r="L66">
        <f t="shared" si="1"/>
        <v>0</v>
      </c>
      <c r="M66">
        <f t="shared" ref="M66" si="4">IF($F66=M$1,$C66*1,0)</f>
        <v>0</v>
      </c>
      <c r="N66" t="str">
        <f t="shared" si="2"/>
        <v>N</v>
      </c>
      <c r="R66">
        <f t="shared" si="3"/>
        <v>65</v>
      </c>
      <c r="T66">
        <f>VLOOKUP($W66,'Fanduel Export'!$BA:$BG,4,FALSE)</f>
        <v>1</v>
      </c>
      <c r="U66" t="str">
        <f>VLOOKUP($W66,'Fanduel Export'!$BA:$BG,5,FALSE)</f>
        <v>Richard Rodgers</v>
      </c>
      <c r="V66">
        <f>VLOOKUP($W66,'Fanduel Export'!$BA:$BG,6,FALSE)</f>
        <v>4300</v>
      </c>
      <c r="W66">
        <f>LARGE('Fanduel Export'!$BA:$BA,R66)</f>
        <v>0.86813323371765905</v>
      </c>
    </row>
    <row r="67" spans="1:23" x14ac:dyDescent="0.2">
      <c r="A67">
        <f t="shared" ref="A67:A130" si="5">IF(C67=1,F67,0)</f>
        <v>0</v>
      </c>
      <c r="B67">
        <f>IF(C67=0,0,A67&amp;" "&amp;COUNTIF($A$1:A67,A67))</f>
        <v>0</v>
      </c>
      <c r="C67">
        <v>0</v>
      </c>
      <c r="D67" t="s">
        <v>2555</v>
      </c>
      <c r="E67">
        <v>4500</v>
      </c>
      <c r="F67" t="s">
        <v>83</v>
      </c>
      <c r="G67" s="16">
        <v>0</v>
      </c>
      <c r="J67">
        <f t="shared" ref="J67:M130" si="6">IF($F67=J$1,$C67*1,0)</f>
        <v>0</v>
      </c>
      <c r="K67">
        <f t="shared" si="6"/>
        <v>0</v>
      </c>
      <c r="L67">
        <f t="shared" si="6"/>
        <v>0</v>
      </c>
      <c r="M67">
        <f t="shared" si="6"/>
        <v>0</v>
      </c>
      <c r="N67" t="str">
        <f t="shared" ref="N67:N130" si="7">IF(AND(E67&lt;=7000,E67&gt;=6000,F67&lt;&gt;"QB"),"Y","N")</f>
        <v>N</v>
      </c>
      <c r="R67">
        <f t="shared" si="3"/>
        <v>66</v>
      </c>
      <c r="T67">
        <f>VLOOKUP($W67,'Fanduel Export'!$BA:$BG,4,FALSE)</f>
        <v>1</v>
      </c>
      <c r="U67" t="str">
        <f>VLOOKUP($W67,'Fanduel Export'!$BA:$BG,5,FALSE)</f>
        <v>Darren Fells</v>
      </c>
      <c r="V67">
        <f>VLOOKUP($W67,'Fanduel Export'!$BA:$BG,6,FALSE)</f>
        <v>4000</v>
      </c>
      <c r="W67">
        <f>LARGE('Fanduel Export'!$BA:$BA,R67)</f>
        <v>0.74725594890270508</v>
      </c>
    </row>
    <row r="68" spans="1:23" x14ac:dyDescent="0.2">
      <c r="A68">
        <f t="shared" si="5"/>
        <v>0</v>
      </c>
      <c r="B68">
        <f>IF(C68=0,0,A68&amp;" "&amp;COUNTIF($A$1:A68,A68))</f>
        <v>0</v>
      </c>
      <c r="C68">
        <v>0</v>
      </c>
      <c r="D68" t="s">
        <v>2687</v>
      </c>
      <c r="E68">
        <v>4500</v>
      </c>
      <c r="F68" t="s">
        <v>83</v>
      </c>
      <c r="G68" s="16">
        <v>0</v>
      </c>
      <c r="J68">
        <f t="shared" si="6"/>
        <v>0</v>
      </c>
      <c r="K68">
        <f t="shared" si="6"/>
        <v>0</v>
      </c>
      <c r="L68">
        <f t="shared" si="6"/>
        <v>0</v>
      </c>
      <c r="M68">
        <f t="shared" si="6"/>
        <v>0</v>
      </c>
      <c r="N68" t="str">
        <f t="shared" si="7"/>
        <v>N</v>
      </c>
      <c r="R68">
        <f t="shared" ref="R68:R131" si="8">R67+1</f>
        <v>67</v>
      </c>
      <c r="T68">
        <f>VLOOKUP($W68,'Fanduel Export'!$BA:$BG,4,FALSE)</f>
        <v>1</v>
      </c>
      <c r="U68" t="str">
        <f>VLOOKUP($W68,'Fanduel Export'!$BA:$BG,5,FALSE)</f>
        <v>Sean McKeon</v>
      </c>
      <c r="V68">
        <f>VLOOKUP($W68,'Fanduel Export'!$BA:$BG,6,FALSE)</f>
        <v>4100</v>
      </c>
      <c r="W68">
        <f>LARGE('Fanduel Export'!$BA:$BA,R68)</f>
        <v>0.5914661414487965</v>
      </c>
    </row>
    <row r="69" spans="1:23" x14ac:dyDescent="0.2">
      <c r="A69">
        <f t="shared" si="5"/>
        <v>0</v>
      </c>
      <c r="B69">
        <f>IF(C69=0,0,A69&amp;" "&amp;COUNTIF($A$1:A69,A69))</f>
        <v>0</v>
      </c>
      <c r="C69">
        <v>0</v>
      </c>
      <c r="D69" t="s">
        <v>2459</v>
      </c>
      <c r="E69">
        <v>4500</v>
      </c>
      <c r="F69" t="s">
        <v>83</v>
      </c>
      <c r="G69" s="16">
        <v>0</v>
      </c>
      <c r="J69">
        <f t="shared" si="6"/>
        <v>0</v>
      </c>
      <c r="K69">
        <f t="shared" si="6"/>
        <v>0</v>
      </c>
      <c r="L69">
        <f t="shared" si="6"/>
        <v>0</v>
      </c>
      <c r="M69">
        <f t="shared" si="6"/>
        <v>0</v>
      </c>
      <c r="N69" t="str">
        <f t="shared" si="7"/>
        <v>N</v>
      </c>
      <c r="R69">
        <f t="shared" si="8"/>
        <v>68</v>
      </c>
      <c r="T69">
        <f>VLOOKUP($W69,'Fanduel Export'!$BA:$BG,4,FALSE)</f>
        <v>1</v>
      </c>
      <c r="U69" t="str">
        <f>VLOOKUP($W69,'Fanduel Export'!$BA:$BG,5,FALSE)</f>
        <v>Charlie Woerner</v>
      </c>
      <c r="V69">
        <f>VLOOKUP($W69,'Fanduel Export'!$BA:$BG,6,FALSE)</f>
        <v>4200</v>
      </c>
      <c r="W69">
        <f>LARGE('Fanduel Export'!$BA:$BA,R69)</f>
        <v>0.50895264448690902</v>
      </c>
    </row>
    <row r="70" spans="1:23" x14ac:dyDescent="0.2">
      <c r="A70">
        <f t="shared" si="5"/>
        <v>0</v>
      </c>
      <c r="B70">
        <f>IF(C70=0,0,A70&amp;" "&amp;COUNTIF($A$1:A70,A70))</f>
        <v>0</v>
      </c>
      <c r="C70">
        <v>0</v>
      </c>
      <c r="D70" t="s">
        <v>513</v>
      </c>
      <c r="E70">
        <v>4500</v>
      </c>
      <c r="F70" t="s">
        <v>83</v>
      </c>
      <c r="G70" s="16">
        <v>0</v>
      </c>
      <c r="J70">
        <f t="shared" si="6"/>
        <v>0</v>
      </c>
      <c r="K70">
        <f t="shared" si="6"/>
        <v>0</v>
      </c>
      <c r="L70">
        <f t="shared" si="6"/>
        <v>0</v>
      </c>
      <c r="M70">
        <f t="shared" si="6"/>
        <v>0</v>
      </c>
      <c r="N70" t="str">
        <f t="shared" si="7"/>
        <v>N</v>
      </c>
      <c r="R70">
        <f t="shared" si="8"/>
        <v>69</v>
      </c>
      <c r="T70">
        <f>VLOOKUP($W70,'Fanduel Export'!$BA:$BG,4,FALSE)</f>
        <v>1</v>
      </c>
      <c r="U70" t="str">
        <f>VLOOKUP($W70,'Fanduel Export'!$BA:$BG,5,FALSE)</f>
        <v>Michael Burton</v>
      </c>
      <c r="V70">
        <f>VLOOKUP($W70,'Fanduel Export'!$BA:$BG,6,FALSE)</f>
        <v>4500</v>
      </c>
      <c r="W70">
        <f>LARGE('Fanduel Export'!$BA:$BA,R70)</f>
        <v>0.50118540638494624</v>
      </c>
    </row>
    <row r="71" spans="1:23" x14ac:dyDescent="0.2">
      <c r="A71">
        <f t="shared" si="5"/>
        <v>0</v>
      </c>
      <c r="B71">
        <f>IF(C71=0,0,A71&amp;" "&amp;COUNTIF($A$1:A71,A71))</f>
        <v>0</v>
      </c>
      <c r="C71">
        <v>0</v>
      </c>
      <c r="D71" t="s">
        <v>2568</v>
      </c>
      <c r="E71">
        <v>4500</v>
      </c>
      <c r="F71" t="s">
        <v>83</v>
      </c>
      <c r="G71" s="16">
        <v>0</v>
      </c>
      <c r="J71">
        <f t="shared" si="6"/>
        <v>0</v>
      </c>
      <c r="K71">
        <f t="shared" si="6"/>
        <v>0</v>
      </c>
      <c r="L71">
        <f t="shared" si="6"/>
        <v>0</v>
      </c>
      <c r="M71">
        <f t="shared" si="6"/>
        <v>0</v>
      </c>
      <c r="N71" t="str">
        <f t="shared" si="7"/>
        <v>N</v>
      </c>
      <c r="R71">
        <f t="shared" si="8"/>
        <v>70</v>
      </c>
      <c r="T71">
        <f>VLOOKUP($W71,'Fanduel Export'!$BA:$BG,4,FALSE)</f>
        <v>1</v>
      </c>
      <c r="U71" t="str">
        <f>VLOOKUP($W71,'Fanduel Export'!$BA:$BG,5,FALSE)</f>
        <v>Josh Gordon</v>
      </c>
      <c r="V71">
        <f>VLOOKUP($W71,'Fanduel Export'!$BA:$BG,6,FALSE)</f>
        <v>4600</v>
      </c>
      <c r="W71">
        <f>LARGE('Fanduel Export'!$BA:$BA,R71)</f>
        <v>0.49407283140642311</v>
      </c>
    </row>
    <row r="72" spans="1:23" x14ac:dyDescent="0.2">
      <c r="A72">
        <f t="shared" si="5"/>
        <v>0</v>
      </c>
      <c r="B72">
        <f>IF(C72=0,0,A72&amp;" "&amp;COUNTIF($A$1:A72,A72))</f>
        <v>0</v>
      </c>
      <c r="C72">
        <v>0</v>
      </c>
      <c r="D72" t="s">
        <v>2426</v>
      </c>
      <c r="E72">
        <v>4500</v>
      </c>
      <c r="F72" t="s">
        <v>83</v>
      </c>
      <c r="G72" s="16">
        <v>0</v>
      </c>
      <c r="J72">
        <f t="shared" si="6"/>
        <v>0</v>
      </c>
      <c r="K72">
        <f t="shared" si="6"/>
        <v>0</v>
      </c>
      <c r="L72">
        <f t="shared" si="6"/>
        <v>0</v>
      </c>
      <c r="M72">
        <f t="shared" si="6"/>
        <v>0</v>
      </c>
      <c r="N72" t="str">
        <f t="shared" si="7"/>
        <v>N</v>
      </c>
      <c r="R72">
        <f t="shared" si="8"/>
        <v>71</v>
      </c>
      <c r="T72">
        <f>VLOOKUP($W72,'Fanduel Export'!$BA:$BG,4,FALSE)</f>
        <v>1</v>
      </c>
      <c r="U72" t="str">
        <f>VLOOKUP($W72,'Fanduel Export'!$BA:$BG,5,FALSE)</f>
        <v>Cody White</v>
      </c>
      <c r="V72">
        <f>VLOOKUP($W72,'Fanduel Export'!$BA:$BG,6,FALSE)</f>
        <v>4500</v>
      </c>
      <c r="W72">
        <f>LARGE('Fanduel Export'!$BA:$BA,R72)</f>
        <v>0.48999698193039776</v>
      </c>
    </row>
    <row r="73" spans="1:23" x14ac:dyDescent="0.2">
      <c r="A73">
        <f t="shared" si="5"/>
        <v>0</v>
      </c>
      <c r="B73">
        <f>IF(C73=0,0,A73&amp;" "&amp;COUNTIF($A$1:A73,A73))</f>
        <v>0</v>
      </c>
      <c r="C73">
        <v>0</v>
      </c>
      <c r="D73" t="s">
        <v>574</v>
      </c>
      <c r="E73">
        <v>4500</v>
      </c>
      <c r="F73" t="s">
        <v>83</v>
      </c>
      <c r="G73" s="16">
        <v>0</v>
      </c>
      <c r="J73">
        <f t="shared" si="6"/>
        <v>0</v>
      </c>
      <c r="K73">
        <f t="shared" si="6"/>
        <v>0</v>
      </c>
      <c r="L73">
        <f t="shared" si="6"/>
        <v>0</v>
      </c>
      <c r="M73">
        <f t="shared" si="6"/>
        <v>0</v>
      </c>
      <c r="N73" t="str">
        <f t="shared" si="7"/>
        <v>N</v>
      </c>
      <c r="R73">
        <f t="shared" si="8"/>
        <v>72</v>
      </c>
      <c r="T73">
        <f>VLOOKUP($W73,'Fanduel Export'!$BA:$BG,4,FALSE)</f>
        <v>1</v>
      </c>
      <c r="U73" t="str">
        <f>VLOOKUP($W73,'Fanduel Export'!$BA:$BG,5,FALSE)</f>
        <v>Ross Dwelley</v>
      </c>
      <c r="V73">
        <f>VLOOKUP($W73,'Fanduel Export'!$BA:$BG,6,FALSE)</f>
        <v>4100</v>
      </c>
      <c r="W73">
        <f>LARGE('Fanduel Export'!$BA:$BA,R73)</f>
        <v>0.47397328253552673</v>
      </c>
    </row>
    <row r="74" spans="1:23" x14ac:dyDescent="0.2">
      <c r="A74">
        <f t="shared" si="5"/>
        <v>0</v>
      </c>
      <c r="B74">
        <f>IF(C74=0,0,A74&amp;" "&amp;COUNTIF($A$1:A74,A74))</f>
        <v>0</v>
      </c>
      <c r="C74">
        <v>0</v>
      </c>
      <c r="D74" t="s">
        <v>2390</v>
      </c>
      <c r="E74">
        <v>4500</v>
      </c>
      <c r="F74" t="s">
        <v>83</v>
      </c>
      <c r="G74" s="16">
        <v>0</v>
      </c>
      <c r="J74">
        <f t="shared" si="6"/>
        <v>0</v>
      </c>
      <c r="K74">
        <f t="shared" si="6"/>
        <v>0</v>
      </c>
      <c r="L74">
        <f t="shared" si="6"/>
        <v>0</v>
      </c>
      <c r="M74">
        <f t="shared" si="6"/>
        <v>0</v>
      </c>
      <c r="N74" t="str">
        <f t="shared" si="7"/>
        <v>N</v>
      </c>
      <c r="R74">
        <f t="shared" si="8"/>
        <v>73</v>
      </c>
      <c r="T74">
        <f>VLOOKUP($W74,'Fanduel Export'!$BA:$BG,4,FALSE)</f>
        <v>1</v>
      </c>
      <c r="U74" t="str">
        <f>VLOOKUP($W74,'Fanduel Export'!$BA:$BG,5,FALSE)</f>
        <v>Noah Gray</v>
      </c>
      <c r="V74">
        <f>VLOOKUP($W74,'Fanduel Export'!$BA:$BG,6,FALSE)</f>
        <v>4400</v>
      </c>
      <c r="W74">
        <f>LARGE('Fanduel Export'!$BA:$BA,R74)</f>
        <v>0.45783359565334297</v>
      </c>
    </row>
    <row r="75" spans="1:23" x14ac:dyDescent="0.2">
      <c r="A75">
        <f t="shared" si="5"/>
        <v>0</v>
      </c>
      <c r="B75">
        <f>IF(C75=0,0,A75&amp;" "&amp;COUNTIF($A$1:A75,A75))</f>
        <v>0</v>
      </c>
      <c r="C75">
        <v>0</v>
      </c>
      <c r="D75" t="s">
        <v>2867</v>
      </c>
      <c r="E75">
        <v>4500</v>
      </c>
      <c r="F75" t="s">
        <v>83</v>
      </c>
      <c r="G75" s="16">
        <v>0</v>
      </c>
      <c r="J75">
        <f t="shared" si="6"/>
        <v>0</v>
      </c>
      <c r="K75">
        <f t="shared" si="6"/>
        <v>0</v>
      </c>
      <c r="L75">
        <f t="shared" si="6"/>
        <v>0</v>
      </c>
      <c r="M75">
        <f t="shared" si="6"/>
        <v>0</v>
      </c>
      <c r="N75" t="str">
        <f t="shared" si="7"/>
        <v>N</v>
      </c>
      <c r="R75">
        <f t="shared" si="8"/>
        <v>74</v>
      </c>
      <c r="T75">
        <f>VLOOKUP($W75,'Fanduel Export'!$BA:$BG,4,FALSE)</f>
        <v>1</v>
      </c>
      <c r="U75" t="str">
        <f>VLOOKUP($W75,'Fanduel Export'!$BA:$BG,5,FALSE)</f>
        <v>Ito Smith</v>
      </c>
      <c r="V75">
        <f>VLOOKUP($W75,'Fanduel Export'!$BA:$BG,6,FALSE)</f>
        <v>4600</v>
      </c>
      <c r="W75">
        <f>LARGE('Fanduel Export'!$BA:$BA,R75)</f>
        <v>0.44341665996138691</v>
      </c>
    </row>
    <row r="76" spans="1:23" x14ac:dyDescent="0.2">
      <c r="A76">
        <f t="shared" si="5"/>
        <v>0</v>
      </c>
      <c r="B76">
        <f>IF(C76=0,0,A76&amp;" "&amp;COUNTIF($A$1:A76,A76))</f>
        <v>0</v>
      </c>
      <c r="C76">
        <v>0</v>
      </c>
      <c r="D76" t="s">
        <v>2870</v>
      </c>
      <c r="E76">
        <v>4500</v>
      </c>
      <c r="F76" t="s">
        <v>68</v>
      </c>
      <c r="G76" s="16">
        <v>0</v>
      </c>
      <c r="J76">
        <f t="shared" si="6"/>
        <v>0</v>
      </c>
      <c r="K76">
        <f t="shared" si="6"/>
        <v>0</v>
      </c>
      <c r="L76">
        <f t="shared" si="6"/>
        <v>0</v>
      </c>
      <c r="M76">
        <f t="shared" si="6"/>
        <v>0</v>
      </c>
      <c r="N76" t="str">
        <f t="shared" si="7"/>
        <v>N</v>
      </c>
      <c r="R76">
        <f t="shared" si="8"/>
        <v>75</v>
      </c>
      <c r="T76">
        <f>VLOOKUP($W76,'Fanduel Export'!$BA:$BG,4,FALSE)</f>
        <v>1</v>
      </c>
      <c r="U76" t="str">
        <f>VLOOKUP($W76,'Fanduel Export'!$BA:$BG,5,FALSE)</f>
        <v>Kevin Rader</v>
      </c>
      <c r="V76">
        <f>VLOOKUP($W76,'Fanduel Export'!$BA:$BG,6,FALSE)</f>
        <v>4000</v>
      </c>
      <c r="W76">
        <f>LARGE('Fanduel Export'!$BA:$BA,R76)</f>
        <v>0.36262443349317042</v>
      </c>
    </row>
    <row r="77" spans="1:23" x14ac:dyDescent="0.2">
      <c r="A77">
        <f t="shared" si="5"/>
        <v>0</v>
      </c>
      <c r="B77">
        <f>IF(C77=0,0,A77&amp;" "&amp;COUNTIF($A$1:A77,A77))</f>
        <v>0</v>
      </c>
      <c r="C77">
        <v>0</v>
      </c>
      <c r="D77" t="s">
        <v>518</v>
      </c>
      <c r="E77">
        <v>4500</v>
      </c>
      <c r="F77" t="s">
        <v>83</v>
      </c>
      <c r="G77" s="16">
        <v>0</v>
      </c>
      <c r="J77">
        <f t="shared" si="6"/>
        <v>0</v>
      </c>
      <c r="K77">
        <f t="shared" si="6"/>
        <v>0</v>
      </c>
      <c r="L77">
        <f t="shared" si="6"/>
        <v>0</v>
      </c>
      <c r="M77">
        <f t="shared" si="6"/>
        <v>0</v>
      </c>
      <c r="N77" t="str">
        <f t="shared" si="7"/>
        <v>N</v>
      </c>
      <c r="R77">
        <f t="shared" si="8"/>
        <v>76</v>
      </c>
      <c r="T77">
        <f>VLOOKUP($W77,'Fanduel Export'!$BA:$BG,4,FALSE)</f>
        <v>1</v>
      </c>
      <c r="U77" t="str">
        <f>VLOOKUP($W77,'Fanduel Export'!$BA:$BG,5,FALSE)</f>
        <v>Jack Stoll</v>
      </c>
      <c r="V77">
        <f>VLOOKUP($W77,'Fanduel Export'!$BA:$BG,6,FALSE)</f>
        <v>4100</v>
      </c>
      <c r="W77">
        <f>LARGE('Fanduel Export'!$BA:$BA,R77)</f>
        <v>0.32554996264412217</v>
      </c>
    </row>
    <row r="78" spans="1:23" x14ac:dyDescent="0.2">
      <c r="A78">
        <f t="shared" si="5"/>
        <v>0</v>
      </c>
      <c r="B78">
        <f>IF(C78=0,0,A78&amp;" "&amp;COUNTIF($A$1:A78,A78))</f>
        <v>0</v>
      </c>
      <c r="C78">
        <v>0</v>
      </c>
      <c r="D78" t="s">
        <v>2461</v>
      </c>
      <c r="E78">
        <v>4500</v>
      </c>
      <c r="F78" t="s">
        <v>83</v>
      </c>
      <c r="G78" s="16">
        <v>0</v>
      </c>
      <c r="J78">
        <f t="shared" si="6"/>
        <v>0</v>
      </c>
      <c r="K78">
        <f t="shared" si="6"/>
        <v>0</v>
      </c>
      <c r="L78">
        <f t="shared" si="6"/>
        <v>0</v>
      </c>
      <c r="M78">
        <f t="shared" si="6"/>
        <v>0</v>
      </c>
      <c r="N78" t="str">
        <f t="shared" si="7"/>
        <v>N</v>
      </c>
      <c r="R78">
        <f t="shared" si="8"/>
        <v>77</v>
      </c>
      <c r="T78">
        <f>VLOOKUP($W78,'Fanduel Export'!$BA:$BG,4,FALSE)</f>
        <v>1</v>
      </c>
      <c r="U78" t="str">
        <f>VLOOKUP($W78,'Fanduel Export'!$BA:$BG,5,FALSE)</f>
        <v>Jeremy Sprinkle</v>
      </c>
      <c r="V78">
        <f>VLOOKUP($W78,'Fanduel Export'!$BA:$BG,6,FALSE)</f>
        <v>4200</v>
      </c>
      <c r="W78">
        <f>LARGE('Fanduel Export'!$BA:$BA,R78)</f>
        <v>0.31030868065940825</v>
      </c>
    </row>
    <row r="79" spans="1:23" x14ac:dyDescent="0.2">
      <c r="A79">
        <f t="shared" si="5"/>
        <v>0</v>
      </c>
      <c r="B79">
        <f>IF(C79=0,0,A79&amp;" "&amp;COUNTIF($A$1:A79,A79))</f>
        <v>0</v>
      </c>
      <c r="C79">
        <v>0</v>
      </c>
      <c r="D79" t="s">
        <v>2450</v>
      </c>
      <c r="E79">
        <v>4500</v>
      </c>
      <c r="F79" t="s">
        <v>83</v>
      </c>
      <c r="G79" s="16">
        <v>0</v>
      </c>
      <c r="J79">
        <f t="shared" si="6"/>
        <v>0</v>
      </c>
      <c r="K79">
        <f t="shared" si="6"/>
        <v>0</v>
      </c>
      <c r="L79">
        <f t="shared" si="6"/>
        <v>0</v>
      </c>
      <c r="M79">
        <f t="shared" si="6"/>
        <v>0</v>
      </c>
      <c r="N79" t="str">
        <f t="shared" si="7"/>
        <v>N</v>
      </c>
      <c r="R79">
        <f t="shared" si="8"/>
        <v>78</v>
      </c>
      <c r="T79">
        <f>VLOOKUP($W79,'Fanduel Export'!$BA:$BG,4,FALSE)</f>
        <v>1</v>
      </c>
      <c r="U79" t="str">
        <f>VLOOKUP($W79,'Fanduel Export'!$BA:$BG,5,FALSE)</f>
        <v>Derek Watt</v>
      </c>
      <c r="V79">
        <f>VLOOKUP($W79,'Fanduel Export'!$BA:$BG,6,FALSE)</f>
        <v>4500</v>
      </c>
      <c r="W79">
        <f>LARGE('Fanduel Export'!$BA:$BA,R79)</f>
        <v>0.24432971009418902</v>
      </c>
    </row>
    <row r="80" spans="1:23" x14ac:dyDescent="0.2">
      <c r="A80">
        <f t="shared" si="5"/>
        <v>0</v>
      </c>
      <c r="B80">
        <f>IF(C80=0,0,A80&amp;" "&amp;COUNTIF($A$1:A80,A80))</f>
        <v>0</v>
      </c>
      <c r="C80">
        <v>0</v>
      </c>
      <c r="D80" t="s">
        <v>2343</v>
      </c>
      <c r="E80">
        <v>4500</v>
      </c>
      <c r="F80" t="s">
        <v>83</v>
      </c>
      <c r="G80" s="16">
        <v>0</v>
      </c>
      <c r="J80">
        <f t="shared" si="6"/>
        <v>0</v>
      </c>
      <c r="K80">
        <f t="shared" si="6"/>
        <v>0</v>
      </c>
      <c r="L80">
        <f t="shared" si="6"/>
        <v>0</v>
      </c>
      <c r="M80">
        <f t="shared" si="6"/>
        <v>0</v>
      </c>
      <c r="N80" t="str">
        <f t="shared" si="7"/>
        <v>N</v>
      </c>
      <c r="R80">
        <f t="shared" si="8"/>
        <v>79</v>
      </c>
      <c r="T80">
        <f>VLOOKUP($W80,'Fanduel Export'!$BA:$BG,4,FALSE)</f>
        <v>1</v>
      </c>
      <c r="U80" t="str">
        <f>VLOOKUP($W80,'Fanduel Export'!$BA:$BG,5,FALSE)</f>
        <v>Marcus Kemp</v>
      </c>
      <c r="V80">
        <f>VLOOKUP($W80,'Fanduel Export'!$BA:$BG,6,FALSE)</f>
        <v>4500</v>
      </c>
      <c r="W80">
        <f>LARGE('Fanduel Export'!$BA:$BA,R80)</f>
        <v>0.22322846766611296</v>
      </c>
    </row>
    <row r="81" spans="1:23" x14ac:dyDescent="0.2">
      <c r="A81">
        <f t="shared" si="5"/>
        <v>0</v>
      </c>
      <c r="B81">
        <f>IF(C81=0,0,A81&amp;" "&amp;COUNTIF($A$1:A81,A81))</f>
        <v>0</v>
      </c>
      <c r="C81">
        <v>0</v>
      </c>
      <c r="D81" t="s">
        <v>2335</v>
      </c>
      <c r="E81">
        <v>4500</v>
      </c>
      <c r="F81" t="s">
        <v>83</v>
      </c>
      <c r="G81" s="16">
        <v>0</v>
      </c>
      <c r="J81">
        <f t="shared" si="6"/>
        <v>0</v>
      </c>
      <c r="K81">
        <f t="shared" si="6"/>
        <v>0</v>
      </c>
      <c r="L81">
        <f t="shared" si="6"/>
        <v>0</v>
      </c>
      <c r="M81">
        <f t="shared" si="6"/>
        <v>0</v>
      </c>
      <c r="N81" t="str">
        <f t="shared" si="7"/>
        <v>N</v>
      </c>
      <c r="R81">
        <f t="shared" si="8"/>
        <v>80</v>
      </c>
      <c r="T81">
        <f>VLOOKUP($W81,'Fanduel Export'!$BA:$BG,4,FALSE)</f>
        <v>1</v>
      </c>
      <c r="U81" t="str">
        <f>VLOOKUP($W81,'Fanduel Export'!$BA:$BG,5,FALSE)</f>
        <v>Mike Evans</v>
      </c>
      <c r="V81">
        <f>VLOOKUP($W81,'Fanduel Export'!$BA:$BG,6,FALSE)</f>
        <v>8200</v>
      </c>
      <c r="W81">
        <f>LARGE('Fanduel Export'!$BA:$BA,R81)</f>
        <v>0</v>
      </c>
    </row>
    <row r="82" spans="1:23" x14ac:dyDescent="0.2">
      <c r="A82">
        <f t="shared" si="5"/>
        <v>0</v>
      </c>
      <c r="B82">
        <f>IF(C82=0,0,A82&amp;" "&amp;COUNTIF($A$1:A82,A82))</f>
        <v>0</v>
      </c>
      <c r="C82">
        <v>0</v>
      </c>
      <c r="D82" t="s">
        <v>2451</v>
      </c>
      <c r="E82">
        <v>4500</v>
      </c>
      <c r="F82" t="s">
        <v>83</v>
      </c>
      <c r="G82" s="16">
        <v>0</v>
      </c>
      <c r="J82">
        <f t="shared" si="6"/>
        <v>0</v>
      </c>
      <c r="K82">
        <f t="shared" si="6"/>
        <v>0</v>
      </c>
      <c r="L82">
        <f t="shared" si="6"/>
        <v>0</v>
      </c>
      <c r="M82">
        <f t="shared" si="6"/>
        <v>0</v>
      </c>
      <c r="N82" t="str">
        <f t="shared" si="7"/>
        <v>N</v>
      </c>
      <c r="R82">
        <f t="shared" si="8"/>
        <v>81</v>
      </c>
      <c r="T82">
        <f>VLOOKUP($W82,'Fanduel Export'!$BA:$BG,4,FALSE)</f>
        <v>1</v>
      </c>
      <c r="U82" t="str">
        <f>VLOOKUP($W82,'Fanduel Export'!$BA:$BG,5,FALSE)</f>
        <v>Mike Evans</v>
      </c>
      <c r="V82">
        <f>VLOOKUP($W82,'Fanduel Export'!$BA:$BG,6,FALSE)</f>
        <v>8200</v>
      </c>
      <c r="W82">
        <f>LARGE('Fanduel Export'!$BA:$BA,R82)</f>
        <v>0</v>
      </c>
    </row>
    <row r="83" spans="1:23" x14ac:dyDescent="0.2">
      <c r="A83">
        <f t="shared" si="5"/>
        <v>0</v>
      </c>
      <c r="B83">
        <f>IF(C83=0,0,A83&amp;" "&amp;COUNTIF($A$1:A83,A83))</f>
        <v>0</v>
      </c>
      <c r="C83">
        <v>0</v>
      </c>
      <c r="D83" t="s">
        <v>2420</v>
      </c>
      <c r="E83">
        <v>4500</v>
      </c>
      <c r="F83" t="s">
        <v>83</v>
      </c>
      <c r="G83" s="16">
        <v>0</v>
      </c>
      <c r="J83">
        <f t="shared" si="6"/>
        <v>0</v>
      </c>
      <c r="K83">
        <f t="shared" si="6"/>
        <v>0</v>
      </c>
      <c r="L83">
        <f t="shared" si="6"/>
        <v>0</v>
      </c>
      <c r="M83">
        <f t="shared" si="6"/>
        <v>0</v>
      </c>
      <c r="N83" t="str">
        <f t="shared" si="7"/>
        <v>N</v>
      </c>
      <c r="R83">
        <f t="shared" si="8"/>
        <v>82</v>
      </c>
      <c r="T83">
        <f>VLOOKUP($W83,'Fanduel Export'!$BA:$BG,4,FALSE)</f>
        <v>1</v>
      </c>
      <c r="U83" t="str">
        <f>VLOOKUP($W83,'Fanduel Export'!$BA:$BG,5,FALSE)</f>
        <v>Mike Evans</v>
      </c>
      <c r="V83">
        <f>VLOOKUP($W83,'Fanduel Export'!$BA:$BG,6,FALSE)</f>
        <v>8200</v>
      </c>
      <c r="W83">
        <f>LARGE('Fanduel Export'!$BA:$BA,R83)</f>
        <v>0</v>
      </c>
    </row>
    <row r="84" spans="1:23" x14ac:dyDescent="0.2">
      <c r="A84">
        <f t="shared" si="5"/>
        <v>0</v>
      </c>
      <c r="B84">
        <f>IF(C84=0,0,A84&amp;" "&amp;COUNTIF($A$1:A84,A84))</f>
        <v>0</v>
      </c>
      <c r="C84">
        <v>0</v>
      </c>
      <c r="D84" t="s">
        <v>291</v>
      </c>
      <c r="E84">
        <v>4500</v>
      </c>
      <c r="F84" t="s">
        <v>68</v>
      </c>
      <c r="G84" s="16">
        <v>2.2283317953689425</v>
      </c>
      <c r="J84">
        <f t="shared" si="6"/>
        <v>0</v>
      </c>
      <c r="K84">
        <f t="shared" si="6"/>
        <v>0</v>
      </c>
      <c r="L84">
        <f t="shared" si="6"/>
        <v>0</v>
      </c>
      <c r="M84">
        <f t="shared" si="6"/>
        <v>0</v>
      </c>
      <c r="N84" t="str">
        <f t="shared" si="7"/>
        <v>N</v>
      </c>
      <c r="R84">
        <f t="shared" si="8"/>
        <v>83</v>
      </c>
      <c r="T84">
        <f>VLOOKUP($W84,'Fanduel Export'!$BA:$BG,4,FALSE)</f>
        <v>1</v>
      </c>
      <c r="U84" t="str">
        <f>VLOOKUP($W84,'Fanduel Export'!$BA:$BG,5,FALSE)</f>
        <v>Mike Evans</v>
      </c>
      <c r="V84">
        <f>VLOOKUP($W84,'Fanduel Export'!$BA:$BG,6,FALSE)</f>
        <v>8200</v>
      </c>
      <c r="W84">
        <f>LARGE('Fanduel Export'!$BA:$BA,R84)</f>
        <v>0</v>
      </c>
    </row>
    <row r="85" spans="1:23" x14ac:dyDescent="0.2">
      <c r="A85">
        <f t="shared" si="5"/>
        <v>0</v>
      </c>
      <c r="B85">
        <f>IF(C85=0,0,A85&amp;" "&amp;COUNTIF($A$1:A85,A85))</f>
        <v>0</v>
      </c>
      <c r="C85">
        <v>0</v>
      </c>
      <c r="D85" t="s">
        <v>523</v>
      </c>
      <c r="E85">
        <v>4500</v>
      </c>
      <c r="F85" t="s">
        <v>83</v>
      </c>
      <c r="G85" s="16">
        <v>0</v>
      </c>
      <c r="J85">
        <f t="shared" si="6"/>
        <v>0</v>
      </c>
      <c r="K85">
        <f t="shared" si="6"/>
        <v>0</v>
      </c>
      <c r="L85">
        <f t="shared" si="6"/>
        <v>0</v>
      </c>
      <c r="M85">
        <f t="shared" si="6"/>
        <v>0</v>
      </c>
      <c r="N85" t="str">
        <f t="shared" si="7"/>
        <v>N</v>
      </c>
      <c r="R85">
        <f t="shared" si="8"/>
        <v>84</v>
      </c>
      <c r="T85">
        <f>VLOOKUP($W85,'Fanduel Export'!$BA:$BG,4,FALSE)</f>
        <v>1</v>
      </c>
      <c r="U85" t="str">
        <f>VLOOKUP($W85,'Fanduel Export'!$BA:$BG,5,FALSE)</f>
        <v>Mike Evans</v>
      </c>
      <c r="V85">
        <f>VLOOKUP($W85,'Fanduel Export'!$BA:$BG,6,FALSE)</f>
        <v>8200</v>
      </c>
      <c r="W85">
        <f>LARGE('Fanduel Export'!$BA:$BA,R85)</f>
        <v>0</v>
      </c>
    </row>
    <row r="86" spans="1:23" x14ac:dyDescent="0.2">
      <c r="A86">
        <f t="shared" si="5"/>
        <v>0</v>
      </c>
      <c r="B86">
        <f>IF(C86=0,0,A86&amp;" "&amp;COUNTIF($A$1:A86,A86))</f>
        <v>0</v>
      </c>
      <c r="C86">
        <v>0</v>
      </c>
      <c r="D86" t="s">
        <v>2393</v>
      </c>
      <c r="E86">
        <v>4500</v>
      </c>
      <c r="F86" t="s">
        <v>83</v>
      </c>
      <c r="G86" s="16">
        <v>0</v>
      </c>
      <c r="J86">
        <f t="shared" si="6"/>
        <v>0</v>
      </c>
      <c r="K86">
        <f t="shared" si="6"/>
        <v>0</v>
      </c>
      <c r="L86">
        <f t="shared" si="6"/>
        <v>0</v>
      </c>
      <c r="M86">
        <f t="shared" si="6"/>
        <v>0</v>
      </c>
      <c r="N86" t="str">
        <f t="shared" si="7"/>
        <v>N</v>
      </c>
      <c r="R86">
        <f t="shared" si="8"/>
        <v>85</v>
      </c>
      <c r="T86">
        <f>VLOOKUP($W86,'Fanduel Export'!$BA:$BG,4,FALSE)</f>
        <v>1</v>
      </c>
      <c r="U86" t="str">
        <f>VLOOKUP($W86,'Fanduel Export'!$BA:$BG,5,FALSE)</f>
        <v>Mike Evans</v>
      </c>
      <c r="V86">
        <f>VLOOKUP($W86,'Fanduel Export'!$BA:$BG,6,FALSE)</f>
        <v>8200</v>
      </c>
      <c r="W86">
        <f>LARGE('Fanduel Export'!$BA:$BA,R86)</f>
        <v>0</v>
      </c>
    </row>
    <row r="87" spans="1:23" x14ac:dyDescent="0.2">
      <c r="A87">
        <f t="shared" si="5"/>
        <v>0</v>
      </c>
      <c r="B87">
        <f>IF(C87=0,0,A87&amp;" "&amp;COUNTIF($A$1:A87,A87))</f>
        <v>0</v>
      </c>
      <c r="C87">
        <v>0</v>
      </c>
      <c r="D87" t="s">
        <v>2134</v>
      </c>
      <c r="E87">
        <v>4500</v>
      </c>
      <c r="F87" t="s">
        <v>83</v>
      </c>
      <c r="G87" s="16">
        <v>0</v>
      </c>
      <c r="J87">
        <f t="shared" si="6"/>
        <v>0</v>
      </c>
      <c r="K87">
        <f t="shared" si="6"/>
        <v>0</v>
      </c>
      <c r="L87">
        <f t="shared" si="6"/>
        <v>0</v>
      </c>
      <c r="M87">
        <f t="shared" si="6"/>
        <v>0</v>
      </c>
      <c r="N87" t="str">
        <f t="shared" si="7"/>
        <v>N</v>
      </c>
      <c r="R87">
        <f t="shared" si="8"/>
        <v>86</v>
      </c>
      <c r="T87">
        <f>VLOOKUP($W87,'Fanduel Export'!$BA:$BG,4,FALSE)</f>
        <v>1</v>
      </c>
      <c r="U87" t="str">
        <f>VLOOKUP($W87,'Fanduel Export'!$BA:$BG,5,FALSE)</f>
        <v>Mike Evans</v>
      </c>
      <c r="V87">
        <f>VLOOKUP($W87,'Fanduel Export'!$BA:$BG,6,FALSE)</f>
        <v>8200</v>
      </c>
      <c r="W87">
        <f>LARGE('Fanduel Export'!$BA:$BA,R87)</f>
        <v>0</v>
      </c>
    </row>
    <row r="88" spans="1:23" x14ac:dyDescent="0.2">
      <c r="A88">
        <f t="shared" si="5"/>
        <v>0</v>
      </c>
      <c r="B88">
        <f>IF(C88=0,0,A88&amp;" "&amp;COUNTIF($A$1:A88,A88))</f>
        <v>0</v>
      </c>
      <c r="C88">
        <v>0</v>
      </c>
      <c r="D88" t="s">
        <v>524</v>
      </c>
      <c r="E88">
        <v>4500</v>
      </c>
      <c r="F88" t="s">
        <v>83</v>
      </c>
      <c r="G88" s="16">
        <v>0</v>
      </c>
      <c r="J88">
        <f t="shared" si="6"/>
        <v>0</v>
      </c>
      <c r="K88">
        <f t="shared" si="6"/>
        <v>0</v>
      </c>
      <c r="L88">
        <f t="shared" si="6"/>
        <v>0</v>
      </c>
      <c r="M88">
        <f t="shared" si="6"/>
        <v>0</v>
      </c>
      <c r="N88" t="str">
        <f t="shared" si="7"/>
        <v>N</v>
      </c>
      <c r="R88">
        <f t="shared" si="8"/>
        <v>87</v>
      </c>
      <c r="T88">
        <f>VLOOKUP($W88,'Fanduel Export'!$BA:$BG,4,FALSE)</f>
        <v>1</v>
      </c>
      <c r="U88" t="str">
        <f>VLOOKUP($W88,'Fanduel Export'!$BA:$BG,5,FALSE)</f>
        <v>Mike Evans</v>
      </c>
      <c r="V88">
        <f>VLOOKUP($W88,'Fanduel Export'!$BA:$BG,6,FALSE)</f>
        <v>8200</v>
      </c>
      <c r="W88">
        <f>LARGE('Fanduel Export'!$BA:$BA,R88)</f>
        <v>0</v>
      </c>
    </row>
    <row r="89" spans="1:23" x14ac:dyDescent="0.2">
      <c r="A89">
        <f t="shared" si="5"/>
        <v>0</v>
      </c>
      <c r="B89">
        <f>IF(C89=0,0,A89&amp;" "&amp;COUNTIF($A$1:A89,A89))</f>
        <v>0</v>
      </c>
      <c r="C89">
        <v>0</v>
      </c>
      <c r="D89" t="s">
        <v>2898</v>
      </c>
      <c r="E89">
        <v>4500</v>
      </c>
      <c r="F89" t="s">
        <v>68</v>
      </c>
      <c r="G89" s="16">
        <v>0</v>
      </c>
      <c r="J89">
        <f t="shared" si="6"/>
        <v>0</v>
      </c>
      <c r="K89">
        <f t="shared" si="6"/>
        <v>0</v>
      </c>
      <c r="L89">
        <f t="shared" si="6"/>
        <v>0</v>
      </c>
      <c r="M89">
        <f t="shared" si="6"/>
        <v>0</v>
      </c>
      <c r="N89" t="str">
        <f t="shared" si="7"/>
        <v>N</v>
      </c>
      <c r="R89">
        <f t="shared" si="8"/>
        <v>88</v>
      </c>
      <c r="T89">
        <f>VLOOKUP($W89,'Fanduel Export'!$BA:$BG,4,FALSE)</f>
        <v>1</v>
      </c>
      <c r="U89" t="str">
        <f>VLOOKUP($W89,'Fanduel Export'!$BA:$BG,5,FALSE)</f>
        <v>Mike Evans</v>
      </c>
      <c r="V89">
        <f>VLOOKUP($W89,'Fanduel Export'!$BA:$BG,6,FALSE)</f>
        <v>8200</v>
      </c>
      <c r="W89">
        <f>LARGE('Fanduel Export'!$BA:$BA,R89)</f>
        <v>0</v>
      </c>
    </row>
    <row r="90" spans="1:23" x14ac:dyDescent="0.2">
      <c r="A90">
        <f t="shared" si="5"/>
        <v>0</v>
      </c>
      <c r="B90">
        <f>IF(C90=0,0,A90&amp;" "&amp;COUNTIF($A$1:A90,A90))</f>
        <v>0</v>
      </c>
      <c r="C90">
        <v>0</v>
      </c>
      <c r="D90" t="s">
        <v>480</v>
      </c>
      <c r="E90">
        <v>4500</v>
      </c>
      <c r="F90" t="s">
        <v>68</v>
      </c>
      <c r="G90" s="16">
        <v>0</v>
      </c>
      <c r="J90">
        <f t="shared" si="6"/>
        <v>0</v>
      </c>
      <c r="K90">
        <f t="shared" si="6"/>
        <v>0</v>
      </c>
      <c r="L90">
        <f t="shared" si="6"/>
        <v>0</v>
      </c>
      <c r="M90">
        <f t="shared" si="6"/>
        <v>0</v>
      </c>
      <c r="N90" t="str">
        <f t="shared" si="7"/>
        <v>N</v>
      </c>
      <c r="R90">
        <f t="shared" si="8"/>
        <v>89</v>
      </c>
      <c r="T90">
        <f>VLOOKUP($W90,'Fanduel Export'!$BA:$BG,4,FALSE)</f>
        <v>1</v>
      </c>
      <c r="U90" t="str">
        <f>VLOOKUP($W90,'Fanduel Export'!$BA:$BG,5,FALSE)</f>
        <v>Mike Evans</v>
      </c>
      <c r="V90">
        <f>VLOOKUP($W90,'Fanduel Export'!$BA:$BG,6,FALSE)</f>
        <v>8200</v>
      </c>
      <c r="W90">
        <f>LARGE('Fanduel Export'!$BA:$BA,R90)</f>
        <v>0</v>
      </c>
    </row>
    <row r="91" spans="1:23" x14ac:dyDescent="0.2">
      <c r="A91">
        <f t="shared" si="5"/>
        <v>0</v>
      </c>
      <c r="B91">
        <f>IF(C91=0,0,A91&amp;" "&amp;COUNTIF($A$1:A91,A91))</f>
        <v>0</v>
      </c>
      <c r="C91">
        <v>0</v>
      </c>
      <c r="D91" t="s">
        <v>2558</v>
      </c>
      <c r="E91">
        <v>4500</v>
      </c>
      <c r="F91" t="s">
        <v>68</v>
      </c>
      <c r="G91" s="16">
        <v>0</v>
      </c>
      <c r="J91">
        <f t="shared" si="6"/>
        <v>0</v>
      </c>
      <c r="K91">
        <f t="shared" si="6"/>
        <v>0</v>
      </c>
      <c r="L91">
        <f t="shared" si="6"/>
        <v>0</v>
      </c>
      <c r="M91">
        <f t="shared" si="6"/>
        <v>0</v>
      </c>
      <c r="N91" t="str">
        <f t="shared" si="7"/>
        <v>N</v>
      </c>
      <c r="R91">
        <f t="shared" si="8"/>
        <v>90</v>
      </c>
      <c r="T91">
        <f>VLOOKUP($W91,'Fanduel Export'!$BA:$BG,4,FALSE)</f>
        <v>1</v>
      </c>
      <c r="U91" t="str">
        <f>VLOOKUP($W91,'Fanduel Export'!$BA:$BG,5,FALSE)</f>
        <v>Mike Evans</v>
      </c>
      <c r="V91">
        <f>VLOOKUP($W91,'Fanduel Export'!$BA:$BG,6,FALSE)</f>
        <v>8200</v>
      </c>
      <c r="W91">
        <f>LARGE('Fanduel Export'!$BA:$BA,R91)</f>
        <v>0</v>
      </c>
    </row>
    <row r="92" spans="1:23" x14ac:dyDescent="0.2">
      <c r="A92">
        <f t="shared" si="5"/>
        <v>0</v>
      </c>
      <c r="B92">
        <f>IF(C92=0,0,A92&amp;" "&amp;COUNTIF($A$1:A92,A92))</f>
        <v>0</v>
      </c>
      <c r="C92">
        <v>0</v>
      </c>
      <c r="D92" t="s">
        <v>2620</v>
      </c>
      <c r="E92">
        <v>4500</v>
      </c>
      <c r="F92" t="s">
        <v>68</v>
      </c>
      <c r="G92" s="16">
        <v>0</v>
      </c>
      <c r="J92">
        <f t="shared" si="6"/>
        <v>0</v>
      </c>
      <c r="K92">
        <f t="shared" si="6"/>
        <v>0</v>
      </c>
      <c r="L92">
        <f t="shared" si="6"/>
        <v>0</v>
      </c>
      <c r="M92">
        <f t="shared" si="6"/>
        <v>0</v>
      </c>
      <c r="N92" t="str">
        <f t="shared" si="7"/>
        <v>N</v>
      </c>
      <c r="R92">
        <f t="shared" si="8"/>
        <v>91</v>
      </c>
      <c r="T92">
        <f>VLOOKUP($W92,'Fanduel Export'!$BA:$BG,4,FALSE)</f>
        <v>1</v>
      </c>
      <c r="U92" t="str">
        <f>VLOOKUP($W92,'Fanduel Export'!$BA:$BG,5,FALSE)</f>
        <v>Mike Evans</v>
      </c>
      <c r="V92">
        <f>VLOOKUP($W92,'Fanduel Export'!$BA:$BG,6,FALSE)</f>
        <v>8200</v>
      </c>
      <c r="W92">
        <f>LARGE('Fanduel Export'!$BA:$BA,R92)</f>
        <v>0</v>
      </c>
    </row>
    <row r="93" spans="1:23" x14ac:dyDescent="0.2">
      <c r="A93">
        <f t="shared" si="5"/>
        <v>0</v>
      </c>
      <c r="B93">
        <f>IF(C93=0,0,A93&amp;" "&amp;COUNTIF($A$1:A93,A93))</f>
        <v>0</v>
      </c>
      <c r="C93">
        <v>0</v>
      </c>
      <c r="D93" t="s">
        <v>2394</v>
      </c>
      <c r="E93">
        <v>4500</v>
      </c>
      <c r="F93" t="s">
        <v>83</v>
      </c>
      <c r="G93" s="16">
        <v>0</v>
      </c>
      <c r="J93">
        <f t="shared" si="6"/>
        <v>0</v>
      </c>
      <c r="K93">
        <f t="shared" si="6"/>
        <v>0</v>
      </c>
      <c r="L93">
        <f t="shared" si="6"/>
        <v>0</v>
      </c>
      <c r="M93">
        <f t="shared" si="6"/>
        <v>0</v>
      </c>
      <c r="N93" t="str">
        <f t="shared" si="7"/>
        <v>N</v>
      </c>
      <c r="R93">
        <f t="shared" si="8"/>
        <v>92</v>
      </c>
      <c r="T93">
        <f>VLOOKUP($W93,'Fanduel Export'!$BA:$BG,4,FALSE)</f>
        <v>1</v>
      </c>
      <c r="U93" t="str">
        <f>VLOOKUP($W93,'Fanduel Export'!$BA:$BG,5,FALSE)</f>
        <v>Mike Evans</v>
      </c>
      <c r="V93">
        <f>VLOOKUP($W93,'Fanduel Export'!$BA:$BG,6,FALSE)</f>
        <v>8200</v>
      </c>
      <c r="W93">
        <f>LARGE('Fanduel Export'!$BA:$BA,R93)</f>
        <v>0</v>
      </c>
    </row>
    <row r="94" spans="1:23" x14ac:dyDescent="0.2">
      <c r="A94">
        <f t="shared" si="5"/>
        <v>0</v>
      </c>
      <c r="B94">
        <f>IF(C94=0,0,A94&amp;" "&amp;COUNTIF($A$1:A94,A94))</f>
        <v>0</v>
      </c>
      <c r="C94">
        <v>0</v>
      </c>
      <c r="D94" t="s">
        <v>179</v>
      </c>
      <c r="E94">
        <v>4500</v>
      </c>
      <c r="F94" t="s">
        <v>83</v>
      </c>
      <c r="G94" s="16">
        <v>4.5221807076116196</v>
      </c>
      <c r="J94">
        <f t="shared" si="6"/>
        <v>0</v>
      </c>
      <c r="K94">
        <f t="shared" si="6"/>
        <v>0</v>
      </c>
      <c r="L94">
        <f t="shared" si="6"/>
        <v>0</v>
      </c>
      <c r="M94">
        <f t="shared" si="6"/>
        <v>0</v>
      </c>
      <c r="N94" t="str">
        <f t="shared" si="7"/>
        <v>N</v>
      </c>
      <c r="R94">
        <f t="shared" si="8"/>
        <v>93</v>
      </c>
      <c r="T94">
        <f>VLOOKUP($W94,'Fanduel Export'!$BA:$BG,4,FALSE)</f>
        <v>1</v>
      </c>
      <c r="U94" t="str">
        <f>VLOOKUP($W94,'Fanduel Export'!$BA:$BG,5,FALSE)</f>
        <v>Mike Evans</v>
      </c>
      <c r="V94">
        <f>VLOOKUP($W94,'Fanduel Export'!$BA:$BG,6,FALSE)</f>
        <v>8200</v>
      </c>
      <c r="W94">
        <f>LARGE('Fanduel Export'!$BA:$BA,R94)</f>
        <v>0</v>
      </c>
    </row>
    <row r="95" spans="1:23" x14ac:dyDescent="0.2">
      <c r="A95">
        <f t="shared" si="5"/>
        <v>0</v>
      </c>
      <c r="B95">
        <f>IF(C95=0,0,A95&amp;" "&amp;COUNTIF($A$1:A95,A95))</f>
        <v>0</v>
      </c>
      <c r="C95">
        <v>0</v>
      </c>
      <c r="D95" t="s">
        <v>587</v>
      </c>
      <c r="E95">
        <v>4500</v>
      </c>
      <c r="F95" t="s">
        <v>83</v>
      </c>
      <c r="G95" s="16">
        <v>0</v>
      </c>
      <c r="J95">
        <f t="shared" si="6"/>
        <v>0</v>
      </c>
      <c r="K95">
        <f t="shared" si="6"/>
        <v>0</v>
      </c>
      <c r="L95">
        <f t="shared" si="6"/>
        <v>0</v>
      </c>
      <c r="M95">
        <f t="shared" si="6"/>
        <v>0</v>
      </c>
      <c r="N95" t="str">
        <f t="shared" si="7"/>
        <v>N</v>
      </c>
      <c r="R95">
        <f t="shared" si="8"/>
        <v>94</v>
      </c>
      <c r="T95">
        <f>VLOOKUP($W95,'Fanduel Export'!$BA:$BG,4,FALSE)</f>
        <v>1</v>
      </c>
      <c r="U95" t="str">
        <f>VLOOKUP($W95,'Fanduel Export'!$BA:$BG,5,FALSE)</f>
        <v>Mike Evans</v>
      </c>
      <c r="V95">
        <f>VLOOKUP($W95,'Fanduel Export'!$BA:$BG,6,FALSE)</f>
        <v>8200</v>
      </c>
      <c r="W95">
        <f>LARGE('Fanduel Export'!$BA:$BA,R95)</f>
        <v>0</v>
      </c>
    </row>
    <row r="96" spans="1:23" x14ac:dyDescent="0.2">
      <c r="A96">
        <f t="shared" si="5"/>
        <v>0</v>
      </c>
      <c r="B96">
        <f>IF(C96=0,0,A96&amp;" "&amp;COUNTIF($A$1:A96,A96))</f>
        <v>0</v>
      </c>
      <c r="C96">
        <v>0</v>
      </c>
      <c r="D96" t="s">
        <v>1857</v>
      </c>
      <c r="E96">
        <v>4500</v>
      </c>
      <c r="F96" t="s">
        <v>68</v>
      </c>
      <c r="G96" s="16">
        <v>0</v>
      </c>
      <c r="J96">
        <f t="shared" si="6"/>
        <v>0</v>
      </c>
      <c r="K96">
        <f t="shared" si="6"/>
        <v>0</v>
      </c>
      <c r="L96">
        <f t="shared" si="6"/>
        <v>0</v>
      </c>
      <c r="M96">
        <f t="shared" si="6"/>
        <v>0</v>
      </c>
      <c r="N96" t="str">
        <f t="shared" si="7"/>
        <v>N</v>
      </c>
      <c r="R96">
        <f t="shared" si="8"/>
        <v>95</v>
      </c>
      <c r="T96">
        <f>VLOOKUP($W96,'Fanduel Export'!$BA:$BG,4,FALSE)</f>
        <v>1</v>
      </c>
      <c r="U96" t="str">
        <f>VLOOKUP($W96,'Fanduel Export'!$BA:$BG,5,FALSE)</f>
        <v>Mike Evans</v>
      </c>
      <c r="V96">
        <f>VLOOKUP($W96,'Fanduel Export'!$BA:$BG,6,FALSE)</f>
        <v>8200</v>
      </c>
      <c r="W96">
        <f>LARGE('Fanduel Export'!$BA:$BA,R96)</f>
        <v>0</v>
      </c>
    </row>
    <row r="97" spans="1:23" x14ac:dyDescent="0.2">
      <c r="A97">
        <f t="shared" si="5"/>
        <v>0</v>
      </c>
      <c r="B97">
        <f>IF(C97=0,0,A97&amp;" "&amp;COUNTIF($A$1:A97,A97))</f>
        <v>0</v>
      </c>
      <c r="C97">
        <v>0</v>
      </c>
      <c r="D97" t="s">
        <v>2573</v>
      </c>
      <c r="E97">
        <v>4500</v>
      </c>
      <c r="F97" t="s">
        <v>83</v>
      </c>
      <c r="G97" s="16"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 t="str">
        <f t="shared" si="7"/>
        <v>N</v>
      </c>
      <c r="R97">
        <f t="shared" si="8"/>
        <v>96</v>
      </c>
      <c r="T97">
        <f>VLOOKUP($W97,'Fanduel Export'!$BA:$BG,4,FALSE)</f>
        <v>1</v>
      </c>
      <c r="U97" t="str">
        <f>VLOOKUP($W97,'Fanduel Export'!$BA:$BG,5,FALSE)</f>
        <v>Mike Evans</v>
      </c>
      <c r="V97">
        <f>VLOOKUP($W97,'Fanduel Export'!$BA:$BG,6,FALSE)</f>
        <v>8200</v>
      </c>
      <c r="W97">
        <f>LARGE('Fanduel Export'!$BA:$BA,R97)</f>
        <v>0</v>
      </c>
    </row>
    <row r="98" spans="1:23" x14ac:dyDescent="0.2">
      <c r="A98">
        <f t="shared" si="5"/>
        <v>0</v>
      </c>
      <c r="B98">
        <f>IF(C98=0,0,A98&amp;" "&amp;COUNTIF($A$1:A98,A98))</f>
        <v>0</v>
      </c>
      <c r="C98">
        <v>0</v>
      </c>
      <c r="D98" t="s">
        <v>2462</v>
      </c>
      <c r="E98">
        <v>4500</v>
      </c>
      <c r="F98" t="s">
        <v>83</v>
      </c>
      <c r="G98" s="16"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 t="str">
        <f t="shared" si="7"/>
        <v>N</v>
      </c>
      <c r="R98">
        <f t="shared" si="8"/>
        <v>97</v>
      </c>
      <c r="T98">
        <f>VLOOKUP($W98,'Fanduel Export'!$BA:$BG,4,FALSE)</f>
        <v>1</v>
      </c>
      <c r="U98" t="str">
        <f>VLOOKUP($W98,'Fanduel Export'!$BA:$BG,5,FALSE)</f>
        <v>Mike Evans</v>
      </c>
      <c r="V98">
        <f>VLOOKUP($W98,'Fanduel Export'!$BA:$BG,6,FALSE)</f>
        <v>8200</v>
      </c>
      <c r="W98">
        <f>LARGE('Fanduel Export'!$BA:$BA,R98)</f>
        <v>0</v>
      </c>
    </row>
    <row r="99" spans="1:23" x14ac:dyDescent="0.2">
      <c r="A99">
        <f t="shared" si="5"/>
        <v>0</v>
      </c>
      <c r="B99">
        <f>IF(C99=0,0,A99&amp;" "&amp;COUNTIF($A$1:A99,A99))</f>
        <v>0</v>
      </c>
      <c r="C99">
        <v>0</v>
      </c>
      <c r="D99" t="s">
        <v>2430</v>
      </c>
      <c r="E99">
        <v>4500</v>
      </c>
      <c r="F99" t="s">
        <v>83</v>
      </c>
      <c r="G99" s="16"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 t="str">
        <f t="shared" si="7"/>
        <v>N</v>
      </c>
      <c r="R99">
        <f t="shared" si="8"/>
        <v>98</v>
      </c>
      <c r="T99">
        <f>VLOOKUP($W99,'Fanduel Export'!$BA:$BG,4,FALSE)</f>
        <v>1</v>
      </c>
      <c r="U99" t="str">
        <f>VLOOKUP($W99,'Fanduel Export'!$BA:$BG,5,FALSE)</f>
        <v>Mike Evans</v>
      </c>
      <c r="V99">
        <f>VLOOKUP($W99,'Fanduel Export'!$BA:$BG,6,FALSE)</f>
        <v>8200</v>
      </c>
      <c r="W99">
        <f>LARGE('Fanduel Export'!$BA:$BA,R99)</f>
        <v>0</v>
      </c>
    </row>
    <row r="100" spans="1:23" x14ac:dyDescent="0.2">
      <c r="A100">
        <f t="shared" si="5"/>
        <v>0</v>
      </c>
      <c r="B100">
        <f>IF(C100=0,0,A100&amp;" "&amp;COUNTIF($A$1:A100,A100))</f>
        <v>0</v>
      </c>
      <c r="C100">
        <v>0</v>
      </c>
      <c r="D100" t="s">
        <v>2613</v>
      </c>
      <c r="E100">
        <v>4500</v>
      </c>
      <c r="F100" t="s">
        <v>83</v>
      </c>
      <c r="G100" s="16"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>
        <f t="shared" si="6"/>
        <v>0</v>
      </c>
      <c r="N100" t="str">
        <f t="shared" si="7"/>
        <v>N</v>
      </c>
      <c r="R100">
        <f t="shared" si="8"/>
        <v>99</v>
      </c>
      <c r="T100">
        <f>VLOOKUP($W100,'Fanduel Export'!$BA:$BG,4,FALSE)</f>
        <v>1</v>
      </c>
      <c r="U100" t="str">
        <f>VLOOKUP($W100,'Fanduel Export'!$BA:$BG,5,FALSE)</f>
        <v>Mike Evans</v>
      </c>
      <c r="V100">
        <f>VLOOKUP($W100,'Fanduel Export'!$BA:$BG,6,FALSE)</f>
        <v>8200</v>
      </c>
      <c r="W100">
        <f>LARGE('Fanduel Export'!$BA:$BA,R100)</f>
        <v>0</v>
      </c>
    </row>
    <row r="101" spans="1:23" x14ac:dyDescent="0.2">
      <c r="A101">
        <f t="shared" si="5"/>
        <v>0</v>
      </c>
      <c r="B101">
        <f>IF(C101=0,0,A101&amp;" "&amp;COUNTIF($A$1:A101,A101))</f>
        <v>0</v>
      </c>
      <c r="C101">
        <v>0</v>
      </c>
      <c r="D101" t="s">
        <v>2269</v>
      </c>
      <c r="E101">
        <v>4500</v>
      </c>
      <c r="F101" t="s">
        <v>68</v>
      </c>
      <c r="G101" s="16">
        <v>0.19130588019926353</v>
      </c>
      <c r="J101">
        <f t="shared" si="6"/>
        <v>0</v>
      </c>
      <c r="K101">
        <f t="shared" si="6"/>
        <v>0</v>
      </c>
      <c r="L101">
        <f t="shared" si="6"/>
        <v>0</v>
      </c>
      <c r="M101">
        <f t="shared" si="6"/>
        <v>0</v>
      </c>
      <c r="N101" t="str">
        <f t="shared" si="7"/>
        <v>N</v>
      </c>
      <c r="R101">
        <f t="shared" si="8"/>
        <v>100</v>
      </c>
      <c r="T101">
        <f>VLOOKUP($W101,'Fanduel Export'!$BA:$BG,4,FALSE)</f>
        <v>1</v>
      </c>
      <c r="U101" t="str">
        <f>VLOOKUP($W101,'Fanduel Export'!$BA:$BG,5,FALSE)</f>
        <v>Mike Evans</v>
      </c>
      <c r="V101">
        <f>VLOOKUP($W101,'Fanduel Export'!$BA:$BG,6,FALSE)</f>
        <v>8200</v>
      </c>
      <c r="W101">
        <f>LARGE('Fanduel Export'!$BA:$BA,R101)</f>
        <v>0</v>
      </c>
    </row>
    <row r="102" spans="1:23" x14ac:dyDescent="0.2">
      <c r="A102">
        <f t="shared" si="5"/>
        <v>0</v>
      </c>
      <c r="B102">
        <f>IF(C102=0,0,A102&amp;" "&amp;COUNTIF($A$1:A102,A102))</f>
        <v>0</v>
      </c>
      <c r="C102">
        <v>0</v>
      </c>
      <c r="D102" t="s">
        <v>487</v>
      </c>
      <c r="E102">
        <v>4500</v>
      </c>
      <c r="F102" t="s">
        <v>83</v>
      </c>
      <c r="G102" s="16">
        <v>0.40826191522404642</v>
      </c>
      <c r="J102">
        <f t="shared" si="6"/>
        <v>0</v>
      </c>
      <c r="K102">
        <f t="shared" si="6"/>
        <v>0</v>
      </c>
      <c r="L102">
        <f t="shared" si="6"/>
        <v>0</v>
      </c>
      <c r="M102">
        <f t="shared" si="6"/>
        <v>0</v>
      </c>
      <c r="N102" t="str">
        <f t="shared" si="7"/>
        <v>N</v>
      </c>
      <c r="R102">
        <f t="shared" si="8"/>
        <v>101</v>
      </c>
      <c r="T102">
        <f>VLOOKUP($W102,'Fanduel Export'!$BA:$BG,4,FALSE)</f>
        <v>1</v>
      </c>
      <c r="U102" t="str">
        <f>VLOOKUP($W102,'Fanduel Export'!$BA:$BG,5,FALSE)</f>
        <v>Mike Evans</v>
      </c>
      <c r="V102">
        <f>VLOOKUP($W102,'Fanduel Export'!$BA:$BG,6,FALSE)</f>
        <v>8200</v>
      </c>
      <c r="W102">
        <f>LARGE('Fanduel Export'!$BA:$BA,R102)</f>
        <v>0</v>
      </c>
    </row>
    <row r="103" spans="1:23" x14ac:dyDescent="0.2">
      <c r="A103">
        <f t="shared" si="5"/>
        <v>0</v>
      </c>
      <c r="B103">
        <f>IF(C103=0,0,A103&amp;" "&amp;COUNTIF($A$1:A103,A103))</f>
        <v>0</v>
      </c>
      <c r="C103">
        <v>0</v>
      </c>
      <c r="D103" t="s">
        <v>670</v>
      </c>
      <c r="E103">
        <v>4500</v>
      </c>
      <c r="F103" t="s">
        <v>88</v>
      </c>
      <c r="G103" s="16">
        <v>1.6388964053153452</v>
      </c>
      <c r="J103">
        <f t="shared" si="6"/>
        <v>0</v>
      </c>
      <c r="K103">
        <f t="shared" si="6"/>
        <v>0</v>
      </c>
      <c r="L103">
        <f t="shared" si="6"/>
        <v>0</v>
      </c>
      <c r="M103">
        <f t="shared" si="6"/>
        <v>0</v>
      </c>
      <c r="N103" t="str">
        <f t="shared" si="7"/>
        <v>N</v>
      </c>
      <c r="R103">
        <f t="shared" si="8"/>
        <v>102</v>
      </c>
      <c r="T103">
        <f>VLOOKUP($W103,'Fanduel Export'!$BA:$BG,4,FALSE)</f>
        <v>1</v>
      </c>
      <c r="U103" t="str">
        <f>VLOOKUP($W103,'Fanduel Export'!$BA:$BG,5,FALSE)</f>
        <v>Mike Evans</v>
      </c>
      <c r="V103">
        <f>VLOOKUP($W103,'Fanduel Export'!$BA:$BG,6,FALSE)</f>
        <v>8200</v>
      </c>
      <c r="W103">
        <f>LARGE('Fanduel Export'!$BA:$BA,R103)</f>
        <v>0</v>
      </c>
    </row>
    <row r="104" spans="1:23" x14ac:dyDescent="0.2">
      <c r="A104">
        <f t="shared" si="5"/>
        <v>0</v>
      </c>
      <c r="B104">
        <f>IF(C104=0,0,A104&amp;" "&amp;COUNTIF($A$1:A104,A104))</f>
        <v>0</v>
      </c>
      <c r="C104">
        <v>0</v>
      </c>
      <c r="D104" t="s">
        <v>2614</v>
      </c>
      <c r="E104">
        <v>4500</v>
      </c>
      <c r="F104" t="s">
        <v>83</v>
      </c>
      <c r="G104" s="16">
        <v>0</v>
      </c>
      <c r="J104">
        <f t="shared" si="6"/>
        <v>0</v>
      </c>
      <c r="K104">
        <f t="shared" si="6"/>
        <v>0</v>
      </c>
      <c r="L104">
        <f t="shared" si="6"/>
        <v>0</v>
      </c>
      <c r="M104">
        <f t="shared" si="6"/>
        <v>0</v>
      </c>
      <c r="N104" t="str">
        <f t="shared" si="7"/>
        <v>N</v>
      </c>
      <c r="R104">
        <f t="shared" si="8"/>
        <v>103</v>
      </c>
      <c r="T104">
        <f>VLOOKUP($W104,'Fanduel Export'!$BA:$BG,4,FALSE)</f>
        <v>1</v>
      </c>
      <c r="U104" t="str">
        <f>VLOOKUP($W104,'Fanduel Export'!$BA:$BG,5,FALSE)</f>
        <v>Mike Evans</v>
      </c>
      <c r="V104">
        <f>VLOOKUP($W104,'Fanduel Export'!$BA:$BG,6,FALSE)</f>
        <v>8200</v>
      </c>
      <c r="W104">
        <f>LARGE('Fanduel Export'!$BA:$BA,R104)</f>
        <v>0</v>
      </c>
    </row>
    <row r="105" spans="1:23" x14ac:dyDescent="0.2">
      <c r="A105">
        <f t="shared" si="5"/>
        <v>0</v>
      </c>
      <c r="B105">
        <f>IF(C105=0,0,A105&amp;" "&amp;COUNTIF($A$1:A105,A105))</f>
        <v>0</v>
      </c>
      <c r="C105">
        <v>0</v>
      </c>
      <c r="D105" t="s">
        <v>2561</v>
      </c>
      <c r="E105">
        <v>4500</v>
      </c>
      <c r="F105" t="s">
        <v>83</v>
      </c>
      <c r="G105" s="16">
        <v>0</v>
      </c>
      <c r="J105">
        <f t="shared" si="6"/>
        <v>0</v>
      </c>
      <c r="K105">
        <f t="shared" si="6"/>
        <v>0</v>
      </c>
      <c r="L105">
        <f t="shared" si="6"/>
        <v>0</v>
      </c>
      <c r="M105">
        <f t="shared" si="6"/>
        <v>0</v>
      </c>
      <c r="N105" t="str">
        <f t="shared" si="7"/>
        <v>N</v>
      </c>
      <c r="R105">
        <f t="shared" si="8"/>
        <v>104</v>
      </c>
      <c r="T105">
        <f>VLOOKUP($W105,'Fanduel Export'!$BA:$BG,4,FALSE)</f>
        <v>1</v>
      </c>
      <c r="U105" t="str">
        <f>VLOOKUP($W105,'Fanduel Export'!$BA:$BG,5,FALSE)</f>
        <v>Mike Evans</v>
      </c>
      <c r="V105">
        <f>VLOOKUP($W105,'Fanduel Export'!$BA:$BG,6,FALSE)</f>
        <v>8200</v>
      </c>
      <c r="W105">
        <f>LARGE('Fanduel Export'!$BA:$BA,R105)</f>
        <v>0</v>
      </c>
    </row>
    <row r="106" spans="1:23" x14ac:dyDescent="0.2">
      <c r="A106">
        <f t="shared" si="5"/>
        <v>0</v>
      </c>
      <c r="B106">
        <f>IF(C106=0,0,A106&amp;" "&amp;COUNTIF($A$1:A106,A106))</f>
        <v>0</v>
      </c>
      <c r="C106">
        <v>0</v>
      </c>
      <c r="D106" t="s">
        <v>1803</v>
      </c>
      <c r="E106">
        <v>4500</v>
      </c>
      <c r="F106" t="s">
        <v>68</v>
      </c>
      <c r="G106" s="16">
        <v>0</v>
      </c>
      <c r="J106">
        <f t="shared" si="6"/>
        <v>0</v>
      </c>
      <c r="K106">
        <f t="shared" si="6"/>
        <v>0</v>
      </c>
      <c r="L106">
        <f t="shared" si="6"/>
        <v>0</v>
      </c>
      <c r="M106">
        <f t="shared" si="6"/>
        <v>0</v>
      </c>
      <c r="N106" t="str">
        <f t="shared" si="7"/>
        <v>N</v>
      </c>
      <c r="R106">
        <f t="shared" si="8"/>
        <v>105</v>
      </c>
      <c r="T106">
        <f>VLOOKUP($W106,'Fanduel Export'!$BA:$BG,4,FALSE)</f>
        <v>1</v>
      </c>
      <c r="U106" t="str">
        <f>VLOOKUP($W106,'Fanduel Export'!$BA:$BG,5,FALSE)</f>
        <v>Mike Evans</v>
      </c>
      <c r="V106">
        <f>VLOOKUP($W106,'Fanduel Export'!$BA:$BG,6,FALSE)</f>
        <v>8200</v>
      </c>
      <c r="W106">
        <f>LARGE('Fanduel Export'!$BA:$BA,R106)</f>
        <v>0</v>
      </c>
    </row>
    <row r="107" spans="1:23" x14ac:dyDescent="0.2">
      <c r="A107">
        <f t="shared" si="5"/>
        <v>0</v>
      </c>
      <c r="B107">
        <f>IF(C107=0,0,A107&amp;" "&amp;COUNTIF($A$1:A107,A107))</f>
        <v>0</v>
      </c>
      <c r="C107">
        <v>0</v>
      </c>
      <c r="D107" t="s">
        <v>372</v>
      </c>
      <c r="E107">
        <v>4500</v>
      </c>
      <c r="F107" t="s">
        <v>68</v>
      </c>
      <c r="G107" s="16">
        <v>0</v>
      </c>
      <c r="J107">
        <f t="shared" si="6"/>
        <v>0</v>
      </c>
      <c r="K107">
        <f t="shared" si="6"/>
        <v>0</v>
      </c>
      <c r="L107">
        <f t="shared" si="6"/>
        <v>0</v>
      </c>
      <c r="M107">
        <f t="shared" si="6"/>
        <v>0</v>
      </c>
      <c r="N107" t="str">
        <f t="shared" si="7"/>
        <v>N</v>
      </c>
      <c r="R107">
        <f t="shared" si="8"/>
        <v>106</v>
      </c>
      <c r="T107">
        <f>VLOOKUP($W107,'Fanduel Export'!$BA:$BG,4,FALSE)</f>
        <v>1</v>
      </c>
      <c r="U107" t="str">
        <f>VLOOKUP($W107,'Fanduel Export'!$BA:$BG,5,FALSE)</f>
        <v>Mike Evans</v>
      </c>
      <c r="V107">
        <f>VLOOKUP($W107,'Fanduel Export'!$BA:$BG,6,FALSE)</f>
        <v>8200</v>
      </c>
      <c r="W107">
        <f>LARGE('Fanduel Export'!$BA:$BA,R107)</f>
        <v>0</v>
      </c>
    </row>
    <row r="108" spans="1:23" x14ac:dyDescent="0.2">
      <c r="A108">
        <f t="shared" si="5"/>
        <v>0</v>
      </c>
      <c r="B108">
        <f>IF(C108=0,0,A108&amp;" "&amp;COUNTIF($A$1:A108,A108))</f>
        <v>0</v>
      </c>
      <c r="C108">
        <v>0</v>
      </c>
      <c r="D108" t="s">
        <v>2563</v>
      </c>
      <c r="E108">
        <v>4500</v>
      </c>
      <c r="F108" t="s">
        <v>83</v>
      </c>
      <c r="G108" s="16">
        <v>0</v>
      </c>
      <c r="J108">
        <f t="shared" si="6"/>
        <v>0</v>
      </c>
      <c r="K108">
        <f t="shared" si="6"/>
        <v>0</v>
      </c>
      <c r="L108">
        <f t="shared" si="6"/>
        <v>0</v>
      </c>
      <c r="M108">
        <f t="shared" si="6"/>
        <v>0</v>
      </c>
      <c r="N108" t="str">
        <f t="shared" si="7"/>
        <v>N</v>
      </c>
      <c r="R108">
        <f t="shared" si="8"/>
        <v>107</v>
      </c>
      <c r="T108">
        <f>VLOOKUP($W108,'Fanduel Export'!$BA:$BG,4,FALSE)</f>
        <v>1</v>
      </c>
      <c r="U108" t="str">
        <f>VLOOKUP($W108,'Fanduel Export'!$BA:$BG,5,FALSE)</f>
        <v>Mike Evans</v>
      </c>
      <c r="V108">
        <f>VLOOKUP($W108,'Fanduel Export'!$BA:$BG,6,FALSE)</f>
        <v>8200</v>
      </c>
      <c r="W108">
        <f>LARGE('Fanduel Export'!$BA:$BA,R108)</f>
        <v>0</v>
      </c>
    </row>
    <row r="109" spans="1:23" x14ac:dyDescent="0.2">
      <c r="A109">
        <f t="shared" si="5"/>
        <v>0</v>
      </c>
      <c r="B109">
        <f>IF(C109=0,0,A109&amp;" "&amp;COUNTIF($A$1:A109,A109))</f>
        <v>0</v>
      </c>
      <c r="C109">
        <v>0</v>
      </c>
      <c r="D109" t="s">
        <v>2391</v>
      </c>
      <c r="E109">
        <v>4500</v>
      </c>
      <c r="F109" t="s">
        <v>83</v>
      </c>
      <c r="G109" s="16">
        <v>0</v>
      </c>
      <c r="J109">
        <f t="shared" si="6"/>
        <v>0</v>
      </c>
      <c r="K109">
        <f t="shared" si="6"/>
        <v>0</v>
      </c>
      <c r="L109">
        <f t="shared" si="6"/>
        <v>0</v>
      </c>
      <c r="M109">
        <f t="shared" si="6"/>
        <v>0</v>
      </c>
      <c r="N109" t="str">
        <f t="shared" si="7"/>
        <v>N</v>
      </c>
      <c r="R109">
        <f t="shared" si="8"/>
        <v>108</v>
      </c>
      <c r="T109">
        <f>VLOOKUP($W109,'Fanduel Export'!$BA:$BG,4,FALSE)</f>
        <v>1</v>
      </c>
      <c r="U109" t="str">
        <f>VLOOKUP($W109,'Fanduel Export'!$BA:$BG,5,FALSE)</f>
        <v>Mike Evans</v>
      </c>
      <c r="V109">
        <f>VLOOKUP($W109,'Fanduel Export'!$BA:$BG,6,FALSE)</f>
        <v>8200</v>
      </c>
      <c r="W109">
        <f>LARGE('Fanduel Export'!$BA:$BA,R109)</f>
        <v>0</v>
      </c>
    </row>
    <row r="110" spans="1:23" x14ac:dyDescent="0.2">
      <c r="A110">
        <f t="shared" si="5"/>
        <v>0</v>
      </c>
      <c r="B110">
        <f>IF(C110=0,0,A110&amp;" "&amp;COUNTIF($A$1:A110,A110))</f>
        <v>0</v>
      </c>
      <c r="C110">
        <v>0</v>
      </c>
      <c r="D110" t="s">
        <v>2575</v>
      </c>
      <c r="E110">
        <v>4500</v>
      </c>
      <c r="F110" t="s">
        <v>68</v>
      </c>
      <c r="G110" s="16">
        <v>0</v>
      </c>
      <c r="J110">
        <f t="shared" si="6"/>
        <v>0</v>
      </c>
      <c r="K110">
        <f t="shared" si="6"/>
        <v>0</v>
      </c>
      <c r="L110">
        <f t="shared" si="6"/>
        <v>0</v>
      </c>
      <c r="M110">
        <f t="shared" si="6"/>
        <v>0</v>
      </c>
      <c r="N110" t="str">
        <f t="shared" si="7"/>
        <v>N</v>
      </c>
      <c r="R110">
        <f t="shared" si="8"/>
        <v>109</v>
      </c>
      <c r="T110">
        <f>VLOOKUP($W110,'Fanduel Export'!$BA:$BG,4,FALSE)</f>
        <v>1</v>
      </c>
      <c r="U110" t="str">
        <f>VLOOKUP($W110,'Fanduel Export'!$BA:$BG,5,FALSE)</f>
        <v>Mike Evans</v>
      </c>
      <c r="V110">
        <f>VLOOKUP($W110,'Fanduel Export'!$BA:$BG,6,FALSE)</f>
        <v>8200</v>
      </c>
      <c r="W110">
        <f>LARGE('Fanduel Export'!$BA:$BA,R110)</f>
        <v>0</v>
      </c>
    </row>
    <row r="111" spans="1:23" x14ac:dyDescent="0.2">
      <c r="A111">
        <f t="shared" si="5"/>
        <v>0</v>
      </c>
      <c r="B111">
        <f>IF(C111=0,0,A111&amp;" "&amp;COUNTIF($A$1:A111,A111))</f>
        <v>0</v>
      </c>
      <c r="C111">
        <v>0</v>
      </c>
      <c r="D111" t="s">
        <v>2352</v>
      </c>
      <c r="E111">
        <v>4500</v>
      </c>
      <c r="F111" t="s">
        <v>83</v>
      </c>
      <c r="G111" s="16">
        <v>0</v>
      </c>
      <c r="J111">
        <f t="shared" si="6"/>
        <v>0</v>
      </c>
      <c r="K111">
        <f t="shared" si="6"/>
        <v>0</v>
      </c>
      <c r="L111">
        <f t="shared" si="6"/>
        <v>0</v>
      </c>
      <c r="M111">
        <f t="shared" si="6"/>
        <v>0</v>
      </c>
      <c r="N111" t="str">
        <f t="shared" si="7"/>
        <v>N</v>
      </c>
      <c r="R111">
        <f t="shared" si="8"/>
        <v>110</v>
      </c>
      <c r="T111">
        <f>VLOOKUP($W111,'Fanduel Export'!$BA:$BG,4,FALSE)</f>
        <v>1</v>
      </c>
      <c r="U111" t="str">
        <f>VLOOKUP($W111,'Fanduel Export'!$BA:$BG,5,FALSE)</f>
        <v>Mike Evans</v>
      </c>
      <c r="V111">
        <f>VLOOKUP($W111,'Fanduel Export'!$BA:$BG,6,FALSE)</f>
        <v>8200</v>
      </c>
      <c r="W111">
        <f>LARGE('Fanduel Export'!$BA:$BA,R111)</f>
        <v>0</v>
      </c>
    </row>
    <row r="112" spans="1:23" x14ac:dyDescent="0.2">
      <c r="A112">
        <f t="shared" si="5"/>
        <v>0</v>
      </c>
      <c r="B112">
        <f>IF(C112=0,0,A112&amp;" "&amp;COUNTIF($A$1:A112,A112))</f>
        <v>0</v>
      </c>
      <c r="C112">
        <v>0</v>
      </c>
      <c r="D112" t="s">
        <v>330</v>
      </c>
      <c r="E112">
        <v>4500</v>
      </c>
      <c r="F112" t="s">
        <v>68</v>
      </c>
      <c r="G112" s="16">
        <v>0</v>
      </c>
      <c r="J112">
        <f t="shared" si="6"/>
        <v>0</v>
      </c>
      <c r="K112">
        <f t="shared" si="6"/>
        <v>0</v>
      </c>
      <c r="L112">
        <f t="shared" si="6"/>
        <v>0</v>
      </c>
      <c r="M112">
        <f t="shared" si="6"/>
        <v>0</v>
      </c>
      <c r="N112" t="str">
        <f t="shared" si="7"/>
        <v>N</v>
      </c>
      <c r="R112">
        <f t="shared" si="8"/>
        <v>111</v>
      </c>
      <c r="T112">
        <f>VLOOKUP($W112,'Fanduel Export'!$BA:$BG,4,FALSE)</f>
        <v>1</v>
      </c>
      <c r="U112" t="str">
        <f>VLOOKUP($W112,'Fanduel Export'!$BA:$BG,5,FALSE)</f>
        <v>Mike Evans</v>
      </c>
      <c r="V112">
        <f>VLOOKUP($W112,'Fanduel Export'!$BA:$BG,6,FALSE)</f>
        <v>8200</v>
      </c>
      <c r="W112">
        <f>LARGE('Fanduel Export'!$BA:$BA,R112)</f>
        <v>0</v>
      </c>
    </row>
    <row r="113" spans="1:23" x14ac:dyDescent="0.2">
      <c r="A113">
        <f t="shared" si="5"/>
        <v>0</v>
      </c>
      <c r="B113">
        <f>IF(C113=0,0,A113&amp;" "&amp;COUNTIF($A$1:A113,A113))</f>
        <v>0</v>
      </c>
      <c r="C113">
        <v>0</v>
      </c>
      <c r="D113" t="s">
        <v>1543</v>
      </c>
      <c r="E113">
        <v>4500</v>
      </c>
      <c r="F113" t="s">
        <v>83</v>
      </c>
      <c r="G113" s="16">
        <v>0</v>
      </c>
      <c r="J113">
        <f t="shared" si="6"/>
        <v>0</v>
      </c>
      <c r="K113">
        <f t="shared" si="6"/>
        <v>0</v>
      </c>
      <c r="L113">
        <f t="shared" si="6"/>
        <v>0</v>
      </c>
      <c r="M113">
        <f t="shared" si="6"/>
        <v>0</v>
      </c>
      <c r="N113" t="str">
        <f t="shared" si="7"/>
        <v>N</v>
      </c>
      <c r="R113">
        <f t="shared" si="8"/>
        <v>112</v>
      </c>
      <c r="T113">
        <f>VLOOKUP($W113,'Fanduel Export'!$BA:$BG,4,FALSE)</f>
        <v>1</v>
      </c>
      <c r="U113" t="str">
        <f>VLOOKUP($W113,'Fanduel Export'!$BA:$BG,5,FALSE)</f>
        <v>Mike Evans</v>
      </c>
      <c r="V113">
        <f>VLOOKUP($W113,'Fanduel Export'!$BA:$BG,6,FALSE)</f>
        <v>8200</v>
      </c>
      <c r="W113">
        <f>LARGE('Fanduel Export'!$BA:$BA,R113)</f>
        <v>0</v>
      </c>
    </row>
    <row r="114" spans="1:23" x14ac:dyDescent="0.2">
      <c r="A114">
        <f t="shared" si="5"/>
        <v>0</v>
      </c>
      <c r="B114">
        <f>IF(C114=0,0,A114&amp;" "&amp;COUNTIF($A$1:A114,A114))</f>
        <v>0</v>
      </c>
      <c r="C114">
        <v>0</v>
      </c>
      <c r="D114" t="s">
        <v>2395</v>
      </c>
      <c r="E114">
        <v>4500</v>
      </c>
      <c r="F114" t="s">
        <v>83</v>
      </c>
      <c r="G114" s="16">
        <v>0</v>
      </c>
      <c r="J114">
        <f t="shared" si="6"/>
        <v>0</v>
      </c>
      <c r="K114">
        <f t="shared" si="6"/>
        <v>0</v>
      </c>
      <c r="L114">
        <f t="shared" si="6"/>
        <v>0</v>
      </c>
      <c r="M114">
        <f t="shared" si="6"/>
        <v>0</v>
      </c>
      <c r="N114" t="str">
        <f t="shared" si="7"/>
        <v>N</v>
      </c>
      <c r="R114">
        <f t="shared" si="8"/>
        <v>113</v>
      </c>
      <c r="T114">
        <f>VLOOKUP($W114,'Fanduel Export'!$BA:$BG,4,FALSE)</f>
        <v>1</v>
      </c>
      <c r="U114" t="str">
        <f>VLOOKUP($W114,'Fanduel Export'!$BA:$BG,5,FALSE)</f>
        <v>Mike Evans</v>
      </c>
      <c r="V114">
        <f>VLOOKUP($W114,'Fanduel Export'!$BA:$BG,6,FALSE)</f>
        <v>8200</v>
      </c>
      <c r="W114">
        <f>LARGE('Fanduel Export'!$BA:$BA,R114)</f>
        <v>0</v>
      </c>
    </row>
    <row r="115" spans="1:23" x14ac:dyDescent="0.2">
      <c r="A115">
        <f t="shared" si="5"/>
        <v>0</v>
      </c>
      <c r="B115">
        <f>IF(C115=0,0,A115&amp;" "&amp;COUNTIF($A$1:A115,A115))</f>
        <v>0</v>
      </c>
      <c r="C115">
        <v>0</v>
      </c>
      <c r="D115" t="s">
        <v>2453</v>
      </c>
      <c r="E115">
        <v>4500</v>
      </c>
      <c r="F115" t="s">
        <v>83</v>
      </c>
      <c r="G115" s="16">
        <v>0</v>
      </c>
      <c r="J115">
        <f t="shared" si="6"/>
        <v>0</v>
      </c>
      <c r="K115">
        <f t="shared" si="6"/>
        <v>0</v>
      </c>
      <c r="L115">
        <f t="shared" si="6"/>
        <v>0</v>
      </c>
      <c r="M115">
        <f t="shared" si="6"/>
        <v>0</v>
      </c>
      <c r="N115" t="str">
        <f t="shared" si="7"/>
        <v>N</v>
      </c>
      <c r="R115">
        <f t="shared" si="8"/>
        <v>114</v>
      </c>
      <c r="T115">
        <f>VLOOKUP($W115,'Fanduel Export'!$BA:$BG,4,FALSE)</f>
        <v>1</v>
      </c>
      <c r="U115" t="str">
        <f>VLOOKUP($W115,'Fanduel Export'!$BA:$BG,5,FALSE)</f>
        <v>Mike Evans</v>
      </c>
      <c r="V115">
        <f>VLOOKUP($W115,'Fanduel Export'!$BA:$BG,6,FALSE)</f>
        <v>8200</v>
      </c>
      <c r="W115">
        <f>LARGE('Fanduel Export'!$BA:$BA,R115)</f>
        <v>0</v>
      </c>
    </row>
    <row r="116" spans="1:23" x14ac:dyDescent="0.2">
      <c r="A116">
        <f t="shared" si="5"/>
        <v>0</v>
      </c>
      <c r="B116">
        <f>IF(C116=0,0,A116&amp;" "&amp;COUNTIF($A$1:A116,A116))</f>
        <v>0</v>
      </c>
      <c r="C116">
        <v>0</v>
      </c>
      <c r="D116" t="s">
        <v>427</v>
      </c>
      <c r="E116">
        <v>4500</v>
      </c>
      <c r="F116" t="s">
        <v>83</v>
      </c>
      <c r="G116" s="16">
        <v>0</v>
      </c>
      <c r="J116">
        <f t="shared" si="6"/>
        <v>0</v>
      </c>
      <c r="K116">
        <f t="shared" si="6"/>
        <v>0</v>
      </c>
      <c r="L116">
        <f t="shared" si="6"/>
        <v>0</v>
      </c>
      <c r="M116">
        <f t="shared" si="6"/>
        <v>0</v>
      </c>
      <c r="N116" t="str">
        <f t="shared" si="7"/>
        <v>N</v>
      </c>
      <c r="R116">
        <f t="shared" si="8"/>
        <v>115</v>
      </c>
      <c r="T116">
        <f>VLOOKUP($W116,'Fanduel Export'!$BA:$BG,4,FALSE)</f>
        <v>1</v>
      </c>
      <c r="U116" t="str">
        <f>VLOOKUP($W116,'Fanduel Export'!$BA:$BG,5,FALSE)</f>
        <v>Mike Evans</v>
      </c>
      <c r="V116">
        <f>VLOOKUP($W116,'Fanduel Export'!$BA:$BG,6,FALSE)</f>
        <v>8200</v>
      </c>
      <c r="W116">
        <f>LARGE('Fanduel Export'!$BA:$BA,R116)</f>
        <v>0</v>
      </c>
    </row>
    <row r="117" spans="1:23" x14ac:dyDescent="0.2">
      <c r="A117">
        <f t="shared" si="5"/>
        <v>0</v>
      </c>
      <c r="B117">
        <f>IF(C117=0,0,A117&amp;" "&amp;COUNTIF($A$1:A117,A117))</f>
        <v>0</v>
      </c>
      <c r="C117">
        <v>0</v>
      </c>
      <c r="D117" t="s">
        <v>600</v>
      </c>
      <c r="E117">
        <v>4500</v>
      </c>
      <c r="F117" t="s">
        <v>83</v>
      </c>
      <c r="G117" s="16">
        <v>0</v>
      </c>
      <c r="J117">
        <f t="shared" si="6"/>
        <v>0</v>
      </c>
      <c r="K117">
        <f t="shared" si="6"/>
        <v>0</v>
      </c>
      <c r="L117">
        <f t="shared" si="6"/>
        <v>0</v>
      </c>
      <c r="M117">
        <f t="shared" si="6"/>
        <v>0</v>
      </c>
      <c r="N117" t="str">
        <f t="shared" si="7"/>
        <v>N</v>
      </c>
      <c r="R117">
        <f t="shared" si="8"/>
        <v>116</v>
      </c>
      <c r="T117">
        <f>VLOOKUP($W117,'Fanduel Export'!$BA:$BG,4,FALSE)</f>
        <v>1</v>
      </c>
      <c r="U117" t="str">
        <f>VLOOKUP($W117,'Fanduel Export'!$BA:$BG,5,FALSE)</f>
        <v>Mike Evans</v>
      </c>
      <c r="V117">
        <f>VLOOKUP($W117,'Fanduel Export'!$BA:$BG,6,FALSE)</f>
        <v>8200</v>
      </c>
      <c r="W117">
        <f>LARGE('Fanduel Export'!$BA:$BA,R117)</f>
        <v>0</v>
      </c>
    </row>
    <row r="118" spans="1:23" x14ac:dyDescent="0.2">
      <c r="A118">
        <f t="shared" si="5"/>
        <v>0</v>
      </c>
      <c r="B118">
        <f>IF(C118=0,0,A118&amp;" "&amp;COUNTIF($A$1:A118,A118))</f>
        <v>0</v>
      </c>
      <c r="C118">
        <v>0</v>
      </c>
      <c r="D118" t="s">
        <v>2342</v>
      </c>
      <c r="E118">
        <v>4500</v>
      </c>
      <c r="F118" t="s">
        <v>83</v>
      </c>
      <c r="G118" s="16">
        <v>0</v>
      </c>
      <c r="J118">
        <f t="shared" si="6"/>
        <v>0</v>
      </c>
      <c r="K118">
        <f t="shared" si="6"/>
        <v>0</v>
      </c>
      <c r="L118">
        <f t="shared" si="6"/>
        <v>0</v>
      </c>
      <c r="M118">
        <f t="shared" si="6"/>
        <v>0</v>
      </c>
      <c r="N118" t="str">
        <f t="shared" si="7"/>
        <v>N</v>
      </c>
      <c r="R118">
        <f t="shared" si="8"/>
        <v>117</v>
      </c>
      <c r="T118">
        <f>VLOOKUP($W118,'Fanduel Export'!$BA:$BG,4,FALSE)</f>
        <v>1</v>
      </c>
      <c r="U118" t="str">
        <f>VLOOKUP($W118,'Fanduel Export'!$BA:$BG,5,FALSE)</f>
        <v>Mike Evans</v>
      </c>
      <c r="V118">
        <f>VLOOKUP($W118,'Fanduel Export'!$BA:$BG,6,FALSE)</f>
        <v>8200</v>
      </c>
      <c r="W118">
        <f>LARGE('Fanduel Export'!$BA:$BA,R118)</f>
        <v>0</v>
      </c>
    </row>
    <row r="119" spans="1:23" x14ac:dyDescent="0.2">
      <c r="A119">
        <f t="shared" si="5"/>
        <v>0</v>
      </c>
      <c r="B119">
        <f>IF(C119=0,0,A119&amp;" "&amp;COUNTIF($A$1:A119,A119))</f>
        <v>0</v>
      </c>
      <c r="C119">
        <v>0</v>
      </c>
      <c r="D119" t="s">
        <v>2455</v>
      </c>
      <c r="E119">
        <v>4500</v>
      </c>
      <c r="F119" t="s">
        <v>83</v>
      </c>
      <c r="G119" s="16">
        <v>0</v>
      </c>
      <c r="J119">
        <f t="shared" si="6"/>
        <v>0</v>
      </c>
      <c r="K119">
        <f t="shared" si="6"/>
        <v>0</v>
      </c>
      <c r="L119">
        <f t="shared" si="6"/>
        <v>0</v>
      </c>
      <c r="M119">
        <f t="shared" si="6"/>
        <v>0</v>
      </c>
      <c r="N119" t="str">
        <f t="shared" si="7"/>
        <v>N</v>
      </c>
      <c r="R119">
        <f t="shared" si="8"/>
        <v>118</v>
      </c>
      <c r="T119">
        <f>VLOOKUP($W119,'Fanduel Export'!$BA:$BG,4,FALSE)</f>
        <v>1</v>
      </c>
      <c r="U119" t="str">
        <f>VLOOKUP($W119,'Fanduel Export'!$BA:$BG,5,FALSE)</f>
        <v>Mike Evans</v>
      </c>
      <c r="V119">
        <f>VLOOKUP($W119,'Fanduel Export'!$BA:$BG,6,FALSE)</f>
        <v>8200</v>
      </c>
      <c r="W119">
        <f>LARGE('Fanduel Export'!$BA:$BA,R119)</f>
        <v>0</v>
      </c>
    </row>
    <row r="120" spans="1:23" x14ac:dyDescent="0.2">
      <c r="A120">
        <f t="shared" si="5"/>
        <v>0</v>
      </c>
      <c r="B120">
        <f>IF(C120=0,0,A120&amp;" "&amp;COUNTIF($A$1:A120,A120))</f>
        <v>0</v>
      </c>
      <c r="C120">
        <v>0</v>
      </c>
      <c r="D120" t="s">
        <v>504</v>
      </c>
      <c r="E120">
        <v>4500</v>
      </c>
      <c r="F120" t="s">
        <v>83</v>
      </c>
      <c r="G120" s="16">
        <v>0.2011197900621102</v>
      </c>
      <c r="J120">
        <f t="shared" si="6"/>
        <v>0</v>
      </c>
      <c r="K120">
        <f t="shared" si="6"/>
        <v>0</v>
      </c>
      <c r="L120">
        <f t="shared" si="6"/>
        <v>0</v>
      </c>
      <c r="M120">
        <f t="shared" si="6"/>
        <v>0</v>
      </c>
      <c r="N120" t="str">
        <f t="shared" si="7"/>
        <v>N</v>
      </c>
      <c r="R120">
        <f t="shared" si="8"/>
        <v>119</v>
      </c>
      <c r="T120">
        <f>VLOOKUP($W120,'Fanduel Export'!$BA:$BG,4,FALSE)</f>
        <v>1</v>
      </c>
      <c r="U120" t="str">
        <f>VLOOKUP($W120,'Fanduel Export'!$BA:$BG,5,FALSE)</f>
        <v>Mike Evans</v>
      </c>
      <c r="V120">
        <f>VLOOKUP($W120,'Fanduel Export'!$BA:$BG,6,FALSE)</f>
        <v>8200</v>
      </c>
      <c r="W120">
        <f>LARGE('Fanduel Export'!$BA:$BA,R120)</f>
        <v>0</v>
      </c>
    </row>
    <row r="121" spans="1:23" x14ac:dyDescent="0.2">
      <c r="A121">
        <f t="shared" si="5"/>
        <v>0</v>
      </c>
      <c r="B121">
        <f>IF(C121=0,0,A121&amp;" "&amp;COUNTIF($A$1:A121,A121))</f>
        <v>0</v>
      </c>
      <c r="C121">
        <v>0</v>
      </c>
      <c r="D121" t="s">
        <v>2626</v>
      </c>
      <c r="E121">
        <v>4500</v>
      </c>
      <c r="F121" t="s">
        <v>83</v>
      </c>
      <c r="G121" s="16">
        <v>0</v>
      </c>
      <c r="J121">
        <f t="shared" si="6"/>
        <v>0</v>
      </c>
      <c r="K121">
        <f t="shared" si="6"/>
        <v>0</v>
      </c>
      <c r="L121">
        <f t="shared" si="6"/>
        <v>0</v>
      </c>
      <c r="M121">
        <f t="shared" si="6"/>
        <v>0</v>
      </c>
      <c r="N121" t="str">
        <f t="shared" si="7"/>
        <v>N</v>
      </c>
      <c r="R121">
        <f t="shared" si="8"/>
        <v>120</v>
      </c>
      <c r="T121">
        <f>VLOOKUP($W121,'Fanduel Export'!$BA:$BG,4,FALSE)</f>
        <v>1</v>
      </c>
      <c r="U121" t="str">
        <f>VLOOKUP($W121,'Fanduel Export'!$BA:$BG,5,FALSE)</f>
        <v>Mike Evans</v>
      </c>
      <c r="V121">
        <f>VLOOKUP($W121,'Fanduel Export'!$BA:$BG,6,FALSE)</f>
        <v>8200</v>
      </c>
      <c r="W121">
        <f>LARGE('Fanduel Export'!$BA:$BA,R121)</f>
        <v>0</v>
      </c>
    </row>
    <row r="122" spans="1:23" x14ac:dyDescent="0.2">
      <c r="A122">
        <f t="shared" si="5"/>
        <v>0</v>
      </c>
      <c r="B122">
        <f>IF(C122=0,0,A122&amp;" "&amp;COUNTIF($A$1:A122,A122))</f>
        <v>0</v>
      </c>
      <c r="C122">
        <v>0</v>
      </c>
      <c r="D122" t="s">
        <v>556</v>
      </c>
      <c r="E122">
        <v>4500</v>
      </c>
      <c r="F122" t="s">
        <v>83</v>
      </c>
      <c r="G122" s="16">
        <v>0</v>
      </c>
      <c r="J122">
        <f t="shared" si="6"/>
        <v>0</v>
      </c>
      <c r="K122">
        <f t="shared" si="6"/>
        <v>0</v>
      </c>
      <c r="L122">
        <f t="shared" si="6"/>
        <v>0</v>
      </c>
      <c r="M122">
        <f t="shared" si="6"/>
        <v>0</v>
      </c>
      <c r="N122" t="str">
        <f t="shared" si="7"/>
        <v>N</v>
      </c>
      <c r="R122">
        <f t="shared" si="8"/>
        <v>121</v>
      </c>
      <c r="T122">
        <f>VLOOKUP($W122,'Fanduel Export'!$BA:$BG,4,FALSE)</f>
        <v>1</v>
      </c>
      <c r="U122" t="str">
        <f>VLOOKUP($W122,'Fanduel Export'!$BA:$BG,5,FALSE)</f>
        <v>Mike Evans</v>
      </c>
      <c r="V122">
        <f>VLOOKUP($W122,'Fanduel Export'!$BA:$BG,6,FALSE)</f>
        <v>8200</v>
      </c>
      <c r="W122">
        <f>LARGE('Fanduel Export'!$BA:$BA,R122)</f>
        <v>0</v>
      </c>
    </row>
    <row r="123" spans="1:23" x14ac:dyDescent="0.2">
      <c r="A123">
        <f t="shared" si="5"/>
        <v>0</v>
      </c>
      <c r="B123">
        <f>IF(C123=0,0,A123&amp;" "&amp;COUNTIF($A$1:A123,A123))</f>
        <v>0</v>
      </c>
      <c r="C123">
        <v>0</v>
      </c>
      <c r="D123" t="s">
        <v>2457</v>
      </c>
      <c r="E123">
        <v>4500</v>
      </c>
      <c r="F123" t="s">
        <v>83</v>
      </c>
      <c r="G123" s="16">
        <v>0</v>
      </c>
      <c r="J123">
        <f t="shared" si="6"/>
        <v>0</v>
      </c>
      <c r="K123">
        <f t="shared" si="6"/>
        <v>0</v>
      </c>
      <c r="L123">
        <f t="shared" si="6"/>
        <v>0</v>
      </c>
      <c r="M123">
        <f t="shared" si="6"/>
        <v>0</v>
      </c>
      <c r="N123" t="str">
        <f t="shared" si="7"/>
        <v>N</v>
      </c>
      <c r="R123">
        <f t="shared" si="8"/>
        <v>122</v>
      </c>
      <c r="T123">
        <f>VLOOKUP($W123,'Fanduel Export'!$BA:$BG,4,FALSE)</f>
        <v>1</v>
      </c>
      <c r="U123" t="str">
        <f>VLOOKUP($W123,'Fanduel Export'!$BA:$BG,5,FALSE)</f>
        <v>Mike Evans</v>
      </c>
      <c r="V123">
        <f>VLOOKUP($W123,'Fanduel Export'!$BA:$BG,6,FALSE)</f>
        <v>8200</v>
      </c>
      <c r="W123">
        <f>LARGE('Fanduel Export'!$BA:$BA,R123)</f>
        <v>0</v>
      </c>
    </row>
    <row r="124" spans="1:23" x14ac:dyDescent="0.2">
      <c r="A124">
        <f t="shared" si="5"/>
        <v>0</v>
      </c>
      <c r="B124">
        <f>IF(C124=0,0,A124&amp;" "&amp;COUNTIF($A$1:A124,A124))</f>
        <v>0</v>
      </c>
      <c r="C124">
        <v>0</v>
      </c>
      <c r="D124" t="s">
        <v>2566</v>
      </c>
      <c r="E124">
        <v>4500</v>
      </c>
      <c r="F124" t="s">
        <v>83</v>
      </c>
      <c r="G124" s="16">
        <v>0</v>
      </c>
      <c r="J124">
        <f t="shared" si="6"/>
        <v>0</v>
      </c>
      <c r="K124">
        <f t="shared" si="6"/>
        <v>0</v>
      </c>
      <c r="L124">
        <f t="shared" si="6"/>
        <v>0</v>
      </c>
      <c r="M124">
        <f t="shared" si="6"/>
        <v>0</v>
      </c>
      <c r="N124" t="str">
        <f t="shared" si="7"/>
        <v>N</v>
      </c>
      <c r="R124">
        <f t="shared" si="8"/>
        <v>123</v>
      </c>
      <c r="T124">
        <f>VLOOKUP($W124,'Fanduel Export'!$BA:$BG,4,FALSE)</f>
        <v>1</v>
      </c>
      <c r="U124" t="str">
        <f>VLOOKUP($W124,'Fanduel Export'!$BA:$BG,5,FALSE)</f>
        <v>Mike Evans</v>
      </c>
      <c r="V124">
        <f>VLOOKUP($W124,'Fanduel Export'!$BA:$BG,6,FALSE)</f>
        <v>8200</v>
      </c>
      <c r="W124">
        <f>LARGE('Fanduel Export'!$BA:$BA,R124)</f>
        <v>0</v>
      </c>
    </row>
    <row r="125" spans="1:23" x14ac:dyDescent="0.2">
      <c r="A125">
        <f t="shared" si="5"/>
        <v>0</v>
      </c>
      <c r="B125">
        <f>IF(C125=0,0,A125&amp;" "&amp;COUNTIF($A$1:A125,A125))</f>
        <v>0</v>
      </c>
      <c r="C125">
        <v>0</v>
      </c>
      <c r="D125" t="s">
        <v>564</v>
      </c>
      <c r="E125">
        <v>4500</v>
      </c>
      <c r="F125" t="s">
        <v>68</v>
      </c>
      <c r="G125" s="16">
        <v>0.51039730664622462</v>
      </c>
      <c r="J125">
        <f t="shared" si="6"/>
        <v>0</v>
      </c>
      <c r="K125">
        <f t="shared" si="6"/>
        <v>0</v>
      </c>
      <c r="L125">
        <f t="shared" si="6"/>
        <v>0</v>
      </c>
      <c r="M125">
        <f t="shared" si="6"/>
        <v>0</v>
      </c>
      <c r="N125" t="str">
        <f t="shared" si="7"/>
        <v>N</v>
      </c>
      <c r="R125">
        <f t="shared" si="8"/>
        <v>124</v>
      </c>
      <c r="T125">
        <f>VLOOKUP($W125,'Fanduel Export'!$BA:$BG,4,FALSE)</f>
        <v>1</v>
      </c>
      <c r="U125" t="str">
        <f>VLOOKUP($W125,'Fanduel Export'!$BA:$BG,5,FALSE)</f>
        <v>Mike Evans</v>
      </c>
      <c r="V125">
        <f>VLOOKUP($W125,'Fanduel Export'!$BA:$BG,6,FALSE)</f>
        <v>8200</v>
      </c>
      <c r="W125">
        <f>LARGE('Fanduel Export'!$BA:$BA,R125)</f>
        <v>0</v>
      </c>
    </row>
    <row r="126" spans="1:23" x14ac:dyDescent="0.2">
      <c r="A126">
        <f t="shared" si="5"/>
        <v>0</v>
      </c>
      <c r="B126">
        <f>IF(C126=0,0,A126&amp;" "&amp;COUNTIF($A$1:A126,A126))</f>
        <v>0</v>
      </c>
      <c r="C126">
        <v>0</v>
      </c>
      <c r="D126" t="s">
        <v>462</v>
      </c>
      <c r="E126">
        <v>4500</v>
      </c>
      <c r="F126" t="s">
        <v>83</v>
      </c>
      <c r="G126" s="16">
        <v>0</v>
      </c>
      <c r="J126">
        <f t="shared" si="6"/>
        <v>0</v>
      </c>
      <c r="K126">
        <f t="shared" si="6"/>
        <v>0</v>
      </c>
      <c r="L126">
        <f t="shared" si="6"/>
        <v>0</v>
      </c>
      <c r="M126">
        <f t="shared" si="6"/>
        <v>0</v>
      </c>
      <c r="N126" t="str">
        <f t="shared" si="7"/>
        <v>N</v>
      </c>
      <c r="R126">
        <f t="shared" si="8"/>
        <v>125</v>
      </c>
      <c r="T126">
        <f>VLOOKUP($W126,'Fanduel Export'!$BA:$BG,4,FALSE)</f>
        <v>1</v>
      </c>
      <c r="U126" t="str">
        <f>VLOOKUP($W126,'Fanduel Export'!$BA:$BG,5,FALSE)</f>
        <v>Mike Evans</v>
      </c>
      <c r="V126">
        <f>VLOOKUP($W126,'Fanduel Export'!$BA:$BG,6,FALSE)</f>
        <v>8200</v>
      </c>
      <c r="W126">
        <f>LARGE('Fanduel Export'!$BA:$BA,R126)</f>
        <v>0</v>
      </c>
    </row>
    <row r="127" spans="1:23" x14ac:dyDescent="0.2">
      <c r="A127">
        <f t="shared" si="5"/>
        <v>0</v>
      </c>
      <c r="B127">
        <f>IF(C127=0,0,A127&amp;" "&amp;COUNTIF($A$1:A127,A127))</f>
        <v>0</v>
      </c>
      <c r="C127">
        <v>0</v>
      </c>
      <c r="D127" t="s">
        <v>2970</v>
      </c>
      <c r="E127">
        <v>4500</v>
      </c>
      <c r="F127" t="s">
        <v>68</v>
      </c>
      <c r="G127" s="16">
        <v>0</v>
      </c>
      <c r="J127">
        <f t="shared" si="6"/>
        <v>0</v>
      </c>
      <c r="K127">
        <f t="shared" si="6"/>
        <v>0</v>
      </c>
      <c r="L127">
        <f t="shared" si="6"/>
        <v>0</v>
      </c>
      <c r="M127">
        <f t="shared" si="6"/>
        <v>0</v>
      </c>
      <c r="N127" t="str">
        <f t="shared" si="7"/>
        <v>N</v>
      </c>
      <c r="R127">
        <f t="shared" si="8"/>
        <v>126</v>
      </c>
      <c r="T127">
        <f>VLOOKUP($W127,'Fanduel Export'!$BA:$BG,4,FALSE)</f>
        <v>1</v>
      </c>
      <c r="U127" t="str">
        <f>VLOOKUP($W127,'Fanduel Export'!$BA:$BG,5,FALSE)</f>
        <v>Mike Evans</v>
      </c>
      <c r="V127">
        <f>VLOOKUP($W127,'Fanduel Export'!$BA:$BG,6,FALSE)</f>
        <v>8200</v>
      </c>
      <c r="W127">
        <f>LARGE('Fanduel Export'!$BA:$BA,R127)</f>
        <v>0</v>
      </c>
    </row>
    <row r="128" spans="1:23" x14ac:dyDescent="0.2">
      <c r="A128">
        <f t="shared" si="5"/>
        <v>0</v>
      </c>
      <c r="B128">
        <f>IF(C128=0,0,A128&amp;" "&amp;COUNTIF($A$1:A128,A128))</f>
        <v>0</v>
      </c>
      <c r="C128">
        <v>0</v>
      </c>
      <c r="D128" t="s">
        <v>568</v>
      </c>
      <c r="E128">
        <v>4500</v>
      </c>
      <c r="F128" t="s">
        <v>83</v>
      </c>
      <c r="G128" s="16">
        <v>0</v>
      </c>
      <c r="J128">
        <f t="shared" si="6"/>
        <v>0</v>
      </c>
      <c r="K128">
        <f t="shared" si="6"/>
        <v>0</v>
      </c>
      <c r="L128">
        <f t="shared" si="6"/>
        <v>0</v>
      </c>
      <c r="M128">
        <f t="shared" si="6"/>
        <v>0</v>
      </c>
      <c r="N128" t="str">
        <f t="shared" si="7"/>
        <v>N</v>
      </c>
      <c r="R128">
        <f t="shared" si="8"/>
        <v>127</v>
      </c>
      <c r="T128">
        <f>VLOOKUP($W128,'Fanduel Export'!$BA:$BG,4,FALSE)</f>
        <v>1</v>
      </c>
      <c r="U128" t="str">
        <f>VLOOKUP($W128,'Fanduel Export'!$BA:$BG,5,FALSE)</f>
        <v>Mike Evans</v>
      </c>
      <c r="V128">
        <f>VLOOKUP($W128,'Fanduel Export'!$BA:$BG,6,FALSE)</f>
        <v>8200</v>
      </c>
      <c r="W128">
        <f>LARGE('Fanduel Export'!$BA:$BA,R128)</f>
        <v>0</v>
      </c>
    </row>
    <row r="129" spans="1:23" x14ac:dyDescent="0.2">
      <c r="A129">
        <f t="shared" si="5"/>
        <v>0</v>
      </c>
      <c r="B129">
        <f>IF(C129=0,0,A129&amp;" "&amp;COUNTIF($A$1:A129,A129))</f>
        <v>0</v>
      </c>
      <c r="C129">
        <v>0</v>
      </c>
      <c r="D129" t="s">
        <v>1827</v>
      </c>
      <c r="E129">
        <v>4500</v>
      </c>
      <c r="F129" t="s">
        <v>68</v>
      </c>
      <c r="G129" s="16">
        <v>0</v>
      </c>
      <c r="J129">
        <f t="shared" si="6"/>
        <v>0</v>
      </c>
      <c r="K129">
        <f t="shared" si="6"/>
        <v>0</v>
      </c>
      <c r="L129">
        <f t="shared" si="6"/>
        <v>0</v>
      </c>
      <c r="M129">
        <f t="shared" si="6"/>
        <v>0</v>
      </c>
      <c r="N129" t="str">
        <f t="shared" si="7"/>
        <v>N</v>
      </c>
      <c r="R129">
        <f t="shared" si="8"/>
        <v>128</v>
      </c>
      <c r="T129">
        <f>VLOOKUP($W129,'Fanduel Export'!$BA:$BG,4,FALSE)</f>
        <v>1</v>
      </c>
      <c r="U129" t="str">
        <f>VLOOKUP($W129,'Fanduel Export'!$BA:$BG,5,FALSE)</f>
        <v>Mike Evans</v>
      </c>
      <c r="V129">
        <f>VLOOKUP($W129,'Fanduel Export'!$BA:$BG,6,FALSE)</f>
        <v>8200</v>
      </c>
      <c r="W129">
        <f>LARGE('Fanduel Export'!$BA:$BA,R129)</f>
        <v>0</v>
      </c>
    </row>
    <row r="130" spans="1:23" x14ac:dyDescent="0.2">
      <c r="A130">
        <f t="shared" si="5"/>
        <v>0</v>
      </c>
      <c r="B130">
        <f>IF(C130=0,0,A130&amp;" "&amp;COUNTIF($A$1:A130,A130))</f>
        <v>0</v>
      </c>
      <c r="C130">
        <v>0</v>
      </c>
      <c r="D130" t="s">
        <v>2467</v>
      </c>
      <c r="E130">
        <v>4500</v>
      </c>
      <c r="F130" t="s">
        <v>83</v>
      </c>
      <c r="G130" s="16">
        <v>0</v>
      </c>
      <c r="J130">
        <f t="shared" si="6"/>
        <v>0</v>
      </c>
      <c r="K130">
        <f t="shared" si="6"/>
        <v>0</v>
      </c>
      <c r="L130">
        <f t="shared" si="6"/>
        <v>0</v>
      </c>
      <c r="M130">
        <f t="shared" ref="M130" si="9">IF($F130=M$1,$C130*1,0)</f>
        <v>0</v>
      </c>
      <c r="N130" t="str">
        <f t="shared" si="7"/>
        <v>N</v>
      </c>
      <c r="R130">
        <f t="shared" si="8"/>
        <v>129</v>
      </c>
      <c r="T130">
        <f>VLOOKUP($W130,'Fanduel Export'!$BA:$BG,4,FALSE)</f>
        <v>1</v>
      </c>
      <c r="U130" t="str">
        <f>VLOOKUP($W130,'Fanduel Export'!$BA:$BG,5,FALSE)</f>
        <v>Mike Evans</v>
      </c>
      <c r="V130">
        <f>VLOOKUP($W130,'Fanduel Export'!$BA:$BG,6,FALSE)</f>
        <v>8200</v>
      </c>
      <c r="W130">
        <f>LARGE('Fanduel Export'!$BA:$BA,R130)</f>
        <v>0</v>
      </c>
    </row>
    <row r="131" spans="1:23" x14ac:dyDescent="0.2">
      <c r="A131">
        <f t="shared" ref="A131:A194" si="10">IF(C131=1,F131,0)</f>
        <v>0</v>
      </c>
      <c r="B131">
        <f>IF(C131=0,0,A131&amp;" "&amp;COUNTIF($A$1:A131,A131))</f>
        <v>0</v>
      </c>
      <c r="C131">
        <v>0</v>
      </c>
      <c r="D131" t="s">
        <v>2419</v>
      </c>
      <c r="E131">
        <v>4500</v>
      </c>
      <c r="F131" t="s">
        <v>83</v>
      </c>
      <c r="G131" s="16">
        <v>0</v>
      </c>
      <c r="J131">
        <f t="shared" ref="J131:M194" si="11">IF($F131=J$1,$C131*1,0)</f>
        <v>0</v>
      </c>
      <c r="K131">
        <f t="shared" si="11"/>
        <v>0</v>
      </c>
      <c r="L131">
        <f t="shared" si="11"/>
        <v>0</v>
      </c>
      <c r="M131">
        <f t="shared" si="11"/>
        <v>0</v>
      </c>
      <c r="N131" t="str">
        <f t="shared" ref="N131:N194" si="12">IF(AND(E131&lt;=7000,E131&gt;=6000,F131&lt;&gt;"QB"),"Y","N")</f>
        <v>N</v>
      </c>
      <c r="R131">
        <f t="shared" si="8"/>
        <v>130</v>
      </c>
      <c r="T131">
        <f>VLOOKUP($W131,'Fanduel Export'!$BA:$BG,4,FALSE)</f>
        <v>1</v>
      </c>
      <c r="U131" t="str">
        <f>VLOOKUP($W131,'Fanduel Export'!$BA:$BG,5,FALSE)</f>
        <v>Mike Evans</v>
      </c>
      <c r="V131">
        <f>VLOOKUP($W131,'Fanduel Export'!$BA:$BG,6,FALSE)</f>
        <v>8200</v>
      </c>
      <c r="W131">
        <f>LARGE('Fanduel Export'!$BA:$BA,R131)</f>
        <v>0</v>
      </c>
    </row>
    <row r="132" spans="1:23" x14ac:dyDescent="0.2">
      <c r="A132">
        <f t="shared" si="10"/>
        <v>0</v>
      </c>
      <c r="B132">
        <f>IF(C132=0,0,A132&amp;" "&amp;COUNTIF($A$1:A132,A132))</f>
        <v>0</v>
      </c>
      <c r="C132">
        <v>0</v>
      </c>
      <c r="D132" t="s">
        <v>2359</v>
      </c>
      <c r="E132">
        <v>4400</v>
      </c>
      <c r="F132" t="s">
        <v>88</v>
      </c>
      <c r="G132" s="16">
        <v>0.4249469377173889</v>
      </c>
      <c r="J132">
        <f t="shared" si="11"/>
        <v>0</v>
      </c>
      <c r="K132">
        <f t="shared" si="11"/>
        <v>0</v>
      </c>
      <c r="L132">
        <f t="shared" si="11"/>
        <v>0</v>
      </c>
      <c r="M132">
        <f t="shared" si="11"/>
        <v>0</v>
      </c>
      <c r="N132" t="str">
        <f t="shared" si="12"/>
        <v>N</v>
      </c>
      <c r="R132">
        <f t="shared" ref="R132:R195" si="13">R131+1</f>
        <v>131</v>
      </c>
      <c r="T132">
        <f>VLOOKUP($W132,'Fanduel Export'!$BA:$BG,4,FALSE)</f>
        <v>1</v>
      </c>
      <c r="U132" t="str">
        <f>VLOOKUP($W132,'Fanduel Export'!$BA:$BG,5,FALSE)</f>
        <v>Mike Evans</v>
      </c>
      <c r="V132">
        <f>VLOOKUP($W132,'Fanduel Export'!$BA:$BG,6,FALSE)</f>
        <v>8200</v>
      </c>
      <c r="W132">
        <f>LARGE('Fanduel Export'!$BA:$BA,R132)</f>
        <v>0</v>
      </c>
    </row>
    <row r="133" spans="1:23" x14ac:dyDescent="0.2">
      <c r="A133">
        <f t="shared" si="10"/>
        <v>0</v>
      </c>
      <c r="B133">
        <f>IF(C133=0,0,A133&amp;" "&amp;COUNTIF($A$1:A133,A133))</f>
        <v>0</v>
      </c>
      <c r="C133">
        <v>0</v>
      </c>
      <c r="D133" t="s">
        <v>623</v>
      </c>
      <c r="E133">
        <v>4300</v>
      </c>
      <c r="F133" t="s">
        <v>88</v>
      </c>
      <c r="G133" s="16">
        <v>0.88888969924506767</v>
      </c>
      <c r="J133">
        <f t="shared" si="11"/>
        <v>0</v>
      </c>
      <c r="K133">
        <f t="shared" si="11"/>
        <v>0</v>
      </c>
      <c r="L133">
        <f t="shared" si="11"/>
        <v>0</v>
      </c>
      <c r="M133">
        <f t="shared" si="11"/>
        <v>0</v>
      </c>
      <c r="N133" t="str">
        <f t="shared" si="12"/>
        <v>N</v>
      </c>
      <c r="R133">
        <f t="shared" si="13"/>
        <v>132</v>
      </c>
      <c r="T133">
        <f>VLOOKUP($W133,'Fanduel Export'!$BA:$BG,4,FALSE)</f>
        <v>1</v>
      </c>
      <c r="U133" t="str">
        <f>VLOOKUP($W133,'Fanduel Export'!$BA:$BG,5,FALSE)</f>
        <v>Mike Evans</v>
      </c>
      <c r="V133">
        <f>VLOOKUP($W133,'Fanduel Export'!$BA:$BG,6,FALSE)</f>
        <v>8200</v>
      </c>
      <c r="W133">
        <f>LARGE('Fanduel Export'!$BA:$BA,R133)</f>
        <v>0</v>
      </c>
    </row>
    <row r="134" spans="1:23" x14ac:dyDescent="0.2">
      <c r="A134">
        <f t="shared" si="10"/>
        <v>0</v>
      </c>
      <c r="B134">
        <f>IF(C134=0,0,A134&amp;" "&amp;COUNTIF($A$1:A134,A134))</f>
        <v>0</v>
      </c>
      <c r="C134">
        <v>0</v>
      </c>
      <c r="D134" t="s">
        <v>648</v>
      </c>
      <c r="E134">
        <v>4300</v>
      </c>
      <c r="F134" t="s">
        <v>88</v>
      </c>
      <c r="G134" s="16">
        <v>0.87569703443473546</v>
      </c>
      <c r="J134">
        <f t="shared" si="11"/>
        <v>0</v>
      </c>
      <c r="K134">
        <f t="shared" si="11"/>
        <v>0</v>
      </c>
      <c r="L134">
        <f t="shared" si="11"/>
        <v>0</v>
      </c>
      <c r="M134">
        <f t="shared" si="11"/>
        <v>0</v>
      </c>
      <c r="N134" t="str">
        <f t="shared" si="12"/>
        <v>N</v>
      </c>
      <c r="R134">
        <f t="shared" si="13"/>
        <v>133</v>
      </c>
      <c r="T134">
        <f>VLOOKUP($W134,'Fanduel Export'!$BA:$BG,4,FALSE)</f>
        <v>1</v>
      </c>
      <c r="U134" t="str">
        <f>VLOOKUP($W134,'Fanduel Export'!$BA:$BG,5,FALSE)</f>
        <v>Mike Evans</v>
      </c>
      <c r="V134">
        <f>VLOOKUP($W134,'Fanduel Export'!$BA:$BG,6,FALSE)</f>
        <v>8200</v>
      </c>
      <c r="W134">
        <f>LARGE('Fanduel Export'!$BA:$BA,R134)</f>
        <v>0</v>
      </c>
    </row>
    <row r="135" spans="1:23" x14ac:dyDescent="0.2">
      <c r="A135">
        <f t="shared" si="10"/>
        <v>0</v>
      </c>
      <c r="B135">
        <f>IF(C135=0,0,A135&amp;" "&amp;COUNTIF($A$1:A135,A135))</f>
        <v>0</v>
      </c>
      <c r="C135">
        <v>0</v>
      </c>
      <c r="D135" t="s">
        <v>2105</v>
      </c>
      <c r="E135">
        <v>4300</v>
      </c>
      <c r="F135" t="s">
        <v>88</v>
      </c>
      <c r="G135" s="16">
        <v>1.8582740997091549</v>
      </c>
      <c r="J135">
        <f t="shared" si="11"/>
        <v>0</v>
      </c>
      <c r="K135">
        <f t="shared" si="11"/>
        <v>0</v>
      </c>
      <c r="L135">
        <f t="shared" si="11"/>
        <v>0</v>
      </c>
      <c r="M135">
        <f t="shared" si="11"/>
        <v>0</v>
      </c>
      <c r="N135" t="str">
        <f t="shared" si="12"/>
        <v>N</v>
      </c>
      <c r="R135">
        <f t="shared" si="13"/>
        <v>134</v>
      </c>
      <c r="T135">
        <f>VLOOKUP($W135,'Fanduel Export'!$BA:$BG,4,FALSE)</f>
        <v>1</v>
      </c>
      <c r="U135" t="str">
        <f>VLOOKUP($W135,'Fanduel Export'!$BA:$BG,5,FALSE)</f>
        <v>Mike Evans</v>
      </c>
      <c r="V135">
        <f>VLOOKUP($W135,'Fanduel Export'!$BA:$BG,6,FALSE)</f>
        <v>8200</v>
      </c>
      <c r="W135">
        <f>LARGE('Fanduel Export'!$BA:$BA,R135)</f>
        <v>0</v>
      </c>
    </row>
    <row r="136" spans="1:23" x14ac:dyDescent="0.2">
      <c r="A136">
        <f t="shared" si="10"/>
        <v>0</v>
      </c>
      <c r="B136">
        <f>IF(C136=0,0,A136&amp;" "&amp;COUNTIF($A$1:A136,A136))</f>
        <v>0</v>
      </c>
      <c r="C136">
        <v>0</v>
      </c>
      <c r="D136" t="s">
        <v>655</v>
      </c>
      <c r="E136">
        <v>4200</v>
      </c>
      <c r="F136" t="s">
        <v>88</v>
      </c>
      <c r="G136" s="16">
        <v>0.51514852914719522</v>
      </c>
      <c r="J136">
        <f t="shared" si="11"/>
        <v>0</v>
      </c>
      <c r="K136">
        <f t="shared" si="11"/>
        <v>0</v>
      </c>
      <c r="L136">
        <f t="shared" si="11"/>
        <v>0</v>
      </c>
      <c r="M136">
        <f t="shared" si="11"/>
        <v>0</v>
      </c>
      <c r="N136" t="str">
        <f t="shared" si="12"/>
        <v>N</v>
      </c>
      <c r="R136">
        <f t="shared" si="13"/>
        <v>135</v>
      </c>
      <c r="T136">
        <f>VLOOKUP($W136,'Fanduel Export'!$BA:$BG,4,FALSE)</f>
        <v>1</v>
      </c>
      <c r="U136" t="str">
        <f>VLOOKUP($W136,'Fanduel Export'!$BA:$BG,5,FALSE)</f>
        <v>Mike Evans</v>
      </c>
      <c r="V136">
        <f>VLOOKUP($W136,'Fanduel Export'!$BA:$BG,6,FALSE)</f>
        <v>8200</v>
      </c>
      <c r="W136">
        <f>LARGE('Fanduel Export'!$BA:$BA,R136)</f>
        <v>0</v>
      </c>
    </row>
    <row r="137" spans="1:23" x14ac:dyDescent="0.2">
      <c r="A137">
        <f t="shared" si="10"/>
        <v>0</v>
      </c>
      <c r="B137">
        <f>IF(C137=0,0,A137&amp;" "&amp;COUNTIF($A$1:A137,A137))</f>
        <v>0</v>
      </c>
      <c r="C137">
        <v>0</v>
      </c>
      <c r="D137" t="s">
        <v>2127</v>
      </c>
      <c r="E137">
        <v>4200</v>
      </c>
      <c r="F137" t="s">
        <v>88</v>
      </c>
      <c r="G137" s="16">
        <v>1.0986740924714136</v>
      </c>
      <c r="J137">
        <f t="shared" si="11"/>
        <v>0</v>
      </c>
      <c r="K137">
        <f t="shared" si="11"/>
        <v>0</v>
      </c>
      <c r="L137">
        <f t="shared" si="11"/>
        <v>0</v>
      </c>
      <c r="M137">
        <f t="shared" si="11"/>
        <v>0</v>
      </c>
      <c r="N137" t="str">
        <f t="shared" si="12"/>
        <v>N</v>
      </c>
      <c r="R137">
        <f t="shared" si="13"/>
        <v>136</v>
      </c>
      <c r="T137">
        <f>VLOOKUP($W137,'Fanduel Export'!$BA:$BG,4,FALSE)</f>
        <v>1</v>
      </c>
      <c r="U137" t="str">
        <f>VLOOKUP($W137,'Fanduel Export'!$BA:$BG,5,FALSE)</f>
        <v>Mike Evans</v>
      </c>
      <c r="V137">
        <f>VLOOKUP($W137,'Fanduel Export'!$BA:$BG,6,FALSE)</f>
        <v>8200</v>
      </c>
      <c r="W137">
        <f>LARGE('Fanduel Export'!$BA:$BA,R137)</f>
        <v>0</v>
      </c>
    </row>
    <row r="138" spans="1:23" x14ac:dyDescent="0.2">
      <c r="A138">
        <f t="shared" si="10"/>
        <v>0</v>
      </c>
      <c r="B138">
        <f>IF(C138=0,0,A138&amp;" "&amp;COUNTIF($A$1:A138,A138))</f>
        <v>0</v>
      </c>
      <c r="C138">
        <v>0</v>
      </c>
      <c r="D138" t="s">
        <v>2162</v>
      </c>
      <c r="E138">
        <v>4200</v>
      </c>
      <c r="F138" t="s">
        <v>88</v>
      </c>
      <c r="G138" s="16">
        <v>0.26612905368990297</v>
      </c>
      <c r="J138">
        <f t="shared" si="11"/>
        <v>0</v>
      </c>
      <c r="K138">
        <f t="shared" si="11"/>
        <v>0</v>
      </c>
      <c r="L138">
        <f t="shared" si="11"/>
        <v>0</v>
      </c>
      <c r="M138">
        <f t="shared" si="11"/>
        <v>0</v>
      </c>
      <c r="N138" t="str">
        <f t="shared" si="12"/>
        <v>N</v>
      </c>
      <c r="R138">
        <f t="shared" si="13"/>
        <v>137</v>
      </c>
      <c r="T138">
        <f>VLOOKUP($W138,'Fanduel Export'!$BA:$BG,4,FALSE)</f>
        <v>1</v>
      </c>
      <c r="U138" t="str">
        <f>VLOOKUP($W138,'Fanduel Export'!$BA:$BG,5,FALSE)</f>
        <v>Mike Evans</v>
      </c>
      <c r="V138">
        <f>VLOOKUP($W138,'Fanduel Export'!$BA:$BG,6,FALSE)</f>
        <v>8200</v>
      </c>
      <c r="W138">
        <f>LARGE('Fanduel Export'!$BA:$BA,R138)</f>
        <v>0</v>
      </c>
    </row>
    <row r="139" spans="1:23" x14ac:dyDescent="0.2">
      <c r="A139">
        <f t="shared" si="10"/>
        <v>0</v>
      </c>
      <c r="B139">
        <f>IF(C139=0,0,A139&amp;" "&amp;COUNTIF($A$1:A139,A139))</f>
        <v>0</v>
      </c>
      <c r="C139">
        <v>0</v>
      </c>
      <c r="D139" t="s">
        <v>654</v>
      </c>
      <c r="E139">
        <v>4100</v>
      </c>
      <c r="F139" t="s">
        <v>88</v>
      </c>
      <c r="G139" s="16">
        <v>0</v>
      </c>
      <c r="J139">
        <f t="shared" si="11"/>
        <v>0</v>
      </c>
      <c r="K139">
        <f t="shared" si="11"/>
        <v>0</v>
      </c>
      <c r="L139">
        <f t="shared" si="11"/>
        <v>0</v>
      </c>
      <c r="M139">
        <f t="shared" si="11"/>
        <v>0</v>
      </c>
      <c r="N139" t="str">
        <f t="shared" si="12"/>
        <v>N</v>
      </c>
      <c r="R139">
        <f t="shared" si="13"/>
        <v>138</v>
      </c>
      <c r="T139">
        <f>VLOOKUP($W139,'Fanduel Export'!$BA:$BG,4,FALSE)</f>
        <v>1</v>
      </c>
      <c r="U139" t="str">
        <f>VLOOKUP($W139,'Fanduel Export'!$BA:$BG,5,FALSE)</f>
        <v>Mike Evans</v>
      </c>
      <c r="V139">
        <f>VLOOKUP($W139,'Fanduel Export'!$BA:$BG,6,FALSE)</f>
        <v>8200</v>
      </c>
      <c r="W139">
        <f>LARGE('Fanduel Export'!$BA:$BA,R139)</f>
        <v>0</v>
      </c>
    </row>
    <row r="140" spans="1:23" x14ac:dyDescent="0.2">
      <c r="A140">
        <f t="shared" si="10"/>
        <v>0</v>
      </c>
      <c r="B140">
        <f>IF(C140=0,0,A140&amp;" "&amp;COUNTIF($A$1:A140,A140))</f>
        <v>0</v>
      </c>
      <c r="C140">
        <v>0</v>
      </c>
      <c r="D140" t="s">
        <v>2470</v>
      </c>
      <c r="E140">
        <v>4100</v>
      </c>
      <c r="F140" t="s">
        <v>88</v>
      </c>
      <c r="G140" s="16">
        <v>0.51800817844736102</v>
      </c>
      <c r="J140">
        <f t="shared" si="11"/>
        <v>0</v>
      </c>
      <c r="K140">
        <f t="shared" si="11"/>
        <v>0</v>
      </c>
      <c r="L140">
        <f t="shared" si="11"/>
        <v>0</v>
      </c>
      <c r="M140">
        <f t="shared" si="11"/>
        <v>0</v>
      </c>
      <c r="N140" t="str">
        <f t="shared" si="12"/>
        <v>N</v>
      </c>
      <c r="R140">
        <f t="shared" si="13"/>
        <v>139</v>
      </c>
      <c r="T140">
        <f>VLOOKUP($W140,'Fanduel Export'!$BA:$BG,4,FALSE)</f>
        <v>1</v>
      </c>
      <c r="U140" t="str">
        <f>VLOOKUP($W140,'Fanduel Export'!$BA:$BG,5,FALSE)</f>
        <v>Mike Evans</v>
      </c>
      <c r="V140">
        <f>VLOOKUP($W140,'Fanduel Export'!$BA:$BG,6,FALSE)</f>
        <v>8200</v>
      </c>
      <c r="W140">
        <f>LARGE('Fanduel Export'!$BA:$BA,R140)</f>
        <v>0</v>
      </c>
    </row>
    <row r="141" spans="1:23" x14ac:dyDescent="0.2">
      <c r="A141">
        <f t="shared" si="10"/>
        <v>0</v>
      </c>
      <c r="B141">
        <f>IF(C141=0,0,A141&amp;" "&amp;COUNTIF($A$1:A141,A141))</f>
        <v>0</v>
      </c>
      <c r="C141">
        <v>0</v>
      </c>
      <c r="D141" t="s">
        <v>631</v>
      </c>
      <c r="E141">
        <v>4100</v>
      </c>
      <c r="F141" t="s">
        <v>88</v>
      </c>
      <c r="G141" s="16">
        <v>0.48007384589334701</v>
      </c>
      <c r="J141">
        <f t="shared" si="11"/>
        <v>0</v>
      </c>
      <c r="K141">
        <f t="shared" si="11"/>
        <v>0</v>
      </c>
      <c r="L141">
        <f t="shared" si="11"/>
        <v>0</v>
      </c>
      <c r="M141">
        <f t="shared" si="11"/>
        <v>0</v>
      </c>
      <c r="N141" t="str">
        <f t="shared" si="12"/>
        <v>N</v>
      </c>
      <c r="R141">
        <f t="shared" si="13"/>
        <v>140</v>
      </c>
      <c r="T141">
        <f>VLOOKUP($W141,'Fanduel Export'!$BA:$BG,4,FALSE)</f>
        <v>1</v>
      </c>
      <c r="U141" t="str">
        <f>VLOOKUP($W141,'Fanduel Export'!$BA:$BG,5,FALSE)</f>
        <v>Mike Evans</v>
      </c>
      <c r="V141">
        <f>VLOOKUP($W141,'Fanduel Export'!$BA:$BG,6,FALSE)</f>
        <v>8200</v>
      </c>
      <c r="W141">
        <f>LARGE('Fanduel Export'!$BA:$BA,R141)</f>
        <v>0</v>
      </c>
    </row>
    <row r="142" spans="1:23" x14ac:dyDescent="0.2">
      <c r="A142">
        <f t="shared" si="10"/>
        <v>0</v>
      </c>
      <c r="B142">
        <f>IF(C142=0,0,A142&amp;" "&amp;COUNTIF($A$1:A142,A142))</f>
        <v>0</v>
      </c>
      <c r="C142">
        <v>0</v>
      </c>
      <c r="D142" t="s">
        <v>2404</v>
      </c>
      <c r="E142">
        <v>4100</v>
      </c>
      <c r="F142" t="s">
        <v>88</v>
      </c>
      <c r="G142" s="16">
        <v>0.3333336372169004</v>
      </c>
      <c r="J142">
        <f t="shared" si="11"/>
        <v>0</v>
      </c>
      <c r="K142">
        <f t="shared" si="11"/>
        <v>0</v>
      </c>
      <c r="L142">
        <f t="shared" si="11"/>
        <v>0</v>
      </c>
      <c r="M142">
        <f t="shared" si="11"/>
        <v>0</v>
      </c>
      <c r="N142" t="str">
        <f t="shared" si="12"/>
        <v>N</v>
      </c>
      <c r="R142">
        <f t="shared" si="13"/>
        <v>141</v>
      </c>
      <c r="T142">
        <f>VLOOKUP($W142,'Fanduel Export'!$BA:$BG,4,FALSE)</f>
        <v>1</v>
      </c>
      <c r="U142" t="str">
        <f>VLOOKUP($W142,'Fanduel Export'!$BA:$BG,5,FALSE)</f>
        <v>Mike Evans</v>
      </c>
      <c r="V142">
        <f>VLOOKUP($W142,'Fanduel Export'!$BA:$BG,6,FALSE)</f>
        <v>8200</v>
      </c>
      <c r="W142">
        <f>LARGE('Fanduel Export'!$BA:$BA,R142)</f>
        <v>0</v>
      </c>
    </row>
    <row r="143" spans="1:23" x14ac:dyDescent="0.2">
      <c r="A143">
        <f t="shared" si="10"/>
        <v>0</v>
      </c>
      <c r="B143">
        <f>IF(C143=0,0,A143&amp;" "&amp;COUNTIF($A$1:A143,A143))</f>
        <v>0</v>
      </c>
      <c r="C143">
        <v>0</v>
      </c>
      <c r="D143" t="s">
        <v>2396</v>
      </c>
      <c r="E143">
        <v>4000</v>
      </c>
      <c r="F143" t="s">
        <v>88</v>
      </c>
      <c r="G143" s="16">
        <v>0</v>
      </c>
      <c r="J143">
        <f t="shared" si="11"/>
        <v>0</v>
      </c>
      <c r="K143">
        <f t="shared" si="11"/>
        <v>0</v>
      </c>
      <c r="L143">
        <f t="shared" si="11"/>
        <v>0</v>
      </c>
      <c r="M143">
        <f t="shared" si="11"/>
        <v>0</v>
      </c>
      <c r="N143" t="str">
        <f t="shared" si="12"/>
        <v>N</v>
      </c>
      <c r="R143">
        <f t="shared" si="13"/>
        <v>142</v>
      </c>
      <c r="T143">
        <f>VLOOKUP($W143,'Fanduel Export'!$BA:$BG,4,FALSE)</f>
        <v>1</v>
      </c>
      <c r="U143" t="str">
        <f>VLOOKUP($W143,'Fanduel Export'!$BA:$BG,5,FALSE)</f>
        <v>Mike Evans</v>
      </c>
      <c r="V143">
        <f>VLOOKUP($W143,'Fanduel Export'!$BA:$BG,6,FALSE)</f>
        <v>8200</v>
      </c>
      <c r="W143">
        <f>LARGE('Fanduel Export'!$BA:$BA,R143)</f>
        <v>0</v>
      </c>
    </row>
    <row r="144" spans="1:23" x14ac:dyDescent="0.2">
      <c r="A144">
        <f t="shared" si="10"/>
        <v>0</v>
      </c>
      <c r="B144">
        <f>IF(C144=0,0,A144&amp;" "&amp;COUNTIF($A$1:A144,A144))</f>
        <v>0</v>
      </c>
      <c r="C144">
        <v>0</v>
      </c>
      <c r="D144" t="s">
        <v>2633</v>
      </c>
      <c r="E144">
        <v>4000</v>
      </c>
      <c r="F144" t="s">
        <v>88</v>
      </c>
      <c r="G144" s="16">
        <v>0</v>
      </c>
      <c r="J144">
        <f t="shared" si="11"/>
        <v>0</v>
      </c>
      <c r="K144">
        <f t="shared" si="11"/>
        <v>0</v>
      </c>
      <c r="L144">
        <f t="shared" si="11"/>
        <v>0</v>
      </c>
      <c r="M144">
        <f t="shared" si="11"/>
        <v>0</v>
      </c>
      <c r="N144" t="str">
        <f t="shared" si="12"/>
        <v>N</v>
      </c>
      <c r="R144">
        <f t="shared" si="13"/>
        <v>143</v>
      </c>
      <c r="T144">
        <f>VLOOKUP($W144,'Fanduel Export'!$BA:$BG,4,FALSE)</f>
        <v>1</v>
      </c>
      <c r="U144" t="str">
        <f>VLOOKUP($W144,'Fanduel Export'!$BA:$BG,5,FALSE)</f>
        <v>Mike Evans</v>
      </c>
      <c r="V144">
        <f>VLOOKUP($W144,'Fanduel Export'!$BA:$BG,6,FALSE)</f>
        <v>8200</v>
      </c>
      <c r="W144">
        <f>LARGE('Fanduel Export'!$BA:$BA,R144)</f>
        <v>0</v>
      </c>
    </row>
    <row r="145" spans="1:23" x14ac:dyDescent="0.2">
      <c r="A145">
        <f t="shared" si="10"/>
        <v>0</v>
      </c>
      <c r="B145">
        <f>IF(C145=0,0,A145&amp;" "&amp;COUNTIF($A$1:A145,A145))</f>
        <v>0</v>
      </c>
      <c r="C145">
        <v>0</v>
      </c>
      <c r="D145" t="s">
        <v>2468</v>
      </c>
      <c r="E145">
        <v>4000</v>
      </c>
      <c r="F145" t="s">
        <v>88</v>
      </c>
      <c r="G145" s="16">
        <v>0</v>
      </c>
      <c r="J145">
        <f t="shared" si="11"/>
        <v>0</v>
      </c>
      <c r="K145">
        <f t="shared" si="11"/>
        <v>0</v>
      </c>
      <c r="L145">
        <f t="shared" si="11"/>
        <v>0</v>
      </c>
      <c r="M145">
        <f t="shared" si="11"/>
        <v>0</v>
      </c>
      <c r="N145" t="str">
        <f t="shared" si="12"/>
        <v>N</v>
      </c>
      <c r="R145">
        <f t="shared" si="13"/>
        <v>144</v>
      </c>
      <c r="T145">
        <f>VLOOKUP($W145,'Fanduel Export'!$BA:$BG,4,FALSE)</f>
        <v>1</v>
      </c>
      <c r="U145" t="str">
        <f>VLOOKUP($W145,'Fanduel Export'!$BA:$BG,5,FALSE)</f>
        <v>Mike Evans</v>
      </c>
      <c r="V145">
        <f>VLOOKUP($W145,'Fanduel Export'!$BA:$BG,6,FALSE)</f>
        <v>8200</v>
      </c>
      <c r="W145">
        <f>LARGE('Fanduel Export'!$BA:$BA,R145)</f>
        <v>0</v>
      </c>
    </row>
    <row r="146" spans="1:23" x14ac:dyDescent="0.2">
      <c r="A146">
        <f t="shared" si="10"/>
        <v>0</v>
      </c>
      <c r="B146">
        <f>IF(C146=0,0,A146&amp;" "&amp;COUNTIF($A$1:A146,A146))</f>
        <v>0</v>
      </c>
      <c r="C146">
        <v>0</v>
      </c>
      <c r="D146" t="s">
        <v>2434</v>
      </c>
      <c r="E146">
        <v>4000</v>
      </c>
      <c r="F146" t="s">
        <v>88</v>
      </c>
      <c r="G146" s="16">
        <v>0</v>
      </c>
      <c r="J146">
        <f t="shared" si="11"/>
        <v>0</v>
      </c>
      <c r="K146">
        <f t="shared" si="11"/>
        <v>0</v>
      </c>
      <c r="L146">
        <f t="shared" si="11"/>
        <v>0</v>
      </c>
      <c r="M146">
        <f t="shared" si="11"/>
        <v>0</v>
      </c>
      <c r="N146" t="str">
        <f t="shared" si="12"/>
        <v>N</v>
      </c>
      <c r="R146">
        <f t="shared" si="13"/>
        <v>145</v>
      </c>
      <c r="T146">
        <f>VLOOKUP($W146,'Fanduel Export'!$BA:$BG,4,FALSE)</f>
        <v>1</v>
      </c>
      <c r="U146" t="str">
        <f>VLOOKUP($W146,'Fanduel Export'!$BA:$BG,5,FALSE)</f>
        <v>Mike Evans</v>
      </c>
      <c r="V146">
        <f>VLOOKUP($W146,'Fanduel Export'!$BA:$BG,6,FALSE)</f>
        <v>8200</v>
      </c>
      <c r="W146">
        <f>LARGE('Fanduel Export'!$BA:$BA,R146)</f>
        <v>0</v>
      </c>
    </row>
    <row r="147" spans="1:23" x14ac:dyDescent="0.2">
      <c r="A147">
        <f t="shared" si="10"/>
        <v>0</v>
      </c>
      <c r="B147">
        <f>IF(C147=0,0,A147&amp;" "&amp;COUNTIF($A$1:A147,A147))</f>
        <v>0</v>
      </c>
      <c r="C147">
        <v>0</v>
      </c>
      <c r="D147" t="s">
        <v>2145</v>
      </c>
      <c r="E147">
        <v>4000</v>
      </c>
      <c r="F147" t="s">
        <v>88</v>
      </c>
      <c r="G147" s="16">
        <v>0</v>
      </c>
      <c r="J147">
        <f t="shared" si="11"/>
        <v>0</v>
      </c>
      <c r="K147">
        <f t="shared" si="11"/>
        <v>0</v>
      </c>
      <c r="L147">
        <f t="shared" si="11"/>
        <v>0</v>
      </c>
      <c r="M147">
        <f t="shared" si="11"/>
        <v>0</v>
      </c>
      <c r="N147" t="str">
        <f t="shared" si="12"/>
        <v>N</v>
      </c>
      <c r="R147">
        <f t="shared" si="13"/>
        <v>146</v>
      </c>
      <c r="T147">
        <f>VLOOKUP($W147,'Fanduel Export'!$BA:$BG,4,FALSE)</f>
        <v>1</v>
      </c>
      <c r="U147" t="str">
        <f>VLOOKUP($W147,'Fanduel Export'!$BA:$BG,5,FALSE)</f>
        <v>Mike Evans</v>
      </c>
      <c r="V147">
        <f>VLOOKUP($W147,'Fanduel Export'!$BA:$BG,6,FALSE)</f>
        <v>8200</v>
      </c>
      <c r="W147">
        <f>LARGE('Fanduel Export'!$BA:$BA,R147)</f>
        <v>0</v>
      </c>
    </row>
    <row r="148" spans="1:23" x14ac:dyDescent="0.2">
      <c r="A148">
        <f t="shared" si="10"/>
        <v>0</v>
      </c>
      <c r="B148">
        <f>IF(C148=0,0,A148&amp;" "&amp;COUNTIF($A$1:A148,A148))</f>
        <v>0</v>
      </c>
      <c r="C148">
        <v>0</v>
      </c>
      <c r="D148" t="s">
        <v>2483</v>
      </c>
      <c r="E148">
        <v>4000</v>
      </c>
      <c r="F148" t="s">
        <v>88</v>
      </c>
      <c r="G148" s="16">
        <v>0</v>
      </c>
      <c r="J148">
        <f t="shared" si="11"/>
        <v>0</v>
      </c>
      <c r="K148">
        <f t="shared" si="11"/>
        <v>0</v>
      </c>
      <c r="L148">
        <f t="shared" si="11"/>
        <v>0</v>
      </c>
      <c r="M148">
        <f t="shared" si="11"/>
        <v>0</v>
      </c>
      <c r="N148" t="str">
        <f t="shared" si="12"/>
        <v>N</v>
      </c>
      <c r="R148">
        <f t="shared" si="13"/>
        <v>147</v>
      </c>
      <c r="T148">
        <f>VLOOKUP($W148,'Fanduel Export'!$BA:$BG,4,FALSE)</f>
        <v>1</v>
      </c>
      <c r="U148" t="str">
        <f>VLOOKUP($W148,'Fanduel Export'!$BA:$BG,5,FALSE)</f>
        <v>Mike Evans</v>
      </c>
      <c r="V148">
        <f>VLOOKUP($W148,'Fanduel Export'!$BA:$BG,6,FALSE)</f>
        <v>8200</v>
      </c>
      <c r="W148">
        <f>LARGE('Fanduel Export'!$BA:$BA,R148)</f>
        <v>0</v>
      </c>
    </row>
    <row r="149" spans="1:23" x14ac:dyDescent="0.2">
      <c r="A149">
        <f t="shared" si="10"/>
        <v>0</v>
      </c>
      <c r="B149">
        <f>IF(C149=0,0,A149&amp;" "&amp;COUNTIF($A$1:A149,A149))</f>
        <v>0</v>
      </c>
      <c r="C149">
        <v>0</v>
      </c>
      <c r="D149" t="s">
        <v>2472</v>
      </c>
      <c r="E149">
        <v>4000</v>
      </c>
      <c r="F149" t="s">
        <v>88</v>
      </c>
      <c r="G149" s="16">
        <v>0</v>
      </c>
      <c r="J149">
        <f t="shared" si="11"/>
        <v>0</v>
      </c>
      <c r="K149">
        <f t="shared" si="11"/>
        <v>0</v>
      </c>
      <c r="L149">
        <f t="shared" si="11"/>
        <v>0</v>
      </c>
      <c r="M149">
        <f t="shared" si="11"/>
        <v>0</v>
      </c>
      <c r="N149" t="str">
        <f t="shared" si="12"/>
        <v>N</v>
      </c>
      <c r="R149">
        <f t="shared" si="13"/>
        <v>148</v>
      </c>
      <c r="T149">
        <f>VLOOKUP($W149,'Fanduel Export'!$BA:$BG,4,FALSE)</f>
        <v>1</v>
      </c>
      <c r="U149" t="str">
        <f>VLOOKUP($W149,'Fanduel Export'!$BA:$BG,5,FALSE)</f>
        <v>Mike Evans</v>
      </c>
      <c r="V149">
        <f>VLOOKUP($W149,'Fanduel Export'!$BA:$BG,6,FALSE)</f>
        <v>8200</v>
      </c>
      <c r="W149">
        <f>LARGE('Fanduel Export'!$BA:$BA,R149)</f>
        <v>0</v>
      </c>
    </row>
    <row r="150" spans="1:23" x14ac:dyDescent="0.2">
      <c r="A150">
        <f t="shared" si="10"/>
        <v>0</v>
      </c>
      <c r="B150">
        <f>IF(C150=0,0,A150&amp;" "&amp;COUNTIF($A$1:A150,A150))</f>
        <v>0</v>
      </c>
      <c r="C150">
        <v>0</v>
      </c>
      <c r="D150" t="s">
        <v>2473</v>
      </c>
      <c r="E150">
        <v>4000</v>
      </c>
      <c r="F150" t="s">
        <v>88</v>
      </c>
      <c r="G150" s="16">
        <v>0</v>
      </c>
      <c r="J150">
        <f t="shared" si="11"/>
        <v>0</v>
      </c>
      <c r="K150">
        <f t="shared" si="11"/>
        <v>0</v>
      </c>
      <c r="L150">
        <f t="shared" si="11"/>
        <v>0</v>
      </c>
      <c r="M150">
        <f t="shared" si="11"/>
        <v>0</v>
      </c>
      <c r="N150" t="str">
        <f t="shared" si="12"/>
        <v>N</v>
      </c>
      <c r="R150">
        <f t="shared" si="13"/>
        <v>149</v>
      </c>
      <c r="T150">
        <f>VLOOKUP($W150,'Fanduel Export'!$BA:$BG,4,FALSE)</f>
        <v>1</v>
      </c>
      <c r="U150" t="str">
        <f>VLOOKUP($W150,'Fanduel Export'!$BA:$BG,5,FALSE)</f>
        <v>Mike Evans</v>
      </c>
      <c r="V150">
        <f>VLOOKUP($W150,'Fanduel Export'!$BA:$BG,6,FALSE)</f>
        <v>8200</v>
      </c>
      <c r="W150">
        <f>LARGE('Fanduel Export'!$BA:$BA,R150)</f>
        <v>0</v>
      </c>
    </row>
    <row r="151" spans="1:23" x14ac:dyDescent="0.2">
      <c r="A151">
        <f t="shared" si="10"/>
        <v>0</v>
      </c>
      <c r="B151">
        <f>IF(C151=0,0,A151&amp;" "&amp;COUNTIF($A$1:A151,A151))</f>
        <v>0</v>
      </c>
      <c r="C151">
        <v>0</v>
      </c>
      <c r="D151" t="s">
        <v>2502</v>
      </c>
      <c r="E151">
        <v>4000</v>
      </c>
      <c r="F151" t="s">
        <v>88</v>
      </c>
      <c r="G151" s="16">
        <v>0.313088029428715</v>
      </c>
      <c r="J151">
        <f t="shared" si="11"/>
        <v>0</v>
      </c>
      <c r="K151">
        <f t="shared" si="11"/>
        <v>0</v>
      </c>
      <c r="L151">
        <f t="shared" si="11"/>
        <v>0</v>
      </c>
      <c r="M151">
        <f t="shared" si="11"/>
        <v>0</v>
      </c>
      <c r="N151" t="str">
        <f t="shared" si="12"/>
        <v>N</v>
      </c>
      <c r="R151">
        <f t="shared" si="13"/>
        <v>150</v>
      </c>
      <c r="T151">
        <f>VLOOKUP($W151,'Fanduel Export'!$BA:$BG,4,FALSE)</f>
        <v>1</v>
      </c>
      <c r="U151" t="str">
        <f>VLOOKUP($W151,'Fanduel Export'!$BA:$BG,5,FALSE)</f>
        <v>Mike Evans</v>
      </c>
      <c r="V151">
        <f>VLOOKUP($W151,'Fanduel Export'!$BA:$BG,6,FALSE)</f>
        <v>8200</v>
      </c>
      <c r="W151">
        <f>LARGE('Fanduel Export'!$BA:$BA,R151)</f>
        <v>0</v>
      </c>
    </row>
    <row r="152" spans="1:23" x14ac:dyDescent="0.2">
      <c r="A152">
        <f t="shared" si="10"/>
        <v>0</v>
      </c>
      <c r="B152">
        <f>IF(C152=0,0,A152&amp;" "&amp;COUNTIF($A$1:A152,A152))</f>
        <v>0</v>
      </c>
      <c r="C152">
        <v>0</v>
      </c>
      <c r="D152" t="s">
        <v>2301</v>
      </c>
      <c r="E152">
        <v>4000</v>
      </c>
      <c r="F152" t="s">
        <v>88</v>
      </c>
      <c r="G152" s="16">
        <v>0</v>
      </c>
      <c r="J152">
        <f t="shared" si="11"/>
        <v>0</v>
      </c>
      <c r="K152">
        <f t="shared" si="11"/>
        <v>0</v>
      </c>
      <c r="L152">
        <f t="shared" si="11"/>
        <v>0</v>
      </c>
      <c r="M152">
        <f t="shared" si="11"/>
        <v>0</v>
      </c>
      <c r="N152" t="str">
        <f t="shared" si="12"/>
        <v>N</v>
      </c>
      <c r="R152">
        <f t="shared" si="13"/>
        <v>151</v>
      </c>
      <c r="T152">
        <f>VLOOKUP($W152,'Fanduel Export'!$BA:$BG,4,FALSE)</f>
        <v>1</v>
      </c>
      <c r="U152" t="str">
        <f>VLOOKUP($W152,'Fanduel Export'!$BA:$BG,5,FALSE)</f>
        <v>Mike Evans</v>
      </c>
      <c r="V152">
        <f>VLOOKUP($W152,'Fanduel Export'!$BA:$BG,6,FALSE)</f>
        <v>8200</v>
      </c>
      <c r="W152">
        <f>LARGE('Fanduel Export'!$BA:$BA,R152)</f>
        <v>0</v>
      </c>
    </row>
    <row r="153" spans="1:23" x14ac:dyDescent="0.2">
      <c r="A153">
        <f t="shared" si="10"/>
        <v>0</v>
      </c>
      <c r="B153">
        <f>IF(C153=0,0,A153&amp;" "&amp;COUNTIF($A$1:A153,A153))</f>
        <v>0</v>
      </c>
      <c r="C153">
        <v>0</v>
      </c>
      <c r="D153" t="s">
        <v>2486</v>
      </c>
      <c r="E153">
        <v>4000</v>
      </c>
      <c r="F153" t="s">
        <v>88</v>
      </c>
      <c r="G153" s="16">
        <v>0</v>
      </c>
      <c r="J153">
        <f t="shared" si="11"/>
        <v>0</v>
      </c>
      <c r="K153">
        <f t="shared" si="11"/>
        <v>0</v>
      </c>
      <c r="L153">
        <f t="shared" si="11"/>
        <v>0</v>
      </c>
      <c r="M153">
        <f t="shared" si="11"/>
        <v>0</v>
      </c>
      <c r="N153" t="str">
        <f t="shared" si="12"/>
        <v>N</v>
      </c>
      <c r="R153">
        <f t="shared" si="13"/>
        <v>152</v>
      </c>
      <c r="T153">
        <f>VLOOKUP($W153,'Fanduel Export'!$BA:$BG,4,FALSE)</f>
        <v>1</v>
      </c>
      <c r="U153" t="str">
        <f>VLOOKUP($W153,'Fanduel Export'!$BA:$BG,5,FALSE)</f>
        <v>Mike Evans</v>
      </c>
      <c r="V153">
        <f>VLOOKUP($W153,'Fanduel Export'!$BA:$BG,6,FALSE)</f>
        <v>8200</v>
      </c>
      <c r="W153">
        <f>LARGE('Fanduel Export'!$BA:$BA,R153)</f>
        <v>0</v>
      </c>
    </row>
    <row r="154" spans="1:23" x14ac:dyDescent="0.2">
      <c r="A154">
        <f t="shared" si="10"/>
        <v>0</v>
      </c>
      <c r="B154">
        <f>IF(C154=0,0,A154&amp;" "&amp;COUNTIF($A$1:A154,A154))</f>
        <v>0</v>
      </c>
      <c r="C154">
        <v>0</v>
      </c>
      <c r="D154" t="s">
        <v>2401</v>
      </c>
      <c r="E154">
        <v>4000</v>
      </c>
      <c r="F154" t="s">
        <v>88</v>
      </c>
      <c r="G154" s="16">
        <v>0</v>
      </c>
      <c r="J154">
        <f t="shared" si="11"/>
        <v>0</v>
      </c>
      <c r="K154">
        <f t="shared" si="11"/>
        <v>0</v>
      </c>
      <c r="L154">
        <f t="shared" si="11"/>
        <v>0</v>
      </c>
      <c r="M154">
        <f t="shared" si="11"/>
        <v>0</v>
      </c>
      <c r="N154" t="str">
        <f t="shared" si="12"/>
        <v>N</v>
      </c>
      <c r="R154">
        <f t="shared" si="13"/>
        <v>153</v>
      </c>
      <c r="T154">
        <f>VLOOKUP($W154,'Fanduel Export'!$BA:$BG,4,FALSE)</f>
        <v>1</v>
      </c>
      <c r="U154" t="str">
        <f>VLOOKUP($W154,'Fanduel Export'!$BA:$BG,5,FALSE)</f>
        <v>Mike Evans</v>
      </c>
      <c r="V154">
        <f>VLOOKUP($W154,'Fanduel Export'!$BA:$BG,6,FALSE)</f>
        <v>8200</v>
      </c>
      <c r="W154">
        <f>LARGE('Fanduel Export'!$BA:$BA,R154)</f>
        <v>0</v>
      </c>
    </row>
    <row r="155" spans="1:23" x14ac:dyDescent="0.2">
      <c r="A155">
        <f t="shared" si="10"/>
        <v>0</v>
      </c>
      <c r="B155">
        <f>IF(C155=0,0,A155&amp;" "&amp;COUNTIF($A$1:A155,A155))</f>
        <v>0</v>
      </c>
      <c r="C155">
        <v>0</v>
      </c>
      <c r="D155" t="s">
        <v>2475</v>
      </c>
      <c r="E155">
        <v>4000</v>
      </c>
      <c r="F155" t="s">
        <v>88</v>
      </c>
      <c r="G155" s="16">
        <v>0</v>
      </c>
      <c r="J155">
        <f t="shared" si="11"/>
        <v>0</v>
      </c>
      <c r="K155">
        <f t="shared" si="11"/>
        <v>0</v>
      </c>
      <c r="L155">
        <f t="shared" si="11"/>
        <v>0</v>
      </c>
      <c r="M155">
        <f t="shared" si="11"/>
        <v>0</v>
      </c>
      <c r="N155" t="str">
        <f t="shared" si="12"/>
        <v>N</v>
      </c>
      <c r="R155">
        <f t="shared" si="13"/>
        <v>154</v>
      </c>
      <c r="T155">
        <f>VLOOKUP($W155,'Fanduel Export'!$BA:$BG,4,FALSE)</f>
        <v>1</v>
      </c>
      <c r="U155" t="str">
        <f>VLOOKUP($W155,'Fanduel Export'!$BA:$BG,5,FALSE)</f>
        <v>Mike Evans</v>
      </c>
      <c r="V155">
        <f>VLOOKUP($W155,'Fanduel Export'!$BA:$BG,6,FALSE)</f>
        <v>8200</v>
      </c>
      <c r="W155">
        <f>LARGE('Fanduel Export'!$BA:$BA,R155)</f>
        <v>0</v>
      </c>
    </row>
    <row r="156" spans="1:23" x14ac:dyDescent="0.2">
      <c r="A156">
        <f t="shared" si="10"/>
        <v>0</v>
      </c>
      <c r="B156">
        <f>IF(C156=0,0,A156&amp;" "&amp;COUNTIF($A$1:A156,A156))</f>
        <v>0</v>
      </c>
      <c r="C156">
        <v>0</v>
      </c>
      <c r="D156" t="s">
        <v>686</v>
      </c>
      <c r="E156">
        <v>4000</v>
      </c>
      <c r="F156" t="s">
        <v>88</v>
      </c>
      <c r="G156" s="16">
        <v>0</v>
      </c>
      <c r="J156">
        <f t="shared" si="11"/>
        <v>0</v>
      </c>
      <c r="K156">
        <f t="shared" si="11"/>
        <v>0</v>
      </c>
      <c r="L156">
        <f t="shared" si="11"/>
        <v>0</v>
      </c>
      <c r="M156">
        <f t="shared" si="11"/>
        <v>0</v>
      </c>
      <c r="N156" t="str">
        <f t="shared" si="12"/>
        <v>N</v>
      </c>
      <c r="R156">
        <f t="shared" si="13"/>
        <v>155</v>
      </c>
      <c r="T156">
        <f>VLOOKUP($W156,'Fanduel Export'!$BA:$BG,4,FALSE)</f>
        <v>1</v>
      </c>
      <c r="U156" t="str">
        <f>VLOOKUP($W156,'Fanduel Export'!$BA:$BG,5,FALSE)</f>
        <v>Mike Evans</v>
      </c>
      <c r="V156">
        <f>VLOOKUP($W156,'Fanduel Export'!$BA:$BG,6,FALSE)</f>
        <v>8200</v>
      </c>
      <c r="W156">
        <f>LARGE('Fanduel Export'!$BA:$BA,R156)</f>
        <v>0</v>
      </c>
    </row>
    <row r="157" spans="1:23" x14ac:dyDescent="0.2">
      <c r="A157">
        <f t="shared" si="10"/>
        <v>0</v>
      </c>
      <c r="B157">
        <f>IF(C157=0,0,A157&amp;" "&amp;COUNTIF($A$1:A157,A157))</f>
        <v>0</v>
      </c>
      <c r="C157">
        <v>0</v>
      </c>
      <c r="D157" t="s">
        <v>619</v>
      </c>
      <c r="E157">
        <v>4000</v>
      </c>
      <c r="F157" t="s">
        <v>88</v>
      </c>
      <c r="G157" s="16">
        <v>0.63927434979415199</v>
      </c>
      <c r="J157">
        <f t="shared" si="11"/>
        <v>0</v>
      </c>
      <c r="K157">
        <f t="shared" si="11"/>
        <v>0</v>
      </c>
      <c r="L157">
        <f t="shared" si="11"/>
        <v>0</v>
      </c>
      <c r="M157">
        <f t="shared" si="11"/>
        <v>0</v>
      </c>
      <c r="N157" t="str">
        <f t="shared" si="12"/>
        <v>N</v>
      </c>
      <c r="R157">
        <f t="shared" si="13"/>
        <v>156</v>
      </c>
      <c r="T157">
        <f>VLOOKUP($W157,'Fanduel Export'!$BA:$BG,4,FALSE)</f>
        <v>1</v>
      </c>
      <c r="U157" t="str">
        <f>VLOOKUP($W157,'Fanduel Export'!$BA:$BG,5,FALSE)</f>
        <v>Mike Evans</v>
      </c>
      <c r="V157">
        <f>VLOOKUP($W157,'Fanduel Export'!$BA:$BG,6,FALSE)</f>
        <v>8200</v>
      </c>
      <c r="W157">
        <f>LARGE('Fanduel Export'!$BA:$BA,R157)</f>
        <v>0</v>
      </c>
    </row>
    <row r="158" spans="1:23" x14ac:dyDescent="0.2">
      <c r="A158">
        <f t="shared" si="10"/>
        <v>0</v>
      </c>
      <c r="B158">
        <f>IF(C158=0,0,A158&amp;" "&amp;COUNTIF($A$1:A158,A158))</f>
        <v>0</v>
      </c>
      <c r="C158">
        <v>0</v>
      </c>
      <c r="D158" t="s">
        <v>2636</v>
      </c>
      <c r="E158">
        <v>4000</v>
      </c>
      <c r="F158" t="s">
        <v>88</v>
      </c>
      <c r="G158" s="16">
        <v>0</v>
      </c>
      <c r="J158">
        <f t="shared" si="11"/>
        <v>0</v>
      </c>
      <c r="K158">
        <f t="shared" si="11"/>
        <v>0</v>
      </c>
      <c r="L158">
        <f t="shared" si="11"/>
        <v>0</v>
      </c>
      <c r="M158">
        <f t="shared" si="11"/>
        <v>0</v>
      </c>
      <c r="N158" t="str">
        <f t="shared" si="12"/>
        <v>N</v>
      </c>
      <c r="R158">
        <f t="shared" si="13"/>
        <v>157</v>
      </c>
      <c r="T158">
        <f>VLOOKUP($W158,'Fanduel Export'!$BA:$BG,4,FALSE)</f>
        <v>1</v>
      </c>
      <c r="U158" t="str">
        <f>VLOOKUP($W158,'Fanduel Export'!$BA:$BG,5,FALSE)</f>
        <v>Mike Evans</v>
      </c>
      <c r="V158">
        <f>VLOOKUP($W158,'Fanduel Export'!$BA:$BG,6,FALSE)</f>
        <v>8200</v>
      </c>
      <c r="W158">
        <f>LARGE('Fanduel Export'!$BA:$BA,R158)</f>
        <v>0</v>
      </c>
    </row>
    <row r="159" spans="1:23" x14ac:dyDescent="0.2">
      <c r="A159">
        <f t="shared" si="10"/>
        <v>0</v>
      </c>
      <c r="B159">
        <f>IF(C159=0,0,A159&amp;" "&amp;COUNTIF($A$1:A159,A159))</f>
        <v>0</v>
      </c>
      <c r="C159">
        <v>0</v>
      </c>
      <c r="D159" t="s">
        <v>2584</v>
      </c>
      <c r="E159">
        <v>4000</v>
      </c>
      <c r="F159" t="s">
        <v>88</v>
      </c>
      <c r="G159" s="16">
        <v>0</v>
      </c>
      <c r="J159">
        <f t="shared" si="11"/>
        <v>0</v>
      </c>
      <c r="K159">
        <f t="shared" si="11"/>
        <v>0</v>
      </c>
      <c r="L159">
        <f t="shared" si="11"/>
        <v>0</v>
      </c>
      <c r="M159">
        <f t="shared" si="11"/>
        <v>0</v>
      </c>
      <c r="N159" t="str">
        <f t="shared" si="12"/>
        <v>N</v>
      </c>
      <c r="R159">
        <f t="shared" si="13"/>
        <v>158</v>
      </c>
      <c r="T159">
        <f>VLOOKUP($W159,'Fanduel Export'!$BA:$BG,4,FALSE)</f>
        <v>1</v>
      </c>
      <c r="U159" t="str">
        <f>VLOOKUP($W159,'Fanduel Export'!$BA:$BG,5,FALSE)</f>
        <v>Mike Evans</v>
      </c>
      <c r="V159">
        <f>VLOOKUP($W159,'Fanduel Export'!$BA:$BG,6,FALSE)</f>
        <v>8200</v>
      </c>
      <c r="W159">
        <f>LARGE('Fanduel Export'!$BA:$BA,R159)</f>
        <v>0</v>
      </c>
    </row>
    <row r="160" spans="1:23" x14ac:dyDescent="0.2">
      <c r="A160">
        <f t="shared" si="10"/>
        <v>0</v>
      </c>
      <c r="B160">
        <f>IF(C160=0,0,A160&amp;" "&amp;COUNTIF($A$1:A160,A160))</f>
        <v>0</v>
      </c>
      <c r="C160">
        <v>0</v>
      </c>
      <c r="G160" s="16"/>
      <c r="J160">
        <f t="shared" si="11"/>
        <v>0</v>
      </c>
      <c r="K160">
        <f t="shared" si="11"/>
        <v>0</v>
      </c>
      <c r="L160">
        <f t="shared" si="11"/>
        <v>0</v>
      </c>
      <c r="M160">
        <f t="shared" si="11"/>
        <v>0</v>
      </c>
      <c r="N160" t="str">
        <f t="shared" si="12"/>
        <v>N</v>
      </c>
      <c r="R160">
        <f t="shared" si="13"/>
        <v>159</v>
      </c>
      <c r="T160">
        <f>VLOOKUP($W160,'Fanduel Export'!$BA:$BG,4,FALSE)</f>
        <v>1</v>
      </c>
      <c r="U160" t="str">
        <f>VLOOKUP($W160,'Fanduel Export'!$BA:$BG,5,FALSE)</f>
        <v>Mike Evans</v>
      </c>
      <c r="V160">
        <f>VLOOKUP($W160,'Fanduel Export'!$BA:$BG,6,FALSE)</f>
        <v>8200</v>
      </c>
      <c r="W160">
        <f>LARGE('Fanduel Export'!$BA:$BA,R160)</f>
        <v>0</v>
      </c>
    </row>
    <row r="161" spans="1:23" x14ac:dyDescent="0.2">
      <c r="A161">
        <f t="shared" si="10"/>
        <v>0</v>
      </c>
      <c r="B161">
        <f>IF(C161=0,0,A161&amp;" "&amp;COUNTIF($A$1:A161,A161))</f>
        <v>0</v>
      </c>
      <c r="C161">
        <v>0</v>
      </c>
      <c r="G161" s="16"/>
      <c r="J161">
        <f t="shared" si="11"/>
        <v>0</v>
      </c>
      <c r="K161">
        <f t="shared" si="11"/>
        <v>0</v>
      </c>
      <c r="L161">
        <f t="shared" si="11"/>
        <v>0</v>
      </c>
      <c r="M161">
        <f t="shared" si="11"/>
        <v>0</v>
      </c>
      <c r="N161" t="str">
        <f t="shared" si="12"/>
        <v>N</v>
      </c>
      <c r="R161">
        <f t="shared" si="13"/>
        <v>160</v>
      </c>
      <c r="T161">
        <f>VLOOKUP($W161,'Fanduel Export'!$BA:$BG,4,FALSE)</f>
        <v>1</v>
      </c>
      <c r="U161" t="str">
        <f>VLOOKUP($W161,'Fanduel Export'!$BA:$BG,5,FALSE)</f>
        <v>Mike Evans</v>
      </c>
      <c r="V161">
        <f>VLOOKUP($W161,'Fanduel Export'!$BA:$BG,6,FALSE)</f>
        <v>8200</v>
      </c>
      <c r="W161">
        <f>LARGE('Fanduel Export'!$BA:$BA,R161)</f>
        <v>0</v>
      </c>
    </row>
    <row r="162" spans="1:23" x14ac:dyDescent="0.2">
      <c r="A162">
        <f t="shared" si="10"/>
        <v>0</v>
      </c>
      <c r="B162">
        <f>IF(C162=0,0,A162&amp;" "&amp;COUNTIF($A$1:A162,A162))</f>
        <v>0</v>
      </c>
      <c r="C162">
        <v>0</v>
      </c>
      <c r="G162" s="16"/>
      <c r="J162">
        <f t="shared" si="11"/>
        <v>0</v>
      </c>
      <c r="K162">
        <f t="shared" si="11"/>
        <v>0</v>
      </c>
      <c r="L162">
        <f t="shared" si="11"/>
        <v>0</v>
      </c>
      <c r="M162">
        <f t="shared" si="11"/>
        <v>0</v>
      </c>
      <c r="N162" t="str">
        <f t="shared" si="12"/>
        <v>N</v>
      </c>
      <c r="R162">
        <f t="shared" si="13"/>
        <v>161</v>
      </c>
      <c r="T162">
        <f>VLOOKUP($W162,'Fanduel Export'!$BA:$BG,4,FALSE)</f>
        <v>1</v>
      </c>
      <c r="U162" t="str">
        <f>VLOOKUP($W162,'Fanduel Export'!$BA:$BG,5,FALSE)</f>
        <v>Mike Evans</v>
      </c>
      <c r="V162">
        <f>VLOOKUP($W162,'Fanduel Export'!$BA:$BG,6,FALSE)</f>
        <v>8200</v>
      </c>
      <c r="W162">
        <f>LARGE('Fanduel Export'!$BA:$BA,R162)</f>
        <v>0</v>
      </c>
    </row>
    <row r="163" spans="1:23" x14ac:dyDescent="0.2">
      <c r="A163">
        <f t="shared" si="10"/>
        <v>0</v>
      </c>
      <c r="B163">
        <f>IF(C163=0,0,A163&amp;" "&amp;COUNTIF($A$1:A163,A163))</f>
        <v>0</v>
      </c>
      <c r="C163">
        <v>0</v>
      </c>
      <c r="G163" s="16"/>
      <c r="J163">
        <f t="shared" si="11"/>
        <v>0</v>
      </c>
      <c r="K163">
        <f t="shared" si="11"/>
        <v>0</v>
      </c>
      <c r="L163">
        <f t="shared" si="11"/>
        <v>0</v>
      </c>
      <c r="M163">
        <f t="shared" si="11"/>
        <v>0</v>
      </c>
      <c r="N163" t="str">
        <f t="shared" si="12"/>
        <v>N</v>
      </c>
      <c r="R163">
        <f t="shared" si="13"/>
        <v>162</v>
      </c>
      <c r="T163">
        <f>VLOOKUP($W163,'Fanduel Export'!$BA:$BG,4,FALSE)</f>
        <v>1</v>
      </c>
      <c r="U163" t="str">
        <f>VLOOKUP($W163,'Fanduel Export'!$BA:$BG,5,FALSE)</f>
        <v>Mike Evans</v>
      </c>
      <c r="V163">
        <f>VLOOKUP($W163,'Fanduel Export'!$BA:$BG,6,FALSE)</f>
        <v>8200</v>
      </c>
      <c r="W163">
        <f>LARGE('Fanduel Export'!$BA:$BA,R163)</f>
        <v>0</v>
      </c>
    </row>
    <row r="164" spans="1:23" x14ac:dyDescent="0.2">
      <c r="A164">
        <f t="shared" si="10"/>
        <v>0</v>
      </c>
      <c r="B164">
        <f>IF(C164=0,0,A164&amp;" "&amp;COUNTIF($A$1:A164,A164))</f>
        <v>0</v>
      </c>
      <c r="C164">
        <v>0</v>
      </c>
      <c r="G164" s="16"/>
      <c r="J164">
        <f t="shared" si="11"/>
        <v>0</v>
      </c>
      <c r="K164">
        <f t="shared" si="11"/>
        <v>0</v>
      </c>
      <c r="L164">
        <f t="shared" si="11"/>
        <v>0</v>
      </c>
      <c r="M164">
        <f t="shared" si="11"/>
        <v>0</v>
      </c>
      <c r="N164" t="str">
        <f t="shared" si="12"/>
        <v>N</v>
      </c>
      <c r="R164">
        <f t="shared" si="13"/>
        <v>163</v>
      </c>
      <c r="T164">
        <f>VLOOKUP($W164,'Fanduel Export'!$BA:$BG,4,FALSE)</f>
        <v>1</v>
      </c>
      <c r="U164" t="str">
        <f>VLOOKUP($W164,'Fanduel Export'!$BA:$BG,5,FALSE)</f>
        <v>Mike Evans</v>
      </c>
      <c r="V164">
        <f>VLOOKUP($W164,'Fanduel Export'!$BA:$BG,6,FALSE)</f>
        <v>8200</v>
      </c>
      <c r="W164">
        <f>LARGE('Fanduel Export'!$BA:$BA,R164)</f>
        <v>0</v>
      </c>
    </row>
    <row r="165" spans="1:23" x14ac:dyDescent="0.2">
      <c r="A165">
        <f t="shared" si="10"/>
        <v>0</v>
      </c>
      <c r="B165">
        <f>IF(C165=0,0,A165&amp;" "&amp;COUNTIF($A$1:A165,A165))</f>
        <v>0</v>
      </c>
      <c r="C165">
        <v>0</v>
      </c>
      <c r="G165" s="16"/>
      <c r="J165">
        <f t="shared" si="11"/>
        <v>0</v>
      </c>
      <c r="K165">
        <f t="shared" si="11"/>
        <v>0</v>
      </c>
      <c r="L165">
        <f t="shared" si="11"/>
        <v>0</v>
      </c>
      <c r="M165">
        <f t="shared" si="11"/>
        <v>0</v>
      </c>
      <c r="N165" t="str">
        <f t="shared" si="12"/>
        <v>N</v>
      </c>
      <c r="R165">
        <f t="shared" si="13"/>
        <v>164</v>
      </c>
      <c r="T165">
        <f>VLOOKUP($W165,'Fanduel Export'!$BA:$BG,4,FALSE)</f>
        <v>1</v>
      </c>
      <c r="U165" t="str">
        <f>VLOOKUP($W165,'Fanduel Export'!$BA:$BG,5,FALSE)</f>
        <v>Mike Evans</v>
      </c>
      <c r="V165">
        <f>VLOOKUP($W165,'Fanduel Export'!$BA:$BG,6,FALSE)</f>
        <v>8200</v>
      </c>
      <c r="W165">
        <f>LARGE('Fanduel Export'!$BA:$BA,R165)</f>
        <v>0</v>
      </c>
    </row>
    <row r="166" spans="1:23" x14ac:dyDescent="0.2">
      <c r="A166">
        <f t="shared" si="10"/>
        <v>0</v>
      </c>
      <c r="B166">
        <f>IF(C166=0,0,A166&amp;" "&amp;COUNTIF($A$1:A166,A166))</f>
        <v>0</v>
      </c>
      <c r="C166">
        <v>0</v>
      </c>
      <c r="G166" s="16"/>
      <c r="J166">
        <f t="shared" si="11"/>
        <v>0</v>
      </c>
      <c r="K166">
        <f t="shared" si="11"/>
        <v>0</v>
      </c>
      <c r="L166">
        <f t="shared" si="11"/>
        <v>0</v>
      </c>
      <c r="M166">
        <f t="shared" si="11"/>
        <v>0</v>
      </c>
      <c r="N166" t="str">
        <f t="shared" si="12"/>
        <v>N</v>
      </c>
      <c r="R166">
        <f t="shared" si="13"/>
        <v>165</v>
      </c>
      <c r="T166">
        <f>VLOOKUP($W166,'Fanduel Export'!$BA:$BG,4,FALSE)</f>
        <v>1</v>
      </c>
      <c r="U166" t="str">
        <f>VLOOKUP($W166,'Fanduel Export'!$BA:$BG,5,FALSE)</f>
        <v>Mike Evans</v>
      </c>
      <c r="V166">
        <f>VLOOKUP($W166,'Fanduel Export'!$BA:$BG,6,FALSE)</f>
        <v>8200</v>
      </c>
      <c r="W166">
        <f>LARGE('Fanduel Export'!$BA:$BA,R166)</f>
        <v>0</v>
      </c>
    </row>
    <row r="167" spans="1:23" x14ac:dyDescent="0.2">
      <c r="A167">
        <f t="shared" si="10"/>
        <v>0</v>
      </c>
      <c r="B167">
        <f>IF(C167=0,0,A167&amp;" "&amp;COUNTIF($A$1:A167,A167))</f>
        <v>0</v>
      </c>
      <c r="C167">
        <v>0</v>
      </c>
      <c r="G167" s="16"/>
      <c r="J167">
        <f t="shared" si="11"/>
        <v>0</v>
      </c>
      <c r="K167">
        <f t="shared" si="11"/>
        <v>0</v>
      </c>
      <c r="L167">
        <f t="shared" si="11"/>
        <v>0</v>
      </c>
      <c r="M167">
        <f t="shared" si="11"/>
        <v>0</v>
      </c>
      <c r="N167" t="str">
        <f t="shared" si="12"/>
        <v>N</v>
      </c>
      <c r="R167">
        <f t="shared" si="13"/>
        <v>166</v>
      </c>
      <c r="T167">
        <f>VLOOKUP($W167,'Fanduel Export'!$BA:$BG,4,FALSE)</f>
        <v>1</v>
      </c>
      <c r="U167" t="str">
        <f>VLOOKUP($W167,'Fanduel Export'!$BA:$BG,5,FALSE)</f>
        <v>Mike Evans</v>
      </c>
      <c r="V167">
        <f>VLOOKUP($W167,'Fanduel Export'!$BA:$BG,6,FALSE)</f>
        <v>8200</v>
      </c>
      <c r="W167">
        <f>LARGE('Fanduel Export'!$BA:$BA,R167)</f>
        <v>0</v>
      </c>
    </row>
    <row r="168" spans="1:23" x14ac:dyDescent="0.2">
      <c r="A168">
        <f t="shared" si="10"/>
        <v>0</v>
      </c>
      <c r="B168">
        <f>IF(C168=0,0,A168&amp;" "&amp;COUNTIF($A$1:A168,A168))</f>
        <v>0</v>
      </c>
      <c r="C168">
        <v>0</v>
      </c>
      <c r="G168" s="16"/>
      <c r="J168">
        <f t="shared" si="11"/>
        <v>0</v>
      </c>
      <c r="K168">
        <f t="shared" si="11"/>
        <v>0</v>
      </c>
      <c r="L168">
        <f t="shared" si="11"/>
        <v>0</v>
      </c>
      <c r="M168">
        <f t="shared" si="11"/>
        <v>0</v>
      </c>
      <c r="N168" t="str">
        <f t="shared" si="12"/>
        <v>N</v>
      </c>
      <c r="R168">
        <f t="shared" si="13"/>
        <v>167</v>
      </c>
      <c r="T168">
        <f>VLOOKUP($W168,'Fanduel Export'!$BA:$BG,4,FALSE)</f>
        <v>1</v>
      </c>
      <c r="U168" t="str">
        <f>VLOOKUP($W168,'Fanduel Export'!$BA:$BG,5,FALSE)</f>
        <v>Mike Evans</v>
      </c>
      <c r="V168">
        <f>VLOOKUP($W168,'Fanduel Export'!$BA:$BG,6,FALSE)</f>
        <v>8200</v>
      </c>
      <c r="W168">
        <f>LARGE('Fanduel Export'!$BA:$BA,R168)</f>
        <v>0</v>
      </c>
    </row>
    <row r="169" spans="1:23" x14ac:dyDescent="0.2">
      <c r="A169">
        <f t="shared" si="10"/>
        <v>0</v>
      </c>
      <c r="B169">
        <f>IF(C169=0,0,A169&amp;" "&amp;COUNTIF($A$1:A169,A169))</f>
        <v>0</v>
      </c>
      <c r="C169">
        <v>0</v>
      </c>
      <c r="G169" s="16"/>
      <c r="J169">
        <f t="shared" si="11"/>
        <v>0</v>
      </c>
      <c r="K169">
        <f t="shared" si="11"/>
        <v>0</v>
      </c>
      <c r="L169">
        <f t="shared" si="11"/>
        <v>0</v>
      </c>
      <c r="M169">
        <f t="shared" si="11"/>
        <v>0</v>
      </c>
      <c r="N169" t="str">
        <f t="shared" si="12"/>
        <v>N</v>
      </c>
      <c r="R169">
        <f t="shared" si="13"/>
        <v>168</v>
      </c>
      <c r="T169">
        <f>VLOOKUP($W169,'Fanduel Export'!$BA:$BG,4,FALSE)</f>
        <v>1</v>
      </c>
      <c r="U169" t="str">
        <f>VLOOKUP($W169,'Fanduel Export'!$BA:$BG,5,FALSE)</f>
        <v>Mike Evans</v>
      </c>
      <c r="V169">
        <f>VLOOKUP($W169,'Fanduel Export'!$BA:$BG,6,FALSE)</f>
        <v>8200</v>
      </c>
      <c r="W169">
        <f>LARGE('Fanduel Export'!$BA:$BA,R169)</f>
        <v>0</v>
      </c>
    </row>
    <row r="170" spans="1:23" x14ac:dyDescent="0.2">
      <c r="A170">
        <f t="shared" si="10"/>
        <v>0</v>
      </c>
      <c r="B170">
        <f>IF(C170=0,0,A170&amp;" "&amp;COUNTIF($A$1:A170,A170))</f>
        <v>0</v>
      </c>
      <c r="C170">
        <v>0</v>
      </c>
      <c r="G170" s="16"/>
      <c r="J170">
        <f t="shared" si="11"/>
        <v>0</v>
      </c>
      <c r="K170">
        <f t="shared" si="11"/>
        <v>0</v>
      </c>
      <c r="L170">
        <f t="shared" si="11"/>
        <v>0</v>
      </c>
      <c r="M170">
        <f t="shared" si="11"/>
        <v>0</v>
      </c>
      <c r="N170" t="str">
        <f t="shared" si="12"/>
        <v>N</v>
      </c>
      <c r="R170">
        <f t="shared" si="13"/>
        <v>169</v>
      </c>
      <c r="T170">
        <f>VLOOKUP($W170,'Fanduel Export'!$BA:$BG,4,FALSE)</f>
        <v>1</v>
      </c>
      <c r="U170" t="str">
        <f>VLOOKUP($W170,'Fanduel Export'!$BA:$BG,5,FALSE)</f>
        <v>Mike Evans</v>
      </c>
      <c r="V170">
        <f>VLOOKUP($W170,'Fanduel Export'!$BA:$BG,6,FALSE)</f>
        <v>8200</v>
      </c>
      <c r="W170">
        <f>LARGE('Fanduel Export'!$BA:$BA,R170)</f>
        <v>0</v>
      </c>
    </row>
    <row r="171" spans="1:23" x14ac:dyDescent="0.2">
      <c r="A171">
        <f t="shared" si="10"/>
        <v>0</v>
      </c>
      <c r="B171">
        <f>IF(C171=0,0,A171&amp;" "&amp;COUNTIF($A$1:A171,A171))</f>
        <v>0</v>
      </c>
      <c r="C171">
        <v>0</v>
      </c>
      <c r="G171" s="16"/>
      <c r="J171">
        <f t="shared" si="11"/>
        <v>0</v>
      </c>
      <c r="K171">
        <f t="shared" si="11"/>
        <v>0</v>
      </c>
      <c r="L171">
        <f t="shared" si="11"/>
        <v>0</v>
      </c>
      <c r="M171">
        <f t="shared" si="11"/>
        <v>0</v>
      </c>
      <c r="N171" t="str">
        <f t="shared" si="12"/>
        <v>N</v>
      </c>
      <c r="R171">
        <f t="shared" si="13"/>
        <v>170</v>
      </c>
      <c r="T171">
        <f>VLOOKUP($W171,'Fanduel Export'!$BA:$BG,4,FALSE)</f>
        <v>1</v>
      </c>
      <c r="U171" t="str">
        <f>VLOOKUP($W171,'Fanduel Export'!$BA:$BG,5,FALSE)</f>
        <v>Mike Evans</v>
      </c>
      <c r="V171">
        <f>VLOOKUP($W171,'Fanduel Export'!$BA:$BG,6,FALSE)</f>
        <v>8200</v>
      </c>
      <c r="W171">
        <f>LARGE('Fanduel Export'!$BA:$BA,R171)</f>
        <v>0</v>
      </c>
    </row>
    <row r="172" spans="1:23" x14ac:dyDescent="0.2">
      <c r="A172">
        <f t="shared" si="10"/>
        <v>0</v>
      </c>
      <c r="B172">
        <f>IF(C172=0,0,A172&amp;" "&amp;COUNTIF($A$1:A172,A172))</f>
        <v>0</v>
      </c>
      <c r="C172">
        <v>0</v>
      </c>
      <c r="G172" s="16"/>
      <c r="J172">
        <f t="shared" si="11"/>
        <v>0</v>
      </c>
      <c r="K172">
        <f t="shared" si="11"/>
        <v>0</v>
      </c>
      <c r="L172">
        <f t="shared" si="11"/>
        <v>0</v>
      </c>
      <c r="M172">
        <f t="shared" si="11"/>
        <v>0</v>
      </c>
      <c r="N172" t="str">
        <f t="shared" si="12"/>
        <v>N</v>
      </c>
      <c r="R172">
        <f t="shared" si="13"/>
        <v>171</v>
      </c>
      <c r="T172">
        <f>VLOOKUP($W172,'Fanduel Export'!$BA:$BG,4,FALSE)</f>
        <v>1</v>
      </c>
      <c r="U172" t="str">
        <f>VLOOKUP($W172,'Fanduel Export'!$BA:$BG,5,FALSE)</f>
        <v>Mike Evans</v>
      </c>
      <c r="V172">
        <f>VLOOKUP($W172,'Fanduel Export'!$BA:$BG,6,FALSE)</f>
        <v>8200</v>
      </c>
      <c r="W172">
        <f>LARGE('Fanduel Export'!$BA:$BA,R172)</f>
        <v>0</v>
      </c>
    </row>
    <row r="173" spans="1:23" x14ac:dyDescent="0.2">
      <c r="A173">
        <f t="shared" si="10"/>
        <v>0</v>
      </c>
      <c r="B173">
        <f>IF(C173=0,0,A173&amp;" "&amp;COUNTIF($A$1:A173,A173))</f>
        <v>0</v>
      </c>
      <c r="C173">
        <v>0</v>
      </c>
      <c r="G173" s="16"/>
      <c r="J173">
        <f t="shared" si="11"/>
        <v>0</v>
      </c>
      <c r="K173">
        <f t="shared" si="11"/>
        <v>0</v>
      </c>
      <c r="L173">
        <f t="shared" si="11"/>
        <v>0</v>
      </c>
      <c r="M173">
        <f t="shared" si="11"/>
        <v>0</v>
      </c>
      <c r="N173" t="str">
        <f t="shared" si="12"/>
        <v>N</v>
      </c>
      <c r="R173">
        <f t="shared" si="13"/>
        <v>172</v>
      </c>
      <c r="T173">
        <f>VLOOKUP($W173,'Fanduel Export'!$BA:$BG,4,FALSE)</f>
        <v>1</v>
      </c>
      <c r="U173" t="str">
        <f>VLOOKUP($W173,'Fanduel Export'!$BA:$BG,5,FALSE)</f>
        <v>Mike Evans</v>
      </c>
      <c r="V173">
        <f>VLOOKUP($W173,'Fanduel Export'!$BA:$BG,6,FALSE)</f>
        <v>8200</v>
      </c>
      <c r="W173">
        <f>LARGE('Fanduel Export'!$BA:$BA,R173)</f>
        <v>0</v>
      </c>
    </row>
    <row r="174" spans="1:23" x14ac:dyDescent="0.2">
      <c r="A174">
        <f t="shared" si="10"/>
        <v>0</v>
      </c>
      <c r="B174">
        <f>IF(C174=0,0,A174&amp;" "&amp;COUNTIF($A$1:A174,A174))</f>
        <v>0</v>
      </c>
      <c r="C174">
        <v>0</v>
      </c>
      <c r="G174" s="16"/>
      <c r="J174">
        <f t="shared" si="11"/>
        <v>0</v>
      </c>
      <c r="K174">
        <f t="shared" si="11"/>
        <v>0</v>
      </c>
      <c r="L174">
        <f t="shared" si="11"/>
        <v>0</v>
      </c>
      <c r="M174">
        <f t="shared" si="11"/>
        <v>0</v>
      </c>
      <c r="N174" t="str">
        <f t="shared" si="12"/>
        <v>N</v>
      </c>
      <c r="R174">
        <f t="shared" si="13"/>
        <v>173</v>
      </c>
      <c r="T174">
        <f>VLOOKUP($W174,'Fanduel Export'!$BA:$BG,4,FALSE)</f>
        <v>1</v>
      </c>
      <c r="U174" t="str">
        <f>VLOOKUP($W174,'Fanduel Export'!$BA:$BG,5,FALSE)</f>
        <v>Mike Evans</v>
      </c>
      <c r="V174">
        <f>VLOOKUP($W174,'Fanduel Export'!$BA:$BG,6,FALSE)</f>
        <v>8200</v>
      </c>
      <c r="W174">
        <f>LARGE('Fanduel Export'!$BA:$BA,R174)</f>
        <v>0</v>
      </c>
    </row>
    <row r="175" spans="1:23" x14ac:dyDescent="0.2">
      <c r="A175">
        <f t="shared" si="10"/>
        <v>0</v>
      </c>
      <c r="B175">
        <f>IF(C175=0,0,A175&amp;" "&amp;COUNTIF($A$1:A175,A175))</f>
        <v>0</v>
      </c>
      <c r="C175">
        <v>0</v>
      </c>
      <c r="G175" s="16"/>
      <c r="J175">
        <f t="shared" si="11"/>
        <v>0</v>
      </c>
      <c r="K175">
        <f t="shared" si="11"/>
        <v>0</v>
      </c>
      <c r="L175">
        <f t="shared" si="11"/>
        <v>0</v>
      </c>
      <c r="M175">
        <f t="shared" si="11"/>
        <v>0</v>
      </c>
      <c r="N175" t="str">
        <f t="shared" si="12"/>
        <v>N</v>
      </c>
      <c r="R175">
        <f t="shared" si="13"/>
        <v>174</v>
      </c>
      <c r="T175">
        <f>VLOOKUP($W175,'Fanduel Export'!$BA:$BG,4,FALSE)</f>
        <v>1</v>
      </c>
      <c r="U175" t="str">
        <f>VLOOKUP($W175,'Fanduel Export'!$BA:$BG,5,FALSE)</f>
        <v>Mike Evans</v>
      </c>
      <c r="V175">
        <f>VLOOKUP($W175,'Fanduel Export'!$BA:$BG,6,FALSE)</f>
        <v>8200</v>
      </c>
      <c r="W175">
        <f>LARGE('Fanduel Export'!$BA:$BA,R175)</f>
        <v>0</v>
      </c>
    </row>
    <row r="176" spans="1:23" x14ac:dyDescent="0.2">
      <c r="A176">
        <f t="shared" si="10"/>
        <v>0</v>
      </c>
      <c r="B176">
        <f>IF(C176=0,0,A176&amp;" "&amp;COUNTIF($A$1:A176,A176))</f>
        <v>0</v>
      </c>
      <c r="C176">
        <v>0</v>
      </c>
      <c r="G176" s="16"/>
      <c r="J176">
        <f t="shared" si="11"/>
        <v>0</v>
      </c>
      <c r="K176">
        <f t="shared" si="11"/>
        <v>0</v>
      </c>
      <c r="L176">
        <f t="shared" si="11"/>
        <v>0</v>
      </c>
      <c r="M176">
        <f t="shared" si="11"/>
        <v>0</v>
      </c>
      <c r="N176" t="str">
        <f t="shared" si="12"/>
        <v>N</v>
      </c>
      <c r="R176">
        <f t="shared" si="13"/>
        <v>175</v>
      </c>
      <c r="T176">
        <f>VLOOKUP($W176,'Fanduel Export'!$BA:$BG,4,FALSE)</f>
        <v>1</v>
      </c>
      <c r="U176" t="str">
        <f>VLOOKUP($W176,'Fanduel Export'!$BA:$BG,5,FALSE)</f>
        <v>Mike Evans</v>
      </c>
      <c r="V176">
        <f>VLOOKUP($W176,'Fanduel Export'!$BA:$BG,6,FALSE)</f>
        <v>8200</v>
      </c>
      <c r="W176">
        <f>LARGE('Fanduel Export'!$BA:$BA,R176)</f>
        <v>0</v>
      </c>
    </row>
    <row r="177" spans="1:23" x14ac:dyDescent="0.2">
      <c r="A177">
        <f t="shared" si="10"/>
        <v>0</v>
      </c>
      <c r="B177">
        <f>IF(C177=0,0,A177&amp;" "&amp;COUNTIF($A$1:A177,A177))</f>
        <v>0</v>
      </c>
      <c r="C177">
        <v>0</v>
      </c>
      <c r="G177" s="16"/>
      <c r="J177">
        <f t="shared" si="11"/>
        <v>0</v>
      </c>
      <c r="K177">
        <f t="shared" si="11"/>
        <v>0</v>
      </c>
      <c r="L177">
        <f t="shared" si="11"/>
        <v>0</v>
      </c>
      <c r="M177">
        <f t="shared" si="11"/>
        <v>0</v>
      </c>
      <c r="N177" t="str">
        <f t="shared" si="12"/>
        <v>N</v>
      </c>
      <c r="R177">
        <f t="shared" si="13"/>
        <v>176</v>
      </c>
      <c r="T177">
        <f>VLOOKUP($W177,'Fanduel Export'!$BA:$BG,4,FALSE)</f>
        <v>1</v>
      </c>
      <c r="U177" t="str">
        <f>VLOOKUP($W177,'Fanduel Export'!$BA:$BG,5,FALSE)</f>
        <v>Mike Evans</v>
      </c>
      <c r="V177">
        <f>VLOOKUP($W177,'Fanduel Export'!$BA:$BG,6,FALSE)</f>
        <v>8200</v>
      </c>
      <c r="W177">
        <f>LARGE('Fanduel Export'!$BA:$BA,R177)</f>
        <v>0</v>
      </c>
    </row>
    <row r="178" spans="1:23" x14ac:dyDescent="0.2">
      <c r="A178">
        <f t="shared" si="10"/>
        <v>0</v>
      </c>
      <c r="B178">
        <f>IF(C178=0,0,A178&amp;" "&amp;COUNTIF($A$1:A178,A178))</f>
        <v>0</v>
      </c>
      <c r="C178">
        <v>0</v>
      </c>
      <c r="G178" s="16"/>
      <c r="J178">
        <f t="shared" si="11"/>
        <v>0</v>
      </c>
      <c r="K178">
        <f t="shared" si="11"/>
        <v>0</v>
      </c>
      <c r="L178">
        <f t="shared" si="11"/>
        <v>0</v>
      </c>
      <c r="M178">
        <f t="shared" si="11"/>
        <v>0</v>
      </c>
      <c r="N178" t="str">
        <f t="shared" si="12"/>
        <v>N</v>
      </c>
      <c r="R178">
        <f t="shared" si="13"/>
        <v>177</v>
      </c>
      <c r="T178">
        <f>VLOOKUP($W178,'Fanduel Export'!$BA:$BG,4,FALSE)</f>
        <v>1</v>
      </c>
      <c r="U178" t="str">
        <f>VLOOKUP($W178,'Fanduel Export'!$BA:$BG,5,FALSE)</f>
        <v>Mike Evans</v>
      </c>
      <c r="V178">
        <f>VLOOKUP($W178,'Fanduel Export'!$BA:$BG,6,FALSE)</f>
        <v>8200</v>
      </c>
      <c r="W178">
        <f>LARGE('Fanduel Export'!$BA:$BA,R178)</f>
        <v>0</v>
      </c>
    </row>
    <row r="179" spans="1:23" x14ac:dyDescent="0.2">
      <c r="A179">
        <f t="shared" si="10"/>
        <v>0</v>
      </c>
      <c r="B179">
        <f>IF(C179=0,0,A179&amp;" "&amp;COUNTIF($A$1:A179,A179))</f>
        <v>0</v>
      </c>
      <c r="C179">
        <v>0</v>
      </c>
      <c r="G179" s="16"/>
      <c r="J179">
        <f t="shared" si="11"/>
        <v>0</v>
      </c>
      <c r="K179">
        <f t="shared" si="11"/>
        <v>0</v>
      </c>
      <c r="L179">
        <f t="shared" si="11"/>
        <v>0</v>
      </c>
      <c r="M179">
        <f t="shared" si="11"/>
        <v>0</v>
      </c>
      <c r="N179" t="str">
        <f t="shared" si="12"/>
        <v>N</v>
      </c>
      <c r="R179">
        <f t="shared" si="13"/>
        <v>178</v>
      </c>
      <c r="T179">
        <f>VLOOKUP($W179,'Fanduel Export'!$BA:$BG,4,FALSE)</f>
        <v>1</v>
      </c>
      <c r="U179" t="str">
        <f>VLOOKUP($W179,'Fanduel Export'!$BA:$BG,5,FALSE)</f>
        <v>Mike Evans</v>
      </c>
      <c r="V179">
        <f>VLOOKUP($W179,'Fanduel Export'!$BA:$BG,6,FALSE)</f>
        <v>8200</v>
      </c>
      <c r="W179">
        <f>LARGE('Fanduel Export'!$BA:$BA,R179)</f>
        <v>0</v>
      </c>
    </row>
    <row r="180" spans="1:23" x14ac:dyDescent="0.2">
      <c r="A180">
        <f t="shared" si="10"/>
        <v>0</v>
      </c>
      <c r="B180">
        <f>IF(C180=0,0,A180&amp;" "&amp;COUNTIF($A$1:A180,A180))</f>
        <v>0</v>
      </c>
      <c r="C180">
        <v>0</v>
      </c>
      <c r="G180" s="16"/>
      <c r="J180">
        <f t="shared" si="11"/>
        <v>0</v>
      </c>
      <c r="K180">
        <f t="shared" si="11"/>
        <v>0</v>
      </c>
      <c r="L180">
        <f t="shared" si="11"/>
        <v>0</v>
      </c>
      <c r="M180">
        <f t="shared" si="11"/>
        <v>0</v>
      </c>
      <c r="N180" t="str">
        <f t="shared" si="12"/>
        <v>N</v>
      </c>
      <c r="R180">
        <f t="shared" si="13"/>
        <v>179</v>
      </c>
      <c r="T180">
        <f>VLOOKUP($W180,'Fanduel Export'!$BA:$BG,4,FALSE)</f>
        <v>1</v>
      </c>
      <c r="U180" t="str">
        <f>VLOOKUP($W180,'Fanduel Export'!$BA:$BG,5,FALSE)</f>
        <v>Mike Evans</v>
      </c>
      <c r="V180">
        <f>VLOOKUP($W180,'Fanduel Export'!$BA:$BG,6,FALSE)</f>
        <v>8200</v>
      </c>
      <c r="W180">
        <f>LARGE('Fanduel Export'!$BA:$BA,R180)</f>
        <v>0</v>
      </c>
    </row>
    <row r="181" spans="1:23" x14ac:dyDescent="0.2">
      <c r="A181">
        <f t="shared" si="10"/>
        <v>0</v>
      </c>
      <c r="B181">
        <f>IF(C181=0,0,A181&amp;" "&amp;COUNTIF($A$1:A181,A181))</f>
        <v>0</v>
      </c>
      <c r="C181">
        <v>0</v>
      </c>
      <c r="G181" s="16"/>
      <c r="J181">
        <f t="shared" si="11"/>
        <v>0</v>
      </c>
      <c r="K181">
        <f t="shared" si="11"/>
        <v>0</v>
      </c>
      <c r="L181">
        <f t="shared" si="11"/>
        <v>0</v>
      </c>
      <c r="M181">
        <f t="shared" si="11"/>
        <v>0</v>
      </c>
      <c r="N181" t="str">
        <f t="shared" si="12"/>
        <v>N</v>
      </c>
      <c r="R181">
        <f t="shared" si="13"/>
        <v>180</v>
      </c>
      <c r="T181">
        <f>VLOOKUP($W181,'Fanduel Export'!$BA:$BG,4,FALSE)</f>
        <v>1</v>
      </c>
      <c r="U181" t="str">
        <f>VLOOKUP($W181,'Fanduel Export'!$BA:$BG,5,FALSE)</f>
        <v>Mike Evans</v>
      </c>
      <c r="V181">
        <f>VLOOKUP($W181,'Fanduel Export'!$BA:$BG,6,FALSE)</f>
        <v>8200</v>
      </c>
      <c r="W181">
        <f>LARGE('Fanduel Export'!$BA:$BA,R181)</f>
        <v>0</v>
      </c>
    </row>
    <row r="182" spans="1:23" x14ac:dyDescent="0.2">
      <c r="A182">
        <f t="shared" si="10"/>
        <v>0</v>
      </c>
      <c r="B182">
        <f>IF(C182=0,0,A182&amp;" "&amp;COUNTIF($A$1:A182,A182))</f>
        <v>0</v>
      </c>
      <c r="C182">
        <v>0</v>
      </c>
      <c r="G182" s="16"/>
      <c r="J182">
        <f t="shared" si="11"/>
        <v>0</v>
      </c>
      <c r="K182">
        <f t="shared" si="11"/>
        <v>0</v>
      </c>
      <c r="L182">
        <f t="shared" si="11"/>
        <v>0</v>
      </c>
      <c r="M182">
        <f t="shared" si="11"/>
        <v>0</v>
      </c>
      <c r="N182" t="str">
        <f t="shared" si="12"/>
        <v>N</v>
      </c>
      <c r="R182">
        <f t="shared" si="13"/>
        <v>181</v>
      </c>
      <c r="T182">
        <f>VLOOKUP($W182,'Fanduel Export'!$BA:$BG,4,FALSE)</f>
        <v>1</v>
      </c>
      <c r="U182" t="str">
        <f>VLOOKUP($W182,'Fanduel Export'!$BA:$BG,5,FALSE)</f>
        <v>Mike Evans</v>
      </c>
      <c r="V182">
        <f>VLOOKUP($W182,'Fanduel Export'!$BA:$BG,6,FALSE)</f>
        <v>8200</v>
      </c>
      <c r="W182">
        <f>LARGE('Fanduel Export'!$BA:$BA,R182)</f>
        <v>0</v>
      </c>
    </row>
    <row r="183" spans="1:23" x14ac:dyDescent="0.2">
      <c r="A183">
        <f t="shared" si="10"/>
        <v>0</v>
      </c>
      <c r="B183">
        <f>IF(C183=0,0,A183&amp;" "&amp;COUNTIF($A$1:A183,A183))</f>
        <v>0</v>
      </c>
      <c r="C183">
        <v>0</v>
      </c>
      <c r="G183" s="16"/>
      <c r="J183">
        <f t="shared" si="11"/>
        <v>0</v>
      </c>
      <c r="K183">
        <f t="shared" si="11"/>
        <v>0</v>
      </c>
      <c r="L183">
        <f t="shared" si="11"/>
        <v>0</v>
      </c>
      <c r="M183">
        <f t="shared" si="11"/>
        <v>0</v>
      </c>
      <c r="N183" t="str">
        <f t="shared" si="12"/>
        <v>N</v>
      </c>
      <c r="R183">
        <f t="shared" si="13"/>
        <v>182</v>
      </c>
      <c r="T183">
        <f>VLOOKUP($W183,'Fanduel Export'!$BA:$BG,4,FALSE)</f>
        <v>1</v>
      </c>
      <c r="U183" t="str">
        <f>VLOOKUP($W183,'Fanduel Export'!$BA:$BG,5,FALSE)</f>
        <v>Mike Evans</v>
      </c>
      <c r="V183">
        <f>VLOOKUP($W183,'Fanduel Export'!$BA:$BG,6,FALSE)</f>
        <v>8200</v>
      </c>
      <c r="W183">
        <f>LARGE('Fanduel Export'!$BA:$BA,R183)</f>
        <v>0</v>
      </c>
    </row>
    <row r="184" spans="1:23" x14ac:dyDescent="0.2">
      <c r="A184">
        <f t="shared" si="10"/>
        <v>0</v>
      </c>
      <c r="B184">
        <f>IF(C184=0,0,A184&amp;" "&amp;COUNTIF($A$1:A184,A184))</f>
        <v>0</v>
      </c>
      <c r="C184">
        <v>0</v>
      </c>
      <c r="G184" s="16"/>
      <c r="J184">
        <f t="shared" si="11"/>
        <v>0</v>
      </c>
      <c r="K184">
        <f t="shared" si="11"/>
        <v>0</v>
      </c>
      <c r="L184">
        <f t="shared" si="11"/>
        <v>0</v>
      </c>
      <c r="M184">
        <f t="shared" si="11"/>
        <v>0</v>
      </c>
      <c r="N184" t="str">
        <f t="shared" si="12"/>
        <v>N</v>
      </c>
      <c r="R184">
        <f t="shared" si="13"/>
        <v>183</v>
      </c>
      <c r="T184">
        <f>VLOOKUP($W184,'Fanduel Export'!$BA:$BG,4,FALSE)</f>
        <v>1</v>
      </c>
      <c r="U184" t="str">
        <f>VLOOKUP($W184,'Fanduel Export'!$BA:$BG,5,FALSE)</f>
        <v>Mike Evans</v>
      </c>
      <c r="V184">
        <f>VLOOKUP($W184,'Fanduel Export'!$BA:$BG,6,FALSE)</f>
        <v>8200</v>
      </c>
      <c r="W184">
        <f>LARGE('Fanduel Export'!$BA:$BA,R184)</f>
        <v>0</v>
      </c>
    </row>
    <row r="185" spans="1:23" x14ac:dyDescent="0.2">
      <c r="A185">
        <f t="shared" si="10"/>
        <v>0</v>
      </c>
      <c r="B185">
        <f>IF(C185=0,0,A185&amp;" "&amp;COUNTIF($A$1:A185,A185))</f>
        <v>0</v>
      </c>
      <c r="C185">
        <v>0</v>
      </c>
      <c r="G185" s="16"/>
      <c r="J185">
        <f t="shared" si="11"/>
        <v>0</v>
      </c>
      <c r="K185">
        <f t="shared" si="11"/>
        <v>0</v>
      </c>
      <c r="L185">
        <f t="shared" si="11"/>
        <v>0</v>
      </c>
      <c r="M185">
        <f t="shared" si="11"/>
        <v>0</v>
      </c>
      <c r="N185" t="str">
        <f t="shared" si="12"/>
        <v>N</v>
      </c>
      <c r="R185">
        <f t="shared" si="13"/>
        <v>184</v>
      </c>
      <c r="T185">
        <f>VLOOKUP($W185,'Fanduel Export'!$BA:$BG,4,FALSE)</f>
        <v>1</v>
      </c>
      <c r="U185" t="str">
        <f>VLOOKUP($W185,'Fanduel Export'!$BA:$BG,5,FALSE)</f>
        <v>Mike Evans</v>
      </c>
      <c r="V185">
        <f>VLOOKUP($W185,'Fanduel Export'!$BA:$BG,6,FALSE)</f>
        <v>8200</v>
      </c>
      <c r="W185">
        <f>LARGE('Fanduel Export'!$BA:$BA,R185)</f>
        <v>0</v>
      </c>
    </row>
    <row r="186" spans="1:23" x14ac:dyDescent="0.2">
      <c r="A186">
        <f t="shared" si="10"/>
        <v>0</v>
      </c>
      <c r="B186">
        <f>IF(C186=0,0,A186&amp;" "&amp;COUNTIF($A$1:A186,A186))</f>
        <v>0</v>
      </c>
      <c r="C186">
        <v>0</v>
      </c>
      <c r="G186" s="16"/>
      <c r="J186">
        <f t="shared" si="11"/>
        <v>0</v>
      </c>
      <c r="K186">
        <f t="shared" si="11"/>
        <v>0</v>
      </c>
      <c r="L186">
        <f t="shared" si="11"/>
        <v>0</v>
      </c>
      <c r="M186">
        <f t="shared" si="11"/>
        <v>0</v>
      </c>
      <c r="N186" t="str">
        <f t="shared" si="12"/>
        <v>N</v>
      </c>
      <c r="R186">
        <f t="shared" si="13"/>
        <v>185</v>
      </c>
      <c r="T186">
        <f>VLOOKUP($W186,'Fanduel Export'!$BA:$BG,4,FALSE)</f>
        <v>1</v>
      </c>
      <c r="U186" t="str">
        <f>VLOOKUP($W186,'Fanduel Export'!$BA:$BG,5,FALSE)</f>
        <v>Mike Evans</v>
      </c>
      <c r="V186">
        <f>VLOOKUP($W186,'Fanduel Export'!$BA:$BG,6,FALSE)</f>
        <v>8200</v>
      </c>
      <c r="W186">
        <f>LARGE('Fanduel Export'!$BA:$BA,R186)</f>
        <v>0</v>
      </c>
    </row>
    <row r="187" spans="1:23" x14ac:dyDescent="0.2">
      <c r="A187">
        <f t="shared" si="10"/>
        <v>0</v>
      </c>
      <c r="B187">
        <f>IF(C187=0,0,A187&amp;" "&amp;COUNTIF($A$1:A187,A187))</f>
        <v>0</v>
      </c>
      <c r="C187">
        <v>0</v>
      </c>
      <c r="G187" s="16"/>
      <c r="J187">
        <f t="shared" si="11"/>
        <v>0</v>
      </c>
      <c r="K187">
        <f t="shared" si="11"/>
        <v>0</v>
      </c>
      <c r="L187">
        <f t="shared" si="11"/>
        <v>0</v>
      </c>
      <c r="M187">
        <f t="shared" si="11"/>
        <v>0</v>
      </c>
      <c r="N187" t="str">
        <f t="shared" si="12"/>
        <v>N</v>
      </c>
      <c r="R187">
        <f t="shared" si="13"/>
        <v>186</v>
      </c>
      <c r="T187">
        <f>VLOOKUP($W187,'Fanduel Export'!$BA:$BG,4,FALSE)</f>
        <v>1</v>
      </c>
      <c r="U187" t="str">
        <f>VLOOKUP($W187,'Fanduel Export'!$BA:$BG,5,FALSE)</f>
        <v>Mike Evans</v>
      </c>
      <c r="V187">
        <f>VLOOKUP($W187,'Fanduel Export'!$BA:$BG,6,FALSE)</f>
        <v>8200</v>
      </c>
      <c r="W187">
        <f>LARGE('Fanduel Export'!$BA:$BA,R187)</f>
        <v>0</v>
      </c>
    </row>
    <row r="188" spans="1:23" x14ac:dyDescent="0.2">
      <c r="A188">
        <f t="shared" si="10"/>
        <v>0</v>
      </c>
      <c r="B188">
        <f>IF(C188=0,0,A188&amp;" "&amp;COUNTIF($A$1:A188,A188))</f>
        <v>0</v>
      </c>
      <c r="C188">
        <v>0</v>
      </c>
      <c r="G188" s="16"/>
      <c r="J188">
        <f t="shared" si="11"/>
        <v>0</v>
      </c>
      <c r="K188">
        <f t="shared" si="11"/>
        <v>0</v>
      </c>
      <c r="L188">
        <f t="shared" si="11"/>
        <v>0</v>
      </c>
      <c r="M188">
        <f t="shared" si="11"/>
        <v>0</v>
      </c>
      <c r="N188" t="str">
        <f t="shared" si="12"/>
        <v>N</v>
      </c>
      <c r="R188">
        <f t="shared" si="13"/>
        <v>187</v>
      </c>
      <c r="T188">
        <f>VLOOKUP($W188,'Fanduel Export'!$BA:$BG,4,FALSE)</f>
        <v>1</v>
      </c>
      <c r="U188" t="str">
        <f>VLOOKUP($W188,'Fanduel Export'!$BA:$BG,5,FALSE)</f>
        <v>Mike Evans</v>
      </c>
      <c r="V188">
        <f>VLOOKUP($W188,'Fanduel Export'!$BA:$BG,6,FALSE)</f>
        <v>8200</v>
      </c>
      <c r="W188">
        <f>LARGE('Fanduel Export'!$BA:$BA,R188)</f>
        <v>0</v>
      </c>
    </row>
    <row r="189" spans="1:23" x14ac:dyDescent="0.2">
      <c r="A189">
        <f t="shared" si="10"/>
        <v>0</v>
      </c>
      <c r="B189">
        <f>IF(C189=0,0,A189&amp;" "&amp;COUNTIF($A$1:A189,A189))</f>
        <v>0</v>
      </c>
      <c r="C189">
        <v>0</v>
      </c>
      <c r="G189" s="16"/>
      <c r="J189">
        <f t="shared" si="11"/>
        <v>0</v>
      </c>
      <c r="K189">
        <f t="shared" si="11"/>
        <v>0</v>
      </c>
      <c r="L189">
        <f t="shared" si="11"/>
        <v>0</v>
      </c>
      <c r="M189">
        <f t="shared" si="11"/>
        <v>0</v>
      </c>
      <c r="N189" t="str">
        <f t="shared" si="12"/>
        <v>N</v>
      </c>
      <c r="R189">
        <f t="shared" si="13"/>
        <v>188</v>
      </c>
      <c r="T189">
        <f>VLOOKUP($W189,'Fanduel Export'!$BA:$BG,4,FALSE)</f>
        <v>1</v>
      </c>
      <c r="U189" t="str">
        <f>VLOOKUP($W189,'Fanduel Export'!$BA:$BG,5,FALSE)</f>
        <v>Mike Evans</v>
      </c>
      <c r="V189">
        <f>VLOOKUP($W189,'Fanduel Export'!$BA:$BG,6,FALSE)</f>
        <v>8200</v>
      </c>
      <c r="W189">
        <f>LARGE('Fanduel Export'!$BA:$BA,R189)</f>
        <v>0</v>
      </c>
    </row>
    <row r="190" spans="1:23" x14ac:dyDescent="0.2">
      <c r="A190">
        <f t="shared" si="10"/>
        <v>0</v>
      </c>
      <c r="B190">
        <f>IF(C190=0,0,A190&amp;" "&amp;COUNTIF($A$1:A190,A190))</f>
        <v>0</v>
      </c>
      <c r="C190">
        <v>0</v>
      </c>
      <c r="G190" s="16"/>
      <c r="J190">
        <f t="shared" si="11"/>
        <v>0</v>
      </c>
      <c r="K190">
        <f t="shared" si="11"/>
        <v>0</v>
      </c>
      <c r="L190">
        <f t="shared" si="11"/>
        <v>0</v>
      </c>
      <c r="M190">
        <f t="shared" si="11"/>
        <v>0</v>
      </c>
      <c r="N190" t="str">
        <f t="shared" si="12"/>
        <v>N</v>
      </c>
      <c r="R190">
        <f t="shared" si="13"/>
        <v>189</v>
      </c>
      <c r="T190">
        <f>VLOOKUP($W190,'Fanduel Export'!$BA:$BG,4,FALSE)</f>
        <v>1</v>
      </c>
      <c r="U190" t="str">
        <f>VLOOKUP($W190,'Fanduel Export'!$BA:$BG,5,FALSE)</f>
        <v>Mike Evans</v>
      </c>
      <c r="V190">
        <f>VLOOKUP($W190,'Fanduel Export'!$BA:$BG,6,FALSE)</f>
        <v>8200</v>
      </c>
      <c r="W190">
        <f>LARGE('Fanduel Export'!$BA:$BA,R190)</f>
        <v>0</v>
      </c>
    </row>
    <row r="191" spans="1:23" x14ac:dyDescent="0.2">
      <c r="A191">
        <f t="shared" si="10"/>
        <v>0</v>
      </c>
      <c r="B191">
        <f>IF(C191=0,0,A191&amp;" "&amp;COUNTIF($A$1:A191,A191))</f>
        <v>0</v>
      </c>
      <c r="C191">
        <v>0</v>
      </c>
      <c r="G191" s="16"/>
      <c r="J191">
        <f t="shared" si="11"/>
        <v>0</v>
      </c>
      <c r="K191">
        <f t="shared" si="11"/>
        <v>0</v>
      </c>
      <c r="L191">
        <f t="shared" si="11"/>
        <v>0</v>
      </c>
      <c r="M191">
        <f t="shared" si="11"/>
        <v>0</v>
      </c>
      <c r="N191" t="str">
        <f t="shared" si="12"/>
        <v>N</v>
      </c>
      <c r="R191">
        <f t="shared" si="13"/>
        <v>190</v>
      </c>
      <c r="T191">
        <f>VLOOKUP($W191,'Fanduel Export'!$BA:$BG,4,FALSE)</f>
        <v>1</v>
      </c>
      <c r="U191" t="str">
        <f>VLOOKUP($W191,'Fanduel Export'!$BA:$BG,5,FALSE)</f>
        <v>Mike Evans</v>
      </c>
      <c r="V191">
        <f>VLOOKUP($W191,'Fanduel Export'!$BA:$BG,6,FALSE)</f>
        <v>8200</v>
      </c>
      <c r="W191">
        <f>LARGE('Fanduel Export'!$BA:$BA,R191)</f>
        <v>0</v>
      </c>
    </row>
    <row r="192" spans="1:23" x14ac:dyDescent="0.2">
      <c r="A192">
        <f t="shared" si="10"/>
        <v>0</v>
      </c>
      <c r="B192">
        <f>IF(C192=0,0,A192&amp;" "&amp;COUNTIF($A$1:A192,A192))</f>
        <v>0</v>
      </c>
      <c r="C192">
        <v>0</v>
      </c>
      <c r="G192" s="16"/>
      <c r="J192">
        <f t="shared" si="11"/>
        <v>0</v>
      </c>
      <c r="K192">
        <f t="shared" si="11"/>
        <v>0</v>
      </c>
      <c r="L192">
        <f t="shared" si="11"/>
        <v>0</v>
      </c>
      <c r="M192">
        <f t="shared" si="11"/>
        <v>0</v>
      </c>
      <c r="N192" t="str">
        <f t="shared" si="12"/>
        <v>N</v>
      </c>
      <c r="R192">
        <f t="shared" si="13"/>
        <v>191</v>
      </c>
      <c r="T192">
        <f>VLOOKUP($W192,'Fanduel Export'!$BA:$BG,4,FALSE)</f>
        <v>1</v>
      </c>
      <c r="U192" t="str">
        <f>VLOOKUP($W192,'Fanduel Export'!$BA:$BG,5,FALSE)</f>
        <v>Mike Evans</v>
      </c>
      <c r="V192">
        <f>VLOOKUP($W192,'Fanduel Export'!$BA:$BG,6,FALSE)</f>
        <v>8200</v>
      </c>
      <c r="W192">
        <f>LARGE('Fanduel Export'!$BA:$BA,R192)</f>
        <v>0</v>
      </c>
    </row>
    <row r="193" spans="1:23" x14ac:dyDescent="0.2">
      <c r="A193">
        <f t="shared" si="10"/>
        <v>0</v>
      </c>
      <c r="B193">
        <f>IF(C193=0,0,A193&amp;" "&amp;COUNTIF($A$1:A193,A193))</f>
        <v>0</v>
      </c>
      <c r="C193">
        <v>0</v>
      </c>
      <c r="G193" s="16"/>
      <c r="J193">
        <f t="shared" si="11"/>
        <v>0</v>
      </c>
      <c r="K193">
        <f t="shared" si="11"/>
        <v>0</v>
      </c>
      <c r="L193">
        <f t="shared" si="11"/>
        <v>0</v>
      </c>
      <c r="M193">
        <f t="shared" si="11"/>
        <v>0</v>
      </c>
      <c r="N193" t="str">
        <f t="shared" si="12"/>
        <v>N</v>
      </c>
      <c r="R193">
        <f t="shared" si="13"/>
        <v>192</v>
      </c>
      <c r="T193">
        <f>VLOOKUP($W193,'Fanduel Export'!$BA:$BG,4,FALSE)</f>
        <v>1</v>
      </c>
      <c r="U193" t="str">
        <f>VLOOKUP($W193,'Fanduel Export'!$BA:$BG,5,FALSE)</f>
        <v>Mike Evans</v>
      </c>
      <c r="V193">
        <f>VLOOKUP($W193,'Fanduel Export'!$BA:$BG,6,FALSE)</f>
        <v>8200</v>
      </c>
      <c r="W193">
        <f>LARGE('Fanduel Export'!$BA:$BA,R193)</f>
        <v>0</v>
      </c>
    </row>
    <row r="194" spans="1:23" x14ac:dyDescent="0.2">
      <c r="A194">
        <f t="shared" si="10"/>
        <v>0</v>
      </c>
      <c r="B194">
        <f>IF(C194=0,0,A194&amp;" "&amp;COUNTIF($A$1:A194,A194))</f>
        <v>0</v>
      </c>
      <c r="C194">
        <v>0</v>
      </c>
      <c r="G194" s="16"/>
      <c r="J194">
        <f t="shared" si="11"/>
        <v>0</v>
      </c>
      <c r="K194">
        <f t="shared" si="11"/>
        <v>0</v>
      </c>
      <c r="L194">
        <f t="shared" si="11"/>
        <v>0</v>
      </c>
      <c r="M194">
        <f t="shared" ref="M194" si="14">IF($F194=M$1,$C194*1,0)</f>
        <v>0</v>
      </c>
      <c r="N194" t="str">
        <f t="shared" si="12"/>
        <v>N</v>
      </c>
      <c r="R194">
        <f t="shared" si="13"/>
        <v>193</v>
      </c>
      <c r="T194">
        <f>VLOOKUP($W194,'Fanduel Export'!$BA:$BG,4,FALSE)</f>
        <v>1</v>
      </c>
      <c r="U194" t="str">
        <f>VLOOKUP($W194,'Fanduel Export'!$BA:$BG,5,FALSE)</f>
        <v>Mike Evans</v>
      </c>
      <c r="V194">
        <f>VLOOKUP($W194,'Fanduel Export'!$BA:$BG,6,FALSE)</f>
        <v>8200</v>
      </c>
      <c r="W194">
        <f>LARGE('Fanduel Export'!$BA:$BA,R194)</f>
        <v>0</v>
      </c>
    </row>
    <row r="195" spans="1:23" x14ac:dyDescent="0.2">
      <c r="A195">
        <f t="shared" ref="A195:A201" si="15">IF(C195=1,F195,0)</f>
        <v>0</v>
      </c>
      <c r="B195">
        <f>IF(C195=0,0,A195&amp;" "&amp;COUNTIF($A$1:A195,A195))</f>
        <v>0</v>
      </c>
      <c r="C195">
        <v>0</v>
      </c>
      <c r="G195" s="16"/>
      <c r="J195">
        <f t="shared" ref="J195:M201" si="16">IF($F195=J$1,$C195*1,0)</f>
        <v>0</v>
      </c>
      <c r="K195">
        <f t="shared" si="16"/>
        <v>0</v>
      </c>
      <c r="L195">
        <f t="shared" si="16"/>
        <v>0</v>
      </c>
      <c r="M195">
        <f t="shared" si="16"/>
        <v>0</v>
      </c>
      <c r="N195" t="str">
        <f t="shared" ref="N195:N201" si="17">IF(AND(E195&lt;=7000,E195&gt;=6000,F195&lt;&gt;"QB"),"Y","N")</f>
        <v>N</v>
      </c>
      <c r="R195">
        <f t="shared" si="13"/>
        <v>194</v>
      </c>
      <c r="T195">
        <f>VLOOKUP($W195,'Fanduel Export'!$BA:$BG,4,FALSE)</f>
        <v>1</v>
      </c>
      <c r="U195" t="str">
        <f>VLOOKUP($W195,'Fanduel Export'!$BA:$BG,5,FALSE)</f>
        <v>Mike Evans</v>
      </c>
      <c r="V195">
        <f>VLOOKUP($W195,'Fanduel Export'!$BA:$BG,6,FALSE)</f>
        <v>8200</v>
      </c>
      <c r="W195">
        <f>LARGE('Fanduel Export'!$BA:$BA,R195)</f>
        <v>0</v>
      </c>
    </row>
    <row r="196" spans="1:23" x14ac:dyDescent="0.2">
      <c r="A196">
        <f t="shared" si="15"/>
        <v>0</v>
      </c>
      <c r="B196">
        <f>IF(C196=0,0,A196&amp;" "&amp;COUNTIF($A$1:A196,A196))</f>
        <v>0</v>
      </c>
      <c r="C196">
        <v>0</v>
      </c>
      <c r="G196" s="16"/>
      <c r="J196">
        <f t="shared" si="16"/>
        <v>0</v>
      </c>
      <c r="K196">
        <f t="shared" si="16"/>
        <v>0</v>
      </c>
      <c r="L196">
        <f t="shared" si="16"/>
        <v>0</v>
      </c>
      <c r="M196">
        <f t="shared" si="16"/>
        <v>0</v>
      </c>
      <c r="N196" t="str">
        <f t="shared" si="17"/>
        <v>N</v>
      </c>
      <c r="R196">
        <f t="shared" ref="R196:R201" si="18">R195+1</f>
        <v>195</v>
      </c>
      <c r="T196">
        <f>VLOOKUP($W196,'Fanduel Export'!$BA:$BG,4,FALSE)</f>
        <v>1</v>
      </c>
      <c r="U196" t="str">
        <f>VLOOKUP($W196,'Fanduel Export'!$BA:$BG,5,FALSE)</f>
        <v>Mike Evans</v>
      </c>
      <c r="V196">
        <f>VLOOKUP($W196,'Fanduel Export'!$BA:$BG,6,FALSE)</f>
        <v>8200</v>
      </c>
      <c r="W196">
        <f>LARGE('Fanduel Export'!$BA:$BA,R196)</f>
        <v>0</v>
      </c>
    </row>
    <row r="197" spans="1:23" x14ac:dyDescent="0.2">
      <c r="A197">
        <f t="shared" si="15"/>
        <v>0</v>
      </c>
      <c r="B197">
        <f>IF(C197=0,0,A197&amp;" "&amp;COUNTIF($A$1:A197,A197))</f>
        <v>0</v>
      </c>
      <c r="C197">
        <v>0</v>
      </c>
      <c r="G197" s="16"/>
      <c r="J197">
        <f t="shared" si="16"/>
        <v>0</v>
      </c>
      <c r="K197">
        <f t="shared" si="16"/>
        <v>0</v>
      </c>
      <c r="L197">
        <f t="shared" si="16"/>
        <v>0</v>
      </c>
      <c r="M197">
        <f t="shared" si="16"/>
        <v>0</v>
      </c>
      <c r="N197" t="str">
        <f t="shared" si="17"/>
        <v>N</v>
      </c>
      <c r="R197">
        <f t="shared" si="18"/>
        <v>196</v>
      </c>
      <c r="T197">
        <f>VLOOKUP($W197,'Fanduel Export'!$BA:$BG,4,FALSE)</f>
        <v>1</v>
      </c>
      <c r="U197" t="str">
        <f>VLOOKUP($W197,'Fanduel Export'!$BA:$BG,5,FALSE)</f>
        <v>Mike Evans</v>
      </c>
      <c r="V197">
        <f>VLOOKUP($W197,'Fanduel Export'!$BA:$BG,6,FALSE)</f>
        <v>8200</v>
      </c>
      <c r="W197">
        <f>LARGE('Fanduel Export'!$BA:$BA,R197)</f>
        <v>0</v>
      </c>
    </row>
    <row r="198" spans="1:23" x14ac:dyDescent="0.2">
      <c r="A198">
        <f t="shared" si="15"/>
        <v>0</v>
      </c>
      <c r="B198">
        <f>IF(C198=0,0,A198&amp;" "&amp;COUNTIF($A$1:A198,A198))</f>
        <v>0</v>
      </c>
      <c r="C198">
        <v>0</v>
      </c>
      <c r="G198" s="16"/>
      <c r="J198">
        <f t="shared" si="16"/>
        <v>0</v>
      </c>
      <c r="K198">
        <f t="shared" si="16"/>
        <v>0</v>
      </c>
      <c r="L198">
        <f t="shared" si="16"/>
        <v>0</v>
      </c>
      <c r="M198">
        <f t="shared" si="16"/>
        <v>0</v>
      </c>
      <c r="N198" t="str">
        <f t="shared" si="17"/>
        <v>N</v>
      </c>
      <c r="R198">
        <f t="shared" si="18"/>
        <v>197</v>
      </c>
      <c r="T198">
        <f>VLOOKUP($W198,'Fanduel Export'!$BA:$BG,4,FALSE)</f>
        <v>1</v>
      </c>
      <c r="U198" t="str">
        <f>VLOOKUP($W198,'Fanduel Export'!$BA:$BG,5,FALSE)</f>
        <v>Mike Evans</v>
      </c>
      <c r="V198">
        <f>VLOOKUP($W198,'Fanduel Export'!$BA:$BG,6,FALSE)</f>
        <v>8200</v>
      </c>
      <c r="W198">
        <f>LARGE('Fanduel Export'!$BA:$BA,R198)</f>
        <v>0</v>
      </c>
    </row>
    <row r="199" spans="1:23" x14ac:dyDescent="0.2">
      <c r="A199">
        <f t="shared" si="15"/>
        <v>0</v>
      </c>
      <c r="B199">
        <f>IF(C199=0,0,A199&amp;" "&amp;COUNTIF($A$1:A199,A199))</f>
        <v>0</v>
      </c>
      <c r="C199">
        <v>0</v>
      </c>
      <c r="G199" s="16"/>
      <c r="J199">
        <f t="shared" si="16"/>
        <v>0</v>
      </c>
      <c r="K199">
        <f t="shared" si="16"/>
        <v>0</v>
      </c>
      <c r="L199">
        <f t="shared" si="16"/>
        <v>0</v>
      </c>
      <c r="M199">
        <f t="shared" si="16"/>
        <v>0</v>
      </c>
      <c r="N199" t="str">
        <f t="shared" si="17"/>
        <v>N</v>
      </c>
      <c r="R199">
        <f t="shared" si="18"/>
        <v>198</v>
      </c>
      <c r="T199">
        <f>VLOOKUP($W199,'Fanduel Export'!$BA:$BG,4,FALSE)</f>
        <v>1</v>
      </c>
      <c r="U199" t="str">
        <f>VLOOKUP($W199,'Fanduel Export'!$BA:$BG,5,FALSE)</f>
        <v>Mike Evans</v>
      </c>
      <c r="V199">
        <f>VLOOKUP($W199,'Fanduel Export'!$BA:$BG,6,FALSE)</f>
        <v>8200</v>
      </c>
      <c r="W199">
        <f>LARGE('Fanduel Export'!$BA:$BA,R199)</f>
        <v>0</v>
      </c>
    </row>
    <row r="200" spans="1:23" x14ac:dyDescent="0.2">
      <c r="A200">
        <f t="shared" si="15"/>
        <v>0</v>
      </c>
      <c r="B200">
        <f>IF(C200=0,0,A200&amp;" "&amp;COUNTIF($A$1:A200,A200))</f>
        <v>0</v>
      </c>
      <c r="C200">
        <v>0</v>
      </c>
      <c r="G200" s="16"/>
      <c r="J200">
        <f t="shared" si="16"/>
        <v>0</v>
      </c>
      <c r="K200">
        <f t="shared" si="16"/>
        <v>0</v>
      </c>
      <c r="L200">
        <f t="shared" si="16"/>
        <v>0</v>
      </c>
      <c r="M200">
        <f t="shared" si="16"/>
        <v>0</v>
      </c>
      <c r="N200" t="str">
        <f t="shared" si="17"/>
        <v>N</v>
      </c>
      <c r="R200">
        <f t="shared" si="18"/>
        <v>199</v>
      </c>
      <c r="T200">
        <f>VLOOKUP($W200,'Fanduel Export'!$BA:$BG,4,FALSE)</f>
        <v>1</v>
      </c>
      <c r="U200" t="str">
        <f>VLOOKUP($W200,'Fanduel Export'!$BA:$BG,5,FALSE)</f>
        <v>Mike Evans</v>
      </c>
      <c r="V200">
        <f>VLOOKUP($W200,'Fanduel Export'!$BA:$BG,6,FALSE)</f>
        <v>8200</v>
      </c>
      <c r="W200">
        <f>LARGE('Fanduel Export'!$BA:$BA,R200)</f>
        <v>0</v>
      </c>
    </row>
    <row r="201" spans="1:23" x14ac:dyDescent="0.2">
      <c r="A201">
        <f t="shared" si="15"/>
        <v>0</v>
      </c>
      <c r="B201">
        <f>IF(C201=0,0,A201&amp;" "&amp;COUNTIF($A$1:A201,A201))</f>
        <v>0</v>
      </c>
      <c r="C201">
        <v>0</v>
      </c>
      <c r="G201" s="16"/>
      <c r="J201">
        <f t="shared" si="16"/>
        <v>0</v>
      </c>
      <c r="K201">
        <f t="shared" si="16"/>
        <v>0</v>
      </c>
      <c r="L201">
        <f t="shared" si="16"/>
        <v>0</v>
      </c>
      <c r="M201">
        <f t="shared" si="16"/>
        <v>0</v>
      </c>
      <c r="N201" t="str">
        <f t="shared" si="17"/>
        <v>N</v>
      </c>
      <c r="R201">
        <f t="shared" si="18"/>
        <v>200</v>
      </c>
      <c r="T201">
        <f>VLOOKUP($W201,'Fanduel Export'!$BA:$BG,4,FALSE)</f>
        <v>1</v>
      </c>
      <c r="U201" t="str">
        <f>VLOOKUP($W201,'Fanduel Export'!$BA:$BG,5,FALSE)</f>
        <v>Mike Evans</v>
      </c>
      <c r="V201">
        <f>VLOOKUP($W201,'Fanduel Export'!$BA:$BG,6,FALSE)</f>
        <v>8200</v>
      </c>
      <c r="W201">
        <f>LARGE('Fanduel Export'!$BA:$BA,R201)</f>
        <v>0</v>
      </c>
    </row>
    <row r="204" spans="1:23" ht="48" x14ac:dyDescent="0.2">
      <c r="C204" t="s">
        <v>779</v>
      </c>
      <c r="E204" t="s">
        <v>780</v>
      </c>
      <c r="F204">
        <f>SUMPRODUCT(C2:C201,E2:E201)</f>
        <v>49800</v>
      </c>
      <c r="G204" s="31" t="s">
        <v>781</v>
      </c>
      <c r="H204" s="31" t="s">
        <v>782</v>
      </c>
    </row>
    <row r="205" spans="1:23" x14ac:dyDescent="0.2">
      <c r="C205">
        <v>7</v>
      </c>
      <c r="E205" s="30" t="s">
        <v>783</v>
      </c>
      <c r="F205" s="71">
        <f>60000-G205-H205</f>
        <v>50200</v>
      </c>
      <c r="G205" s="71">
        <f>C235</f>
        <v>4100</v>
      </c>
      <c r="H205" s="71">
        <f>C234</f>
        <v>5700</v>
      </c>
    </row>
    <row r="206" spans="1:23" x14ac:dyDescent="0.2">
      <c r="E206" s="30"/>
    </row>
    <row r="207" spans="1:23" x14ac:dyDescent="0.2">
      <c r="C207">
        <f>SUM(C2:C201)</f>
        <v>7</v>
      </c>
      <c r="E207" s="30" t="s">
        <v>784</v>
      </c>
      <c r="F207">
        <f>SUMPRODUCT(C2:C201,G2:G201)</f>
        <v>83.684059219218</v>
      </c>
    </row>
    <row r="208" spans="1:23" x14ac:dyDescent="0.2">
      <c r="J208" t="s">
        <v>13</v>
      </c>
      <c r="K208" t="s">
        <v>785</v>
      </c>
      <c r="L208" t="s">
        <v>786</v>
      </c>
      <c r="M208" t="s">
        <v>787</v>
      </c>
    </row>
    <row r="209" spans="1:13" x14ac:dyDescent="0.2">
      <c r="J209" t="s">
        <v>79</v>
      </c>
      <c r="K209">
        <f>SUM(J2:J201)</f>
        <v>1</v>
      </c>
      <c r="L209">
        <v>1</v>
      </c>
      <c r="M209">
        <v>1</v>
      </c>
    </row>
    <row r="210" spans="1:13" x14ac:dyDescent="0.2">
      <c r="J210" t="s">
        <v>68</v>
      </c>
      <c r="K210">
        <f>SUM(K2:K201)</f>
        <v>2</v>
      </c>
      <c r="L210">
        <v>2</v>
      </c>
      <c r="M210">
        <v>2</v>
      </c>
    </row>
    <row r="211" spans="1:13" x14ac:dyDescent="0.2">
      <c r="F211" t="s">
        <v>788</v>
      </c>
      <c r="J211" t="s">
        <v>83</v>
      </c>
      <c r="K211">
        <f>SUM(L2:L201)</f>
        <v>3</v>
      </c>
      <c r="L211">
        <v>3</v>
      </c>
      <c r="M211">
        <v>3</v>
      </c>
    </row>
    <row r="212" spans="1:13" x14ac:dyDescent="0.2">
      <c r="J212" t="s">
        <v>88</v>
      </c>
      <c r="K212">
        <f>SUM(M2:M201)</f>
        <v>1</v>
      </c>
      <c r="L212">
        <v>1</v>
      </c>
      <c r="M212">
        <v>1</v>
      </c>
    </row>
    <row r="214" spans="1:13" x14ac:dyDescent="0.2">
      <c r="C214" s="33">
        <f>SUM(C216:C222)</f>
        <v>49800</v>
      </c>
    </row>
    <row r="215" spans="1:13" x14ac:dyDescent="0.2">
      <c r="B215" t="s">
        <v>66</v>
      </c>
      <c r="C215" t="s">
        <v>19</v>
      </c>
      <c r="D215" t="s">
        <v>13</v>
      </c>
    </row>
    <row r="216" spans="1:13" x14ac:dyDescent="0.2">
      <c r="A216" t="s">
        <v>789</v>
      </c>
      <c r="B216" t="str">
        <f>VLOOKUP($A216,$B$1:$F$201,3,FALSE)</f>
        <v>Ben Roethlisberger</v>
      </c>
      <c r="C216">
        <f>VLOOKUP($A216,$B$1:$F$201,4,FALSE)</f>
        <v>6400</v>
      </c>
      <c r="D216" t="str">
        <f>VLOOKUP($A216,$B$1:$F$201,5,FALSE)</f>
        <v>QB</v>
      </c>
    </row>
    <row r="217" spans="1:13" x14ac:dyDescent="0.2">
      <c r="A217" t="s">
        <v>790</v>
      </c>
      <c r="B217" t="str">
        <f t="shared" ref="B217:B222" si="19">VLOOKUP($A217,$B$1:$F$201,3,FALSE)</f>
        <v>Najee Harris</v>
      </c>
      <c r="C217">
        <f t="shared" ref="C217:C222" si="20">VLOOKUP($A217,$B$1:$F$201,4,FALSE)</f>
        <v>8000</v>
      </c>
      <c r="D217" t="str">
        <f t="shared" ref="D217:D222" si="21">VLOOKUP($A217,$B$1:$F$201,5,FALSE)</f>
        <v>RB</v>
      </c>
    </row>
    <row r="218" spans="1:13" x14ac:dyDescent="0.2">
      <c r="A218" t="s">
        <v>791</v>
      </c>
      <c r="B218" t="str">
        <f t="shared" si="19"/>
        <v>Eli Mitchell</v>
      </c>
      <c r="C218">
        <f t="shared" si="20"/>
        <v>7400</v>
      </c>
      <c r="D218" t="str">
        <f t="shared" si="21"/>
        <v>RB</v>
      </c>
    </row>
    <row r="219" spans="1:13" x14ac:dyDescent="0.2">
      <c r="A219" t="s">
        <v>792</v>
      </c>
      <c r="B219" t="str">
        <f t="shared" si="19"/>
        <v>Deebo Samuel</v>
      </c>
      <c r="C219">
        <f t="shared" si="20"/>
        <v>8700</v>
      </c>
      <c r="D219" t="str">
        <f t="shared" si="21"/>
        <v>WR</v>
      </c>
    </row>
    <row r="220" spans="1:13" x14ac:dyDescent="0.2">
      <c r="A220" t="s">
        <v>793</v>
      </c>
      <c r="B220" t="str">
        <f t="shared" si="19"/>
        <v>Diontae Johnson</v>
      </c>
      <c r="C220">
        <f t="shared" si="20"/>
        <v>7200</v>
      </c>
      <c r="D220" t="str">
        <f t="shared" si="21"/>
        <v>WR</v>
      </c>
    </row>
    <row r="221" spans="1:13" x14ac:dyDescent="0.2">
      <c r="A221" t="s">
        <v>794</v>
      </c>
      <c r="B221" t="str">
        <f t="shared" si="19"/>
        <v>DeVonta Smith</v>
      </c>
      <c r="C221">
        <f t="shared" si="20"/>
        <v>6200</v>
      </c>
      <c r="D221" t="str">
        <f t="shared" si="21"/>
        <v>WR</v>
      </c>
      <c r="E221" s="40"/>
    </row>
    <row r="222" spans="1:13" x14ac:dyDescent="0.2">
      <c r="A222" t="s">
        <v>795</v>
      </c>
      <c r="B222" t="str">
        <f t="shared" si="19"/>
        <v>Dallas Goedert</v>
      </c>
      <c r="C222">
        <f t="shared" si="20"/>
        <v>5900</v>
      </c>
      <c r="D222" t="str">
        <f t="shared" si="21"/>
        <v>TE</v>
      </c>
    </row>
    <row r="224" spans="1:13" x14ac:dyDescent="0.2">
      <c r="C224" s="33"/>
    </row>
    <row r="225" spans="1:8" x14ac:dyDescent="0.2">
      <c r="A225" s="90" t="s">
        <v>796</v>
      </c>
      <c r="B225" s="90"/>
      <c r="C225" s="90"/>
      <c r="D225" s="90"/>
    </row>
    <row r="226" spans="1:8" x14ac:dyDescent="0.2">
      <c r="B226" t="s">
        <v>66</v>
      </c>
      <c r="C226" t="s">
        <v>19</v>
      </c>
      <c r="D226" t="s">
        <v>13</v>
      </c>
      <c r="E226" t="s">
        <v>797</v>
      </c>
      <c r="F226" t="s">
        <v>798</v>
      </c>
      <c r="G226" t="s">
        <v>799</v>
      </c>
      <c r="H226" t="s">
        <v>800</v>
      </c>
    </row>
    <row r="227" spans="1:8" x14ac:dyDescent="0.2">
      <c r="A227" t="s">
        <v>789</v>
      </c>
      <c r="B227" t="str">
        <f>B216</f>
        <v>Ben Roethlisberger</v>
      </c>
      <c r="C227">
        <f>C216</f>
        <v>6400</v>
      </c>
      <c r="D227" t="str">
        <f>D216</f>
        <v>QB</v>
      </c>
      <c r="E227" s="39">
        <f>VLOOKUP(B227,$D$1:$G$201,4,FALSE)</f>
        <v>13.941778655079094</v>
      </c>
    </row>
    <row r="228" spans="1:8" x14ac:dyDescent="0.2">
      <c r="A228" t="s">
        <v>790</v>
      </c>
      <c r="B228" t="str">
        <f t="shared" ref="B228:D228" si="22">B217</f>
        <v>Najee Harris</v>
      </c>
      <c r="C228">
        <f t="shared" si="22"/>
        <v>8000</v>
      </c>
      <c r="D228" t="str">
        <f t="shared" si="22"/>
        <v>RB</v>
      </c>
      <c r="E228" s="39">
        <f t="shared" ref="E228:E233" si="23">VLOOKUP(B228,$D$1:$G$201,4,FALSE)</f>
        <v>12.815049337082952</v>
      </c>
    </row>
    <row r="229" spans="1:8" x14ac:dyDescent="0.2">
      <c r="A229" t="s">
        <v>791</v>
      </c>
      <c r="B229" t="str">
        <f t="shared" ref="B229:D229" si="24">B218</f>
        <v>Eli Mitchell</v>
      </c>
      <c r="C229">
        <f t="shared" si="24"/>
        <v>7400</v>
      </c>
      <c r="D229" t="str">
        <f t="shared" si="24"/>
        <v>RB</v>
      </c>
      <c r="E229" s="39">
        <f t="shared" si="23"/>
        <v>10.470334286938854</v>
      </c>
    </row>
    <row r="230" spans="1:8" x14ac:dyDescent="0.2">
      <c r="A230" t="s">
        <v>792</v>
      </c>
      <c r="B230" t="str">
        <f t="shared" ref="B230:D230" si="25">B219</f>
        <v>Deebo Samuel</v>
      </c>
      <c r="C230">
        <f t="shared" si="25"/>
        <v>8700</v>
      </c>
      <c r="D230" t="str">
        <f t="shared" si="25"/>
        <v>WR</v>
      </c>
      <c r="E230" s="39">
        <f t="shared" si="23"/>
        <v>14.482942865273781</v>
      </c>
    </row>
    <row r="231" spans="1:8" x14ac:dyDescent="0.2">
      <c r="A231" t="s">
        <v>793</v>
      </c>
      <c r="B231" t="str">
        <f t="shared" ref="B231:D231" si="26">B220</f>
        <v>Diontae Johnson</v>
      </c>
      <c r="C231">
        <f t="shared" si="26"/>
        <v>7200</v>
      </c>
      <c r="D231" t="str">
        <f t="shared" si="26"/>
        <v>WR</v>
      </c>
      <c r="E231" s="39">
        <f t="shared" si="23"/>
        <v>11.696330440918617</v>
      </c>
    </row>
    <row r="232" spans="1:8" x14ac:dyDescent="0.2">
      <c r="A232" t="s">
        <v>794</v>
      </c>
      <c r="B232" t="str">
        <f t="shared" ref="B232:D232" si="27">B221</f>
        <v>DeVonta Smith</v>
      </c>
      <c r="C232">
        <f t="shared" si="27"/>
        <v>6200</v>
      </c>
      <c r="D232" t="str">
        <f t="shared" si="27"/>
        <v>WR</v>
      </c>
      <c r="E232" s="39">
        <f t="shared" si="23"/>
        <v>10.039227584209936</v>
      </c>
    </row>
    <row r="233" spans="1:8" x14ac:dyDescent="0.2">
      <c r="A233" t="s">
        <v>795</v>
      </c>
      <c r="B233" t="str">
        <f t="shared" ref="B233:D233" si="28">B222</f>
        <v>Dallas Goedert</v>
      </c>
      <c r="C233">
        <f t="shared" si="28"/>
        <v>5900</v>
      </c>
      <c r="D233" t="str">
        <f t="shared" si="28"/>
        <v>TE</v>
      </c>
      <c r="E233" s="39">
        <f t="shared" si="23"/>
        <v>10.238396049714767</v>
      </c>
    </row>
    <row r="234" spans="1:8" x14ac:dyDescent="0.2">
      <c r="A234" t="s">
        <v>801</v>
      </c>
      <c r="B234" t="s">
        <v>1525</v>
      </c>
      <c r="C234" s="33">
        <f>VLOOKUP(B234,$D$1:$G$201,2,FALSE)</f>
        <v>5700</v>
      </c>
      <c r="D234" t="s">
        <v>83</v>
      </c>
      <c r="E234" s="39">
        <f>VLOOKUP(B234,$D$1:$G$201,4,FALSE)</f>
        <v>8.6752005930154112</v>
      </c>
    </row>
    <row r="235" spans="1:8" x14ac:dyDescent="0.2">
      <c r="A235" t="s">
        <v>802</v>
      </c>
      <c r="B235" t="s">
        <v>729</v>
      </c>
      <c r="C235" s="33">
        <v>4100</v>
      </c>
      <c r="D235" t="s">
        <v>803</v>
      </c>
      <c r="E235" s="39">
        <v>10</v>
      </c>
    </row>
    <row r="236" spans="1:8" x14ac:dyDescent="0.2">
      <c r="B236" s="66" t="s">
        <v>780</v>
      </c>
      <c r="C236" s="67">
        <f>SUM(C227:C235)</f>
        <v>59600</v>
      </c>
      <c r="D236" s="66"/>
      <c r="E236" s="68">
        <f>SUM(E227:E235)</f>
        <v>102.3592598122334</v>
      </c>
      <c r="F236" s="66">
        <f>SUM(F227:F235)</f>
        <v>0</v>
      </c>
    </row>
    <row r="237" spans="1:8" x14ac:dyDescent="0.2">
      <c r="B237" s="66" t="s">
        <v>804</v>
      </c>
      <c r="C237" s="67">
        <f>60000-C236</f>
        <v>400</v>
      </c>
      <c r="D237" s="66"/>
      <c r="E237" s="66"/>
      <c r="F237" s="66"/>
    </row>
    <row r="239" spans="1:8" x14ac:dyDescent="0.2">
      <c r="A239" s="90" t="s">
        <v>796</v>
      </c>
      <c r="B239" s="90"/>
      <c r="C239" s="90"/>
      <c r="D239" s="90"/>
    </row>
    <row r="240" spans="1:8" x14ac:dyDescent="0.2">
      <c r="B240" t="s">
        <v>66</v>
      </c>
      <c r="C240" t="s">
        <v>19</v>
      </c>
      <c r="D240" t="s">
        <v>13</v>
      </c>
      <c r="E240" t="s">
        <v>797</v>
      </c>
    </row>
    <row r="241" spans="1:5" x14ac:dyDescent="0.2">
      <c r="A241" t="s">
        <v>789</v>
      </c>
      <c r="B241" t="s">
        <v>117</v>
      </c>
      <c r="C241">
        <v>8400</v>
      </c>
      <c r="D241" t="s">
        <v>79</v>
      </c>
      <c r="E241" s="39">
        <v>17.274040888536732</v>
      </c>
    </row>
    <row r="242" spans="1:5" x14ac:dyDescent="0.2">
      <c r="A242" t="s">
        <v>790</v>
      </c>
      <c r="B242" t="s">
        <v>288</v>
      </c>
      <c r="C242">
        <v>7200</v>
      </c>
      <c r="D242" t="s">
        <v>68</v>
      </c>
      <c r="E242" s="39">
        <v>13.647813816185876</v>
      </c>
    </row>
    <row r="243" spans="1:5" x14ac:dyDescent="0.2">
      <c r="A243" t="s">
        <v>791</v>
      </c>
      <c r="B243" t="s">
        <v>887</v>
      </c>
      <c r="C243">
        <v>6900</v>
      </c>
      <c r="D243" t="s">
        <v>68</v>
      </c>
      <c r="E243" s="39">
        <v>12.072538001833237</v>
      </c>
    </row>
    <row r="244" spans="1:5" x14ac:dyDescent="0.2">
      <c r="A244" t="s">
        <v>792</v>
      </c>
      <c r="B244" t="s">
        <v>125</v>
      </c>
      <c r="C244">
        <v>7700</v>
      </c>
      <c r="D244" t="s">
        <v>83</v>
      </c>
      <c r="E244" s="39">
        <v>16.335329367047265</v>
      </c>
    </row>
    <row r="245" spans="1:5" x14ac:dyDescent="0.2">
      <c r="A245" t="s">
        <v>793</v>
      </c>
      <c r="B245" t="s">
        <v>162</v>
      </c>
      <c r="C245">
        <v>7400</v>
      </c>
      <c r="D245" t="s">
        <v>83</v>
      </c>
      <c r="E245" s="39">
        <v>15.563528771559719</v>
      </c>
    </row>
    <row r="246" spans="1:5" x14ac:dyDescent="0.2">
      <c r="A246" t="s">
        <v>794</v>
      </c>
      <c r="B246" t="s">
        <v>1934</v>
      </c>
      <c r="C246">
        <v>6100</v>
      </c>
      <c r="D246" t="s">
        <v>83</v>
      </c>
      <c r="E246" s="39">
        <v>12.633830480630969</v>
      </c>
    </row>
    <row r="247" spans="1:5" x14ac:dyDescent="0.2">
      <c r="A247" t="s">
        <v>795</v>
      </c>
      <c r="B247" t="s">
        <v>212</v>
      </c>
      <c r="C247">
        <v>5900</v>
      </c>
      <c r="D247" t="s">
        <v>88</v>
      </c>
      <c r="E247" s="39">
        <v>11.475742591522428</v>
      </c>
    </row>
    <row r="248" spans="1:5" x14ac:dyDescent="0.2">
      <c r="A248" t="s">
        <v>801</v>
      </c>
      <c r="B248" t="s">
        <v>160</v>
      </c>
      <c r="C248" s="33">
        <v>6400</v>
      </c>
      <c r="D248" t="s">
        <v>83</v>
      </c>
      <c r="E248" s="39">
        <v>6.5857920856260854</v>
      </c>
    </row>
    <row r="249" spans="1:5" x14ac:dyDescent="0.2">
      <c r="A249" t="s">
        <v>802</v>
      </c>
      <c r="B249" t="s">
        <v>74</v>
      </c>
      <c r="C249" s="33">
        <v>3500</v>
      </c>
      <c r="D249" t="s">
        <v>803</v>
      </c>
      <c r="E249" s="39">
        <v>10</v>
      </c>
    </row>
    <row r="250" spans="1:5" x14ac:dyDescent="0.2">
      <c r="B250" s="66" t="s">
        <v>780</v>
      </c>
      <c r="C250" s="67">
        <f>SUM(C241:C249)</f>
        <v>59500</v>
      </c>
      <c r="D250" s="66"/>
      <c r="E250" s="68">
        <f>SUM(E241:E249)</f>
        <v>115.58861600294232</v>
      </c>
    </row>
    <row r="251" spans="1:5" x14ac:dyDescent="0.2">
      <c r="B251" s="66" t="s">
        <v>804</v>
      </c>
      <c r="C251" s="67">
        <f>60000-C250</f>
        <v>500</v>
      </c>
      <c r="D251" s="66"/>
      <c r="E251" s="66"/>
    </row>
  </sheetData>
  <autoFilter ref="A1:N201" xr:uid="{00000000-0001-0000-0300-000000000000}"/>
  <mergeCells count="2">
    <mergeCell ref="A225:D225"/>
    <mergeCell ref="A239:D23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B0F0"/>
  </sheetPr>
  <dimension ref="A1:O13"/>
  <sheetViews>
    <sheetView workbookViewId="0"/>
  </sheetViews>
  <sheetFormatPr baseColWidth="10" defaultColWidth="8.83203125" defaultRowHeight="15" x14ac:dyDescent="0.2"/>
  <cols>
    <col min="2" max="2" width="17" bestFit="1" customWidth="1"/>
    <col min="5" max="5" width="7.6640625" style="10" bestFit="1" customWidth="1"/>
    <col min="10" max="11" width="6.5" bestFit="1" customWidth="1"/>
    <col min="12" max="13" width="7.1640625" bestFit="1" customWidth="1"/>
    <col min="14" max="15" width="6.33203125" bestFit="1" customWidth="1"/>
  </cols>
  <sheetData>
    <row r="1" spans="1:15" x14ac:dyDescent="0.2">
      <c r="H1" s="41" t="s">
        <v>797</v>
      </c>
      <c r="I1" s="42" t="s">
        <v>805</v>
      </c>
    </row>
    <row r="2" spans="1:15" ht="18" x14ac:dyDescent="0.35">
      <c r="E2" s="92" t="s">
        <v>777</v>
      </c>
      <c r="F2" s="92"/>
      <c r="G2" s="92"/>
    </row>
    <row r="3" spans="1:15" ht="16" thickBot="1" x14ac:dyDescent="0.25">
      <c r="B3" t="s">
        <v>66</v>
      </c>
      <c r="C3" t="s">
        <v>19</v>
      </c>
      <c r="D3" t="s">
        <v>13</v>
      </c>
      <c r="E3" s="10" t="s">
        <v>806</v>
      </c>
      <c r="F3" t="s">
        <v>798</v>
      </c>
      <c r="G3" t="s">
        <v>807</v>
      </c>
      <c r="H3" s="41" t="s">
        <v>808</v>
      </c>
      <c r="I3" s="42" t="s">
        <v>808</v>
      </c>
      <c r="J3" s="41" t="s">
        <v>809</v>
      </c>
      <c r="K3" s="42" t="s">
        <v>809</v>
      </c>
      <c r="L3" s="41" t="s">
        <v>810</v>
      </c>
      <c r="M3" s="42" t="s">
        <v>810</v>
      </c>
      <c r="N3" s="41" t="s">
        <v>811</v>
      </c>
      <c r="O3" s="42" t="s">
        <v>811</v>
      </c>
    </row>
    <row r="4" spans="1:15" x14ac:dyDescent="0.2">
      <c r="A4" s="43" t="s">
        <v>789</v>
      </c>
      <c r="B4" s="44" t="s">
        <v>190</v>
      </c>
      <c r="C4" s="45">
        <v>6700</v>
      </c>
      <c r="D4" s="44" t="s">
        <v>79</v>
      </c>
      <c r="E4" s="46">
        <f>VLOOKUP($B:$B,'Fanduel Export'!$O:$BH,39,FALSE)</f>
        <v>0</v>
      </c>
      <c r="F4" s="44">
        <v>20.82</v>
      </c>
      <c r="G4" s="47">
        <f t="shared" ref="G4:G10" si="0">F4-E4</f>
        <v>20.82</v>
      </c>
      <c r="H4" s="48">
        <f>VLOOKUP($B:$B,'Fanduel Export'!$O:$BH,26,FALSE)</f>
        <v>0</v>
      </c>
      <c r="I4" s="49">
        <v>173</v>
      </c>
      <c r="J4" s="48">
        <f>VLOOKUP($B:$B,'Fanduel Export'!$O:$BH,31,FALSE)</f>
        <v>0</v>
      </c>
      <c r="K4" s="49">
        <v>0</v>
      </c>
      <c r="L4" s="48">
        <f>VLOOKUP($B:$B,'Fanduel Export'!$O:$BH,33,FALSE)</f>
        <v>0</v>
      </c>
      <c r="M4" s="49">
        <v>0</v>
      </c>
      <c r="N4" s="48">
        <f>VLOOKUP($B:$B,'Fanduel Export'!$O:$BH,38,FALSE)</f>
        <v>0</v>
      </c>
      <c r="O4" s="50">
        <v>19</v>
      </c>
    </row>
    <row r="5" spans="1:15" x14ac:dyDescent="0.2">
      <c r="A5" s="51" t="s">
        <v>790</v>
      </c>
      <c r="B5" t="s">
        <v>145</v>
      </c>
      <c r="C5" s="52">
        <v>7700</v>
      </c>
      <c r="D5" t="s">
        <v>68</v>
      </c>
      <c r="E5" s="53" t="e">
        <f>VLOOKUP($B:$B,'Fanduel Export'!$O:$BH,39,FALSE)</f>
        <v>#N/A</v>
      </c>
      <c r="F5">
        <v>9.1999999999999993</v>
      </c>
      <c r="G5" s="16" t="e">
        <f t="shared" si="0"/>
        <v>#N/A</v>
      </c>
      <c r="H5" s="54" t="e">
        <f>VLOOKUP($B:$B,'Fanduel Export'!$O:$BH,26,FALSE)</f>
        <v>#N/A</v>
      </c>
      <c r="I5" s="55">
        <v>0</v>
      </c>
      <c r="J5" s="54" t="e">
        <f>VLOOKUP($B:$B,'Fanduel Export'!$O:$BH,31,FALSE)</f>
        <v>#N/A</v>
      </c>
      <c r="K5" s="55">
        <v>1</v>
      </c>
      <c r="L5" s="54" t="e">
        <f>VLOOKUP($B:$B,'Fanduel Export'!$O:$BH,33,FALSE)</f>
        <v>#N/A</v>
      </c>
      <c r="M5" s="55">
        <v>3</v>
      </c>
      <c r="N5" s="54" t="e">
        <f>VLOOKUP($B:$B,'Fanduel Export'!$O:$BH,38,FALSE)</f>
        <v>#N/A</v>
      </c>
      <c r="O5" s="56">
        <v>84</v>
      </c>
    </row>
    <row r="6" spans="1:15" x14ac:dyDescent="0.2">
      <c r="A6" s="51" t="s">
        <v>791</v>
      </c>
      <c r="B6" t="s">
        <v>352</v>
      </c>
      <c r="C6" s="52">
        <v>6100</v>
      </c>
      <c r="D6" t="s">
        <v>68</v>
      </c>
      <c r="E6" s="53" t="e">
        <f>VLOOKUP($B:$B,'Fanduel Export'!$O:$BH,39,FALSE)</f>
        <v>#N/A</v>
      </c>
      <c r="F6">
        <v>7.1</v>
      </c>
      <c r="G6" s="16" t="e">
        <f t="shared" si="0"/>
        <v>#N/A</v>
      </c>
      <c r="H6" s="54" t="e">
        <f>VLOOKUP($B:$B,'Fanduel Export'!$O:$BH,26,FALSE)</f>
        <v>#N/A</v>
      </c>
      <c r="I6" s="55">
        <v>0</v>
      </c>
      <c r="J6" s="54" t="e">
        <f>VLOOKUP($B:$B,'Fanduel Export'!$O:$BH,31,FALSE)</f>
        <v>#N/A</v>
      </c>
      <c r="K6" s="55">
        <v>3</v>
      </c>
      <c r="L6" s="54" t="e">
        <f>VLOOKUP($B:$B,'Fanduel Export'!$O:$BH,33,FALSE)</f>
        <v>#N/A</v>
      </c>
      <c r="M6" s="55">
        <v>30</v>
      </c>
      <c r="N6" s="54" t="e">
        <f>VLOOKUP($B:$B,'Fanduel Export'!$O:$BH,38,FALSE)</f>
        <v>#N/A</v>
      </c>
      <c r="O6" s="56">
        <v>26</v>
      </c>
    </row>
    <row r="7" spans="1:15" x14ac:dyDescent="0.2">
      <c r="A7" s="51" t="s">
        <v>792</v>
      </c>
      <c r="B7" t="s">
        <v>143</v>
      </c>
      <c r="C7" s="52">
        <v>8200</v>
      </c>
      <c r="D7" t="s">
        <v>83</v>
      </c>
      <c r="E7" s="53" t="e">
        <f>VLOOKUP($B:$B,'Fanduel Export'!$O:$BH,39,FALSE)</f>
        <v>#N/A</v>
      </c>
      <c r="F7">
        <v>20.2</v>
      </c>
      <c r="G7" s="16" t="e">
        <f t="shared" si="0"/>
        <v>#N/A</v>
      </c>
      <c r="H7" s="54" t="e">
        <f>VLOOKUP($B:$B,'Fanduel Export'!$O:$BH,26,FALSE)</f>
        <v>#N/A</v>
      </c>
      <c r="I7" s="55">
        <v>0</v>
      </c>
      <c r="J7" s="54" t="e">
        <f>VLOOKUP($B:$B,'Fanduel Export'!$O:$BH,31,FALSE)</f>
        <v>#N/A</v>
      </c>
      <c r="K7" s="55">
        <v>9</v>
      </c>
      <c r="L7" s="54" t="e">
        <f>VLOOKUP($B:$B,'Fanduel Export'!$O:$BH,33,FALSE)</f>
        <v>#N/A</v>
      </c>
      <c r="M7" s="55">
        <v>157</v>
      </c>
      <c r="N7" s="54" t="e">
        <f>VLOOKUP($B:$B,'Fanduel Export'!$O:$BH,38,FALSE)</f>
        <v>#N/A</v>
      </c>
      <c r="O7" s="56">
        <v>0</v>
      </c>
    </row>
    <row r="8" spans="1:15" x14ac:dyDescent="0.2">
      <c r="A8" s="51" t="s">
        <v>793</v>
      </c>
      <c r="B8" t="s">
        <v>812</v>
      </c>
      <c r="C8" s="52">
        <v>7700</v>
      </c>
      <c r="D8" t="s">
        <v>83</v>
      </c>
      <c r="E8" s="53">
        <f>VLOOKUP($B:$B,'Fanduel Export'!$O:$BH,39,FALSE)</f>
        <v>0</v>
      </c>
      <c r="F8">
        <v>10.9</v>
      </c>
      <c r="G8" s="16">
        <f t="shared" si="0"/>
        <v>10.9</v>
      </c>
      <c r="H8" s="54">
        <f>VLOOKUP($B:$B,'Fanduel Export'!$O:$BH,26,FALSE)</f>
        <v>0</v>
      </c>
      <c r="I8" s="55">
        <v>0</v>
      </c>
      <c r="J8" s="54">
        <f>VLOOKUP($B:$B,'Fanduel Export'!$O:$BH,31,FALSE)</f>
        <v>0</v>
      </c>
      <c r="K8" s="55">
        <v>6</v>
      </c>
      <c r="L8" s="54">
        <f>VLOOKUP($B:$B,'Fanduel Export'!$O:$BH,33,FALSE)</f>
        <v>0</v>
      </c>
      <c r="M8" s="55">
        <v>79</v>
      </c>
      <c r="N8" s="54">
        <f>VLOOKUP($B:$B,'Fanduel Export'!$O:$BH,38,FALSE)</f>
        <v>0</v>
      </c>
      <c r="O8" s="56">
        <v>0</v>
      </c>
    </row>
    <row r="9" spans="1:15" x14ac:dyDescent="0.2">
      <c r="A9" s="51" t="s">
        <v>794</v>
      </c>
      <c r="B9" t="s">
        <v>147</v>
      </c>
      <c r="C9" s="52">
        <v>6500</v>
      </c>
      <c r="D9" t="s">
        <v>83</v>
      </c>
      <c r="E9" s="53" t="e">
        <f>VLOOKUP($B:$B,'Fanduel Export'!$O:$BH,39,FALSE)</f>
        <v>#N/A</v>
      </c>
      <c r="F9">
        <v>8.6</v>
      </c>
      <c r="G9" s="16" t="e">
        <f t="shared" si="0"/>
        <v>#N/A</v>
      </c>
      <c r="H9" s="54" t="e">
        <f>VLOOKUP($B:$B,'Fanduel Export'!$O:$BH,26,FALSE)</f>
        <v>#N/A</v>
      </c>
      <c r="I9" s="55">
        <v>0</v>
      </c>
      <c r="J9" s="54" t="e">
        <f>VLOOKUP($B:$B,'Fanduel Export'!$O:$BH,31,FALSE)</f>
        <v>#N/A</v>
      </c>
      <c r="K9" s="55">
        <v>5</v>
      </c>
      <c r="L9" s="54" t="e">
        <f>VLOOKUP($B:$B,'Fanduel Export'!$O:$BH,33,FALSE)</f>
        <v>#N/A</v>
      </c>
      <c r="M9" s="55">
        <v>61</v>
      </c>
      <c r="N9" s="54" t="e">
        <f>VLOOKUP($B:$B,'Fanduel Export'!$O:$BH,38,FALSE)</f>
        <v>#N/A</v>
      </c>
      <c r="O9" s="56">
        <v>0</v>
      </c>
    </row>
    <row r="10" spans="1:15" x14ac:dyDescent="0.2">
      <c r="A10" s="51" t="s">
        <v>795</v>
      </c>
      <c r="B10" t="s">
        <v>297</v>
      </c>
      <c r="C10" s="52">
        <v>5900</v>
      </c>
      <c r="D10" t="s">
        <v>88</v>
      </c>
      <c r="E10" s="53" t="e">
        <f>VLOOKUP($B:$B,'Fanduel Export'!$O:$BH,39,FALSE)</f>
        <v>#N/A</v>
      </c>
      <c r="F10">
        <v>10.5</v>
      </c>
      <c r="G10" s="16" t="e">
        <f t="shared" si="0"/>
        <v>#N/A</v>
      </c>
      <c r="H10" s="54" t="e">
        <f>VLOOKUP($B:$B,'Fanduel Export'!$O:$BH,26,FALSE)</f>
        <v>#N/A</v>
      </c>
      <c r="I10" s="55">
        <v>0</v>
      </c>
      <c r="J10" s="54" t="e">
        <f>VLOOKUP($B:$B,'Fanduel Export'!$O:$BH,31,FALSE)</f>
        <v>#N/A</v>
      </c>
      <c r="K10" s="55">
        <v>5</v>
      </c>
      <c r="L10" s="54" t="e">
        <f>VLOOKUP($B:$B,'Fanduel Export'!$O:$BH,33,FALSE)</f>
        <v>#N/A</v>
      </c>
      <c r="M10" s="55">
        <v>80</v>
      </c>
      <c r="N10" s="54" t="e">
        <f>VLOOKUP($B:$B,'Fanduel Export'!$O:$BH,38,FALSE)</f>
        <v>#N/A</v>
      </c>
      <c r="O10" s="56">
        <v>0</v>
      </c>
    </row>
    <row r="11" spans="1:15" x14ac:dyDescent="0.2">
      <c r="A11" s="51" t="s">
        <v>801</v>
      </c>
      <c r="B11" t="s">
        <v>114</v>
      </c>
      <c r="C11" s="52">
        <v>6400</v>
      </c>
      <c r="D11" t="s">
        <v>83</v>
      </c>
      <c r="E11" s="53" t="e">
        <f>VLOOKUP($B:$B,'Fanduel Export'!$O:$BH,39,FALSE)</f>
        <v>#N/A</v>
      </c>
      <c r="F11">
        <v>17.5</v>
      </c>
      <c r="G11" s="16"/>
      <c r="H11" s="54" t="e">
        <f>VLOOKUP($B:$B,'Fanduel Export'!$O:$BH,26,FALSE)</f>
        <v>#N/A</v>
      </c>
      <c r="I11" s="55">
        <v>0</v>
      </c>
      <c r="J11" s="54" t="e">
        <f>VLOOKUP($B:$B,'Fanduel Export'!$O:$BH,31,FALSE)</f>
        <v>#N/A</v>
      </c>
      <c r="K11" s="55">
        <v>4</v>
      </c>
      <c r="L11" s="54" t="e">
        <f>VLOOKUP($B:$B,'Fanduel Export'!$O:$BH,33,FALSE)</f>
        <v>#N/A</v>
      </c>
      <c r="M11" s="55">
        <v>95</v>
      </c>
      <c r="N11" s="54" t="e">
        <f>VLOOKUP($B:$B,'Fanduel Export'!$O:$BH,38,FALSE)</f>
        <v>#N/A</v>
      </c>
      <c r="O11" s="56">
        <v>0</v>
      </c>
    </row>
    <row r="12" spans="1:15" ht="16" thickBot="1" x14ac:dyDescent="0.25">
      <c r="A12" s="57" t="s">
        <v>802</v>
      </c>
      <c r="B12" s="58" t="s">
        <v>813</v>
      </c>
      <c r="C12" s="59">
        <v>4800</v>
      </c>
      <c r="D12" s="58" t="s">
        <v>803</v>
      </c>
      <c r="E12" s="60" t="e">
        <f>VLOOKUP($B:$B,'Fanduel Export'!$O:$BH,39,FALSE)</f>
        <v>#N/A</v>
      </c>
      <c r="F12" s="58">
        <v>15</v>
      </c>
      <c r="G12" s="61"/>
      <c r="H12" s="62" t="e">
        <f>VLOOKUP($B:$B,'Fanduel Export'!$O:$BH,26,FALSE)</f>
        <v>#N/A</v>
      </c>
      <c r="I12" s="63">
        <v>0</v>
      </c>
      <c r="J12" s="62" t="e">
        <f>VLOOKUP($B:$B,'Fanduel Export'!$O:$BH,31,FALSE)</f>
        <v>#N/A</v>
      </c>
      <c r="K12" s="63">
        <v>0</v>
      </c>
      <c r="L12" s="62" t="e">
        <f>VLOOKUP($B:$B,'Fanduel Export'!$O:$BH,33,FALSE)</f>
        <v>#N/A</v>
      </c>
      <c r="M12" s="63">
        <v>0</v>
      </c>
      <c r="N12" s="62" t="e">
        <f>VLOOKUP($B:$B,'Fanduel Export'!$O:$BH,38,FALSE)</f>
        <v>#N/A</v>
      </c>
      <c r="O12" s="64">
        <v>0</v>
      </c>
    </row>
    <row r="13" spans="1:15" x14ac:dyDescent="0.2">
      <c r="E13" s="10" t="e">
        <f>SUM(E4:E12)</f>
        <v>#N/A</v>
      </c>
      <c r="F13" s="10">
        <f>SUM(F4:F12)</f>
        <v>119.82</v>
      </c>
      <c r="G13" s="16" t="e">
        <f>SUM(G4:G12)</f>
        <v>#N/A</v>
      </c>
    </row>
  </sheetData>
  <mergeCells count="1">
    <mergeCell ref="E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C450"/>
  <sheetViews>
    <sheetView workbookViewId="0"/>
  </sheetViews>
  <sheetFormatPr baseColWidth="10" defaultColWidth="8.83203125" defaultRowHeight="15" x14ac:dyDescent="0.2"/>
  <cols>
    <col min="1" max="1" width="20.5" bestFit="1" customWidth="1"/>
    <col min="2" max="2" width="15.6640625" bestFit="1" customWidth="1"/>
    <col min="3" max="3" width="13.33203125" bestFit="1" customWidth="1"/>
  </cols>
  <sheetData>
    <row r="1" spans="1:3" x14ac:dyDescent="0.2">
      <c r="A1" s="19" t="s">
        <v>13</v>
      </c>
      <c r="B1" t="s">
        <v>814</v>
      </c>
    </row>
    <row r="3" spans="1:3" x14ac:dyDescent="0.2">
      <c r="A3" s="19" t="s">
        <v>815</v>
      </c>
      <c r="B3" t="s">
        <v>816</v>
      </c>
      <c r="C3" t="s">
        <v>817</v>
      </c>
    </row>
    <row r="4" spans="1:3" x14ac:dyDescent="0.2">
      <c r="A4" s="20" t="s">
        <v>269</v>
      </c>
      <c r="B4" s="16">
        <v>8.4285714285714288</v>
      </c>
      <c r="C4" s="16">
        <v>1.5324675324675325</v>
      </c>
    </row>
    <row r="5" spans="1:3" x14ac:dyDescent="0.2">
      <c r="A5" s="20" t="s">
        <v>159</v>
      </c>
      <c r="B5" s="16">
        <v>10.428571428571429</v>
      </c>
      <c r="C5" s="16">
        <v>1.4688128772635816</v>
      </c>
    </row>
    <row r="6" spans="1:3" x14ac:dyDescent="0.2">
      <c r="A6" s="20" t="s">
        <v>125</v>
      </c>
      <c r="B6" s="16">
        <v>9.6666666666666661</v>
      </c>
      <c r="C6" s="16">
        <v>1.3809523809523809</v>
      </c>
    </row>
    <row r="7" spans="1:3" x14ac:dyDescent="0.2">
      <c r="A7" s="20" t="s">
        <v>186</v>
      </c>
      <c r="B7" s="16">
        <v>9.1428571428571423</v>
      </c>
      <c r="C7" s="16">
        <v>1.3445378151260503</v>
      </c>
    </row>
    <row r="8" spans="1:3" x14ac:dyDescent="0.2">
      <c r="A8" s="20" t="s">
        <v>185</v>
      </c>
      <c r="B8" s="16">
        <v>10.5</v>
      </c>
      <c r="C8" s="16">
        <v>1.3125</v>
      </c>
    </row>
    <row r="9" spans="1:3" x14ac:dyDescent="0.2">
      <c r="A9" s="20" t="s">
        <v>245</v>
      </c>
      <c r="B9" s="16">
        <v>7.833333333333333</v>
      </c>
      <c r="C9" s="16">
        <v>1.3055555555555556</v>
      </c>
    </row>
    <row r="10" spans="1:3" x14ac:dyDescent="0.2">
      <c r="A10" s="20" t="s">
        <v>278</v>
      </c>
      <c r="B10" s="16">
        <v>7.5714285714285712</v>
      </c>
      <c r="C10" s="16">
        <v>1.3054187192118227</v>
      </c>
    </row>
    <row r="11" spans="1:3" x14ac:dyDescent="0.2">
      <c r="A11" s="20" t="s">
        <v>236</v>
      </c>
      <c r="B11" s="16">
        <v>8.6</v>
      </c>
      <c r="C11" s="16">
        <v>1.303030303030303</v>
      </c>
    </row>
    <row r="12" spans="1:3" x14ac:dyDescent="0.2">
      <c r="A12" s="20" t="s">
        <v>2100</v>
      </c>
      <c r="B12" s="16">
        <v>7.2857142857142856</v>
      </c>
      <c r="C12" s="16">
        <v>1.3010204081632655</v>
      </c>
    </row>
    <row r="13" spans="1:3" x14ac:dyDescent="0.2">
      <c r="A13" s="20" t="s">
        <v>2098</v>
      </c>
      <c r="B13" s="16">
        <v>8.8333333333333339</v>
      </c>
      <c r="C13" s="16">
        <v>1.2990196078431373</v>
      </c>
    </row>
    <row r="14" spans="1:3" x14ac:dyDescent="0.2">
      <c r="A14" s="20" t="s">
        <v>104</v>
      </c>
      <c r="B14" s="16">
        <v>9.8333333333333339</v>
      </c>
      <c r="C14" s="16">
        <v>1.2938596491228072</v>
      </c>
    </row>
    <row r="15" spans="1:3" x14ac:dyDescent="0.2">
      <c r="A15" s="20" t="s">
        <v>247</v>
      </c>
      <c r="B15" s="16">
        <v>9.3333333333333339</v>
      </c>
      <c r="C15" s="16">
        <v>1.2785388127853883</v>
      </c>
    </row>
    <row r="16" spans="1:3" x14ac:dyDescent="0.2">
      <c r="A16" s="20" t="s">
        <v>196</v>
      </c>
      <c r="B16" s="16">
        <v>7</v>
      </c>
      <c r="C16" s="16">
        <v>1.2727272727272727</v>
      </c>
    </row>
    <row r="17" spans="1:3" x14ac:dyDescent="0.2">
      <c r="A17" s="20" t="s">
        <v>105</v>
      </c>
      <c r="B17" s="16">
        <v>9.6666666666666661</v>
      </c>
      <c r="C17" s="16">
        <v>1.2719298245614035</v>
      </c>
    </row>
    <row r="18" spans="1:3" x14ac:dyDescent="0.2">
      <c r="A18" s="20" t="s">
        <v>258</v>
      </c>
      <c r="B18" s="16">
        <v>6.833333333333333</v>
      </c>
      <c r="C18" s="16">
        <v>1.2424242424242424</v>
      </c>
    </row>
    <row r="19" spans="1:3" x14ac:dyDescent="0.2">
      <c r="A19" s="20" t="s">
        <v>242</v>
      </c>
      <c r="B19" s="16">
        <v>8.2857142857142865</v>
      </c>
      <c r="C19" s="16">
        <v>1.2366737739872069</v>
      </c>
    </row>
    <row r="20" spans="1:3" x14ac:dyDescent="0.2">
      <c r="A20" s="20" t="s">
        <v>90</v>
      </c>
      <c r="B20" s="16">
        <v>10.285714285714286</v>
      </c>
      <c r="C20" s="16">
        <v>1.2100840336134455</v>
      </c>
    </row>
    <row r="21" spans="1:3" x14ac:dyDescent="0.2">
      <c r="A21" s="20" t="s">
        <v>259</v>
      </c>
      <c r="B21" s="16">
        <v>7</v>
      </c>
      <c r="C21" s="16">
        <v>1.2068965517241379</v>
      </c>
    </row>
    <row r="22" spans="1:3" x14ac:dyDescent="0.2">
      <c r="A22" s="20" t="s">
        <v>89</v>
      </c>
      <c r="B22" s="16">
        <v>9.2857142857142865</v>
      </c>
      <c r="C22" s="16">
        <v>1.1904761904761907</v>
      </c>
    </row>
    <row r="23" spans="1:3" x14ac:dyDescent="0.2">
      <c r="A23" s="20" t="s">
        <v>137</v>
      </c>
      <c r="B23" s="16">
        <v>7</v>
      </c>
      <c r="C23" s="16">
        <v>1.1666666666666667</v>
      </c>
    </row>
    <row r="24" spans="1:3" x14ac:dyDescent="0.2">
      <c r="A24" s="20" t="s">
        <v>869</v>
      </c>
      <c r="B24" s="16">
        <v>6.4</v>
      </c>
      <c r="C24" s="16">
        <v>1.1636363636363638</v>
      </c>
    </row>
    <row r="25" spans="1:3" x14ac:dyDescent="0.2">
      <c r="A25" s="20" t="s">
        <v>84</v>
      </c>
      <c r="B25" s="16">
        <v>10.428571428571429</v>
      </c>
      <c r="C25" s="16">
        <v>1.1587301587301588</v>
      </c>
    </row>
    <row r="26" spans="1:3" x14ac:dyDescent="0.2">
      <c r="A26" s="20" t="s">
        <v>265</v>
      </c>
      <c r="B26" s="16">
        <v>7.166666666666667</v>
      </c>
      <c r="C26" s="16">
        <v>1.1375661375661377</v>
      </c>
    </row>
    <row r="27" spans="1:3" x14ac:dyDescent="0.2">
      <c r="A27" s="20" t="s">
        <v>303</v>
      </c>
      <c r="B27" s="16">
        <v>5.8</v>
      </c>
      <c r="C27" s="16">
        <v>1.1372549019607843</v>
      </c>
    </row>
    <row r="28" spans="1:3" x14ac:dyDescent="0.2">
      <c r="A28" s="20" t="s">
        <v>129</v>
      </c>
      <c r="B28" s="16">
        <v>8.3333333333333339</v>
      </c>
      <c r="C28" s="16">
        <v>1.1261261261261262</v>
      </c>
    </row>
    <row r="29" spans="1:3" x14ac:dyDescent="0.2">
      <c r="A29" s="20" t="s">
        <v>261</v>
      </c>
      <c r="B29" s="16">
        <v>7.2857142857142856</v>
      </c>
      <c r="C29" s="16">
        <v>1.1208791208791209</v>
      </c>
    </row>
    <row r="30" spans="1:3" x14ac:dyDescent="0.2">
      <c r="A30" s="20" t="s">
        <v>212</v>
      </c>
      <c r="B30" s="16">
        <v>7.333333333333333</v>
      </c>
      <c r="C30" s="16">
        <v>1.1111111111111112</v>
      </c>
    </row>
    <row r="31" spans="1:3" x14ac:dyDescent="0.2">
      <c r="A31" s="20" t="s">
        <v>2333</v>
      </c>
      <c r="B31" s="16">
        <v>6</v>
      </c>
      <c r="C31" s="16">
        <v>1.1111111111111109</v>
      </c>
    </row>
    <row r="32" spans="1:3" x14ac:dyDescent="0.2">
      <c r="A32" s="20" t="s">
        <v>241</v>
      </c>
      <c r="B32" s="16">
        <v>6.4285714285714288</v>
      </c>
      <c r="C32" s="16">
        <v>1.089588377723971</v>
      </c>
    </row>
    <row r="33" spans="1:3" x14ac:dyDescent="0.2">
      <c r="A33" s="20" t="s">
        <v>1851</v>
      </c>
      <c r="B33" s="16">
        <v>8.1666666666666661</v>
      </c>
      <c r="C33" s="16">
        <v>1.0888888888888888</v>
      </c>
    </row>
    <row r="34" spans="1:3" x14ac:dyDescent="0.2">
      <c r="A34" s="20" t="s">
        <v>507</v>
      </c>
      <c r="B34" s="16">
        <v>5</v>
      </c>
      <c r="C34" s="16">
        <v>1.0638297872340425</v>
      </c>
    </row>
    <row r="35" spans="1:3" x14ac:dyDescent="0.2">
      <c r="A35" s="20" t="s">
        <v>455</v>
      </c>
      <c r="B35" s="16">
        <v>5.833333333333333</v>
      </c>
      <c r="C35" s="16">
        <v>1.0606060606060606</v>
      </c>
    </row>
    <row r="36" spans="1:3" x14ac:dyDescent="0.2">
      <c r="A36" s="20" t="s">
        <v>275</v>
      </c>
      <c r="B36" s="16">
        <v>5.7142857142857144</v>
      </c>
      <c r="C36" s="16">
        <v>1.0582010582010581</v>
      </c>
    </row>
    <row r="37" spans="1:3" x14ac:dyDescent="0.2">
      <c r="A37" s="20" t="s">
        <v>297</v>
      </c>
      <c r="B37" s="16">
        <v>5.5</v>
      </c>
      <c r="C37" s="16">
        <v>1.0576923076923077</v>
      </c>
    </row>
    <row r="38" spans="1:3" x14ac:dyDescent="0.2">
      <c r="A38" s="20" t="s">
        <v>1544</v>
      </c>
      <c r="B38" s="16">
        <v>8.1428571428571423</v>
      </c>
      <c r="C38" s="16">
        <v>1.0575139146567718</v>
      </c>
    </row>
    <row r="39" spans="1:3" x14ac:dyDescent="0.2">
      <c r="A39" s="20" t="s">
        <v>1895</v>
      </c>
      <c r="B39" s="16">
        <v>7.166666666666667</v>
      </c>
      <c r="C39" s="16">
        <v>1.038647342995169</v>
      </c>
    </row>
    <row r="40" spans="1:3" x14ac:dyDescent="0.2">
      <c r="A40" s="20" t="s">
        <v>2104</v>
      </c>
      <c r="B40" s="16">
        <v>7.2857142857142856</v>
      </c>
      <c r="C40" s="16">
        <v>1.0261569416498995</v>
      </c>
    </row>
    <row r="41" spans="1:3" x14ac:dyDescent="0.2">
      <c r="A41" s="20" t="s">
        <v>2101</v>
      </c>
      <c r="B41" s="16">
        <v>6.166666666666667</v>
      </c>
      <c r="C41" s="16">
        <v>1.0109289617486339</v>
      </c>
    </row>
    <row r="42" spans="1:3" x14ac:dyDescent="0.2">
      <c r="A42" s="20" t="s">
        <v>298</v>
      </c>
      <c r="B42" s="16">
        <v>5.333333333333333</v>
      </c>
      <c r="C42" s="16">
        <v>1.0062893081761006</v>
      </c>
    </row>
    <row r="43" spans="1:3" x14ac:dyDescent="0.2">
      <c r="A43" s="20" t="s">
        <v>345</v>
      </c>
      <c r="B43" s="16">
        <v>5.5714285714285712</v>
      </c>
      <c r="C43" s="16">
        <v>0.99489795918367352</v>
      </c>
    </row>
    <row r="44" spans="1:3" x14ac:dyDescent="0.2">
      <c r="A44" s="20" t="s">
        <v>310</v>
      </c>
      <c r="B44" s="16">
        <v>5.75</v>
      </c>
      <c r="C44" s="16">
        <v>0.99137931034482762</v>
      </c>
    </row>
    <row r="45" spans="1:3" x14ac:dyDescent="0.2">
      <c r="A45" s="20" t="s">
        <v>194</v>
      </c>
      <c r="B45" s="16">
        <v>5.8</v>
      </c>
      <c r="C45" s="16">
        <v>0.96666666666666667</v>
      </c>
    </row>
    <row r="46" spans="1:3" x14ac:dyDescent="0.2">
      <c r="A46" s="20" t="s">
        <v>617</v>
      </c>
      <c r="B46" s="16">
        <v>5</v>
      </c>
      <c r="C46" s="16">
        <v>0.96153846153846145</v>
      </c>
    </row>
    <row r="47" spans="1:3" x14ac:dyDescent="0.2">
      <c r="A47" s="20" t="s">
        <v>253</v>
      </c>
      <c r="B47" s="16">
        <v>5.1428571428571432</v>
      </c>
      <c r="C47" s="16">
        <v>0.95238095238095244</v>
      </c>
    </row>
    <row r="48" spans="1:3" x14ac:dyDescent="0.2">
      <c r="A48" s="20" t="s">
        <v>263</v>
      </c>
      <c r="B48" s="16">
        <v>7.2857142857142856</v>
      </c>
      <c r="C48" s="16">
        <v>0.92224231464737783</v>
      </c>
    </row>
    <row r="49" spans="1:3" x14ac:dyDescent="0.2">
      <c r="A49" s="20" t="s">
        <v>339</v>
      </c>
      <c r="B49" s="16">
        <v>4.2857142857142856</v>
      </c>
      <c r="C49" s="16">
        <v>0.91185410334346495</v>
      </c>
    </row>
    <row r="50" spans="1:3" x14ac:dyDescent="0.2">
      <c r="A50" s="20" t="s">
        <v>320</v>
      </c>
      <c r="B50" s="16">
        <v>5</v>
      </c>
      <c r="C50" s="16">
        <v>0.90909090909090906</v>
      </c>
    </row>
    <row r="51" spans="1:3" x14ac:dyDescent="0.2">
      <c r="A51" s="20" t="s">
        <v>1869</v>
      </c>
      <c r="B51" s="16">
        <v>5.1428571428571432</v>
      </c>
      <c r="C51" s="16">
        <v>0.90225563909774442</v>
      </c>
    </row>
    <row r="52" spans="1:3" x14ac:dyDescent="0.2">
      <c r="A52" s="20" t="s">
        <v>326</v>
      </c>
      <c r="B52" s="16">
        <v>5</v>
      </c>
      <c r="C52" s="16">
        <v>0.8771929824561403</v>
      </c>
    </row>
    <row r="53" spans="1:3" x14ac:dyDescent="0.2">
      <c r="A53" s="20" t="s">
        <v>296</v>
      </c>
      <c r="B53" s="16">
        <v>4.666666666666667</v>
      </c>
      <c r="C53" s="16">
        <v>0.86419753086419748</v>
      </c>
    </row>
    <row r="54" spans="1:3" x14ac:dyDescent="0.2">
      <c r="A54" s="20" t="s">
        <v>287</v>
      </c>
      <c r="B54" s="16">
        <v>4.5714285714285712</v>
      </c>
      <c r="C54" s="16">
        <v>0.8625336927223719</v>
      </c>
    </row>
    <row r="55" spans="1:3" x14ac:dyDescent="0.2">
      <c r="A55" s="20" t="s">
        <v>251</v>
      </c>
      <c r="B55" s="16">
        <v>5</v>
      </c>
      <c r="C55" s="16">
        <v>0.86206896551724144</v>
      </c>
    </row>
    <row r="56" spans="1:3" x14ac:dyDescent="0.2">
      <c r="A56" s="20" t="s">
        <v>96</v>
      </c>
      <c r="B56" s="16">
        <v>6.125</v>
      </c>
      <c r="C56" s="16">
        <v>0.85069444444444442</v>
      </c>
    </row>
    <row r="57" spans="1:3" x14ac:dyDescent="0.2">
      <c r="A57" s="20" t="s">
        <v>481</v>
      </c>
      <c r="B57" s="16">
        <v>4.333333333333333</v>
      </c>
      <c r="C57" s="16">
        <v>0.84967320261437906</v>
      </c>
    </row>
    <row r="58" spans="1:3" x14ac:dyDescent="0.2">
      <c r="A58" s="20" t="s">
        <v>340</v>
      </c>
      <c r="B58" s="16">
        <v>4.5</v>
      </c>
      <c r="C58" s="16">
        <v>0.84905660377358494</v>
      </c>
    </row>
    <row r="59" spans="1:3" x14ac:dyDescent="0.2">
      <c r="A59" s="20" t="s">
        <v>2102</v>
      </c>
      <c r="B59" s="16">
        <v>4.4285714285714288</v>
      </c>
      <c r="C59" s="16">
        <v>0.83557951482479786</v>
      </c>
    </row>
    <row r="60" spans="1:3" x14ac:dyDescent="0.2">
      <c r="A60" s="20" t="s">
        <v>271</v>
      </c>
      <c r="B60" s="16">
        <v>4.2857142857142856</v>
      </c>
      <c r="C60" s="16">
        <v>0.82417582417582413</v>
      </c>
    </row>
    <row r="61" spans="1:3" x14ac:dyDescent="0.2">
      <c r="A61" s="20" t="s">
        <v>295</v>
      </c>
      <c r="B61" s="16">
        <v>5.25</v>
      </c>
      <c r="C61" s="16">
        <v>0.8203125</v>
      </c>
    </row>
    <row r="62" spans="1:3" x14ac:dyDescent="0.2">
      <c r="A62" s="20" t="s">
        <v>178</v>
      </c>
      <c r="B62" s="16">
        <v>4.666666666666667</v>
      </c>
      <c r="C62" s="16">
        <v>0.79096045197740117</v>
      </c>
    </row>
    <row r="63" spans="1:3" x14ac:dyDescent="0.2">
      <c r="A63" s="20" t="s">
        <v>324</v>
      </c>
      <c r="B63" s="16">
        <v>4</v>
      </c>
      <c r="C63" s="16">
        <v>0.78431372549019618</v>
      </c>
    </row>
    <row r="64" spans="1:3" x14ac:dyDescent="0.2">
      <c r="A64" s="20" t="s">
        <v>1997</v>
      </c>
      <c r="B64" s="16">
        <v>3.6666666666666665</v>
      </c>
      <c r="C64" s="16">
        <v>0.76388888888888884</v>
      </c>
    </row>
    <row r="65" spans="1:3" x14ac:dyDescent="0.2">
      <c r="A65" s="20" t="s">
        <v>344</v>
      </c>
      <c r="B65" s="16">
        <v>3.6666666666666665</v>
      </c>
      <c r="C65" s="16">
        <v>0.7482993197278911</v>
      </c>
    </row>
    <row r="66" spans="1:3" x14ac:dyDescent="0.2">
      <c r="A66" s="20" t="s">
        <v>366</v>
      </c>
      <c r="B66" s="16">
        <v>3.4</v>
      </c>
      <c r="C66" s="16">
        <v>0.72340425531914887</v>
      </c>
    </row>
    <row r="67" spans="1:3" x14ac:dyDescent="0.2">
      <c r="A67" s="20" t="s">
        <v>333</v>
      </c>
      <c r="B67" s="16">
        <v>4</v>
      </c>
      <c r="C67" s="16">
        <v>0.7142857142857143</v>
      </c>
    </row>
    <row r="68" spans="1:3" x14ac:dyDescent="0.2">
      <c r="A68" s="20" t="s">
        <v>342</v>
      </c>
      <c r="B68" s="16">
        <v>3.75</v>
      </c>
      <c r="C68" s="16">
        <v>0.69444444444444442</v>
      </c>
    </row>
    <row r="69" spans="1:3" x14ac:dyDescent="0.2">
      <c r="A69" s="20" t="s">
        <v>335</v>
      </c>
      <c r="B69" s="16">
        <v>3.1666666666666665</v>
      </c>
      <c r="C69" s="16">
        <v>0.68840579710144933</v>
      </c>
    </row>
    <row r="70" spans="1:3" x14ac:dyDescent="0.2">
      <c r="A70" s="20" t="s">
        <v>429</v>
      </c>
      <c r="B70" s="16">
        <v>3.7142857142857144</v>
      </c>
      <c r="C70" s="16">
        <v>0.68783068783068779</v>
      </c>
    </row>
    <row r="71" spans="1:3" x14ac:dyDescent="0.2">
      <c r="A71" s="20" t="s">
        <v>238</v>
      </c>
      <c r="B71" s="16">
        <v>4</v>
      </c>
      <c r="C71" s="16">
        <v>0.64516129032258063</v>
      </c>
    </row>
    <row r="72" spans="1:3" x14ac:dyDescent="0.2">
      <c r="A72" s="20" t="s">
        <v>304</v>
      </c>
      <c r="B72" s="16">
        <v>3.1428571428571428</v>
      </c>
      <c r="C72" s="16">
        <v>0.64139941690962088</v>
      </c>
    </row>
    <row r="73" spans="1:3" x14ac:dyDescent="0.2">
      <c r="A73" s="20" t="s">
        <v>2128</v>
      </c>
      <c r="B73" s="16">
        <v>3</v>
      </c>
      <c r="C73" s="16">
        <v>0.63829787234042545</v>
      </c>
    </row>
    <row r="74" spans="1:3" x14ac:dyDescent="0.2">
      <c r="A74" s="20" t="s">
        <v>2137</v>
      </c>
      <c r="B74" s="16">
        <v>3</v>
      </c>
      <c r="C74" s="16">
        <v>0.63829787234042545</v>
      </c>
    </row>
    <row r="75" spans="1:3" x14ac:dyDescent="0.2">
      <c r="A75" s="20" t="s">
        <v>305</v>
      </c>
      <c r="B75" s="16">
        <v>3</v>
      </c>
      <c r="C75" s="16">
        <v>0.63829787234042545</v>
      </c>
    </row>
    <row r="76" spans="1:3" x14ac:dyDescent="0.2">
      <c r="A76" s="20" t="s">
        <v>392</v>
      </c>
      <c r="B76" s="16">
        <v>3</v>
      </c>
      <c r="C76" s="16">
        <v>0.625</v>
      </c>
    </row>
    <row r="77" spans="1:3" x14ac:dyDescent="0.2">
      <c r="A77" s="20" t="s">
        <v>286</v>
      </c>
      <c r="B77" s="16">
        <v>3.2</v>
      </c>
      <c r="C77" s="16">
        <v>0.61538461538461542</v>
      </c>
    </row>
    <row r="78" spans="1:3" x14ac:dyDescent="0.2">
      <c r="A78" s="20" t="s">
        <v>312</v>
      </c>
      <c r="B78" s="16">
        <v>3</v>
      </c>
      <c r="C78" s="16">
        <v>0.6</v>
      </c>
    </row>
    <row r="79" spans="1:3" x14ac:dyDescent="0.2">
      <c r="A79" s="20" t="s">
        <v>2364</v>
      </c>
      <c r="B79" s="16">
        <v>3</v>
      </c>
      <c r="C79" s="16">
        <v>0.6</v>
      </c>
    </row>
    <row r="80" spans="1:3" x14ac:dyDescent="0.2">
      <c r="A80" s="20" t="s">
        <v>386</v>
      </c>
      <c r="B80" s="16">
        <v>3.2857142857142856</v>
      </c>
      <c r="C80" s="16">
        <v>0.59740259740259738</v>
      </c>
    </row>
    <row r="81" spans="1:3" x14ac:dyDescent="0.2">
      <c r="A81" s="20" t="s">
        <v>364</v>
      </c>
      <c r="B81" s="16">
        <v>2.8571428571428572</v>
      </c>
      <c r="C81" s="16">
        <v>0.59523809523809523</v>
      </c>
    </row>
    <row r="82" spans="1:3" x14ac:dyDescent="0.2">
      <c r="A82" s="20" t="s">
        <v>318</v>
      </c>
      <c r="B82" s="16">
        <v>3</v>
      </c>
      <c r="C82" s="16">
        <v>0.57692307692307687</v>
      </c>
    </row>
    <row r="83" spans="1:3" x14ac:dyDescent="0.2">
      <c r="A83" s="20" t="s">
        <v>413</v>
      </c>
      <c r="B83" s="16">
        <v>2.5714285714285716</v>
      </c>
      <c r="C83" s="16">
        <v>0.57142857142857151</v>
      </c>
    </row>
    <row r="84" spans="1:3" x14ac:dyDescent="0.2">
      <c r="A84" s="20" t="s">
        <v>384</v>
      </c>
      <c r="B84" s="16">
        <v>2.8333333333333335</v>
      </c>
      <c r="C84" s="16">
        <v>0.55555555555555558</v>
      </c>
    </row>
    <row r="85" spans="1:3" x14ac:dyDescent="0.2">
      <c r="A85" s="20" t="s">
        <v>632</v>
      </c>
      <c r="B85" s="16">
        <v>2.5</v>
      </c>
      <c r="C85" s="16">
        <v>0.55555555555555558</v>
      </c>
    </row>
    <row r="86" spans="1:3" x14ac:dyDescent="0.2">
      <c r="A86" s="20" t="s">
        <v>343</v>
      </c>
      <c r="B86" s="16">
        <v>2.8571428571428572</v>
      </c>
      <c r="C86" s="16">
        <v>0.5494505494505495</v>
      </c>
    </row>
    <row r="87" spans="1:3" x14ac:dyDescent="0.2">
      <c r="A87" s="20" t="s">
        <v>616</v>
      </c>
      <c r="B87" s="16">
        <v>2.2857142857142856</v>
      </c>
      <c r="C87" s="16">
        <v>0.54421768707482987</v>
      </c>
    </row>
    <row r="88" spans="1:3" x14ac:dyDescent="0.2">
      <c r="A88" s="20" t="s">
        <v>1924</v>
      </c>
      <c r="B88" s="16">
        <v>2.7142857142857144</v>
      </c>
      <c r="C88" s="16">
        <v>0.54285714285714293</v>
      </c>
    </row>
    <row r="89" spans="1:3" x14ac:dyDescent="0.2">
      <c r="A89" s="20" t="s">
        <v>615</v>
      </c>
      <c r="B89" s="16">
        <v>2.25</v>
      </c>
      <c r="C89" s="16">
        <v>0.5357142857142857</v>
      </c>
    </row>
    <row r="90" spans="1:3" x14ac:dyDescent="0.2">
      <c r="A90" s="20" t="s">
        <v>266</v>
      </c>
      <c r="B90" s="16">
        <v>3</v>
      </c>
      <c r="C90" s="16">
        <v>0.52631578947368418</v>
      </c>
    </row>
    <row r="91" spans="1:3" x14ac:dyDescent="0.2">
      <c r="A91" s="20" t="s">
        <v>277</v>
      </c>
      <c r="B91" s="16">
        <v>2.875</v>
      </c>
      <c r="C91" s="16">
        <v>0.51339285714285721</v>
      </c>
    </row>
    <row r="92" spans="1:3" x14ac:dyDescent="0.2">
      <c r="A92" s="20" t="s">
        <v>228</v>
      </c>
      <c r="B92" s="16">
        <v>2.3333333333333335</v>
      </c>
      <c r="C92" s="16">
        <v>0.50724637681159424</v>
      </c>
    </row>
    <row r="93" spans="1:3" x14ac:dyDescent="0.2">
      <c r="A93" s="20" t="s">
        <v>350</v>
      </c>
      <c r="B93" s="16">
        <v>2.7142857142857144</v>
      </c>
      <c r="C93" s="16">
        <v>0.50264550264550267</v>
      </c>
    </row>
    <row r="94" spans="1:3" x14ac:dyDescent="0.2">
      <c r="A94" s="20" t="s">
        <v>451</v>
      </c>
      <c r="B94" s="16">
        <v>2.5</v>
      </c>
      <c r="C94" s="16">
        <v>0.5</v>
      </c>
    </row>
    <row r="95" spans="1:3" x14ac:dyDescent="0.2">
      <c r="A95" s="20" t="s">
        <v>602</v>
      </c>
      <c r="B95" s="16">
        <v>2.1428571428571428</v>
      </c>
      <c r="C95" s="16">
        <v>0.49833887043189368</v>
      </c>
    </row>
    <row r="96" spans="1:3" x14ac:dyDescent="0.2">
      <c r="A96" s="20" t="s">
        <v>416</v>
      </c>
      <c r="B96" s="16">
        <v>2.1666666666666665</v>
      </c>
      <c r="C96" s="16">
        <v>0.49242424242424238</v>
      </c>
    </row>
    <row r="97" spans="1:3" x14ac:dyDescent="0.2">
      <c r="A97" s="20" t="s">
        <v>376</v>
      </c>
      <c r="B97" s="16">
        <v>2.5</v>
      </c>
      <c r="C97" s="16">
        <v>0.49019607843137258</v>
      </c>
    </row>
    <row r="98" spans="1:3" x14ac:dyDescent="0.2">
      <c r="A98" s="20" t="s">
        <v>174</v>
      </c>
      <c r="B98" s="16">
        <v>2.6666666666666665</v>
      </c>
      <c r="C98" s="16">
        <v>0.48484848484848481</v>
      </c>
    </row>
    <row r="99" spans="1:3" x14ac:dyDescent="0.2">
      <c r="A99" s="20" t="s">
        <v>423</v>
      </c>
      <c r="B99" s="16">
        <v>2.1428571428571428</v>
      </c>
      <c r="C99" s="16">
        <v>0.46583850931677023</v>
      </c>
    </row>
    <row r="100" spans="1:3" x14ac:dyDescent="0.2">
      <c r="A100" s="20" t="s">
        <v>434</v>
      </c>
      <c r="B100" s="16">
        <v>2.3333333333333335</v>
      </c>
      <c r="C100" s="16">
        <v>0.44871794871794873</v>
      </c>
    </row>
    <row r="101" spans="1:3" x14ac:dyDescent="0.2">
      <c r="A101" s="20" t="s">
        <v>534</v>
      </c>
      <c r="B101" s="16">
        <v>2</v>
      </c>
      <c r="C101" s="16">
        <v>0.43478260869565222</v>
      </c>
    </row>
    <row r="102" spans="1:3" x14ac:dyDescent="0.2">
      <c r="A102" s="20" t="s">
        <v>421</v>
      </c>
      <c r="B102" s="16">
        <v>2</v>
      </c>
      <c r="C102" s="16">
        <v>0.42553191489361702</v>
      </c>
    </row>
    <row r="103" spans="1:3" x14ac:dyDescent="0.2">
      <c r="A103" s="20" t="s">
        <v>544</v>
      </c>
      <c r="B103" s="16">
        <v>2</v>
      </c>
      <c r="C103" s="16">
        <v>0.42553191489361702</v>
      </c>
    </row>
    <row r="104" spans="1:3" x14ac:dyDescent="0.2">
      <c r="A104" s="20" t="s">
        <v>2319</v>
      </c>
      <c r="B104" s="16">
        <v>1.7142857142857142</v>
      </c>
      <c r="C104" s="16">
        <v>0.39867109634551495</v>
      </c>
    </row>
    <row r="105" spans="1:3" x14ac:dyDescent="0.2">
      <c r="A105" s="20" t="s">
        <v>375</v>
      </c>
      <c r="B105" s="16">
        <v>1.7142857142857142</v>
      </c>
      <c r="C105" s="16">
        <v>0.39867109634551495</v>
      </c>
    </row>
    <row r="106" spans="1:3" x14ac:dyDescent="0.2">
      <c r="A106" s="20" t="s">
        <v>460</v>
      </c>
      <c r="B106" s="16">
        <v>2</v>
      </c>
      <c r="C106" s="16">
        <v>0.36363636363636365</v>
      </c>
    </row>
    <row r="107" spans="1:3" x14ac:dyDescent="0.2">
      <c r="A107" s="20" t="s">
        <v>628</v>
      </c>
      <c r="B107" s="16">
        <v>1.6</v>
      </c>
      <c r="C107" s="16">
        <v>0.36363636363636365</v>
      </c>
    </row>
    <row r="108" spans="1:3" x14ac:dyDescent="0.2">
      <c r="A108" s="20" t="s">
        <v>620</v>
      </c>
      <c r="B108" s="16">
        <v>1.5</v>
      </c>
      <c r="C108" s="16">
        <v>0.35714285714285715</v>
      </c>
    </row>
    <row r="109" spans="1:3" x14ac:dyDescent="0.2">
      <c r="A109" s="20" t="s">
        <v>307</v>
      </c>
      <c r="B109" s="16">
        <v>1.7142857142857142</v>
      </c>
      <c r="C109" s="16">
        <v>0.34985422740524774</v>
      </c>
    </row>
    <row r="110" spans="1:3" x14ac:dyDescent="0.2">
      <c r="A110" s="20" t="s">
        <v>490</v>
      </c>
      <c r="B110" s="16">
        <v>1.6666666666666667</v>
      </c>
      <c r="C110" s="16">
        <v>0.34722222222222227</v>
      </c>
    </row>
    <row r="111" spans="1:3" x14ac:dyDescent="0.2">
      <c r="A111" s="20" t="s">
        <v>2133</v>
      </c>
      <c r="B111" s="16">
        <v>1.7142857142857142</v>
      </c>
      <c r="C111" s="16">
        <v>0.34285714285714286</v>
      </c>
    </row>
    <row r="112" spans="1:3" x14ac:dyDescent="0.2">
      <c r="A112" s="20" t="s">
        <v>331</v>
      </c>
      <c r="B112" s="16">
        <v>1.6666666666666667</v>
      </c>
      <c r="C112" s="16">
        <v>0.33333333333333337</v>
      </c>
    </row>
    <row r="113" spans="1:3" x14ac:dyDescent="0.2">
      <c r="A113" s="20" t="s">
        <v>2160</v>
      </c>
      <c r="B113" s="16">
        <v>1.5714285714285714</v>
      </c>
      <c r="C113" s="16">
        <v>0.32738095238095238</v>
      </c>
    </row>
    <row r="114" spans="1:3" x14ac:dyDescent="0.2">
      <c r="A114" s="20" t="s">
        <v>668</v>
      </c>
      <c r="B114" s="16">
        <v>1.3333333333333333</v>
      </c>
      <c r="C114" s="16">
        <v>0.32520325203252032</v>
      </c>
    </row>
    <row r="115" spans="1:3" x14ac:dyDescent="0.2">
      <c r="A115" s="20" t="s">
        <v>622</v>
      </c>
      <c r="B115" s="16">
        <v>1.375</v>
      </c>
      <c r="C115" s="16">
        <v>0.31976744186046513</v>
      </c>
    </row>
    <row r="116" spans="1:3" x14ac:dyDescent="0.2">
      <c r="A116" s="20" t="s">
        <v>650</v>
      </c>
      <c r="B116" s="16">
        <v>1.4285714285714286</v>
      </c>
      <c r="C116" s="16">
        <v>0.31746031746031744</v>
      </c>
    </row>
    <row r="117" spans="1:3" x14ac:dyDescent="0.2">
      <c r="A117" s="20" t="s">
        <v>383</v>
      </c>
      <c r="B117" s="16">
        <v>1.5</v>
      </c>
      <c r="C117" s="16">
        <v>0.3125</v>
      </c>
    </row>
    <row r="118" spans="1:3" x14ac:dyDescent="0.2">
      <c r="A118" s="20" t="s">
        <v>639</v>
      </c>
      <c r="B118" s="16">
        <v>1.2857142857142858</v>
      </c>
      <c r="C118" s="16">
        <v>0.30612244897959184</v>
      </c>
    </row>
    <row r="119" spans="1:3" x14ac:dyDescent="0.2">
      <c r="A119" s="20" t="s">
        <v>2003</v>
      </c>
      <c r="B119" s="16">
        <v>1.4</v>
      </c>
      <c r="C119" s="16">
        <v>0.30434782608695654</v>
      </c>
    </row>
    <row r="120" spans="1:3" x14ac:dyDescent="0.2">
      <c r="A120" s="20" t="s">
        <v>483</v>
      </c>
      <c r="B120" s="16">
        <v>1.4285714285714286</v>
      </c>
      <c r="C120" s="16">
        <v>0.2857142857142857</v>
      </c>
    </row>
    <row r="121" spans="1:3" x14ac:dyDescent="0.2">
      <c r="A121" s="20" t="s">
        <v>403</v>
      </c>
      <c r="B121" s="16">
        <v>1.25</v>
      </c>
      <c r="C121" s="16">
        <v>0.27173913043478265</v>
      </c>
    </row>
    <row r="122" spans="1:3" x14ac:dyDescent="0.2">
      <c r="A122" s="20" t="s">
        <v>325</v>
      </c>
      <c r="B122" s="16">
        <v>1.25</v>
      </c>
      <c r="C122" s="16">
        <v>0.25510204081632654</v>
      </c>
    </row>
    <row r="123" spans="1:3" x14ac:dyDescent="0.2">
      <c r="A123" s="20" t="s">
        <v>652</v>
      </c>
      <c r="B123" s="16">
        <v>1</v>
      </c>
      <c r="C123" s="16">
        <v>0.23255813953488372</v>
      </c>
    </row>
    <row r="124" spans="1:3" x14ac:dyDescent="0.2">
      <c r="A124" s="20" t="s">
        <v>439</v>
      </c>
      <c r="B124" s="16">
        <v>1</v>
      </c>
      <c r="C124" s="16">
        <v>0.21276595744680851</v>
      </c>
    </row>
    <row r="125" spans="1:3" x14ac:dyDescent="0.2">
      <c r="A125" s="20" t="s">
        <v>1403</v>
      </c>
      <c r="B125" s="16">
        <v>1</v>
      </c>
      <c r="C125" s="16">
        <v>0.20833333333333334</v>
      </c>
    </row>
    <row r="126" spans="1:3" x14ac:dyDescent="0.2">
      <c r="A126" s="20" t="s">
        <v>377</v>
      </c>
      <c r="B126" s="16">
        <v>1</v>
      </c>
      <c r="C126" s="16">
        <v>0.2040816326530612</v>
      </c>
    </row>
    <row r="127" spans="1:3" x14ac:dyDescent="0.2">
      <c r="A127" s="20" t="s">
        <v>516</v>
      </c>
      <c r="B127" s="16">
        <v>1</v>
      </c>
      <c r="C127" s="16">
        <v>0.2040816326530612</v>
      </c>
    </row>
    <row r="128" spans="1:3" x14ac:dyDescent="0.2">
      <c r="A128" s="20" t="s">
        <v>631</v>
      </c>
      <c r="B128" s="16">
        <v>0.83333333333333337</v>
      </c>
      <c r="C128" s="16">
        <v>0.1851851851851852</v>
      </c>
    </row>
    <row r="129" spans="1:3" x14ac:dyDescent="0.2">
      <c r="A129" s="20" t="s">
        <v>625</v>
      </c>
      <c r="B129" s="16">
        <v>0.7142857142857143</v>
      </c>
      <c r="C129" s="16">
        <v>0.17421602787456447</v>
      </c>
    </row>
    <row r="130" spans="1:3" x14ac:dyDescent="0.2">
      <c r="A130" s="20" t="s">
        <v>359</v>
      </c>
      <c r="B130" s="16">
        <v>0.83333333333333337</v>
      </c>
      <c r="C130" s="16">
        <v>0.16666666666666669</v>
      </c>
    </row>
    <row r="131" spans="1:3" x14ac:dyDescent="0.2">
      <c r="A131" s="20" t="s">
        <v>360</v>
      </c>
      <c r="B131" s="16">
        <v>0.75</v>
      </c>
      <c r="C131" s="16">
        <v>0.16304347826086957</v>
      </c>
    </row>
    <row r="132" spans="1:3" x14ac:dyDescent="0.2">
      <c r="A132" s="20" t="s">
        <v>634</v>
      </c>
      <c r="B132" s="16">
        <v>0.66666666666666663</v>
      </c>
      <c r="C132" s="16">
        <v>0.16260162601626016</v>
      </c>
    </row>
    <row r="133" spans="1:3" x14ac:dyDescent="0.2">
      <c r="A133" s="20" t="s">
        <v>892</v>
      </c>
      <c r="B133" s="16">
        <v>0.7142857142857143</v>
      </c>
      <c r="C133" s="16">
        <v>0.15873015873015872</v>
      </c>
    </row>
    <row r="134" spans="1:3" x14ac:dyDescent="0.2">
      <c r="A134" s="20" t="s">
        <v>648</v>
      </c>
      <c r="B134" s="16">
        <v>0.66666666666666663</v>
      </c>
      <c r="C134" s="16">
        <v>0.15873015873015872</v>
      </c>
    </row>
    <row r="135" spans="1:3" x14ac:dyDescent="0.2">
      <c r="A135" s="20" t="s">
        <v>649</v>
      </c>
      <c r="B135" s="16">
        <v>0.66666666666666663</v>
      </c>
      <c r="C135" s="16">
        <v>0.14184397163120566</v>
      </c>
    </row>
    <row r="136" spans="1:3" x14ac:dyDescent="0.2">
      <c r="A136" s="20" t="s">
        <v>2379</v>
      </c>
      <c r="B136" s="16">
        <v>0.66666666666666663</v>
      </c>
      <c r="C136" s="16">
        <v>0.13333333333333333</v>
      </c>
    </row>
    <row r="137" spans="1:3" x14ac:dyDescent="0.2">
      <c r="A137" s="20" t="s">
        <v>599</v>
      </c>
      <c r="B137" s="16">
        <v>0.625</v>
      </c>
      <c r="C137" s="16">
        <v>0.13297872340425532</v>
      </c>
    </row>
    <row r="138" spans="1:3" x14ac:dyDescent="0.2">
      <c r="A138" s="20" t="s">
        <v>636</v>
      </c>
      <c r="B138" s="16">
        <v>0.5714285714285714</v>
      </c>
      <c r="C138" s="16">
        <v>0.12987012987012986</v>
      </c>
    </row>
    <row r="139" spans="1:3" x14ac:dyDescent="0.2">
      <c r="A139" s="20" t="s">
        <v>2359</v>
      </c>
      <c r="B139" s="16">
        <v>0.5</v>
      </c>
      <c r="C139" s="16">
        <v>0.12195121951219513</v>
      </c>
    </row>
    <row r="140" spans="1:3" x14ac:dyDescent="0.2">
      <c r="A140" s="20" t="s">
        <v>374</v>
      </c>
      <c r="B140" s="16">
        <v>0.5714285714285714</v>
      </c>
      <c r="C140" s="16">
        <v>0.121580547112462</v>
      </c>
    </row>
    <row r="141" spans="1:3" x14ac:dyDescent="0.2">
      <c r="A141" s="20" t="s">
        <v>655</v>
      </c>
      <c r="B141" s="16">
        <v>0.5</v>
      </c>
      <c r="C141" s="16">
        <v>0.11627906976744186</v>
      </c>
    </row>
    <row r="142" spans="1:3" x14ac:dyDescent="0.2">
      <c r="A142" s="20" t="s">
        <v>612</v>
      </c>
      <c r="B142" s="16">
        <v>0.5</v>
      </c>
      <c r="C142" s="16">
        <v>0.11627906976744186</v>
      </c>
    </row>
    <row r="143" spans="1:3" x14ac:dyDescent="0.2">
      <c r="A143" s="20" t="s">
        <v>595</v>
      </c>
      <c r="B143" s="16">
        <v>0.5</v>
      </c>
      <c r="C143" s="16">
        <v>0.1111111111111111</v>
      </c>
    </row>
    <row r="144" spans="1:3" x14ac:dyDescent="0.2">
      <c r="A144" s="20" t="s">
        <v>402</v>
      </c>
      <c r="B144" s="16">
        <v>0.5</v>
      </c>
      <c r="C144" s="16">
        <v>0.10869565217391305</v>
      </c>
    </row>
    <row r="145" spans="1:3" x14ac:dyDescent="0.2">
      <c r="A145" s="20" t="s">
        <v>461</v>
      </c>
      <c r="B145" s="16">
        <v>0.5</v>
      </c>
      <c r="C145" s="16">
        <v>0.10638297872340426</v>
      </c>
    </row>
    <row r="146" spans="1:3" x14ac:dyDescent="0.2">
      <c r="A146" s="20" t="s">
        <v>640</v>
      </c>
      <c r="B146" s="16">
        <v>0.42857142857142855</v>
      </c>
      <c r="C146" s="16">
        <v>0.10452961672473868</v>
      </c>
    </row>
    <row r="147" spans="1:3" x14ac:dyDescent="0.2">
      <c r="A147" s="20" t="s">
        <v>596</v>
      </c>
      <c r="B147" s="16">
        <v>0.5</v>
      </c>
      <c r="C147" s="16">
        <v>0.10416666666666667</v>
      </c>
    </row>
    <row r="148" spans="1:3" x14ac:dyDescent="0.2">
      <c r="A148" s="20" t="s">
        <v>422</v>
      </c>
      <c r="B148" s="16">
        <v>0.42857142857142855</v>
      </c>
      <c r="C148" s="16">
        <v>9.5238095238095233E-2</v>
      </c>
    </row>
    <row r="149" spans="1:3" x14ac:dyDescent="0.2">
      <c r="A149" s="20" t="s">
        <v>323</v>
      </c>
      <c r="B149" s="16">
        <v>0.42857142857142855</v>
      </c>
      <c r="C149" s="16">
        <v>8.5714285714285715E-2</v>
      </c>
    </row>
    <row r="150" spans="1:3" x14ac:dyDescent="0.2">
      <c r="A150" s="20" t="s">
        <v>671</v>
      </c>
      <c r="B150" s="16">
        <v>0.33333333333333331</v>
      </c>
      <c r="C150" s="16">
        <v>8.3333333333333329E-2</v>
      </c>
    </row>
    <row r="151" spans="1:3" x14ac:dyDescent="0.2">
      <c r="A151" s="20" t="s">
        <v>536</v>
      </c>
      <c r="B151" s="16">
        <v>0.33333333333333331</v>
      </c>
      <c r="C151" s="16">
        <v>7.407407407407407E-2</v>
      </c>
    </row>
    <row r="152" spans="1:3" x14ac:dyDescent="0.2">
      <c r="A152" s="20" t="s">
        <v>2120</v>
      </c>
      <c r="B152" s="16">
        <v>0.33333333333333331</v>
      </c>
      <c r="C152" s="16">
        <v>7.0921985815602828E-2</v>
      </c>
    </row>
    <row r="153" spans="1:3" x14ac:dyDescent="0.2">
      <c r="A153" s="20" t="s">
        <v>685</v>
      </c>
      <c r="B153" s="16">
        <v>0.2857142857142857</v>
      </c>
      <c r="C153" s="16">
        <v>6.968641114982578E-2</v>
      </c>
    </row>
    <row r="154" spans="1:3" x14ac:dyDescent="0.2">
      <c r="A154" s="20" t="s">
        <v>447</v>
      </c>
      <c r="B154" s="16">
        <v>0.2857142857142857</v>
      </c>
      <c r="C154" s="16">
        <v>6.2111801242236024E-2</v>
      </c>
    </row>
    <row r="155" spans="1:3" x14ac:dyDescent="0.2">
      <c r="A155" s="20" t="s">
        <v>504</v>
      </c>
      <c r="B155" s="16">
        <v>0.2857142857142857</v>
      </c>
      <c r="C155" s="16">
        <v>6.0790273556230998E-2</v>
      </c>
    </row>
    <row r="156" spans="1:3" x14ac:dyDescent="0.2">
      <c r="A156" s="20" t="s">
        <v>553</v>
      </c>
      <c r="B156" s="16">
        <v>0.2</v>
      </c>
      <c r="C156" s="16">
        <v>4.4444444444444446E-2</v>
      </c>
    </row>
    <row r="157" spans="1:3" x14ac:dyDescent="0.2">
      <c r="A157" s="20" t="s">
        <v>660</v>
      </c>
      <c r="B157" s="16">
        <v>0.14285714285714285</v>
      </c>
      <c r="C157" s="16">
        <v>3.484320557491289E-2</v>
      </c>
    </row>
    <row r="158" spans="1:3" x14ac:dyDescent="0.2">
      <c r="A158" s="20" t="s">
        <v>397</v>
      </c>
      <c r="B158" s="16">
        <v>0.14285714285714285</v>
      </c>
      <c r="C158" s="16">
        <v>3.1746031746031744E-2</v>
      </c>
    </row>
    <row r="159" spans="1:3" x14ac:dyDescent="0.2">
      <c r="A159" s="20" t="s">
        <v>2366</v>
      </c>
      <c r="B159" s="16">
        <v>0</v>
      </c>
      <c r="C159" s="16">
        <v>0</v>
      </c>
    </row>
    <row r="160" spans="1:3" x14ac:dyDescent="0.2">
      <c r="A160" s="20" t="s">
        <v>497</v>
      </c>
      <c r="B160" s="16">
        <v>0</v>
      </c>
      <c r="C160" s="16">
        <v>0</v>
      </c>
    </row>
    <row r="161" spans="1:3" x14ac:dyDescent="0.2">
      <c r="A161" s="20" t="s">
        <v>588</v>
      </c>
      <c r="B161" s="16">
        <v>0</v>
      </c>
      <c r="C161" s="16">
        <v>0</v>
      </c>
    </row>
    <row r="162" spans="1:3" x14ac:dyDescent="0.2">
      <c r="A162" s="20" t="s">
        <v>598</v>
      </c>
      <c r="B162" s="16">
        <v>0</v>
      </c>
      <c r="C162" s="16">
        <v>0</v>
      </c>
    </row>
    <row r="163" spans="1:3" x14ac:dyDescent="0.2">
      <c r="A163" s="20" t="s">
        <v>2397</v>
      </c>
      <c r="B163" s="16">
        <v>0</v>
      </c>
      <c r="C163" s="16">
        <v>0</v>
      </c>
    </row>
    <row r="164" spans="1:3" x14ac:dyDescent="0.2">
      <c r="A164" s="20" t="s">
        <v>603</v>
      </c>
      <c r="B164" s="16">
        <v>0</v>
      </c>
      <c r="C164" s="16">
        <v>0</v>
      </c>
    </row>
    <row r="165" spans="1:3" x14ac:dyDescent="0.2">
      <c r="A165" s="20" t="s">
        <v>495</v>
      </c>
      <c r="B165" s="16">
        <v>0</v>
      </c>
      <c r="C165" s="16">
        <v>0</v>
      </c>
    </row>
    <row r="166" spans="1:3" x14ac:dyDescent="0.2">
      <c r="A166" s="20" t="s">
        <v>604</v>
      </c>
      <c r="B166" s="16">
        <v>0</v>
      </c>
      <c r="C166" s="16">
        <v>0</v>
      </c>
    </row>
    <row r="167" spans="1:3" x14ac:dyDescent="0.2">
      <c r="A167" s="20" t="s">
        <v>462</v>
      </c>
      <c r="B167" s="16">
        <v>0</v>
      </c>
      <c r="C167" s="16">
        <v>0</v>
      </c>
    </row>
    <row r="168" spans="1:3" x14ac:dyDescent="0.2">
      <c r="A168" s="20" t="s">
        <v>606</v>
      </c>
      <c r="B168" s="16">
        <v>0</v>
      </c>
      <c r="C168" s="16">
        <v>0</v>
      </c>
    </row>
    <row r="169" spans="1:3" x14ac:dyDescent="0.2">
      <c r="A169" s="20" t="s">
        <v>592</v>
      </c>
      <c r="B169" s="16">
        <v>0</v>
      </c>
      <c r="C169" s="16">
        <v>0</v>
      </c>
    </row>
    <row r="170" spans="1:3" x14ac:dyDescent="0.2">
      <c r="A170" s="20" t="s">
        <v>611</v>
      </c>
      <c r="B170" s="16">
        <v>0</v>
      </c>
      <c r="C170" s="16">
        <v>0</v>
      </c>
    </row>
    <row r="171" spans="1:3" x14ac:dyDescent="0.2">
      <c r="A171" s="20" t="s">
        <v>2439</v>
      </c>
      <c r="B171" s="16">
        <v>0</v>
      </c>
      <c r="C171" s="16">
        <v>0</v>
      </c>
    </row>
    <row r="172" spans="1:3" x14ac:dyDescent="0.2">
      <c r="A172" s="20" t="s">
        <v>206</v>
      </c>
      <c r="B172" s="16">
        <v>0</v>
      </c>
      <c r="C172" s="16">
        <v>0</v>
      </c>
    </row>
    <row r="173" spans="1:3" x14ac:dyDescent="0.2">
      <c r="A173" s="20" t="s">
        <v>2485</v>
      </c>
      <c r="B173" s="16">
        <v>0</v>
      </c>
      <c r="C173" s="16">
        <v>0</v>
      </c>
    </row>
    <row r="174" spans="1:3" x14ac:dyDescent="0.2">
      <c r="A174" s="20" t="s">
        <v>175</v>
      </c>
      <c r="B174" s="16">
        <v>0</v>
      </c>
      <c r="C174" s="16">
        <v>0</v>
      </c>
    </row>
    <row r="175" spans="1:3" x14ac:dyDescent="0.2">
      <c r="A175" s="20" t="s">
        <v>519</v>
      </c>
      <c r="B175" s="16">
        <v>0</v>
      </c>
      <c r="C175" s="16">
        <v>0</v>
      </c>
    </row>
    <row r="176" spans="1:3" x14ac:dyDescent="0.2">
      <c r="A176" s="20" t="s">
        <v>626</v>
      </c>
      <c r="B176" s="16">
        <v>0</v>
      </c>
      <c r="C176" s="16">
        <v>0</v>
      </c>
    </row>
    <row r="177" spans="1:3" x14ac:dyDescent="0.2">
      <c r="A177" s="20" t="s">
        <v>2454</v>
      </c>
      <c r="B177" s="16">
        <v>0</v>
      </c>
      <c r="C177" s="16">
        <v>0</v>
      </c>
    </row>
    <row r="178" spans="1:3" x14ac:dyDescent="0.2">
      <c r="A178" s="20" t="s">
        <v>627</v>
      </c>
      <c r="B178" s="16">
        <v>0</v>
      </c>
      <c r="C178" s="16">
        <v>0</v>
      </c>
    </row>
    <row r="179" spans="1:3" x14ac:dyDescent="0.2">
      <c r="A179" s="20" t="s">
        <v>583</v>
      </c>
      <c r="B179" s="16">
        <v>0</v>
      </c>
      <c r="C179" s="16">
        <v>0</v>
      </c>
    </row>
    <row r="180" spans="1:3" x14ac:dyDescent="0.2">
      <c r="A180" s="20" t="s">
        <v>282</v>
      </c>
      <c r="B180" s="16">
        <v>0</v>
      </c>
      <c r="C180" s="16">
        <v>0</v>
      </c>
    </row>
    <row r="181" spans="1:3" x14ac:dyDescent="0.2">
      <c r="A181" s="20" t="s">
        <v>2431</v>
      </c>
      <c r="B181" s="16">
        <v>0</v>
      </c>
      <c r="C181" s="16">
        <v>0</v>
      </c>
    </row>
    <row r="182" spans="1:3" x14ac:dyDescent="0.2">
      <c r="A182" s="20" t="s">
        <v>202</v>
      </c>
      <c r="B182" s="16">
        <v>0</v>
      </c>
      <c r="C182" s="16">
        <v>0</v>
      </c>
    </row>
    <row r="183" spans="1:3" x14ac:dyDescent="0.2">
      <c r="A183" s="20" t="s">
        <v>580</v>
      </c>
      <c r="B183" s="16">
        <v>0</v>
      </c>
      <c r="C183" s="16">
        <v>0</v>
      </c>
    </row>
    <row r="184" spans="1:3" x14ac:dyDescent="0.2">
      <c r="A184" s="20" t="s">
        <v>633</v>
      </c>
      <c r="B184" s="16">
        <v>0</v>
      </c>
      <c r="C184" s="16">
        <v>0</v>
      </c>
    </row>
    <row r="185" spans="1:3" x14ac:dyDescent="0.2">
      <c r="A185" s="20" t="s">
        <v>675</v>
      </c>
      <c r="B185" s="16">
        <v>0</v>
      </c>
      <c r="C185" s="16">
        <v>0</v>
      </c>
    </row>
    <row r="186" spans="1:3" x14ac:dyDescent="0.2">
      <c r="A186" s="20" t="s">
        <v>453</v>
      </c>
      <c r="B186" s="16">
        <v>0</v>
      </c>
      <c r="C186" s="16">
        <v>0</v>
      </c>
    </row>
    <row r="187" spans="1:3" x14ac:dyDescent="0.2">
      <c r="A187" s="20" t="s">
        <v>2372</v>
      </c>
      <c r="B187" s="16">
        <v>0</v>
      </c>
      <c r="C187" s="16">
        <v>0</v>
      </c>
    </row>
    <row r="188" spans="1:3" x14ac:dyDescent="0.2">
      <c r="A188" s="20" t="s">
        <v>454</v>
      </c>
      <c r="B188" s="16">
        <v>0</v>
      </c>
      <c r="C188" s="16">
        <v>0</v>
      </c>
    </row>
    <row r="189" spans="1:3" x14ac:dyDescent="0.2">
      <c r="A189" s="20" t="s">
        <v>2403</v>
      </c>
      <c r="B189" s="16">
        <v>0</v>
      </c>
      <c r="C189" s="16">
        <v>0</v>
      </c>
    </row>
    <row r="190" spans="1:3" x14ac:dyDescent="0.2">
      <c r="A190" s="20" t="s">
        <v>644</v>
      </c>
      <c r="B190" s="16">
        <v>0</v>
      </c>
      <c r="C190" s="16">
        <v>0</v>
      </c>
    </row>
    <row r="191" spans="1:3" x14ac:dyDescent="0.2">
      <c r="A191" s="20" t="s">
        <v>2105</v>
      </c>
      <c r="B191" s="16">
        <v>0</v>
      </c>
      <c r="C191" s="16">
        <v>0</v>
      </c>
    </row>
    <row r="192" spans="1:3" x14ac:dyDescent="0.2">
      <c r="A192" s="20" t="s">
        <v>457</v>
      </c>
      <c r="B192" s="16">
        <v>0</v>
      </c>
      <c r="C192" s="16">
        <v>0</v>
      </c>
    </row>
    <row r="193" spans="1:3" x14ac:dyDescent="0.2">
      <c r="A193" s="20" t="s">
        <v>431</v>
      </c>
      <c r="B193" s="16">
        <v>0</v>
      </c>
      <c r="C193" s="16">
        <v>0</v>
      </c>
    </row>
    <row r="194" spans="1:3" x14ac:dyDescent="0.2">
      <c r="A194" s="20" t="s">
        <v>657</v>
      </c>
      <c r="B194" s="16">
        <v>0</v>
      </c>
      <c r="C194" s="16">
        <v>0</v>
      </c>
    </row>
    <row r="195" spans="1:3" x14ac:dyDescent="0.2">
      <c r="A195" s="20" t="s">
        <v>523</v>
      </c>
      <c r="B195" s="16">
        <v>0</v>
      </c>
      <c r="C195" s="16">
        <v>0</v>
      </c>
    </row>
    <row r="196" spans="1:3" x14ac:dyDescent="0.2">
      <c r="A196" s="20" t="s">
        <v>658</v>
      </c>
      <c r="B196" s="16">
        <v>0</v>
      </c>
      <c r="C196" s="16">
        <v>0</v>
      </c>
    </row>
    <row r="197" spans="1:3" x14ac:dyDescent="0.2">
      <c r="A197" s="20" t="s">
        <v>2452</v>
      </c>
      <c r="B197" s="16">
        <v>0</v>
      </c>
      <c r="C197" s="16">
        <v>0</v>
      </c>
    </row>
    <row r="198" spans="1:3" x14ac:dyDescent="0.2">
      <c r="A198" s="20" t="s">
        <v>662</v>
      </c>
      <c r="B198" s="16">
        <v>0</v>
      </c>
      <c r="C198" s="16">
        <v>0</v>
      </c>
    </row>
    <row r="199" spans="1:3" x14ac:dyDescent="0.2">
      <c r="A199" s="20" t="s">
        <v>2456</v>
      </c>
      <c r="B199" s="16">
        <v>0</v>
      </c>
      <c r="C199" s="16">
        <v>0</v>
      </c>
    </row>
    <row r="200" spans="1:3" x14ac:dyDescent="0.2">
      <c r="A200" s="20" t="s">
        <v>663</v>
      </c>
      <c r="B200" s="16">
        <v>0</v>
      </c>
      <c r="C200" s="16">
        <v>0</v>
      </c>
    </row>
    <row r="201" spans="1:3" x14ac:dyDescent="0.2">
      <c r="A201" s="20" t="s">
        <v>2426</v>
      </c>
      <c r="B201" s="16">
        <v>0</v>
      </c>
      <c r="C201" s="16">
        <v>0</v>
      </c>
    </row>
    <row r="202" spans="1:3" x14ac:dyDescent="0.2">
      <c r="A202" s="20" t="s">
        <v>667</v>
      </c>
      <c r="B202" s="16">
        <v>0</v>
      </c>
      <c r="C202" s="16">
        <v>0</v>
      </c>
    </row>
    <row r="203" spans="1:3" x14ac:dyDescent="0.2">
      <c r="A203" s="20" t="s">
        <v>2462</v>
      </c>
      <c r="B203" s="16">
        <v>0</v>
      </c>
      <c r="C203" s="16">
        <v>0</v>
      </c>
    </row>
    <row r="204" spans="1:3" x14ac:dyDescent="0.2">
      <c r="A204" s="20" t="s">
        <v>463</v>
      </c>
      <c r="B204" s="16">
        <v>0</v>
      </c>
      <c r="C204" s="16">
        <v>0</v>
      </c>
    </row>
    <row r="205" spans="1:3" x14ac:dyDescent="0.2">
      <c r="A205" s="20" t="s">
        <v>567</v>
      </c>
      <c r="B205" s="16">
        <v>0</v>
      </c>
      <c r="C205" s="16">
        <v>0</v>
      </c>
    </row>
    <row r="206" spans="1:3" x14ac:dyDescent="0.2">
      <c r="A206" s="20" t="s">
        <v>473</v>
      </c>
      <c r="B206" s="16">
        <v>0</v>
      </c>
      <c r="C206" s="16">
        <v>0</v>
      </c>
    </row>
    <row r="207" spans="1:3" x14ac:dyDescent="0.2">
      <c r="A207" s="20" t="s">
        <v>575</v>
      </c>
      <c r="B207" s="16">
        <v>0</v>
      </c>
      <c r="C207" s="16">
        <v>0</v>
      </c>
    </row>
    <row r="208" spans="1:3" x14ac:dyDescent="0.2">
      <c r="A208" s="20" t="s">
        <v>276</v>
      </c>
      <c r="B208" s="16">
        <v>0</v>
      </c>
      <c r="C208" s="16">
        <v>0</v>
      </c>
    </row>
    <row r="209" spans="1:3" x14ac:dyDescent="0.2">
      <c r="A209" s="20" t="s">
        <v>578</v>
      </c>
      <c r="B209" s="16">
        <v>0</v>
      </c>
      <c r="C209" s="16">
        <v>0</v>
      </c>
    </row>
    <row r="210" spans="1:3" x14ac:dyDescent="0.2">
      <c r="A210" s="20" t="s">
        <v>250</v>
      </c>
      <c r="B210" s="16">
        <v>0</v>
      </c>
      <c r="C210" s="16">
        <v>0</v>
      </c>
    </row>
    <row r="211" spans="1:3" x14ac:dyDescent="0.2">
      <c r="A211" s="20" t="s">
        <v>2468</v>
      </c>
      <c r="B211" s="16">
        <v>0</v>
      </c>
      <c r="C211" s="16">
        <v>0</v>
      </c>
    </row>
    <row r="212" spans="1:3" x14ac:dyDescent="0.2">
      <c r="A212" s="20" t="s">
        <v>464</v>
      </c>
      <c r="B212" s="16">
        <v>0</v>
      </c>
      <c r="C212" s="16">
        <v>0</v>
      </c>
    </row>
    <row r="213" spans="1:3" x14ac:dyDescent="0.2">
      <c r="A213" s="20" t="s">
        <v>2436</v>
      </c>
      <c r="B213" s="16">
        <v>0</v>
      </c>
      <c r="C213" s="16">
        <v>0</v>
      </c>
    </row>
    <row r="214" spans="1:3" x14ac:dyDescent="0.2">
      <c r="A214" s="20" t="s">
        <v>2116</v>
      </c>
      <c r="B214" s="16">
        <v>0</v>
      </c>
      <c r="C214" s="16">
        <v>0</v>
      </c>
    </row>
    <row r="215" spans="1:3" x14ac:dyDescent="0.2">
      <c r="A215" s="20" t="s">
        <v>2473</v>
      </c>
      <c r="B215" s="16">
        <v>0</v>
      </c>
      <c r="C215" s="16">
        <v>0</v>
      </c>
    </row>
    <row r="216" spans="1:3" x14ac:dyDescent="0.2">
      <c r="A216" s="20" t="s">
        <v>2265</v>
      </c>
      <c r="B216" s="16">
        <v>0</v>
      </c>
      <c r="C216" s="16">
        <v>0</v>
      </c>
    </row>
    <row r="217" spans="1:3" x14ac:dyDescent="0.2">
      <c r="A217" s="20" t="s">
        <v>2376</v>
      </c>
      <c r="B217" s="16">
        <v>0</v>
      </c>
      <c r="C217" s="16">
        <v>0</v>
      </c>
    </row>
    <row r="218" spans="1:3" x14ac:dyDescent="0.2">
      <c r="A218" s="20" t="s">
        <v>1872</v>
      </c>
      <c r="B218" s="16">
        <v>0</v>
      </c>
      <c r="C218" s="16">
        <v>0</v>
      </c>
    </row>
    <row r="219" spans="1:3" x14ac:dyDescent="0.2">
      <c r="A219" s="20" t="s">
        <v>653</v>
      </c>
      <c r="B219" s="16">
        <v>0</v>
      </c>
      <c r="C219" s="16">
        <v>0</v>
      </c>
    </row>
    <row r="220" spans="1:3" x14ac:dyDescent="0.2">
      <c r="A220" s="20" t="s">
        <v>466</v>
      </c>
      <c r="B220" s="16">
        <v>0</v>
      </c>
      <c r="C220" s="16">
        <v>0</v>
      </c>
    </row>
    <row r="221" spans="1:3" x14ac:dyDescent="0.2">
      <c r="A221" s="20" t="s">
        <v>680</v>
      </c>
      <c r="B221" s="16">
        <v>0</v>
      </c>
      <c r="C221" s="16">
        <v>0</v>
      </c>
    </row>
    <row r="222" spans="1:3" x14ac:dyDescent="0.2">
      <c r="A222" s="20" t="s">
        <v>2272</v>
      </c>
      <c r="B222" s="16">
        <v>0</v>
      </c>
      <c r="C222" s="16">
        <v>0</v>
      </c>
    </row>
    <row r="223" spans="1:3" x14ac:dyDescent="0.2">
      <c r="A223" s="20" t="s">
        <v>2483</v>
      </c>
      <c r="B223" s="16">
        <v>0</v>
      </c>
      <c r="C223" s="16">
        <v>0</v>
      </c>
    </row>
    <row r="224" spans="1:3" x14ac:dyDescent="0.2">
      <c r="A224" s="20" t="s">
        <v>2278</v>
      </c>
      <c r="B224" s="16">
        <v>0</v>
      </c>
      <c r="C224" s="16">
        <v>0</v>
      </c>
    </row>
    <row r="225" spans="1:3" x14ac:dyDescent="0.2">
      <c r="A225" s="20" t="s">
        <v>2405</v>
      </c>
      <c r="B225" s="16">
        <v>0</v>
      </c>
      <c r="C225" s="16">
        <v>0</v>
      </c>
    </row>
    <row r="226" spans="1:3" x14ac:dyDescent="0.2">
      <c r="A226" s="20" t="s">
        <v>2279</v>
      </c>
      <c r="B226" s="16">
        <v>0</v>
      </c>
      <c r="C226" s="16">
        <v>0</v>
      </c>
    </row>
    <row r="227" spans="1:3" x14ac:dyDescent="0.2">
      <c r="A227" s="20" t="s">
        <v>586</v>
      </c>
      <c r="B227" s="16">
        <v>0</v>
      </c>
      <c r="C227" s="16">
        <v>0</v>
      </c>
    </row>
    <row r="228" spans="1:3" x14ac:dyDescent="0.2">
      <c r="A228" s="20" t="s">
        <v>2280</v>
      </c>
      <c r="B228" s="16">
        <v>0</v>
      </c>
      <c r="C228" s="16">
        <v>0</v>
      </c>
    </row>
    <row r="229" spans="1:3" x14ac:dyDescent="0.2">
      <c r="A229" s="20" t="s">
        <v>558</v>
      </c>
      <c r="B229" s="16">
        <v>0</v>
      </c>
      <c r="C229" s="16">
        <v>0</v>
      </c>
    </row>
    <row r="230" spans="1:3" x14ac:dyDescent="0.2">
      <c r="A230" s="20" t="s">
        <v>2286</v>
      </c>
      <c r="B230" s="16">
        <v>0</v>
      </c>
      <c r="C230" s="16">
        <v>0</v>
      </c>
    </row>
    <row r="231" spans="1:3" x14ac:dyDescent="0.2">
      <c r="A231" s="20" t="s">
        <v>432</v>
      </c>
      <c r="B231" s="16">
        <v>0</v>
      </c>
      <c r="C231" s="16">
        <v>0</v>
      </c>
    </row>
    <row r="232" spans="1:3" x14ac:dyDescent="0.2">
      <c r="A232" s="20" t="s">
        <v>2291</v>
      </c>
      <c r="B232" s="16">
        <v>0</v>
      </c>
      <c r="C232" s="16">
        <v>0</v>
      </c>
    </row>
    <row r="233" spans="1:3" x14ac:dyDescent="0.2">
      <c r="A233" s="20" t="s">
        <v>2451</v>
      </c>
      <c r="B233" s="16">
        <v>0</v>
      </c>
      <c r="C233" s="16">
        <v>0</v>
      </c>
    </row>
    <row r="234" spans="1:3" x14ac:dyDescent="0.2">
      <c r="A234" s="20" t="s">
        <v>2088</v>
      </c>
      <c r="B234" s="16">
        <v>0</v>
      </c>
      <c r="C234" s="16">
        <v>0</v>
      </c>
    </row>
    <row r="235" spans="1:3" x14ac:dyDescent="0.2">
      <c r="A235" s="20" t="s">
        <v>560</v>
      </c>
      <c r="B235" s="16">
        <v>0</v>
      </c>
      <c r="C235" s="16">
        <v>0</v>
      </c>
    </row>
    <row r="236" spans="1:3" x14ac:dyDescent="0.2">
      <c r="A236" s="20" t="s">
        <v>2293</v>
      </c>
      <c r="B236" s="16">
        <v>0</v>
      </c>
      <c r="C236" s="16">
        <v>0</v>
      </c>
    </row>
    <row r="237" spans="1:3" x14ac:dyDescent="0.2">
      <c r="A237" s="20" t="s">
        <v>2391</v>
      </c>
      <c r="B237" s="16">
        <v>0</v>
      </c>
      <c r="C237" s="16">
        <v>0</v>
      </c>
    </row>
    <row r="238" spans="1:3" x14ac:dyDescent="0.2">
      <c r="A238" s="20" t="s">
        <v>299</v>
      </c>
      <c r="B238" s="16">
        <v>0</v>
      </c>
      <c r="C238" s="16">
        <v>0</v>
      </c>
    </row>
    <row r="239" spans="1:3" x14ac:dyDescent="0.2">
      <c r="A239" s="20" t="s">
        <v>2287</v>
      </c>
      <c r="B239" s="16">
        <v>0</v>
      </c>
      <c r="C239" s="16">
        <v>0</v>
      </c>
    </row>
    <row r="240" spans="1:3" x14ac:dyDescent="0.2">
      <c r="A240" s="20" t="s">
        <v>2294</v>
      </c>
      <c r="B240" s="16">
        <v>0</v>
      </c>
      <c r="C240" s="16">
        <v>0</v>
      </c>
    </row>
    <row r="241" spans="1:3" x14ac:dyDescent="0.2">
      <c r="A241" s="20" t="s">
        <v>2392</v>
      </c>
      <c r="B241" s="16">
        <v>0</v>
      </c>
      <c r="C241" s="16">
        <v>0</v>
      </c>
    </row>
    <row r="242" spans="1:3" x14ac:dyDescent="0.2">
      <c r="A242" s="20" t="s">
        <v>2296</v>
      </c>
      <c r="B242" s="16">
        <v>0</v>
      </c>
      <c r="C242" s="16">
        <v>0</v>
      </c>
    </row>
    <row r="243" spans="1:3" x14ac:dyDescent="0.2">
      <c r="A243" s="20" t="s">
        <v>562</v>
      </c>
      <c r="B243" s="16">
        <v>0</v>
      </c>
      <c r="C243" s="16">
        <v>0</v>
      </c>
    </row>
    <row r="244" spans="1:3" x14ac:dyDescent="0.2">
      <c r="A244" s="20" t="s">
        <v>2297</v>
      </c>
      <c r="B244" s="16">
        <v>0</v>
      </c>
      <c r="C244" s="16">
        <v>0</v>
      </c>
    </row>
    <row r="245" spans="1:3" x14ac:dyDescent="0.2">
      <c r="A245" s="20" t="s">
        <v>568</v>
      </c>
      <c r="B245" s="16">
        <v>0</v>
      </c>
      <c r="C245" s="16">
        <v>0</v>
      </c>
    </row>
    <row r="246" spans="1:3" x14ac:dyDescent="0.2">
      <c r="A246" s="20" t="s">
        <v>471</v>
      </c>
      <c r="B246" s="16">
        <v>0</v>
      </c>
      <c r="C246" s="16">
        <v>0</v>
      </c>
    </row>
    <row r="247" spans="1:3" x14ac:dyDescent="0.2">
      <c r="A247" s="20" t="s">
        <v>2363</v>
      </c>
      <c r="B247" s="16">
        <v>0</v>
      </c>
      <c r="C247" s="16">
        <v>0</v>
      </c>
    </row>
    <row r="248" spans="1:3" x14ac:dyDescent="0.2">
      <c r="A248" s="20" t="s">
        <v>2300</v>
      </c>
      <c r="B248" s="16">
        <v>0</v>
      </c>
      <c r="C248" s="16">
        <v>0</v>
      </c>
    </row>
    <row r="249" spans="1:3" x14ac:dyDescent="0.2">
      <c r="A249" s="20" t="s">
        <v>482</v>
      </c>
      <c r="B249" s="16">
        <v>0</v>
      </c>
      <c r="C249" s="16">
        <v>0</v>
      </c>
    </row>
    <row r="250" spans="1:3" x14ac:dyDescent="0.2">
      <c r="A250" s="20" t="s">
        <v>2301</v>
      </c>
      <c r="B250" s="16">
        <v>0</v>
      </c>
      <c r="C250" s="16">
        <v>0</v>
      </c>
    </row>
    <row r="251" spans="1:3" x14ac:dyDescent="0.2">
      <c r="A251" s="20" t="s">
        <v>2463</v>
      </c>
      <c r="B251" s="16">
        <v>0</v>
      </c>
      <c r="C251" s="16">
        <v>0</v>
      </c>
    </row>
    <row r="252" spans="1:3" x14ac:dyDescent="0.2">
      <c r="A252" s="20" t="s">
        <v>2150</v>
      </c>
      <c r="B252" s="16">
        <v>0</v>
      </c>
      <c r="C252" s="16">
        <v>0</v>
      </c>
    </row>
    <row r="253" spans="1:3" x14ac:dyDescent="0.2">
      <c r="A253" s="20" t="s">
        <v>2395</v>
      </c>
      <c r="B253" s="16">
        <v>0</v>
      </c>
      <c r="C253" s="16">
        <v>0</v>
      </c>
    </row>
    <row r="254" spans="1:3" x14ac:dyDescent="0.2">
      <c r="A254" s="20" t="s">
        <v>477</v>
      </c>
      <c r="B254" s="16">
        <v>0</v>
      </c>
      <c r="C254" s="16">
        <v>0</v>
      </c>
    </row>
    <row r="255" spans="1:3" x14ac:dyDescent="0.2">
      <c r="A255" s="20" t="s">
        <v>2467</v>
      </c>
      <c r="B255" s="16">
        <v>0</v>
      </c>
      <c r="C255" s="16">
        <v>0</v>
      </c>
    </row>
    <row r="256" spans="1:3" x14ac:dyDescent="0.2">
      <c r="A256" s="20" t="s">
        <v>491</v>
      </c>
      <c r="B256" s="16">
        <v>0</v>
      </c>
      <c r="C256" s="16">
        <v>0</v>
      </c>
    </row>
    <row r="257" spans="1:3" x14ac:dyDescent="0.2">
      <c r="A257" s="20" t="s">
        <v>574</v>
      </c>
      <c r="B257" s="16">
        <v>0</v>
      </c>
      <c r="C257" s="16">
        <v>0</v>
      </c>
    </row>
    <row r="258" spans="1:3" x14ac:dyDescent="0.2">
      <c r="A258" s="20" t="s">
        <v>486</v>
      </c>
      <c r="B258" s="16">
        <v>0</v>
      </c>
      <c r="C258" s="16">
        <v>0</v>
      </c>
    </row>
    <row r="259" spans="1:3" x14ac:dyDescent="0.2">
      <c r="A259" s="20" t="s">
        <v>412</v>
      </c>
      <c r="B259" s="16">
        <v>0</v>
      </c>
      <c r="C259" s="16">
        <v>0</v>
      </c>
    </row>
    <row r="260" spans="1:3" x14ac:dyDescent="0.2">
      <c r="A260" s="20" t="s">
        <v>260</v>
      </c>
      <c r="B260" s="16">
        <v>0</v>
      </c>
      <c r="C260" s="16">
        <v>0</v>
      </c>
    </row>
    <row r="261" spans="1:3" x14ac:dyDescent="0.2">
      <c r="A261" s="20" t="s">
        <v>2162</v>
      </c>
      <c r="B261" s="16">
        <v>0</v>
      </c>
      <c r="C261" s="16">
        <v>0</v>
      </c>
    </row>
    <row r="262" spans="1:3" x14ac:dyDescent="0.2">
      <c r="A262" s="20" t="s">
        <v>267</v>
      </c>
      <c r="B262" s="16">
        <v>0</v>
      </c>
      <c r="C262" s="16">
        <v>0</v>
      </c>
    </row>
    <row r="263" spans="1:3" x14ac:dyDescent="0.2">
      <c r="A263" s="20" t="s">
        <v>2404</v>
      </c>
      <c r="B263" s="16">
        <v>0</v>
      </c>
      <c r="C263" s="16">
        <v>0</v>
      </c>
    </row>
    <row r="264" spans="1:3" x14ac:dyDescent="0.2">
      <c r="A264" s="20" t="s">
        <v>539</v>
      </c>
      <c r="B264" s="16">
        <v>0</v>
      </c>
      <c r="C264" s="16">
        <v>0</v>
      </c>
    </row>
    <row r="265" spans="1:3" x14ac:dyDescent="0.2">
      <c r="A265" s="20" t="s">
        <v>281</v>
      </c>
      <c r="B265" s="16">
        <v>0</v>
      </c>
      <c r="C265" s="16">
        <v>0</v>
      </c>
    </row>
    <row r="266" spans="1:3" x14ac:dyDescent="0.2">
      <c r="A266" s="20" t="s">
        <v>530</v>
      </c>
      <c r="B266" s="16">
        <v>0</v>
      </c>
      <c r="C266" s="16">
        <v>0</v>
      </c>
    </row>
    <row r="267" spans="1:3" x14ac:dyDescent="0.2">
      <c r="A267" s="20" t="s">
        <v>2434</v>
      </c>
      <c r="B267" s="16">
        <v>0</v>
      </c>
      <c r="C267" s="16">
        <v>0</v>
      </c>
    </row>
    <row r="268" spans="1:3" x14ac:dyDescent="0.2">
      <c r="A268" s="20" t="s">
        <v>501</v>
      </c>
      <c r="B268" s="16">
        <v>0</v>
      </c>
      <c r="C268" s="16">
        <v>0</v>
      </c>
    </row>
    <row r="269" spans="1:3" x14ac:dyDescent="0.2">
      <c r="A269" s="20" t="s">
        <v>641</v>
      </c>
      <c r="B269" s="16">
        <v>0</v>
      </c>
      <c r="C269" s="16">
        <v>0</v>
      </c>
    </row>
    <row r="270" spans="1:3" x14ac:dyDescent="0.2">
      <c r="A270" s="20" t="s">
        <v>510</v>
      </c>
      <c r="B270" s="16">
        <v>0</v>
      </c>
      <c r="C270" s="16">
        <v>0</v>
      </c>
    </row>
    <row r="271" spans="1:3" x14ac:dyDescent="0.2">
      <c r="A271" s="20" t="s">
        <v>2398</v>
      </c>
      <c r="B271" s="16">
        <v>0</v>
      </c>
      <c r="C271" s="16">
        <v>0</v>
      </c>
    </row>
    <row r="272" spans="1:3" x14ac:dyDescent="0.2">
      <c r="A272" s="20" t="s">
        <v>357</v>
      </c>
      <c r="B272" s="16">
        <v>0</v>
      </c>
      <c r="C272" s="16">
        <v>0</v>
      </c>
    </row>
    <row r="273" spans="1:3" x14ac:dyDescent="0.2">
      <c r="A273" s="20" t="s">
        <v>2472</v>
      </c>
      <c r="B273" s="16">
        <v>0</v>
      </c>
      <c r="C273" s="16">
        <v>0</v>
      </c>
    </row>
    <row r="274" spans="1:3" x14ac:dyDescent="0.2">
      <c r="A274" s="20" t="s">
        <v>517</v>
      </c>
      <c r="B274" s="16">
        <v>0</v>
      </c>
      <c r="C274" s="16">
        <v>0</v>
      </c>
    </row>
    <row r="275" spans="1:3" x14ac:dyDescent="0.2">
      <c r="A275" s="20" t="s">
        <v>2474</v>
      </c>
      <c r="B275" s="16">
        <v>0</v>
      </c>
      <c r="C275" s="16">
        <v>0</v>
      </c>
    </row>
    <row r="276" spans="1:3" x14ac:dyDescent="0.2">
      <c r="A276" s="20" t="s">
        <v>532</v>
      </c>
      <c r="B276" s="16">
        <v>0</v>
      </c>
      <c r="C276" s="16">
        <v>0</v>
      </c>
    </row>
    <row r="277" spans="1:3" x14ac:dyDescent="0.2">
      <c r="A277" s="20" t="s">
        <v>2440</v>
      </c>
      <c r="B277" s="16">
        <v>0</v>
      </c>
      <c r="C277" s="16">
        <v>0</v>
      </c>
    </row>
    <row r="278" spans="1:3" x14ac:dyDescent="0.2">
      <c r="A278" s="20" t="s">
        <v>319</v>
      </c>
      <c r="B278" s="16">
        <v>0</v>
      </c>
      <c r="C278" s="16">
        <v>0</v>
      </c>
    </row>
    <row r="279" spans="1:3" x14ac:dyDescent="0.2">
      <c r="A279" s="20" t="s">
        <v>2371</v>
      </c>
      <c r="B279" s="16">
        <v>0</v>
      </c>
      <c r="C279" s="16">
        <v>0</v>
      </c>
    </row>
    <row r="280" spans="1:3" x14ac:dyDescent="0.2">
      <c r="A280" s="20" t="s">
        <v>380</v>
      </c>
      <c r="B280" s="16">
        <v>0</v>
      </c>
      <c r="C280" s="16">
        <v>0</v>
      </c>
    </row>
    <row r="281" spans="1:3" x14ac:dyDescent="0.2">
      <c r="A281" s="20" t="s">
        <v>2478</v>
      </c>
      <c r="B281" s="16">
        <v>0</v>
      </c>
      <c r="C281" s="16">
        <v>0</v>
      </c>
    </row>
    <row r="282" spans="1:3" x14ac:dyDescent="0.2">
      <c r="A282" s="20" t="s">
        <v>610</v>
      </c>
      <c r="B282" s="16">
        <v>0</v>
      </c>
      <c r="C282" s="16">
        <v>0</v>
      </c>
    </row>
    <row r="283" spans="1:3" x14ac:dyDescent="0.2">
      <c r="A283" s="20" t="s">
        <v>2432</v>
      </c>
      <c r="B283" s="16">
        <v>0</v>
      </c>
      <c r="C283" s="16">
        <v>0</v>
      </c>
    </row>
    <row r="284" spans="1:3" x14ac:dyDescent="0.2">
      <c r="A284" s="20" t="s">
        <v>459</v>
      </c>
      <c r="B284" s="16">
        <v>0</v>
      </c>
      <c r="C284" s="16">
        <v>0</v>
      </c>
    </row>
    <row r="285" spans="1:3" x14ac:dyDescent="0.2">
      <c r="A285" s="20" t="s">
        <v>2367</v>
      </c>
      <c r="B285" s="16">
        <v>0</v>
      </c>
      <c r="C285" s="16">
        <v>0</v>
      </c>
    </row>
    <row r="286" spans="1:3" x14ac:dyDescent="0.2">
      <c r="A286" s="20" t="s">
        <v>2334</v>
      </c>
      <c r="B286" s="16">
        <v>0</v>
      </c>
      <c r="C286" s="16">
        <v>0</v>
      </c>
    </row>
    <row r="287" spans="1:3" x14ac:dyDescent="0.2">
      <c r="A287" s="20" t="s">
        <v>2373</v>
      </c>
      <c r="B287" s="16">
        <v>0</v>
      </c>
      <c r="C287" s="16">
        <v>0</v>
      </c>
    </row>
    <row r="288" spans="1:3" x14ac:dyDescent="0.2">
      <c r="A288" s="20" t="s">
        <v>2407</v>
      </c>
      <c r="B288" s="16">
        <v>0</v>
      </c>
      <c r="C288" s="16">
        <v>0</v>
      </c>
    </row>
    <row r="289" spans="1:3" x14ac:dyDescent="0.2">
      <c r="A289" s="20" t="s">
        <v>2481</v>
      </c>
      <c r="B289" s="16">
        <v>0</v>
      </c>
      <c r="C289" s="16">
        <v>0</v>
      </c>
    </row>
    <row r="290" spans="1:3" x14ac:dyDescent="0.2">
      <c r="A290" s="20" t="s">
        <v>2433</v>
      </c>
      <c r="B290" s="16">
        <v>0</v>
      </c>
      <c r="C290" s="16">
        <v>0</v>
      </c>
    </row>
    <row r="291" spans="1:3" x14ac:dyDescent="0.2">
      <c r="A291" s="20" t="s">
        <v>2484</v>
      </c>
      <c r="B291" s="16">
        <v>0</v>
      </c>
      <c r="C291" s="16">
        <v>0</v>
      </c>
    </row>
    <row r="292" spans="1:3" x14ac:dyDescent="0.2">
      <c r="A292" s="20" t="s">
        <v>656</v>
      </c>
      <c r="B292" s="16">
        <v>0</v>
      </c>
      <c r="C292" s="16">
        <v>0</v>
      </c>
    </row>
    <row r="293" spans="1:3" x14ac:dyDescent="0.2">
      <c r="A293" s="20" t="s">
        <v>2486</v>
      </c>
      <c r="B293" s="16">
        <v>0</v>
      </c>
      <c r="C293" s="16">
        <v>0</v>
      </c>
    </row>
    <row r="294" spans="1:3" x14ac:dyDescent="0.2">
      <c r="A294" s="20" t="s">
        <v>2489</v>
      </c>
      <c r="B294" s="16">
        <v>0</v>
      </c>
      <c r="C294" s="16">
        <v>0</v>
      </c>
    </row>
    <row r="295" spans="1:3" x14ac:dyDescent="0.2">
      <c r="A295" s="20" t="s">
        <v>2443</v>
      </c>
      <c r="B295" s="16">
        <v>0</v>
      </c>
      <c r="C295" s="16">
        <v>0</v>
      </c>
    </row>
    <row r="296" spans="1:3" x14ac:dyDescent="0.2">
      <c r="A296" s="20" t="s">
        <v>492</v>
      </c>
      <c r="B296" s="16">
        <v>0</v>
      </c>
      <c r="C296" s="16">
        <v>0</v>
      </c>
    </row>
    <row r="297" spans="1:3" x14ac:dyDescent="0.2">
      <c r="A297" s="20" t="s">
        <v>410</v>
      </c>
      <c r="B297" s="16">
        <v>0</v>
      </c>
      <c r="C297" s="16">
        <v>0</v>
      </c>
    </row>
    <row r="298" spans="1:3" x14ac:dyDescent="0.2">
      <c r="A298" s="20" t="s">
        <v>2338</v>
      </c>
      <c r="B298" s="16">
        <v>0</v>
      </c>
      <c r="C298" s="16">
        <v>0</v>
      </c>
    </row>
    <row r="299" spans="1:3" x14ac:dyDescent="0.2">
      <c r="A299" s="20" t="s">
        <v>2419</v>
      </c>
      <c r="B299" s="16">
        <v>0</v>
      </c>
      <c r="C299" s="16">
        <v>0</v>
      </c>
    </row>
    <row r="300" spans="1:3" x14ac:dyDescent="0.2">
      <c r="A300" s="20" t="s">
        <v>2339</v>
      </c>
      <c r="B300" s="16">
        <v>0</v>
      </c>
      <c r="C300" s="16">
        <v>0</v>
      </c>
    </row>
    <row r="301" spans="1:3" x14ac:dyDescent="0.2">
      <c r="A301" s="20" t="s">
        <v>637</v>
      </c>
      <c r="B301" s="16">
        <v>0</v>
      </c>
      <c r="C301" s="16">
        <v>0</v>
      </c>
    </row>
    <row r="302" spans="1:3" x14ac:dyDescent="0.2">
      <c r="A302" s="20" t="s">
        <v>2341</v>
      </c>
      <c r="B302" s="16">
        <v>0</v>
      </c>
      <c r="C302" s="16">
        <v>0</v>
      </c>
    </row>
    <row r="303" spans="1:3" x14ac:dyDescent="0.2">
      <c r="A303" s="20" t="s">
        <v>513</v>
      </c>
      <c r="B303" s="16">
        <v>0</v>
      </c>
      <c r="C303" s="16">
        <v>0</v>
      </c>
    </row>
    <row r="304" spans="1:3" x14ac:dyDescent="0.2">
      <c r="A304" s="20" t="s">
        <v>2342</v>
      </c>
      <c r="B304" s="16">
        <v>0</v>
      </c>
      <c r="C304" s="16">
        <v>0</v>
      </c>
    </row>
    <row r="305" spans="1:3" x14ac:dyDescent="0.2">
      <c r="A305" s="20" t="s">
        <v>515</v>
      </c>
      <c r="B305" s="16">
        <v>0</v>
      </c>
      <c r="C305" s="16">
        <v>0</v>
      </c>
    </row>
    <row r="306" spans="1:3" x14ac:dyDescent="0.2">
      <c r="A306" s="20" t="s">
        <v>2343</v>
      </c>
      <c r="B306" s="16">
        <v>0</v>
      </c>
      <c r="C306" s="16">
        <v>0</v>
      </c>
    </row>
    <row r="307" spans="1:3" x14ac:dyDescent="0.2">
      <c r="A307" s="20" t="s">
        <v>2390</v>
      </c>
      <c r="B307" s="16">
        <v>0</v>
      </c>
      <c r="C307" s="16">
        <v>0</v>
      </c>
    </row>
    <row r="308" spans="1:3" x14ac:dyDescent="0.2">
      <c r="A308" s="20" t="s">
        <v>582</v>
      </c>
      <c r="B308" s="16">
        <v>0</v>
      </c>
      <c r="C308" s="16">
        <v>0</v>
      </c>
    </row>
    <row r="309" spans="1:3" x14ac:dyDescent="0.2">
      <c r="A309" s="20" t="s">
        <v>2450</v>
      </c>
      <c r="B309" s="16">
        <v>0</v>
      </c>
      <c r="C309" s="16">
        <v>0</v>
      </c>
    </row>
    <row r="310" spans="1:3" x14ac:dyDescent="0.2">
      <c r="A310" s="20" t="s">
        <v>518</v>
      </c>
      <c r="B310" s="16">
        <v>0</v>
      </c>
      <c r="C310" s="16">
        <v>0</v>
      </c>
    </row>
    <row r="311" spans="1:3" x14ac:dyDescent="0.2">
      <c r="A311" s="20" t="s">
        <v>2420</v>
      </c>
      <c r="B311" s="16">
        <v>0</v>
      </c>
      <c r="C311" s="16">
        <v>0</v>
      </c>
    </row>
    <row r="312" spans="1:3" x14ac:dyDescent="0.2">
      <c r="A312" s="20" t="s">
        <v>2345</v>
      </c>
      <c r="B312" s="16">
        <v>0</v>
      </c>
      <c r="C312" s="16">
        <v>0</v>
      </c>
    </row>
    <row r="313" spans="1:3" x14ac:dyDescent="0.2">
      <c r="A313" s="20" t="s">
        <v>2423</v>
      </c>
      <c r="B313" s="16">
        <v>0</v>
      </c>
      <c r="C313" s="16">
        <v>0</v>
      </c>
    </row>
    <row r="314" spans="1:3" x14ac:dyDescent="0.2">
      <c r="A314" s="20" t="s">
        <v>524</v>
      </c>
      <c r="B314" s="16">
        <v>0</v>
      </c>
      <c r="C314" s="16">
        <v>0</v>
      </c>
    </row>
    <row r="315" spans="1:3" x14ac:dyDescent="0.2">
      <c r="A315" s="20" t="s">
        <v>533</v>
      </c>
      <c r="B315" s="16">
        <v>0</v>
      </c>
      <c r="C315" s="16">
        <v>0</v>
      </c>
    </row>
    <row r="316" spans="1:3" x14ac:dyDescent="0.2">
      <c r="A316" s="20" t="s">
        <v>2346</v>
      </c>
      <c r="B316" s="16">
        <v>0</v>
      </c>
      <c r="C316" s="16">
        <v>0</v>
      </c>
    </row>
    <row r="317" spans="1:3" x14ac:dyDescent="0.2">
      <c r="A317" s="20" t="s">
        <v>400</v>
      </c>
      <c r="B317" s="16">
        <v>0</v>
      </c>
      <c r="C317" s="16">
        <v>0</v>
      </c>
    </row>
    <row r="318" spans="1:3" x14ac:dyDescent="0.2">
      <c r="A318" s="20" t="s">
        <v>2347</v>
      </c>
      <c r="B318" s="16">
        <v>0</v>
      </c>
      <c r="C318" s="16">
        <v>0</v>
      </c>
    </row>
    <row r="319" spans="1:3" x14ac:dyDescent="0.2">
      <c r="A319" s="20" t="s">
        <v>2285</v>
      </c>
      <c r="B319" s="16">
        <v>0</v>
      </c>
      <c r="C319" s="16">
        <v>0</v>
      </c>
    </row>
    <row r="320" spans="1:3" x14ac:dyDescent="0.2">
      <c r="A320" s="20" t="s">
        <v>2348</v>
      </c>
      <c r="B320" s="16">
        <v>0</v>
      </c>
      <c r="C320" s="16">
        <v>0</v>
      </c>
    </row>
    <row r="321" spans="1:3" x14ac:dyDescent="0.2">
      <c r="A321" s="20" t="s">
        <v>300</v>
      </c>
      <c r="B321" s="16">
        <v>0</v>
      </c>
      <c r="C321" s="16">
        <v>0</v>
      </c>
    </row>
    <row r="322" spans="1:3" x14ac:dyDescent="0.2">
      <c r="A322" s="20" t="s">
        <v>2349</v>
      </c>
      <c r="B322" s="16">
        <v>0</v>
      </c>
      <c r="C322" s="16">
        <v>0</v>
      </c>
    </row>
    <row r="323" spans="1:3" x14ac:dyDescent="0.2">
      <c r="A323" s="20" t="s">
        <v>2453</v>
      </c>
      <c r="B323" s="16">
        <v>0</v>
      </c>
      <c r="C323" s="16">
        <v>0</v>
      </c>
    </row>
    <row r="324" spans="1:3" x14ac:dyDescent="0.2">
      <c r="A324" s="20" t="s">
        <v>2350</v>
      </c>
      <c r="B324" s="16">
        <v>0</v>
      </c>
      <c r="C324" s="16">
        <v>0</v>
      </c>
    </row>
    <row r="325" spans="1:3" x14ac:dyDescent="0.2">
      <c r="A325" s="20" t="s">
        <v>2455</v>
      </c>
      <c r="B325" s="16">
        <v>0</v>
      </c>
      <c r="C325" s="16">
        <v>0</v>
      </c>
    </row>
    <row r="326" spans="1:3" x14ac:dyDescent="0.2">
      <c r="A326" s="20" t="s">
        <v>2351</v>
      </c>
      <c r="B326" s="16">
        <v>0</v>
      </c>
      <c r="C326" s="16">
        <v>0</v>
      </c>
    </row>
    <row r="327" spans="1:3" x14ac:dyDescent="0.2">
      <c r="A327" s="20" t="s">
        <v>559</v>
      </c>
      <c r="B327" s="16">
        <v>0</v>
      </c>
      <c r="C327" s="16">
        <v>0</v>
      </c>
    </row>
    <row r="328" spans="1:3" x14ac:dyDescent="0.2">
      <c r="A328" s="20" t="s">
        <v>584</v>
      </c>
      <c r="B328" s="16">
        <v>0</v>
      </c>
      <c r="C328" s="16">
        <v>0</v>
      </c>
    </row>
    <row r="329" spans="1:3" x14ac:dyDescent="0.2">
      <c r="A329" s="20" t="s">
        <v>2457</v>
      </c>
      <c r="B329" s="16">
        <v>0</v>
      </c>
      <c r="C329" s="16">
        <v>0</v>
      </c>
    </row>
    <row r="330" spans="1:3" x14ac:dyDescent="0.2">
      <c r="A330" s="20" t="s">
        <v>2352</v>
      </c>
      <c r="B330" s="16">
        <v>0</v>
      </c>
      <c r="C330" s="16">
        <v>0</v>
      </c>
    </row>
    <row r="331" spans="1:3" x14ac:dyDescent="0.2">
      <c r="A331" s="20" t="s">
        <v>2458</v>
      </c>
      <c r="B331" s="16">
        <v>0</v>
      </c>
      <c r="C331" s="16">
        <v>0</v>
      </c>
    </row>
    <row r="332" spans="1:3" x14ac:dyDescent="0.2">
      <c r="A332" s="20" t="s">
        <v>552</v>
      </c>
      <c r="B332" s="16">
        <v>0</v>
      </c>
      <c r="C332" s="16">
        <v>0</v>
      </c>
    </row>
    <row r="333" spans="1:3" x14ac:dyDescent="0.2">
      <c r="A333" s="20" t="s">
        <v>565</v>
      </c>
      <c r="B333" s="16">
        <v>0</v>
      </c>
      <c r="C333" s="16">
        <v>0</v>
      </c>
    </row>
    <row r="334" spans="1:3" x14ac:dyDescent="0.2">
      <c r="A334" s="20" t="s">
        <v>556</v>
      </c>
      <c r="B334" s="16">
        <v>0</v>
      </c>
      <c r="C334" s="16">
        <v>0</v>
      </c>
    </row>
    <row r="335" spans="1:3" x14ac:dyDescent="0.2">
      <c r="A335" s="20" t="s">
        <v>2459</v>
      </c>
      <c r="B335" s="16">
        <v>0</v>
      </c>
      <c r="C335" s="16">
        <v>0</v>
      </c>
    </row>
    <row r="336" spans="1:3" x14ac:dyDescent="0.2">
      <c r="A336" s="20" t="s">
        <v>2353</v>
      </c>
      <c r="B336" s="16">
        <v>0</v>
      </c>
      <c r="C336" s="16">
        <v>0</v>
      </c>
    </row>
    <row r="337" spans="1:3" x14ac:dyDescent="0.2">
      <c r="A337" s="20" t="s">
        <v>573</v>
      </c>
      <c r="B337" s="16">
        <v>0</v>
      </c>
      <c r="C337" s="16">
        <v>0</v>
      </c>
    </row>
    <row r="338" spans="1:3" x14ac:dyDescent="0.2">
      <c r="A338" s="20" t="s">
        <v>2354</v>
      </c>
      <c r="B338" s="16">
        <v>0</v>
      </c>
      <c r="C338" s="16">
        <v>0</v>
      </c>
    </row>
    <row r="339" spans="1:3" x14ac:dyDescent="0.2">
      <c r="A339" s="20" t="s">
        <v>2461</v>
      </c>
      <c r="B339" s="16">
        <v>0</v>
      </c>
      <c r="C339" s="16">
        <v>0</v>
      </c>
    </row>
    <row r="340" spans="1:3" x14ac:dyDescent="0.2">
      <c r="A340" s="20" t="s">
        <v>587</v>
      </c>
      <c r="B340" s="16">
        <v>0</v>
      </c>
      <c r="C340" s="16">
        <v>0</v>
      </c>
    </row>
    <row r="341" spans="1:3" x14ac:dyDescent="0.2">
      <c r="A341" s="20" t="s">
        <v>2393</v>
      </c>
      <c r="B341" s="16">
        <v>0</v>
      </c>
      <c r="C341" s="16">
        <v>0</v>
      </c>
    </row>
    <row r="342" spans="1:3" x14ac:dyDescent="0.2">
      <c r="A342" s="20" t="s">
        <v>2355</v>
      </c>
      <c r="B342" s="16">
        <v>0</v>
      </c>
      <c r="C342" s="16">
        <v>0</v>
      </c>
    </row>
    <row r="343" spans="1:3" x14ac:dyDescent="0.2">
      <c r="A343" s="20" t="s">
        <v>2394</v>
      </c>
      <c r="B343" s="16">
        <v>0</v>
      </c>
      <c r="C343" s="16">
        <v>0</v>
      </c>
    </row>
    <row r="344" spans="1:3" x14ac:dyDescent="0.2">
      <c r="A344" s="20" t="s">
        <v>600</v>
      </c>
      <c r="B344" s="16">
        <v>0</v>
      </c>
      <c r="C344" s="16">
        <v>0</v>
      </c>
    </row>
    <row r="345" spans="1:3" x14ac:dyDescent="0.2">
      <c r="A345" s="20" t="s">
        <v>2430</v>
      </c>
      <c r="B345" s="16">
        <v>0</v>
      </c>
      <c r="C345" s="16">
        <v>0</v>
      </c>
    </row>
    <row r="346" spans="1:3" x14ac:dyDescent="0.2">
      <c r="A346" s="20" t="s">
        <v>458</v>
      </c>
      <c r="B346" s="16">
        <v>0</v>
      </c>
      <c r="C346" s="16">
        <v>0</v>
      </c>
    </row>
    <row r="347" spans="1:3" x14ac:dyDescent="0.2">
      <c r="A347" s="20" t="s">
        <v>2464</v>
      </c>
      <c r="B347" s="16">
        <v>0</v>
      </c>
      <c r="C347" s="16">
        <v>0</v>
      </c>
    </row>
    <row r="348" spans="1:3" x14ac:dyDescent="0.2">
      <c r="A348" s="20" t="s">
        <v>538</v>
      </c>
      <c r="B348" s="16">
        <v>0</v>
      </c>
      <c r="C348" s="16">
        <v>0</v>
      </c>
    </row>
    <row r="349" spans="1:3" x14ac:dyDescent="0.2">
      <c r="A349" s="20" t="s">
        <v>593</v>
      </c>
      <c r="B349" s="16">
        <v>0</v>
      </c>
      <c r="C349" s="16">
        <v>0</v>
      </c>
    </row>
    <row r="350" spans="1:3" x14ac:dyDescent="0.2">
      <c r="A350" s="20" t="s">
        <v>2123</v>
      </c>
      <c r="B350" s="16">
        <v>0</v>
      </c>
      <c r="C350" s="16">
        <v>0</v>
      </c>
    </row>
    <row r="351" spans="1:3" x14ac:dyDescent="0.2">
      <c r="A351" s="20" t="s">
        <v>427</v>
      </c>
      <c r="B351" s="16">
        <v>0</v>
      </c>
      <c r="C351" s="16">
        <v>0</v>
      </c>
    </row>
    <row r="352" spans="1:3" x14ac:dyDescent="0.2">
      <c r="A352" s="20" t="s">
        <v>354</v>
      </c>
      <c r="B352" s="16">
        <v>0</v>
      </c>
      <c r="C352" s="16">
        <v>0</v>
      </c>
    </row>
    <row r="353" spans="1:3" x14ac:dyDescent="0.2">
      <c r="A353" s="20" t="s">
        <v>2466</v>
      </c>
      <c r="B353" s="16">
        <v>0</v>
      </c>
      <c r="C353" s="16">
        <v>0</v>
      </c>
    </row>
    <row r="354" spans="1:3" x14ac:dyDescent="0.2">
      <c r="A354" s="20" t="s">
        <v>541</v>
      </c>
      <c r="B354" s="16">
        <v>0</v>
      </c>
      <c r="C354" s="16">
        <v>0</v>
      </c>
    </row>
    <row r="355" spans="1:3" x14ac:dyDescent="0.2">
      <c r="A355" s="20" t="s">
        <v>569</v>
      </c>
      <c r="B355" s="16">
        <v>0</v>
      </c>
      <c r="C355" s="16">
        <v>0</v>
      </c>
    </row>
    <row r="356" spans="1:3" x14ac:dyDescent="0.2">
      <c r="A356" s="20" t="s">
        <v>2357</v>
      </c>
      <c r="B356" s="16">
        <v>0</v>
      </c>
      <c r="C356" s="16">
        <v>0</v>
      </c>
    </row>
    <row r="357" spans="1:3" x14ac:dyDescent="0.2">
      <c r="A357" s="20" t="s">
        <v>570</v>
      </c>
      <c r="B357" s="16">
        <v>0</v>
      </c>
      <c r="C357" s="16">
        <v>0</v>
      </c>
    </row>
    <row r="358" spans="1:3" x14ac:dyDescent="0.2">
      <c r="A358" s="20" t="s">
        <v>2358</v>
      </c>
      <c r="B358" s="16">
        <v>0</v>
      </c>
      <c r="C358" s="16">
        <v>0</v>
      </c>
    </row>
    <row r="359" spans="1:3" x14ac:dyDescent="0.2">
      <c r="A359" s="20" t="s">
        <v>623</v>
      </c>
      <c r="B359" s="16">
        <v>0</v>
      </c>
      <c r="C359" s="16">
        <v>0</v>
      </c>
    </row>
    <row r="360" spans="1:3" x14ac:dyDescent="0.2">
      <c r="A360" s="20" t="s">
        <v>514</v>
      </c>
      <c r="B360" s="16">
        <v>0</v>
      </c>
      <c r="C360" s="16">
        <v>0</v>
      </c>
    </row>
    <row r="361" spans="1:3" x14ac:dyDescent="0.2">
      <c r="A361" s="20" t="s">
        <v>624</v>
      </c>
      <c r="B361" s="16">
        <v>0</v>
      </c>
      <c r="C361" s="16">
        <v>0</v>
      </c>
    </row>
    <row r="362" spans="1:3" x14ac:dyDescent="0.2">
      <c r="A362" s="20" t="s">
        <v>542</v>
      </c>
      <c r="B362" s="16">
        <v>0</v>
      </c>
      <c r="C362" s="16">
        <v>0</v>
      </c>
    </row>
    <row r="363" spans="1:3" x14ac:dyDescent="0.2">
      <c r="A363" s="20" t="s">
        <v>442</v>
      </c>
      <c r="B363" s="16">
        <v>0</v>
      </c>
      <c r="C363" s="16">
        <v>0</v>
      </c>
    </row>
    <row r="364" spans="1:3" x14ac:dyDescent="0.2">
      <c r="A364" s="20" t="s">
        <v>498</v>
      </c>
      <c r="B364" s="16">
        <v>0</v>
      </c>
      <c r="C364" s="16">
        <v>0</v>
      </c>
    </row>
    <row r="365" spans="1:3" x14ac:dyDescent="0.2">
      <c r="A365" s="20" t="s">
        <v>2145</v>
      </c>
      <c r="B365" s="16">
        <v>0</v>
      </c>
      <c r="C365" s="16">
        <v>0</v>
      </c>
    </row>
    <row r="366" spans="1:3" x14ac:dyDescent="0.2">
      <c r="A366" s="20" t="s">
        <v>521</v>
      </c>
      <c r="B366" s="16">
        <v>0</v>
      </c>
      <c r="C366" s="16">
        <v>0</v>
      </c>
    </row>
    <row r="367" spans="1:3" x14ac:dyDescent="0.2">
      <c r="A367" s="20" t="s">
        <v>630</v>
      </c>
      <c r="B367" s="16">
        <v>0</v>
      </c>
      <c r="C367" s="16">
        <v>0</v>
      </c>
    </row>
    <row r="368" spans="1:3" x14ac:dyDescent="0.2">
      <c r="A368" s="20" t="s">
        <v>608</v>
      </c>
      <c r="B368" s="16">
        <v>0</v>
      </c>
      <c r="C368" s="16">
        <v>0</v>
      </c>
    </row>
    <row r="369" spans="1:3" x14ac:dyDescent="0.2">
      <c r="A369" s="20" t="s">
        <v>589</v>
      </c>
      <c r="B369" s="16">
        <v>0</v>
      </c>
      <c r="C369" s="16">
        <v>0</v>
      </c>
    </row>
    <row r="370" spans="1:3" x14ac:dyDescent="0.2">
      <c r="A370" s="20" t="s">
        <v>433</v>
      </c>
      <c r="B370" s="16">
        <v>0</v>
      </c>
      <c r="C370" s="16">
        <v>0</v>
      </c>
    </row>
    <row r="371" spans="1:3" x14ac:dyDescent="0.2">
      <c r="A371" s="20" t="s">
        <v>2131</v>
      </c>
      <c r="B371" s="16">
        <v>0</v>
      </c>
      <c r="C371" s="16">
        <v>0</v>
      </c>
    </row>
    <row r="372" spans="1:3" x14ac:dyDescent="0.2">
      <c r="A372" s="20" t="s">
        <v>436</v>
      </c>
      <c r="B372" s="16">
        <v>0</v>
      </c>
      <c r="C372" s="16">
        <v>0</v>
      </c>
    </row>
    <row r="373" spans="1:3" x14ac:dyDescent="0.2">
      <c r="A373" s="20" t="s">
        <v>2396</v>
      </c>
      <c r="B373" s="16">
        <v>0</v>
      </c>
      <c r="C373" s="16">
        <v>0</v>
      </c>
    </row>
    <row r="374" spans="1:3" x14ac:dyDescent="0.2">
      <c r="A374" s="20" t="s">
        <v>2374</v>
      </c>
      <c r="B374" s="16">
        <v>0</v>
      </c>
      <c r="C374" s="16">
        <v>0</v>
      </c>
    </row>
    <row r="375" spans="1:3" x14ac:dyDescent="0.2">
      <c r="A375" s="20" t="s">
        <v>594</v>
      </c>
      <c r="B375" s="16">
        <v>0</v>
      </c>
      <c r="C375" s="16">
        <v>0</v>
      </c>
    </row>
    <row r="376" spans="1:3" x14ac:dyDescent="0.2">
      <c r="A376" s="20" t="s">
        <v>672</v>
      </c>
      <c r="B376" s="16">
        <v>0</v>
      </c>
      <c r="C376" s="16">
        <v>0</v>
      </c>
    </row>
    <row r="377" spans="1:3" x14ac:dyDescent="0.2">
      <c r="A377" s="20" t="s">
        <v>659</v>
      </c>
      <c r="B377" s="16">
        <v>0</v>
      </c>
      <c r="C377" s="16">
        <v>0</v>
      </c>
    </row>
    <row r="378" spans="1:3" x14ac:dyDescent="0.2">
      <c r="A378" s="20" t="s">
        <v>443</v>
      </c>
      <c r="B378" s="16">
        <v>0</v>
      </c>
      <c r="C378" s="16">
        <v>0</v>
      </c>
    </row>
    <row r="379" spans="1:3" x14ac:dyDescent="0.2">
      <c r="A379" s="20" t="s">
        <v>2469</v>
      </c>
      <c r="B379" s="16">
        <v>0</v>
      </c>
      <c r="C379" s="16">
        <v>0</v>
      </c>
    </row>
    <row r="380" spans="1:3" x14ac:dyDescent="0.2">
      <c r="A380" s="20" t="s">
        <v>452</v>
      </c>
      <c r="B380" s="16">
        <v>0</v>
      </c>
      <c r="C380" s="16">
        <v>0</v>
      </c>
    </row>
    <row r="381" spans="1:3" x14ac:dyDescent="0.2">
      <c r="A381" s="20" t="s">
        <v>2470</v>
      </c>
      <c r="B381" s="16">
        <v>0</v>
      </c>
      <c r="C381" s="16">
        <v>0</v>
      </c>
    </row>
    <row r="382" spans="1:3" x14ac:dyDescent="0.2">
      <c r="A382" s="20" t="s">
        <v>255</v>
      </c>
      <c r="B382" s="16">
        <v>0</v>
      </c>
      <c r="C382" s="16">
        <v>0</v>
      </c>
    </row>
    <row r="383" spans="1:3" x14ac:dyDescent="0.2">
      <c r="A383" s="20" t="s">
        <v>2435</v>
      </c>
      <c r="B383" s="16">
        <v>0</v>
      </c>
      <c r="C383" s="16">
        <v>0</v>
      </c>
    </row>
    <row r="384" spans="1:3" x14ac:dyDescent="0.2">
      <c r="A384" s="20" t="s">
        <v>438</v>
      </c>
      <c r="B384" s="16">
        <v>0</v>
      </c>
      <c r="C384" s="16">
        <v>0</v>
      </c>
    </row>
    <row r="385" spans="1:3" x14ac:dyDescent="0.2">
      <c r="A385" s="20" t="s">
        <v>2375</v>
      </c>
      <c r="B385" s="16">
        <v>0</v>
      </c>
      <c r="C385" s="16">
        <v>0</v>
      </c>
    </row>
    <row r="386" spans="1:3" x14ac:dyDescent="0.2">
      <c r="A386" s="20" t="s">
        <v>537</v>
      </c>
      <c r="B386" s="16">
        <v>0</v>
      </c>
      <c r="C386" s="16">
        <v>0</v>
      </c>
    </row>
    <row r="387" spans="1:3" x14ac:dyDescent="0.2">
      <c r="A387" s="20" t="s">
        <v>661</v>
      </c>
      <c r="B387" s="16">
        <v>0</v>
      </c>
      <c r="C387" s="16">
        <v>0</v>
      </c>
    </row>
    <row r="388" spans="1:3" x14ac:dyDescent="0.2">
      <c r="A388" s="20" t="s">
        <v>496</v>
      </c>
      <c r="B388" s="16">
        <v>0</v>
      </c>
      <c r="C388" s="16">
        <v>0</v>
      </c>
    </row>
    <row r="389" spans="1:3" x14ac:dyDescent="0.2">
      <c r="A389" s="20" t="s">
        <v>2471</v>
      </c>
      <c r="B389" s="16">
        <v>0</v>
      </c>
      <c r="C389" s="16">
        <v>0</v>
      </c>
    </row>
    <row r="390" spans="1:3" x14ac:dyDescent="0.2">
      <c r="A390" s="20" t="s">
        <v>502</v>
      </c>
      <c r="B390" s="16">
        <v>0</v>
      </c>
      <c r="C390" s="16">
        <v>0</v>
      </c>
    </row>
    <row r="391" spans="1:3" x14ac:dyDescent="0.2">
      <c r="A391" s="20" t="s">
        <v>2437</v>
      </c>
      <c r="B391" s="16">
        <v>0</v>
      </c>
      <c r="C391" s="16">
        <v>0</v>
      </c>
    </row>
    <row r="392" spans="1:3" x14ac:dyDescent="0.2">
      <c r="A392" s="20" t="s">
        <v>505</v>
      </c>
      <c r="B392" s="16">
        <v>0</v>
      </c>
      <c r="C392" s="16">
        <v>0</v>
      </c>
    </row>
    <row r="393" spans="1:3" x14ac:dyDescent="0.2">
      <c r="A393" s="20" t="s">
        <v>2438</v>
      </c>
      <c r="B393" s="16">
        <v>0</v>
      </c>
      <c r="C393" s="16">
        <v>0</v>
      </c>
    </row>
    <row r="394" spans="1:3" x14ac:dyDescent="0.2">
      <c r="A394" s="20" t="s">
        <v>506</v>
      </c>
      <c r="B394" s="16">
        <v>0</v>
      </c>
      <c r="C394" s="16">
        <v>0</v>
      </c>
    </row>
    <row r="395" spans="1:3" x14ac:dyDescent="0.2">
      <c r="A395" s="20" t="s">
        <v>2399</v>
      </c>
      <c r="B395" s="16">
        <v>0</v>
      </c>
      <c r="C395" s="16">
        <v>0</v>
      </c>
    </row>
    <row r="396" spans="1:3" x14ac:dyDescent="0.2">
      <c r="A396" s="20" t="s">
        <v>512</v>
      </c>
      <c r="B396" s="16">
        <v>0</v>
      </c>
      <c r="C396" s="16">
        <v>0</v>
      </c>
    </row>
    <row r="397" spans="1:3" x14ac:dyDescent="0.2">
      <c r="A397" s="20" t="s">
        <v>2400</v>
      </c>
      <c r="B397" s="16">
        <v>0</v>
      </c>
      <c r="C397" s="16">
        <v>0</v>
      </c>
    </row>
    <row r="398" spans="1:3" x14ac:dyDescent="0.2">
      <c r="A398" s="20" t="s">
        <v>2448</v>
      </c>
      <c r="B398" s="16">
        <v>0</v>
      </c>
      <c r="C398" s="16">
        <v>0</v>
      </c>
    </row>
    <row r="399" spans="1:3" x14ac:dyDescent="0.2">
      <c r="A399" s="20" t="s">
        <v>2401</v>
      </c>
      <c r="B399" s="16">
        <v>0</v>
      </c>
      <c r="C399" s="16">
        <v>0</v>
      </c>
    </row>
    <row r="400" spans="1:3" x14ac:dyDescent="0.2">
      <c r="A400" s="20" t="s">
        <v>2368</v>
      </c>
      <c r="B400" s="16">
        <v>0</v>
      </c>
      <c r="C400" s="16">
        <v>0</v>
      </c>
    </row>
    <row r="401" spans="1:3" x14ac:dyDescent="0.2">
      <c r="A401" s="20" t="s">
        <v>2475</v>
      </c>
      <c r="B401" s="16">
        <v>0</v>
      </c>
      <c r="C401" s="16">
        <v>0</v>
      </c>
    </row>
    <row r="402" spans="1:3" x14ac:dyDescent="0.2">
      <c r="A402" s="20" t="s">
        <v>527</v>
      </c>
      <c r="B402" s="16">
        <v>0</v>
      </c>
      <c r="C402" s="16">
        <v>0</v>
      </c>
    </row>
    <row r="403" spans="1:3" x14ac:dyDescent="0.2">
      <c r="A403" s="20" t="s">
        <v>2476</v>
      </c>
      <c r="B403" s="16">
        <v>0</v>
      </c>
      <c r="C403" s="16">
        <v>0</v>
      </c>
    </row>
    <row r="404" spans="1:3" x14ac:dyDescent="0.2">
      <c r="A404" s="20" t="s">
        <v>543</v>
      </c>
      <c r="B404" s="16">
        <v>0</v>
      </c>
      <c r="C404" s="16">
        <v>0</v>
      </c>
    </row>
    <row r="405" spans="1:3" x14ac:dyDescent="0.2">
      <c r="A405" s="20" t="s">
        <v>2402</v>
      </c>
      <c r="B405" s="16">
        <v>0</v>
      </c>
      <c r="C405" s="16">
        <v>0</v>
      </c>
    </row>
    <row r="406" spans="1:3" x14ac:dyDescent="0.2">
      <c r="A406" s="20" t="s">
        <v>535</v>
      </c>
      <c r="B406" s="16">
        <v>0</v>
      </c>
      <c r="C406" s="16">
        <v>0</v>
      </c>
    </row>
    <row r="407" spans="1:3" x14ac:dyDescent="0.2">
      <c r="A407" s="20" t="s">
        <v>2477</v>
      </c>
      <c r="B407" s="16">
        <v>0</v>
      </c>
      <c r="C407" s="16">
        <v>0</v>
      </c>
    </row>
    <row r="408" spans="1:3" x14ac:dyDescent="0.2">
      <c r="A408" s="20" t="s">
        <v>2103</v>
      </c>
      <c r="B408" s="16">
        <v>0</v>
      </c>
      <c r="C408" s="16">
        <v>0</v>
      </c>
    </row>
    <row r="409" spans="1:3" x14ac:dyDescent="0.2">
      <c r="A409" s="20" t="s">
        <v>646</v>
      </c>
      <c r="B409" s="16">
        <v>0</v>
      </c>
      <c r="C409" s="16">
        <v>0</v>
      </c>
    </row>
    <row r="410" spans="1:3" x14ac:dyDescent="0.2">
      <c r="A410" s="20" t="s">
        <v>585</v>
      </c>
      <c r="B410" s="16">
        <v>0</v>
      </c>
      <c r="C410" s="16">
        <v>0</v>
      </c>
    </row>
    <row r="411" spans="1:3" x14ac:dyDescent="0.2">
      <c r="A411" s="20" t="s">
        <v>272</v>
      </c>
      <c r="B411" s="16">
        <v>0</v>
      </c>
      <c r="C411" s="16">
        <v>0</v>
      </c>
    </row>
    <row r="412" spans="1:3" x14ac:dyDescent="0.2">
      <c r="A412" s="20" t="s">
        <v>548</v>
      </c>
      <c r="B412" s="16">
        <v>0</v>
      </c>
      <c r="C412" s="16">
        <v>0</v>
      </c>
    </row>
    <row r="413" spans="1:3" x14ac:dyDescent="0.2">
      <c r="A413" s="20" t="s">
        <v>2441</v>
      </c>
      <c r="B413" s="16">
        <v>0</v>
      </c>
      <c r="C413" s="16">
        <v>0</v>
      </c>
    </row>
    <row r="414" spans="1:3" x14ac:dyDescent="0.2">
      <c r="A414" s="20" t="s">
        <v>561</v>
      </c>
      <c r="B414" s="16">
        <v>0</v>
      </c>
      <c r="C414" s="16">
        <v>0</v>
      </c>
    </row>
    <row r="415" spans="1:3" x14ac:dyDescent="0.2">
      <c r="A415" s="20" t="s">
        <v>2442</v>
      </c>
      <c r="B415" s="16">
        <v>0</v>
      </c>
      <c r="C415" s="16">
        <v>0</v>
      </c>
    </row>
    <row r="416" spans="1:3" x14ac:dyDescent="0.2">
      <c r="A416" s="20" t="s">
        <v>549</v>
      </c>
      <c r="B416" s="16">
        <v>0</v>
      </c>
      <c r="C416" s="16">
        <v>0</v>
      </c>
    </row>
    <row r="417" spans="1:3" x14ac:dyDescent="0.2">
      <c r="A417" s="20" t="s">
        <v>2479</v>
      </c>
      <c r="B417" s="16">
        <v>0</v>
      </c>
      <c r="C417" s="16">
        <v>0</v>
      </c>
    </row>
    <row r="418" spans="1:3" x14ac:dyDescent="0.2">
      <c r="A418" s="20" t="s">
        <v>171</v>
      </c>
      <c r="B418" s="16">
        <v>0</v>
      </c>
      <c r="C418" s="16">
        <v>0</v>
      </c>
    </row>
    <row r="419" spans="1:3" x14ac:dyDescent="0.2">
      <c r="A419" s="20" t="s">
        <v>681</v>
      </c>
      <c r="B419" s="16">
        <v>0</v>
      </c>
      <c r="C419" s="16">
        <v>0</v>
      </c>
    </row>
    <row r="420" spans="1:3" x14ac:dyDescent="0.2">
      <c r="A420" s="20" t="s">
        <v>289</v>
      </c>
      <c r="B420" s="16">
        <v>0</v>
      </c>
      <c r="C420" s="16">
        <v>0</v>
      </c>
    </row>
    <row r="421" spans="1:3" x14ac:dyDescent="0.2">
      <c r="A421" s="20" t="s">
        <v>2480</v>
      </c>
      <c r="B421" s="16">
        <v>0</v>
      </c>
      <c r="C421" s="16">
        <v>0</v>
      </c>
    </row>
    <row r="422" spans="1:3" x14ac:dyDescent="0.2">
      <c r="A422" s="20" t="s">
        <v>321</v>
      </c>
      <c r="B422" s="16">
        <v>0</v>
      </c>
      <c r="C422" s="16">
        <v>0</v>
      </c>
    </row>
    <row r="423" spans="1:3" x14ac:dyDescent="0.2">
      <c r="A423" s="20" t="s">
        <v>2377</v>
      </c>
      <c r="B423" s="16">
        <v>0</v>
      </c>
      <c r="C423" s="16">
        <v>0</v>
      </c>
    </row>
    <row r="424" spans="1:3" x14ac:dyDescent="0.2">
      <c r="A424" s="20" t="s">
        <v>550</v>
      </c>
      <c r="B424" s="16">
        <v>0</v>
      </c>
      <c r="C424" s="16">
        <v>0</v>
      </c>
    </row>
    <row r="425" spans="1:3" x14ac:dyDescent="0.2">
      <c r="A425" s="20" t="s">
        <v>2482</v>
      </c>
      <c r="B425" s="16">
        <v>0</v>
      </c>
      <c r="C425" s="16">
        <v>0</v>
      </c>
    </row>
    <row r="426" spans="1:3" x14ac:dyDescent="0.2">
      <c r="A426" s="20" t="s">
        <v>551</v>
      </c>
      <c r="B426" s="16">
        <v>0</v>
      </c>
      <c r="C426" s="16">
        <v>0</v>
      </c>
    </row>
    <row r="427" spans="1:3" x14ac:dyDescent="0.2">
      <c r="A427" s="20" t="s">
        <v>682</v>
      </c>
      <c r="B427" s="16">
        <v>0</v>
      </c>
      <c r="C427" s="16">
        <v>0</v>
      </c>
    </row>
    <row r="428" spans="1:3" x14ac:dyDescent="0.2">
      <c r="A428" s="20" t="s">
        <v>540</v>
      </c>
      <c r="B428" s="16">
        <v>0</v>
      </c>
      <c r="C428" s="16">
        <v>0</v>
      </c>
    </row>
    <row r="429" spans="1:3" x14ac:dyDescent="0.2">
      <c r="A429" s="20" t="s">
        <v>590</v>
      </c>
      <c r="B429" s="16">
        <v>0</v>
      </c>
      <c r="C429" s="16">
        <v>0</v>
      </c>
    </row>
    <row r="430" spans="1:3" x14ac:dyDescent="0.2">
      <c r="A430" s="20" t="s">
        <v>2406</v>
      </c>
      <c r="B430" s="16">
        <v>0</v>
      </c>
      <c r="C430" s="16">
        <v>0</v>
      </c>
    </row>
    <row r="431" spans="1:3" x14ac:dyDescent="0.2">
      <c r="A431" s="20" t="s">
        <v>684</v>
      </c>
      <c r="B431" s="16">
        <v>0</v>
      </c>
      <c r="C431" s="16">
        <v>0</v>
      </c>
    </row>
    <row r="432" spans="1:3" x14ac:dyDescent="0.2">
      <c r="A432" s="20" t="s">
        <v>2488</v>
      </c>
      <c r="B432" s="16">
        <v>0</v>
      </c>
      <c r="C432" s="16">
        <v>0</v>
      </c>
    </row>
    <row r="433" spans="1:3" x14ac:dyDescent="0.2">
      <c r="A433" s="20" t="s">
        <v>2365</v>
      </c>
      <c r="B433" s="16">
        <v>0</v>
      </c>
      <c r="C433" s="16">
        <v>0</v>
      </c>
    </row>
    <row r="434" spans="1:3" x14ac:dyDescent="0.2">
      <c r="A434" s="20" t="s">
        <v>2444</v>
      </c>
      <c r="B434" s="16">
        <v>0</v>
      </c>
      <c r="C434" s="16">
        <v>0</v>
      </c>
    </row>
    <row r="435" spans="1:3" x14ac:dyDescent="0.2">
      <c r="A435" s="20" t="s">
        <v>2487</v>
      </c>
      <c r="B435" s="16">
        <v>0</v>
      </c>
      <c r="C435" s="16">
        <v>0</v>
      </c>
    </row>
    <row r="436" spans="1:3" x14ac:dyDescent="0.2">
      <c r="A436" s="20" t="s">
        <v>396</v>
      </c>
      <c r="B436" s="16">
        <v>0</v>
      </c>
      <c r="C436" s="16">
        <v>0</v>
      </c>
    </row>
    <row r="437" spans="1:3" x14ac:dyDescent="0.2">
      <c r="A437" s="20" t="s">
        <v>591</v>
      </c>
      <c r="B437" s="16">
        <v>0</v>
      </c>
      <c r="C437" s="16">
        <v>0</v>
      </c>
    </row>
    <row r="438" spans="1:3" x14ac:dyDescent="0.2">
      <c r="A438" s="20" t="s">
        <v>557</v>
      </c>
      <c r="B438" s="16">
        <v>0</v>
      </c>
      <c r="C438" s="16">
        <v>0</v>
      </c>
    </row>
    <row r="439" spans="1:3" x14ac:dyDescent="0.2">
      <c r="A439" s="20" t="s">
        <v>638</v>
      </c>
      <c r="B439" s="16">
        <v>0</v>
      </c>
      <c r="C439" s="16">
        <v>0</v>
      </c>
    </row>
    <row r="440" spans="1:3" x14ac:dyDescent="0.2">
      <c r="A440" s="20" t="s">
        <v>554</v>
      </c>
      <c r="B440" s="16">
        <v>0</v>
      </c>
      <c r="C440" s="16">
        <v>0</v>
      </c>
    </row>
    <row r="441" spans="1:3" x14ac:dyDescent="0.2">
      <c r="A441" s="20" t="s">
        <v>581</v>
      </c>
      <c r="B441" s="16">
        <v>0</v>
      </c>
      <c r="C441" s="16">
        <v>0</v>
      </c>
    </row>
    <row r="442" spans="1:3" x14ac:dyDescent="0.2">
      <c r="A442" s="20" t="s">
        <v>555</v>
      </c>
      <c r="B442" s="16">
        <v>0</v>
      </c>
      <c r="C442" s="16">
        <v>0</v>
      </c>
    </row>
    <row r="443" spans="1:3" x14ac:dyDescent="0.2">
      <c r="A443" s="20" t="s">
        <v>520</v>
      </c>
      <c r="B443" s="16">
        <v>0</v>
      </c>
      <c r="C443" s="16">
        <v>0</v>
      </c>
    </row>
    <row r="444" spans="1:3" x14ac:dyDescent="0.2">
      <c r="A444" s="20" t="s">
        <v>687</v>
      </c>
      <c r="B444" s="16">
        <v>0</v>
      </c>
      <c r="C444" s="16">
        <v>0</v>
      </c>
    </row>
    <row r="445" spans="1:3" x14ac:dyDescent="0.2">
      <c r="A445" s="20" t="s">
        <v>2335</v>
      </c>
      <c r="B445" s="16">
        <v>0</v>
      </c>
      <c r="C445" s="16">
        <v>0</v>
      </c>
    </row>
    <row r="446" spans="1:3" x14ac:dyDescent="0.2">
      <c r="A446" s="20" t="s">
        <v>2445</v>
      </c>
      <c r="B446" s="16">
        <v>0</v>
      </c>
      <c r="C446" s="16">
        <v>0</v>
      </c>
    </row>
    <row r="447" spans="1:3" x14ac:dyDescent="0.2">
      <c r="A447" s="20" t="s">
        <v>2336</v>
      </c>
      <c r="B447" s="16">
        <v>0</v>
      </c>
      <c r="C447" s="16">
        <v>0</v>
      </c>
    </row>
    <row r="448" spans="1:3" x14ac:dyDescent="0.2">
      <c r="A448" s="20" t="s">
        <v>100</v>
      </c>
      <c r="B448" s="16">
        <v>0</v>
      </c>
      <c r="C448" s="16">
        <v>0</v>
      </c>
    </row>
    <row r="449" spans="1:3" x14ac:dyDescent="0.2">
      <c r="A449" s="20" t="s">
        <v>2337</v>
      </c>
      <c r="B449" s="16">
        <v>0</v>
      </c>
      <c r="C449" s="16">
        <v>0</v>
      </c>
    </row>
    <row r="450" spans="1:3" x14ac:dyDescent="0.2">
      <c r="A450" s="20" t="s">
        <v>818</v>
      </c>
      <c r="B450" s="16">
        <v>571.86428571428621</v>
      </c>
      <c r="C450" s="16">
        <v>98.907230644177872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FFC000"/>
  </sheetPr>
  <dimension ref="A1:V71"/>
  <sheetViews>
    <sheetView topLeftCell="P1" workbookViewId="0">
      <selection activeCell="S3" sqref="S3"/>
    </sheetView>
  </sheetViews>
  <sheetFormatPr baseColWidth="10" defaultColWidth="8.83203125" defaultRowHeight="15" x14ac:dyDescent="0.2"/>
  <cols>
    <col min="1" max="2" width="0" hidden="1" customWidth="1"/>
    <col min="3" max="3" width="10.5" hidden="1" customWidth="1"/>
    <col min="4" max="4" width="20" hidden="1" customWidth="1"/>
    <col min="5" max="15" width="0" hidden="1" customWidth="1"/>
    <col min="18" max="18" width="10.1640625" bestFit="1" customWidth="1"/>
    <col min="19" max="19" width="11.6640625" customWidth="1"/>
    <col min="22" max="22" width="10.6640625" customWidth="1"/>
  </cols>
  <sheetData>
    <row r="1" spans="1:22" x14ac:dyDescent="0.2">
      <c r="B1" s="1" t="s">
        <v>819</v>
      </c>
    </row>
    <row r="2" spans="1:22" x14ac:dyDescent="0.2">
      <c r="B2" t="s">
        <v>820</v>
      </c>
      <c r="C2" s="37">
        <v>44185</v>
      </c>
      <c r="Q2" t="s">
        <v>821</v>
      </c>
      <c r="R2" s="74">
        <v>44571</v>
      </c>
      <c r="S2" s="74">
        <v>44578</v>
      </c>
    </row>
    <row r="3" spans="1:22" x14ac:dyDescent="0.2">
      <c r="C3" s="37"/>
      <c r="R3">
        <f>_xlfn.NUMBERVALUE(R2)</f>
        <v>44571</v>
      </c>
      <c r="S3">
        <f>_xlfn.NUMBERVALUE(S2)</f>
        <v>44578</v>
      </c>
    </row>
    <row r="4" spans="1:22" x14ac:dyDescent="0.2">
      <c r="B4" t="s">
        <v>822</v>
      </c>
    </row>
    <row r="5" spans="1:22" x14ac:dyDescent="0.2">
      <c r="B5" t="s">
        <v>823</v>
      </c>
      <c r="C5" t="s">
        <v>824</v>
      </c>
      <c r="D5" t="s">
        <v>21</v>
      </c>
      <c r="E5" t="s">
        <v>825</v>
      </c>
      <c r="F5" t="s">
        <v>826</v>
      </c>
      <c r="H5" t="s">
        <v>827</v>
      </c>
      <c r="I5" t="s">
        <v>828</v>
      </c>
      <c r="J5" t="s">
        <v>829</v>
      </c>
      <c r="K5" t="s">
        <v>830</v>
      </c>
      <c r="L5" t="s">
        <v>831</v>
      </c>
      <c r="M5" t="s">
        <v>832</v>
      </c>
      <c r="N5" t="s">
        <v>833</v>
      </c>
      <c r="P5" s="38" t="s">
        <v>21</v>
      </c>
      <c r="Q5" s="38" t="s">
        <v>834</v>
      </c>
      <c r="R5" s="38" t="s">
        <v>835</v>
      </c>
      <c r="S5" s="38" t="s">
        <v>731</v>
      </c>
      <c r="T5" s="38" t="s">
        <v>731</v>
      </c>
      <c r="U5" s="38" t="s">
        <v>836</v>
      </c>
      <c r="V5" t="s">
        <v>22</v>
      </c>
    </row>
    <row r="6" spans="1:22" x14ac:dyDescent="0.2">
      <c r="A6" t="str">
        <f>P6&amp;P7</f>
        <v>DALLAC</v>
      </c>
      <c r="B6">
        <v>147</v>
      </c>
      <c r="C6">
        <v>-4</v>
      </c>
      <c r="D6" t="s">
        <v>813</v>
      </c>
      <c r="E6" s="8">
        <v>0.54513888888888895</v>
      </c>
      <c r="F6" t="s">
        <v>837</v>
      </c>
      <c r="H6">
        <v>-3.5</v>
      </c>
      <c r="I6">
        <v>-3.5</v>
      </c>
      <c r="J6">
        <v>-3.5</v>
      </c>
      <c r="K6">
        <v>-3.5</v>
      </c>
      <c r="L6">
        <v>-3.5</v>
      </c>
      <c r="M6">
        <f>AVERAGE(H6:L6)</f>
        <v>-3.5</v>
      </c>
      <c r="N6" t="s">
        <v>838</v>
      </c>
      <c r="P6" s="38" t="s">
        <v>729</v>
      </c>
      <c r="Q6" s="75">
        <f>IFERROR(AVERAGEIFS('Vegas Odds Spread'!$F:$F,'Vegas Odds Spread'!$M:$M,'Vegas Copy-Paste'!$P6,'Vegas Odds Spread'!$P:$P,"&lt;"&amp;$S$3),0)</f>
        <v>-3.1470588235294117</v>
      </c>
      <c r="R6" s="75">
        <f>IFERROR(AVERAGEIFS('Vegas Odds Spread'!$G:$G,'Vegas Odds Spread'!$N:$N,'Vegas Copy-Paste'!$P6,'Vegas Odds Spread'!$P:$P,"&lt;"&amp;'Vegas Copy-Paste'!$S$3),0)</f>
        <v>0</v>
      </c>
      <c r="S6" s="76">
        <f>IFERROR(AVERAGEIFS('Vegas Odds Totals'!$L:$L,'Vegas Odds Totals'!$O:$O,P6,'Vegas Odds Totals'!$R:$R,"&lt;"&amp;'Vegas Copy-Paste'!$S$3),AVERAGEIFS('Vegas Odds Totals'!$L:$L,'Vegas Odds Totals'!$P:$P,P6,'Vegas Odds Totals'!$R:$R,"&lt;"&amp;'Vegas Copy-Paste'!$S$3))</f>
        <v>51</v>
      </c>
      <c r="T6" s="77">
        <f>S6</f>
        <v>51</v>
      </c>
      <c r="U6" s="76">
        <f>IF(Q6=0,R6,Q6)</f>
        <v>-3.1470588235294117</v>
      </c>
      <c r="V6" t="str">
        <f>IFERROR(VLOOKUP($P6,'Vegas Odds Spread'!$M:$Q,2,FALSE),VLOOKUP($P6,'Vegas Odds Spread'!$N:$Q,4,FALSE))</f>
        <v>SF</v>
      </c>
    </row>
    <row r="7" spans="1:22" x14ac:dyDescent="0.2">
      <c r="A7" t="str">
        <f>P7&amp;P6</f>
        <v>LACDAL</v>
      </c>
      <c r="B7">
        <v>148</v>
      </c>
      <c r="C7">
        <v>53.5</v>
      </c>
      <c r="D7" t="s">
        <v>696</v>
      </c>
      <c r="F7" t="s">
        <v>837</v>
      </c>
      <c r="H7">
        <v>54</v>
      </c>
      <c r="I7">
        <v>54</v>
      </c>
      <c r="J7">
        <v>54</v>
      </c>
      <c r="K7">
        <v>53.5</v>
      </c>
      <c r="L7">
        <v>53.5</v>
      </c>
      <c r="M7">
        <f t="shared" ref="M7:M11" si="0">AVERAGE(H7:L7)</f>
        <v>53.8</v>
      </c>
      <c r="N7" t="s">
        <v>124</v>
      </c>
      <c r="P7" s="38" t="s">
        <v>118</v>
      </c>
      <c r="Q7" s="75">
        <f>IFERROR(AVERAGEIFS('Vegas Odds Spread'!$F:$F,'Vegas Odds Spread'!$M:$M,'Vegas Copy-Paste'!$P7,'Vegas Odds Spread'!$P:$P,"&lt;"&amp;$S$3),0)</f>
        <v>0</v>
      </c>
      <c r="R7" s="75">
        <f>IFERROR(AVERAGEIFS('Vegas Odds Spread'!$G:$G,'Vegas Odds Spread'!$N:$N,'Vegas Copy-Paste'!$P7,'Vegas Odds Spread'!$P:$P,"&lt;"&amp;'Vegas Copy-Paste'!$S$3),0)</f>
        <v>0</v>
      </c>
      <c r="S7" s="76" t="e">
        <f>IFERROR(AVERAGEIFS('Vegas Odds Totals'!$L:$L,'Vegas Odds Totals'!$O:$O,P7,'Vegas Odds Totals'!$R:$R,"&lt;"&amp;'Vegas Copy-Paste'!$S$3),AVERAGEIFS('Vegas Odds Totals'!$L:$L,'Vegas Odds Totals'!$P:$P,P7,'Vegas Odds Totals'!$R:$R,"&lt;"&amp;'Vegas Copy-Paste'!$S$3))</f>
        <v>#DIV/0!</v>
      </c>
      <c r="T7" s="77" t="e">
        <f t="shared" ref="T7:T37" si="1">S7</f>
        <v>#DIV/0!</v>
      </c>
      <c r="U7" s="76">
        <f t="shared" ref="U7:U37" si="2">IF(Q7=0,R7,Q7)</f>
        <v>0</v>
      </c>
      <c r="V7" t="e">
        <f>IFERROR(VLOOKUP($P7,'Vegas Odds Spread'!$M:$Q,2,FALSE),VLOOKUP($P7,'Vegas Odds Spread'!$N:$Q,4,FALSE))</f>
        <v>#N/A</v>
      </c>
    </row>
    <row r="8" spans="1:22" x14ac:dyDescent="0.2">
      <c r="A8" t="str">
        <f>P8&amp;P9</f>
        <v>ARIATL</v>
      </c>
      <c r="B8">
        <v>149</v>
      </c>
      <c r="C8">
        <v>48</v>
      </c>
      <c r="D8" t="s">
        <v>839</v>
      </c>
      <c r="E8" s="8">
        <v>0.69444444444444453</v>
      </c>
      <c r="F8" t="s">
        <v>837</v>
      </c>
      <c r="H8">
        <v>48.5</v>
      </c>
      <c r="I8">
        <v>48.5</v>
      </c>
      <c r="J8">
        <v>48.5</v>
      </c>
      <c r="K8">
        <v>48.5</v>
      </c>
      <c r="L8">
        <v>48.5</v>
      </c>
      <c r="M8">
        <f t="shared" si="0"/>
        <v>48.5</v>
      </c>
      <c r="N8" t="s">
        <v>838</v>
      </c>
      <c r="P8" s="38" t="s">
        <v>78</v>
      </c>
      <c r="Q8" s="75">
        <f>IFERROR(AVERAGEIFS('Vegas Odds Spread'!$F:$F,'Vegas Odds Spread'!$M:$M,'Vegas Copy-Paste'!$P8,'Vegas Odds Spread'!$P:$P,"&lt;"&amp;$S$3),0)</f>
        <v>0</v>
      </c>
      <c r="R8" s="75">
        <f>IFERROR(AVERAGEIFS('Vegas Odds Spread'!$G:$G,'Vegas Odds Spread'!$N:$N,'Vegas Copy-Paste'!$P8,'Vegas Odds Spread'!$P:$P,"&lt;"&amp;'Vegas Copy-Paste'!$S$3),0)</f>
        <v>0</v>
      </c>
      <c r="S8" s="76" t="e">
        <f>IFERROR(AVERAGEIFS('Vegas Odds Totals'!$L:$L,'Vegas Odds Totals'!$O:$O,P8,'Vegas Odds Totals'!$R:$R,"&lt;"&amp;'Vegas Copy-Paste'!$S$3),AVERAGEIFS('Vegas Odds Totals'!$L:$L,'Vegas Odds Totals'!$P:$P,P8,'Vegas Odds Totals'!$R:$R,"&lt;"&amp;'Vegas Copy-Paste'!$S$3))</f>
        <v>#DIV/0!</v>
      </c>
      <c r="T8" s="77" t="e">
        <f t="shared" si="1"/>
        <v>#DIV/0!</v>
      </c>
      <c r="U8" s="76">
        <f t="shared" si="2"/>
        <v>0</v>
      </c>
      <c r="V8" t="str">
        <f>IFERROR(VLOOKUP($P8,'Vegas Odds Spread'!$M:$Q,2,FALSE),VLOOKUP($P8,'Vegas Odds Spread'!$N:$Q,4,FALSE))</f>
        <v>LAR</v>
      </c>
    </row>
    <row r="9" spans="1:22" x14ac:dyDescent="0.2">
      <c r="A9" t="str">
        <f>P9&amp;P8</f>
        <v>ATLARI</v>
      </c>
      <c r="B9">
        <v>150</v>
      </c>
      <c r="C9">
        <v>-7.5</v>
      </c>
      <c r="D9" t="s">
        <v>692</v>
      </c>
      <c r="F9" t="s">
        <v>837</v>
      </c>
      <c r="H9">
        <v>-11</v>
      </c>
      <c r="I9">
        <v>-10.5</v>
      </c>
      <c r="J9">
        <v>-10.5</v>
      </c>
      <c r="K9">
        <v>-10.5</v>
      </c>
      <c r="L9">
        <v>-10.5</v>
      </c>
      <c r="M9">
        <f t="shared" si="0"/>
        <v>-10.6</v>
      </c>
      <c r="N9" t="s">
        <v>124</v>
      </c>
      <c r="P9" s="38" t="s">
        <v>101</v>
      </c>
      <c r="Q9" s="75">
        <f>IFERROR(AVERAGEIFS('Vegas Odds Spread'!$F:$F,'Vegas Odds Spread'!$M:$M,'Vegas Copy-Paste'!$P9,'Vegas Odds Spread'!$P:$P,"&lt;"&amp;$S$3),0)</f>
        <v>0</v>
      </c>
      <c r="R9" s="75">
        <f>IFERROR(AVERAGEIFS('Vegas Odds Spread'!$G:$G,'Vegas Odds Spread'!$N:$N,'Vegas Copy-Paste'!$P9,'Vegas Odds Spread'!$P:$P,"&lt;"&amp;'Vegas Copy-Paste'!$S$3),0)</f>
        <v>0</v>
      </c>
      <c r="S9" s="76" t="e">
        <f>IFERROR(AVERAGEIFS('Vegas Odds Totals'!$L:$L,'Vegas Odds Totals'!$O:$O,P9,'Vegas Odds Totals'!$R:$R,"&lt;"&amp;'Vegas Copy-Paste'!$S$3),AVERAGEIFS('Vegas Odds Totals'!$L:$L,'Vegas Odds Totals'!$P:$P,P9,'Vegas Odds Totals'!$R:$R,"&lt;"&amp;'Vegas Copy-Paste'!$S$3))</f>
        <v>#DIV/0!</v>
      </c>
      <c r="T9" s="77" t="e">
        <f t="shared" si="1"/>
        <v>#DIV/0!</v>
      </c>
      <c r="U9" s="76">
        <f t="shared" si="2"/>
        <v>0</v>
      </c>
      <c r="V9" t="e">
        <f>IFERROR(VLOOKUP($P9,'Vegas Odds Spread'!$M:$Q,2,FALSE),VLOOKUP($P9,'Vegas Odds Spread'!$N:$Q,4,FALSE))</f>
        <v>#N/A</v>
      </c>
    </row>
    <row r="10" spans="1:22" x14ac:dyDescent="0.2">
      <c r="A10" t="str">
        <f>P10&amp;P11</f>
        <v>BUFCAR</v>
      </c>
      <c r="B10">
        <v>151</v>
      </c>
      <c r="C10">
        <v>47</v>
      </c>
      <c r="D10" t="s">
        <v>701</v>
      </c>
      <c r="E10" s="8">
        <v>0.84375</v>
      </c>
      <c r="F10" t="s">
        <v>837</v>
      </c>
      <c r="H10">
        <v>47.5</v>
      </c>
      <c r="I10">
        <v>47.5</v>
      </c>
      <c r="J10">
        <v>47.5</v>
      </c>
      <c r="K10">
        <v>48</v>
      </c>
      <c r="L10">
        <v>47.5</v>
      </c>
      <c r="M10">
        <f t="shared" si="0"/>
        <v>47.6</v>
      </c>
      <c r="N10" t="s">
        <v>838</v>
      </c>
      <c r="P10" s="38" t="s">
        <v>98</v>
      </c>
      <c r="Q10" s="75">
        <f>IFERROR(AVERAGEIFS('Vegas Odds Spread'!$F:$F,'Vegas Odds Spread'!$M:$M,'Vegas Copy-Paste'!$P10,'Vegas Odds Spread'!$P:$P,"&lt;"&amp;$S$3),0)</f>
        <v>0</v>
      </c>
      <c r="R10" s="75">
        <f>IFERROR(AVERAGEIFS('Vegas Odds Spread'!$G:$G,'Vegas Odds Spread'!$N:$N,'Vegas Copy-Paste'!$P10,'Vegas Odds Spread'!$P:$P,"&lt;"&amp;'Vegas Copy-Paste'!$S$3),0)</f>
        <v>0</v>
      </c>
      <c r="S10" s="76" t="e">
        <f>IFERROR(AVERAGEIFS('Vegas Odds Totals'!$L:$L,'Vegas Odds Totals'!$O:$O,P10,'Vegas Odds Totals'!$R:$R,"&lt;"&amp;'Vegas Copy-Paste'!$S$3),AVERAGEIFS('Vegas Odds Totals'!$L:$L,'Vegas Odds Totals'!$P:$P,P10,'Vegas Odds Totals'!$R:$R,"&lt;"&amp;'Vegas Copy-Paste'!$S$3))</f>
        <v>#DIV/0!</v>
      </c>
      <c r="T10" s="77" t="e">
        <f t="shared" si="1"/>
        <v>#DIV/0!</v>
      </c>
      <c r="U10" s="76">
        <f t="shared" si="2"/>
        <v>0</v>
      </c>
      <c r="V10" t="e">
        <f>IFERROR(VLOOKUP($P10,'Vegas Odds Spread'!$M:$Q,2,FALSE),VLOOKUP($P10,'Vegas Odds Spread'!$N:$Q,4,FALSE))</f>
        <v>#N/A</v>
      </c>
    </row>
    <row r="11" spans="1:22" x14ac:dyDescent="0.2">
      <c r="A11" t="str">
        <f>P11&amp;P10</f>
        <v>CARBUF</v>
      </c>
      <c r="B11">
        <v>152</v>
      </c>
      <c r="C11">
        <v>-3.5</v>
      </c>
      <c r="D11" t="s">
        <v>666</v>
      </c>
      <c r="F11" t="s">
        <v>837</v>
      </c>
      <c r="H11">
        <v>-5.5</v>
      </c>
      <c r="I11">
        <v>-5.5</v>
      </c>
      <c r="J11">
        <v>-5.5</v>
      </c>
      <c r="K11">
        <v>-5.5</v>
      </c>
      <c r="L11">
        <v>-6</v>
      </c>
      <c r="M11">
        <f t="shared" si="0"/>
        <v>-5.6</v>
      </c>
      <c r="N11" t="s">
        <v>124</v>
      </c>
      <c r="P11" s="38" t="s">
        <v>70</v>
      </c>
      <c r="Q11" s="75">
        <f>IFERROR(AVERAGEIFS('Vegas Odds Spread'!$F:$F,'Vegas Odds Spread'!$M:$M,'Vegas Copy-Paste'!$P11,'Vegas Odds Spread'!$P:$P,"&lt;"&amp;$S$3),0)</f>
        <v>0</v>
      </c>
      <c r="R11" s="75">
        <f>IFERROR(AVERAGEIFS('Vegas Odds Spread'!$G:$G,'Vegas Odds Spread'!$N:$N,'Vegas Copy-Paste'!$P11,'Vegas Odds Spread'!$P:$P,"&lt;"&amp;'Vegas Copy-Paste'!$S$3),0)</f>
        <v>0</v>
      </c>
      <c r="S11" s="76" t="e">
        <f>IFERROR(AVERAGEIFS('Vegas Odds Totals'!$L:$L,'Vegas Odds Totals'!$O:$O,P11,'Vegas Odds Totals'!$R:$R,"&lt;"&amp;'Vegas Copy-Paste'!$S$3),AVERAGEIFS('Vegas Odds Totals'!$L:$L,'Vegas Odds Totals'!$P:$P,P11,'Vegas Odds Totals'!$R:$R,"&lt;"&amp;'Vegas Copy-Paste'!$S$3))</f>
        <v>#DIV/0!</v>
      </c>
      <c r="T11" s="77" t="e">
        <f t="shared" si="1"/>
        <v>#DIV/0!</v>
      </c>
      <c r="U11" s="76">
        <f t="shared" si="2"/>
        <v>0</v>
      </c>
      <c r="V11" t="e">
        <f>IFERROR(VLOOKUP($P11,'Vegas Odds Spread'!$M:$Q,2,FALSE),VLOOKUP($P11,'Vegas Odds Spread'!$N:$Q,4,FALSE))</f>
        <v>#N/A</v>
      </c>
    </row>
    <row r="12" spans="1:22" x14ac:dyDescent="0.2">
      <c r="A12" t="str">
        <f t="shared" ref="A12" si="3">P12&amp;P13</f>
        <v>HOUDET</v>
      </c>
      <c r="E12" s="8"/>
      <c r="P12" s="38" t="s">
        <v>122</v>
      </c>
      <c r="Q12" s="75">
        <f>IFERROR(AVERAGEIFS('Vegas Odds Spread'!$F:$F,'Vegas Odds Spread'!$M:$M,'Vegas Copy-Paste'!$P12,'Vegas Odds Spread'!$P:$P,"&lt;"&amp;$S$3),0)</f>
        <v>0</v>
      </c>
      <c r="R12" s="75">
        <f>IFERROR(AVERAGEIFS('Vegas Odds Spread'!$G:$G,'Vegas Odds Spread'!$N:$N,'Vegas Copy-Paste'!$P12,'Vegas Odds Spread'!$P:$P,"&lt;"&amp;'Vegas Copy-Paste'!$S$3),0)</f>
        <v>0</v>
      </c>
      <c r="S12" s="76" t="e">
        <f>IFERROR(AVERAGEIFS('Vegas Odds Totals'!$L:$L,'Vegas Odds Totals'!$O:$O,P12,'Vegas Odds Totals'!$R:$R,"&lt;"&amp;'Vegas Copy-Paste'!$S$3),AVERAGEIFS('Vegas Odds Totals'!$L:$L,'Vegas Odds Totals'!$P:$P,P12,'Vegas Odds Totals'!$R:$R,"&lt;"&amp;'Vegas Copy-Paste'!$S$3))</f>
        <v>#DIV/0!</v>
      </c>
      <c r="T12" s="77" t="e">
        <f t="shared" si="1"/>
        <v>#DIV/0!</v>
      </c>
      <c r="U12" s="76">
        <f t="shared" si="2"/>
        <v>0</v>
      </c>
      <c r="V12" t="e">
        <f>IFERROR(VLOOKUP($P12,'Vegas Odds Spread'!$M:$Q,2,FALSE),VLOOKUP($P12,'Vegas Odds Spread'!$N:$Q,4,FALSE))</f>
        <v>#N/A</v>
      </c>
    </row>
    <row r="13" spans="1:22" x14ac:dyDescent="0.2">
      <c r="A13" t="str">
        <f t="shared" ref="A13" si="4">P13&amp;P12</f>
        <v>DETHOU</v>
      </c>
      <c r="P13" s="38" t="s">
        <v>139</v>
      </c>
      <c r="Q13" s="75">
        <f>IFERROR(AVERAGEIFS('Vegas Odds Spread'!$F:$F,'Vegas Odds Spread'!$M:$M,'Vegas Copy-Paste'!$P13,'Vegas Odds Spread'!$P:$P,"&lt;"&amp;$S$3),0)</f>
        <v>0</v>
      </c>
      <c r="R13" s="75">
        <f>IFERROR(AVERAGEIFS('Vegas Odds Spread'!$G:$G,'Vegas Odds Spread'!$N:$N,'Vegas Copy-Paste'!$P13,'Vegas Odds Spread'!$P:$P,"&lt;"&amp;'Vegas Copy-Paste'!$S$3),0)</f>
        <v>0</v>
      </c>
      <c r="S13" s="76" t="e">
        <f>IFERROR(AVERAGEIFS('Vegas Odds Totals'!$L:$L,'Vegas Odds Totals'!$O:$O,P13,'Vegas Odds Totals'!$R:$R,"&lt;"&amp;'Vegas Copy-Paste'!$S$3),AVERAGEIFS('Vegas Odds Totals'!$L:$L,'Vegas Odds Totals'!$P:$P,P13,'Vegas Odds Totals'!$R:$R,"&lt;"&amp;'Vegas Copy-Paste'!$S$3))</f>
        <v>#DIV/0!</v>
      </c>
      <c r="T13" s="77" t="e">
        <f t="shared" si="1"/>
        <v>#DIV/0!</v>
      </c>
      <c r="U13" s="76">
        <f t="shared" si="2"/>
        <v>0</v>
      </c>
      <c r="V13" t="e">
        <f>IFERROR(VLOOKUP($P13,'Vegas Odds Spread'!$M:$Q,2,FALSE),VLOOKUP($P13,'Vegas Odds Spread'!$N:$Q,4,FALSE))</f>
        <v>#N/A</v>
      </c>
    </row>
    <row r="14" spans="1:22" x14ac:dyDescent="0.2">
      <c r="A14" t="str">
        <f t="shared" ref="A14" si="5">P14&amp;P15</f>
        <v>CININD</v>
      </c>
      <c r="E14" s="8"/>
      <c r="P14" s="38" t="s">
        <v>74</v>
      </c>
      <c r="Q14" s="75">
        <f>IFERROR(AVERAGEIFS('Vegas Odds Spread'!$F:$F,'Vegas Odds Spread'!$M:$M,'Vegas Copy-Paste'!$P14,'Vegas Odds Spread'!$P:$P,"&lt;"&amp;$S$3),0)</f>
        <v>0</v>
      </c>
      <c r="R14" s="75">
        <f>IFERROR(AVERAGEIFS('Vegas Odds Spread'!$G:$G,'Vegas Odds Spread'!$N:$N,'Vegas Copy-Paste'!$P14,'Vegas Odds Spread'!$P:$P,"&lt;"&amp;'Vegas Copy-Paste'!$S$3),0)</f>
        <v>0</v>
      </c>
      <c r="S14" s="76" t="e">
        <f>IFERROR(AVERAGEIFS('Vegas Odds Totals'!$L:$L,'Vegas Odds Totals'!$O:$O,P14,'Vegas Odds Totals'!$R:$R,"&lt;"&amp;'Vegas Copy-Paste'!$S$3),AVERAGEIFS('Vegas Odds Totals'!$L:$L,'Vegas Odds Totals'!$P:$P,P14,'Vegas Odds Totals'!$R:$R,"&lt;"&amp;'Vegas Copy-Paste'!$S$3))</f>
        <v>#DIV/0!</v>
      </c>
      <c r="T14" s="77" t="e">
        <f t="shared" si="1"/>
        <v>#DIV/0!</v>
      </c>
      <c r="U14" s="76">
        <f t="shared" si="2"/>
        <v>0</v>
      </c>
      <c r="V14" t="e">
        <f>IFERROR(VLOOKUP($P14,'Vegas Odds Spread'!$M:$Q,2,FALSE),VLOOKUP($P14,'Vegas Odds Spread'!$N:$Q,4,FALSE))</f>
        <v>#N/A</v>
      </c>
    </row>
    <row r="15" spans="1:22" x14ac:dyDescent="0.2">
      <c r="A15" t="str">
        <f t="shared" ref="A15" si="6">P15&amp;P14</f>
        <v>INDCIN</v>
      </c>
      <c r="P15" s="38" t="s">
        <v>107</v>
      </c>
      <c r="Q15" s="75">
        <f>IFERROR(AVERAGEIFS('Vegas Odds Spread'!$F:$F,'Vegas Odds Spread'!$M:$M,'Vegas Copy-Paste'!$P15,'Vegas Odds Spread'!$P:$P,"&lt;"&amp;$S$3),0)</f>
        <v>0</v>
      </c>
      <c r="R15" s="75">
        <f>IFERROR(AVERAGEIFS('Vegas Odds Spread'!$G:$G,'Vegas Odds Spread'!$N:$N,'Vegas Copy-Paste'!$P15,'Vegas Odds Spread'!$P:$P,"&lt;"&amp;'Vegas Copy-Paste'!$S$3),0)</f>
        <v>0</v>
      </c>
      <c r="S15" s="76" t="e">
        <f>IFERROR(AVERAGEIFS('Vegas Odds Totals'!$L:$L,'Vegas Odds Totals'!$O:$O,P15,'Vegas Odds Totals'!$R:$R,"&lt;"&amp;'Vegas Copy-Paste'!$S$3),AVERAGEIFS('Vegas Odds Totals'!$L:$L,'Vegas Odds Totals'!$P:$P,P15,'Vegas Odds Totals'!$R:$R,"&lt;"&amp;'Vegas Copy-Paste'!$S$3))</f>
        <v>#DIV/0!</v>
      </c>
      <c r="T15" s="77" t="e">
        <f t="shared" si="1"/>
        <v>#DIV/0!</v>
      </c>
      <c r="U15" s="76">
        <f t="shared" si="2"/>
        <v>0</v>
      </c>
      <c r="V15" t="e">
        <f>IFERROR(VLOOKUP($P15,'Vegas Odds Spread'!$M:$Q,2,FALSE),VLOOKUP($P15,'Vegas Odds Spread'!$N:$Q,4,FALSE))</f>
        <v>#N/A</v>
      </c>
    </row>
    <row r="16" spans="1:22" x14ac:dyDescent="0.2">
      <c r="A16" t="str">
        <f t="shared" ref="A16" si="7">P16&amp;P17</f>
        <v>MIADEN</v>
      </c>
      <c r="E16" s="8"/>
      <c r="P16" s="38" t="s">
        <v>142</v>
      </c>
      <c r="Q16" s="75">
        <f>IFERROR(AVERAGEIFS('Vegas Odds Spread'!$F:$F,'Vegas Odds Spread'!$M:$M,'Vegas Copy-Paste'!$P16,'Vegas Odds Spread'!$P:$P,"&lt;"&amp;$S$3),0)</f>
        <v>0</v>
      </c>
      <c r="R16" s="75">
        <f>IFERROR(AVERAGEIFS('Vegas Odds Spread'!$G:$G,'Vegas Odds Spread'!$N:$N,'Vegas Copy-Paste'!$P16,'Vegas Odds Spread'!$P:$P,"&lt;"&amp;'Vegas Copy-Paste'!$S$3),0)</f>
        <v>0</v>
      </c>
      <c r="S16" s="76" t="e">
        <f>IFERROR(AVERAGEIFS('Vegas Odds Totals'!$L:$L,'Vegas Odds Totals'!$O:$O,P16,'Vegas Odds Totals'!$R:$R,"&lt;"&amp;'Vegas Copy-Paste'!$S$3),AVERAGEIFS('Vegas Odds Totals'!$L:$L,'Vegas Odds Totals'!$P:$P,P16,'Vegas Odds Totals'!$R:$R,"&lt;"&amp;'Vegas Copy-Paste'!$S$3))</f>
        <v>#DIV/0!</v>
      </c>
      <c r="T16" s="77" t="e">
        <f t="shared" si="1"/>
        <v>#DIV/0!</v>
      </c>
      <c r="U16" s="76">
        <f t="shared" si="2"/>
        <v>0</v>
      </c>
      <c r="V16" t="e">
        <f>IFERROR(VLOOKUP($P16,'Vegas Odds Spread'!$M:$Q,2,FALSE),VLOOKUP($P16,'Vegas Odds Spread'!$N:$Q,4,FALSE))</f>
        <v>#N/A</v>
      </c>
    </row>
    <row r="17" spans="1:22" x14ac:dyDescent="0.2">
      <c r="A17" t="str">
        <f t="shared" ref="A17" si="8">P17&amp;P16</f>
        <v>DENMIA</v>
      </c>
      <c r="P17" s="38" t="s">
        <v>93</v>
      </c>
      <c r="Q17" s="75">
        <f>IFERROR(AVERAGEIFS('Vegas Odds Spread'!$F:$F,'Vegas Odds Spread'!$M:$M,'Vegas Copy-Paste'!$P17,'Vegas Odds Spread'!$P:$P,"&lt;"&amp;$S$3),0)</f>
        <v>0</v>
      </c>
      <c r="R17" s="75">
        <f>IFERROR(AVERAGEIFS('Vegas Odds Spread'!$G:$G,'Vegas Odds Spread'!$N:$N,'Vegas Copy-Paste'!$P17,'Vegas Odds Spread'!$P:$P,"&lt;"&amp;'Vegas Copy-Paste'!$S$3),0)</f>
        <v>0</v>
      </c>
      <c r="S17" s="76" t="e">
        <f>IFERROR(AVERAGEIFS('Vegas Odds Totals'!$L:$L,'Vegas Odds Totals'!$O:$O,P17,'Vegas Odds Totals'!$R:$R,"&lt;"&amp;'Vegas Copy-Paste'!$S$3),AVERAGEIFS('Vegas Odds Totals'!$L:$L,'Vegas Odds Totals'!$P:$P,P17,'Vegas Odds Totals'!$R:$R,"&lt;"&amp;'Vegas Copy-Paste'!$S$3))</f>
        <v>#DIV/0!</v>
      </c>
      <c r="T17" s="77" t="e">
        <f t="shared" si="1"/>
        <v>#DIV/0!</v>
      </c>
      <c r="U17" s="76">
        <f t="shared" si="2"/>
        <v>0</v>
      </c>
      <c r="V17" t="e">
        <f>IFERROR(VLOOKUP($P17,'Vegas Odds Spread'!$M:$Q,2,FALSE),VLOOKUP($P17,'Vegas Odds Spread'!$N:$Q,4,FALSE))</f>
        <v>#N/A</v>
      </c>
    </row>
    <row r="18" spans="1:22" x14ac:dyDescent="0.2">
      <c r="A18" t="str">
        <f t="shared" ref="A18:A36" si="9">P18&amp;P19</f>
        <v>CLEGB</v>
      </c>
      <c r="E18" s="8"/>
      <c r="P18" s="38" t="s">
        <v>82</v>
      </c>
      <c r="Q18" s="75">
        <f>IFERROR(AVERAGEIFS('Vegas Odds Spread'!$F:$F,'Vegas Odds Spread'!$M:$M,'Vegas Copy-Paste'!$P18,'Vegas Odds Spread'!$P:$P,"&lt;"&amp;$S$3),0)</f>
        <v>0</v>
      </c>
      <c r="R18" s="75">
        <f>IFERROR(AVERAGEIFS('Vegas Odds Spread'!$G:$G,'Vegas Odds Spread'!$N:$N,'Vegas Copy-Paste'!$P18,'Vegas Odds Spread'!$P:$P,"&lt;"&amp;'Vegas Copy-Paste'!$S$3),0)</f>
        <v>0</v>
      </c>
      <c r="S18" s="76" t="e">
        <f>IFERROR(AVERAGEIFS('Vegas Odds Totals'!$L:$L,'Vegas Odds Totals'!$O:$O,P18,'Vegas Odds Totals'!$R:$R,"&lt;"&amp;'Vegas Copy-Paste'!$S$3),AVERAGEIFS('Vegas Odds Totals'!$L:$L,'Vegas Odds Totals'!$P:$P,P18,'Vegas Odds Totals'!$R:$R,"&lt;"&amp;'Vegas Copy-Paste'!$S$3))</f>
        <v>#DIV/0!</v>
      </c>
      <c r="T18" s="77" t="e">
        <f t="shared" si="1"/>
        <v>#DIV/0!</v>
      </c>
      <c r="U18" s="76">
        <f t="shared" si="2"/>
        <v>0</v>
      </c>
      <c r="V18" t="e">
        <f>IFERROR(VLOOKUP($P18,'Vegas Odds Spread'!$M:$Q,2,FALSE),VLOOKUP($P18,'Vegas Odds Spread'!$N:$Q,4,FALSE))</f>
        <v>#N/A</v>
      </c>
    </row>
    <row r="19" spans="1:22" x14ac:dyDescent="0.2">
      <c r="A19" t="str">
        <f t="shared" ref="A19:A37" si="10">P19&amp;P18</f>
        <v>GBCLE</v>
      </c>
      <c r="P19" s="38" t="s">
        <v>85</v>
      </c>
      <c r="Q19" s="75">
        <f>IFERROR(AVERAGEIFS('Vegas Odds Spread'!$F:$F,'Vegas Odds Spread'!$M:$M,'Vegas Copy-Paste'!$P19,'Vegas Odds Spread'!$P:$P,"&lt;"&amp;$S$3),0)</f>
        <v>0</v>
      </c>
      <c r="R19" s="75">
        <f>IFERROR(AVERAGEIFS('Vegas Odds Spread'!$G:$G,'Vegas Odds Spread'!$N:$N,'Vegas Copy-Paste'!$P19,'Vegas Odds Spread'!$P:$P,"&lt;"&amp;'Vegas Copy-Paste'!$S$3),0)</f>
        <v>0</v>
      </c>
      <c r="S19" s="76" t="e">
        <f>IFERROR(AVERAGEIFS('Vegas Odds Totals'!$L:$L,'Vegas Odds Totals'!$O:$O,P19,'Vegas Odds Totals'!$R:$R,"&lt;"&amp;'Vegas Copy-Paste'!$S$3),AVERAGEIFS('Vegas Odds Totals'!$L:$L,'Vegas Odds Totals'!$P:$P,P19,'Vegas Odds Totals'!$R:$R,"&lt;"&amp;'Vegas Copy-Paste'!$S$3))</f>
        <v>#DIV/0!</v>
      </c>
      <c r="T19" s="77" t="e">
        <f t="shared" si="1"/>
        <v>#DIV/0!</v>
      </c>
      <c r="U19" s="76">
        <f t="shared" si="2"/>
        <v>0</v>
      </c>
      <c r="V19" t="e">
        <f>IFERROR(VLOOKUP($P19,'Vegas Odds Spread'!$M:$Q,2,FALSE),VLOOKUP($P19,'Vegas Odds Spread'!$N:$Q,4,FALSE))</f>
        <v>#N/A</v>
      </c>
    </row>
    <row r="20" spans="1:22" x14ac:dyDescent="0.2">
      <c r="A20" t="str">
        <f t="shared" si="9"/>
        <v>CHIBAL</v>
      </c>
      <c r="E20" s="8"/>
      <c r="P20" s="38" t="s">
        <v>727</v>
      </c>
      <c r="Q20" s="75">
        <f>IFERROR(AVERAGEIFS('Vegas Odds Spread'!$F:$F,'Vegas Odds Spread'!$M:$M,'Vegas Copy-Paste'!$P20,'Vegas Odds Spread'!$P:$P,"&lt;"&amp;$S$3),0)</f>
        <v>0</v>
      </c>
      <c r="R20" s="75">
        <f>IFERROR(AVERAGEIFS('Vegas Odds Spread'!$G:$G,'Vegas Odds Spread'!$N:$N,'Vegas Copy-Paste'!$P20,'Vegas Odds Spread'!$P:$P,"&lt;"&amp;'Vegas Copy-Paste'!$S$3),0)</f>
        <v>0</v>
      </c>
      <c r="S20" s="76" t="e">
        <f>IFERROR(AVERAGEIFS('Vegas Odds Totals'!$L:$L,'Vegas Odds Totals'!$O:$O,P20,'Vegas Odds Totals'!$R:$R,"&lt;"&amp;'Vegas Copy-Paste'!$S$3),AVERAGEIFS('Vegas Odds Totals'!$L:$L,'Vegas Odds Totals'!$P:$P,P20,'Vegas Odds Totals'!$R:$R,"&lt;"&amp;'Vegas Copy-Paste'!$S$3))</f>
        <v>#DIV/0!</v>
      </c>
      <c r="T20" s="77" t="e">
        <f t="shared" si="1"/>
        <v>#DIV/0!</v>
      </c>
      <c r="U20" s="76">
        <f t="shared" si="2"/>
        <v>0</v>
      </c>
      <c r="V20" t="e">
        <f>IFERROR(VLOOKUP($P20,'Vegas Odds Spread'!$M:$Q,2,FALSE),VLOOKUP($P20,'Vegas Odds Spread'!$N:$Q,4,FALSE))</f>
        <v>#N/A</v>
      </c>
    </row>
    <row r="21" spans="1:22" x14ac:dyDescent="0.2">
      <c r="A21" t="str">
        <f t="shared" si="10"/>
        <v>BALCHI</v>
      </c>
      <c r="P21" s="38" t="s">
        <v>725</v>
      </c>
      <c r="Q21" s="75">
        <f>IFERROR(AVERAGEIFS('Vegas Odds Spread'!$F:$F,'Vegas Odds Spread'!$M:$M,'Vegas Copy-Paste'!$P21,'Vegas Odds Spread'!$P:$P,"&lt;"&amp;$S$3),0)</f>
        <v>0</v>
      </c>
      <c r="R21" s="75">
        <f>IFERROR(AVERAGEIFS('Vegas Odds Spread'!$G:$G,'Vegas Odds Spread'!$N:$N,'Vegas Copy-Paste'!$P21,'Vegas Odds Spread'!$P:$P,"&lt;"&amp;'Vegas Copy-Paste'!$S$3),0)</f>
        <v>0</v>
      </c>
      <c r="S21" s="76" t="e">
        <f>IFERROR(AVERAGEIFS('Vegas Odds Totals'!$L:$L,'Vegas Odds Totals'!$O:$O,P21,'Vegas Odds Totals'!$R:$R,"&lt;"&amp;'Vegas Copy-Paste'!$S$3),AVERAGEIFS('Vegas Odds Totals'!$L:$L,'Vegas Odds Totals'!$P:$P,P21,'Vegas Odds Totals'!$R:$R,"&lt;"&amp;'Vegas Copy-Paste'!$S$3))</f>
        <v>#DIV/0!</v>
      </c>
      <c r="T21" s="77" t="e">
        <f t="shared" si="1"/>
        <v>#DIV/0!</v>
      </c>
      <c r="U21" s="76">
        <f t="shared" si="2"/>
        <v>0</v>
      </c>
      <c r="V21" t="e">
        <f>IFERROR(VLOOKUP($P21,'Vegas Odds Spread'!$M:$Q,2,FALSE),VLOOKUP($P21,'Vegas Odds Spread'!$N:$Q,4,FALSE))</f>
        <v>#N/A</v>
      </c>
    </row>
    <row r="22" spans="1:22" x14ac:dyDescent="0.2">
      <c r="A22" t="str">
        <f t="shared" si="9"/>
        <v>NYGPHI</v>
      </c>
      <c r="E22" s="8"/>
      <c r="P22" s="38" t="s">
        <v>92</v>
      </c>
      <c r="Q22" s="75">
        <f>IFERROR(AVERAGEIFS('Vegas Odds Spread'!$F:$F,'Vegas Odds Spread'!$M:$M,'Vegas Copy-Paste'!$P22,'Vegas Odds Spread'!$P:$P,"&lt;"&amp;$S$3),0)</f>
        <v>0</v>
      </c>
      <c r="R22" s="75">
        <f>IFERROR(AVERAGEIFS('Vegas Odds Spread'!$G:$G,'Vegas Odds Spread'!$N:$N,'Vegas Copy-Paste'!$P22,'Vegas Odds Spread'!$P:$P,"&lt;"&amp;'Vegas Copy-Paste'!$S$3),0)</f>
        <v>0</v>
      </c>
      <c r="S22" s="76" t="e">
        <f>IFERROR(AVERAGEIFS('Vegas Odds Totals'!$L:$L,'Vegas Odds Totals'!$O:$O,P22,'Vegas Odds Totals'!$R:$R,"&lt;"&amp;'Vegas Copy-Paste'!$S$3),AVERAGEIFS('Vegas Odds Totals'!$L:$L,'Vegas Odds Totals'!$P:$P,P22,'Vegas Odds Totals'!$R:$R,"&lt;"&amp;'Vegas Copy-Paste'!$S$3))</f>
        <v>#DIV/0!</v>
      </c>
      <c r="T22" s="77" t="e">
        <f t="shared" si="1"/>
        <v>#DIV/0!</v>
      </c>
      <c r="U22" s="76">
        <f t="shared" si="2"/>
        <v>0</v>
      </c>
      <c r="V22" t="e">
        <f>IFERROR(VLOOKUP($P22,'Vegas Odds Spread'!$M:$Q,2,FALSE),VLOOKUP($P22,'Vegas Odds Spread'!$N:$Q,4,FALSE))</f>
        <v>#N/A</v>
      </c>
    </row>
    <row r="23" spans="1:22" x14ac:dyDescent="0.2">
      <c r="A23" t="str">
        <f t="shared" si="10"/>
        <v>PHINYG</v>
      </c>
      <c r="P23" s="38" t="s">
        <v>102</v>
      </c>
      <c r="Q23" s="75">
        <f>IFERROR(AVERAGEIFS('Vegas Odds Spread'!$F:$F,'Vegas Odds Spread'!$M:$M,'Vegas Copy-Paste'!$P23,'Vegas Odds Spread'!$P:$P,"&lt;"&amp;$S$3),0)</f>
        <v>7.3888888888888893</v>
      </c>
      <c r="R23" s="75">
        <f>IFERROR(AVERAGEIFS('Vegas Odds Spread'!$G:$G,'Vegas Odds Spread'!$N:$N,'Vegas Copy-Paste'!$P23,'Vegas Odds Spread'!$P:$P,"&lt;"&amp;'Vegas Copy-Paste'!$S$3),0)</f>
        <v>0</v>
      </c>
      <c r="S23" s="76">
        <f>IFERROR(AVERAGEIFS('Vegas Odds Totals'!$L:$L,'Vegas Odds Totals'!$O:$O,P23,'Vegas Odds Totals'!$R:$R,"&lt;"&amp;'Vegas Copy-Paste'!$S$3),AVERAGEIFS('Vegas Odds Totals'!$L:$L,'Vegas Odds Totals'!$P:$P,P23,'Vegas Odds Totals'!$R:$R,"&lt;"&amp;'Vegas Copy-Paste'!$S$3))</f>
        <v>46.861111111111114</v>
      </c>
      <c r="T23" s="77">
        <f t="shared" si="1"/>
        <v>46.861111111111114</v>
      </c>
      <c r="U23" s="76">
        <f t="shared" si="2"/>
        <v>7.3888888888888893</v>
      </c>
      <c r="V23" t="str">
        <f>IFERROR(VLOOKUP($P23,'Vegas Odds Spread'!$M:$Q,2,FALSE),VLOOKUP($P23,'Vegas Odds Spread'!$N:$Q,4,FALSE))</f>
        <v>TB</v>
      </c>
    </row>
    <row r="24" spans="1:22" x14ac:dyDescent="0.2">
      <c r="A24" t="str">
        <f t="shared" si="9"/>
        <v>LVNE</v>
      </c>
      <c r="E24" s="8"/>
      <c r="P24" s="38" t="s">
        <v>726</v>
      </c>
      <c r="Q24" s="75">
        <f>IFERROR(AVERAGEIFS('Vegas Odds Spread'!$F:$F,'Vegas Odds Spread'!$M:$M,'Vegas Copy-Paste'!$P24,'Vegas Odds Spread'!$P:$P,"&lt;"&amp;$S$3),0)</f>
        <v>0</v>
      </c>
      <c r="R24" s="75">
        <f>IFERROR(AVERAGEIFS('Vegas Odds Spread'!$G:$G,'Vegas Odds Spread'!$N:$N,'Vegas Copy-Paste'!$P24,'Vegas Odds Spread'!$P:$P,"&lt;"&amp;'Vegas Copy-Paste'!$S$3),0)</f>
        <v>0</v>
      </c>
      <c r="S24" s="76" t="e">
        <f>IFERROR(AVERAGEIFS('Vegas Odds Totals'!$L:$L,'Vegas Odds Totals'!$O:$O,P24,'Vegas Odds Totals'!$R:$R,"&lt;"&amp;'Vegas Copy-Paste'!$S$3),AVERAGEIFS('Vegas Odds Totals'!$L:$L,'Vegas Odds Totals'!$P:$P,P24,'Vegas Odds Totals'!$R:$R,"&lt;"&amp;'Vegas Copy-Paste'!$S$3))</f>
        <v>#DIV/0!</v>
      </c>
      <c r="T24" s="77" t="e">
        <f t="shared" si="1"/>
        <v>#DIV/0!</v>
      </c>
      <c r="U24" s="76">
        <f t="shared" si="2"/>
        <v>0</v>
      </c>
      <c r="V24" t="e">
        <f>IFERROR(VLOOKUP($P24,'Vegas Odds Spread'!$M:$Q,2,FALSE),VLOOKUP($P24,'Vegas Odds Spread'!$N:$Q,4,FALSE))</f>
        <v>#N/A</v>
      </c>
    </row>
    <row r="25" spans="1:22" x14ac:dyDescent="0.2">
      <c r="A25" t="str">
        <f t="shared" si="10"/>
        <v>NELV</v>
      </c>
      <c r="P25" s="38" t="s">
        <v>141</v>
      </c>
      <c r="Q25" s="75">
        <f>IFERROR(AVERAGEIFS('Vegas Odds Spread'!$F:$F,'Vegas Odds Spread'!$M:$M,'Vegas Copy-Paste'!$P25,'Vegas Odds Spread'!$P:$P,"&lt;"&amp;$S$3),0)</f>
        <v>0</v>
      </c>
      <c r="R25" s="75">
        <f>IFERROR(AVERAGEIFS('Vegas Odds Spread'!$G:$G,'Vegas Odds Spread'!$N:$N,'Vegas Copy-Paste'!$P25,'Vegas Odds Spread'!$P:$P,"&lt;"&amp;'Vegas Copy-Paste'!$S$3),0)</f>
        <v>0</v>
      </c>
      <c r="S25" s="76" t="e">
        <f>IFERROR(AVERAGEIFS('Vegas Odds Totals'!$L:$L,'Vegas Odds Totals'!$O:$O,P25,'Vegas Odds Totals'!$R:$R,"&lt;"&amp;'Vegas Copy-Paste'!$S$3),AVERAGEIFS('Vegas Odds Totals'!$L:$L,'Vegas Odds Totals'!$P:$P,P25,'Vegas Odds Totals'!$R:$R,"&lt;"&amp;'Vegas Copy-Paste'!$S$3))</f>
        <v>#DIV/0!</v>
      </c>
      <c r="T25" s="77" t="e">
        <f t="shared" si="1"/>
        <v>#DIV/0!</v>
      </c>
      <c r="U25" s="76">
        <f t="shared" si="2"/>
        <v>0</v>
      </c>
      <c r="V25" t="e">
        <f>IFERROR(VLOOKUP($P25,'Vegas Odds Spread'!$M:$Q,2,FALSE),VLOOKUP($P25,'Vegas Odds Spread'!$N:$Q,4,FALSE))</f>
        <v>#N/A</v>
      </c>
    </row>
    <row r="26" spans="1:22" x14ac:dyDescent="0.2">
      <c r="A26" t="str">
        <f t="shared" si="9"/>
        <v>SEALAR</v>
      </c>
      <c r="E26" s="8"/>
      <c r="P26" s="38" t="s">
        <v>108</v>
      </c>
      <c r="Q26" s="75">
        <f>IFERROR(AVERAGEIFS('Vegas Odds Spread'!$F:$F,'Vegas Odds Spread'!$M:$M,'Vegas Copy-Paste'!$P26,'Vegas Odds Spread'!$P:$P,"&lt;"&amp;$S$3),0)</f>
        <v>0</v>
      </c>
      <c r="R26" s="75">
        <f>IFERROR(AVERAGEIFS('Vegas Odds Spread'!$G:$G,'Vegas Odds Spread'!$N:$N,'Vegas Copy-Paste'!$P26,'Vegas Odds Spread'!$P:$P,"&lt;"&amp;'Vegas Copy-Paste'!$S$3),0)</f>
        <v>0</v>
      </c>
      <c r="S26" s="76" t="e">
        <f>IFERROR(AVERAGEIFS('Vegas Odds Totals'!$L:$L,'Vegas Odds Totals'!$O:$O,P26,'Vegas Odds Totals'!$R:$R,"&lt;"&amp;'Vegas Copy-Paste'!$S$3),AVERAGEIFS('Vegas Odds Totals'!$L:$L,'Vegas Odds Totals'!$P:$P,P26,'Vegas Odds Totals'!$R:$R,"&lt;"&amp;'Vegas Copy-Paste'!$S$3))</f>
        <v>#DIV/0!</v>
      </c>
      <c r="T26" s="77" t="e">
        <f t="shared" si="1"/>
        <v>#DIV/0!</v>
      </c>
      <c r="U26" s="76">
        <f t="shared" si="2"/>
        <v>0</v>
      </c>
      <c r="V26" t="e">
        <f>IFERROR(VLOOKUP($P26,'Vegas Odds Spread'!$M:$Q,2,FALSE),VLOOKUP($P26,'Vegas Odds Spread'!$N:$Q,4,FALSE))</f>
        <v>#N/A</v>
      </c>
    </row>
    <row r="27" spans="1:22" x14ac:dyDescent="0.2">
      <c r="A27" t="str">
        <f t="shared" si="10"/>
        <v>LARSEA</v>
      </c>
      <c r="P27" s="38" t="s">
        <v>730</v>
      </c>
      <c r="Q27" s="75">
        <f>IFERROR(AVERAGEIFS('Vegas Odds Spread'!$F:$F,'Vegas Odds Spread'!$M:$M,'Vegas Copy-Paste'!$P27,'Vegas Odds Spread'!$P:$P,"&lt;"&amp;$S$3),0)</f>
        <v>0</v>
      </c>
      <c r="R27" s="75">
        <f>IFERROR(AVERAGEIFS('Vegas Odds Spread'!$G:$G,'Vegas Odds Spread'!$N:$N,'Vegas Copy-Paste'!$P27,'Vegas Odds Spread'!$P:$P,"&lt;"&amp;'Vegas Copy-Paste'!$S$3),0)</f>
        <v>0</v>
      </c>
      <c r="S27" s="76" t="e">
        <f>IFERROR(AVERAGEIFS('Vegas Odds Totals'!$L:$L,'Vegas Odds Totals'!$O:$O,P27,'Vegas Odds Totals'!$R:$R,"&lt;"&amp;'Vegas Copy-Paste'!$S$3),AVERAGEIFS('Vegas Odds Totals'!$L:$L,'Vegas Odds Totals'!$P:$P,P27,'Vegas Odds Totals'!$R:$R,"&lt;"&amp;'Vegas Copy-Paste'!$S$3))</f>
        <v>#DIV/0!</v>
      </c>
      <c r="T27" s="77" t="e">
        <f t="shared" si="1"/>
        <v>#DIV/0!</v>
      </c>
      <c r="U27" s="76">
        <f t="shared" si="2"/>
        <v>0</v>
      </c>
      <c r="V27" t="str">
        <f>IFERROR(VLOOKUP($P27,'Vegas Odds Spread'!$M:$Q,2,FALSE),VLOOKUP($P27,'Vegas Odds Spread'!$N:$Q,4,FALSE))</f>
        <v>ARI</v>
      </c>
    </row>
    <row r="28" spans="1:22" x14ac:dyDescent="0.2">
      <c r="A28" t="str">
        <f t="shared" si="9"/>
        <v>KCTB</v>
      </c>
      <c r="E28" s="8"/>
      <c r="P28" s="38" t="s">
        <v>81</v>
      </c>
      <c r="Q28" s="75">
        <f>IFERROR(AVERAGEIFS('Vegas Odds Spread'!$F:$F,'Vegas Odds Spread'!$M:$M,'Vegas Copy-Paste'!$P28,'Vegas Odds Spread'!$P:$P,"&lt;"&amp;$S$3),0)</f>
        <v>0</v>
      </c>
      <c r="R28" s="75">
        <f>IFERROR(AVERAGEIFS('Vegas Odds Spread'!$G:$G,'Vegas Odds Spread'!$N:$N,'Vegas Copy-Paste'!$P28,'Vegas Odds Spread'!$P:$P,"&lt;"&amp;'Vegas Copy-Paste'!$S$3),0)</f>
        <v>0</v>
      </c>
      <c r="S28" s="76" t="e">
        <f>IFERROR(AVERAGEIFS('Vegas Odds Totals'!$L:$L,'Vegas Odds Totals'!$O:$O,P28,'Vegas Odds Totals'!$R:$R,"&lt;"&amp;'Vegas Copy-Paste'!$S$3),AVERAGEIFS('Vegas Odds Totals'!$L:$L,'Vegas Odds Totals'!$P:$P,P28,'Vegas Odds Totals'!$R:$R,"&lt;"&amp;'Vegas Copy-Paste'!$S$3))</f>
        <v>#DIV/0!</v>
      </c>
      <c r="T28" s="77" t="e">
        <f t="shared" si="1"/>
        <v>#DIV/0!</v>
      </c>
      <c r="U28" s="76">
        <f t="shared" si="2"/>
        <v>0</v>
      </c>
      <c r="V28" t="str">
        <f>IFERROR(VLOOKUP($P28,'Vegas Odds Spread'!$M:$Q,2,FALSE),VLOOKUP($P28,'Vegas Odds Spread'!$N:$Q,4,FALSE))</f>
        <v>PIT</v>
      </c>
    </row>
    <row r="29" spans="1:22" x14ac:dyDescent="0.2">
      <c r="A29" t="str">
        <f t="shared" si="10"/>
        <v>TBKC</v>
      </c>
      <c r="E29" s="8"/>
      <c r="P29" s="38" t="s">
        <v>728</v>
      </c>
      <c r="Q29" s="75">
        <f>IFERROR(AVERAGEIFS('Vegas Odds Spread'!$F:$F,'Vegas Odds Spread'!$M:$M,'Vegas Copy-Paste'!$P29,'Vegas Odds Spread'!$P:$P,"&lt;"&amp;$S$3),0)</f>
        <v>0</v>
      </c>
      <c r="R29" s="75">
        <f>IFERROR(AVERAGEIFS('Vegas Odds Spread'!$G:$G,'Vegas Odds Spread'!$N:$N,'Vegas Copy-Paste'!$P29,'Vegas Odds Spread'!$P:$P,"&lt;"&amp;'Vegas Copy-Paste'!$S$3),0)</f>
        <v>-7.3888888888888893</v>
      </c>
      <c r="S29" s="76">
        <f>IFERROR(AVERAGEIFS('Vegas Odds Totals'!$L:$L,'Vegas Odds Totals'!$O:$O,P29,'Vegas Odds Totals'!$R:$R,"&lt;"&amp;'Vegas Copy-Paste'!$S$3),AVERAGEIFS('Vegas Odds Totals'!$L:$L,'Vegas Odds Totals'!$P:$P,P29,'Vegas Odds Totals'!$R:$R,"&lt;"&amp;'Vegas Copy-Paste'!$S$3))</f>
        <v>46.861111111111114</v>
      </c>
      <c r="T29" s="77">
        <f t="shared" si="1"/>
        <v>46.861111111111114</v>
      </c>
      <c r="U29" s="76">
        <f t="shared" si="2"/>
        <v>-7.3888888888888893</v>
      </c>
      <c r="V29" t="str">
        <f>IFERROR(VLOOKUP($P29,'Vegas Odds Spread'!$M:$Q,2,FALSE),VLOOKUP($P29,'Vegas Odds Spread'!$N:$Q,4,FALSE))</f>
        <v>PHI</v>
      </c>
    </row>
    <row r="30" spans="1:22" x14ac:dyDescent="0.2">
      <c r="A30" t="str">
        <f t="shared" si="9"/>
        <v>WASTEN</v>
      </c>
      <c r="P30" s="38" t="s">
        <v>119</v>
      </c>
      <c r="Q30" s="75">
        <f>IFERROR(AVERAGEIFS('Vegas Odds Spread'!$F:$F,'Vegas Odds Spread'!$M:$M,'Vegas Copy-Paste'!$P30,'Vegas Odds Spread'!$P:$P,"&lt;"&amp;$S$3),0)</f>
        <v>0</v>
      </c>
      <c r="R30" s="75">
        <f>IFERROR(AVERAGEIFS('Vegas Odds Spread'!$G:$G,'Vegas Odds Spread'!$N:$N,'Vegas Copy-Paste'!$P30,'Vegas Odds Spread'!$P:$P,"&lt;"&amp;'Vegas Copy-Paste'!$S$3),0)</f>
        <v>0</v>
      </c>
      <c r="S30" s="76" t="e">
        <f>IFERROR(AVERAGEIFS('Vegas Odds Totals'!$L:$L,'Vegas Odds Totals'!$O:$O,P30,'Vegas Odds Totals'!$R:$R,"&lt;"&amp;'Vegas Copy-Paste'!$S$3),AVERAGEIFS('Vegas Odds Totals'!$L:$L,'Vegas Odds Totals'!$P:$P,P30,'Vegas Odds Totals'!$R:$R,"&lt;"&amp;'Vegas Copy-Paste'!$S$3))</f>
        <v>#DIV/0!</v>
      </c>
      <c r="T30" s="77" t="e">
        <f t="shared" si="1"/>
        <v>#DIV/0!</v>
      </c>
      <c r="U30" s="76">
        <f t="shared" si="2"/>
        <v>0</v>
      </c>
      <c r="V30" t="e">
        <f>IFERROR(VLOOKUP($P30,'Vegas Odds Spread'!$M:$Q,2,FALSE),VLOOKUP($P30,'Vegas Odds Spread'!$N:$Q,4,FALSE))</f>
        <v>#N/A</v>
      </c>
    </row>
    <row r="31" spans="1:22" x14ac:dyDescent="0.2">
      <c r="A31" t="str">
        <f t="shared" si="10"/>
        <v>TENWAS</v>
      </c>
      <c r="P31" s="38" t="s">
        <v>77</v>
      </c>
      <c r="Q31" s="75">
        <f>IFERROR(AVERAGEIFS('Vegas Odds Spread'!$F:$F,'Vegas Odds Spread'!$M:$M,'Vegas Copy-Paste'!$P31,'Vegas Odds Spread'!$P:$P,"&lt;"&amp;$S$3),0)</f>
        <v>0</v>
      </c>
      <c r="R31" s="75">
        <f>IFERROR(AVERAGEIFS('Vegas Odds Spread'!$G:$G,'Vegas Odds Spread'!$N:$N,'Vegas Copy-Paste'!$P31,'Vegas Odds Spread'!$P:$P,"&lt;"&amp;'Vegas Copy-Paste'!$S$3),0)</f>
        <v>0</v>
      </c>
      <c r="S31" s="76" t="e">
        <f>IFERROR(AVERAGEIFS('Vegas Odds Totals'!$L:$L,'Vegas Odds Totals'!$O:$O,P31,'Vegas Odds Totals'!$R:$R,"&lt;"&amp;'Vegas Copy-Paste'!$S$3),AVERAGEIFS('Vegas Odds Totals'!$L:$L,'Vegas Odds Totals'!$P:$P,P31,'Vegas Odds Totals'!$R:$R,"&lt;"&amp;'Vegas Copy-Paste'!$S$3))</f>
        <v>#DIV/0!</v>
      </c>
      <c r="T31" s="77" t="e">
        <f t="shared" si="1"/>
        <v>#DIV/0!</v>
      </c>
      <c r="U31" s="76">
        <f t="shared" si="2"/>
        <v>0</v>
      </c>
      <c r="V31" t="e">
        <f>IFERROR(VLOOKUP($P31,'Vegas Odds Spread'!$M:$Q,2,FALSE),VLOOKUP($P31,'Vegas Odds Spread'!$N:$Q,4,FALSE))</f>
        <v>#N/A</v>
      </c>
    </row>
    <row r="32" spans="1:22" x14ac:dyDescent="0.2">
      <c r="A32" t="str">
        <f t="shared" si="9"/>
        <v>PITNYJ</v>
      </c>
      <c r="E32" s="8"/>
      <c r="P32" s="38" t="s">
        <v>99</v>
      </c>
      <c r="Q32" s="75">
        <f>IFERROR(AVERAGEIFS('Vegas Odds Spread'!$F:$F,'Vegas Odds Spread'!$M:$M,'Vegas Copy-Paste'!$P32,'Vegas Odds Spread'!$P:$P,"&lt;"&amp;$S$3),0)</f>
        <v>0</v>
      </c>
      <c r="R32" s="75">
        <f>IFERROR(AVERAGEIFS('Vegas Odds Spread'!$G:$G,'Vegas Odds Spread'!$N:$N,'Vegas Copy-Paste'!$P32,'Vegas Odds Spread'!$P:$P,"&lt;"&amp;'Vegas Copy-Paste'!$S$3),0)</f>
        <v>0</v>
      </c>
      <c r="S32" s="76" t="e">
        <f>IFERROR(AVERAGEIFS('Vegas Odds Totals'!$L:$L,'Vegas Odds Totals'!$O:$O,P32,'Vegas Odds Totals'!$R:$R,"&lt;"&amp;'Vegas Copy-Paste'!$S$3),AVERAGEIFS('Vegas Odds Totals'!$L:$L,'Vegas Odds Totals'!$P:$P,P32,'Vegas Odds Totals'!$R:$R,"&lt;"&amp;'Vegas Copy-Paste'!$S$3))</f>
        <v>#DIV/0!</v>
      </c>
      <c r="T32" s="77" t="e">
        <f t="shared" si="1"/>
        <v>#DIV/0!</v>
      </c>
      <c r="U32" s="76">
        <f t="shared" si="2"/>
        <v>0</v>
      </c>
      <c r="V32" t="str">
        <f>IFERROR(VLOOKUP($P32,'Vegas Odds Spread'!$M:$Q,2,FALSE),VLOOKUP($P32,'Vegas Odds Spread'!$N:$Q,4,FALSE))</f>
        <v>KC</v>
      </c>
    </row>
    <row r="33" spans="1:22" x14ac:dyDescent="0.2">
      <c r="A33" t="str">
        <f t="shared" si="10"/>
        <v>NYJPIT</v>
      </c>
      <c r="E33" s="8"/>
      <c r="P33" s="38" t="s">
        <v>71</v>
      </c>
      <c r="Q33" s="75">
        <f>IFERROR(AVERAGEIFS('Vegas Odds Spread'!$F:$F,'Vegas Odds Spread'!$M:$M,'Vegas Copy-Paste'!$P33,'Vegas Odds Spread'!$P:$P,"&lt;"&amp;$S$3),0)</f>
        <v>0</v>
      </c>
      <c r="R33" s="75">
        <f>IFERROR(AVERAGEIFS('Vegas Odds Spread'!$G:$G,'Vegas Odds Spread'!$N:$N,'Vegas Copy-Paste'!$P33,'Vegas Odds Spread'!$P:$P,"&lt;"&amp;'Vegas Copy-Paste'!$S$3),0)</f>
        <v>0</v>
      </c>
      <c r="S33" s="76" t="e">
        <f>IFERROR(AVERAGEIFS('Vegas Odds Totals'!$L:$L,'Vegas Odds Totals'!$O:$O,P33,'Vegas Odds Totals'!$R:$R,"&lt;"&amp;'Vegas Copy-Paste'!$S$3),AVERAGEIFS('Vegas Odds Totals'!$L:$L,'Vegas Odds Totals'!$P:$P,P33,'Vegas Odds Totals'!$R:$R,"&lt;"&amp;'Vegas Copy-Paste'!$S$3))</f>
        <v>#DIV/0!</v>
      </c>
      <c r="T33" s="77" t="e">
        <f t="shared" si="1"/>
        <v>#DIV/0!</v>
      </c>
      <c r="U33" s="76">
        <f t="shared" si="2"/>
        <v>0</v>
      </c>
      <c r="V33" t="e">
        <f>IFERROR(VLOOKUP($P33,'Vegas Odds Spread'!$M:$Q,2,FALSE),VLOOKUP($P33,'Vegas Odds Spread'!$N:$Q,4,FALSE))</f>
        <v>#N/A</v>
      </c>
    </row>
    <row r="34" spans="1:22" x14ac:dyDescent="0.2">
      <c r="A34" t="str">
        <f t="shared" si="9"/>
        <v>JACSF</v>
      </c>
      <c r="E34" s="8"/>
      <c r="P34" s="38" t="s">
        <v>123</v>
      </c>
      <c r="Q34" s="75">
        <f>IFERROR(AVERAGEIFS('Vegas Odds Spread'!$F:$F,'Vegas Odds Spread'!$M:$M,'Vegas Copy-Paste'!$P34,'Vegas Odds Spread'!$P:$P,"&lt;"&amp;$S$3),0)</f>
        <v>0</v>
      </c>
      <c r="R34" s="75">
        <f>IFERROR(AVERAGEIFS('Vegas Odds Spread'!$G:$G,'Vegas Odds Spread'!$N:$N,'Vegas Copy-Paste'!$P34,'Vegas Odds Spread'!$P:$P,"&lt;"&amp;'Vegas Copy-Paste'!$S$3),0)</f>
        <v>0</v>
      </c>
      <c r="S34" s="76" t="e">
        <f>IFERROR(AVERAGEIFS('Vegas Odds Totals'!$L:$L,'Vegas Odds Totals'!$O:$O,P34,'Vegas Odds Totals'!$R:$R,"&lt;"&amp;'Vegas Copy-Paste'!$S$3),AVERAGEIFS('Vegas Odds Totals'!$L:$L,'Vegas Odds Totals'!$P:$P,P34,'Vegas Odds Totals'!$R:$R,"&lt;"&amp;'Vegas Copy-Paste'!$S$3))</f>
        <v>#DIV/0!</v>
      </c>
      <c r="T34" s="77" t="e">
        <f t="shared" si="1"/>
        <v>#DIV/0!</v>
      </c>
      <c r="U34" s="76">
        <f t="shared" si="2"/>
        <v>0</v>
      </c>
      <c r="V34" t="e">
        <f>IFERROR(VLOOKUP($P34,'Vegas Odds Spread'!$M:$Q,2,FALSE),VLOOKUP($P34,'Vegas Odds Spread'!$N:$Q,4,FALSE))</f>
        <v>#N/A</v>
      </c>
    </row>
    <row r="35" spans="1:22" x14ac:dyDescent="0.2">
      <c r="A35" t="str">
        <f t="shared" si="10"/>
        <v>SFJAC</v>
      </c>
      <c r="P35" s="38" t="s">
        <v>138</v>
      </c>
      <c r="Q35" s="75">
        <f>IFERROR(AVERAGEIFS('Vegas Odds Spread'!$F:$F,'Vegas Odds Spread'!$M:$M,'Vegas Copy-Paste'!$P35,'Vegas Odds Spread'!$P:$P,"&lt;"&amp;$S$3),0)</f>
        <v>0</v>
      </c>
      <c r="R35" s="75">
        <f>IFERROR(AVERAGEIFS('Vegas Odds Spread'!$G:$G,'Vegas Odds Spread'!$N:$N,'Vegas Copy-Paste'!$P35,'Vegas Odds Spread'!$P:$P,"&lt;"&amp;'Vegas Copy-Paste'!$S$3),0)</f>
        <v>3.1470588235294117</v>
      </c>
      <c r="S35" s="76">
        <f>IFERROR(AVERAGEIFS('Vegas Odds Totals'!$L:$L,'Vegas Odds Totals'!$O:$O,P35,'Vegas Odds Totals'!$R:$R,"&lt;"&amp;'Vegas Copy-Paste'!$S$3),AVERAGEIFS('Vegas Odds Totals'!$L:$L,'Vegas Odds Totals'!$P:$P,P35,'Vegas Odds Totals'!$R:$R,"&lt;"&amp;'Vegas Copy-Paste'!$S$3))</f>
        <v>51</v>
      </c>
      <c r="T35" s="77">
        <f t="shared" si="1"/>
        <v>51</v>
      </c>
      <c r="U35" s="76">
        <f t="shared" si="2"/>
        <v>3.1470588235294117</v>
      </c>
      <c r="V35" t="str">
        <f>IFERROR(VLOOKUP($P35,'Vegas Odds Spread'!$M:$Q,2,FALSE),VLOOKUP($P35,'Vegas Odds Spread'!$N:$Q,4,FALSE))</f>
        <v>DAL</v>
      </c>
    </row>
    <row r="36" spans="1:22" x14ac:dyDescent="0.2">
      <c r="A36" t="str">
        <f t="shared" si="9"/>
        <v>MINNO</v>
      </c>
      <c r="P36" s="38" t="s">
        <v>73</v>
      </c>
      <c r="Q36" s="75">
        <f>IFERROR(AVERAGEIFS('Vegas Odds Spread'!$F:$F,'Vegas Odds Spread'!$M:$M,'Vegas Copy-Paste'!$P36,'Vegas Odds Spread'!$P:$P,"&lt;"&amp;$S$3),0)</f>
        <v>0</v>
      </c>
      <c r="R36" s="75">
        <f>IFERROR(AVERAGEIFS('Vegas Odds Spread'!$G:$G,'Vegas Odds Spread'!$N:$N,'Vegas Copy-Paste'!$P36,'Vegas Odds Spread'!$P:$P,"&lt;"&amp;'Vegas Copy-Paste'!$S$3),0)</f>
        <v>0</v>
      </c>
      <c r="S36" s="76" t="e">
        <f>IFERROR(AVERAGEIFS('Vegas Odds Totals'!$L:$L,'Vegas Odds Totals'!$O:$O,P36,'Vegas Odds Totals'!$R:$R,"&lt;"&amp;'Vegas Copy-Paste'!$S$3),AVERAGEIFS('Vegas Odds Totals'!$L:$L,'Vegas Odds Totals'!$P:$P,P36,'Vegas Odds Totals'!$R:$R,"&lt;"&amp;'Vegas Copy-Paste'!$S$3))</f>
        <v>#DIV/0!</v>
      </c>
      <c r="T36" s="77" t="e">
        <f t="shared" si="1"/>
        <v>#DIV/0!</v>
      </c>
      <c r="U36" s="76">
        <f t="shared" si="2"/>
        <v>0</v>
      </c>
      <c r="V36" t="e">
        <f>IFERROR(VLOOKUP($P36,'Vegas Odds Spread'!$M:$Q,2,FALSE),VLOOKUP($P36,'Vegas Odds Spread'!$N:$Q,4,FALSE))</f>
        <v>#N/A</v>
      </c>
    </row>
    <row r="37" spans="1:22" x14ac:dyDescent="0.2">
      <c r="A37" t="str">
        <f t="shared" si="10"/>
        <v>NOMIN</v>
      </c>
      <c r="P37" s="38" t="s">
        <v>86</v>
      </c>
      <c r="Q37" s="75">
        <f>IFERROR(AVERAGEIFS('Vegas Odds Spread'!$F:$F,'Vegas Odds Spread'!$M:$M,'Vegas Copy-Paste'!$P37,'Vegas Odds Spread'!$P:$P,"&lt;"&amp;$S$3),0)</f>
        <v>0</v>
      </c>
      <c r="R37" s="75">
        <f>IFERROR(AVERAGEIFS('Vegas Odds Spread'!$G:$G,'Vegas Odds Spread'!$N:$N,'Vegas Copy-Paste'!$P37,'Vegas Odds Spread'!$P:$P,"&lt;"&amp;'Vegas Copy-Paste'!$S$3),0)</f>
        <v>0</v>
      </c>
      <c r="S37" s="76" t="e">
        <f>IFERROR(AVERAGEIFS('Vegas Odds Totals'!$L:$L,'Vegas Odds Totals'!$O:$O,P37,'Vegas Odds Totals'!$R:$R,"&lt;"&amp;'Vegas Copy-Paste'!$S$3),AVERAGEIFS('Vegas Odds Totals'!$L:$L,'Vegas Odds Totals'!$P:$P,P37,'Vegas Odds Totals'!$R:$R,"&lt;"&amp;'Vegas Copy-Paste'!$S$3))</f>
        <v>#DIV/0!</v>
      </c>
      <c r="T37" s="77" t="e">
        <f t="shared" si="1"/>
        <v>#DIV/0!</v>
      </c>
      <c r="U37" s="76">
        <f t="shared" si="2"/>
        <v>0</v>
      </c>
      <c r="V37" t="e">
        <f>IFERROR(VLOOKUP($P37,'Vegas Odds Spread'!$M:$Q,2,FALSE),VLOOKUP($P37,'Vegas Odds Spread'!$N:$Q,4,FALSE))</f>
        <v>#N/A</v>
      </c>
    </row>
    <row r="41" spans="1:22" x14ac:dyDescent="0.2">
      <c r="B41">
        <v>147</v>
      </c>
      <c r="C41">
        <v>-4</v>
      </c>
      <c r="D41" t="s">
        <v>813</v>
      </c>
      <c r="E41" s="8">
        <v>0.54513888888888895</v>
      </c>
      <c r="F41" t="s">
        <v>837</v>
      </c>
      <c r="H41">
        <v>-3.5</v>
      </c>
      <c r="I41">
        <v>-3.5</v>
      </c>
      <c r="J41">
        <v>-3.5</v>
      </c>
      <c r="K41">
        <v>-3.5</v>
      </c>
      <c r="L41">
        <v>-3.5</v>
      </c>
    </row>
    <row r="42" spans="1:22" x14ac:dyDescent="0.2">
      <c r="B42">
        <v>148</v>
      </c>
      <c r="C42">
        <v>53.5</v>
      </c>
      <c r="D42" t="s">
        <v>696</v>
      </c>
      <c r="E42" s="8"/>
      <c r="F42" t="s">
        <v>837</v>
      </c>
      <c r="H42">
        <v>54</v>
      </c>
      <c r="I42">
        <v>54</v>
      </c>
      <c r="J42">
        <v>54</v>
      </c>
      <c r="K42">
        <v>53.5</v>
      </c>
      <c r="L42">
        <v>53.5</v>
      </c>
    </row>
    <row r="43" spans="1:22" x14ac:dyDescent="0.2">
      <c r="B43">
        <v>149</v>
      </c>
      <c r="C43">
        <v>48</v>
      </c>
      <c r="D43" t="s">
        <v>839</v>
      </c>
      <c r="E43" s="8">
        <v>0.69444444444444453</v>
      </c>
      <c r="F43" t="s">
        <v>837</v>
      </c>
      <c r="H43">
        <v>48.5</v>
      </c>
      <c r="I43">
        <v>48.5</v>
      </c>
      <c r="J43">
        <v>48.5</v>
      </c>
      <c r="K43">
        <v>48.5</v>
      </c>
      <c r="L43">
        <v>48.5</v>
      </c>
    </row>
    <row r="44" spans="1:22" x14ac:dyDescent="0.2">
      <c r="B44">
        <v>150</v>
      </c>
      <c r="C44">
        <v>-7.5</v>
      </c>
      <c r="D44" t="s">
        <v>692</v>
      </c>
      <c r="E44" s="8"/>
      <c r="F44" t="s">
        <v>837</v>
      </c>
      <c r="H44">
        <v>-11</v>
      </c>
      <c r="I44">
        <v>-10.5</v>
      </c>
      <c r="J44">
        <v>-10.5</v>
      </c>
      <c r="K44">
        <v>-10.5</v>
      </c>
      <c r="L44">
        <v>-10.5</v>
      </c>
    </row>
    <row r="45" spans="1:22" x14ac:dyDescent="0.2">
      <c r="B45">
        <v>151</v>
      </c>
      <c r="C45">
        <v>47</v>
      </c>
      <c r="D45" t="s">
        <v>701</v>
      </c>
      <c r="E45" s="8">
        <v>0.84375</v>
      </c>
      <c r="F45" t="s">
        <v>837</v>
      </c>
      <c r="H45">
        <v>47.5</v>
      </c>
      <c r="I45">
        <v>47.5</v>
      </c>
      <c r="J45">
        <v>47.5</v>
      </c>
      <c r="K45">
        <v>48</v>
      </c>
      <c r="L45">
        <v>47.5</v>
      </c>
    </row>
    <row r="46" spans="1:22" x14ac:dyDescent="0.2">
      <c r="B46">
        <v>152</v>
      </c>
      <c r="C46">
        <v>-3.5</v>
      </c>
      <c r="D46" t="s">
        <v>666</v>
      </c>
      <c r="E46" s="8"/>
      <c r="F46" t="s">
        <v>837</v>
      </c>
      <c r="H46">
        <v>-5.5</v>
      </c>
      <c r="I46">
        <v>-5.5</v>
      </c>
      <c r="J46">
        <v>-5.5</v>
      </c>
      <c r="K46">
        <v>-5.5</v>
      </c>
      <c r="L46">
        <v>-6</v>
      </c>
    </row>
    <row r="47" spans="1:22" x14ac:dyDescent="0.2">
      <c r="E47" s="8"/>
    </row>
    <row r="48" spans="1:22" x14ac:dyDescent="0.2">
      <c r="E48" s="8"/>
    </row>
    <row r="49" spans="5:5" x14ac:dyDescent="0.2">
      <c r="E49" s="8"/>
    </row>
    <row r="50" spans="5:5" x14ac:dyDescent="0.2">
      <c r="E50" s="8"/>
    </row>
    <row r="51" spans="5:5" x14ac:dyDescent="0.2">
      <c r="E51" s="8"/>
    </row>
    <row r="52" spans="5:5" x14ac:dyDescent="0.2">
      <c r="E52" s="8"/>
    </row>
    <row r="53" spans="5:5" x14ac:dyDescent="0.2">
      <c r="E53" s="8"/>
    </row>
    <row r="54" spans="5:5" x14ac:dyDescent="0.2">
      <c r="E54" s="8"/>
    </row>
    <row r="55" spans="5:5" x14ac:dyDescent="0.2">
      <c r="E55" s="8"/>
    </row>
    <row r="56" spans="5:5" x14ac:dyDescent="0.2">
      <c r="E56" s="8"/>
    </row>
    <row r="57" spans="5:5" x14ac:dyDescent="0.2">
      <c r="E57" s="8"/>
    </row>
    <row r="58" spans="5:5" x14ac:dyDescent="0.2">
      <c r="E58" s="8"/>
    </row>
    <row r="59" spans="5:5" x14ac:dyDescent="0.2">
      <c r="E59" s="8"/>
    </row>
    <row r="60" spans="5:5" x14ac:dyDescent="0.2">
      <c r="E60" s="8"/>
    </row>
    <row r="61" spans="5:5" x14ac:dyDescent="0.2">
      <c r="E61" s="8"/>
    </row>
    <row r="62" spans="5:5" x14ac:dyDescent="0.2">
      <c r="E62" s="8"/>
    </row>
    <row r="63" spans="5:5" x14ac:dyDescent="0.2">
      <c r="E63" s="8"/>
    </row>
    <row r="64" spans="5:5" x14ac:dyDescent="0.2">
      <c r="E64" s="8"/>
    </row>
    <row r="65" spans="5:5" x14ac:dyDescent="0.2">
      <c r="E65" s="8"/>
    </row>
    <row r="67" spans="5:5" x14ac:dyDescent="0.2">
      <c r="E67" s="8"/>
    </row>
    <row r="69" spans="5:5" x14ac:dyDescent="0.2">
      <c r="E69" s="8"/>
    </row>
    <row r="71" spans="5:5" x14ac:dyDescent="0.2">
      <c r="E71" s="8"/>
    </row>
  </sheetData>
  <sortState xmlns:xlrd2="http://schemas.microsoft.com/office/spreadsheetml/2017/richdata2" ref="Z5:Z50">
    <sortCondition ref="Z5:Z50"/>
  </sortState>
  <hyperlinks>
    <hyperlink ref="B1" r:id="rId1" xr:uid="{00000000-0004-0000-0600-000000000000}"/>
  </hyperlinks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Q377"/>
  <sheetViews>
    <sheetView workbookViewId="0">
      <selection activeCell="B2" sqref="B2"/>
    </sheetView>
  </sheetViews>
  <sheetFormatPr baseColWidth="10" defaultColWidth="11.5" defaultRowHeight="15" x14ac:dyDescent="0.2"/>
  <cols>
    <col min="1" max="1" width="38.33203125" bestFit="1" customWidth="1"/>
    <col min="2" max="2" width="22.6640625" bestFit="1" customWidth="1"/>
    <col min="3" max="3" width="7.33203125" bestFit="1" customWidth="1"/>
    <col min="5" max="5" width="22.6640625" bestFit="1" customWidth="1"/>
    <col min="11" max="11" width="17.33203125" bestFit="1" customWidth="1"/>
    <col min="12" max="12" width="21.6640625" bestFit="1" customWidth="1"/>
  </cols>
  <sheetData>
    <row r="1" spans="1:17" x14ac:dyDescent="0.2">
      <c r="A1" t="s">
        <v>840</v>
      </c>
      <c r="B1" t="s">
        <v>841</v>
      </c>
      <c r="C1" t="s">
        <v>842</v>
      </c>
      <c r="D1" t="s">
        <v>843</v>
      </c>
      <c r="E1" t="s">
        <v>844</v>
      </c>
      <c r="F1" t="s">
        <v>834</v>
      </c>
      <c r="G1" t="s">
        <v>835</v>
      </c>
      <c r="H1" t="s">
        <v>845</v>
      </c>
      <c r="I1" t="s">
        <v>846</v>
      </c>
      <c r="M1" t="s">
        <v>847</v>
      </c>
      <c r="N1" t="s">
        <v>848</v>
      </c>
      <c r="O1" t="s">
        <v>849</v>
      </c>
      <c r="Q1" t="s">
        <v>22</v>
      </c>
    </row>
    <row r="2" spans="1:17" x14ac:dyDescent="0.2">
      <c r="A2" t="s">
        <v>3040</v>
      </c>
      <c r="B2" t="s">
        <v>3041</v>
      </c>
      <c r="C2" t="s">
        <v>850</v>
      </c>
      <c r="D2" t="s">
        <v>851</v>
      </c>
      <c r="E2" t="s">
        <v>3042</v>
      </c>
      <c r="F2">
        <v>7.5</v>
      </c>
      <c r="G2">
        <v>-7.5</v>
      </c>
      <c r="H2">
        <v>1.92</v>
      </c>
      <c r="I2">
        <v>1.96</v>
      </c>
      <c r="K2" t="str">
        <f t="shared" ref="K2:K65" si="0">LEFT(A2,(FIND("_",A2)-1))</f>
        <v>Philadelphia Eagles</v>
      </c>
      <c r="L2" t="str">
        <f t="shared" ref="L2:L65" si="1">RIGHT(A2,LEN(A2)-FIND("_",A2))</f>
        <v>Tampa Bay Buccaneers</v>
      </c>
      <c r="M2" t="str">
        <f>VLOOKUP(K2,'Name Bridge'!$A:$B,2,FALSE)</f>
        <v>PHI</v>
      </c>
      <c r="N2" s="73" t="str">
        <f>VLOOKUP(L2,'Name Bridge'!$A:$B,2,FALSE)</f>
        <v>TB</v>
      </c>
      <c r="O2" t="str">
        <f>LEFT(B2,10)</f>
        <v>2022-01-16</v>
      </c>
      <c r="P2">
        <f>_xlfn.NUMBERVALUE(O2)</f>
        <v>44577</v>
      </c>
      <c r="Q2" t="str">
        <f>M2</f>
        <v>PHI</v>
      </c>
    </row>
    <row r="3" spans="1:17" x14ac:dyDescent="0.2">
      <c r="A3" t="s">
        <v>3040</v>
      </c>
      <c r="B3" t="s">
        <v>3041</v>
      </c>
      <c r="C3" t="s">
        <v>850</v>
      </c>
      <c r="D3" t="s">
        <v>855</v>
      </c>
      <c r="E3" t="s">
        <v>3043</v>
      </c>
      <c r="F3">
        <v>7.5</v>
      </c>
      <c r="G3">
        <v>-7.5</v>
      </c>
      <c r="H3">
        <v>1.92</v>
      </c>
      <c r="I3">
        <v>1.95</v>
      </c>
      <c r="K3" t="str">
        <f t="shared" si="0"/>
        <v>Philadelphia Eagles</v>
      </c>
      <c r="L3" t="str">
        <f t="shared" si="1"/>
        <v>Tampa Bay Buccaneers</v>
      </c>
      <c r="M3" t="str">
        <f>VLOOKUP(K3,'Name Bridge'!$A:$B,2,FALSE)</f>
        <v>PHI</v>
      </c>
      <c r="N3" s="73" t="str">
        <f>VLOOKUP(L3,'Name Bridge'!$A:$B,2,FALSE)</f>
        <v>TB</v>
      </c>
      <c r="O3" t="str">
        <f t="shared" ref="O3:O65" si="2">LEFT(B3,10)</f>
        <v>2022-01-16</v>
      </c>
      <c r="P3">
        <f t="shared" ref="P3:P66" si="3">_xlfn.NUMBERVALUE(O3)</f>
        <v>44577</v>
      </c>
      <c r="Q3" t="str">
        <f t="shared" ref="Q3:Q66" si="4">M3</f>
        <v>PHI</v>
      </c>
    </row>
    <row r="4" spans="1:17" x14ac:dyDescent="0.2">
      <c r="A4" t="s">
        <v>3040</v>
      </c>
      <c r="B4" t="s">
        <v>3041</v>
      </c>
      <c r="C4" t="s">
        <v>850</v>
      </c>
      <c r="D4" t="s">
        <v>859</v>
      </c>
      <c r="E4" t="s">
        <v>3044</v>
      </c>
      <c r="F4">
        <v>7.5</v>
      </c>
      <c r="G4">
        <v>-7.5</v>
      </c>
      <c r="H4">
        <v>1.88</v>
      </c>
      <c r="I4">
        <v>1.93</v>
      </c>
      <c r="K4" t="str">
        <f t="shared" si="0"/>
        <v>Philadelphia Eagles</v>
      </c>
      <c r="L4" t="str">
        <f t="shared" si="1"/>
        <v>Tampa Bay Buccaneers</v>
      </c>
      <c r="M4" t="str">
        <f>VLOOKUP(K4,'Name Bridge'!$A:$B,2,FALSE)</f>
        <v>PHI</v>
      </c>
      <c r="N4" s="73" t="str">
        <f>VLOOKUP(L4,'Name Bridge'!$A:$B,2,FALSE)</f>
        <v>TB</v>
      </c>
      <c r="O4" t="str">
        <f t="shared" si="2"/>
        <v>2022-01-16</v>
      </c>
      <c r="P4">
        <f t="shared" si="3"/>
        <v>44577</v>
      </c>
      <c r="Q4" t="str">
        <f t="shared" si="4"/>
        <v>PHI</v>
      </c>
    </row>
    <row r="5" spans="1:17" x14ac:dyDescent="0.2">
      <c r="A5" t="s">
        <v>3040</v>
      </c>
      <c r="B5" t="s">
        <v>3041</v>
      </c>
      <c r="C5" t="s">
        <v>850</v>
      </c>
      <c r="D5" t="s">
        <v>852</v>
      </c>
      <c r="E5" t="s">
        <v>3044</v>
      </c>
      <c r="F5">
        <v>7.5</v>
      </c>
      <c r="G5">
        <v>-7.5</v>
      </c>
      <c r="H5">
        <v>1.92</v>
      </c>
      <c r="I5">
        <v>1.95</v>
      </c>
      <c r="K5" t="str">
        <f t="shared" si="0"/>
        <v>Philadelphia Eagles</v>
      </c>
      <c r="L5" t="str">
        <f t="shared" si="1"/>
        <v>Tampa Bay Buccaneers</v>
      </c>
      <c r="M5" t="str">
        <f>VLOOKUP(K5,'Name Bridge'!$A:$B,2,FALSE)</f>
        <v>PHI</v>
      </c>
      <c r="N5" s="73" t="str">
        <f>VLOOKUP(L5,'Name Bridge'!$A:$B,2,FALSE)</f>
        <v>TB</v>
      </c>
      <c r="O5" t="str">
        <f t="shared" si="2"/>
        <v>2022-01-16</v>
      </c>
      <c r="P5">
        <f t="shared" si="3"/>
        <v>44577</v>
      </c>
      <c r="Q5" t="str">
        <f t="shared" si="4"/>
        <v>PHI</v>
      </c>
    </row>
    <row r="6" spans="1:17" x14ac:dyDescent="0.2">
      <c r="A6" t="s">
        <v>3040</v>
      </c>
      <c r="B6" t="s">
        <v>3041</v>
      </c>
      <c r="C6" t="s">
        <v>850</v>
      </c>
      <c r="D6" t="s">
        <v>858</v>
      </c>
      <c r="E6" t="s">
        <v>3043</v>
      </c>
      <c r="F6">
        <v>7</v>
      </c>
      <c r="G6">
        <v>-7</v>
      </c>
      <c r="H6">
        <v>1.95</v>
      </c>
      <c r="I6">
        <v>1.87</v>
      </c>
      <c r="K6" t="str">
        <f t="shared" si="0"/>
        <v>Philadelphia Eagles</v>
      </c>
      <c r="L6" t="str">
        <f t="shared" si="1"/>
        <v>Tampa Bay Buccaneers</v>
      </c>
      <c r="M6" t="str">
        <f>VLOOKUP(K6,'Name Bridge'!$A:$B,2,FALSE)</f>
        <v>PHI</v>
      </c>
      <c r="N6" s="73" t="str">
        <f>VLOOKUP(L6,'Name Bridge'!$A:$B,2,FALSE)</f>
        <v>TB</v>
      </c>
      <c r="O6" t="str">
        <f t="shared" si="2"/>
        <v>2022-01-16</v>
      </c>
      <c r="P6">
        <f t="shared" si="3"/>
        <v>44577</v>
      </c>
      <c r="Q6" t="str">
        <f t="shared" si="4"/>
        <v>PHI</v>
      </c>
    </row>
    <row r="7" spans="1:17" x14ac:dyDescent="0.2">
      <c r="A7" t="s">
        <v>3040</v>
      </c>
      <c r="B7" t="s">
        <v>3041</v>
      </c>
      <c r="C7" t="s">
        <v>850</v>
      </c>
      <c r="D7" t="s">
        <v>2305</v>
      </c>
      <c r="E7" t="s">
        <v>3045</v>
      </c>
      <c r="F7">
        <v>7.5</v>
      </c>
      <c r="G7">
        <v>-7.5</v>
      </c>
      <c r="H7">
        <v>1.88</v>
      </c>
      <c r="I7">
        <v>1.93</v>
      </c>
      <c r="K7" t="str">
        <f t="shared" si="0"/>
        <v>Philadelphia Eagles</v>
      </c>
      <c r="L7" t="str">
        <f t="shared" si="1"/>
        <v>Tampa Bay Buccaneers</v>
      </c>
      <c r="M7" t="str">
        <f>VLOOKUP(K7,'Name Bridge'!$A:$B,2,FALSE)</f>
        <v>PHI</v>
      </c>
      <c r="N7" s="73" t="str">
        <f>VLOOKUP(L7,'Name Bridge'!$A:$B,2,FALSE)</f>
        <v>TB</v>
      </c>
      <c r="O7" t="str">
        <f t="shared" si="2"/>
        <v>2022-01-16</v>
      </c>
      <c r="P7">
        <f t="shared" si="3"/>
        <v>44577</v>
      </c>
      <c r="Q7" t="str">
        <f t="shared" si="4"/>
        <v>PHI</v>
      </c>
    </row>
    <row r="8" spans="1:17" x14ac:dyDescent="0.2">
      <c r="A8" t="s">
        <v>3040</v>
      </c>
      <c r="B8" t="s">
        <v>3041</v>
      </c>
      <c r="C8" t="s">
        <v>850</v>
      </c>
      <c r="D8" t="s">
        <v>854</v>
      </c>
      <c r="E8" t="s">
        <v>3046</v>
      </c>
      <c r="F8">
        <v>7.5</v>
      </c>
      <c r="G8">
        <v>-7.5</v>
      </c>
      <c r="H8">
        <v>1.91</v>
      </c>
      <c r="I8">
        <v>1.91</v>
      </c>
      <c r="K8" t="str">
        <f t="shared" si="0"/>
        <v>Philadelphia Eagles</v>
      </c>
      <c r="L8" t="str">
        <f t="shared" si="1"/>
        <v>Tampa Bay Buccaneers</v>
      </c>
      <c r="M8" t="str">
        <f>VLOOKUP(K8,'Name Bridge'!$A:$B,2,FALSE)</f>
        <v>PHI</v>
      </c>
      <c r="N8" s="73" t="str">
        <f>VLOOKUP(L8,'Name Bridge'!$A:$B,2,FALSE)</f>
        <v>TB</v>
      </c>
      <c r="O8" t="str">
        <f t="shared" si="2"/>
        <v>2022-01-16</v>
      </c>
      <c r="P8">
        <f t="shared" si="3"/>
        <v>44577</v>
      </c>
      <c r="Q8" t="str">
        <f t="shared" si="4"/>
        <v>PHI</v>
      </c>
    </row>
    <row r="9" spans="1:17" x14ac:dyDescent="0.2">
      <c r="A9" t="s">
        <v>3040</v>
      </c>
      <c r="B9" t="s">
        <v>3041</v>
      </c>
      <c r="C9" t="s">
        <v>850</v>
      </c>
      <c r="D9" t="s">
        <v>2664</v>
      </c>
      <c r="E9" t="s">
        <v>3047</v>
      </c>
      <c r="F9">
        <v>7</v>
      </c>
      <c r="G9">
        <v>-7</v>
      </c>
      <c r="H9">
        <v>1.98</v>
      </c>
      <c r="I9">
        <v>1.84</v>
      </c>
      <c r="K9" t="str">
        <f t="shared" si="0"/>
        <v>Philadelphia Eagles</v>
      </c>
      <c r="L9" t="str">
        <f t="shared" si="1"/>
        <v>Tampa Bay Buccaneers</v>
      </c>
      <c r="M9" t="str">
        <f>VLOOKUP(K9,'Name Bridge'!$A:$B,2,FALSE)</f>
        <v>PHI</v>
      </c>
      <c r="N9" s="73" t="str">
        <f>VLOOKUP(L9,'Name Bridge'!$A:$B,2,FALSE)</f>
        <v>TB</v>
      </c>
      <c r="O9" t="str">
        <f t="shared" si="2"/>
        <v>2022-01-16</v>
      </c>
      <c r="P9">
        <f t="shared" si="3"/>
        <v>44577</v>
      </c>
      <c r="Q9" t="str">
        <f t="shared" si="4"/>
        <v>PHI</v>
      </c>
    </row>
    <row r="10" spans="1:17" x14ac:dyDescent="0.2">
      <c r="A10" t="s">
        <v>3040</v>
      </c>
      <c r="B10" t="s">
        <v>3041</v>
      </c>
      <c r="C10" t="s">
        <v>850</v>
      </c>
      <c r="D10" t="s">
        <v>853</v>
      </c>
      <c r="E10" t="s">
        <v>3047</v>
      </c>
      <c r="F10">
        <v>7</v>
      </c>
      <c r="G10">
        <v>-7</v>
      </c>
      <c r="H10">
        <v>1.95</v>
      </c>
      <c r="I10">
        <v>1.87</v>
      </c>
      <c r="K10" t="str">
        <f t="shared" si="0"/>
        <v>Philadelphia Eagles</v>
      </c>
      <c r="L10" t="str">
        <f t="shared" si="1"/>
        <v>Tampa Bay Buccaneers</v>
      </c>
      <c r="M10" t="str">
        <f>VLOOKUP(K10,'Name Bridge'!$A:$B,2,FALSE)</f>
        <v>PHI</v>
      </c>
      <c r="N10" s="73" t="str">
        <f>VLOOKUP(L10,'Name Bridge'!$A:$B,2,FALSE)</f>
        <v>TB</v>
      </c>
      <c r="O10" t="str">
        <f t="shared" si="2"/>
        <v>2022-01-16</v>
      </c>
      <c r="P10">
        <f t="shared" si="3"/>
        <v>44577</v>
      </c>
      <c r="Q10" t="str">
        <f t="shared" si="4"/>
        <v>PHI</v>
      </c>
    </row>
    <row r="11" spans="1:17" x14ac:dyDescent="0.2">
      <c r="A11" t="s">
        <v>3040</v>
      </c>
      <c r="B11" t="s">
        <v>3041</v>
      </c>
      <c r="C11" t="s">
        <v>850</v>
      </c>
      <c r="D11" t="s">
        <v>2408</v>
      </c>
      <c r="E11" t="s">
        <v>3047</v>
      </c>
      <c r="F11">
        <v>7.5</v>
      </c>
      <c r="G11">
        <v>-7.5</v>
      </c>
      <c r="H11">
        <v>1.91</v>
      </c>
      <c r="I11">
        <v>1.91</v>
      </c>
      <c r="K11" t="str">
        <f t="shared" si="0"/>
        <v>Philadelphia Eagles</v>
      </c>
      <c r="L11" t="str">
        <f t="shared" si="1"/>
        <v>Tampa Bay Buccaneers</v>
      </c>
      <c r="M11" t="str">
        <f>VLOOKUP(K11,'Name Bridge'!$A:$B,2,FALSE)</f>
        <v>PHI</v>
      </c>
      <c r="N11" s="73" t="str">
        <f>VLOOKUP(L11,'Name Bridge'!$A:$B,2,FALSE)</f>
        <v>TB</v>
      </c>
      <c r="O11" t="str">
        <f t="shared" si="2"/>
        <v>2022-01-16</v>
      </c>
      <c r="P11">
        <f t="shared" si="3"/>
        <v>44577</v>
      </c>
      <c r="Q11" t="str">
        <f t="shared" si="4"/>
        <v>PHI</v>
      </c>
    </row>
    <row r="12" spans="1:17" x14ac:dyDescent="0.2">
      <c r="A12" t="s">
        <v>3040</v>
      </c>
      <c r="B12" t="s">
        <v>3041</v>
      </c>
      <c r="C12" t="s">
        <v>850</v>
      </c>
      <c r="D12" t="s">
        <v>860</v>
      </c>
      <c r="E12" t="s">
        <v>3044</v>
      </c>
      <c r="F12">
        <v>7.5</v>
      </c>
      <c r="G12">
        <v>-7.5</v>
      </c>
      <c r="H12">
        <v>1.87</v>
      </c>
      <c r="I12">
        <v>1.95</v>
      </c>
      <c r="K12" t="str">
        <f t="shared" si="0"/>
        <v>Philadelphia Eagles</v>
      </c>
      <c r="L12" t="str">
        <f t="shared" si="1"/>
        <v>Tampa Bay Buccaneers</v>
      </c>
      <c r="M12" t="str">
        <f>VLOOKUP(K12,'Name Bridge'!$A:$B,2,FALSE)</f>
        <v>PHI</v>
      </c>
      <c r="N12" s="73" t="str">
        <f>VLOOKUP(L12,'Name Bridge'!$A:$B,2,FALSE)</f>
        <v>TB</v>
      </c>
      <c r="O12" t="str">
        <f t="shared" si="2"/>
        <v>2022-01-16</v>
      </c>
      <c r="P12">
        <f t="shared" si="3"/>
        <v>44577</v>
      </c>
      <c r="Q12" t="str">
        <f t="shared" si="4"/>
        <v>PHI</v>
      </c>
    </row>
    <row r="13" spans="1:17" x14ac:dyDescent="0.2">
      <c r="A13" t="s">
        <v>3040</v>
      </c>
      <c r="B13" t="s">
        <v>3041</v>
      </c>
      <c r="C13" t="s">
        <v>850</v>
      </c>
      <c r="D13" t="s">
        <v>861</v>
      </c>
      <c r="E13" t="s">
        <v>3043</v>
      </c>
      <c r="F13">
        <v>7</v>
      </c>
      <c r="G13">
        <v>-7</v>
      </c>
      <c r="H13">
        <v>1.95</v>
      </c>
      <c r="I13">
        <v>1.87</v>
      </c>
      <c r="K13" t="str">
        <f t="shared" si="0"/>
        <v>Philadelphia Eagles</v>
      </c>
      <c r="L13" t="str">
        <f t="shared" si="1"/>
        <v>Tampa Bay Buccaneers</v>
      </c>
      <c r="M13" t="str">
        <f>VLOOKUP(K13,'Name Bridge'!$A:$B,2,FALSE)</f>
        <v>PHI</v>
      </c>
      <c r="N13" s="73" t="str">
        <f>VLOOKUP(L13,'Name Bridge'!$A:$B,2,FALSE)</f>
        <v>TB</v>
      </c>
      <c r="O13" t="str">
        <f t="shared" si="2"/>
        <v>2022-01-16</v>
      </c>
      <c r="P13">
        <f t="shared" si="3"/>
        <v>44577</v>
      </c>
      <c r="Q13" t="str">
        <f t="shared" si="4"/>
        <v>PHI</v>
      </c>
    </row>
    <row r="14" spans="1:17" x14ac:dyDescent="0.2">
      <c r="A14" t="s">
        <v>3040</v>
      </c>
      <c r="B14" t="s">
        <v>3041</v>
      </c>
      <c r="C14" t="s">
        <v>850</v>
      </c>
      <c r="D14" t="s">
        <v>2378</v>
      </c>
      <c r="E14" t="s">
        <v>3048</v>
      </c>
      <c r="F14">
        <v>7.5</v>
      </c>
      <c r="G14">
        <v>-7.5</v>
      </c>
      <c r="H14">
        <v>1.83</v>
      </c>
      <c r="I14">
        <v>2</v>
      </c>
      <c r="K14" t="str">
        <f t="shared" si="0"/>
        <v>Philadelphia Eagles</v>
      </c>
      <c r="L14" t="str">
        <f t="shared" si="1"/>
        <v>Tampa Bay Buccaneers</v>
      </c>
      <c r="M14" t="str">
        <f>VLOOKUP(K14,'Name Bridge'!$A:$B,2,FALSE)</f>
        <v>PHI</v>
      </c>
      <c r="N14" s="73" t="str">
        <f>VLOOKUP(L14,'Name Bridge'!$A:$B,2,FALSE)</f>
        <v>TB</v>
      </c>
      <c r="O14" t="str">
        <f t="shared" si="2"/>
        <v>2022-01-16</v>
      </c>
      <c r="P14">
        <f t="shared" si="3"/>
        <v>44577</v>
      </c>
      <c r="Q14" t="str">
        <f t="shared" si="4"/>
        <v>PHI</v>
      </c>
    </row>
    <row r="15" spans="1:17" x14ac:dyDescent="0.2">
      <c r="A15" t="s">
        <v>3040</v>
      </c>
      <c r="B15" t="s">
        <v>3041</v>
      </c>
      <c r="C15" t="s">
        <v>850</v>
      </c>
      <c r="D15" t="s">
        <v>2380</v>
      </c>
      <c r="E15" t="s">
        <v>3049</v>
      </c>
      <c r="F15">
        <v>7.5</v>
      </c>
      <c r="G15">
        <v>-7.5</v>
      </c>
      <c r="H15">
        <v>1.87</v>
      </c>
      <c r="I15">
        <v>1.95</v>
      </c>
      <c r="K15" t="str">
        <f t="shared" si="0"/>
        <v>Philadelphia Eagles</v>
      </c>
      <c r="L15" t="str">
        <f t="shared" si="1"/>
        <v>Tampa Bay Buccaneers</v>
      </c>
      <c r="M15" t="str">
        <f>VLOOKUP(K15,'Name Bridge'!$A:$B,2,FALSE)</f>
        <v>PHI</v>
      </c>
      <c r="N15" s="73" t="str">
        <f>VLOOKUP(L15,'Name Bridge'!$A:$B,2,FALSE)</f>
        <v>TB</v>
      </c>
      <c r="O15" t="str">
        <f t="shared" si="2"/>
        <v>2022-01-16</v>
      </c>
      <c r="P15">
        <f t="shared" si="3"/>
        <v>44577</v>
      </c>
      <c r="Q15" t="str">
        <f t="shared" si="4"/>
        <v>PHI</v>
      </c>
    </row>
    <row r="16" spans="1:17" x14ac:dyDescent="0.2">
      <c r="A16" t="s">
        <v>3040</v>
      </c>
      <c r="B16" t="s">
        <v>3041</v>
      </c>
      <c r="C16" t="s">
        <v>850</v>
      </c>
      <c r="D16" t="s">
        <v>856</v>
      </c>
      <c r="E16" t="s">
        <v>3048</v>
      </c>
      <c r="F16">
        <v>7</v>
      </c>
      <c r="G16">
        <v>-7</v>
      </c>
      <c r="H16">
        <v>1.96</v>
      </c>
      <c r="I16">
        <v>1.88</v>
      </c>
      <c r="K16" t="str">
        <f t="shared" si="0"/>
        <v>Philadelphia Eagles</v>
      </c>
      <c r="L16" t="str">
        <f t="shared" si="1"/>
        <v>Tampa Bay Buccaneers</v>
      </c>
      <c r="M16" t="str">
        <f>VLOOKUP(K16,'Name Bridge'!$A:$B,2,FALSE)</f>
        <v>PHI</v>
      </c>
      <c r="N16" s="73" t="str">
        <f>VLOOKUP(L16,'Name Bridge'!$A:$B,2,FALSE)</f>
        <v>TB</v>
      </c>
      <c r="O16" t="str">
        <f t="shared" si="2"/>
        <v>2022-01-16</v>
      </c>
      <c r="P16">
        <f t="shared" si="3"/>
        <v>44577</v>
      </c>
      <c r="Q16" t="str">
        <f t="shared" si="4"/>
        <v>PHI</v>
      </c>
    </row>
    <row r="17" spans="1:17" x14ac:dyDescent="0.2">
      <c r="A17" t="s">
        <v>3040</v>
      </c>
      <c r="B17" t="s">
        <v>3041</v>
      </c>
      <c r="C17" t="s">
        <v>850</v>
      </c>
      <c r="D17" t="s">
        <v>857</v>
      </c>
      <c r="E17" t="s">
        <v>3050</v>
      </c>
      <c r="F17">
        <v>8.5</v>
      </c>
      <c r="G17">
        <v>-8.5</v>
      </c>
      <c r="H17">
        <v>1.91</v>
      </c>
      <c r="I17">
        <v>1.91</v>
      </c>
      <c r="K17" t="str">
        <f t="shared" si="0"/>
        <v>Philadelphia Eagles</v>
      </c>
      <c r="L17" t="str">
        <f t="shared" si="1"/>
        <v>Tampa Bay Buccaneers</v>
      </c>
      <c r="M17" t="str">
        <f>VLOOKUP(K17,'Name Bridge'!$A:$B,2,FALSE)</f>
        <v>PHI</v>
      </c>
      <c r="N17" s="73" t="str">
        <f>VLOOKUP(L17,'Name Bridge'!$A:$B,2,FALSE)</f>
        <v>TB</v>
      </c>
      <c r="O17" t="str">
        <f t="shared" si="2"/>
        <v>2022-01-16</v>
      </c>
      <c r="P17">
        <f t="shared" si="3"/>
        <v>44577</v>
      </c>
      <c r="Q17" t="str">
        <f t="shared" si="4"/>
        <v>PHI</v>
      </c>
    </row>
    <row r="18" spans="1:17" x14ac:dyDescent="0.2">
      <c r="A18" t="s">
        <v>3040</v>
      </c>
      <c r="B18" t="s">
        <v>3041</v>
      </c>
      <c r="C18" t="s">
        <v>850</v>
      </c>
      <c r="D18" t="s">
        <v>862</v>
      </c>
      <c r="E18" t="s">
        <v>3044</v>
      </c>
      <c r="F18">
        <v>7.5</v>
      </c>
      <c r="G18">
        <v>-7.5</v>
      </c>
      <c r="H18">
        <v>1.83</v>
      </c>
      <c r="I18">
        <v>2</v>
      </c>
      <c r="K18" t="str">
        <f t="shared" si="0"/>
        <v>Philadelphia Eagles</v>
      </c>
      <c r="L18" t="str">
        <f t="shared" si="1"/>
        <v>Tampa Bay Buccaneers</v>
      </c>
      <c r="M18" t="str">
        <f>VLOOKUP(K18,'Name Bridge'!$A:$B,2,FALSE)</f>
        <v>PHI</v>
      </c>
      <c r="N18" s="73" t="str">
        <f>VLOOKUP(L18,'Name Bridge'!$A:$B,2,FALSE)</f>
        <v>TB</v>
      </c>
      <c r="O18" t="str">
        <f t="shared" si="2"/>
        <v>2022-01-16</v>
      </c>
      <c r="P18">
        <f t="shared" si="3"/>
        <v>44577</v>
      </c>
      <c r="Q18" t="str">
        <f t="shared" si="4"/>
        <v>PHI</v>
      </c>
    </row>
    <row r="19" spans="1:17" x14ac:dyDescent="0.2">
      <c r="A19" t="s">
        <v>3040</v>
      </c>
      <c r="B19" t="s">
        <v>3041</v>
      </c>
      <c r="C19" t="s">
        <v>850</v>
      </c>
      <c r="D19" t="s">
        <v>3051</v>
      </c>
      <c r="E19" t="s">
        <v>3048</v>
      </c>
      <c r="F19">
        <v>7</v>
      </c>
      <c r="G19">
        <v>-7</v>
      </c>
      <c r="H19">
        <v>2.0099999999999998</v>
      </c>
      <c r="I19">
        <v>1.89</v>
      </c>
      <c r="K19" t="str">
        <f t="shared" si="0"/>
        <v>Philadelphia Eagles</v>
      </c>
      <c r="L19" t="str">
        <f t="shared" si="1"/>
        <v>Tampa Bay Buccaneers</v>
      </c>
      <c r="M19" t="str">
        <f>VLOOKUP(K19,'Name Bridge'!$A:$B,2,FALSE)</f>
        <v>PHI</v>
      </c>
      <c r="N19" s="73" t="str">
        <f>VLOOKUP(L19,'Name Bridge'!$A:$B,2,FALSE)</f>
        <v>TB</v>
      </c>
      <c r="O19" t="str">
        <f t="shared" si="2"/>
        <v>2022-01-16</v>
      </c>
      <c r="P19">
        <f t="shared" si="3"/>
        <v>44577</v>
      </c>
      <c r="Q19" t="str">
        <f t="shared" si="4"/>
        <v>PHI</v>
      </c>
    </row>
    <row r="20" spans="1:17" x14ac:dyDescent="0.2">
      <c r="A20" t="s">
        <v>3052</v>
      </c>
      <c r="B20" t="s">
        <v>3053</v>
      </c>
      <c r="C20" t="s">
        <v>850</v>
      </c>
      <c r="D20" t="s">
        <v>851</v>
      </c>
      <c r="E20" t="s">
        <v>3042</v>
      </c>
      <c r="F20">
        <v>-3.5</v>
      </c>
      <c r="G20">
        <v>3.5</v>
      </c>
      <c r="H20">
        <v>2</v>
      </c>
      <c r="I20">
        <v>1.88</v>
      </c>
      <c r="K20" t="str">
        <f t="shared" si="0"/>
        <v>Dallas Cowboys</v>
      </c>
      <c r="L20" t="str">
        <f t="shared" si="1"/>
        <v>San Francisco 49ers</v>
      </c>
      <c r="M20" t="str">
        <f>VLOOKUP(K20,'Name Bridge'!$A:$B,2,FALSE)</f>
        <v>DAL</v>
      </c>
      <c r="N20" s="73" t="str">
        <f>VLOOKUP(L20,'Name Bridge'!$A:$B,2,FALSE)</f>
        <v>SF</v>
      </c>
      <c r="O20" t="str">
        <f t="shared" si="2"/>
        <v>2022-01-16</v>
      </c>
      <c r="P20">
        <f t="shared" si="3"/>
        <v>44577</v>
      </c>
      <c r="Q20" t="str">
        <f t="shared" si="4"/>
        <v>DAL</v>
      </c>
    </row>
    <row r="21" spans="1:17" x14ac:dyDescent="0.2">
      <c r="A21" t="s">
        <v>3052</v>
      </c>
      <c r="B21" t="s">
        <v>3053</v>
      </c>
      <c r="C21" t="s">
        <v>850</v>
      </c>
      <c r="D21" t="s">
        <v>855</v>
      </c>
      <c r="E21" t="s">
        <v>3043</v>
      </c>
      <c r="F21">
        <v>-3.5</v>
      </c>
      <c r="G21">
        <v>3.5</v>
      </c>
      <c r="H21">
        <v>2</v>
      </c>
      <c r="I21">
        <v>1.88</v>
      </c>
      <c r="K21" t="str">
        <f t="shared" si="0"/>
        <v>Dallas Cowboys</v>
      </c>
      <c r="L21" t="str">
        <f t="shared" si="1"/>
        <v>San Francisco 49ers</v>
      </c>
      <c r="M21" t="str">
        <f>VLOOKUP(K21,'Name Bridge'!$A:$B,2,FALSE)</f>
        <v>DAL</v>
      </c>
      <c r="N21" s="73" t="str">
        <f>VLOOKUP(L21,'Name Bridge'!$A:$B,2,FALSE)</f>
        <v>SF</v>
      </c>
      <c r="O21" t="str">
        <f t="shared" si="2"/>
        <v>2022-01-16</v>
      </c>
      <c r="P21">
        <f t="shared" si="3"/>
        <v>44577</v>
      </c>
      <c r="Q21" t="str">
        <f t="shared" si="4"/>
        <v>DAL</v>
      </c>
    </row>
    <row r="22" spans="1:17" x14ac:dyDescent="0.2">
      <c r="A22" t="s">
        <v>3052</v>
      </c>
      <c r="B22" t="s">
        <v>3053</v>
      </c>
      <c r="C22" t="s">
        <v>850</v>
      </c>
      <c r="D22" t="s">
        <v>859</v>
      </c>
      <c r="E22" t="s">
        <v>3044</v>
      </c>
      <c r="F22">
        <v>-3.5</v>
      </c>
      <c r="G22">
        <v>3.5</v>
      </c>
      <c r="H22">
        <v>1.95</v>
      </c>
      <c r="I22">
        <v>1.85</v>
      </c>
      <c r="K22" t="str">
        <f t="shared" si="0"/>
        <v>Dallas Cowboys</v>
      </c>
      <c r="L22" t="str">
        <f t="shared" si="1"/>
        <v>San Francisco 49ers</v>
      </c>
      <c r="M22" t="str">
        <f>VLOOKUP(K22,'Name Bridge'!$A:$B,2,FALSE)</f>
        <v>DAL</v>
      </c>
      <c r="N22" s="73" t="str">
        <f>VLOOKUP(L22,'Name Bridge'!$A:$B,2,FALSE)</f>
        <v>SF</v>
      </c>
      <c r="O22" t="str">
        <f t="shared" si="2"/>
        <v>2022-01-16</v>
      </c>
      <c r="P22">
        <f t="shared" si="3"/>
        <v>44577</v>
      </c>
      <c r="Q22" t="str">
        <f t="shared" si="4"/>
        <v>DAL</v>
      </c>
    </row>
    <row r="23" spans="1:17" x14ac:dyDescent="0.2">
      <c r="A23" t="s">
        <v>3052</v>
      </c>
      <c r="B23" t="s">
        <v>3053</v>
      </c>
      <c r="C23" t="s">
        <v>850</v>
      </c>
      <c r="D23" t="s">
        <v>852</v>
      </c>
      <c r="E23" t="s">
        <v>3044</v>
      </c>
      <c r="F23">
        <v>-3.5</v>
      </c>
      <c r="G23">
        <v>3.5</v>
      </c>
      <c r="H23">
        <v>2</v>
      </c>
      <c r="I23">
        <v>1.88</v>
      </c>
      <c r="K23" t="str">
        <f t="shared" si="0"/>
        <v>Dallas Cowboys</v>
      </c>
      <c r="L23" t="str">
        <f t="shared" si="1"/>
        <v>San Francisco 49ers</v>
      </c>
      <c r="M23" t="str">
        <f>VLOOKUP(K23,'Name Bridge'!$A:$B,2,FALSE)</f>
        <v>DAL</v>
      </c>
      <c r="N23" s="73" t="str">
        <f>VLOOKUP(L23,'Name Bridge'!$A:$B,2,FALSE)</f>
        <v>SF</v>
      </c>
      <c r="O23" t="str">
        <f t="shared" si="2"/>
        <v>2022-01-16</v>
      </c>
      <c r="P23">
        <f t="shared" si="3"/>
        <v>44577</v>
      </c>
      <c r="Q23" t="str">
        <f t="shared" si="4"/>
        <v>DAL</v>
      </c>
    </row>
    <row r="24" spans="1:17" x14ac:dyDescent="0.2">
      <c r="A24" t="s">
        <v>3052</v>
      </c>
      <c r="B24" t="s">
        <v>3053</v>
      </c>
      <c r="C24" t="s">
        <v>850</v>
      </c>
      <c r="D24" t="s">
        <v>858</v>
      </c>
      <c r="E24" t="s">
        <v>3043</v>
      </c>
      <c r="F24">
        <v>-3</v>
      </c>
      <c r="G24">
        <v>3</v>
      </c>
      <c r="H24">
        <v>1.89</v>
      </c>
      <c r="I24">
        <v>1.93</v>
      </c>
      <c r="K24" t="str">
        <f t="shared" si="0"/>
        <v>Dallas Cowboys</v>
      </c>
      <c r="L24" t="str">
        <f t="shared" si="1"/>
        <v>San Francisco 49ers</v>
      </c>
      <c r="M24" t="str">
        <f>VLOOKUP(K24,'Name Bridge'!$A:$B,2,FALSE)</f>
        <v>DAL</v>
      </c>
      <c r="N24" s="73" t="str">
        <f>VLOOKUP(L24,'Name Bridge'!$A:$B,2,FALSE)</f>
        <v>SF</v>
      </c>
      <c r="O24" t="str">
        <f t="shared" si="2"/>
        <v>2022-01-16</v>
      </c>
      <c r="P24">
        <f t="shared" si="3"/>
        <v>44577</v>
      </c>
      <c r="Q24" t="str">
        <f t="shared" si="4"/>
        <v>DAL</v>
      </c>
    </row>
    <row r="25" spans="1:17" x14ac:dyDescent="0.2">
      <c r="A25" t="s">
        <v>3052</v>
      </c>
      <c r="B25" t="s">
        <v>3053</v>
      </c>
      <c r="C25" t="s">
        <v>850</v>
      </c>
      <c r="D25" t="s">
        <v>2305</v>
      </c>
      <c r="E25" t="s">
        <v>3045</v>
      </c>
      <c r="F25">
        <v>-3.5</v>
      </c>
      <c r="G25">
        <v>3.5</v>
      </c>
      <c r="H25">
        <v>1.95</v>
      </c>
      <c r="I25">
        <v>1.85</v>
      </c>
      <c r="K25" t="str">
        <f t="shared" si="0"/>
        <v>Dallas Cowboys</v>
      </c>
      <c r="L25" t="str">
        <f t="shared" si="1"/>
        <v>San Francisco 49ers</v>
      </c>
      <c r="M25" t="str">
        <f>VLOOKUP(K25,'Name Bridge'!$A:$B,2,FALSE)</f>
        <v>DAL</v>
      </c>
      <c r="N25" s="73" t="str">
        <f>VLOOKUP(L25,'Name Bridge'!$A:$B,2,FALSE)</f>
        <v>SF</v>
      </c>
      <c r="O25" t="str">
        <f t="shared" si="2"/>
        <v>2022-01-16</v>
      </c>
      <c r="P25">
        <f t="shared" si="3"/>
        <v>44577</v>
      </c>
      <c r="Q25" t="str">
        <f t="shared" si="4"/>
        <v>DAL</v>
      </c>
    </row>
    <row r="26" spans="1:17" x14ac:dyDescent="0.2">
      <c r="A26" t="s">
        <v>3052</v>
      </c>
      <c r="B26" t="s">
        <v>3053</v>
      </c>
      <c r="C26" t="s">
        <v>850</v>
      </c>
      <c r="D26" t="s">
        <v>854</v>
      </c>
      <c r="E26" t="s">
        <v>3046</v>
      </c>
      <c r="F26">
        <v>-3</v>
      </c>
      <c r="G26">
        <v>3</v>
      </c>
      <c r="H26">
        <v>1.87</v>
      </c>
      <c r="I26">
        <v>1.95</v>
      </c>
      <c r="K26" t="str">
        <f t="shared" si="0"/>
        <v>Dallas Cowboys</v>
      </c>
      <c r="L26" t="str">
        <f t="shared" si="1"/>
        <v>San Francisco 49ers</v>
      </c>
      <c r="M26" t="str">
        <f>VLOOKUP(K26,'Name Bridge'!$A:$B,2,FALSE)</f>
        <v>DAL</v>
      </c>
      <c r="N26" s="73" t="str">
        <f>VLOOKUP(L26,'Name Bridge'!$A:$B,2,FALSE)</f>
        <v>SF</v>
      </c>
      <c r="O26" t="str">
        <f t="shared" si="2"/>
        <v>2022-01-16</v>
      </c>
      <c r="P26">
        <f t="shared" si="3"/>
        <v>44577</v>
      </c>
      <c r="Q26" t="str">
        <f t="shared" si="4"/>
        <v>DAL</v>
      </c>
    </row>
    <row r="27" spans="1:17" x14ac:dyDescent="0.2">
      <c r="A27" t="s">
        <v>3052</v>
      </c>
      <c r="B27" t="s">
        <v>3053</v>
      </c>
      <c r="C27" t="s">
        <v>850</v>
      </c>
      <c r="D27" t="s">
        <v>2664</v>
      </c>
      <c r="E27" t="s">
        <v>3047</v>
      </c>
      <c r="F27">
        <v>-3</v>
      </c>
      <c r="G27">
        <v>3</v>
      </c>
      <c r="H27">
        <v>1.87</v>
      </c>
      <c r="I27">
        <v>1.95</v>
      </c>
      <c r="K27" t="str">
        <f t="shared" si="0"/>
        <v>Dallas Cowboys</v>
      </c>
      <c r="L27" t="str">
        <f t="shared" si="1"/>
        <v>San Francisco 49ers</v>
      </c>
      <c r="M27" t="str">
        <f>VLOOKUP(K27,'Name Bridge'!$A:$B,2,FALSE)</f>
        <v>DAL</v>
      </c>
      <c r="N27" s="73" t="str">
        <f>VLOOKUP(L27,'Name Bridge'!$A:$B,2,FALSE)</f>
        <v>SF</v>
      </c>
      <c r="O27" t="str">
        <f t="shared" si="2"/>
        <v>2022-01-16</v>
      </c>
      <c r="P27">
        <f t="shared" si="3"/>
        <v>44577</v>
      </c>
      <c r="Q27" t="str">
        <f t="shared" si="4"/>
        <v>DAL</v>
      </c>
    </row>
    <row r="28" spans="1:17" x14ac:dyDescent="0.2">
      <c r="A28" t="s">
        <v>3052</v>
      </c>
      <c r="B28" t="s">
        <v>3053</v>
      </c>
      <c r="C28" t="s">
        <v>850</v>
      </c>
      <c r="D28" t="s">
        <v>853</v>
      </c>
      <c r="E28" t="s">
        <v>3047</v>
      </c>
      <c r="F28">
        <v>-3</v>
      </c>
      <c r="G28">
        <v>3</v>
      </c>
      <c r="H28">
        <v>1.87</v>
      </c>
      <c r="I28">
        <v>1.95</v>
      </c>
      <c r="K28" t="str">
        <f t="shared" si="0"/>
        <v>Dallas Cowboys</v>
      </c>
      <c r="L28" t="str">
        <f t="shared" si="1"/>
        <v>San Francisco 49ers</v>
      </c>
      <c r="M28" t="str">
        <f>VLOOKUP(K28,'Name Bridge'!$A:$B,2,FALSE)</f>
        <v>DAL</v>
      </c>
      <c r="N28" s="73" t="str">
        <f>VLOOKUP(L28,'Name Bridge'!$A:$B,2,FALSE)</f>
        <v>SF</v>
      </c>
      <c r="O28" t="str">
        <f t="shared" si="2"/>
        <v>2022-01-16</v>
      </c>
      <c r="P28">
        <f t="shared" si="3"/>
        <v>44577</v>
      </c>
      <c r="Q28" t="str">
        <f t="shared" si="4"/>
        <v>DAL</v>
      </c>
    </row>
    <row r="29" spans="1:17" x14ac:dyDescent="0.2">
      <c r="A29" t="s">
        <v>3052</v>
      </c>
      <c r="B29" t="s">
        <v>3053</v>
      </c>
      <c r="C29" t="s">
        <v>850</v>
      </c>
      <c r="D29" t="s">
        <v>2408</v>
      </c>
      <c r="E29" t="s">
        <v>3047</v>
      </c>
      <c r="F29">
        <v>-3</v>
      </c>
      <c r="G29">
        <v>3</v>
      </c>
      <c r="H29">
        <v>1.85</v>
      </c>
      <c r="I29">
        <v>2</v>
      </c>
      <c r="K29" t="str">
        <f t="shared" si="0"/>
        <v>Dallas Cowboys</v>
      </c>
      <c r="L29" t="str">
        <f t="shared" si="1"/>
        <v>San Francisco 49ers</v>
      </c>
      <c r="M29" t="str">
        <f>VLOOKUP(K29,'Name Bridge'!$A:$B,2,FALSE)</f>
        <v>DAL</v>
      </c>
      <c r="N29" s="73" t="str">
        <f>VLOOKUP(L29,'Name Bridge'!$A:$B,2,FALSE)</f>
        <v>SF</v>
      </c>
      <c r="O29" t="str">
        <f t="shared" si="2"/>
        <v>2022-01-16</v>
      </c>
      <c r="P29">
        <f t="shared" si="3"/>
        <v>44577</v>
      </c>
      <c r="Q29" t="str">
        <f t="shared" si="4"/>
        <v>DAL</v>
      </c>
    </row>
    <row r="30" spans="1:17" x14ac:dyDescent="0.2">
      <c r="A30" t="s">
        <v>3052</v>
      </c>
      <c r="B30" t="s">
        <v>3053</v>
      </c>
      <c r="C30" t="s">
        <v>850</v>
      </c>
      <c r="D30" t="s">
        <v>861</v>
      </c>
      <c r="E30" t="s">
        <v>3043</v>
      </c>
      <c r="F30">
        <v>-3</v>
      </c>
      <c r="G30">
        <v>3</v>
      </c>
      <c r="H30">
        <v>1.87</v>
      </c>
      <c r="I30">
        <v>1.95</v>
      </c>
      <c r="K30" t="str">
        <f t="shared" si="0"/>
        <v>Dallas Cowboys</v>
      </c>
      <c r="L30" t="str">
        <f t="shared" si="1"/>
        <v>San Francisco 49ers</v>
      </c>
      <c r="M30" t="str">
        <f>VLOOKUP(K30,'Name Bridge'!$A:$B,2,FALSE)</f>
        <v>DAL</v>
      </c>
      <c r="N30" s="73" t="str">
        <f>VLOOKUP(L30,'Name Bridge'!$A:$B,2,FALSE)</f>
        <v>SF</v>
      </c>
      <c r="O30" t="str">
        <f t="shared" si="2"/>
        <v>2022-01-16</v>
      </c>
      <c r="P30">
        <f t="shared" si="3"/>
        <v>44577</v>
      </c>
      <c r="Q30" t="str">
        <f t="shared" si="4"/>
        <v>DAL</v>
      </c>
    </row>
    <row r="31" spans="1:17" x14ac:dyDescent="0.2">
      <c r="A31" t="s">
        <v>3052</v>
      </c>
      <c r="B31" t="s">
        <v>3053</v>
      </c>
      <c r="C31" t="s">
        <v>850</v>
      </c>
      <c r="D31" t="s">
        <v>2378</v>
      </c>
      <c r="E31" t="s">
        <v>3048</v>
      </c>
      <c r="F31">
        <v>-3</v>
      </c>
      <c r="G31">
        <v>3</v>
      </c>
      <c r="H31">
        <v>1.87</v>
      </c>
      <c r="I31">
        <v>1.95</v>
      </c>
      <c r="K31" t="str">
        <f t="shared" si="0"/>
        <v>Dallas Cowboys</v>
      </c>
      <c r="L31" t="str">
        <f t="shared" si="1"/>
        <v>San Francisco 49ers</v>
      </c>
      <c r="M31" t="str">
        <f>VLOOKUP(K31,'Name Bridge'!$A:$B,2,FALSE)</f>
        <v>DAL</v>
      </c>
      <c r="N31" s="73" t="str">
        <f>VLOOKUP(L31,'Name Bridge'!$A:$B,2,FALSE)</f>
        <v>SF</v>
      </c>
      <c r="O31" t="str">
        <f t="shared" si="2"/>
        <v>2022-01-16</v>
      </c>
      <c r="P31">
        <f t="shared" si="3"/>
        <v>44577</v>
      </c>
      <c r="Q31" t="str">
        <f t="shared" si="4"/>
        <v>DAL</v>
      </c>
    </row>
    <row r="32" spans="1:17" x14ac:dyDescent="0.2">
      <c r="A32" t="s">
        <v>3052</v>
      </c>
      <c r="B32" t="s">
        <v>3053</v>
      </c>
      <c r="C32" t="s">
        <v>850</v>
      </c>
      <c r="D32" t="s">
        <v>2380</v>
      </c>
      <c r="E32" t="s">
        <v>3049</v>
      </c>
      <c r="F32">
        <v>-3</v>
      </c>
      <c r="G32">
        <v>3</v>
      </c>
      <c r="H32">
        <v>1.91</v>
      </c>
      <c r="I32">
        <v>1.91</v>
      </c>
      <c r="K32" t="str">
        <f t="shared" si="0"/>
        <v>Dallas Cowboys</v>
      </c>
      <c r="L32" t="str">
        <f t="shared" si="1"/>
        <v>San Francisco 49ers</v>
      </c>
      <c r="M32" t="str">
        <f>VLOOKUP(K32,'Name Bridge'!$A:$B,2,FALSE)</f>
        <v>DAL</v>
      </c>
      <c r="N32" s="73" t="str">
        <f>VLOOKUP(L32,'Name Bridge'!$A:$B,2,FALSE)</f>
        <v>SF</v>
      </c>
      <c r="O32" t="str">
        <f t="shared" si="2"/>
        <v>2022-01-16</v>
      </c>
      <c r="P32">
        <f t="shared" si="3"/>
        <v>44577</v>
      </c>
      <c r="Q32" t="str">
        <f t="shared" si="4"/>
        <v>DAL</v>
      </c>
    </row>
    <row r="33" spans="1:17" x14ac:dyDescent="0.2">
      <c r="A33" t="s">
        <v>3052</v>
      </c>
      <c r="B33" t="s">
        <v>3053</v>
      </c>
      <c r="C33" t="s">
        <v>850</v>
      </c>
      <c r="D33" t="s">
        <v>856</v>
      </c>
      <c r="E33" t="s">
        <v>3048</v>
      </c>
      <c r="F33">
        <v>-3</v>
      </c>
      <c r="G33">
        <v>3</v>
      </c>
      <c r="H33">
        <v>1.88</v>
      </c>
      <c r="I33">
        <v>1.96</v>
      </c>
      <c r="K33" t="str">
        <f t="shared" si="0"/>
        <v>Dallas Cowboys</v>
      </c>
      <c r="L33" t="str">
        <f t="shared" si="1"/>
        <v>San Francisco 49ers</v>
      </c>
      <c r="M33" t="str">
        <f>VLOOKUP(K33,'Name Bridge'!$A:$B,2,FALSE)</f>
        <v>DAL</v>
      </c>
      <c r="N33" s="73" t="str">
        <f>VLOOKUP(L33,'Name Bridge'!$A:$B,2,FALSE)</f>
        <v>SF</v>
      </c>
      <c r="O33" t="str">
        <f t="shared" si="2"/>
        <v>2022-01-16</v>
      </c>
      <c r="P33">
        <f t="shared" si="3"/>
        <v>44577</v>
      </c>
      <c r="Q33" t="str">
        <f t="shared" si="4"/>
        <v>DAL</v>
      </c>
    </row>
    <row r="34" spans="1:17" x14ac:dyDescent="0.2">
      <c r="A34" t="s">
        <v>3052</v>
      </c>
      <c r="B34" t="s">
        <v>3053</v>
      </c>
      <c r="C34" t="s">
        <v>850</v>
      </c>
      <c r="D34" t="s">
        <v>857</v>
      </c>
      <c r="E34" t="s">
        <v>3050</v>
      </c>
      <c r="F34">
        <v>-3</v>
      </c>
      <c r="G34">
        <v>3</v>
      </c>
      <c r="H34">
        <v>1.87</v>
      </c>
      <c r="I34">
        <v>1.95</v>
      </c>
      <c r="K34" t="str">
        <f t="shared" si="0"/>
        <v>Dallas Cowboys</v>
      </c>
      <c r="L34" t="str">
        <f t="shared" si="1"/>
        <v>San Francisco 49ers</v>
      </c>
      <c r="M34" t="str">
        <f>VLOOKUP(K34,'Name Bridge'!$A:$B,2,FALSE)</f>
        <v>DAL</v>
      </c>
      <c r="N34" s="73" t="str">
        <f>VLOOKUP(L34,'Name Bridge'!$A:$B,2,FALSE)</f>
        <v>SF</v>
      </c>
      <c r="O34" t="str">
        <f t="shared" si="2"/>
        <v>2022-01-16</v>
      </c>
      <c r="P34">
        <f t="shared" si="3"/>
        <v>44577</v>
      </c>
      <c r="Q34" t="str">
        <f t="shared" si="4"/>
        <v>DAL</v>
      </c>
    </row>
    <row r="35" spans="1:17" x14ac:dyDescent="0.2">
      <c r="A35" t="s">
        <v>3052</v>
      </c>
      <c r="B35" t="s">
        <v>3053</v>
      </c>
      <c r="C35" t="s">
        <v>850</v>
      </c>
      <c r="D35" t="s">
        <v>862</v>
      </c>
      <c r="E35" t="s">
        <v>3044</v>
      </c>
      <c r="F35">
        <v>-3</v>
      </c>
      <c r="G35">
        <v>3</v>
      </c>
      <c r="H35">
        <v>1.87</v>
      </c>
      <c r="I35">
        <v>1.95</v>
      </c>
      <c r="K35" t="str">
        <f t="shared" si="0"/>
        <v>Dallas Cowboys</v>
      </c>
      <c r="L35" t="str">
        <f t="shared" si="1"/>
        <v>San Francisco 49ers</v>
      </c>
      <c r="M35" t="str">
        <f>VLOOKUP(K35,'Name Bridge'!$A:$B,2,FALSE)</f>
        <v>DAL</v>
      </c>
      <c r="N35" s="73" t="str">
        <f>VLOOKUP(L35,'Name Bridge'!$A:$B,2,FALSE)</f>
        <v>SF</v>
      </c>
      <c r="O35" t="str">
        <f t="shared" si="2"/>
        <v>2022-01-16</v>
      </c>
      <c r="P35">
        <f t="shared" si="3"/>
        <v>44577</v>
      </c>
      <c r="Q35" t="str">
        <f t="shared" si="4"/>
        <v>DAL</v>
      </c>
    </row>
    <row r="36" spans="1:17" x14ac:dyDescent="0.2">
      <c r="A36" t="s">
        <v>3052</v>
      </c>
      <c r="B36" t="s">
        <v>3053</v>
      </c>
      <c r="C36" t="s">
        <v>850</v>
      </c>
      <c r="D36" t="s">
        <v>3051</v>
      </c>
      <c r="E36" t="s">
        <v>3048</v>
      </c>
      <c r="F36">
        <v>-3</v>
      </c>
      <c r="G36">
        <v>3</v>
      </c>
      <c r="H36">
        <v>1.91</v>
      </c>
      <c r="I36">
        <v>2</v>
      </c>
      <c r="K36" t="str">
        <f t="shared" si="0"/>
        <v>Dallas Cowboys</v>
      </c>
      <c r="L36" t="str">
        <f t="shared" si="1"/>
        <v>San Francisco 49ers</v>
      </c>
      <c r="M36" t="str">
        <f>VLOOKUP(K36,'Name Bridge'!$A:$B,2,FALSE)</f>
        <v>DAL</v>
      </c>
      <c r="N36" s="73" t="str">
        <f>VLOOKUP(L36,'Name Bridge'!$A:$B,2,FALSE)</f>
        <v>SF</v>
      </c>
      <c r="O36" t="str">
        <f t="shared" si="2"/>
        <v>2022-01-16</v>
      </c>
      <c r="P36">
        <f t="shared" si="3"/>
        <v>44577</v>
      </c>
      <c r="Q36" t="str">
        <f t="shared" si="4"/>
        <v>DAL</v>
      </c>
    </row>
    <row r="37" spans="1:17" x14ac:dyDescent="0.2">
      <c r="A37" t="s">
        <v>3054</v>
      </c>
      <c r="B37" t="s">
        <v>3055</v>
      </c>
      <c r="C37" t="s">
        <v>850</v>
      </c>
      <c r="D37" t="s">
        <v>851</v>
      </c>
      <c r="E37" t="s">
        <v>3042</v>
      </c>
      <c r="F37">
        <v>-12.5</v>
      </c>
      <c r="G37">
        <v>12.5</v>
      </c>
      <c r="H37">
        <v>1.94</v>
      </c>
      <c r="I37">
        <v>1.94</v>
      </c>
      <c r="K37" t="str">
        <f t="shared" si="0"/>
        <v>Kansas City Chiefs</v>
      </c>
      <c r="L37" t="str">
        <f t="shared" si="1"/>
        <v>Pittsburgh Steelers</v>
      </c>
      <c r="M37" t="str">
        <f>VLOOKUP(K37,'Name Bridge'!$A:$B,2,FALSE)</f>
        <v>KC</v>
      </c>
      <c r="N37" s="73" t="str">
        <f>VLOOKUP(L37,'Name Bridge'!$A:$B,2,FALSE)</f>
        <v>PIT</v>
      </c>
      <c r="O37" t="str">
        <f t="shared" si="2"/>
        <v>2022-01-17</v>
      </c>
      <c r="P37">
        <f t="shared" si="3"/>
        <v>44578</v>
      </c>
      <c r="Q37" t="str">
        <f t="shared" si="4"/>
        <v>KC</v>
      </c>
    </row>
    <row r="38" spans="1:17" x14ac:dyDescent="0.2">
      <c r="A38" t="s">
        <v>3054</v>
      </c>
      <c r="B38" t="s">
        <v>3055</v>
      </c>
      <c r="C38" t="s">
        <v>850</v>
      </c>
      <c r="D38" t="s">
        <v>855</v>
      </c>
      <c r="E38" t="s">
        <v>3043</v>
      </c>
      <c r="F38">
        <v>-12.5</v>
      </c>
      <c r="G38">
        <v>12.5</v>
      </c>
      <c r="H38">
        <v>1.93</v>
      </c>
      <c r="I38">
        <v>1.93</v>
      </c>
      <c r="K38" t="str">
        <f t="shared" si="0"/>
        <v>Kansas City Chiefs</v>
      </c>
      <c r="L38" t="str">
        <f t="shared" si="1"/>
        <v>Pittsburgh Steelers</v>
      </c>
      <c r="M38" t="str">
        <f>VLOOKUP(K38,'Name Bridge'!$A:$B,2,FALSE)</f>
        <v>KC</v>
      </c>
      <c r="N38" s="73" t="str">
        <f>VLOOKUP(L38,'Name Bridge'!$A:$B,2,FALSE)</f>
        <v>PIT</v>
      </c>
      <c r="O38" t="str">
        <f t="shared" si="2"/>
        <v>2022-01-17</v>
      </c>
      <c r="P38">
        <f t="shared" si="3"/>
        <v>44578</v>
      </c>
      <c r="Q38" t="str">
        <f t="shared" si="4"/>
        <v>KC</v>
      </c>
    </row>
    <row r="39" spans="1:17" x14ac:dyDescent="0.2">
      <c r="A39" t="s">
        <v>3054</v>
      </c>
      <c r="B39" t="s">
        <v>3055</v>
      </c>
      <c r="C39" t="s">
        <v>850</v>
      </c>
      <c r="D39" t="s">
        <v>854</v>
      </c>
      <c r="E39" t="s">
        <v>3046</v>
      </c>
      <c r="F39">
        <v>-12.5</v>
      </c>
      <c r="G39">
        <v>12.5</v>
      </c>
      <c r="H39">
        <v>1.91</v>
      </c>
      <c r="I39">
        <v>1.91</v>
      </c>
      <c r="K39" t="str">
        <f t="shared" si="0"/>
        <v>Kansas City Chiefs</v>
      </c>
      <c r="L39" t="str">
        <f t="shared" si="1"/>
        <v>Pittsburgh Steelers</v>
      </c>
      <c r="M39" t="str">
        <f>VLOOKUP(K39,'Name Bridge'!$A:$B,2,FALSE)</f>
        <v>KC</v>
      </c>
      <c r="N39" s="73" t="str">
        <f>VLOOKUP(L39,'Name Bridge'!$A:$B,2,FALSE)</f>
        <v>PIT</v>
      </c>
      <c r="O39" t="str">
        <f t="shared" si="2"/>
        <v>2022-01-17</v>
      </c>
      <c r="P39">
        <f t="shared" si="3"/>
        <v>44578</v>
      </c>
      <c r="Q39" t="str">
        <f t="shared" si="4"/>
        <v>KC</v>
      </c>
    </row>
    <row r="40" spans="1:17" x14ac:dyDescent="0.2">
      <c r="A40" t="s">
        <v>3054</v>
      </c>
      <c r="B40" t="s">
        <v>3055</v>
      </c>
      <c r="C40" t="s">
        <v>850</v>
      </c>
      <c r="D40" t="s">
        <v>859</v>
      </c>
      <c r="E40" t="s">
        <v>3044</v>
      </c>
      <c r="F40">
        <v>-12.5</v>
      </c>
      <c r="G40">
        <v>12.5</v>
      </c>
      <c r="H40">
        <v>1.91</v>
      </c>
      <c r="I40">
        <v>1.91</v>
      </c>
      <c r="K40" t="str">
        <f t="shared" si="0"/>
        <v>Kansas City Chiefs</v>
      </c>
      <c r="L40" t="str">
        <f t="shared" si="1"/>
        <v>Pittsburgh Steelers</v>
      </c>
      <c r="M40" t="str">
        <f>VLOOKUP(K40,'Name Bridge'!$A:$B,2,FALSE)</f>
        <v>KC</v>
      </c>
      <c r="N40" s="73" t="str">
        <f>VLOOKUP(L40,'Name Bridge'!$A:$B,2,FALSE)</f>
        <v>PIT</v>
      </c>
      <c r="O40" t="str">
        <f t="shared" si="2"/>
        <v>2022-01-17</v>
      </c>
      <c r="P40">
        <f t="shared" si="3"/>
        <v>44578</v>
      </c>
      <c r="Q40" t="str">
        <f t="shared" si="4"/>
        <v>KC</v>
      </c>
    </row>
    <row r="41" spans="1:17" x14ac:dyDescent="0.2">
      <c r="A41" t="s">
        <v>3054</v>
      </c>
      <c r="B41" t="s">
        <v>3055</v>
      </c>
      <c r="C41" t="s">
        <v>850</v>
      </c>
      <c r="D41" t="s">
        <v>852</v>
      </c>
      <c r="E41" t="s">
        <v>3044</v>
      </c>
      <c r="F41">
        <v>-12.5</v>
      </c>
      <c r="G41">
        <v>12.5</v>
      </c>
      <c r="H41">
        <v>1.93</v>
      </c>
      <c r="I41">
        <v>1.93</v>
      </c>
      <c r="K41" t="str">
        <f t="shared" si="0"/>
        <v>Kansas City Chiefs</v>
      </c>
      <c r="L41" t="str">
        <f t="shared" si="1"/>
        <v>Pittsburgh Steelers</v>
      </c>
      <c r="M41" t="str">
        <f>VLOOKUP(K41,'Name Bridge'!$A:$B,2,FALSE)</f>
        <v>KC</v>
      </c>
      <c r="N41" s="73" t="str">
        <f>VLOOKUP(L41,'Name Bridge'!$A:$B,2,FALSE)</f>
        <v>PIT</v>
      </c>
      <c r="O41" t="str">
        <f t="shared" si="2"/>
        <v>2022-01-17</v>
      </c>
      <c r="P41">
        <f t="shared" si="3"/>
        <v>44578</v>
      </c>
      <c r="Q41" t="str">
        <f t="shared" si="4"/>
        <v>KC</v>
      </c>
    </row>
    <row r="42" spans="1:17" x14ac:dyDescent="0.2">
      <c r="A42" t="s">
        <v>3054</v>
      </c>
      <c r="B42" t="s">
        <v>3055</v>
      </c>
      <c r="C42" t="s">
        <v>850</v>
      </c>
      <c r="D42" t="s">
        <v>2664</v>
      </c>
      <c r="E42" t="s">
        <v>3047</v>
      </c>
      <c r="F42">
        <v>-12.5</v>
      </c>
      <c r="G42">
        <v>12.5</v>
      </c>
      <c r="H42">
        <v>1.88</v>
      </c>
      <c r="I42">
        <v>1.93</v>
      </c>
      <c r="K42" t="str">
        <f t="shared" si="0"/>
        <v>Kansas City Chiefs</v>
      </c>
      <c r="L42" t="str">
        <f t="shared" si="1"/>
        <v>Pittsburgh Steelers</v>
      </c>
      <c r="M42" t="str">
        <f>VLOOKUP(K42,'Name Bridge'!$A:$B,2,FALSE)</f>
        <v>KC</v>
      </c>
      <c r="N42" s="73" t="str">
        <f>VLOOKUP(L42,'Name Bridge'!$A:$B,2,FALSE)</f>
        <v>PIT</v>
      </c>
      <c r="O42" t="str">
        <f t="shared" si="2"/>
        <v>2022-01-17</v>
      </c>
      <c r="P42">
        <f t="shared" si="3"/>
        <v>44578</v>
      </c>
      <c r="Q42" t="str">
        <f t="shared" si="4"/>
        <v>KC</v>
      </c>
    </row>
    <row r="43" spans="1:17" x14ac:dyDescent="0.2">
      <c r="A43" t="s">
        <v>3054</v>
      </c>
      <c r="B43" t="s">
        <v>3055</v>
      </c>
      <c r="C43" t="s">
        <v>850</v>
      </c>
      <c r="D43" t="s">
        <v>2305</v>
      </c>
      <c r="E43" t="s">
        <v>3045</v>
      </c>
      <c r="F43">
        <v>-12.5</v>
      </c>
      <c r="G43">
        <v>12.5</v>
      </c>
      <c r="H43">
        <v>1.91</v>
      </c>
      <c r="I43">
        <v>1.91</v>
      </c>
      <c r="K43" t="str">
        <f t="shared" si="0"/>
        <v>Kansas City Chiefs</v>
      </c>
      <c r="L43" t="str">
        <f t="shared" si="1"/>
        <v>Pittsburgh Steelers</v>
      </c>
      <c r="M43" t="str">
        <f>VLOOKUP(K43,'Name Bridge'!$A:$B,2,FALSE)</f>
        <v>KC</v>
      </c>
      <c r="N43" s="73" t="str">
        <f>VLOOKUP(L43,'Name Bridge'!$A:$B,2,FALSE)</f>
        <v>PIT</v>
      </c>
      <c r="O43" t="str">
        <f t="shared" si="2"/>
        <v>2022-01-17</v>
      </c>
      <c r="P43">
        <f t="shared" si="3"/>
        <v>44578</v>
      </c>
      <c r="Q43" t="str">
        <f t="shared" si="4"/>
        <v>KC</v>
      </c>
    </row>
    <row r="44" spans="1:17" x14ac:dyDescent="0.2">
      <c r="A44" t="s">
        <v>3054</v>
      </c>
      <c r="B44" t="s">
        <v>3055</v>
      </c>
      <c r="C44" t="s">
        <v>850</v>
      </c>
      <c r="D44" t="s">
        <v>853</v>
      </c>
      <c r="E44" t="s">
        <v>3047</v>
      </c>
      <c r="F44">
        <v>-13</v>
      </c>
      <c r="G44">
        <v>13</v>
      </c>
      <c r="H44">
        <v>1.91</v>
      </c>
      <c r="I44">
        <v>1.91</v>
      </c>
      <c r="K44" t="str">
        <f t="shared" si="0"/>
        <v>Kansas City Chiefs</v>
      </c>
      <c r="L44" t="str">
        <f t="shared" si="1"/>
        <v>Pittsburgh Steelers</v>
      </c>
      <c r="M44" t="str">
        <f>VLOOKUP(K44,'Name Bridge'!$A:$B,2,FALSE)</f>
        <v>KC</v>
      </c>
      <c r="N44" s="73" t="str">
        <f>VLOOKUP(L44,'Name Bridge'!$A:$B,2,FALSE)</f>
        <v>PIT</v>
      </c>
      <c r="O44" t="str">
        <f t="shared" si="2"/>
        <v>2022-01-17</v>
      </c>
      <c r="P44">
        <f t="shared" si="3"/>
        <v>44578</v>
      </c>
      <c r="Q44" t="str">
        <f t="shared" si="4"/>
        <v>KC</v>
      </c>
    </row>
    <row r="45" spans="1:17" x14ac:dyDescent="0.2">
      <c r="A45" t="s">
        <v>3054</v>
      </c>
      <c r="B45" t="s">
        <v>3055</v>
      </c>
      <c r="C45" t="s">
        <v>850</v>
      </c>
      <c r="D45" t="s">
        <v>861</v>
      </c>
      <c r="E45" t="s">
        <v>3043</v>
      </c>
      <c r="F45">
        <v>-12.5</v>
      </c>
      <c r="G45">
        <v>12.5</v>
      </c>
      <c r="H45">
        <v>1.91</v>
      </c>
      <c r="I45">
        <v>1.91</v>
      </c>
      <c r="K45" t="str">
        <f t="shared" si="0"/>
        <v>Kansas City Chiefs</v>
      </c>
      <c r="L45" t="str">
        <f t="shared" si="1"/>
        <v>Pittsburgh Steelers</v>
      </c>
      <c r="M45" t="str">
        <f>VLOOKUP(K45,'Name Bridge'!$A:$B,2,FALSE)</f>
        <v>KC</v>
      </c>
      <c r="N45" s="73" t="str">
        <f>VLOOKUP(L45,'Name Bridge'!$A:$B,2,FALSE)</f>
        <v>PIT</v>
      </c>
      <c r="O45" t="str">
        <f t="shared" si="2"/>
        <v>2022-01-17</v>
      </c>
      <c r="P45">
        <f t="shared" si="3"/>
        <v>44578</v>
      </c>
      <c r="Q45" t="str">
        <f t="shared" si="4"/>
        <v>KC</v>
      </c>
    </row>
    <row r="46" spans="1:17" x14ac:dyDescent="0.2">
      <c r="A46" t="s">
        <v>3054</v>
      </c>
      <c r="B46" t="s">
        <v>3055</v>
      </c>
      <c r="C46" t="s">
        <v>850</v>
      </c>
      <c r="D46" t="s">
        <v>2378</v>
      </c>
      <c r="E46" t="s">
        <v>3048</v>
      </c>
      <c r="F46">
        <v>-13</v>
      </c>
      <c r="G46">
        <v>13</v>
      </c>
      <c r="H46">
        <v>1.95</v>
      </c>
      <c r="I46">
        <v>1.87</v>
      </c>
      <c r="K46" t="str">
        <f t="shared" si="0"/>
        <v>Kansas City Chiefs</v>
      </c>
      <c r="L46" t="str">
        <f t="shared" si="1"/>
        <v>Pittsburgh Steelers</v>
      </c>
      <c r="M46" t="str">
        <f>VLOOKUP(K46,'Name Bridge'!$A:$B,2,FALSE)</f>
        <v>KC</v>
      </c>
      <c r="N46" s="73" t="str">
        <f>VLOOKUP(L46,'Name Bridge'!$A:$B,2,FALSE)</f>
        <v>PIT</v>
      </c>
      <c r="O46" t="str">
        <f t="shared" si="2"/>
        <v>2022-01-17</v>
      </c>
      <c r="P46">
        <f t="shared" si="3"/>
        <v>44578</v>
      </c>
      <c r="Q46" t="str">
        <f t="shared" si="4"/>
        <v>KC</v>
      </c>
    </row>
    <row r="47" spans="1:17" x14ac:dyDescent="0.2">
      <c r="A47" t="s">
        <v>3054</v>
      </c>
      <c r="B47" t="s">
        <v>3055</v>
      </c>
      <c r="C47" t="s">
        <v>850</v>
      </c>
      <c r="D47" t="s">
        <v>858</v>
      </c>
      <c r="E47" t="s">
        <v>3043</v>
      </c>
      <c r="F47">
        <v>-12.5</v>
      </c>
      <c r="G47">
        <v>12.5</v>
      </c>
      <c r="H47">
        <v>1.91</v>
      </c>
      <c r="I47">
        <v>1.91</v>
      </c>
      <c r="K47" t="str">
        <f t="shared" si="0"/>
        <v>Kansas City Chiefs</v>
      </c>
      <c r="L47" t="str">
        <f t="shared" si="1"/>
        <v>Pittsburgh Steelers</v>
      </c>
      <c r="M47" t="str">
        <f>VLOOKUP(K47,'Name Bridge'!$A:$B,2,FALSE)</f>
        <v>KC</v>
      </c>
      <c r="N47" s="73" t="str">
        <f>VLOOKUP(L47,'Name Bridge'!$A:$B,2,FALSE)</f>
        <v>PIT</v>
      </c>
      <c r="O47" t="str">
        <f t="shared" si="2"/>
        <v>2022-01-17</v>
      </c>
      <c r="P47">
        <f t="shared" si="3"/>
        <v>44578</v>
      </c>
      <c r="Q47" t="str">
        <f t="shared" si="4"/>
        <v>KC</v>
      </c>
    </row>
    <row r="48" spans="1:17" x14ac:dyDescent="0.2">
      <c r="A48" t="s">
        <v>3054</v>
      </c>
      <c r="B48" t="s">
        <v>3055</v>
      </c>
      <c r="C48" t="s">
        <v>850</v>
      </c>
      <c r="D48" t="s">
        <v>860</v>
      </c>
      <c r="E48" t="s">
        <v>3044</v>
      </c>
      <c r="F48">
        <v>-12.5</v>
      </c>
      <c r="G48">
        <v>12.5</v>
      </c>
      <c r="H48">
        <v>1.91</v>
      </c>
      <c r="I48">
        <v>1.91</v>
      </c>
      <c r="K48" t="str">
        <f t="shared" si="0"/>
        <v>Kansas City Chiefs</v>
      </c>
      <c r="L48" t="str">
        <f t="shared" si="1"/>
        <v>Pittsburgh Steelers</v>
      </c>
      <c r="M48" t="str">
        <f>VLOOKUP(K48,'Name Bridge'!$A:$B,2,FALSE)</f>
        <v>KC</v>
      </c>
      <c r="N48" s="73" t="str">
        <f>VLOOKUP(L48,'Name Bridge'!$A:$B,2,FALSE)</f>
        <v>PIT</v>
      </c>
      <c r="O48" t="str">
        <f t="shared" si="2"/>
        <v>2022-01-17</v>
      </c>
      <c r="P48">
        <f t="shared" si="3"/>
        <v>44578</v>
      </c>
      <c r="Q48" t="str">
        <f t="shared" si="4"/>
        <v>KC</v>
      </c>
    </row>
    <row r="49" spans="1:17" x14ac:dyDescent="0.2">
      <c r="A49" t="s">
        <v>3054</v>
      </c>
      <c r="B49" t="s">
        <v>3055</v>
      </c>
      <c r="C49" t="s">
        <v>850</v>
      </c>
      <c r="D49" t="s">
        <v>2408</v>
      </c>
      <c r="E49" t="s">
        <v>3047</v>
      </c>
      <c r="F49">
        <v>-12.5</v>
      </c>
      <c r="G49">
        <v>12.5</v>
      </c>
      <c r="H49">
        <v>1.91</v>
      </c>
      <c r="I49">
        <v>1.91</v>
      </c>
      <c r="K49" t="str">
        <f t="shared" si="0"/>
        <v>Kansas City Chiefs</v>
      </c>
      <c r="L49" t="str">
        <f t="shared" si="1"/>
        <v>Pittsburgh Steelers</v>
      </c>
      <c r="M49" t="str">
        <f>VLOOKUP(K49,'Name Bridge'!$A:$B,2,FALSE)</f>
        <v>KC</v>
      </c>
      <c r="N49" s="73" t="str">
        <f>VLOOKUP(L49,'Name Bridge'!$A:$B,2,FALSE)</f>
        <v>PIT</v>
      </c>
      <c r="O49" t="str">
        <f t="shared" si="2"/>
        <v>2022-01-17</v>
      </c>
      <c r="P49">
        <f t="shared" si="3"/>
        <v>44578</v>
      </c>
      <c r="Q49" t="str">
        <f t="shared" si="4"/>
        <v>KC</v>
      </c>
    </row>
    <row r="50" spans="1:17" x14ac:dyDescent="0.2">
      <c r="A50" t="s">
        <v>3054</v>
      </c>
      <c r="B50" t="s">
        <v>3055</v>
      </c>
      <c r="C50" t="s">
        <v>850</v>
      </c>
      <c r="D50" t="s">
        <v>2380</v>
      </c>
      <c r="E50" t="s">
        <v>3049</v>
      </c>
      <c r="F50">
        <v>-12.5</v>
      </c>
      <c r="G50">
        <v>12.5</v>
      </c>
      <c r="H50">
        <v>1.87</v>
      </c>
      <c r="I50">
        <v>1.95</v>
      </c>
      <c r="K50" t="str">
        <f t="shared" si="0"/>
        <v>Kansas City Chiefs</v>
      </c>
      <c r="L50" t="str">
        <f t="shared" si="1"/>
        <v>Pittsburgh Steelers</v>
      </c>
      <c r="M50" t="str">
        <f>VLOOKUP(K50,'Name Bridge'!$A:$B,2,FALSE)</f>
        <v>KC</v>
      </c>
      <c r="N50" s="73" t="str">
        <f>VLOOKUP(L50,'Name Bridge'!$A:$B,2,FALSE)</f>
        <v>PIT</v>
      </c>
      <c r="O50" t="str">
        <f t="shared" si="2"/>
        <v>2022-01-17</v>
      </c>
      <c r="P50">
        <f t="shared" si="3"/>
        <v>44578</v>
      </c>
      <c r="Q50" t="str">
        <f t="shared" si="4"/>
        <v>KC</v>
      </c>
    </row>
    <row r="51" spans="1:17" x14ac:dyDescent="0.2">
      <c r="A51" t="s">
        <v>3054</v>
      </c>
      <c r="B51" t="s">
        <v>3055</v>
      </c>
      <c r="C51" t="s">
        <v>850</v>
      </c>
      <c r="D51" t="s">
        <v>856</v>
      </c>
      <c r="E51" t="s">
        <v>3048</v>
      </c>
      <c r="F51">
        <v>-12.5</v>
      </c>
      <c r="G51">
        <v>12.5</v>
      </c>
      <c r="H51">
        <v>1.92</v>
      </c>
      <c r="I51">
        <v>1.92</v>
      </c>
      <c r="K51" t="str">
        <f t="shared" si="0"/>
        <v>Kansas City Chiefs</v>
      </c>
      <c r="L51" t="str">
        <f t="shared" si="1"/>
        <v>Pittsburgh Steelers</v>
      </c>
      <c r="M51" t="str">
        <f>VLOOKUP(K51,'Name Bridge'!$A:$B,2,FALSE)</f>
        <v>KC</v>
      </c>
      <c r="N51" s="73" t="str">
        <f>VLOOKUP(L51,'Name Bridge'!$A:$B,2,FALSE)</f>
        <v>PIT</v>
      </c>
      <c r="O51" t="str">
        <f t="shared" si="2"/>
        <v>2022-01-17</v>
      </c>
      <c r="P51">
        <f t="shared" si="3"/>
        <v>44578</v>
      </c>
      <c r="Q51" t="str">
        <f t="shared" si="4"/>
        <v>KC</v>
      </c>
    </row>
    <row r="52" spans="1:17" x14ac:dyDescent="0.2">
      <c r="A52" t="s">
        <v>3054</v>
      </c>
      <c r="B52" t="s">
        <v>3055</v>
      </c>
      <c r="C52" t="s">
        <v>850</v>
      </c>
      <c r="D52" t="s">
        <v>857</v>
      </c>
      <c r="E52" t="s">
        <v>3050</v>
      </c>
      <c r="F52">
        <v>-12</v>
      </c>
      <c r="G52">
        <v>12</v>
      </c>
      <c r="H52">
        <v>1.91</v>
      </c>
      <c r="I52">
        <v>1.91</v>
      </c>
      <c r="K52" t="str">
        <f t="shared" si="0"/>
        <v>Kansas City Chiefs</v>
      </c>
      <c r="L52" t="str">
        <f t="shared" si="1"/>
        <v>Pittsburgh Steelers</v>
      </c>
      <c r="M52" t="str">
        <f>VLOOKUP(K52,'Name Bridge'!$A:$B,2,FALSE)</f>
        <v>KC</v>
      </c>
      <c r="N52" s="73" t="str">
        <f>VLOOKUP(L52,'Name Bridge'!$A:$B,2,FALSE)</f>
        <v>PIT</v>
      </c>
      <c r="O52" t="str">
        <f t="shared" si="2"/>
        <v>2022-01-17</v>
      </c>
      <c r="P52">
        <f t="shared" si="3"/>
        <v>44578</v>
      </c>
      <c r="Q52" t="str">
        <f t="shared" si="4"/>
        <v>KC</v>
      </c>
    </row>
    <row r="53" spans="1:17" x14ac:dyDescent="0.2">
      <c r="A53" t="s">
        <v>3054</v>
      </c>
      <c r="B53" t="s">
        <v>3055</v>
      </c>
      <c r="C53" t="s">
        <v>850</v>
      </c>
      <c r="D53" t="s">
        <v>862</v>
      </c>
      <c r="E53" t="s">
        <v>3044</v>
      </c>
      <c r="F53">
        <v>-12.5</v>
      </c>
      <c r="G53">
        <v>12.5</v>
      </c>
      <c r="H53">
        <v>1.91</v>
      </c>
      <c r="I53">
        <v>1.91</v>
      </c>
      <c r="K53" t="str">
        <f t="shared" si="0"/>
        <v>Kansas City Chiefs</v>
      </c>
      <c r="L53" t="str">
        <f t="shared" si="1"/>
        <v>Pittsburgh Steelers</v>
      </c>
      <c r="M53" t="str">
        <f>VLOOKUP(K53,'Name Bridge'!$A:$B,2,FALSE)</f>
        <v>KC</v>
      </c>
      <c r="N53" s="73" t="str">
        <f>VLOOKUP(L53,'Name Bridge'!$A:$B,2,FALSE)</f>
        <v>PIT</v>
      </c>
      <c r="O53" t="str">
        <f t="shared" si="2"/>
        <v>2022-01-17</v>
      </c>
      <c r="P53">
        <f t="shared" si="3"/>
        <v>44578</v>
      </c>
      <c r="Q53" t="str">
        <f t="shared" si="4"/>
        <v>KC</v>
      </c>
    </row>
    <row r="54" spans="1:17" x14ac:dyDescent="0.2">
      <c r="A54" t="s">
        <v>3054</v>
      </c>
      <c r="B54" t="s">
        <v>3055</v>
      </c>
      <c r="C54" t="s">
        <v>850</v>
      </c>
      <c r="D54" t="s">
        <v>3051</v>
      </c>
      <c r="E54" t="s">
        <v>3048</v>
      </c>
      <c r="F54">
        <v>-12.5</v>
      </c>
      <c r="G54">
        <v>12.5</v>
      </c>
      <c r="H54">
        <v>1.93</v>
      </c>
      <c r="I54">
        <v>1.98</v>
      </c>
      <c r="K54" t="str">
        <f t="shared" si="0"/>
        <v>Kansas City Chiefs</v>
      </c>
      <c r="L54" t="str">
        <f t="shared" si="1"/>
        <v>Pittsburgh Steelers</v>
      </c>
      <c r="M54" t="str">
        <f>VLOOKUP(K54,'Name Bridge'!$A:$B,2,FALSE)</f>
        <v>KC</v>
      </c>
      <c r="N54" s="73" t="str">
        <f>VLOOKUP(L54,'Name Bridge'!$A:$B,2,FALSE)</f>
        <v>PIT</v>
      </c>
      <c r="O54" t="str">
        <f t="shared" si="2"/>
        <v>2022-01-17</v>
      </c>
      <c r="P54">
        <f t="shared" si="3"/>
        <v>44578</v>
      </c>
      <c r="Q54" t="str">
        <f t="shared" si="4"/>
        <v>KC</v>
      </c>
    </row>
    <row r="55" spans="1:17" x14ac:dyDescent="0.2">
      <c r="A55" t="s">
        <v>3056</v>
      </c>
      <c r="B55" t="s">
        <v>3057</v>
      </c>
      <c r="C55" t="s">
        <v>850</v>
      </c>
      <c r="D55" t="s">
        <v>851</v>
      </c>
      <c r="E55" t="s">
        <v>3042</v>
      </c>
      <c r="F55">
        <v>3.5</v>
      </c>
      <c r="G55">
        <v>-3.5</v>
      </c>
      <c r="H55">
        <v>1.89</v>
      </c>
      <c r="I55">
        <v>1.93</v>
      </c>
      <c r="K55" t="str">
        <f t="shared" si="0"/>
        <v>Arizona Cardinals</v>
      </c>
      <c r="L55" t="str">
        <f t="shared" si="1"/>
        <v>Los Angeles Rams</v>
      </c>
      <c r="M55" t="str">
        <f>VLOOKUP(K55,'Name Bridge'!$A:$B,2,FALSE)</f>
        <v>ARI</v>
      </c>
      <c r="N55" s="73" t="str">
        <f>VLOOKUP(L55,'Name Bridge'!$A:$B,2,FALSE)</f>
        <v>LAR</v>
      </c>
      <c r="O55" t="str">
        <f t="shared" si="2"/>
        <v>2022-01-18</v>
      </c>
      <c r="P55">
        <f t="shared" si="3"/>
        <v>44579</v>
      </c>
      <c r="Q55" t="str">
        <f t="shared" si="4"/>
        <v>ARI</v>
      </c>
    </row>
    <row r="56" spans="1:17" x14ac:dyDescent="0.2">
      <c r="A56" t="s">
        <v>3056</v>
      </c>
      <c r="B56" t="s">
        <v>3057</v>
      </c>
      <c r="C56" t="s">
        <v>850</v>
      </c>
      <c r="D56" t="s">
        <v>855</v>
      </c>
      <c r="E56" t="s">
        <v>3043</v>
      </c>
      <c r="F56">
        <v>3.5</v>
      </c>
      <c r="G56">
        <v>-3.5</v>
      </c>
      <c r="H56">
        <v>1.88</v>
      </c>
      <c r="I56">
        <v>1.93</v>
      </c>
      <c r="K56" t="str">
        <f t="shared" si="0"/>
        <v>Arizona Cardinals</v>
      </c>
      <c r="L56" t="str">
        <f t="shared" si="1"/>
        <v>Los Angeles Rams</v>
      </c>
      <c r="M56" t="str">
        <f>VLOOKUP(K56,'Name Bridge'!$A:$B,2,FALSE)</f>
        <v>ARI</v>
      </c>
      <c r="N56" s="73" t="str">
        <f>VLOOKUP(L56,'Name Bridge'!$A:$B,2,FALSE)</f>
        <v>LAR</v>
      </c>
      <c r="O56" t="str">
        <f t="shared" si="2"/>
        <v>2022-01-18</v>
      </c>
      <c r="P56">
        <f t="shared" si="3"/>
        <v>44579</v>
      </c>
      <c r="Q56" t="str">
        <f t="shared" si="4"/>
        <v>ARI</v>
      </c>
    </row>
    <row r="57" spans="1:17" x14ac:dyDescent="0.2">
      <c r="A57" t="s">
        <v>3056</v>
      </c>
      <c r="B57" t="s">
        <v>3057</v>
      </c>
      <c r="C57" t="s">
        <v>850</v>
      </c>
      <c r="D57" t="s">
        <v>852</v>
      </c>
      <c r="E57" t="s">
        <v>3044</v>
      </c>
      <c r="F57">
        <v>3.5</v>
      </c>
      <c r="G57">
        <v>-3.5</v>
      </c>
      <c r="H57">
        <v>1.88</v>
      </c>
      <c r="I57">
        <v>1.93</v>
      </c>
      <c r="K57" t="str">
        <f t="shared" si="0"/>
        <v>Arizona Cardinals</v>
      </c>
      <c r="L57" t="str">
        <f t="shared" si="1"/>
        <v>Los Angeles Rams</v>
      </c>
      <c r="M57" t="str">
        <f>VLOOKUP(K57,'Name Bridge'!$A:$B,2,FALSE)</f>
        <v>ARI</v>
      </c>
      <c r="N57" s="73" t="str">
        <f>VLOOKUP(L57,'Name Bridge'!$A:$B,2,FALSE)</f>
        <v>LAR</v>
      </c>
      <c r="O57" t="str">
        <f t="shared" si="2"/>
        <v>2022-01-18</v>
      </c>
      <c r="P57">
        <f t="shared" si="3"/>
        <v>44579</v>
      </c>
      <c r="Q57" t="str">
        <f t="shared" si="4"/>
        <v>ARI</v>
      </c>
    </row>
    <row r="58" spans="1:17" x14ac:dyDescent="0.2">
      <c r="A58" t="s">
        <v>3056</v>
      </c>
      <c r="B58" t="s">
        <v>3057</v>
      </c>
      <c r="C58" t="s">
        <v>850</v>
      </c>
      <c r="D58" t="s">
        <v>859</v>
      </c>
      <c r="E58" t="s">
        <v>3044</v>
      </c>
      <c r="F58">
        <v>3.5</v>
      </c>
      <c r="G58">
        <v>-3.5</v>
      </c>
      <c r="H58">
        <v>1.88</v>
      </c>
      <c r="I58">
        <v>1.93</v>
      </c>
      <c r="K58" t="str">
        <f t="shared" si="0"/>
        <v>Arizona Cardinals</v>
      </c>
      <c r="L58" t="str">
        <f t="shared" si="1"/>
        <v>Los Angeles Rams</v>
      </c>
      <c r="M58" t="str">
        <f>VLOOKUP(K58,'Name Bridge'!$A:$B,2,FALSE)</f>
        <v>ARI</v>
      </c>
      <c r="N58" s="73" t="str">
        <f>VLOOKUP(L58,'Name Bridge'!$A:$B,2,FALSE)</f>
        <v>LAR</v>
      </c>
      <c r="O58" t="str">
        <f t="shared" si="2"/>
        <v>2022-01-18</v>
      </c>
      <c r="P58">
        <f t="shared" si="3"/>
        <v>44579</v>
      </c>
      <c r="Q58" t="str">
        <f t="shared" si="4"/>
        <v>ARI</v>
      </c>
    </row>
    <row r="59" spans="1:17" x14ac:dyDescent="0.2">
      <c r="A59" t="s">
        <v>3056</v>
      </c>
      <c r="B59" t="s">
        <v>3057</v>
      </c>
      <c r="C59" t="s">
        <v>850</v>
      </c>
      <c r="D59" t="s">
        <v>858</v>
      </c>
      <c r="E59" t="s">
        <v>3043</v>
      </c>
      <c r="F59">
        <v>3.5</v>
      </c>
      <c r="G59">
        <v>-3.5</v>
      </c>
      <c r="H59">
        <v>1.89</v>
      </c>
      <c r="I59">
        <v>1.93</v>
      </c>
      <c r="K59" t="str">
        <f t="shared" si="0"/>
        <v>Arizona Cardinals</v>
      </c>
      <c r="L59" t="str">
        <f t="shared" si="1"/>
        <v>Los Angeles Rams</v>
      </c>
      <c r="M59" t="str">
        <f>VLOOKUP(K59,'Name Bridge'!$A:$B,2,FALSE)</f>
        <v>ARI</v>
      </c>
      <c r="N59" s="73" t="str">
        <f>VLOOKUP(L59,'Name Bridge'!$A:$B,2,FALSE)</f>
        <v>LAR</v>
      </c>
      <c r="O59" t="str">
        <f t="shared" si="2"/>
        <v>2022-01-18</v>
      </c>
      <c r="P59">
        <f t="shared" si="3"/>
        <v>44579</v>
      </c>
      <c r="Q59" t="str">
        <f t="shared" si="4"/>
        <v>ARI</v>
      </c>
    </row>
    <row r="60" spans="1:17" x14ac:dyDescent="0.2">
      <c r="A60" t="s">
        <v>3056</v>
      </c>
      <c r="B60" t="s">
        <v>3057</v>
      </c>
      <c r="C60" t="s">
        <v>850</v>
      </c>
      <c r="D60" t="s">
        <v>2305</v>
      </c>
      <c r="E60" t="s">
        <v>3045</v>
      </c>
      <c r="F60">
        <v>3.5</v>
      </c>
      <c r="G60">
        <v>-3.5</v>
      </c>
      <c r="H60">
        <v>1.88</v>
      </c>
      <c r="I60">
        <v>1.93</v>
      </c>
      <c r="K60" t="str">
        <f t="shared" si="0"/>
        <v>Arizona Cardinals</v>
      </c>
      <c r="L60" t="str">
        <f t="shared" si="1"/>
        <v>Los Angeles Rams</v>
      </c>
      <c r="M60" t="str">
        <f>VLOOKUP(K60,'Name Bridge'!$A:$B,2,FALSE)</f>
        <v>ARI</v>
      </c>
      <c r="N60" s="73" t="str">
        <f>VLOOKUP(L60,'Name Bridge'!$A:$B,2,FALSE)</f>
        <v>LAR</v>
      </c>
      <c r="O60" t="str">
        <f t="shared" si="2"/>
        <v>2022-01-18</v>
      </c>
      <c r="P60">
        <f t="shared" si="3"/>
        <v>44579</v>
      </c>
      <c r="Q60" t="str">
        <f t="shared" si="4"/>
        <v>ARI</v>
      </c>
    </row>
    <row r="61" spans="1:17" x14ac:dyDescent="0.2">
      <c r="A61" t="s">
        <v>3056</v>
      </c>
      <c r="B61" t="s">
        <v>3057</v>
      </c>
      <c r="C61" t="s">
        <v>850</v>
      </c>
      <c r="D61" t="s">
        <v>854</v>
      </c>
      <c r="E61" t="s">
        <v>3046</v>
      </c>
      <c r="F61">
        <v>3.5</v>
      </c>
      <c r="G61">
        <v>-3.5</v>
      </c>
      <c r="H61">
        <v>1.95</v>
      </c>
      <c r="I61">
        <v>1.87</v>
      </c>
      <c r="K61" t="str">
        <f t="shared" si="0"/>
        <v>Arizona Cardinals</v>
      </c>
      <c r="L61" t="str">
        <f t="shared" si="1"/>
        <v>Los Angeles Rams</v>
      </c>
      <c r="M61" t="str">
        <f>VLOOKUP(K61,'Name Bridge'!$A:$B,2,FALSE)</f>
        <v>ARI</v>
      </c>
      <c r="N61" s="73" t="str">
        <f>VLOOKUP(L61,'Name Bridge'!$A:$B,2,FALSE)</f>
        <v>LAR</v>
      </c>
      <c r="O61" t="str">
        <f t="shared" si="2"/>
        <v>2022-01-18</v>
      </c>
      <c r="P61">
        <f t="shared" si="3"/>
        <v>44579</v>
      </c>
      <c r="Q61" t="str">
        <f t="shared" si="4"/>
        <v>ARI</v>
      </c>
    </row>
    <row r="62" spans="1:17" x14ac:dyDescent="0.2">
      <c r="A62" t="s">
        <v>3056</v>
      </c>
      <c r="B62" t="s">
        <v>3057</v>
      </c>
      <c r="C62" t="s">
        <v>850</v>
      </c>
      <c r="D62" t="s">
        <v>2664</v>
      </c>
      <c r="E62" t="s">
        <v>3047</v>
      </c>
      <c r="F62">
        <v>3.5</v>
      </c>
      <c r="G62">
        <v>-3.5</v>
      </c>
      <c r="H62">
        <v>1.9</v>
      </c>
      <c r="I62">
        <v>1.9</v>
      </c>
      <c r="K62" t="str">
        <f t="shared" si="0"/>
        <v>Arizona Cardinals</v>
      </c>
      <c r="L62" t="str">
        <f t="shared" si="1"/>
        <v>Los Angeles Rams</v>
      </c>
      <c r="M62" t="str">
        <f>VLOOKUP(K62,'Name Bridge'!$A:$B,2,FALSE)</f>
        <v>ARI</v>
      </c>
      <c r="N62" s="73" t="str">
        <f>VLOOKUP(L62,'Name Bridge'!$A:$B,2,FALSE)</f>
        <v>LAR</v>
      </c>
      <c r="O62" t="str">
        <f t="shared" si="2"/>
        <v>2022-01-18</v>
      </c>
      <c r="P62">
        <f t="shared" si="3"/>
        <v>44579</v>
      </c>
      <c r="Q62" t="str">
        <f t="shared" si="4"/>
        <v>ARI</v>
      </c>
    </row>
    <row r="63" spans="1:17" x14ac:dyDescent="0.2">
      <c r="A63" t="s">
        <v>3056</v>
      </c>
      <c r="B63" t="s">
        <v>3057</v>
      </c>
      <c r="C63" t="s">
        <v>850</v>
      </c>
      <c r="D63" t="s">
        <v>2408</v>
      </c>
      <c r="E63" t="s">
        <v>3047</v>
      </c>
      <c r="F63">
        <v>3.5</v>
      </c>
      <c r="G63">
        <v>-3.5</v>
      </c>
      <c r="H63">
        <v>1.91</v>
      </c>
      <c r="I63">
        <v>1.91</v>
      </c>
      <c r="K63" t="str">
        <f t="shared" si="0"/>
        <v>Arizona Cardinals</v>
      </c>
      <c r="L63" t="str">
        <f t="shared" si="1"/>
        <v>Los Angeles Rams</v>
      </c>
      <c r="M63" t="str">
        <f>VLOOKUP(K63,'Name Bridge'!$A:$B,2,FALSE)</f>
        <v>ARI</v>
      </c>
      <c r="N63" s="73" t="str">
        <f>VLOOKUP(L63,'Name Bridge'!$A:$B,2,FALSE)</f>
        <v>LAR</v>
      </c>
      <c r="O63" t="str">
        <f t="shared" si="2"/>
        <v>2022-01-18</v>
      </c>
      <c r="P63">
        <f t="shared" si="3"/>
        <v>44579</v>
      </c>
      <c r="Q63" t="str">
        <f t="shared" si="4"/>
        <v>ARI</v>
      </c>
    </row>
    <row r="64" spans="1:17" x14ac:dyDescent="0.2">
      <c r="A64" t="s">
        <v>3056</v>
      </c>
      <c r="B64" t="s">
        <v>3057</v>
      </c>
      <c r="C64" t="s">
        <v>850</v>
      </c>
      <c r="D64" t="s">
        <v>860</v>
      </c>
      <c r="E64" t="s">
        <v>3044</v>
      </c>
      <c r="F64">
        <v>3.5</v>
      </c>
      <c r="G64">
        <v>-3.5</v>
      </c>
      <c r="H64">
        <v>1.91</v>
      </c>
      <c r="I64">
        <v>1.91</v>
      </c>
      <c r="K64" t="str">
        <f t="shared" si="0"/>
        <v>Arizona Cardinals</v>
      </c>
      <c r="L64" t="str">
        <f t="shared" si="1"/>
        <v>Los Angeles Rams</v>
      </c>
      <c r="M64" t="str">
        <f>VLOOKUP(K64,'Name Bridge'!$A:$B,2,FALSE)</f>
        <v>ARI</v>
      </c>
      <c r="N64" s="73" t="str">
        <f>VLOOKUP(L64,'Name Bridge'!$A:$B,2,FALSE)</f>
        <v>LAR</v>
      </c>
      <c r="O64" t="str">
        <f t="shared" si="2"/>
        <v>2022-01-18</v>
      </c>
      <c r="P64">
        <f t="shared" si="3"/>
        <v>44579</v>
      </c>
      <c r="Q64" t="str">
        <f t="shared" si="4"/>
        <v>ARI</v>
      </c>
    </row>
    <row r="65" spans="1:17" x14ac:dyDescent="0.2">
      <c r="A65" t="s">
        <v>3056</v>
      </c>
      <c r="B65" t="s">
        <v>3057</v>
      </c>
      <c r="C65" t="s">
        <v>850</v>
      </c>
      <c r="D65" t="s">
        <v>853</v>
      </c>
      <c r="E65" t="s">
        <v>3047</v>
      </c>
      <c r="F65">
        <v>3.5</v>
      </c>
      <c r="G65">
        <v>-3.5</v>
      </c>
      <c r="H65">
        <v>1.91</v>
      </c>
      <c r="I65">
        <v>1.91</v>
      </c>
      <c r="K65" t="str">
        <f t="shared" si="0"/>
        <v>Arizona Cardinals</v>
      </c>
      <c r="L65" t="str">
        <f t="shared" si="1"/>
        <v>Los Angeles Rams</v>
      </c>
      <c r="M65" t="str">
        <f>VLOOKUP(K65,'Name Bridge'!$A:$B,2,FALSE)</f>
        <v>ARI</v>
      </c>
      <c r="N65" s="73" t="str">
        <f>VLOOKUP(L65,'Name Bridge'!$A:$B,2,FALSE)</f>
        <v>LAR</v>
      </c>
      <c r="O65" t="str">
        <f t="shared" si="2"/>
        <v>2022-01-18</v>
      </c>
      <c r="P65">
        <f t="shared" si="3"/>
        <v>44579</v>
      </c>
      <c r="Q65" t="str">
        <f t="shared" si="4"/>
        <v>ARI</v>
      </c>
    </row>
    <row r="66" spans="1:17" x14ac:dyDescent="0.2">
      <c r="A66" t="s">
        <v>3056</v>
      </c>
      <c r="B66" t="s">
        <v>3057</v>
      </c>
      <c r="C66" t="s">
        <v>850</v>
      </c>
      <c r="D66" t="s">
        <v>861</v>
      </c>
      <c r="E66" t="s">
        <v>3043</v>
      </c>
      <c r="F66">
        <v>3.5</v>
      </c>
      <c r="G66">
        <v>-3.5</v>
      </c>
      <c r="H66">
        <v>1.91</v>
      </c>
      <c r="I66">
        <v>1.91</v>
      </c>
      <c r="K66" t="str">
        <f t="shared" ref="K66:K129" si="5">LEFT(A66,(FIND("_",A66)-1))</f>
        <v>Arizona Cardinals</v>
      </c>
      <c r="L66" t="str">
        <f t="shared" ref="L66:L129" si="6">RIGHT(A66,LEN(A66)-FIND("_",A66))</f>
        <v>Los Angeles Rams</v>
      </c>
      <c r="M66" t="str">
        <f>VLOOKUP(K66,'Name Bridge'!$A:$B,2,FALSE)</f>
        <v>ARI</v>
      </c>
      <c r="N66" s="73" t="str">
        <f>VLOOKUP(L66,'Name Bridge'!$A:$B,2,FALSE)</f>
        <v>LAR</v>
      </c>
      <c r="O66" t="str">
        <f t="shared" ref="O66:O129" si="7">LEFT(B66,10)</f>
        <v>2022-01-18</v>
      </c>
      <c r="P66">
        <f t="shared" si="3"/>
        <v>44579</v>
      </c>
      <c r="Q66" t="str">
        <f t="shared" si="4"/>
        <v>ARI</v>
      </c>
    </row>
    <row r="67" spans="1:17" x14ac:dyDescent="0.2">
      <c r="A67" t="s">
        <v>3056</v>
      </c>
      <c r="B67" t="s">
        <v>3057</v>
      </c>
      <c r="C67" t="s">
        <v>850</v>
      </c>
      <c r="D67" t="s">
        <v>2378</v>
      </c>
      <c r="E67" t="s">
        <v>3048</v>
      </c>
      <c r="F67">
        <v>3.5</v>
      </c>
      <c r="G67">
        <v>-3.5</v>
      </c>
      <c r="H67">
        <v>1.91</v>
      </c>
      <c r="I67">
        <v>1.91</v>
      </c>
      <c r="K67" t="str">
        <f t="shared" si="5"/>
        <v>Arizona Cardinals</v>
      </c>
      <c r="L67" t="str">
        <f t="shared" si="6"/>
        <v>Los Angeles Rams</v>
      </c>
      <c r="M67" t="str">
        <f>VLOOKUP(K67,'Name Bridge'!$A:$B,2,FALSE)</f>
        <v>ARI</v>
      </c>
      <c r="N67" s="73" t="str">
        <f>VLOOKUP(L67,'Name Bridge'!$A:$B,2,FALSE)</f>
        <v>LAR</v>
      </c>
      <c r="O67" t="str">
        <f t="shared" si="7"/>
        <v>2022-01-18</v>
      </c>
      <c r="P67">
        <f t="shared" ref="P67:P130" si="8">_xlfn.NUMBERVALUE(O67)</f>
        <v>44579</v>
      </c>
      <c r="Q67" t="str">
        <f t="shared" ref="Q67:Q130" si="9">M67</f>
        <v>ARI</v>
      </c>
    </row>
    <row r="68" spans="1:17" x14ac:dyDescent="0.2">
      <c r="A68" t="s">
        <v>3056</v>
      </c>
      <c r="B68" t="s">
        <v>3057</v>
      </c>
      <c r="C68" t="s">
        <v>850</v>
      </c>
      <c r="D68" t="s">
        <v>2380</v>
      </c>
      <c r="E68" t="s">
        <v>3049</v>
      </c>
      <c r="F68">
        <v>3.5</v>
      </c>
      <c r="G68">
        <v>-3.5</v>
      </c>
      <c r="H68">
        <v>1.95</v>
      </c>
      <c r="I68">
        <v>1.87</v>
      </c>
      <c r="K68" t="str">
        <f t="shared" si="5"/>
        <v>Arizona Cardinals</v>
      </c>
      <c r="L68" t="str">
        <f t="shared" si="6"/>
        <v>Los Angeles Rams</v>
      </c>
      <c r="M68" t="str">
        <f>VLOOKUP(K68,'Name Bridge'!$A:$B,2,FALSE)</f>
        <v>ARI</v>
      </c>
      <c r="N68" s="73" t="str">
        <f>VLOOKUP(L68,'Name Bridge'!$A:$B,2,FALSE)</f>
        <v>LAR</v>
      </c>
      <c r="O68" t="str">
        <f t="shared" si="7"/>
        <v>2022-01-18</v>
      </c>
      <c r="P68">
        <f t="shared" si="8"/>
        <v>44579</v>
      </c>
      <c r="Q68" t="str">
        <f t="shared" si="9"/>
        <v>ARI</v>
      </c>
    </row>
    <row r="69" spans="1:17" x14ac:dyDescent="0.2">
      <c r="A69" t="s">
        <v>3056</v>
      </c>
      <c r="B69" t="s">
        <v>3057</v>
      </c>
      <c r="C69" t="s">
        <v>850</v>
      </c>
      <c r="D69" t="s">
        <v>856</v>
      </c>
      <c r="E69" t="s">
        <v>3048</v>
      </c>
      <c r="F69">
        <v>3.5</v>
      </c>
      <c r="G69">
        <v>-3.5</v>
      </c>
      <c r="H69">
        <v>1.92</v>
      </c>
      <c r="I69">
        <v>1.92</v>
      </c>
      <c r="K69" t="str">
        <f t="shared" si="5"/>
        <v>Arizona Cardinals</v>
      </c>
      <c r="L69" t="str">
        <f t="shared" si="6"/>
        <v>Los Angeles Rams</v>
      </c>
      <c r="M69" t="str">
        <f>VLOOKUP(K69,'Name Bridge'!$A:$B,2,FALSE)</f>
        <v>ARI</v>
      </c>
      <c r="N69" s="73" t="str">
        <f>VLOOKUP(L69,'Name Bridge'!$A:$B,2,FALSE)</f>
        <v>LAR</v>
      </c>
      <c r="O69" t="str">
        <f t="shared" si="7"/>
        <v>2022-01-18</v>
      </c>
      <c r="P69">
        <f t="shared" si="8"/>
        <v>44579</v>
      </c>
      <c r="Q69" t="str">
        <f t="shared" si="9"/>
        <v>ARI</v>
      </c>
    </row>
    <row r="70" spans="1:17" x14ac:dyDescent="0.2">
      <c r="A70" t="s">
        <v>3056</v>
      </c>
      <c r="B70" t="s">
        <v>3057</v>
      </c>
      <c r="C70" t="s">
        <v>850</v>
      </c>
      <c r="D70" t="s">
        <v>857</v>
      </c>
      <c r="E70" t="s">
        <v>3050</v>
      </c>
      <c r="F70">
        <v>4</v>
      </c>
      <c r="G70">
        <v>-4</v>
      </c>
      <c r="H70">
        <v>1.91</v>
      </c>
      <c r="I70">
        <v>1.91</v>
      </c>
      <c r="K70" t="str">
        <f t="shared" si="5"/>
        <v>Arizona Cardinals</v>
      </c>
      <c r="L70" t="str">
        <f t="shared" si="6"/>
        <v>Los Angeles Rams</v>
      </c>
      <c r="M70" t="str">
        <f>VLOOKUP(K70,'Name Bridge'!$A:$B,2,FALSE)</f>
        <v>ARI</v>
      </c>
      <c r="N70" s="73" t="str">
        <f>VLOOKUP(L70,'Name Bridge'!$A:$B,2,FALSE)</f>
        <v>LAR</v>
      </c>
      <c r="O70" t="str">
        <f t="shared" si="7"/>
        <v>2022-01-18</v>
      </c>
      <c r="P70">
        <f t="shared" si="8"/>
        <v>44579</v>
      </c>
      <c r="Q70" t="str">
        <f t="shared" si="9"/>
        <v>ARI</v>
      </c>
    </row>
    <row r="71" spans="1:17" x14ac:dyDescent="0.2">
      <c r="A71" t="s">
        <v>3056</v>
      </c>
      <c r="B71" t="s">
        <v>3057</v>
      </c>
      <c r="C71" t="s">
        <v>850</v>
      </c>
      <c r="D71" t="s">
        <v>862</v>
      </c>
      <c r="E71" t="s">
        <v>3044</v>
      </c>
      <c r="F71">
        <v>3.5</v>
      </c>
      <c r="G71">
        <v>-3.5</v>
      </c>
      <c r="H71">
        <v>1.91</v>
      </c>
      <c r="I71">
        <v>1.91</v>
      </c>
      <c r="K71" t="str">
        <f t="shared" si="5"/>
        <v>Arizona Cardinals</v>
      </c>
      <c r="L71" t="str">
        <f t="shared" si="6"/>
        <v>Los Angeles Rams</v>
      </c>
      <c r="M71" t="str">
        <f>VLOOKUP(K71,'Name Bridge'!$A:$B,2,FALSE)</f>
        <v>ARI</v>
      </c>
      <c r="N71" s="73" t="str">
        <f>VLOOKUP(L71,'Name Bridge'!$A:$B,2,FALSE)</f>
        <v>LAR</v>
      </c>
      <c r="O71" t="str">
        <f t="shared" si="7"/>
        <v>2022-01-18</v>
      </c>
      <c r="P71">
        <f t="shared" si="8"/>
        <v>44579</v>
      </c>
      <c r="Q71" t="str">
        <f t="shared" si="9"/>
        <v>ARI</v>
      </c>
    </row>
    <row r="72" spans="1:17" x14ac:dyDescent="0.2">
      <c r="A72" t="s">
        <v>3056</v>
      </c>
      <c r="B72" t="s">
        <v>3057</v>
      </c>
      <c r="C72" t="s">
        <v>850</v>
      </c>
      <c r="D72" t="s">
        <v>3051</v>
      </c>
      <c r="E72" t="s">
        <v>3048</v>
      </c>
      <c r="F72">
        <v>3.5</v>
      </c>
      <c r="G72">
        <v>-3.5</v>
      </c>
      <c r="H72">
        <v>1.94</v>
      </c>
      <c r="I72">
        <v>1.96</v>
      </c>
      <c r="K72" t="str">
        <f t="shared" si="5"/>
        <v>Arizona Cardinals</v>
      </c>
      <c r="L72" t="str">
        <f t="shared" si="6"/>
        <v>Los Angeles Rams</v>
      </c>
      <c r="M72" t="str">
        <f>VLOOKUP(K72,'Name Bridge'!$A:$B,2,FALSE)</f>
        <v>ARI</v>
      </c>
      <c r="N72" s="73" t="str">
        <f>VLOOKUP(L72,'Name Bridge'!$A:$B,2,FALSE)</f>
        <v>LAR</v>
      </c>
      <c r="O72" t="str">
        <f t="shared" si="7"/>
        <v>2022-01-18</v>
      </c>
      <c r="P72">
        <f t="shared" si="8"/>
        <v>44579</v>
      </c>
      <c r="Q72" t="str">
        <f t="shared" si="9"/>
        <v>ARI</v>
      </c>
    </row>
    <row r="73" spans="1:17" x14ac:dyDescent="0.2">
      <c r="K73" t="e">
        <f t="shared" si="5"/>
        <v>#VALUE!</v>
      </c>
      <c r="L73" t="e">
        <f t="shared" si="6"/>
        <v>#VALUE!</v>
      </c>
      <c r="M73" t="e">
        <f>VLOOKUP(K73,'Name Bridge'!$A:$B,2,FALSE)</f>
        <v>#VALUE!</v>
      </c>
      <c r="N73" s="73" t="e">
        <f>VLOOKUP(L73,'Name Bridge'!$A:$B,2,FALSE)</f>
        <v>#VALUE!</v>
      </c>
      <c r="O73" t="str">
        <f t="shared" si="7"/>
        <v/>
      </c>
      <c r="P73">
        <f t="shared" si="8"/>
        <v>0</v>
      </c>
      <c r="Q73" t="e">
        <f t="shared" si="9"/>
        <v>#VALUE!</v>
      </c>
    </row>
    <row r="74" spans="1:17" x14ac:dyDescent="0.2">
      <c r="K74" t="e">
        <f t="shared" si="5"/>
        <v>#VALUE!</v>
      </c>
      <c r="L74" t="e">
        <f t="shared" si="6"/>
        <v>#VALUE!</v>
      </c>
      <c r="M74" t="e">
        <f>VLOOKUP(K74,'Name Bridge'!$A:$B,2,FALSE)</f>
        <v>#VALUE!</v>
      </c>
      <c r="N74" s="73" t="e">
        <f>VLOOKUP(L74,'Name Bridge'!$A:$B,2,FALSE)</f>
        <v>#VALUE!</v>
      </c>
      <c r="O74" t="str">
        <f t="shared" si="7"/>
        <v/>
      </c>
      <c r="P74">
        <f t="shared" si="8"/>
        <v>0</v>
      </c>
      <c r="Q74" t="e">
        <f t="shared" si="9"/>
        <v>#VALUE!</v>
      </c>
    </row>
    <row r="75" spans="1:17" x14ac:dyDescent="0.2">
      <c r="K75" t="e">
        <f t="shared" si="5"/>
        <v>#VALUE!</v>
      </c>
      <c r="L75" t="e">
        <f t="shared" si="6"/>
        <v>#VALUE!</v>
      </c>
      <c r="M75" t="e">
        <f>VLOOKUP(K75,'Name Bridge'!$A:$B,2,FALSE)</f>
        <v>#VALUE!</v>
      </c>
      <c r="N75" s="73" t="e">
        <f>VLOOKUP(L75,'Name Bridge'!$A:$B,2,FALSE)</f>
        <v>#VALUE!</v>
      </c>
      <c r="O75" t="str">
        <f t="shared" si="7"/>
        <v/>
      </c>
      <c r="P75">
        <f t="shared" si="8"/>
        <v>0</v>
      </c>
      <c r="Q75" t="e">
        <f t="shared" si="9"/>
        <v>#VALUE!</v>
      </c>
    </row>
    <row r="76" spans="1:17" x14ac:dyDescent="0.2">
      <c r="K76" t="e">
        <f t="shared" si="5"/>
        <v>#VALUE!</v>
      </c>
      <c r="L76" t="e">
        <f t="shared" si="6"/>
        <v>#VALUE!</v>
      </c>
      <c r="M76" t="e">
        <f>VLOOKUP(K76,'Name Bridge'!$A:$B,2,FALSE)</f>
        <v>#VALUE!</v>
      </c>
      <c r="N76" s="73" t="e">
        <f>VLOOKUP(L76,'Name Bridge'!$A:$B,2,FALSE)</f>
        <v>#VALUE!</v>
      </c>
      <c r="O76" t="str">
        <f t="shared" si="7"/>
        <v/>
      </c>
      <c r="P76">
        <f t="shared" si="8"/>
        <v>0</v>
      </c>
      <c r="Q76" t="e">
        <f t="shared" si="9"/>
        <v>#VALUE!</v>
      </c>
    </row>
    <row r="77" spans="1:17" x14ac:dyDescent="0.2">
      <c r="K77" t="e">
        <f t="shared" si="5"/>
        <v>#VALUE!</v>
      </c>
      <c r="L77" t="e">
        <f t="shared" si="6"/>
        <v>#VALUE!</v>
      </c>
      <c r="M77" t="e">
        <f>VLOOKUP(K77,'Name Bridge'!$A:$B,2,FALSE)</f>
        <v>#VALUE!</v>
      </c>
      <c r="N77" s="73" t="e">
        <f>VLOOKUP(L77,'Name Bridge'!$A:$B,2,FALSE)</f>
        <v>#VALUE!</v>
      </c>
      <c r="O77" t="str">
        <f t="shared" si="7"/>
        <v/>
      </c>
      <c r="P77">
        <f t="shared" si="8"/>
        <v>0</v>
      </c>
      <c r="Q77" t="e">
        <f t="shared" si="9"/>
        <v>#VALUE!</v>
      </c>
    </row>
    <row r="78" spans="1:17" x14ac:dyDescent="0.2">
      <c r="K78" t="e">
        <f t="shared" si="5"/>
        <v>#VALUE!</v>
      </c>
      <c r="L78" t="e">
        <f t="shared" si="6"/>
        <v>#VALUE!</v>
      </c>
      <c r="M78" t="e">
        <f>VLOOKUP(K78,'Name Bridge'!$A:$B,2,FALSE)</f>
        <v>#VALUE!</v>
      </c>
      <c r="N78" s="73" t="e">
        <f>VLOOKUP(L78,'Name Bridge'!$A:$B,2,FALSE)</f>
        <v>#VALUE!</v>
      </c>
      <c r="O78" t="str">
        <f t="shared" si="7"/>
        <v/>
      </c>
      <c r="P78">
        <f t="shared" si="8"/>
        <v>0</v>
      </c>
      <c r="Q78" t="e">
        <f t="shared" si="9"/>
        <v>#VALUE!</v>
      </c>
    </row>
    <row r="79" spans="1:17" x14ac:dyDescent="0.2">
      <c r="K79" t="e">
        <f t="shared" si="5"/>
        <v>#VALUE!</v>
      </c>
      <c r="L79" t="e">
        <f t="shared" si="6"/>
        <v>#VALUE!</v>
      </c>
      <c r="M79" t="e">
        <f>VLOOKUP(K79,'Name Bridge'!$A:$B,2,FALSE)</f>
        <v>#VALUE!</v>
      </c>
      <c r="N79" s="73" t="e">
        <f>VLOOKUP(L79,'Name Bridge'!$A:$B,2,FALSE)</f>
        <v>#VALUE!</v>
      </c>
      <c r="O79" t="str">
        <f t="shared" si="7"/>
        <v/>
      </c>
      <c r="P79">
        <f t="shared" si="8"/>
        <v>0</v>
      </c>
      <c r="Q79" t="e">
        <f t="shared" si="9"/>
        <v>#VALUE!</v>
      </c>
    </row>
    <row r="80" spans="1:17" x14ac:dyDescent="0.2">
      <c r="K80" t="e">
        <f t="shared" si="5"/>
        <v>#VALUE!</v>
      </c>
      <c r="L80" t="e">
        <f t="shared" si="6"/>
        <v>#VALUE!</v>
      </c>
      <c r="M80" t="e">
        <f>VLOOKUP(K80,'Name Bridge'!$A:$B,2,FALSE)</f>
        <v>#VALUE!</v>
      </c>
      <c r="N80" s="73" t="e">
        <f>VLOOKUP(L80,'Name Bridge'!$A:$B,2,FALSE)</f>
        <v>#VALUE!</v>
      </c>
      <c r="O80" t="str">
        <f t="shared" si="7"/>
        <v/>
      </c>
      <c r="P80">
        <f t="shared" si="8"/>
        <v>0</v>
      </c>
      <c r="Q80" t="e">
        <f t="shared" si="9"/>
        <v>#VALUE!</v>
      </c>
    </row>
    <row r="81" spans="11:17" x14ac:dyDescent="0.2">
      <c r="K81" t="e">
        <f t="shared" si="5"/>
        <v>#VALUE!</v>
      </c>
      <c r="L81" t="e">
        <f t="shared" si="6"/>
        <v>#VALUE!</v>
      </c>
      <c r="M81" t="e">
        <f>VLOOKUP(K81,'Name Bridge'!$A:$B,2,FALSE)</f>
        <v>#VALUE!</v>
      </c>
      <c r="N81" s="73" t="e">
        <f>VLOOKUP(L81,'Name Bridge'!$A:$B,2,FALSE)</f>
        <v>#VALUE!</v>
      </c>
      <c r="O81" t="str">
        <f t="shared" si="7"/>
        <v/>
      </c>
      <c r="P81">
        <f t="shared" si="8"/>
        <v>0</v>
      </c>
      <c r="Q81" t="e">
        <f t="shared" si="9"/>
        <v>#VALUE!</v>
      </c>
    </row>
    <row r="82" spans="11:17" x14ac:dyDescent="0.2">
      <c r="K82" t="e">
        <f t="shared" si="5"/>
        <v>#VALUE!</v>
      </c>
      <c r="L82" t="e">
        <f t="shared" si="6"/>
        <v>#VALUE!</v>
      </c>
      <c r="M82" t="e">
        <f>VLOOKUP(K82,'Name Bridge'!$A:$B,2,FALSE)</f>
        <v>#VALUE!</v>
      </c>
      <c r="N82" s="73" t="e">
        <f>VLOOKUP(L82,'Name Bridge'!$A:$B,2,FALSE)</f>
        <v>#VALUE!</v>
      </c>
      <c r="O82" t="str">
        <f t="shared" si="7"/>
        <v/>
      </c>
      <c r="P82">
        <f t="shared" si="8"/>
        <v>0</v>
      </c>
      <c r="Q82" t="e">
        <f t="shared" si="9"/>
        <v>#VALUE!</v>
      </c>
    </row>
    <row r="83" spans="11:17" x14ac:dyDescent="0.2">
      <c r="K83" t="e">
        <f t="shared" si="5"/>
        <v>#VALUE!</v>
      </c>
      <c r="L83" t="e">
        <f t="shared" si="6"/>
        <v>#VALUE!</v>
      </c>
      <c r="M83" t="e">
        <f>VLOOKUP(K83,'Name Bridge'!$A:$B,2,FALSE)</f>
        <v>#VALUE!</v>
      </c>
      <c r="N83" s="73" t="e">
        <f>VLOOKUP(L83,'Name Bridge'!$A:$B,2,FALSE)</f>
        <v>#VALUE!</v>
      </c>
      <c r="O83" t="str">
        <f t="shared" si="7"/>
        <v/>
      </c>
      <c r="P83">
        <f t="shared" si="8"/>
        <v>0</v>
      </c>
      <c r="Q83" t="e">
        <f t="shared" si="9"/>
        <v>#VALUE!</v>
      </c>
    </row>
    <row r="84" spans="11:17" x14ac:dyDescent="0.2">
      <c r="K84" t="e">
        <f t="shared" si="5"/>
        <v>#VALUE!</v>
      </c>
      <c r="L84" t="e">
        <f t="shared" si="6"/>
        <v>#VALUE!</v>
      </c>
      <c r="M84" t="e">
        <f>VLOOKUP(K84,'Name Bridge'!$A:$B,2,FALSE)</f>
        <v>#VALUE!</v>
      </c>
      <c r="N84" s="73" t="e">
        <f>VLOOKUP(L84,'Name Bridge'!$A:$B,2,FALSE)</f>
        <v>#VALUE!</v>
      </c>
      <c r="O84" t="str">
        <f t="shared" si="7"/>
        <v/>
      </c>
      <c r="P84">
        <f t="shared" si="8"/>
        <v>0</v>
      </c>
      <c r="Q84" t="e">
        <f t="shared" si="9"/>
        <v>#VALUE!</v>
      </c>
    </row>
    <row r="85" spans="11:17" x14ac:dyDescent="0.2">
      <c r="K85" t="e">
        <f t="shared" si="5"/>
        <v>#VALUE!</v>
      </c>
      <c r="L85" t="e">
        <f t="shared" si="6"/>
        <v>#VALUE!</v>
      </c>
      <c r="M85" t="e">
        <f>VLOOKUP(K85,'Name Bridge'!$A:$B,2,FALSE)</f>
        <v>#VALUE!</v>
      </c>
      <c r="N85" s="73" t="e">
        <f>VLOOKUP(L85,'Name Bridge'!$A:$B,2,FALSE)</f>
        <v>#VALUE!</v>
      </c>
      <c r="O85" t="str">
        <f t="shared" si="7"/>
        <v/>
      </c>
      <c r="P85">
        <f t="shared" si="8"/>
        <v>0</v>
      </c>
      <c r="Q85" t="e">
        <f t="shared" si="9"/>
        <v>#VALUE!</v>
      </c>
    </row>
    <row r="86" spans="11:17" x14ac:dyDescent="0.2">
      <c r="K86" t="e">
        <f t="shared" si="5"/>
        <v>#VALUE!</v>
      </c>
      <c r="L86" t="e">
        <f t="shared" si="6"/>
        <v>#VALUE!</v>
      </c>
      <c r="M86" t="e">
        <f>VLOOKUP(K86,'Name Bridge'!$A:$B,2,FALSE)</f>
        <v>#VALUE!</v>
      </c>
      <c r="N86" s="73" t="e">
        <f>VLOOKUP(L86,'Name Bridge'!$A:$B,2,FALSE)</f>
        <v>#VALUE!</v>
      </c>
      <c r="O86" t="str">
        <f t="shared" si="7"/>
        <v/>
      </c>
      <c r="P86">
        <f t="shared" si="8"/>
        <v>0</v>
      </c>
      <c r="Q86" t="e">
        <f t="shared" si="9"/>
        <v>#VALUE!</v>
      </c>
    </row>
    <row r="87" spans="11:17" x14ac:dyDescent="0.2">
      <c r="K87" t="e">
        <f t="shared" si="5"/>
        <v>#VALUE!</v>
      </c>
      <c r="L87" t="e">
        <f t="shared" si="6"/>
        <v>#VALUE!</v>
      </c>
      <c r="M87" t="e">
        <f>VLOOKUP(K87,'Name Bridge'!$A:$B,2,FALSE)</f>
        <v>#VALUE!</v>
      </c>
      <c r="N87" s="73" t="e">
        <f>VLOOKUP(L87,'Name Bridge'!$A:$B,2,FALSE)</f>
        <v>#VALUE!</v>
      </c>
      <c r="O87" t="str">
        <f t="shared" si="7"/>
        <v/>
      </c>
      <c r="P87">
        <f t="shared" si="8"/>
        <v>0</v>
      </c>
      <c r="Q87" t="e">
        <f t="shared" si="9"/>
        <v>#VALUE!</v>
      </c>
    </row>
    <row r="88" spans="11:17" x14ac:dyDescent="0.2">
      <c r="K88" t="e">
        <f t="shared" si="5"/>
        <v>#VALUE!</v>
      </c>
      <c r="L88" t="e">
        <f t="shared" si="6"/>
        <v>#VALUE!</v>
      </c>
      <c r="M88" t="e">
        <f>VLOOKUP(K88,'Name Bridge'!$A:$B,2,FALSE)</f>
        <v>#VALUE!</v>
      </c>
      <c r="N88" s="73" t="e">
        <f>VLOOKUP(L88,'Name Bridge'!$A:$B,2,FALSE)</f>
        <v>#VALUE!</v>
      </c>
      <c r="O88" t="str">
        <f t="shared" si="7"/>
        <v/>
      </c>
      <c r="P88">
        <f t="shared" si="8"/>
        <v>0</v>
      </c>
      <c r="Q88" t="e">
        <f t="shared" si="9"/>
        <v>#VALUE!</v>
      </c>
    </row>
    <row r="89" spans="11:17" x14ac:dyDescent="0.2">
      <c r="K89" t="e">
        <f t="shared" si="5"/>
        <v>#VALUE!</v>
      </c>
      <c r="L89" t="e">
        <f t="shared" si="6"/>
        <v>#VALUE!</v>
      </c>
      <c r="M89" t="e">
        <f>VLOOKUP(K89,'Name Bridge'!$A:$B,2,FALSE)</f>
        <v>#VALUE!</v>
      </c>
      <c r="N89" s="73" t="e">
        <f>VLOOKUP(L89,'Name Bridge'!$A:$B,2,FALSE)</f>
        <v>#VALUE!</v>
      </c>
      <c r="O89" t="str">
        <f t="shared" si="7"/>
        <v/>
      </c>
      <c r="P89">
        <f t="shared" si="8"/>
        <v>0</v>
      </c>
      <c r="Q89" t="e">
        <f t="shared" si="9"/>
        <v>#VALUE!</v>
      </c>
    </row>
    <row r="90" spans="11:17" x14ac:dyDescent="0.2">
      <c r="K90" t="e">
        <f t="shared" si="5"/>
        <v>#VALUE!</v>
      </c>
      <c r="L90" t="e">
        <f t="shared" si="6"/>
        <v>#VALUE!</v>
      </c>
      <c r="M90" t="e">
        <f>VLOOKUP(K90,'Name Bridge'!$A:$B,2,FALSE)</f>
        <v>#VALUE!</v>
      </c>
      <c r="N90" s="73" t="e">
        <f>VLOOKUP(L90,'Name Bridge'!$A:$B,2,FALSE)</f>
        <v>#VALUE!</v>
      </c>
      <c r="O90" t="str">
        <f t="shared" si="7"/>
        <v/>
      </c>
      <c r="P90">
        <f t="shared" si="8"/>
        <v>0</v>
      </c>
      <c r="Q90" t="e">
        <f t="shared" si="9"/>
        <v>#VALUE!</v>
      </c>
    </row>
    <row r="91" spans="11:17" x14ac:dyDescent="0.2">
      <c r="K91" t="e">
        <f t="shared" si="5"/>
        <v>#VALUE!</v>
      </c>
      <c r="L91" t="e">
        <f t="shared" si="6"/>
        <v>#VALUE!</v>
      </c>
      <c r="M91" t="e">
        <f>VLOOKUP(K91,'Name Bridge'!$A:$B,2,FALSE)</f>
        <v>#VALUE!</v>
      </c>
      <c r="N91" s="73" t="e">
        <f>VLOOKUP(L91,'Name Bridge'!$A:$B,2,FALSE)</f>
        <v>#VALUE!</v>
      </c>
      <c r="O91" t="str">
        <f t="shared" si="7"/>
        <v/>
      </c>
      <c r="P91">
        <f t="shared" si="8"/>
        <v>0</v>
      </c>
      <c r="Q91" t="e">
        <f t="shared" si="9"/>
        <v>#VALUE!</v>
      </c>
    </row>
    <row r="92" spans="11:17" x14ac:dyDescent="0.2">
      <c r="K92" t="e">
        <f t="shared" si="5"/>
        <v>#VALUE!</v>
      </c>
      <c r="L92" t="e">
        <f t="shared" si="6"/>
        <v>#VALUE!</v>
      </c>
      <c r="M92" t="e">
        <f>VLOOKUP(K92,'Name Bridge'!$A:$B,2,FALSE)</f>
        <v>#VALUE!</v>
      </c>
      <c r="N92" s="73" t="e">
        <f>VLOOKUP(L92,'Name Bridge'!$A:$B,2,FALSE)</f>
        <v>#VALUE!</v>
      </c>
      <c r="O92" t="str">
        <f t="shared" si="7"/>
        <v/>
      </c>
      <c r="P92">
        <f t="shared" si="8"/>
        <v>0</v>
      </c>
      <c r="Q92" t="e">
        <f t="shared" si="9"/>
        <v>#VALUE!</v>
      </c>
    </row>
    <row r="93" spans="11:17" x14ac:dyDescent="0.2">
      <c r="K93" t="e">
        <f t="shared" si="5"/>
        <v>#VALUE!</v>
      </c>
      <c r="L93" t="e">
        <f t="shared" si="6"/>
        <v>#VALUE!</v>
      </c>
      <c r="M93" t="e">
        <f>VLOOKUP(K93,'Name Bridge'!$A:$B,2,FALSE)</f>
        <v>#VALUE!</v>
      </c>
      <c r="N93" s="73" t="e">
        <f>VLOOKUP(L93,'Name Bridge'!$A:$B,2,FALSE)</f>
        <v>#VALUE!</v>
      </c>
      <c r="O93" t="str">
        <f t="shared" si="7"/>
        <v/>
      </c>
      <c r="P93">
        <f t="shared" si="8"/>
        <v>0</v>
      </c>
      <c r="Q93" t="e">
        <f t="shared" si="9"/>
        <v>#VALUE!</v>
      </c>
    </row>
    <row r="94" spans="11:17" x14ac:dyDescent="0.2">
      <c r="K94" t="e">
        <f t="shared" si="5"/>
        <v>#VALUE!</v>
      </c>
      <c r="L94" t="e">
        <f t="shared" si="6"/>
        <v>#VALUE!</v>
      </c>
      <c r="M94" t="e">
        <f>VLOOKUP(K94,'Name Bridge'!$A:$B,2,FALSE)</f>
        <v>#VALUE!</v>
      </c>
      <c r="N94" s="73" t="e">
        <f>VLOOKUP(L94,'Name Bridge'!$A:$B,2,FALSE)</f>
        <v>#VALUE!</v>
      </c>
      <c r="O94" t="str">
        <f t="shared" si="7"/>
        <v/>
      </c>
      <c r="P94">
        <f t="shared" si="8"/>
        <v>0</v>
      </c>
      <c r="Q94" t="e">
        <f t="shared" si="9"/>
        <v>#VALUE!</v>
      </c>
    </row>
    <row r="95" spans="11:17" x14ac:dyDescent="0.2">
      <c r="K95" t="e">
        <f t="shared" si="5"/>
        <v>#VALUE!</v>
      </c>
      <c r="L95" t="e">
        <f t="shared" si="6"/>
        <v>#VALUE!</v>
      </c>
      <c r="M95" t="e">
        <f>VLOOKUP(K95,'Name Bridge'!$A:$B,2,FALSE)</f>
        <v>#VALUE!</v>
      </c>
      <c r="N95" s="73" t="e">
        <f>VLOOKUP(L95,'Name Bridge'!$A:$B,2,FALSE)</f>
        <v>#VALUE!</v>
      </c>
      <c r="O95" t="str">
        <f t="shared" si="7"/>
        <v/>
      </c>
      <c r="P95">
        <f t="shared" si="8"/>
        <v>0</v>
      </c>
      <c r="Q95" t="e">
        <f t="shared" si="9"/>
        <v>#VALUE!</v>
      </c>
    </row>
    <row r="96" spans="11:17" x14ac:dyDescent="0.2">
      <c r="K96" t="e">
        <f t="shared" si="5"/>
        <v>#VALUE!</v>
      </c>
      <c r="L96" t="e">
        <f t="shared" si="6"/>
        <v>#VALUE!</v>
      </c>
      <c r="M96" t="e">
        <f>VLOOKUP(K96,'Name Bridge'!$A:$B,2,FALSE)</f>
        <v>#VALUE!</v>
      </c>
      <c r="N96" s="73" t="e">
        <f>VLOOKUP(L96,'Name Bridge'!$A:$B,2,FALSE)</f>
        <v>#VALUE!</v>
      </c>
      <c r="O96" t="str">
        <f t="shared" si="7"/>
        <v/>
      </c>
      <c r="P96">
        <f t="shared" si="8"/>
        <v>0</v>
      </c>
      <c r="Q96" t="e">
        <f t="shared" si="9"/>
        <v>#VALUE!</v>
      </c>
    </row>
    <row r="97" spans="11:17" x14ac:dyDescent="0.2">
      <c r="K97" t="e">
        <f t="shared" si="5"/>
        <v>#VALUE!</v>
      </c>
      <c r="L97" t="e">
        <f t="shared" si="6"/>
        <v>#VALUE!</v>
      </c>
      <c r="M97" t="e">
        <f>VLOOKUP(K97,'Name Bridge'!$A:$B,2,FALSE)</f>
        <v>#VALUE!</v>
      </c>
      <c r="N97" s="73" t="e">
        <f>VLOOKUP(L97,'Name Bridge'!$A:$B,2,FALSE)</f>
        <v>#VALUE!</v>
      </c>
      <c r="O97" t="str">
        <f t="shared" si="7"/>
        <v/>
      </c>
      <c r="P97">
        <f t="shared" si="8"/>
        <v>0</v>
      </c>
      <c r="Q97" t="e">
        <f t="shared" si="9"/>
        <v>#VALUE!</v>
      </c>
    </row>
    <row r="98" spans="11:17" x14ac:dyDescent="0.2">
      <c r="K98" t="e">
        <f t="shared" si="5"/>
        <v>#VALUE!</v>
      </c>
      <c r="L98" t="e">
        <f t="shared" si="6"/>
        <v>#VALUE!</v>
      </c>
      <c r="M98" t="e">
        <f>VLOOKUP(K98,'Name Bridge'!$A:$B,2,FALSE)</f>
        <v>#VALUE!</v>
      </c>
      <c r="N98" s="73" t="e">
        <f>VLOOKUP(L98,'Name Bridge'!$A:$B,2,FALSE)</f>
        <v>#VALUE!</v>
      </c>
      <c r="O98" t="str">
        <f t="shared" si="7"/>
        <v/>
      </c>
      <c r="P98">
        <f t="shared" si="8"/>
        <v>0</v>
      </c>
      <c r="Q98" t="e">
        <f t="shared" si="9"/>
        <v>#VALUE!</v>
      </c>
    </row>
    <row r="99" spans="11:17" x14ac:dyDescent="0.2">
      <c r="K99" t="e">
        <f t="shared" si="5"/>
        <v>#VALUE!</v>
      </c>
      <c r="L99" t="e">
        <f t="shared" si="6"/>
        <v>#VALUE!</v>
      </c>
      <c r="M99" t="e">
        <f>VLOOKUP(K99,'Name Bridge'!$A:$B,2,FALSE)</f>
        <v>#VALUE!</v>
      </c>
      <c r="N99" s="73" t="e">
        <f>VLOOKUP(L99,'Name Bridge'!$A:$B,2,FALSE)</f>
        <v>#VALUE!</v>
      </c>
      <c r="O99" t="str">
        <f t="shared" si="7"/>
        <v/>
      </c>
      <c r="P99">
        <f t="shared" si="8"/>
        <v>0</v>
      </c>
      <c r="Q99" t="e">
        <f t="shared" si="9"/>
        <v>#VALUE!</v>
      </c>
    </row>
    <row r="100" spans="11:17" x14ac:dyDescent="0.2">
      <c r="K100" t="e">
        <f t="shared" si="5"/>
        <v>#VALUE!</v>
      </c>
      <c r="L100" t="e">
        <f t="shared" si="6"/>
        <v>#VALUE!</v>
      </c>
      <c r="M100" t="e">
        <f>VLOOKUP(K100,'Name Bridge'!$A:$B,2,FALSE)</f>
        <v>#VALUE!</v>
      </c>
      <c r="N100" s="73" t="e">
        <f>VLOOKUP(L100,'Name Bridge'!$A:$B,2,FALSE)</f>
        <v>#VALUE!</v>
      </c>
      <c r="O100" t="str">
        <f t="shared" si="7"/>
        <v/>
      </c>
      <c r="P100">
        <f t="shared" si="8"/>
        <v>0</v>
      </c>
      <c r="Q100" t="e">
        <f t="shared" si="9"/>
        <v>#VALUE!</v>
      </c>
    </row>
    <row r="101" spans="11:17" x14ac:dyDescent="0.2">
      <c r="K101" t="e">
        <f t="shared" si="5"/>
        <v>#VALUE!</v>
      </c>
      <c r="L101" t="e">
        <f t="shared" si="6"/>
        <v>#VALUE!</v>
      </c>
      <c r="M101" t="e">
        <f>VLOOKUP(K101,'Name Bridge'!$A:$B,2,FALSE)</f>
        <v>#VALUE!</v>
      </c>
      <c r="N101" s="73" t="e">
        <f>VLOOKUP(L101,'Name Bridge'!$A:$B,2,FALSE)</f>
        <v>#VALUE!</v>
      </c>
      <c r="O101" t="str">
        <f t="shared" si="7"/>
        <v/>
      </c>
      <c r="P101">
        <f t="shared" si="8"/>
        <v>0</v>
      </c>
      <c r="Q101" t="e">
        <f t="shared" si="9"/>
        <v>#VALUE!</v>
      </c>
    </row>
    <row r="102" spans="11:17" x14ac:dyDescent="0.2">
      <c r="K102" t="e">
        <f t="shared" si="5"/>
        <v>#VALUE!</v>
      </c>
      <c r="L102" t="e">
        <f t="shared" si="6"/>
        <v>#VALUE!</v>
      </c>
      <c r="M102" t="e">
        <f>VLOOKUP(K102,'Name Bridge'!$A:$B,2,FALSE)</f>
        <v>#VALUE!</v>
      </c>
      <c r="N102" s="73" t="e">
        <f>VLOOKUP(L102,'Name Bridge'!$A:$B,2,FALSE)</f>
        <v>#VALUE!</v>
      </c>
      <c r="O102" t="str">
        <f t="shared" si="7"/>
        <v/>
      </c>
      <c r="P102">
        <f t="shared" si="8"/>
        <v>0</v>
      </c>
      <c r="Q102" t="e">
        <f t="shared" si="9"/>
        <v>#VALUE!</v>
      </c>
    </row>
    <row r="103" spans="11:17" x14ac:dyDescent="0.2">
      <c r="K103" t="e">
        <f t="shared" si="5"/>
        <v>#VALUE!</v>
      </c>
      <c r="L103" t="e">
        <f t="shared" si="6"/>
        <v>#VALUE!</v>
      </c>
      <c r="M103" t="e">
        <f>VLOOKUP(K103,'Name Bridge'!$A:$B,2,FALSE)</f>
        <v>#VALUE!</v>
      </c>
      <c r="N103" s="73" t="e">
        <f>VLOOKUP(L103,'Name Bridge'!$A:$B,2,FALSE)</f>
        <v>#VALUE!</v>
      </c>
      <c r="O103" t="str">
        <f t="shared" si="7"/>
        <v/>
      </c>
      <c r="P103">
        <f t="shared" si="8"/>
        <v>0</v>
      </c>
      <c r="Q103" t="e">
        <f t="shared" si="9"/>
        <v>#VALUE!</v>
      </c>
    </row>
    <row r="104" spans="11:17" x14ac:dyDescent="0.2">
      <c r="K104" t="e">
        <f t="shared" si="5"/>
        <v>#VALUE!</v>
      </c>
      <c r="L104" t="e">
        <f t="shared" si="6"/>
        <v>#VALUE!</v>
      </c>
      <c r="M104" t="e">
        <f>VLOOKUP(K104,'Name Bridge'!$A:$B,2,FALSE)</f>
        <v>#VALUE!</v>
      </c>
      <c r="N104" s="73" t="e">
        <f>VLOOKUP(L104,'Name Bridge'!$A:$B,2,FALSE)</f>
        <v>#VALUE!</v>
      </c>
      <c r="O104" t="str">
        <f t="shared" si="7"/>
        <v/>
      </c>
      <c r="P104">
        <f t="shared" si="8"/>
        <v>0</v>
      </c>
      <c r="Q104" t="e">
        <f t="shared" si="9"/>
        <v>#VALUE!</v>
      </c>
    </row>
    <row r="105" spans="11:17" x14ac:dyDescent="0.2">
      <c r="K105" t="e">
        <f t="shared" si="5"/>
        <v>#VALUE!</v>
      </c>
      <c r="L105" t="e">
        <f t="shared" si="6"/>
        <v>#VALUE!</v>
      </c>
      <c r="M105" t="e">
        <f>VLOOKUP(K105,'Name Bridge'!$A:$B,2,FALSE)</f>
        <v>#VALUE!</v>
      </c>
      <c r="N105" s="73" t="e">
        <f>VLOOKUP(L105,'Name Bridge'!$A:$B,2,FALSE)</f>
        <v>#VALUE!</v>
      </c>
      <c r="O105" t="str">
        <f t="shared" si="7"/>
        <v/>
      </c>
      <c r="P105">
        <f t="shared" si="8"/>
        <v>0</v>
      </c>
      <c r="Q105" t="e">
        <f t="shared" si="9"/>
        <v>#VALUE!</v>
      </c>
    </row>
    <row r="106" spans="11:17" x14ac:dyDescent="0.2">
      <c r="K106" t="e">
        <f t="shared" si="5"/>
        <v>#VALUE!</v>
      </c>
      <c r="L106" t="e">
        <f t="shared" si="6"/>
        <v>#VALUE!</v>
      </c>
      <c r="M106" t="e">
        <f>VLOOKUP(K106,'Name Bridge'!$A:$B,2,FALSE)</f>
        <v>#VALUE!</v>
      </c>
      <c r="N106" s="73" t="e">
        <f>VLOOKUP(L106,'Name Bridge'!$A:$B,2,FALSE)</f>
        <v>#VALUE!</v>
      </c>
      <c r="O106" t="str">
        <f t="shared" si="7"/>
        <v/>
      </c>
      <c r="P106">
        <f t="shared" si="8"/>
        <v>0</v>
      </c>
      <c r="Q106" t="e">
        <f t="shared" si="9"/>
        <v>#VALUE!</v>
      </c>
    </row>
    <row r="107" spans="11:17" x14ac:dyDescent="0.2">
      <c r="K107" t="e">
        <f t="shared" si="5"/>
        <v>#VALUE!</v>
      </c>
      <c r="L107" t="e">
        <f t="shared" si="6"/>
        <v>#VALUE!</v>
      </c>
      <c r="M107" t="e">
        <f>VLOOKUP(K107,'Name Bridge'!$A:$B,2,FALSE)</f>
        <v>#VALUE!</v>
      </c>
      <c r="N107" s="73" t="e">
        <f>VLOOKUP(L107,'Name Bridge'!$A:$B,2,FALSE)</f>
        <v>#VALUE!</v>
      </c>
      <c r="O107" t="str">
        <f t="shared" si="7"/>
        <v/>
      </c>
      <c r="P107">
        <f t="shared" si="8"/>
        <v>0</v>
      </c>
      <c r="Q107" t="e">
        <f t="shared" si="9"/>
        <v>#VALUE!</v>
      </c>
    </row>
    <row r="108" spans="11:17" x14ac:dyDescent="0.2">
      <c r="K108" t="e">
        <f t="shared" si="5"/>
        <v>#VALUE!</v>
      </c>
      <c r="L108" t="e">
        <f t="shared" si="6"/>
        <v>#VALUE!</v>
      </c>
      <c r="M108" t="e">
        <f>VLOOKUP(K108,'Name Bridge'!$A:$B,2,FALSE)</f>
        <v>#VALUE!</v>
      </c>
      <c r="N108" s="73" t="e">
        <f>VLOOKUP(L108,'Name Bridge'!$A:$B,2,FALSE)</f>
        <v>#VALUE!</v>
      </c>
      <c r="O108" t="str">
        <f t="shared" si="7"/>
        <v/>
      </c>
      <c r="P108">
        <f t="shared" si="8"/>
        <v>0</v>
      </c>
      <c r="Q108" t="e">
        <f t="shared" si="9"/>
        <v>#VALUE!</v>
      </c>
    </row>
    <row r="109" spans="11:17" x14ac:dyDescent="0.2">
      <c r="K109" t="e">
        <f t="shared" si="5"/>
        <v>#VALUE!</v>
      </c>
      <c r="L109" t="e">
        <f t="shared" si="6"/>
        <v>#VALUE!</v>
      </c>
      <c r="M109" t="e">
        <f>VLOOKUP(K109,'Name Bridge'!$A:$B,2,FALSE)</f>
        <v>#VALUE!</v>
      </c>
      <c r="N109" s="73" t="e">
        <f>VLOOKUP(L109,'Name Bridge'!$A:$B,2,FALSE)</f>
        <v>#VALUE!</v>
      </c>
      <c r="O109" t="str">
        <f t="shared" si="7"/>
        <v/>
      </c>
      <c r="P109">
        <f t="shared" si="8"/>
        <v>0</v>
      </c>
      <c r="Q109" t="e">
        <f t="shared" si="9"/>
        <v>#VALUE!</v>
      </c>
    </row>
    <row r="110" spans="11:17" x14ac:dyDescent="0.2">
      <c r="K110" t="e">
        <f t="shared" si="5"/>
        <v>#VALUE!</v>
      </c>
      <c r="L110" t="e">
        <f t="shared" si="6"/>
        <v>#VALUE!</v>
      </c>
      <c r="M110" t="e">
        <f>VLOOKUP(K110,'Name Bridge'!$A:$B,2,FALSE)</f>
        <v>#VALUE!</v>
      </c>
      <c r="N110" s="73" t="e">
        <f>VLOOKUP(L110,'Name Bridge'!$A:$B,2,FALSE)</f>
        <v>#VALUE!</v>
      </c>
      <c r="O110" t="str">
        <f t="shared" si="7"/>
        <v/>
      </c>
      <c r="P110">
        <f t="shared" si="8"/>
        <v>0</v>
      </c>
      <c r="Q110" t="e">
        <f t="shared" si="9"/>
        <v>#VALUE!</v>
      </c>
    </row>
    <row r="111" spans="11:17" x14ac:dyDescent="0.2">
      <c r="K111" t="e">
        <f t="shared" si="5"/>
        <v>#VALUE!</v>
      </c>
      <c r="L111" t="e">
        <f t="shared" si="6"/>
        <v>#VALUE!</v>
      </c>
      <c r="M111" t="e">
        <f>VLOOKUP(K111,'Name Bridge'!$A:$B,2,FALSE)</f>
        <v>#VALUE!</v>
      </c>
      <c r="N111" s="73" t="e">
        <f>VLOOKUP(L111,'Name Bridge'!$A:$B,2,FALSE)</f>
        <v>#VALUE!</v>
      </c>
      <c r="O111" t="str">
        <f t="shared" si="7"/>
        <v/>
      </c>
      <c r="P111">
        <f t="shared" si="8"/>
        <v>0</v>
      </c>
      <c r="Q111" t="e">
        <f t="shared" si="9"/>
        <v>#VALUE!</v>
      </c>
    </row>
    <row r="112" spans="11:17" x14ac:dyDescent="0.2">
      <c r="K112" t="e">
        <f t="shared" si="5"/>
        <v>#VALUE!</v>
      </c>
      <c r="L112" t="e">
        <f t="shared" si="6"/>
        <v>#VALUE!</v>
      </c>
      <c r="M112" t="e">
        <f>VLOOKUP(K112,'Name Bridge'!$A:$B,2,FALSE)</f>
        <v>#VALUE!</v>
      </c>
      <c r="N112" s="73" t="e">
        <f>VLOOKUP(L112,'Name Bridge'!$A:$B,2,FALSE)</f>
        <v>#VALUE!</v>
      </c>
      <c r="O112" t="str">
        <f t="shared" si="7"/>
        <v/>
      </c>
      <c r="P112">
        <f t="shared" si="8"/>
        <v>0</v>
      </c>
      <c r="Q112" t="e">
        <f t="shared" si="9"/>
        <v>#VALUE!</v>
      </c>
    </row>
    <row r="113" spans="11:17" x14ac:dyDescent="0.2">
      <c r="K113" t="e">
        <f t="shared" si="5"/>
        <v>#VALUE!</v>
      </c>
      <c r="L113" t="e">
        <f t="shared" si="6"/>
        <v>#VALUE!</v>
      </c>
      <c r="M113" t="e">
        <f>VLOOKUP(K113,'Name Bridge'!$A:$B,2,FALSE)</f>
        <v>#VALUE!</v>
      </c>
      <c r="N113" s="73" t="e">
        <f>VLOOKUP(L113,'Name Bridge'!$A:$B,2,FALSE)</f>
        <v>#VALUE!</v>
      </c>
      <c r="O113" t="str">
        <f t="shared" si="7"/>
        <v/>
      </c>
      <c r="P113">
        <f t="shared" si="8"/>
        <v>0</v>
      </c>
      <c r="Q113" t="e">
        <f t="shared" si="9"/>
        <v>#VALUE!</v>
      </c>
    </row>
    <row r="114" spans="11:17" x14ac:dyDescent="0.2">
      <c r="K114" t="e">
        <f t="shared" si="5"/>
        <v>#VALUE!</v>
      </c>
      <c r="L114" t="e">
        <f t="shared" si="6"/>
        <v>#VALUE!</v>
      </c>
      <c r="M114" t="e">
        <f>VLOOKUP(K114,'Name Bridge'!$A:$B,2,FALSE)</f>
        <v>#VALUE!</v>
      </c>
      <c r="N114" s="73" t="e">
        <f>VLOOKUP(L114,'Name Bridge'!$A:$B,2,FALSE)</f>
        <v>#VALUE!</v>
      </c>
      <c r="O114" t="str">
        <f t="shared" si="7"/>
        <v/>
      </c>
      <c r="P114">
        <f t="shared" si="8"/>
        <v>0</v>
      </c>
      <c r="Q114" t="e">
        <f t="shared" si="9"/>
        <v>#VALUE!</v>
      </c>
    </row>
    <row r="115" spans="11:17" x14ac:dyDescent="0.2">
      <c r="K115" t="e">
        <f t="shared" si="5"/>
        <v>#VALUE!</v>
      </c>
      <c r="L115" t="e">
        <f t="shared" si="6"/>
        <v>#VALUE!</v>
      </c>
      <c r="M115" t="e">
        <f>VLOOKUP(K115,'Name Bridge'!$A:$B,2,FALSE)</f>
        <v>#VALUE!</v>
      </c>
      <c r="N115" s="73" t="e">
        <f>VLOOKUP(L115,'Name Bridge'!$A:$B,2,FALSE)</f>
        <v>#VALUE!</v>
      </c>
      <c r="O115" t="str">
        <f t="shared" si="7"/>
        <v/>
      </c>
      <c r="P115">
        <f t="shared" si="8"/>
        <v>0</v>
      </c>
      <c r="Q115" t="e">
        <f t="shared" si="9"/>
        <v>#VALUE!</v>
      </c>
    </row>
    <row r="116" spans="11:17" x14ac:dyDescent="0.2">
      <c r="K116" t="e">
        <f t="shared" si="5"/>
        <v>#VALUE!</v>
      </c>
      <c r="L116" t="e">
        <f t="shared" si="6"/>
        <v>#VALUE!</v>
      </c>
      <c r="M116" t="e">
        <f>VLOOKUP(K116,'Name Bridge'!$A:$B,2,FALSE)</f>
        <v>#VALUE!</v>
      </c>
      <c r="N116" s="73" t="e">
        <f>VLOOKUP(L116,'Name Bridge'!$A:$B,2,FALSE)</f>
        <v>#VALUE!</v>
      </c>
      <c r="O116" t="str">
        <f t="shared" si="7"/>
        <v/>
      </c>
      <c r="P116">
        <f t="shared" si="8"/>
        <v>0</v>
      </c>
      <c r="Q116" t="e">
        <f t="shared" si="9"/>
        <v>#VALUE!</v>
      </c>
    </row>
    <row r="117" spans="11:17" x14ac:dyDescent="0.2">
      <c r="K117" t="e">
        <f t="shared" si="5"/>
        <v>#VALUE!</v>
      </c>
      <c r="L117" t="e">
        <f t="shared" si="6"/>
        <v>#VALUE!</v>
      </c>
      <c r="M117" t="e">
        <f>VLOOKUP(K117,'Name Bridge'!$A:$B,2,FALSE)</f>
        <v>#VALUE!</v>
      </c>
      <c r="N117" s="73" t="e">
        <f>VLOOKUP(L117,'Name Bridge'!$A:$B,2,FALSE)</f>
        <v>#VALUE!</v>
      </c>
      <c r="O117" t="str">
        <f t="shared" si="7"/>
        <v/>
      </c>
      <c r="P117">
        <f t="shared" si="8"/>
        <v>0</v>
      </c>
      <c r="Q117" t="e">
        <f t="shared" si="9"/>
        <v>#VALUE!</v>
      </c>
    </row>
    <row r="118" spans="11:17" x14ac:dyDescent="0.2">
      <c r="K118" t="e">
        <f t="shared" si="5"/>
        <v>#VALUE!</v>
      </c>
      <c r="L118" t="e">
        <f t="shared" si="6"/>
        <v>#VALUE!</v>
      </c>
      <c r="M118" t="e">
        <f>VLOOKUP(K118,'Name Bridge'!$A:$B,2,FALSE)</f>
        <v>#VALUE!</v>
      </c>
      <c r="N118" s="73" t="e">
        <f>VLOOKUP(L118,'Name Bridge'!$A:$B,2,FALSE)</f>
        <v>#VALUE!</v>
      </c>
      <c r="O118" t="str">
        <f t="shared" si="7"/>
        <v/>
      </c>
      <c r="P118">
        <f t="shared" si="8"/>
        <v>0</v>
      </c>
      <c r="Q118" t="e">
        <f t="shared" si="9"/>
        <v>#VALUE!</v>
      </c>
    </row>
    <row r="119" spans="11:17" x14ac:dyDescent="0.2">
      <c r="K119" t="e">
        <f t="shared" si="5"/>
        <v>#VALUE!</v>
      </c>
      <c r="L119" t="e">
        <f t="shared" si="6"/>
        <v>#VALUE!</v>
      </c>
      <c r="M119" t="e">
        <f>VLOOKUP(K119,'Name Bridge'!$A:$B,2,FALSE)</f>
        <v>#VALUE!</v>
      </c>
      <c r="N119" s="73" t="e">
        <f>VLOOKUP(L119,'Name Bridge'!$A:$B,2,FALSE)</f>
        <v>#VALUE!</v>
      </c>
      <c r="O119" t="str">
        <f t="shared" si="7"/>
        <v/>
      </c>
      <c r="P119">
        <f t="shared" si="8"/>
        <v>0</v>
      </c>
      <c r="Q119" t="e">
        <f t="shared" si="9"/>
        <v>#VALUE!</v>
      </c>
    </row>
    <row r="120" spans="11:17" x14ac:dyDescent="0.2">
      <c r="K120" t="e">
        <f t="shared" si="5"/>
        <v>#VALUE!</v>
      </c>
      <c r="L120" t="e">
        <f t="shared" si="6"/>
        <v>#VALUE!</v>
      </c>
      <c r="M120" t="e">
        <f>VLOOKUP(K120,'Name Bridge'!$A:$B,2,FALSE)</f>
        <v>#VALUE!</v>
      </c>
      <c r="N120" s="73" t="e">
        <f>VLOOKUP(L120,'Name Bridge'!$A:$B,2,FALSE)</f>
        <v>#VALUE!</v>
      </c>
      <c r="O120" t="str">
        <f t="shared" si="7"/>
        <v/>
      </c>
      <c r="P120">
        <f t="shared" si="8"/>
        <v>0</v>
      </c>
      <c r="Q120" t="e">
        <f t="shared" si="9"/>
        <v>#VALUE!</v>
      </c>
    </row>
    <row r="121" spans="11:17" x14ac:dyDescent="0.2">
      <c r="K121" t="e">
        <f t="shared" si="5"/>
        <v>#VALUE!</v>
      </c>
      <c r="L121" t="e">
        <f t="shared" si="6"/>
        <v>#VALUE!</v>
      </c>
      <c r="M121" t="e">
        <f>VLOOKUP(K121,'Name Bridge'!$A:$B,2,FALSE)</f>
        <v>#VALUE!</v>
      </c>
      <c r="N121" s="73" t="e">
        <f>VLOOKUP(L121,'Name Bridge'!$A:$B,2,FALSE)</f>
        <v>#VALUE!</v>
      </c>
      <c r="O121" t="str">
        <f t="shared" si="7"/>
        <v/>
      </c>
      <c r="P121">
        <f t="shared" si="8"/>
        <v>0</v>
      </c>
      <c r="Q121" t="e">
        <f t="shared" si="9"/>
        <v>#VALUE!</v>
      </c>
    </row>
    <row r="122" spans="11:17" x14ac:dyDescent="0.2">
      <c r="K122" t="e">
        <f t="shared" si="5"/>
        <v>#VALUE!</v>
      </c>
      <c r="L122" t="e">
        <f t="shared" si="6"/>
        <v>#VALUE!</v>
      </c>
      <c r="M122" t="e">
        <f>VLOOKUP(K122,'Name Bridge'!$A:$B,2,FALSE)</f>
        <v>#VALUE!</v>
      </c>
      <c r="N122" s="73" t="e">
        <f>VLOOKUP(L122,'Name Bridge'!$A:$B,2,FALSE)</f>
        <v>#VALUE!</v>
      </c>
      <c r="O122" t="str">
        <f t="shared" si="7"/>
        <v/>
      </c>
      <c r="P122">
        <f t="shared" si="8"/>
        <v>0</v>
      </c>
      <c r="Q122" t="e">
        <f t="shared" si="9"/>
        <v>#VALUE!</v>
      </c>
    </row>
    <row r="123" spans="11:17" x14ac:dyDescent="0.2">
      <c r="K123" t="e">
        <f t="shared" si="5"/>
        <v>#VALUE!</v>
      </c>
      <c r="L123" t="e">
        <f t="shared" si="6"/>
        <v>#VALUE!</v>
      </c>
      <c r="M123" t="e">
        <f>VLOOKUP(K123,'Name Bridge'!$A:$B,2,FALSE)</f>
        <v>#VALUE!</v>
      </c>
      <c r="N123" s="73" t="e">
        <f>VLOOKUP(L123,'Name Bridge'!$A:$B,2,FALSE)</f>
        <v>#VALUE!</v>
      </c>
      <c r="O123" t="str">
        <f t="shared" si="7"/>
        <v/>
      </c>
      <c r="P123">
        <f t="shared" si="8"/>
        <v>0</v>
      </c>
      <c r="Q123" t="e">
        <f t="shared" si="9"/>
        <v>#VALUE!</v>
      </c>
    </row>
    <row r="124" spans="11:17" x14ac:dyDescent="0.2">
      <c r="K124" t="e">
        <f t="shared" si="5"/>
        <v>#VALUE!</v>
      </c>
      <c r="L124" t="e">
        <f t="shared" si="6"/>
        <v>#VALUE!</v>
      </c>
      <c r="M124" t="e">
        <f>VLOOKUP(K124,'Name Bridge'!$A:$B,2,FALSE)</f>
        <v>#VALUE!</v>
      </c>
      <c r="N124" s="73" t="e">
        <f>VLOOKUP(L124,'Name Bridge'!$A:$B,2,FALSE)</f>
        <v>#VALUE!</v>
      </c>
      <c r="O124" t="str">
        <f t="shared" si="7"/>
        <v/>
      </c>
      <c r="P124">
        <f t="shared" si="8"/>
        <v>0</v>
      </c>
      <c r="Q124" t="e">
        <f t="shared" si="9"/>
        <v>#VALUE!</v>
      </c>
    </row>
    <row r="125" spans="11:17" x14ac:dyDescent="0.2">
      <c r="K125" t="e">
        <f t="shared" si="5"/>
        <v>#VALUE!</v>
      </c>
      <c r="L125" t="e">
        <f t="shared" si="6"/>
        <v>#VALUE!</v>
      </c>
      <c r="M125" t="e">
        <f>VLOOKUP(K125,'Name Bridge'!$A:$B,2,FALSE)</f>
        <v>#VALUE!</v>
      </c>
      <c r="N125" s="73" t="e">
        <f>VLOOKUP(L125,'Name Bridge'!$A:$B,2,FALSE)</f>
        <v>#VALUE!</v>
      </c>
      <c r="O125" t="str">
        <f t="shared" si="7"/>
        <v/>
      </c>
      <c r="P125">
        <f t="shared" si="8"/>
        <v>0</v>
      </c>
      <c r="Q125" t="e">
        <f t="shared" si="9"/>
        <v>#VALUE!</v>
      </c>
    </row>
    <row r="126" spans="11:17" x14ac:dyDescent="0.2">
      <c r="K126" t="e">
        <f t="shared" si="5"/>
        <v>#VALUE!</v>
      </c>
      <c r="L126" t="e">
        <f t="shared" si="6"/>
        <v>#VALUE!</v>
      </c>
      <c r="M126" t="e">
        <f>VLOOKUP(K126,'Name Bridge'!$A:$B,2,FALSE)</f>
        <v>#VALUE!</v>
      </c>
      <c r="N126" s="73" t="e">
        <f>VLOOKUP(L126,'Name Bridge'!$A:$B,2,FALSE)</f>
        <v>#VALUE!</v>
      </c>
      <c r="O126" t="str">
        <f t="shared" si="7"/>
        <v/>
      </c>
      <c r="P126">
        <f t="shared" si="8"/>
        <v>0</v>
      </c>
      <c r="Q126" t="e">
        <f t="shared" si="9"/>
        <v>#VALUE!</v>
      </c>
    </row>
    <row r="127" spans="11:17" x14ac:dyDescent="0.2">
      <c r="K127" t="e">
        <f t="shared" si="5"/>
        <v>#VALUE!</v>
      </c>
      <c r="L127" t="e">
        <f t="shared" si="6"/>
        <v>#VALUE!</v>
      </c>
      <c r="M127" t="e">
        <f>VLOOKUP(K127,'Name Bridge'!$A:$B,2,FALSE)</f>
        <v>#VALUE!</v>
      </c>
      <c r="N127" s="73" t="e">
        <f>VLOOKUP(L127,'Name Bridge'!$A:$B,2,FALSE)</f>
        <v>#VALUE!</v>
      </c>
      <c r="O127" t="str">
        <f t="shared" si="7"/>
        <v/>
      </c>
      <c r="P127">
        <f t="shared" si="8"/>
        <v>0</v>
      </c>
      <c r="Q127" t="e">
        <f t="shared" si="9"/>
        <v>#VALUE!</v>
      </c>
    </row>
    <row r="128" spans="11:17" x14ac:dyDescent="0.2">
      <c r="K128" t="e">
        <f t="shared" si="5"/>
        <v>#VALUE!</v>
      </c>
      <c r="L128" t="e">
        <f t="shared" si="6"/>
        <v>#VALUE!</v>
      </c>
      <c r="M128" t="e">
        <f>VLOOKUP(K128,'Name Bridge'!$A:$B,2,FALSE)</f>
        <v>#VALUE!</v>
      </c>
      <c r="N128" s="73" t="e">
        <f>VLOOKUP(L128,'Name Bridge'!$A:$B,2,FALSE)</f>
        <v>#VALUE!</v>
      </c>
      <c r="O128" t="str">
        <f t="shared" si="7"/>
        <v/>
      </c>
      <c r="P128">
        <f t="shared" si="8"/>
        <v>0</v>
      </c>
      <c r="Q128" t="e">
        <f t="shared" si="9"/>
        <v>#VALUE!</v>
      </c>
    </row>
    <row r="129" spans="11:17" x14ac:dyDescent="0.2">
      <c r="K129" t="e">
        <f t="shared" si="5"/>
        <v>#VALUE!</v>
      </c>
      <c r="L129" t="e">
        <f t="shared" si="6"/>
        <v>#VALUE!</v>
      </c>
      <c r="M129" t="e">
        <f>VLOOKUP(K129,'Name Bridge'!$A:$B,2,FALSE)</f>
        <v>#VALUE!</v>
      </c>
      <c r="N129" s="73" t="e">
        <f>VLOOKUP(L129,'Name Bridge'!$A:$B,2,FALSE)</f>
        <v>#VALUE!</v>
      </c>
      <c r="O129" t="str">
        <f t="shared" si="7"/>
        <v/>
      </c>
      <c r="P129">
        <f t="shared" si="8"/>
        <v>0</v>
      </c>
      <c r="Q129" t="e">
        <f t="shared" si="9"/>
        <v>#VALUE!</v>
      </c>
    </row>
    <row r="130" spans="11:17" x14ac:dyDescent="0.2">
      <c r="K130" t="e">
        <f t="shared" ref="K130:K193" si="10">LEFT(A130,(FIND("_",A130)-1))</f>
        <v>#VALUE!</v>
      </c>
      <c r="L130" t="e">
        <f t="shared" ref="L130:L193" si="11">RIGHT(A130,LEN(A130)-FIND("_",A130))</f>
        <v>#VALUE!</v>
      </c>
      <c r="M130" t="e">
        <f>VLOOKUP(K130,'Name Bridge'!$A:$B,2,FALSE)</f>
        <v>#VALUE!</v>
      </c>
      <c r="N130" s="73" t="e">
        <f>VLOOKUP(L130,'Name Bridge'!$A:$B,2,FALSE)</f>
        <v>#VALUE!</v>
      </c>
      <c r="O130" t="str">
        <f t="shared" ref="O130:O193" si="12">LEFT(B130,10)</f>
        <v/>
      </c>
      <c r="P130">
        <f t="shared" si="8"/>
        <v>0</v>
      </c>
      <c r="Q130" t="e">
        <f t="shared" si="9"/>
        <v>#VALUE!</v>
      </c>
    </row>
    <row r="131" spans="11:17" x14ac:dyDescent="0.2">
      <c r="K131" t="e">
        <f t="shared" si="10"/>
        <v>#VALUE!</v>
      </c>
      <c r="L131" t="e">
        <f t="shared" si="11"/>
        <v>#VALUE!</v>
      </c>
      <c r="M131" t="e">
        <f>VLOOKUP(K131,'Name Bridge'!$A:$B,2,FALSE)</f>
        <v>#VALUE!</v>
      </c>
      <c r="N131" s="73" t="e">
        <f>VLOOKUP(L131,'Name Bridge'!$A:$B,2,FALSE)</f>
        <v>#VALUE!</v>
      </c>
      <c r="O131" t="str">
        <f t="shared" si="12"/>
        <v/>
      </c>
      <c r="P131">
        <f t="shared" ref="P131:P194" si="13">_xlfn.NUMBERVALUE(O131)</f>
        <v>0</v>
      </c>
      <c r="Q131" t="e">
        <f t="shared" ref="Q131:Q194" si="14">M131</f>
        <v>#VALUE!</v>
      </c>
    </row>
    <row r="132" spans="11:17" x14ac:dyDescent="0.2">
      <c r="K132" t="e">
        <f t="shared" si="10"/>
        <v>#VALUE!</v>
      </c>
      <c r="L132" t="e">
        <f t="shared" si="11"/>
        <v>#VALUE!</v>
      </c>
      <c r="M132" t="e">
        <f>VLOOKUP(K132,'Name Bridge'!$A:$B,2,FALSE)</f>
        <v>#VALUE!</v>
      </c>
      <c r="N132" s="73" t="e">
        <f>VLOOKUP(L132,'Name Bridge'!$A:$B,2,FALSE)</f>
        <v>#VALUE!</v>
      </c>
      <c r="O132" t="str">
        <f t="shared" si="12"/>
        <v/>
      </c>
      <c r="P132">
        <f t="shared" si="13"/>
        <v>0</v>
      </c>
      <c r="Q132" t="e">
        <f t="shared" si="14"/>
        <v>#VALUE!</v>
      </c>
    </row>
    <row r="133" spans="11:17" x14ac:dyDescent="0.2">
      <c r="K133" t="e">
        <f t="shared" si="10"/>
        <v>#VALUE!</v>
      </c>
      <c r="L133" t="e">
        <f t="shared" si="11"/>
        <v>#VALUE!</v>
      </c>
      <c r="M133" t="e">
        <f>VLOOKUP(K133,'Name Bridge'!$A:$B,2,FALSE)</f>
        <v>#VALUE!</v>
      </c>
      <c r="N133" s="73" t="e">
        <f>VLOOKUP(L133,'Name Bridge'!$A:$B,2,FALSE)</f>
        <v>#VALUE!</v>
      </c>
      <c r="O133" t="str">
        <f t="shared" si="12"/>
        <v/>
      </c>
      <c r="P133">
        <f t="shared" si="13"/>
        <v>0</v>
      </c>
      <c r="Q133" t="e">
        <f t="shared" si="14"/>
        <v>#VALUE!</v>
      </c>
    </row>
    <row r="134" spans="11:17" x14ac:dyDescent="0.2">
      <c r="K134" t="e">
        <f t="shared" si="10"/>
        <v>#VALUE!</v>
      </c>
      <c r="L134" t="e">
        <f t="shared" si="11"/>
        <v>#VALUE!</v>
      </c>
      <c r="M134" t="e">
        <f>VLOOKUP(K134,'Name Bridge'!$A:$B,2,FALSE)</f>
        <v>#VALUE!</v>
      </c>
      <c r="N134" s="73" t="e">
        <f>VLOOKUP(L134,'Name Bridge'!$A:$B,2,FALSE)</f>
        <v>#VALUE!</v>
      </c>
      <c r="O134" t="str">
        <f t="shared" si="12"/>
        <v/>
      </c>
      <c r="P134">
        <f t="shared" si="13"/>
        <v>0</v>
      </c>
      <c r="Q134" t="e">
        <f t="shared" si="14"/>
        <v>#VALUE!</v>
      </c>
    </row>
    <row r="135" spans="11:17" x14ac:dyDescent="0.2">
      <c r="K135" t="e">
        <f t="shared" si="10"/>
        <v>#VALUE!</v>
      </c>
      <c r="L135" t="e">
        <f t="shared" si="11"/>
        <v>#VALUE!</v>
      </c>
      <c r="M135" t="e">
        <f>VLOOKUP(K135,'Name Bridge'!$A:$B,2,FALSE)</f>
        <v>#VALUE!</v>
      </c>
      <c r="N135" s="73" t="e">
        <f>VLOOKUP(L135,'Name Bridge'!$A:$B,2,FALSE)</f>
        <v>#VALUE!</v>
      </c>
      <c r="O135" t="str">
        <f t="shared" si="12"/>
        <v/>
      </c>
      <c r="P135">
        <f t="shared" si="13"/>
        <v>0</v>
      </c>
      <c r="Q135" t="e">
        <f t="shared" si="14"/>
        <v>#VALUE!</v>
      </c>
    </row>
    <row r="136" spans="11:17" x14ac:dyDescent="0.2">
      <c r="K136" t="e">
        <f t="shared" si="10"/>
        <v>#VALUE!</v>
      </c>
      <c r="L136" t="e">
        <f t="shared" si="11"/>
        <v>#VALUE!</v>
      </c>
      <c r="M136" t="e">
        <f>VLOOKUP(K136,'Name Bridge'!$A:$B,2,FALSE)</f>
        <v>#VALUE!</v>
      </c>
      <c r="N136" s="73" t="e">
        <f>VLOOKUP(L136,'Name Bridge'!$A:$B,2,FALSE)</f>
        <v>#VALUE!</v>
      </c>
      <c r="O136" t="str">
        <f t="shared" si="12"/>
        <v/>
      </c>
      <c r="P136">
        <f t="shared" si="13"/>
        <v>0</v>
      </c>
      <c r="Q136" t="e">
        <f t="shared" si="14"/>
        <v>#VALUE!</v>
      </c>
    </row>
    <row r="137" spans="11:17" x14ac:dyDescent="0.2">
      <c r="K137" t="e">
        <f t="shared" si="10"/>
        <v>#VALUE!</v>
      </c>
      <c r="L137" t="e">
        <f t="shared" si="11"/>
        <v>#VALUE!</v>
      </c>
      <c r="M137" t="e">
        <f>VLOOKUP(K137,'Name Bridge'!$A:$B,2,FALSE)</f>
        <v>#VALUE!</v>
      </c>
      <c r="N137" s="73" t="e">
        <f>VLOOKUP(L137,'Name Bridge'!$A:$B,2,FALSE)</f>
        <v>#VALUE!</v>
      </c>
      <c r="O137" t="str">
        <f t="shared" si="12"/>
        <v/>
      </c>
      <c r="P137">
        <f t="shared" si="13"/>
        <v>0</v>
      </c>
      <c r="Q137" t="e">
        <f t="shared" si="14"/>
        <v>#VALUE!</v>
      </c>
    </row>
    <row r="138" spans="11:17" x14ac:dyDescent="0.2">
      <c r="K138" t="e">
        <f t="shared" si="10"/>
        <v>#VALUE!</v>
      </c>
      <c r="L138" t="e">
        <f t="shared" si="11"/>
        <v>#VALUE!</v>
      </c>
      <c r="M138" t="e">
        <f>VLOOKUP(K138,'Name Bridge'!$A:$B,2,FALSE)</f>
        <v>#VALUE!</v>
      </c>
      <c r="N138" s="73" t="e">
        <f>VLOOKUP(L138,'Name Bridge'!$A:$B,2,FALSE)</f>
        <v>#VALUE!</v>
      </c>
      <c r="O138" t="str">
        <f t="shared" si="12"/>
        <v/>
      </c>
      <c r="P138">
        <f t="shared" si="13"/>
        <v>0</v>
      </c>
      <c r="Q138" t="e">
        <f t="shared" si="14"/>
        <v>#VALUE!</v>
      </c>
    </row>
    <row r="139" spans="11:17" x14ac:dyDescent="0.2">
      <c r="K139" t="e">
        <f t="shared" si="10"/>
        <v>#VALUE!</v>
      </c>
      <c r="L139" t="e">
        <f t="shared" si="11"/>
        <v>#VALUE!</v>
      </c>
      <c r="M139" t="e">
        <f>VLOOKUP(K139,'Name Bridge'!$A:$B,2,FALSE)</f>
        <v>#VALUE!</v>
      </c>
      <c r="N139" s="73" t="e">
        <f>VLOOKUP(L139,'Name Bridge'!$A:$B,2,FALSE)</f>
        <v>#VALUE!</v>
      </c>
      <c r="O139" t="str">
        <f t="shared" si="12"/>
        <v/>
      </c>
      <c r="P139">
        <f t="shared" si="13"/>
        <v>0</v>
      </c>
      <c r="Q139" t="e">
        <f t="shared" si="14"/>
        <v>#VALUE!</v>
      </c>
    </row>
    <row r="140" spans="11:17" x14ac:dyDescent="0.2">
      <c r="K140" t="e">
        <f t="shared" si="10"/>
        <v>#VALUE!</v>
      </c>
      <c r="L140" t="e">
        <f t="shared" si="11"/>
        <v>#VALUE!</v>
      </c>
      <c r="M140" t="e">
        <f>VLOOKUP(K140,'Name Bridge'!$A:$B,2,FALSE)</f>
        <v>#VALUE!</v>
      </c>
      <c r="N140" s="73" t="e">
        <f>VLOOKUP(L140,'Name Bridge'!$A:$B,2,FALSE)</f>
        <v>#VALUE!</v>
      </c>
      <c r="O140" t="str">
        <f t="shared" si="12"/>
        <v/>
      </c>
      <c r="P140">
        <f t="shared" si="13"/>
        <v>0</v>
      </c>
      <c r="Q140" t="e">
        <f t="shared" si="14"/>
        <v>#VALUE!</v>
      </c>
    </row>
    <row r="141" spans="11:17" x14ac:dyDescent="0.2">
      <c r="K141" t="e">
        <f t="shared" si="10"/>
        <v>#VALUE!</v>
      </c>
      <c r="L141" t="e">
        <f t="shared" si="11"/>
        <v>#VALUE!</v>
      </c>
      <c r="M141" t="e">
        <f>VLOOKUP(K141,'Name Bridge'!$A:$B,2,FALSE)</f>
        <v>#VALUE!</v>
      </c>
      <c r="N141" s="73" t="e">
        <f>VLOOKUP(L141,'Name Bridge'!$A:$B,2,FALSE)</f>
        <v>#VALUE!</v>
      </c>
      <c r="O141" t="str">
        <f t="shared" si="12"/>
        <v/>
      </c>
      <c r="P141">
        <f t="shared" si="13"/>
        <v>0</v>
      </c>
      <c r="Q141" t="e">
        <f t="shared" si="14"/>
        <v>#VALUE!</v>
      </c>
    </row>
    <row r="142" spans="11:17" x14ac:dyDescent="0.2">
      <c r="K142" t="e">
        <f t="shared" si="10"/>
        <v>#VALUE!</v>
      </c>
      <c r="L142" t="e">
        <f t="shared" si="11"/>
        <v>#VALUE!</v>
      </c>
      <c r="M142" t="e">
        <f>VLOOKUP(K142,'Name Bridge'!$A:$B,2,FALSE)</f>
        <v>#VALUE!</v>
      </c>
      <c r="N142" s="73" t="e">
        <f>VLOOKUP(L142,'Name Bridge'!$A:$B,2,FALSE)</f>
        <v>#VALUE!</v>
      </c>
      <c r="O142" t="str">
        <f t="shared" si="12"/>
        <v/>
      </c>
      <c r="P142">
        <f t="shared" si="13"/>
        <v>0</v>
      </c>
      <c r="Q142" t="e">
        <f t="shared" si="14"/>
        <v>#VALUE!</v>
      </c>
    </row>
    <row r="143" spans="11:17" x14ac:dyDescent="0.2">
      <c r="K143" t="e">
        <f t="shared" si="10"/>
        <v>#VALUE!</v>
      </c>
      <c r="L143" t="e">
        <f t="shared" si="11"/>
        <v>#VALUE!</v>
      </c>
      <c r="M143" t="e">
        <f>VLOOKUP(K143,'Name Bridge'!$A:$B,2,FALSE)</f>
        <v>#VALUE!</v>
      </c>
      <c r="N143" s="73" t="e">
        <f>VLOOKUP(L143,'Name Bridge'!$A:$B,2,FALSE)</f>
        <v>#VALUE!</v>
      </c>
      <c r="O143" t="str">
        <f t="shared" si="12"/>
        <v/>
      </c>
      <c r="P143">
        <f t="shared" si="13"/>
        <v>0</v>
      </c>
      <c r="Q143" t="e">
        <f t="shared" si="14"/>
        <v>#VALUE!</v>
      </c>
    </row>
    <row r="144" spans="11:17" x14ac:dyDescent="0.2">
      <c r="K144" t="e">
        <f t="shared" si="10"/>
        <v>#VALUE!</v>
      </c>
      <c r="L144" t="e">
        <f t="shared" si="11"/>
        <v>#VALUE!</v>
      </c>
      <c r="M144" t="e">
        <f>VLOOKUP(K144,'Name Bridge'!$A:$B,2,FALSE)</f>
        <v>#VALUE!</v>
      </c>
      <c r="N144" s="73" t="e">
        <f>VLOOKUP(L144,'Name Bridge'!$A:$B,2,FALSE)</f>
        <v>#VALUE!</v>
      </c>
      <c r="O144" t="str">
        <f t="shared" si="12"/>
        <v/>
      </c>
      <c r="P144">
        <f t="shared" si="13"/>
        <v>0</v>
      </c>
      <c r="Q144" t="e">
        <f t="shared" si="14"/>
        <v>#VALUE!</v>
      </c>
    </row>
    <row r="145" spans="11:17" x14ac:dyDescent="0.2">
      <c r="K145" t="e">
        <f t="shared" si="10"/>
        <v>#VALUE!</v>
      </c>
      <c r="L145" t="e">
        <f t="shared" si="11"/>
        <v>#VALUE!</v>
      </c>
      <c r="M145" t="e">
        <f>VLOOKUP(K145,'Name Bridge'!$A:$B,2,FALSE)</f>
        <v>#VALUE!</v>
      </c>
      <c r="N145" s="73" t="e">
        <f>VLOOKUP(L145,'Name Bridge'!$A:$B,2,FALSE)</f>
        <v>#VALUE!</v>
      </c>
      <c r="O145" t="str">
        <f t="shared" si="12"/>
        <v/>
      </c>
      <c r="P145">
        <f t="shared" si="13"/>
        <v>0</v>
      </c>
      <c r="Q145" t="e">
        <f t="shared" si="14"/>
        <v>#VALUE!</v>
      </c>
    </row>
    <row r="146" spans="11:17" x14ac:dyDescent="0.2">
      <c r="K146" t="e">
        <f t="shared" si="10"/>
        <v>#VALUE!</v>
      </c>
      <c r="L146" t="e">
        <f t="shared" si="11"/>
        <v>#VALUE!</v>
      </c>
      <c r="M146" t="e">
        <f>VLOOKUP(K146,'Name Bridge'!$A:$B,2,FALSE)</f>
        <v>#VALUE!</v>
      </c>
      <c r="N146" s="73" t="e">
        <f>VLOOKUP(L146,'Name Bridge'!$A:$B,2,FALSE)</f>
        <v>#VALUE!</v>
      </c>
      <c r="O146" t="str">
        <f t="shared" si="12"/>
        <v/>
      </c>
      <c r="P146">
        <f t="shared" si="13"/>
        <v>0</v>
      </c>
      <c r="Q146" t="e">
        <f t="shared" si="14"/>
        <v>#VALUE!</v>
      </c>
    </row>
    <row r="147" spans="11:17" x14ac:dyDescent="0.2">
      <c r="K147" t="e">
        <f t="shared" si="10"/>
        <v>#VALUE!</v>
      </c>
      <c r="L147" t="e">
        <f t="shared" si="11"/>
        <v>#VALUE!</v>
      </c>
      <c r="M147" t="e">
        <f>VLOOKUP(K147,'Name Bridge'!$A:$B,2,FALSE)</f>
        <v>#VALUE!</v>
      </c>
      <c r="N147" s="73" t="e">
        <f>VLOOKUP(L147,'Name Bridge'!$A:$B,2,FALSE)</f>
        <v>#VALUE!</v>
      </c>
      <c r="O147" t="str">
        <f t="shared" si="12"/>
        <v/>
      </c>
      <c r="P147">
        <f t="shared" si="13"/>
        <v>0</v>
      </c>
      <c r="Q147" t="e">
        <f t="shared" si="14"/>
        <v>#VALUE!</v>
      </c>
    </row>
    <row r="148" spans="11:17" x14ac:dyDescent="0.2">
      <c r="K148" t="e">
        <f t="shared" si="10"/>
        <v>#VALUE!</v>
      </c>
      <c r="L148" t="e">
        <f t="shared" si="11"/>
        <v>#VALUE!</v>
      </c>
      <c r="M148" t="e">
        <f>VLOOKUP(K148,'Name Bridge'!$A:$B,2,FALSE)</f>
        <v>#VALUE!</v>
      </c>
      <c r="N148" s="73" t="e">
        <f>VLOOKUP(L148,'Name Bridge'!$A:$B,2,FALSE)</f>
        <v>#VALUE!</v>
      </c>
      <c r="O148" t="str">
        <f t="shared" si="12"/>
        <v/>
      </c>
      <c r="P148">
        <f t="shared" si="13"/>
        <v>0</v>
      </c>
      <c r="Q148" t="e">
        <f t="shared" si="14"/>
        <v>#VALUE!</v>
      </c>
    </row>
    <row r="149" spans="11:17" x14ac:dyDescent="0.2">
      <c r="K149" t="e">
        <f t="shared" si="10"/>
        <v>#VALUE!</v>
      </c>
      <c r="L149" t="e">
        <f t="shared" si="11"/>
        <v>#VALUE!</v>
      </c>
      <c r="M149" t="e">
        <f>VLOOKUP(K149,'Name Bridge'!$A:$B,2,FALSE)</f>
        <v>#VALUE!</v>
      </c>
      <c r="N149" s="73" t="e">
        <f>VLOOKUP(L149,'Name Bridge'!$A:$B,2,FALSE)</f>
        <v>#VALUE!</v>
      </c>
      <c r="O149" t="str">
        <f t="shared" si="12"/>
        <v/>
      </c>
      <c r="P149">
        <f t="shared" si="13"/>
        <v>0</v>
      </c>
      <c r="Q149" t="e">
        <f t="shared" si="14"/>
        <v>#VALUE!</v>
      </c>
    </row>
    <row r="150" spans="11:17" x14ac:dyDescent="0.2">
      <c r="K150" t="e">
        <f t="shared" si="10"/>
        <v>#VALUE!</v>
      </c>
      <c r="L150" t="e">
        <f t="shared" si="11"/>
        <v>#VALUE!</v>
      </c>
      <c r="M150" t="e">
        <f>VLOOKUP(K150,'Name Bridge'!$A:$B,2,FALSE)</f>
        <v>#VALUE!</v>
      </c>
      <c r="N150" s="73" t="e">
        <f>VLOOKUP(L150,'Name Bridge'!$A:$B,2,FALSE)</f>
        <v>#VALUE!</v>
      </c>
      <c r="O150" t="str">
        <f t="shared" si="12"/>
        <v/>
      </c>
      <c r="P150">
        <f t="shared" si="13"/>
        <v>0</v>
      </c>
      <c r="Q150" t="e">
        <f t="shared" si="14"/>
        <v>#VALUE!</v>
      </c>
    </row>
    <row r="151" spans="11:17" x14ac:dyDescent="0.2">
      <c r="K151" t="e">
        <f t="shared" si="10"/>
        <v>#VALUE!</v>
      </c>
      <c r="L151" t="e">
        <f t="shared" si="11"/>
        <v>#VALUE!</v>
      </c>
      <c r="M151" t="e">
        <f>VLOOKUP(K151,'Name Bridge'!$A:$B,2,FALSE)</f>
        <v>#VALUE!</v>
      </c>
      <c r="N151" s="73" t="e">
        <f>VLOOKUP(L151,'Name Bridge'!$A:$B,2,FALSE)</f>
        <v>#VALUE!</v>
      </c>
      <c r="O151" t="str">
        <f t="shared" si="12"/>
        <v/>
      </c>
      <c r="P151">
        <f t="shared" si="13"/>
        <v>0</v>
      </c>
      <c r="Q151" t="e">
        <f t="shared" si="14"/>
        <v>#VALUE!</v>
      </c>
    </row>
    <row r="152" spans="11:17" x14ac:dyDescent="0.2">
      <c r="K152" t="e">
        <f t="shared" si="10"/>
        <v>#VALUE!</v>
      </c>
      <c r="L152" t="e">
        <f t="shared" si="11"/>
        <v>#VALUE!</v>
      </c>
      <c r="M152" t="e">
        <f>VLOOKUP(K152,'Name Bridge'!$A:$B,2,FALSE)</f>
        <v>#VALUE!</v>
      </c>
      <c r="N152" s="73" t="e">
        <f>VLOOKUP(L152,'Name Bridge'!$A:$B,2,FALSE)</f>
        <v>#VALUE!</v>
      </c>
      <c r="O152" t="str">
        <f t="shared" si="12"/>
        <v/>
      </c>
      <c r="P152">
        <f t="shared" si="13"/>
        <v>0</v>
      </c>
      <c r="Q152" t="e">
        <f t="shared" si="14"/>
        <v>#VALUE!</v>
      </c>
    </row>
    <row r="153" spans="11:17" x14ac:dyDescent="0.2">
      <c r="K153" t="e">
        <f t="shared" si="10"/>
        <v>#VALUE!</v>
      </c>
      <c r="L153" t="e">
        <f t="shared" si="11"/>
        <v>#VALUE!</v>
      </c>
      <c r="M153" t="e">
        <f>VLOOKUP(K153,'Name Bridge'!$A:$B,2,FALSE)</f>
        <v>#VALUE!</v>
      </c>
      <c r="N153" s="73" t="e">
        <f>VLOOKUP(L153,'Name Bridge'!$A:$B,2,FALSE)</f>
        <v>#VALUE!</v>
      </c>
      <c r="O153" t="str">
        <f t="shared" si="12"/>
        <v/>
      </c>
      <c r="P153">
        <f t="shared" si="13"/>
        <v>0</v>
      </c>
      <c r="Q153" t="e">
        <f t="shared" si="14"/>
        <v>#VALUE!</v>
      </c>
    </row>
    <row r="154" spans="11:17" x14ac:dyDescent="0.2">
      <c r="K154" t="e">
        <f t="shared" si="10"/>
        <v>#VALUE!</v>
      </c>
      <c r="L154" t="e">
        <f t="shared" si="11"/>
        <v>#VALUE!</v>
      </c>
      <c r="M154" t="e">
        <f>VLOOKUP(K154,'Name Bridge'!$A:$B,2,FALSE)</f>
        <v>#VALUE!</v>
      </c>
      <c r="N154" s="73" t="e">
        <f>VLOOKUP(L154,'Name Bridge'!$A:$B,2,FALSE)</f>
        <v>#VALUE!</v>
      </c>
      <c r="O154" t="str">
        <f t="shared" si="12"/>
        <v/>
      </c>
      <c r="P154">
        <f t="shared" si="13"/>
        <v>0</v>
      </c>
      <c r="Q154" t="e">
        <f t="shared" si="14"/>
        <v>#VALUE!</v>
      </c>
    </row>
    <row r="155" spans="11:17" x14ac:dyDescent="0.2">
      <c r="K155" t="e">
        <f t="shared" si="10"/>
        <v>#VALUE!</v>
      </c>
      <c r="L155" t="e">
        <f t="shared" si="11"/>
        <v>#VALUE!</v>
      </c>
      <c r="M155" t="e">
        <f>VLOOKUP(K155,'Name Bridge'!$A:$B,2,FALSE)</f>
        <v>#VALUE!</v>
      </c>
      <c r="N155" s="73" t="e">
        <f>VLOOKUP(L155,'Name Bridge'!$A:$B,2,FALSE)</f>
        <v>#VALUE!</v>
      </c>
      <c r="O155" t="str">
        <f t="shared" si="12"/>
        <v/>
      </c>
      <c r="P155">
        <f t="shared" si="13"/>
        <v>0</v>
      </c>
      <c r="Q155" t="e">
        <f t="shared" si="14"/>
        <v>#VALUE!</v>
      </c>
    </row>
    <row r="156" spans="11:17" x14ac:dyDescent="0.2">
      <c r="K156" t="e">
        <f t="shared" si="10"/>
        <v>#VALUE!</v>
      </c>
      <c r="L156" t="e">
        <f t="shared" si="11"/>
        <v>#VALUE!</v>
      </c>
      <c r="M156" t="e">
        <f>VLOOKUP(K156,'Name Bridge'!$A:$B,2,FALSE)</f>
        <v>#VALUE!</v>
      </c>
      <c r="N156" s="73" t="e">
        <f>VLOOKUP(L156,'Name Bridge'!$A:$B,2,FALSE)</f>
        <v>#VALUE!</v>
      </c>
      <c r="O156" t="str">
        <f t="shared" si="12"/>
        <v/>
      </c>
      <c r="P156">
        <f t="shared" si="13"/>
        <v>0</v>
      </c>
      <c r="Q156" t="e">
        <f t="shared" si="14"/>
        <v>#VALUE!</v>
      </c>
    </row>
    <row r="157" spans="11:17" x14ac:dyDescent="0.2">
      <c r="K157" t="e">
        <f t="shared" si="10"/>
        <v>#VALUE!</v>
      </c>
      <c r="L157" t="e">
        <f t="shared" si="11"/>
        <v>#VALUE!</v>
      </c>
      <c r="M157" t="e">
        <f>VLOOKUP(K157,'Name Bridge'!$A:$B,2,FALSE)</f>
        <v>#VALUE!</v>
      </c>
      <c r="N157" s="73" t="e">
        <f>VLOOKUP(L157,'Name Bridge'!$A:$B,2,FALSE)</f>
        <v>#VALUE!</v>
      </c>
      <c r="O157" t="str">
        <f t="shared" si="12"/>
        <v/>
      </c>
      <c r="P157">
        <f t="shared" si="13"/>
        <v>0</v>
      </c>
      <c r="Q157" t="e">
        <f t="shared" si="14"/>
        <v>#VALUE!</v>
      </c>
    </row>
    <row r="158" spans="11:17" x14ac:dyDescent="0.2">
      <c r="K158" t="e">
        <f t="shared" si="10"/>
        <v>#VALUE!</v>
      </c>
      <c r="L158" t="e">
        <f t="shared" si="11"/>
        <v>#VALUE!</v>
      </c>
      <c r="M158" t="e">
        <f>VLOOKUP(K158,'Name Bridge'!$A:$B,2,FALSE)</f>
        <v>#VALUE!</v>
      </c>
      <c r="N158" s="73" t="e">
        <f>VLOOKUP(L158,'Name Bridge'!$A:$B,2,FALSE)</f>
        <v>#VALUE!</v>
      </c>
      <c r="O158" t="str">
        <f t="shared" si="12"/>
        <v/>
      </c>
      <c r="P158">
        <f t="shared" si="13"/>
        <v>0</v>
      </c>
      <c r="Q158" t="e">
        <f t="shared" si="14"/>
        <v>#VALUE!</v>
      </c>
    </row>
    <row r="159" spans="11:17" x14ac:dyDescent="0.2">
      <c r="K159" t="e">
        <f t="shared" si="10"/>
        <v>#VALUE!</v>
      </c>
      <c r="L159" t="e">
        <f t="shared" si="11"/>
        <v>#VALUE!</v>
      </c>
      <c r="M159" t="e">
        <f>VLOOKUP(K159,'Name Bridge'!$A:$B,2,FALSE)</f>
        <v>#VALUE!</v>
      </c>
      <c r="N159" s="73" t="e">
        <f>VLOOKUP(L159,'Name Bridge'!$A:$B,2,FALSE)</f>
        <v>#VALUE!</v>
      </c>
      <c r="O159" t="str">
        <f t="shared" si="12"/>
        <v/>
      </c>
      <c r="P159">
        <f t="shared" si="13"/>
        <v>0</v>
      </c>
      <c r="Q159" t="e">
        <f t="shared" si="14"/>
        <v>#VALUE!</v>
      </c>
    </row>
    <row r="160" spans="11:17" x14ac:dyDescent="0.2">
      <c r="K160" t="e">
        <f t="shared" si="10"/>
        <v>#VALUE!</v>
      </c>
      <c r="L160" t="e">
        <f t="shared" si="11"/>
        <v>#VALUE!</v>
      </c>
      <c r="M160" t="e">
        <f>VLOOKUP(K160,'Name Bridge'!$A:$B,2,FALSE)</f>
        <v>#VALUE!</v>
      </c>
      <c r="N160" s="73" t="e">
        <f>VLOOKUP(L160,'Name Bridge'!$A:$B,2,FALSE)</f>
        <v>#VALUE!</v>
      </c>
      <c r="O160" t="str">
        <f t="shared" si="12"/>
        <v/>
      </c>
      <c r="P160">
        <f t="shared" si="13"/>
        <v>0</v>
      </c>
      <c r="Q160" t="e">
        <f t="shared" si="14"/>
        <v>#VALUE!</v>
      </c>
    </row>
    <row r="161" spans="11:17" x14ac:dyDescent="0.2">
      <c r="K161" t="e">
        <f t="shared" si="10"/>
        <v>#VALUE!</v>
      </c>
      <c r="L161" t="e">
        <f t="shared" si="11"/>
        <v>#VALUE!</v>
      </c>
      <c r="M161" t="e">
        <f>VLOOKUP(K161,'Name Bridge'!$A:$B,2,FALSE)</f>
        <v>#VALUE!</v>
      </c>
      <c r="N161" s="73" t="e">
        <f>VLOOKUP(L161,'Name Bridge'!$A:$B,2,FALSE)</f>
        <v>#VALUE!</v>
      </c>
      <c r="O161" t="str">
        <f t="shared" si="12"/>
        <v/>
      </c>
      <c r="P161">
        <f t="shared" si="13"/>
        <v>0</v>
      </c>
      <c r="Q161" t="e">
        <f t="shared" si="14"/>
        <v>#VALUE!</v>
      </c>
    </row>
    <row r="162" spans="11:17" x14ac:dyDescent="0.2">
      <c r="K162" t="e">
        <f t="shared" si="10"/>
        <v>#VALUE!</v>
      </c>
      <c r="L162" t="e">
        <f t="shared" si="11"/>
        <v>#VALUE!</v>
      </c>
      <c r="M162" t="e">
        <f>VLOOKUP(K162,'Name Bridge'!$A:$B,2,FALSE)</f>
        <v>#VALUE!</v>
      </c>
      <c r="N162" s="73" t="e">
        <f>VLOOKUP(L162,'Name Bridge'!$A:$B,2,FALSE)</f>
        <v>#VALUE!</v>
      </c>
      <c r="O162" t="str">
        <f t="shared" si="12"/>
        <v/>
      </c>
      <c r="P162">
        <f t="shared" si="13"/>
        <v>0</v>
      </c>
      <c r="Q162" t="e">
        <f t="shared" si="14"/>
        <v>#VALUE!</v>
      </c>
    </row>
    <row r="163" spans="11:17" x14ac:dyDescent="0.2">
      <c r="K163" t="e">
        <f t="shared" si="10"/>
        <v>#VALUE!</v>
      </c>
      <c r="L163" t="e">
        <f t="shared" si="11"/>
        <v>#VALUE!</v>
      </c>
      <c r="M163" t="e">
        <f>VLOOKUP(K163,'Name Bridge'!$A:$B,2,FALSE)</f>
        <v>#VALUE!</v>
      </c>
      <c r="N163" s="73" t="e">
        <f>VLOOKUP(L163,'Name Bridge'!$A:$B,2,FALSE)</f>
        <v>#VALUE!</v>
      </c>
      <c r="O163" t="str">
        <f t="shared" si="12"/>
        <v/>
      </c>
      <c r="P163">
        <f t="shared" si="13"/>
        <v>0</v>
      </c>
      <c r="Q163" t="e">
        <f t="shared" si="14"/>
        <v>#VALUE!</v>
      </c>
    </row>
    <row r="164" spans="11:17" x14ac:dyDescent="0.2">
      <c r="K164" t="e">
        <f t="shared" si="10"/>
        <v>#VALUE!</v>
      </c>
      <c r="L164" t="e">
        <f t="shared" si="11"/>
        <v>#VALUE!</v>
      </c>
      <c r="M164" t="e">
        <f>VLOOKUP(K164,'Name Bridge'!$A:$B,2,FALSE)</f>
        <v>#VALUE!</v>
      </c>
      <c r="N164" s="73" t="e">
        <f>VLOOKUP(L164,'Name Bridge'!$A:$B,2,FALSE)</f>
        <v>#VALUE!</v>
      </c>
      <c r="O164" t="str">
        <f t="shared" si="12"/>
        <v/>
      </c>
      <c r="P164">
        <f t="shared" si="13"/>
        <v>0</v>
      </c>
      <c r="Q164" t="e">
        <f t="shared" si="14"/>
        <v>#VALUE!</v>
      </c>
    </row>
    <row r="165" spans="11:17" x14ac:dyDescent="0.2">
      <c r="K165" t="e">
        <f t="shared" si="10"/>
        <v>#VALUE!</v>
      </c>
      <c r="L165" t="e">
        <f t="shared" si="11"/>
        <v>#VALUE!</v>
      </c>
      <c r="M165" t="e">
        <f>VLOOKUP(K165,'Name Bridge'!$A:$B,2,FALSE)</f>
        <v>#VALUE!</v>
      </c>
      <c r="N165" s="73" t="e">
        <f>VLOOKUP(L165,'Name Bridge'!$A:$B,2,FALSE)</f>
        <v>#VALUE!</v>
      </c>
      <c r="O165" t="str">
        <f t="shared" si="12"/>
        <v/>
      </c>
      <c r="P165">
        <f t="shared" si="13"/>
        <v>0</v>
      </c>
      <c r="Q165" t="e">
        <f t="shared" si="14"/>
        <v>#VALUE!</v>
      </c>
    </row>
    <row r="166" spans="11:17" x14ac:dyDescent="0.2">
      <c r="K166" t="e">
        <f t="shared" si="10"/>
        <v>#VALUE!</v>
      </c>
      <c r="L166" t="e">
        <f t="shared" si="11"/>
        <v>#VALUE!</v>
      </c>
      <c r="M166" t="e">
        <f>VLOOKUP(K166,'Name Bridge'!$A:$B,2,FALSE)</f>
        <v>#VALUE!</v>
      </c>
      <c r="N166" s="73" t="e">
        <f>VLOOKUP(L166,'Name Bridge'!$A:$B,2,FALSE)</f>
        <v>#VALUE!</v>
      </c>
      <c r="O166" t="str">
        <f t="shared" si="12"/>
        <v/>
      </c>
      <c r="P166">
        <f t="shared" si="13"/>
        <v>0</v>
      </c>
      <c r="Q166" t="e">
        <f t="shared" si="14"/>
        <v>#VALUE!</v>
      </c>
    </row>
    <row r="167" spans="11:17" x14ac:dyDescent="0.2">
      <c r="K167" t="e">
        <f t="shared" si="10"/>
        <v>#VALUE!</v>
      </c>
      <c r="L167" t="e">
        <f t="shared" si="11"/>
        <v>#VALUE!</v>
      </c>
      <c r="M167" t="e">
        <f>VLOOKUP(K167,'Name Bridge'!$A:$B,2,FALSE)</f>
        <v>#VALUE!</v>
      </c>
      <c r="N167" s="73" t="e">
        <f>VLOOKUP(L167,'Name Bridge'!$A:$B,2,FALSE)</f>
        <v>#VALUE!</v>
      </c>
      <c r="O167" t="str">
        <f t="shared" si="12"/>
        <v/>
      </c>
      <c r="P167">
        <f t="shared" si="13"/>
        <v>0</v>
      </c>
      <c r="Q167" t="e">
        <f t="shared" si="14"/>
        <v>#VALUE!</v>
      </c>
    </row>
    <row r="168" spans="11:17" x14ac:dyDescent="0.2">
      <c r="K168" t="e">
        <f t="shared" si="10"/>
        <v>#VALUE!</v>
      </c>
      <c r="L168" t="e">
        <f t="shared" si="11"/>
        <v>#VALUE!</v>
      </c>
      <c r="M168" t="e">
        <f>VLOOKUP(K168,'Name Bridge'!$A:$B,2,FALSE)</f>
        <v>#VALUE!</v>
      </c>
      <c r="N168" s="73" t="e">
        <f>VLOOKUP(L168,'Name Bridge'!$A:$B,2,FALSE)</f>
        <v>#VALUE!</v>
      </c>
      <c r="O168" t="str">
        <f t="shared" si="12"/>
        <v/>
      </c>
      <c r="P168">
        <f t="shared" si="13"/>
        <v>0</v>
      </c>
      <c r="Q168" t="e">
        <f t="shared" si="14"/>
        <v>#VALUE!</v>
      </c>
    </row>
    <row r="169" spans="11:17" x14ac:dyDescent="0.2">
      <c r="K169" t="e">
        <f t="shared" si="10"/>
        <v>#VALUE!</v>
      </c>
      <c r="L169" t="e">
        <f t="shared" si="11"/>
        <v>#VALUE!</v>
      </c>
      <c r="M169" t="e">
        <f>VLOOKUP(K169,'Name Bridge'!$A:$B,2,FALSE)</f>
        <v>#VALUE!</v>
      </c>
      <c r="N169" s="73" t="e">
        <f>VLOOKUP(L169,'Name Bridge'!$A:$B,2,FALSE)</f>
        <v>#VALUE!</v>
      </c>
      <c r="O169" t="str">
        <f t="shared" si="12"/>
        <v/>
      </c>
      <c r="P169">
        <f t="shared" si="13"/>
        <v>0</v>
      </c>
      <c r="Q169" t="e">
        <f t="shared" si="14"/>
        <v>#VALUE!</v>
      </c>
    </row>
    <row r="170" spans="11:17" x14ac:dyDescent="0.2">
      <c r="K170" t="e">
        <f t="shared" si="10"/>
        <v>#VALUE!</v>
      </c>
      <c r="L170" t="e">
        <f t="shared" si="11"/>
        <v>#VALUE!</v>
      </c>
      <c r="M170" t="e">
        <f>VLOOKUP(K170,'Name Bridge'!$A:$B,2,FALSE)</f>
        <v>#VALUE!</v>
      </c>
      <c r="N170" s="73" t="e">
        <f>VLOOKUP(L170,'Name Bridge'!$A:$B,2,FALSE)</f>
        <v>#VALUE!</v>
      </c>
      <c r="O170" t="str">
        <f t="shared" si="12"/>
        <v/>
      </c>
      <c r="P170">
        <f t="shared" si="13"/>
        <v>0</v>
      </c>
      <c r="Q170" t="e">
        <f t="shared" si="14"/>
        <v>#VALUE!</v>
      </c>
    </row>
    <row r="171" spans="11:17" x14ac:dyDescent="0.2">
      <c r="K171" t="e">
        <f t="shared" si="10"/>
        <v>#VALUE!</v>
      </c>
      <c r="L171" t="e">
        <f t="shared" si="11"/>
        <v>#VALUE!</v>
      </c>
      <c r="M171" t="e">
        <f>VLOOKUP(K171,'Name Bridge'!$A:$B,2,FALSE)</f>
        <v>#VALUE!</v>
      </c>
      <c r="N171" s="73" t="e">
        <f>VLOOKUP(L171,'Name Bridge'!$A:$B,2,FALSE)</f>
        <v>#VALUE!</v>
      </c>
      <c r="O171" t="str">
        <f t="shared" si="12"/>
        <v/>
      </c>
      <c r="P171">
        <f t="shared" si="13"/>
        <v>0</v>
      </c>
      <c r="Q171" t="e">
        <f t="shared" si="14"/>
        <v>#VALUE!</v>
      </c>
    </row>
    <row r="172" spans="11:17" x14ac:dyDescent="0.2">
      <c r="K172" t="e">
        <f t="shared" si="10"/>
        <v>#VALUE!</v>
      </c>
      <c r="L172" t="e">
        <f t="shared" si="11"/>
        <v>#VALUE!</v>
      </c>
      <c r="M172" t="e">
        <f>VLOOKUP(K172,'Name Bridge'!$A:$B,2,FALSE)</f>
        <v>#VALUE!</v>
      </c>
      <c r="N172" s="73" t="e">
        <f>VLOOKUP(L172,'Name Bridge'!$A:$B,2,FALSE)</f>
        <v>#VALUE!</v>
      </c>
      <c r="O172" t="str">
        <f t="shared" si="12"/>
        <v/>
      </c>
      <c r="P172">
        <f t="shared" si="13"/>
        <v>0</v>
      </c>
      <c r="Q172" t="e">
        <f t="shared" si="14"/>
        <v>#VALUE!</v>
      </c>
    </row>
    <row r="173" spans="11:17" x14ac:dyDescent="0.2">
      <c r="K173" t="e">
        <f t="shared" si="10"/>
        <v>#VALUE!</v>
      </c>
      <c r="L173" t="e">
        <f t="shared" si="11"/>
        <v>#VALUE!</v>
      </c>
      <c r="M173" t="e">
        <f>VLOOKUP(K173,'Name Bridge'!$A:$B,2,FALSE)</f>
        <v>#VALUE!</v>
      </c>
      <c r="N173" s="73" t="e">
        <f>VLOOKUP(L173,'Name Bridge'!$A:$B,2,FALSE)</f>
        <v>#VALUE!</v>
      </c>
      <c r="O173" t="str">
        <f t="shared" si="12"/>
        <v/>
      </c>
      <c r="P173">
        <f t="shared" si="13"/>
        <v>0</v>
      </c>
      <c r="Q173" t="e">
        <f t="shared" si="14"/>
        <v>#VALUE!</v>
      </c>
    </row>
    <row r="174" spans="11:17" x14ac:dyDescent="0.2">
      <c r="K174" t="e">
        <f t="shared" si="10"/>
        <v>#VALUE!</v>
      </c>
      <c r="L174" t="e">
        <f t="shared" si="11"/>
        <v>#VALUE!</v>
      </c>
      <c r="M174" t="e">
        <f>VLOOKUP(K174,'Name Bridge'!$A:$B,2,FALSE)</f>
        <v>#VALUE!</v>
      </c>
      <c r="N174" s="73" t="e">
        <f>VLOOKUP(L174,'Name Bridge'!$A:$B,2,FALSE)</f>
        <v>#VALUE!</v>
      </c>
      <c r="O174" t="str">
        <f t="shared" si="12"/>
        <v/>
      </c>
      <c r="P174">
        <f t="shared" si="13"/>
        <v>0</v>
      </c>
      <c r="Q174" t="e">
        <f t="shared" si="14"/>
        <v>#VALUE!</v>
      </c>
    </row>
    <row r="175" spans="11:17" x14ac:dyDescent="0.2">
      <c r="K175" t="e">
        <f t="shared" si="10"/>
        <v>#VALUE!</v>
      </c>
      <c r="L175" t="e">
        <f t="shared" si="11"/>
        <v>#VALUE!</v>
      </c>
      <c r="M175" t="e">
        <f>VLOOKUP(K175,'Name Bridge'!$A:$B,2,FALSE)</f>
        <v>#VALUE!</v>
      </c>
      <c r="N175" s="73" t="e">
        <f>VLOOKUP(L175,'Name Bridge'!$A:$B,2,FALSE)</f>
        <v>#VALUE!</v>
      </c>
      <c r="O175" t="str">
        <f t="shared" si="12"/>
        <v/>
      </c>
      <c r="P175">
        <f t="shared" si="13"/>
        <v>0</v>
      </c>
      <c r="Q175" t="e">
        <f t="shared" si="14"/>
        <v>#VALUE!</v>
      </c>
    </row>
    <row r="176" spans="11:17" x14ac:dyDescent="0.2">
      <c r="K176" t="e">
        <f t="shared" si="10"/>
        <v>#VALUE!</v>
      </c>
      <c r="L176" t="e">
        <f t="shared" si="11"/>
        <v>#VALUE!</v>
      </c>
      <c r="M176" t="e">
        <f>VLOOKUP(K176,'Name Bridge'!$A:$B,2,FALSE)</f>
        <v>#VALUE!</v>
      </c>
      <c r="N176" s="73" t="e">
        <f>VLOOKUP(L176,'Name Bridge'!$A:$B,2,FALSE)</f>
        <v>#VALUE!</v>
      </c>
      <c r="O176" t="str">
        <f t="shared" si="12"/>
        <v/>
      </c>
      <c r="P176">
        <f t="shared" si="13"/>
        <v>0</v>
      </c>
      <c r="Q176" t="e">
        <f t="shared" si="14"/>
        <v>#VALUE!</v>
      </c>
    </row>
    <row r="177" spans="11:17" x14ac:dyDescent="0.2">
      <c r="K177" t="e">
        <f t="shared" si="10"/>
        <v>#VALUE!</v>
      </c>
      <c r="L177" t="e">
        <f t="shared" si="11"/>
        <v>#VALUE!</v>
      </c>
      <c r="M177" t="e">
        <f>VLOOKUP(K177,'Name Bridge'!$A:$B,2,FALSE)</f>
        <v>#VALUE!</v>
      </c>
      <c r="N177" s="73" t="e">
        <f>VLOOKUP(L177,'Name Bridge'!$A:$B,2,FALSE)</f>
        <v>#VALUE!</v>
      </c>
      <c r="O177" t="str">
        <f t="shared" si="12"/>
        <v/>
      </c>
      <c r="P177">
        <f t="shared" si="13"/>
        <v>0</v>
      </c>
      <c r="Q177" t="e">
        <f t="shared" si="14"/>
        <v>#VALUE!</v>
      </c>
    </row>
    <row r="178" spans="11:17" x14ac:dyDescent="0.2">
      <c r="K178" t="e">
        <f t="shared" si="10"/>
        <v>#VALUE!</v>
      </c>
      <c r="L178" t="e">
        <f t="shared" si="11"/>
        <v>#VALUE!</v>
      </c>
      <c r="M178" t="e">
        <f>VLOOKUP(K178,'Name Bridge'!$A:$B,2,FALSE)</f>
        <v>#VALUE!</v>
      </c>
      <c r="N178" s="73" t="e">
        <f>VLOOKUP(L178,'Name Bridge'!$A:$B,2,FALSE)</f>
        <v>#VALUE!</v>
      </c>
      <c r="O178" t="str">
        <f t="shared" si="12"/>
        <v/>
      </c>
      <c r="P178">
        <f t="shared" si="13"/>
        <v>0</v>
      </c>
      <c r="Q178" t="e">
        <f t="shared" si="14"/>
        <v>#VALUE!</v>
      </c>
    </row>
    <row r="179" spans="11:17" x14ac:dyDescent="0.2">
      <c r="K179" t="e">
        <f t="shared" si="10"/>
        <v>#VALUE!</v>
      </c>
      <c r="L179" t="e">
        <f t="shared" si="11"/>
        <v>#VALUE!</v>
      </c>
      <c r="M179" t="e">
        <f>VLOOKUP(K179,'Name Bridge'!$A:$B,2,FALSE)</f>
        <v>#VALUE!</v>
      </c>
      <c r="N179" s="73" t="e">
        <f>VLOOKUP(L179,'Name Bridge'!$A:$B,2,FALSE)</f>
        <v>#VALUE!</v>
      </c>
      <c r="O179" t="str">
        <f t="shared" si="12"/>
        <v/>
      </c>
      <c r="P179">
        <f t="shared" si="13"/>
        <v>0</v>
      </c>
      <c r="Q179" t="e">
        <f t="shared" si="14"/>
        <v>#VALUE!</v>
      </c>
    </row>
    <row r="180" spans="11:17" x14ac:dyDescent="0.2">
      <c r="K180" t="e">
        <f t="shared" si="10"/>
        <v>#VALUE!</v>
      </c>
      <c r="L180" t="e">
        <f t="shared" si="11"/>
        <v>#VALUE!</v>
      </c>
      <c r="M180" t="e">
        <f>VLOOKUP(K180,'Name Bridge'!$A:$B,2,FALSE)</f>
        <v>#VALUE!</v>
      </c>
      <c r="N180" s="73" t="e">
        <f>VLOOKUP(L180,'Name Bridge'!$A:$B,2,FALSE)</f>
        <v>#VALUE!</v>
      </c>
      <c r="O180" t="str">
        <f t="shared" si="12"/>
        <v/>
      </c>
      <c r="P180">
        <f t="shared" si="13"/>
        <v>0</v>
      </c>
      <c r="Q180" t="e">
        <f t="shared" si="14"/>
        <v>#VALUE!</v>
      </c>
    </row>
    <row r="181" spans="11:17" x14ac:dyDescent="0.2">
      <c r="K181" t="e">
        <f t="shared" si="10"/>
        <v>#VALUE!</v>
      </c>
      <c r="L181" t="e">
        <f t="shared" si="11"/>
        <v>#VALUE!</v>
      </c>
      <c r="M181" t="e">
        <f>VLOOKUP(K181,'Name Bridge'!$A:$B,2,FALSE)</f>
        <v>#VALUE!</v>
      </c>
      <c r="N181" s="73" t="e">
        <f>VLOOKUP(L181,'Name Bridge'!$A:$B,2,FALSE)</f>
        <v>#VALUE!</v>
      </c>
      <c r="O181" t="str">
        <f t="shared" si="12"/>
        <v/>
      </c>
      <c r="P181">
        <f t="shared" si="13"/>
        <v>0</v>
      </c>
      <c r="Q181" t="e">
        <f t="shared" si="14"/>
        <v>#VALUE!</v>
      </c>
    </row>
    <row r="182" spans="11:17" x14ac:dyDescent="0.2">
      <c r="K182" t="e">
        <f t="shared" si="10"/>
        <v>#VALUE!</v>
      </c>
      <c r="L182" t="e">
        <f t="shared" si="11"/>
        <v>#VALUE!</v>
      </c>
      <c r="M182" t="e">
        <f>VLOOKUP(K182,'Name Bridge'!$A:$B,2,FALSE)</f>
        <v>#VALUE!</v>
      </c>
      <c r="N182" s="73" t="e">
        <f>VLOOKUP(L182,'Name Bridge'!$A:$B,2,FALSE)</f>
        <v>#VALUE!</v>
      </c>
      <c r="O182" t="str">
        <f t="shared" si="12"/>
        <v/>
      </c>
      <c r="P182">
        <f t="shared" si="13"/>
        <v>0</v>
      </c>
      <c r="Q182" t="e">
        <f t="shared" si="14"/>
        <v>#VALUE!</v>
      </c>
    </row>
    <row r="183" spans="11:17" x14ac:dyDescent="0.2">
      <c r="K183" t="e">
        <f t="shared" si="10"/>
        <v>#VALUE!</v>
      </c>
      <c r="L183" t="e">
        <f t="shared" si="11"/>
        <v>#VALUE!</v>
      </c>
      <c r="M183" t="e">
        <f>VLOOKUP(K183,'Name Bridge'!$A:$B,2,FALSE)</f>
        <v>#VALUE!</v>
      </c>
      <c r="N183" s="73" t="e">
        <f>VLOOKUP(L183,'Name Bridge'!$A:$B,2,FALSE)</f>
        <v>#VALUE!</v>
      </c>
      <c r="O183" t="str">
        <f t="shared" si="12"/>
        <v/>
      </c>
      <c r="P183">
        <f t="shared" si="13"/>
        <v>0</v>
      </c>
      <c r="Q183" t="e">
        <f t="shared" si="14"/>
        <v>#VALUE!</v>
      </c>
    </row>
    <row r="184" spans="11:17" x14ac:dyDescent="0.2">
      <c r="K184" t="e">
        <f t="shared" si="10"/>
        <v>#VALUE!</v>
      </c>
      <c r="L184" t="e">
        <f t="shared" si="11"/>
        <v>#VALUE!</v>
      </c>
      <c r="M184" t="e">
        <f>VLOOKUP(K184,'Name Bridge'!$A:$B,2,FALSE)</f>
        <v>#VALUE!</v>
      </c>
      <c r="N184" s="73" t="e">
        <f>VLOOKUP(L184,'Name Bridge'!$A:$B,2,FALSE)</f>
        <v>#VALUE!</v>
      </c>
      <c r="O184" t="str">
        <f t="shared" si="12"/>
        <v/>
      </c>
      <c r="P184">
        <f t="shared" si="13"/>
        <v>0</v>
      </c>
      <c r="Q184" t="e">
        <f t="shared" si="14"/>
        <v>#VALUE!</v>
      </c>
    </row>
    <row r="185" spans="11:17" x14ac:dyDescent="0.2">
      <c r="K185" t="e">
        <f t="shared" si="10"/>
        <v>#VALUE!</v>
      </c>
      <c r="L185" t="e">
        <f t="shared" si="11"/>
        <v>#VALUE!</v>
      </c>
      <c r="M185" t="e">
        <f>VLOOKUP(K185,'Name Bridge'!$A:$B,2,FALSE)</f>
        <v>#VALUE!</v>
      </c>
      <c r="N185" s="73" t="e">
        <f>VLOOKUP(L185,'Name Bridge'!$A:$B,2,FALSE)</f>
        <v>#VALUE!</v>
      </c>
      <c r="O185" t="str">
        <f t="shared" si="12"/>
        <v/>
      </c>
      <c r="P185">
        <f t="shared" si="13"/>
        <v>0</v>
      </c>
      <c r="Q185" t="e">
        <f t="shared" si="14"/>
        <v>#VALUE!</v>
      </c>
    </row>
    <row r="186" spans="11:17" x14ac:dyDescent="0.2">
      <c r="K186" t="e">
        <f t="shared" si="10"/>
        <v>#VALUE!</v>
      </c>
      <c r="L186" t="e">
        <f t="shared" si="11"/>
        <v>#VALUE!</v>
      </c>
      <c r="M186" t="e">
        <f>VLOOKUP(K186,'Name Bridge'!$A:$B,2,FALSE)</f>
        <v>#VALUE!</v>
      </c>
      <c r="N186" s="73" t="e">
        <f>VLOOKUP(L186,'Name Bridge'!$A:$B,2,FALSE)</f>
        <v>#VALUE!</v>
      </c>
      <c r="O186" t="str">
        <f t="shared" si="12"/>
        <v/>
      </c>
      <c r="P186">
        <f t="shared" si="13"/>
        <v>0</v>
      </c>
      <c r="Q186" t="e">
        <f t="shared" si="14"/>
        <v>#VALUE!</v>
      </c>
    </row>
    <row r="187" spans="11:17" x14ac:dyDescent="0.2">
      <c r="K187" t="e">
        <f t="shared" si="10"/>
        <v>#VALUE!</v>
      </c>
      <c r="L187" t="e">
        <f t="shared" si="11"/>
        <v>#VALUE!</v>
      </c>
      <c r="M187" t="e">
        <f>VLOOKUP(K187,'Name Bridge'!$A:$B,2,FALSE)</f>
        <v>#VALUE!</v>
      </c>
      <c r="N187" s="73" t="e">
        <f>VLOOKUP(L187,'Name Bridge'!$A:$B,2,FALSE)</f>
        <v>#VALUE!</v>
      </c>
      <c r="O187" t="str">
        <f t="shared" si="12"/>
        <v/>
      </c>
      <c r="P187">
        <f t="shared" si="13"/>
        <v>0</v>
      </c>
      <c r="Q187" t="e">
        <f t="shared" si="14"/>
        <v>#VALUE!</v>
      </c>
    </row>
    <row r="188" spans="11:17" x14ac:dyDescent="0.2">
      <c r="K188" t="e">
        <f t="shared" si="10"/>
        <v>#VALUE!</v>
      </c>
      <c r="L188" t="e">
        <f t="shared" si="11"/>
        <v>#VALUE!</v>
      </c>
      <c r="M188" t="e">
        <f>VLOOKUP(K188,'Name Bridge'!$A:$B,2,FALSE)</f>
        <v>#VALUE!</v>
      </c>
      <c r="N188" s="73" t="e">
        <f>VLOOKUP(L188,'Name Bridge'!$A:$B,2,FALSE)</f>
        <v>#VALUE!</v>
      </c>
      <c r="O188" t="str">
        <f t="shared" si="12"/>
        <v/>
      </c>
      <c r="P188">
        <f t="shared" si="13"/>
        <v>0</v>
      </c>
      <c r="Q188" t="e">
        <f t="shared" si="14"/>
        <v>#VALUE!</v>
      </c>
    </row>
    <row r="189" spans="11:17" x14ac:dyDescent="0.2">
      <c r="K189" t="e">
        <f t="shared" si="10"/>
        <v>#VALUE!</v>
      </c>
      <c r="L189" t="e">
        <f t="shared" si="11"/>
        <v>#VALUE!</v>
      </c>
      <c r="M189" t="e">
        <f>VLOOKUP(K189,'Name Bridge'!$A:$B,2,FALSE)</f>
        <v>#VALUE!</v>
      </c>
      <c r="N189" s="73" t="e">
        <f>VLOOKUP(L189,'Name Bridge'!$A:$B,2,FALSE)</f>
        <v>#VALUE!</v>
      </c>
      <c r="O189" t="str">
        <f t="shared" si="12"/>
        <v/>
      </c>
      <c r="P189">
        <f t="shared" si="13"/>
        <v>0</v>
      </c>
      <c r="Q189" t="e">
        <f t="shared" si="14"/>
        <v>#VALUE!</v>
      </c>
    </row>
    <row r="190" spans="11:17" x14ac:dyDescent="0.2">
      <c r="K190" t="e">
        <f t="shared" si="10"/>
        <v>#VALUE!</v>
      </c>
      <c r="L190" t="e">
        <f t="shared" si="11"/>
        <v>#VALUE!</v>
      </c>
      <c r="M190" t="e">
        <f>VLOOKUP(K190,'Name Bridge'!$A:$B,2,FALSE)</f>
        <v>#VALUE!</v>
      </c>
      <c r="N190" s="73" t="e">
        <f>VLOOKUP(L190,'Name Bridge'!$A:$B,2,FALSE)</f>
        <v>#VALUE!</v>
      </c>
      <c r="O190" t="str">
        <f t="shared" si="12"/>
        <v/>
      </c>
      <c r="P190">
        <f t="shared" si="13"/>
        <v>0</v>
      </c>
      <c r="Q190" t="e">
        <f t="shared" si="14"/>
        <v>#VALUE!</v>
      </c>
    </row>
    <row r="191" spans="11:17" x14ac:dyDescent="0.2">
      <c r="K191" t="e">
        <f t="shared" si="10"/>
        <v>#VALUE!</v>
      </c>
      <c r="L191" t="e">
        <f t="shared" si="11"/>
        <v>#VALUE!</v>
      </c>
      <c r="M191" t="e">
        <f>VLOOKUP(K191,'Name Bridge'!$A:$B,2,FALSE)</f>
        <v>#VALUE!</v>
      </c>
      <c r="N191" s="73" t="e">
        <f>VLOOKUP(L191,'Name Bridge'!$A:$B,2,FALSE)</f>
        <v>#VALUE!</v>
      </c>
      <c r="O191" t="str">
        <f t="shared" si="12"/>
        <v/>
      </c>
      <c r="P191">
        <f t="shared" si="13"/>
        <v>0</v>
      </c>
      <c r="Q191" t="e">
        <f t="shared" si="14"/>
        <v>#VALUE!</v>
      </c>
    </row>
    <row r="192" spans="11:17" x14ac:dyDescent="0.2">
      <c r="K192" t="e">
        <f t="shared" si="10"/>
        <v>#VALUE!</v>
      </c>
      <c r="L192" t="e">
        <f t="shared" si="11"/>
        <v>#VALUE!</v>
      </c>
      <c r="M192" t="e">
        <f>VLOOKUP(K192,'Name Bridge'!$A:$B,2,FALSE)</f>
        <v>#VALUE!</v>
      </c>
      <c r="N192" s="73" t="e">
        <f>VLOOKUP(L192,'Name Bridge'!$A:$B,2,FALSE)</f>
        <v>#VALUE!</v>
      </c>
      <c r="O192" t="str">
        <f t="shared" si="12"/>
        <v/>
      </c>
      <c r="P192">
        <f t="shared" si="13"/>
        <v>0</v>
      </c>
      <c r="Q192" t="e">
        <f t="shared" si="14"/>
        <v>#VALUE!</v>
      </c>
    </row>
    <row r="193" spans="11:17" x14ac:dyDescent="0.2">
      <c r="K193" t="e">
        <f t="shared" si="10"/>
        <v>#VALUE!</v>
      </c>
      <c r="L193" t="e">
        <f t="shared" si="11"/>
        <v>#VALUE!</v>
      </c>
      <c r="M193" t="e">
        <f>VLOOKUP(K193,'Name Bridge'!$A:$B,2,FALSE)</f>
        <v>#VALUE!</v>
      </c>
      <c r="N193" s="73" t="e">
        <f>VLOOKUP(L193,'Name Bridge'!$A:$B,2,FALSE)</f>
        <v>#VALUE!</v>
      </c>
      <c r="O193" t="str">
        <f t="shared" si="12"/>
        <v/>
      </c>
      <c r="P193">
        <f t="shared" si="13"/>
        <v>0</v>
      </c>
      <c r="Q193" t="e">
        <f t="shared" si="14"/>
        <v>#VALUE!</v>
      </c>
    </row>
    <row r="194" spans="11:17" x14ac:dyDescent="0.2">
      <c r="K194" t="e">
        <f t="shared" ref="K194:K255" si="15">LEFT(A194,(FIND("_",A194)-1))</f>
        <v>#VALUE!</v>
      </c>
      <c r="L194" t="e">
        <f t="shared" ref="L194:L255" si="16">RIGHT(A194,LEN(A194)-FIND("_",A194))</f>
        <v>#VALUE!</v>
      </c>
      <c r="M194" t="e">
        <f>VLOOKUP(K194,'Name Bridge'!$A:$B,2,FALSE)</f>
        <v>#VALUE!</v>
      </c>
      <c r="N194" s="73" t="e">
        <f>VLOOKUP(L194,'Name Bridge'!$A:$B,2,FALSE)</f>
        <v>#VALUE!</v>
      </c>
      <c r="O194" t="str">
        <f t="shared" ref="O194:O255" si="17">LEFT(B194,10)</f>
        <v/>
      </c>
      <c r="P194">
        <f t="shared" si="13"/>
        <v>0</v>
      </c>
      <c r="Q194" t="e">
        <f t="shared" si="14"/>
        <v>#VALUE!</v>
      </c>
    </row>
    <row r="195" spans="11:17" x14ac:dyDescent="0.2">
      <c r="K195" t="e">
        <f t="shared" si="15"/>
        <v>#VALUE!</v>
      </c>
      <c r="L195" t="e">
        <f t="shared" si="16"/>
        <v>#VALUE!</v>
      </c>
      <c r="M195" t="e">
        <f>VLOOKUP(K195,'Name Bridge'!$A:$B,2,FALSE)</f>
        <v>#VALUE!</v>
      </c>
      <c r="N195" s="73" t="e">
        <f>VLOOKUP(L195,'Name Bridge'!$A:$B,2,FALSE)</f>
        <v>#VALUE!</v>
      </c>
      <c r="O195" t="str">
        <f t="shared" si="17"/>
        <v/>
      </c>
      <c r="P195">
        <f t="shared" ref="P195:P255" si="18">_xlfn.NUMBERVALUE(O195)</f>
        <v>0</v>
      </c>
      <c r="Q195" t="e">
        <f t="shared" ref="Q195:Q255" si="19">M195</f>
        <v>#VALUE!</v>
      </c>
    </row>
    <row r="196" spans="11:17" x14ac:dyDescent="0.2">
      <c r="K196" t="e">
        <f t="shared" si="15"/>
        <v>#VALUE!</v>
      </c>
      <c r="L196" t="e">
        <f t="shared" si="16"/>
        <v>#VALUE!</v>
      </c>
      <c r="M196" t="e">
        <f>VLOOKUP(K196,'Name Bridge'!$A:$B,2,FALSE)</f>
        <v>#VALUE!</v>
      </c>
      <c r="N196" s="73" t="e">
        <f>VLOOKUP(L196,'Name Bridge'!$A:$B,2,FALSE)</f>
        <v>#VALUE!</v>
      </c>
      <c r="O196" t="str">
        <f t="shared" si="17"/>
        <v/>
      </c>
      <c r="P196">
        <f t="shared" si="18"/>
        <v>0</v>
      </c>
      <c r="Q196" t="e">
        <f t="shared" si="19"/>
        <v>#VALUE!</v>
      </c>
    </row>
    <row r="197" spans="11:17" x14ac:dyDescent="0.2">
      <c r="K197" t="e">
        <f t="shared" si="15"/>
        <v>#VALUE!</v>
      </c>
      <c r="L197" t="e">
        <f t="shared" si="16"/>
        <v>#VALUE!</v>
      </c>
      <c r="M197" t="e">
        <f>VLOOKUP(K197,'Name Bridge'!$A:$B,2,FALSE)</f>
        <v>#VALUE!</v>
      </c>
      <c r="N197" s="73" t="e">
        <f>VLOOKUP(L197,'Name Bridge'!$A:$B,2,FALSE)</f>
        <v>#VALUE!</v>
      </c>
      <c r="O197" t="str">
        <f t="shared" si="17"/>
        <v/>
      </c>
      <c r="P197">
        <f t="shared" si="18"/>
        <v>0</v>
      </c>
      <c r="Q197" t="e">
        <f t="shared" si="19"/>
        <v>#VALUE!</v>
      </c>
    </row>
    <row r="198" spans="11:17" x14ac:dyDescent="0.2">
      <c r="K198" t="e">
        <f t="shared" si="15"/>
        <v>#VALUE!</v>
      </c>
      <c r="L198" t="e">
        <f t="shared" si="16"/>
        <v>#VALUE!</v>
      </c>
      <c r="M198" t="e">
        <f>VLOOKUP(K198,'Name Bridge'!$A:$B,2,FALSE)</f>
        <v>#VALUE!</v>
      </c>
      <c r="N198" s="73" t="e">
        <f>VLOOKUP(L198,'Name Bridge'!$A:$B,2,FALSE)</f>
        <v>#VALUE!</v>
      </c>
      <c r="O198" t="str">
        <f t="shared" si="17"/>
        <v/>
      </c>
      <c r="P198">
        <f t="shared" si="18"/>
        <v>0</v>
      </c>
      <c r="Q198" t="e">
        <f t="shared" si="19"/>
        <v>#VALUE!</v>
      </c>
    </row>
    <row r="199" spans="11:17" x14ac:dyDescent="0.2">
      <c r="K199" t="e">
        <f t="shared" si="15"/>
        <v>#VALUE!</v>
      </c>
      <c r="L199" t="e">
        <f t="shared" si="16"/>
        <v>#VALUE!</v>
      </c>
      <c r="M199" t="e">
        <f>VLOOKUP(K199,'Name Bridge'!$A:$B,2,FALSE)</f>
        <v>#VALUE!</v>
      </c>
      <c r="N199" s="73" t="e">
        <f>VLOOKUP(L199,'Name Bridge'!$A:$B,2,FALSE)</f>
        <v>#VALUE!</v>
      </c>
      <c r="O199" t="str">
        <f t="shared" si="17"/>
        <v/>
      </c>
      <c r="P199">
        <f t="shared" si="18"/>
        <v>0</v>
      </c>
      <c r="Q199" t="e">
        <f t="shared" si="19"/>
        <v>#VALUE!</v>
      </c>
    </row>
    <row r="200" spans="11:17" x14ac:dyDescent="0.2">
      <c r="K200" t="e">
        <f t="shared" si="15"/>
        <v>#VALUE!</v>
      </c>
      <c r="L200" t="e">
        <f t="shared" si="16"/>
        <v>#VALUE!</v>
      </c>
      <c r="M200" t="e">
        <f>VLOOKUP(K200,'Name Bridge'!$A:$B,2,FALSE)</f>
        <v>#VALUE!</v>
      </c>
      <c r="N200" s="73" t="e">
        <f>VLOOKUP(L200,'Name Bridge'!$A:$B,2,FALSE)</f>
        <v>#VALUE!</v>
      </c>
      <c r="O200" t="str">
        <f t="shared" si="17"/>
        <v/>
      </c>
      <c r="P200">
        <f t="shared" si="18"/>
        <v>0</v>
      </c>
      <c r="Q200" t="e">
        <f t="shared" si="19"/>
        <v>#VALUE!</v>
      </c>
    </row>
    <row r="201" spans="11:17" x14ac:dyDescent="0.2">
      <c r="K201" t="e">
        <f t="shared" si="15"/>
        <v>#VALUE!</v>
      </c>
      <c r="L201" t="e">
        <f t="shared" si="16"/>
        <v>#VALUE!</v>
      </c>
      <c r="M201" t="e">
        <f>VLOOKUP(K201,'Name Bridge'!$A:$B,2,FALSE)</f>
        <v>#VALUE!</v>
      </c>
      <c r="N201" s="73" t="e">
        <f>VLOOKUP(L201,'Name Bridge'!$A:$B,2,FALSE)</f>
        <v>#VALUE!</v>
      </c>
      <c r="O201" t="str">
        <f t="shared" si="17"/>
        <v/>
      </c>
      <c r="P201">
        <f t="shared" si="18"/>
        <v>0</v>
      </c>
      <c r="Q201" t="e">
        <f t="shared" si="19"/>
        <v>#VALUE!</v>
      </c>
    </row>
    <row r="202" spans="11:17" x14ac:dyDescent="0.2">
      <c r="K202" t="e">
        <f t="shared" si="15"/>
        <v>#VALUE!</v>
      </c>
      <c r="L202" t="e">
        <f t="shared" si="16"/>
        <v>#VALUE!</v>
      </c>
      <c r="M202" t="e">
        <f>VLOOKUP(K202,'Name Bridge'!$A:$B,2,FALSE)</f>
        <v>#VALUE!</v>
      </c>
      <c r="N202" s="73" t="e">
        <f>VLOOKUP(L202,'Name Bridge'!$A:$B,2,FALSE)</f>
        <v>#VALUE!</v>
      </c>
      <c r="O202" t="str">
        <f t="shared" si="17"/>
        <v/>
      </c>
      <c r="P202">
        <f t="shared" si="18"/>
        <v>0</v>
      </c>
      <c r="Q202" t="e">
        <f t="shared" si="19"/>
        <v>#VALUE!</v>
      </c>
    </row>
    <row r="203" spans="11:17" x14ac:dyDescent="0.2">
      <c r="K203" t="e">
        <f t="shared" si="15"/>
        <v>#VALUE!</v>
      </c>
      <c r="L203" t="e">
        <f t="shared" si="16"/>
        <v>#VALUE!</v>
      </c>
      <c r="M203" t="e">
        <f>VLOOKUP(K203,'Name Bridge'!$A:$B,2,FALSE)</f>
        <v>#VALUE!</v>
      </c>
      <c r="N203" s="73" t="e">
        <f>VLOOKUP(L203,'Name Bridge'!$A:$B,2,FALSE)</f>
        <v>#VALUE!</v>
      </c>
      <c r="O203" t="str">
        <f t="shared" si="17"/>
        <v/>
      </c>
      <c r="P203">
        <f t="shared" si="18"/>
        <v>0</v>
      </c>
      <c r="Q203" t="e">
        <f t="shared" si="19"/>
        <v>#VALUE!</v>
      </c>
    </row>
    <row r="204" spans="11:17" x14ac:dyDescent="0.2">
      <c r="K204" t="e">
        <f t="shared" si="15"/>
        <v>#VALUE!</v>
      </c>
      <c r="L204" t="e">
        <f t="shared" si="16"/>
        <v>#VALUE!</v>
      </c>
      <c r="M204" t="e">
        <f>VLOOKUP(K204,'Name Bridge'!$A:$B,2,FALSE)</f>
        <v>#VALUE!</v>
      </c>
      <c r="N204" s="73" t="e">
        <f>VLOOKUP(L204,'Name Bridge'!$A:$B,2,FALSE)</f>
        <v>#VALUE!</v>
      </c>
      <c r="O204" t="str">
        <f t="shared" si="17"/>
        <v/>
      </c>
      <c r="P204">
        <f t="shared" si="18"/>
        <v>0</v>
      </c>
      <c r="Q204" t="e">
        <f t="shared" si="19"/>
        <v>#VALUE!</v>
      </c>
    </row>
    <row r="205" spans="11:17" x14ac:dyDescent="0.2">
      <c r="K205" t="e">
        <f t="shared" si="15"/>
        <v>#VALUE!</v>
      </c>
      <c r="L205" t="e">
        <f t="shared" si="16"/>
        <v>#VALUE!</v>
      </c>
      <c r="M205" t="e">
        <f>VLOOKUP(K205,'Name Bridge'!$A:$B,2,FALSE)</f>
        <v>#VALUE!</v>
      </c>
      <c r="N205" s="73" t="e">
        <f>VLOOKUP(L205,'Name Bridge'!$A:$B,2,FALSE)</f>
        <v>#VALUE!</v>
      </c>
      <c r="O205" t="str">
        <f t="shared" si="17"/>
        <v/>
      </c>
      <c r="P205">
        <f t="shared" si="18"/>
        <v>0</v>
      </c>
      <c r="Q205" t="e">
        <f t="shared" si="19"/>
        <v>#VALUE!</v>
      </c>
    </row>
    <row r="206" spans="11:17" x14ac:dyDescent="0.2">
      <c r="K206" t="e">
        <f t="shared" si="15"/>
        <v>#VALUE!</v>
      </c>
      <c r="L206" t="e">
        <f t="shared" si="16"/>
        <v>#VALUE!</v>
      </c>
      <c r="M206" t="e">
        <f>VLOOKUP(K206,'Name Bridge'!$A:$B,2,FALSE)</f>
        <v>#VALUE!</v>
      </c>
      <c r="N206" s="73" t="e">
        <f>VLOOKUP(L206,'Name Bridge'!$A:$B,2,FALSE)</f>
        <v>#VALUE!</v>
      </c>
      <c r="O206" t="str">
        <f t="shared" si="17"/>
        <v/>
      </c>
      <c r="P206">
        <f t="shared" si="18"/>
        <v>0</v>
      </c>
      <c r="Q206" t="e">
        <f t="shared" si="19"/>
        <v>#VALUE!</v>
      </c>
    </row>
    <row r="207" spans="11:17" x14ac:dyDescent="0.2">
      <c r="K207" t="e">
        <f t="shared" si="15"/>
        <v>#VALUE!</v>
      </c>
      <c r="L207" t="e">
        <f t="shared" si="16"/>
        <v>#VALUE!</v>
      </c>
      <c r="M207" t="e">
        <f>VLOOKUP(K207,'Name Bridge'!$A:$B,2,FALSE)</f>
        <v>#VALUE!</v>
      </c>
      <c r="N207" s="73" t="e">
        <f>VLOOKUP(L207,'Name Bridge'!$A:$B,2,FALSE)</f>
        <v>#VALUE!</v>
      </c>
      <c r="O207" t="str">
        <f t="shared" si="17"/>
        <v/>
      </c>
      <c r="P207">
        <f t="shared" si="18"/>
        <v>0</v>
      </c>
      <c r="Q207" t="e">
        <f t="shared" si="19"/>
        <v>#VALUE!</v>
      </c>
    </row>
    <row r="208" spans="11:17" x14ac:dyDescent="0.2">
      <c r="K208" t="e">
        <f t="shared" si="15"/>
        <v>#VALUE!</v>
      </c>
      <c r="L208" t="e">
        <f t="shared" si="16"/>
        <v>#VALUE!</v>
      </c>
      <c r="M208" t="e">
        <f>VLOOKUP(K208,'Name Bridge'!$A:$B,2,FALSE)</f>
        <v>#VALUE!</v>
      </c>
      <c r="N208" s="73" t="e">
        <f>VLOOKUP(L208,'Name Bridge'!$A:$B,2,FALSE)</f>
        <v>#VALUE!</v>
      </c>
      <c r="O208" t="str">
        <f t="shared" si="17"/>
        <v/>
      </c>
      <c r="P208">
        <f t="shared" si="18"/>
        <v>0</v>
      </c>
      <c r="Q208" t="e">
        <f t="shared" si="19"/>
        <v>#VALUE!</v>
      </c>
    </row>
    <row r="209" spans="11:17" x14ac:dyDescent="0.2">
      <c r="K209" t="e">
        <f t="shared" si="15"/>
        <v>#VALUE!</v>
      </c>
      <c r="L209" t="e">
        <f t="shared" si="16"/>
        <v>#VALUE!</v>
      </c>
      <c r="M209" t="e">
        <f>VLOOKUP(K209,'Name Bridge'!$A:$B,2,FALSE)</f>
        <v>#VALUE!</v>
      </c>
      <c r="N209" s="73" t="e">
        <f>VLOOKUP(L209,'Name Bridge'!$A:$B,2,FALSE)</f>
        <v>#VALUE!</v>
      </c>
      <c r="O209" t="str">
        <f t="shared" si="17"/>
        <v/>
      </c>
      <c r="P209">
        <f t="shared" si="18"/>
        <v>0</v>
      </c>
      <c r="Q209" t="e">
        <f t="shared" si="19"/>
        <v>#VALUE!</v>
      </c>
    </row>
    <row r="210" spans="11:17" x14ac:dyDescent="0.2">
      <c r="K210" t="e">
        <f t="shared" si="15"/>
        <v>#VALUE!</v>
      </c>
      <c r="L210" t="e">
        <f t="shared" si="16"/>
        <v>#VALUE!</v>
      </c>
      <c r="M210" t="e">
        <f>VLOOKUP(K210,'Name Bridge'!$A:$B,2,FALSE)</f>
        <v>#VALUE!</v>
      </c>
      <c r="N210" s="73" t="e">
        <f>VLOOKUP(L210,'Name Bridge'!$A:$B,2,FALSE)</f>
        <v>#VALUE!</v>
      </c>
      <c r="O210" t="str">
        <f t="shared" si="17"/>
        <v/>
      </c>
      <c r="P210">
        <f t="shared" si="18"/>
        <v>0</v>
      </c>
      <c r="Q210" t="e">
        <f t="shared" si="19"/>
        <v>#VALUE!</v>
      </c>
    </row>
    <row r="211" spans="11:17" x14ac:dyDescent="0.2">
      <c r="K211" t="e">
        <f t="shared" si="15"/>
        <v>#VALUE!</v>
      </c>
      <c r="L211" t="e">
        <f t="shared" si="16"/>
        <v>#VALUE!</v>
      </c>
      <c r="M211" t="e">
        <f>VLOOKUP(K211,'Name Bridge'!$A:$B,2,FALSE)</f>
        <v>#VALUE!</v>
      </c>
      <c r="N211" s="73" t="e">
        <f>VLOOKUP(L211,'Name Bridge'!$A:$B,2,FALSE)</f>
        <v>#VALUE!</v>
      </c>
      <c r="O211" t="str">
        <f t="shared" si="17"/>
        <v/>
      </c>
      <c r="P211">
        <f t="shared" si="18"/>
        <v>0</v>
      </c>
      <c r="Q211" t="e">
        <f t="shared" si="19"/>
        <v>#VALUE!</v>
      </c>
    </row>
    <row r="212" spans="11:17" x14ac:dyDescent="0.2">
      <c r="K212" t="e">
        <f t="shared" si="15"/>
        <v>#VALUE!</v>
      </c>
      <c r="L212" t="e">
        <f t="shared" si="16"/>
        <v>#VALUE!</v>
      </c>
      <c r="M212" t="e">
        <f>VLOOKUP(K212,'Name Bridge'!$A:$B,2,FALSE)</f>
        <v>#VALUE!</v>
      </c>
      <c r="N212" s="73" t="e">
        <f>VLOOKUP(L212,'Name Bridge'!$A:$B,2,FALSE)</f>
        <v>#VALUE!</v>
      </c>
      <c r="O212" t="str">
        <f t="shared" si="17"/>
        <v/>
      </c>
      <c r="P212">
        <f t="shared" si="18"/>
        <v>0</v>
      </c>
      <c r="Q212" t="e">
        <f t="shared" si="19"/>
        <v>#VALUE!</v>
      </c>
    </row>
    <row r="213" spans="11:17" x14ac:dyDescent="0.2">
      <c r="K213" t="e">
        <f t="shared" si="15"/>
        <v>#VALUE!</v>
      </c>
      <c r="L213" t="e">
        <f t="shared" si="16"/>
        <v>#VALUE!</v>
      </c>
      <c r="M213" t="e">
        <f>VLOOKUP(K213,'Name Bridge'!$A:$B,2,FALSE)</f>
        <v>#VALUE!</v>
      </c>
      <c r="N213" s="73" t="e">
        <f>VLOOKUP(L213,'Name Bridge'!$A:$B,2,FALSE)</f>
        <v>#VALUE!</v>
      </c>
      <c r="O213" t="str">
        <f t="shared" si="17"/>
        <v/>
      </c>
      <c r="P213">
        <f t="shared" si="18"/>
        <v>0</v>
      </c>
      <c r="Q213" t="e">
        <f t="shared" si="19"/>
        <v>#VALUE!</v>
      </c>
    </row>
    <row r="214" spans="11:17" x14ac:dyDescent="0.2">
      <c r="K214" t="e">
        <f t="shared" si="15"/>
        <v>#VALUE!</v>
      </c>
      <c r="L214" t="e">
        <f t="shared" si="16"/>
        <v>#VALUE!</v>
      </c>
      <c r="M214" t="e">
        <f>VLOOKUP(K214,'Name Bridge'!$A:$B,2,FALSE)</f>
        <v>#VALUE!</v>
      </c>
      <c r="N214" s="73" t="e">
        <f>VLOOKUP(L214,'Name Bridge'!$A:$B,2,FALSE)</f>
        <v>#VALUE!</v>
      </c>
      <c r="O214" t="str">
        <f t="shared" si="17"/>
        <v/>
      </c>
      <c r="P214">
        <f t="shared" si="18"/>
        <v>0</v>
      </c>
      <c r="Q214" t="e">
        <f t="shared" si="19"/>
        <v>#VALUE!</v>
      </c>
    </row>
    <row r="215" spans="11:17" x14ac:dyDescent="0.2">
      <c r="K215" t="e">
        <f t="shared" si="15"/>
        <v>#VALUE!</v>
      </c>
      <c r="L215" t="e">
        <f t="shared" si="16"/>
        <v>#VALUE!</v>
      </c>
      <c r="M215" t="e">
        <f>VLOOKUP(K215,'Name Bridge'!$A:$B,2,FALSE)</f>
        <v>#VALUE!</v>
      </c>
      <c r="N215" s="73" t="e">
        <f>VLOOKUP(L215,'Name Bridge'!$A:$B,2,FALSE)</f>
        <v>#VALUE!</v>
      </c>
      <c r="O215" t="str">
        <f t="shared" si="17"/>
        <v/>
      </c>
      <c r="P215">
        <f t="shared" si="18"/>
        <v>0</v>
      </c>
      <c r="Q215" t="e">
        <f t="shared" si="19"/>
        <v>#VALUE!</v>
      </c>
    </row>
    <row r="216" spans="11:17" x14ac:dyDescent="0.2">
      <c r="K216" t="e">
        <f t="shared" si="15"/>
        <v>#VALUE!</v>
      </c>
      <c r="L216" t="e">
        <f t="shared" si="16"/>
        <v>#VALUE!</v>
      </c>
      <c r="M216" t="e">
        <f>VLOOKUP(K216,'Name Bridge'!$A:$B,2,FALSE)</f>
        <v>#VALUE!</v>
      </c>
      <c r="N216" s="73" t="e">
        <f>VLOOKUP(L216,'Name Bridge'!$A:$B,2,FALSE)</f>
        <v>#VALUE!</v>
      </c>
      <c r="O216" t="str">
        <f t="shared" si="17"/>
        <v/>
      </c>
      <c r="P216">
        <f t="shared" si="18"/>
        <v>0</v>
      </c>
      <c r="Q216" t="e">
        <f t="shared" si="19"/>
        <v>#VALUE!</v>
      </c>
    </row>
    <row r="217" spans="11:17" x14ac:dyDescent="0.2">
      <c r="K217" t="e">
        <f t="shared" si="15"/>
        <v>#VALUE!</v>
      </c>
      <c r="L217" t="e">
        <f t="shared" si="16"/>
        <v>#VALUE!</v>
      </c>
      <c r="M217" t="e">
        <f>VLOOKUP(K217,'Name Bridge'!$A:$B,2,FALSE)</f>
        <v>#VALUE!</v>
      </c>
      <c r="N217" s="73" t="e">
        <f>VLOOKUP(L217,'Name Bridge'!$A:$B,2,FALSE)</f>
        <v>#VALUE!</v>
      </c>
      <c r="O217" t="str">
        <f t="shared" si="17"/>
        <v/>
      </c>
      <c r="P217">
        <f t="shared" si="18"/>
        <v>0</v>
      </c>
      <c r="Q217" t="e">
        <f t="shared" si="19"/>
        <v>#VALUE!</v>
      </c>
    </row>
    <row r="218" spans="11:17" x14ac:dyDescent="0.2">
      <c r="K218" t="e">
        <f t="shared" si="15"/>
        <v>#VALUE!</v>
      </c>
      <c r="L218" t="e">
        <f t="shared" si="16"/>
        <v>#VALUE!</v>
      </c>
      <c r="M218" t="e">
        <f>VLOOKUP(K218,'Name Bridge'!$A:$B,2,FALSE)</f>
        <v>#VALUE!</v>
      </c>
      <c r="N218" s="73" t="e">
        <f>VLOOKUP(L218,'Name Bridge'!$A:$B,2,FALSE)</f>
        <v>#VALUE!</v>
      </c>
      <c r="O218" t="str">
        <f t="shared" si="17"/>
        <v/>
      </c>
      <c r="P218">
        <f t="shared" si="18"/>
        <v>0</v>
      </c>
      <c r="Q218" t="e">
        <f t="shared" si="19"/>
        <v>#VALUE!</v>
      </c>
    </row>
    <row r="219" spans="11:17" x14ac:dyDescent="0.2">
      <c r="K219" t="e">
        <f t="shared" si="15"/>
        <v>#VALUE!</v>
      </c>
      <c r="L219" t="e">
        <f t="shared" si="16"/>
        <v>#VALUE!</v>
      </c>
      <c r="M219" t="e">
        <f>VLOOKUP(K219,'Name Bridge'!$A:$B,2,FALSE)</f>
        <v>#VALUE!</v>
      </c>
      <c r="N219" s="73" t="e">
        <f>VLOOKUP(L219,'Name Bridge'!$A:$B,2,FALSE)</f>
        <v>#VALUE!</v>
      </c>
      <c r="O219" t="str">
        <f t="shared" si="17"/>
        <v/>
      </c>
      <c r="P219">
        <f t="shared" si="18"/>
        <v>0</v>
      </c>
      <c r="Q219" t="e">
        <f t="shared" si="19"/>
        <v>#VALUE!</v>
      </c>
    </row>
    <row r="220" spans="11:17" x14ac:dyDescent="0.2">
      <c r="K220" t="e">
        <f t="shared" si="15"/>
        <v>#VALUE!</v>
      </c>
      <c r="L220" t="e">
        <f t="shared" si="16"/>
        <v>#VALUE!</v>
      </c>
      <c r="M220" t="e">
        <f>VLOOKUP(K220,'Name Bridge'!$A:$B,2,FALSE)</f>
        <v>#VALUE!</v>
      </c>
      <c r="N220" s="73" t="e">
        <f>VLOOKUP(L220,'Name Bridge'!$A:$B,2,FALSE)</f>
        <v>#VALUE!</v>
      </c>
      <c r="O220" t="str">
        <f t="shared" si="17"/>
        <v/>
      </c>
      <c r="P220">
        <f t="shared" si="18"/>
        <v>0</v>
      </c>
      <c r="Q220" t="e">
        <f t="shared" si="19"/>
        <v>#VALUE!</v>
      </c>
    </row>
    <row r="221" spans="11:17" x14ac:dyDescent="0.2">
      <c r="K221" t="e">
        <f t="shared" si="15"/>
        <v>#VALUE!</v>
      </c>
      <c r="L221" t="e">
        <f t="shared" si="16"/>
        <v>#VALUE!</v>
      </c>
      <c r="M221" t="e">
        <f>VLOOKUP(K221,'Name Bridge'!$A:$B,2,FALSE)</f>
        <v>#VALUE!</v>
      </c>
      <c r="N221" s="73" t="e">
        <f>VLOOKUP(L221,'Name Bridge'!$A:$B,2,FALSE)</f>
        <v>#VALUE!</v>
      </c>
      <c r="O221" t="str">
        <f t="shared" si="17"/>
        <v/>
      </c>
      <c r="P221">
        <f t="shared" si="18"/>
        <v>0</v>
      </c>
      <c r="Q221" t="e">
        <f t="shared" si="19"/>
        <v>#VALUE!</v>
      </c>
    </row>
    <row r="222" spans="11:17" x14ac:dyDescent="0.2">
      <c r="K222" t="e">
        <f t="shared" si="15"/>
        <v>#VALUE!</v>
      </c>
      <c r="L222" t="e">
        <f t="shared" si="16"/>
        <v>#VALUE!</v>
      </c>
      <c r="M222" t="e">
        <f>VLOOKUP(K222,'Name Bridge'!$A:$B,2,FALSE)</f>
        <v>#VALUE!</v>
      </c>
      <c r="N222" s="73" t="e">
        <f>VLOOKUP(L222,'Name Bridge'!$A:$B,2,FALSE)</f>
        <v>#VALUE!</v>
      </c>
      <c r="O222" t="str">
        <f t="shared" si="17"/>
        <v/>
      </c>
      <c r="P222">
        <f t="shared" si="18"/>
        <v>0</v>
      </c>
      <c r="Q222" t="e">
        <f t="shared" si="19"/>
        <v>#VALUE!</v>
      </c>
    </row>
    <row r="223" spans="11:17" x14ac:dyDescent="0.2">
      <c r="K223" t="e">
        <f t="shared" si="15"/>
        <v>#VALUE!</v>
      </c>
      <c r="L223" t="e">
        <f t="shared" si="16"/>
        <v>#VALUE!</v>
      </c>
      <c r="M223" t="e">
        <f>VLOOKUP(K223,'Name Bridge'!$A:$B,2,FALSE)</f>
        <v>#VALUE!</v>
      </c>
      <c r="N223" s="73" t="e">
        <f>VLOOKUP(L223,'Name Bridge'!$A:$B,2,FALSE)</f>
        <v>#VALUE!</v>
      </c>
      <c r="O223" t="str">
        <f t="shared" si="17"/>
        <v/>
      </c>
      <c r="P223">
        <f t="shared" si="18"/>
        <v>0</v>
      </c>
      <c r="Q223" t="e">
        <f t="shared" si="19"/>
        <v>#VALUE!</v>
      </c>
    </row>
    <row r="224" spans="11:17" x14ac:dyDescent="0.2">
      <c r="K224" t="e">
        <f t="shared" si="15"/>
        <v>#VALUE!</v>
      </c>
      <c r="L224" t="e">
        <f t="shared" si="16"/>
        <v>#VALUE!</v>
      </c>
      <c r="M224" t="e">
        <f>VLOOKUP(K224,'Name Bridge'!$A:$B,2,FALSE)</f>
        <v>#VALUE!</v>
      </c>
      <c r="N224" s="73" t="e">
        <f>VLOOKUP(L224,'Name Bridge'!$A:$B,2,FALSE)</f>
        <v>#VALUE!</v>
      </c>
      <c r="O224" t="str">
        <f t="shared" si="17"/>
        <v/>
      </c>
      <c r="P224">
        <f t="shared" si="18"/>
        <v>0</v>
      </c>
      <c r="Q224" t="e">
        <f t="shared" si="19"/>
        <v>#VALUE!</v>
      </c>
    </row>
    <row r="225" spans="11:17" x14ac:dyDescent="0.2">
      <c r="K225" t="e">
        <f t="shared" si="15"/>
        <v>#VALUE!</v>
      </c>
      <c r="L225" t="e">
        <f t="shared" si="16"/>
        <v>#VALUE!</v>
      </c>
      <c r="M225" t="e">
        <f>VLOOKUP(K225,'Name Bridge'!$A:$B,2,FALSE)</f>
        <v>#VALUE!</v>
      </c>
      <c r="N225" s="73" t="e">
        <f>VLOOKUP(L225,'Name Bridge'!$A:$B,2,FALSE)</f>
        <v>#VALUE!</v>
      </c>
      <c r="O225" t="str">
        <f t="shared" si="17"/>
        <v/>
      </c>
      <c r="P225">
        <f t="shared" si="18"/>
        <v>0</v>
      </c>
      <c r="Q225" t="e">
        <f t="shared" si="19"/>
        <v>#VALUE!</v>
      </c>
    </row>
    <row r="226" spans="11:17" x14ac:dyDescent="0.2">
      <c r="K226" t="e">
        <f t="shared" si="15"/>
        <v>#VALUE!</v>
      </c>
      <c r="L226" t="e">
        <f t="shared" si="16"/>
        <v>#VALUE!</v>
      </c>
      <c r="M226" t="e">
        <f>VLOOKUP(K226,'Name Bridge'!$A:$B,2,FALSE)</f>
        <v>#VALUE!</v>
      </c>
      <c r="N226" s="73" t="e">
        <f>VLOOKUP(L226,'Name Bridge'!$A:$B,2,FALSE)</f>
        <v>#VALUE!</v>
      </c>
      <c r="O226" t="str">
        <f t="shared" si="17"/>
        <v/>
      </c>
      <c r="P226">
        <f t="shared" si="18"/>
        <v>0</v>
      </c>
      <c r="Q226" t="e">
        <f t="shared" si="19"/>
        <v>#VALUE!</v>
      </c>
    </row>
    <row r="227" spans="11:17" x14ac:dyDescent="0.2">
      <c r="K227" t="e">
        <f t="shared" si="15"/>
        <v>#VALUE!</v>
      </c>
      <c r="L227" t="e">
        <f t="shared" si="16"/>
        <v>#VALUE!</v>
      </c>
      <c r="M227" t="e">
        <f>VLOOKUP(K227,'Name Bridge'!$A:$B,2,FALSE)</f>
        <v>#VALUE!</v>
      </c>
      <c r="N227" s="73" t="e">
        <f>VLOOKUP(L227,'Name Bridge'!$A:$B,2,FALSE)</f>
        <v>#VALUE!</v>
      </c>
      <c r="O227" t="str">
        <f t="shared" si="17"/>
        <v/>
      </c>
      <c r="P227">
        <f t="shared" si="18"/>
        <v>0</v>
      </c>
      <c r="Q227" t="e">
        <f t="shared" si="19"/>
        <v>#VALUE!</v>
      </c>
    </row>
    <row r="228" spans="11:17" x14ac:dyDescent="0.2">
      <c r="K228" t="e">
        <f t="shared" si="15"/>
        <v>#VALUE!</v>
      </c>
      <c r="L228" t="e">
        <f t="shared" si="16"/>
        <v>#VALUE!</v>
      </c>
      <c r="M228" t="e">
        <f>VLOOKUP(K228,'Name Bridge'!$A:$B,2,FALSE)</f>
        <v>#VALUE!</v>
      </c>
      <c r="N228" s="73" t="e">
        <f>VLOOKUP(L228,'Name Bridge'!$A:$B,2,FALSE)</f>
        <v>#VALUE!</v>
      </c>
      <c r="O228" t="str">
        <f t="shared" si="17"/>
        <v/>
      </c>
      <c r="P228">
        <f t="shared" si="18"/>
        <v>0</v>
      </c>
      <c r="Q228" t="e">
        <f t="shared" si="19"/>
        <v>#VALUE!</v>
      </c>
    </row>
    <row r="229" spans="11:17" x14ac:dyDescent="0.2">
      <c r="K229" t="e">
        <f t="shared" si="15"/>
        <v>#VALUE!</v>
      </c>
      <c r="L229" t="e">
        <f t="shared" si="16"/>
        <v>#VALUE!</v>
      </c>
      <c r="M229" t="e">
        <f>VLOOKUP(K229,'Name Bridge'!$A:$B,2,FALSE)</f>
        <v>#VALUE!</v>
      </c>
      <c r="N229" s="73" t="e">
        <f>VLOOKUP(L229,'Name Bridge'!$A:$B,2,FALSE)</f>
        <v>#VALUE!</v>
      </c>
      <c r="O229" t="str">
        <f t="shared" si="17"/>
        <v/>
      </c>
      <c r="P229">
        <f t="shared" si="18"/>
        <v>0</v>
      </c>
      <c r="Q229" t="e">
        <f t="shared" si="19"/>
        <v>#VALUE!</v>
      </c>
    </row>
    <row r="230" spans="11:17" x14ac:dyDescent="0.2">
      <c r="K230" t="e">
        <f t="shared" si="15"/>
        <v>#VALUE!</v>
      </c>
      <c r="L230" t="e">
        <f t="shared" si="16"/>
        <v>#VALUE!</v>
      </c>
      <c r="M230" t="e">
        <f>VLOOKUP(K230,'Name Bridge'!$A:$B,2,FALSE)</f>
        <v>#VALUE!</v>
      </c>
      <c r="N230" s="73" t="e">
        <f>VLOOKUP(L230,'Name Bridge'!$A:$B,2,FALSE)</f>
        <v>#VALUE!</v>
      </c>
      <c r="O230" t="str">
        <f t="shared" si="17"/>
        <v/>
      </c>
      <c r="P230">
        <f t="shared" si="18"/>
        <v>0</v>
      </c>
      <c r="Q230" t="e">
        <f t="shared" si="19"/>
        <v>#VALUE!</v>
      </c>
    </row>
    <row r="231" spans="11:17" x14ac:dyDescent="0.2">
      <c r="K231" t="e">
        <f t="shared" si="15"/>
        <v>#VALUE!</v>
      </c>
      <c r="L231" t="e">
        <f t="shared" si="16"/>
        <v>#VALUE!</v>
      </c>
      <c r="M231" t="e">
        <f>VLOOKUP(K231,'Name Bridge'!$A:$B,2,FALSE)</f>
        <v>#VALUE!</v>
      </c>
      <c r="N231" s="73" t="e">
        <f>VLOOKUP(L231,'Name Bridge'!$A:$B,2,FALSE)</f>
        <v>#VALUE!</v>
      </c>
      <c r="O231" t="str">
        <f t="shared" si="17"/>
        <v/>
      </c>
      <c r="P231">
        <f t="shared" si="18"/>
        <v>0</v>
      </c>
      <c r="Q231" t="e">
        <f t="shared" si="19"/>
        <v>#VALUE!</v>
      </c>
    </row>
    <row r="232" spans="11:17" x14ac:dyDescent="0.2">
      <c r="K232" t="e">
        <f t="shared" si="15"/>
        <v>#VALUE!</v>
      </c>
      <c r="L232" t="e">
        <f t="shared" si="16"/>
        <v>#VALUE!</v>
      </c>
      <c r="M232" t="e">
        <f>VLOOKUP(K232,'Name Bridge'!$A:$B,2,FALSE)</f>
        <v>#VALUE!</v>
      </c>
      <c r="N232" s="73" t="e">
        <f>VLOOKUP(L232,'Name Bridge'!$A:$B,2,FALSE)</f>
        <v>#VALUE!</v>
      </c>
      <c r="O232" t="str">
        <f t="shared" si="17"/>
        <v/>
      </c>
      <c r="P232">
        <f t="shared" si="18"/>
        <v>0</v>
      </c>
      <c r="Q232" t="e">
        <f t="shared" si="19"/>
        <v>#VALUE!</v>
      </c>
    </row>
    <row r="233" spans="11:17" x14ac:dyDescent="0.2">
      <c r="K233" t="e">
        <f t="shared" si="15"/>
        <v>#VALUE!</v>
      </c>
      <c r="L233" t="e">
        <f t="shared" si="16"/>
        <v>#VALUE!</v>
      </c>
      <c r="M233" t="e">
        <f>VLOOKUP(K233,'Name Bridge'!$A:$B,2,FALSE)</f>
        <v>#VALUE!</v>
      </c>
      <c r="N233" s="73" t="e">
        <f>VLOOKUP(L233,'Name Bridge'!$A:$B,2,FALSE)</f>
        <v>#VALUE!</v>
      </c>
      <c r="O233" t="str">
        <f t="shared" si="17"/>
        <v/>
      </c>
      <c r="P233">
        <f t="shared" si="18"/>
        <v>0</v>
      </c>
      <c r="Q233" t="e">
        <f t="shared" si="19"/>
        <v>#VALUE!</v>
      </c>
    </row>
    <row r="234" spans="11:17" x14ac:dyDescent="0.2">
      <c r="K234" t="e">
        <f t="shared" si="15"/>
        <v>#VALUE!</v>
      </c>
      <c r="L234" t="e">
        <f t="shared" si="16"/>
        <v>#VALUE!</v>
      </c>
      <c r="M234" t="e">
        <f>VLOOKUP(K234,'Name Bridge'!$A:$B,2,FALSE)</f>
        <v>#VALUE!</v>
      </c>
      <c r="N234" s="73" t="e">
        <f>VLOOKUP(L234,'Name Bridge'!$A:$B,2,FALSE)</f>
        <v>#VALUE!</v>
      </c>
      <c r="O234" t="str">
        <f t="shared" si="17"/>
        <v/>
      </c>
      <c r="P234">
        <f t="shared" si="18"/>
        <v>0</v>
      </c>
      <c r="Q234" t="e">
        <f t="shared" si="19"/>
        <v>#VALUE!</v>
      </c>
    </row>
    <row r="235" spans="11:17" x14ac:dyDescent="0.2">
      <c r="K235" t="e">
        <f t="shared" si="15"/>
        <v>#VALUE!</v>
      </c>
      <c r="L235" t="e">
        <f t="shared" si="16"/>
        <v>#VALUE!</v>
      </c>
      <c r="M235" t="e">
        <f>VLOOKUP(K235,'Name Bridge'!$A:$B,2,FALSE)</f>
        <v>#VALUE!</v>
      </c>
      <c r="N235" s="73" t="e">
        <f>VLOOKUP(L235,'Name Bridge'!$A:$B,2,FALSE)</f>
        <v>#VALUE!</v>
      </c>
      <c r="O235" t="str">
        <f t="shared" si="17"/>
        <v/>
      </c>
      <c r="P235">
        <f t="shared" si="18"/>
        <v>0</v>
      </c>
      <c r="Q235" t="e">
        <f t="shared" si="19"/>
        <v>#VALUE!</v>
      </c>
    </row>
    <row r="236" spans="11:17" x14ac:dyDescent="0.2">
      <c r="K236" t="e">
        <f t="shared" si="15"/>
        <v>#VALUE!</v>
      </c>
      <c r="L236" t="e">
        <f t="shared" si="16"/>
        <v>#VALUE!</v>
      </c>
      <c r="M236" t="e">
        <f>VLOOKUP(K236,'Name Bridge'!$A:$B,2,FALSE)</f>
        <v>#VALUE!</v>
      </c>
      <c r="N236" s="73" t="e">
        <f>VLOOKUP(L236,'Name Bridge'!$A:$B,2,FALSE)</f>
        <v>#VALUE!</v>
      </c>
      <c r="O236" t="str">
        <f t="shared" si="17"/>
        <v/>
      </c>
      <c r="P236">
        <f t="shared" si="18"/>
        <v>0</v>
      </c>
      <c r="Q236" t="e">
        <f t="shared" si="19"/>
        <v>#VALUE!</v>
      </c>
    </row>
    <row r="237" spans="11:17" x14ac:dyDescent="0.2">
      <c r="K237" t="e">
        <f t="shared" si="15"/>
        <v>#VALUE!</v>
      </c>
      <c r="L237" t="e">
        <f t="shared" si="16"/>
        <v>#VALUE!</v>
      </c>
      <c r="M237" t="e">
        <f>VLOOKUP(K237,'Name Bridge'!$A:$B,2,FALSE)</f>
        <v>#VALUE!</v>
      </c>
      <c r="N237" s="73" t="e">
        <f>VLOOKUP(L237,'Name Bridge'!$A:$B,2,FALSE)</f>
        <v>#VALUE!</v>
      </c>
      <c r="O237" t="str">
        <f t="shared" si="17"/>
        <v/>
      </c>
      <c r="P237">
        <f t="shared" si="18"/>
        <v>0</v>
      </c>
      <c r="Q237" t="e">
        <f t="shared" si="19"/>
        <v>#VALUE!</v>
      </c>
    </row>
    <row r="238" spans="11:17" x14ac:dyDescent="0.2">
      <c r="K238" t="e">
        <f t="shared" si="15"/>
        <v>#VALUE!</v>
      </c>
      <c r="L238" t="e">
        <f t="shared" si="16"/>
        <v>#VALUE!</v>
      </c>
      <c r="M238" t="e">
        <f>VLOOKUP(K238,'Name Bridge'!$A:$B,2,FALSE)</f>
        <v>#VALUE!</v>
      </c>
      <c r="N238" s="73" t="e">
        <f>VLOOKUP(L238,'Name Bridge'!$A:$B,2,FALSE)</f>
        <v>#VALUE!</v>
      </c>
      <c r="O238" t="str">
        <f t="shared" si="17"/>
        <v/>
      </c>
      <c r="P238">
        <f t="shared" si="18"/>
        <v>0</v>
      </c>
      <c r="Q238" t="e">
        <f t="shared" si="19"/>
        <v>#VALUE!</v>
      </c>
    </row>
    <row r="239" spans="11:17" x14ac:dyDescent="0.2">
      <c r="K239" t="e">
        <f t="shared" si="15"/>
        <v>#VALUE!</v>
      </c>
      <c r="L239" t="e">
        <f t="shared" si="16"/>
        <v>#VALUE!</v>
      </c>
      <c r="M239" t="e">
        <f>VLOOKUP(K239,'Name Bridge'!$A:$B,2,FALSE)</f>
        <v>#VALUE!</v>
      </c>
      <c r="N239" s="73" t="e">
        <f>VLOOKUP(L239,'Name Bridge'!$A:$B,2,FALSE)</f>
        <v>#VALUE!</v>
      </c>
      <c r="O239" t="str">
        <f t="shared" si="17"/>
        <v/>
      </c>
      <c r="P239">
        <f t="shared" si="18"/>
        <v>0</v>
      </c>
      <c r="Q239" t="e">
        <f t="shared" si="19"/>
        <v>#VALUE!</v>
      </c>
    </row>
    <row r="240" spans="11:17" x14ac:dyDescent="0.2">
      <c r="K240" t="e">
        <f t="shared" si="15"/>
        <v>#VALUE!</v>
      </c>
      <c r="L240" t="e">
        <f t="shared" si="16"/>
        <v>#VALUE!</v>
      </c>
      <c r="M240" t="e">
        <f>VLOOKUP(K240,'Name Bridge'!$A:$B,2,FALSE)</f>
        <v>#VALUE!</v>
      </c>
      <c r="N240" s="73" t="e">
        <f>VLOOKUP(L240,'Name Bridge'!$A:$B,2,FALSE)</f>
        <v>#VALUE!</v>
      </c>
      <c r="O240" t="str">
        <f t="shared" si="17"/>
        <v/>
      </c>
      <c r="P240">
        <f t="shared" si="18"/>
        <v>0</v>
      </c>
      <c r="Q240" t="e">
        <f t="shared" si="19"/>
        <v>#VALUE!</v>
      </c>
    </row>
    <row r="241" spans="11:17" x14ac:dyDescent="0.2">
      <c r="K241" t="e">
        <f t="shared" si="15"/>
        <v>#VALUE!</v>
      </c>
      <c r="L241" t="e">
        <f t="shared" si="16"/>
        <v>#VALUE!</v>
      </c>
      <c r="M241" t="e">
        <f>VLOOKUP(K241,'Name Bridge'!$A:$B,2,FALSE)</f>
        <v>#VALUE!</v>
      </c>
      <c r="N241" s="73" t="e">
        <f>VLOOKUP(L241,'Name Bridge'!$A:$B,2,FALSE)</f>
        <v>#VALUE!</v>
      </c>
      <c r="O241" t="str">
        <f t="shared" si="17"/>
        <v/>
      </c>
      <c r="P241">
        <f t="shared" si="18"/>
        <v>0</v>
      </c>
      <c r="Q241" t="e">
        <f t="shared" si="19"/>
        <v>#VALUE!</v>
      </c>
    </row>
    <row r="242" spans="11:17" x14ac:dyDescent="0.2">
      <c r="K242" t="e">
        <f t="shared" si="15"/>
        <v>#VALUE!</v>
      </c>
      <c r="L242" t="e">
        <f t="shared" si="16"/>
        <v>#VALUE!</v>
      </c>
      <c r="M242" t="e">
        <f>VLOOKUP(K242,'Name Bridge'!$A:$B,2,FALSE)</f>
        <v>#VALUE!</v>
      </c>
      <c r="N242" s="73" t="e">
        <f>VLOOKUP(L242,'Name Bridge'!$A:$B,2,FALSE)</f>
        <v>#VALUE!</v>
      </c>
      <c r="O242" t="str">
        <f t="shared" si="17"/>
        <v/>
      </c>
      <c r="P242">
        <f t="shared" si="18"/>
        <v>0</v>
      </c>
      <c r="Q242" t="e">
        <f t="shared" si="19"/>
        <v>#VALUE!</v>
      </c>
    </row>
    <row r="243" spans="11:17" x14ac:dyDescent="0.2">
      <c r="K243" t="e">
        <f t="shared" si="15"/>
        <v>#VALUE!</v>
      </c>
      <c r="L243" t="e">
        <f t="shared" si="16"/>
        <v>#VALUE!</v>
      </c>
      <c r="M243" t="e">
        <f>VLOOKUP(K243,'Name Bridge'!$A:$B,2,FALSE)</f>
        <v>#VALUE!</v>
      </c>
      <c r="N243" s="73" t="e">
        <f>VLOOKUP(L243,'Name Bridge'!$A:$B,2,FALSE)</f>
        <v>#VALUE!</v>
      </c>
      <c r="O243" t="str">
        <f t="shared" si="17"/>
        <v/>
      </c>
      <c r="P243">
        <f t="shared" si="18"/>
        <v>0</v>
      </c>
      <c r="Q243" t="e">
        <f t="shared" si="19"/>
        <v>#VALUE!</v>
      </c>
    </row>
    <row r="244" spans="11:17" x14ac:dyDescent="0.2">
      <c r="K244" t="e">
        <f t="shared" si="15"/>
        <v>#VALUE!</v>
      </c>
      <c r="L244" t="e">
        <f t="shared" si="16"/>
        <v>#VALUE!</v>
      </c>
      <c r="M244" t="e">
        <f>VLOOKUP(K244,'Name Bridge'!$A:$B,2,FALSE)</f>
        <v>#VALUE!</v>
      </c>
      <c r="N244" s="73" t="e">
        <f>VLOOKUP(L244,'Name Bridge'!$A:$B,2,FALSE)</f>
        <v>#VALUE!</v>
      </c>
      <c r="O244" t="str">
        <f t="shared" si="17"/>
        <v/>
      </c>
      <c r="P244">
        <f t="shared" si="18"/>
        <v>0</v>
      </c>
      <c r="Q244" t="e">
        <f t="shared" si="19"/>
        <v>#VALUE!</v>
      </c>
    </row>
    <row r="245" spans="11:17" x14ac:dyDescent="0.2">
      <c r="K245" t="e">
        <f t="shared" si="15"/>
        <v>#VALUE!</v>
      </c>
      <c r="L245" t="e">
        <f t="shared" si="16"/>
        <v>#VALUE!</v>
      </c>
      <c r="M245" t="e">
        <f>VLOOKUP(K245,'Name Bridge'!$A:$B,2,FALSE)</f>
        <v>#VALUE!</v>
      </c>
      <c r="N245" s="73" t="e">
        <f>VLOOKUP(L245,'Name Bridge'!$A:$B,2,FALSE)</f>
        <v>#VALUE!</v>
      </c>
      <c r="O245" t="str">
        <f t="shared" si="17"/>
        <v/>
      </c>
      <c r="P245">
        <f t="shared" si="18"/>
        <v>0</v>
      </c>
      <c r="Q245" t="e">
        <f t="shared" si="19"/>
        <v>#VALUE!</v>
      </c>
    </row>
    <row r="246" spans="11:17" x14ac:dyDescent="0.2">
      <c r="K246" t="e">
        <f t="shared" si="15"/>
        <v>#VALUE!</v>
      </c>
      <c r="L246" t="e">
        <f t="shared" si="16"/>
        <v>#VALUE!</v>
      </c>
      <c r="M246" t="e">
        <f>VLOOKUP(K246,'Name Bridge'!$A:$B,2,FALSE)</f>
        <v>#VALUE!</v>
      </c>
      <c r="N246" s="73" t="e">
        <f>VLOOKUP(L246,'Name Bridge'!$A:$B,2,FALSE)</f>
        <v>#VALUE!</v>
      </c>
      <c r="O246" t="str">
        <f t="shared" si="17"/>
        <v/>
      </c>
      <c r="P246">
        <f t="shared" si="18"/>
        <v>0</v>
      </c>
      <c r="Q246" t="e">
        <f t="shared" si="19"/>
        <v>#VALUE!</v>
      </c>
    </row>
    <row r="247" spans="11:17" x14ac:dyDescent="0.2">
      <c r="K247" t="e">
        <f t="shared" si="15"/>
        <v>#VALUE!</v>
      </c>
      <c r="L247" t="e">
        <f t="shared" si="16"/>
        <v>#VALUE!</v>
      </c>
      <c r="M247" t="e">
        <f>VLOOKUP(K247,'Name Bridge'!$A:$B,2,FALSE)</f>
        <v>#VALUE!</v>
      </c>
      <c r="N247" s="73" t="e">
        <f>VLOOKUP(L247,'Name Bridge'!$A:$B,2,FALSE)</f>
        <v>#VALUE!</v>
      </c>
      <c r="O247" t="str">
        <f t="shared" si="17"/>
        <v/>
      </c>
      <c r="P247">
        <f t="shared" si="18"/>
        <v>0</v>
      </c>
      <c r="Q247" t="e">
        <f t="shared" si="19"/>
        <v>#VALUE!</v>
      </c>
    </row>
    <row r="248" spans="11:17" x14ac:dyDescent="0.2">
      <c r="K248" t="e">
        <f t="shared" si="15"/>
        <v>#VALUE!</v>
      </c>
      <c r="L248" t="e">
        <f t="shared" si="16"/>
        <v>#VALUE!</v>
      </c>
      <c r="M248" t="e">
        <f>VLOOKUP(K248,'Name Bridge'!$A:$B,2,FALSE)</f>
        <v>#VALUE!</v>
      </c>
      <c r="N248" s="73" t="e">
        <f>VLOOKUP(L248,'Name Bridge'!$A:$B,2,FALSE)</f>
        <v>#VALUE!</v>
      </c>
      <c r="O248" t="str">
        <f t="shared" si="17"/>
        <v/>
      </c>
      <c r="P248">
        <f t="shared" si="18"/>
        <v>0</v>
      </c>
      <c r="Q248" t="e">
        <f t="shared" si="19"/>
        <v>#VALUE!</v>
      </c>
    </row>
    <row r="249" spans="11:17" x14ac:dyDescent="0.2">
      <c r="K249" t="e">
        <f t="shared" si="15"/>
        <v>#VALUE!</v>
      </c>
      <c r="L249" t="e">
        <f t="shared" si="16"/>
        <v>#VALUE!</v>
      </c>
      <c r="M249" t="e">
        <f>VLOOKUP(K249,'Name Bridge'!$A:$B,2,FALSE)</f>
        <v>#VALUE!</v>
      </c>
      <c r="N249" s="73" t="e">
        <f>VLOOKUP(L249,'Name Bridge'!$A:$B,2,FALSE)</f>
        <v>#VALUE!</v>
      </c>
      <c r="O249" t="str">
        <f t="shared" si="17"/>
        <v/>
      </c>
      <c r="P249">
        <f t="shared" si="18"/>
        <v>0</v>
      </c>
      <c r="Q249" t="e">
        <f t="shared" si="19"/>
        <v>#VALUE!</v>
      </c>
    </row>
    <row r="250" spans="11:17" x14ac:dyDescent="0.2">
      <c r="K250" t="e">
        <f t="shared" si="15"/>
        <v>#VALUE!</v>
      </c>
      <c r="L250" t="e">
        <f t="shared" si="16"/>
        <v>#VALUE!</v>
      </c>
      <c r="M250" t="e">
        <f>VLOOKUP(K250,'Name Bridge'!$A:$B,2,FALSE)</f>
        <v>#VALUE!</v>
      </c>
      <c r="N250" s="73" t="e">
        <f>VLOOKUP(L250,'Name Bridge'!$A:$B,2,FALSE)</f>
        <v>#VALUE!</v>
      </c>
      <c r="O250" t="str">
        <f t="shared" si="17"/>
        <v/>
      </c>
      <c r="P250">
        <f t="shared" si="18"/>
        <v>0</v>
      </c>
      <c r="Q250" t="e">
        <f t="shared" si="19"/>
        <v>#VALUE!</v>
      </c>
    </row>
    <row r="251" spans="11:17" x14ac:dyDescent="0.2">
      <c r="K251" t="e">
        <f t="shared" si="15"/>
        <v>#VALUE!</v>
      </c>
      <c r="L251" t="e">
        <f t="shared" si="16"/>
        <v>#VALUE!</v>
      </c>
      <c r="M251" t="e">
        <f>VLOOKUP(K251,'Name Bridge'!$A:$B,2,FALSE)</f>
        <v>#VALUE!</v>
      </c>
      <c r="N251" s="73" t="e">
        <f>VLOOKUP(L251,'Name Bridge'!$A:$B,2,FALSE)</f>
        <v>#VALUE!</v>
      </c>
      <c r="O251" t="str">
        <f t="shared" si="17"/>
        <v/>
      </c>
      <c r="P251">
        <f t="shared" si="18"/>
        <v>0</v>
      </c>
      <c r="Q251" t="e">
        <f t="shared" si="19"/>
        <v>#VALUE!</v>
      </c>
    </row>
    <row r="252" spans="11:17" x14ac:dyDescent="0.2">
      <c r="K252" t="e">
        <f t="shared" si="15"/>
        <v>#VALUE!</v>
      </c>
      <c r="L252" t="e">
        <f t="shared" si="16"/>
        <v>#VALUE!</v>
      </c>
      <c r="M252" t="e">
        <f>VLOOKUP(K252,'Name Bridge'!$A:$B,2,FALSE)</f>
        <v>#VALUE!</v>
      </c>
      <c r="N252" s="73" t="e">
        <f>VLOOKUP(L252,'Name Bridge'!$A:$B,2,FALSE)</f>
        <v>#VALUE!</v>
      </c>
      <c r="O252" t="str">
        <f t="shared" si="17"/>
        <v/>
      </c>
      <c r="P252">
        <f t="shared" si="18"/>
        <v>0</v>
      </c>
      <c r="Q252" t="e">
        <f t="shared" si="19"/>
        <v>#VALUE!</v>
      </c>
    </row>
    <row r="253" spans="11:17" x14ac:dyDescent="0.2">
      <c r="K253" t="e">
        <f t="shared" si="15"/>
        <v>#VALUE!</v>
      </c>
      <c r="L253" t="e">
        <f t="shared" si="16"/>
        <v>#VALUE!</v>
      </c>
      <c r="M253" t="e">
        <f>VLOOKUP(K253,'Name Bridge'!$A:$B,2,FALSE)</f>
        <v>#VALUE!</v>
      </c>
      <c r="N253" s="73" t="e">
        <f>VLOOKUP(L253,'Name Bridge'!$A:$B,2,FALSE)</f>
        <v>#VALUE!</v>
      </c>
      <c r="O253" t="str">
        <f t="shared" si="17"/>
        <v/>
      </c>
      <c r="P253">
        <f t="shared" si="18"/>
        <v>0</v>
      </c>
      <c r="Q253" t="e">
        <f t="shared" si="19"/>
        <v>#VALUE!</v>
      </c>
    </row>
    <row r="254" spans="11:17" x14ac:dyDescent="0.2">
      <c r="K254" t="e">
        <f t="shared" si="15"/>
        <v>#VALUE!</v>
      </c>
      <c r="L254" t="e">
        <f t="shared" si="16"/>
        <v>#VALUE!</v>
      </c>
      <c r="M254" t="e">
        <f>VLOOKUP(K254,'Name Bridge'!$A:$B,2,FALSE)</f>
        <v>#VALUE!</v>
      </c>
      <c r="N254" s="73" t="e">
        <f>VLOOKUP(L254,'Name Bridge'!$A:$B,2,FALSE)</f>
        <v>#VALUE!</v>
      </c>
      <c r="O254" t="str">
        <f t="shared" si="17"/>
        <v/>
      </c>
      <c r="P254">
        <f t="shared" si="18"/>
        <v>0</v>
      </c>
      <c r="Q254" t="e">
        <f t="shared" si="19"/>
        <v>#VALUE!</v>
      </c>
    </row>
    <row r="255" spans="11:17" x14ac:dyDescent="0.2">
      <c r="K255" t="e">
        <f t="shared" si="15"/>
        <v>#VALUE!</v>
      </c>
      <c r="L255" t="e">
        <f t="shared" si="16"/>
        <v>#VALUE!</v>
      </c>
      <c r="M255" t="e">
        <f>VLOOKUP(K255,'Name Bridge'!$A:$B,2,FALSE)</f>
        <v>#VALUE!</v>
      </c>
      <c r="N255" s="73" t="e">
        <f>VLOOKUP(L255,'Name Bridge'!$A:$B,2,FALSE)</f>
        <v>#VALUE!</v>
      </c>
      <c r="O255" t="str">
        <f t="shared" si="17"/>
        <v/>
      </c>
      <c r="P255">
        <f t="shared" si="18"/>
        <v>0</v>
      </c>
      <c r="Q255" t="e">
        <f t="shared" si="19"/>
        <v>#VALUE!</v>
      </c>
    </row>
    <row r="256" spans="11:17" x14ac:dyDescent="0.2">
      <c r="N256" s="73"/>
    </row>
    <row r="257" spans="14:14" x14ac:dyDescent="0.2">
      <c r="N257" s="73"/>
    </row>
    <row r="258" spans="14:14" x14ac:dyDescent="0.2">
      <c r="N258" s="73"/>
    </row>
    <row r="259" spans="14:14" x14ac:dyDescent="0.2">
      <c r="N259" s="73"/>
    </row>
    <row r="260" spans="14:14" x14ac:dyDescent="0.2">
      <c r="N260" s="73"/>
    </row>
    <row r="261" spans="14:14" x14ac:dyDescent="0.2">
      <c r="N261" s="73"/>
    </row>
    <row r="262" spans="14:14" x14ac:dyDescent="0.2">
      <c r="N262" s="73"/>
    </row>
    <row r="263" spans="14:14" x14ac:dyDescent="0.2">
      <c r="N263" s="73"/>
    </row>
    <row r="264" spans="14:14" x14ac:dyDescent="0.2">
      <c r="N264" s="73"/>
    </row>
    <row r="265" spans="14:14" x14ac:dyDescent="0.2">
      <c r="N265" s="73"/>
    </row>
    <row r="266" spans="14:14" x14ac:dyDescent="0.2">
      <c r="N266" s="73"/>
    </row>
    <row r="267" spans="14:14" x14ac:dyDescent="0.2">
      <c r="N267" s="73"/>
    </row>
    <row r="268" spans="14:14" x14ac:dyDescent="0.2">
      <c r="N268" s="73"/>
    </row>
    <row r="269" spans="14:14" x14ac:dyDescent="0.2">
      <c r="N269" s="73"/>
    </row>
    <row r="270" spans="14:14" x14ac:dyDescent="0.2">
      <c r="N270" s="73"/>
    </row>
    <row r="271" spans="14:14" x14ac:dyDescent="0.2">
      <c r="N271" s="73"/>
    </row>
    <row r="272" spans="14:14" x14ac:dyDescent="0.2">
      <c r="N272" s="73"/>
    </row>
    <row r="273" spans="14:14" x14ac:dyDescent="0.2">
      <c r="N273" s="73"/>
    </row>
    <row r="274" spans="14:14" x14ac:dyDescent="0.2">
      <c r="N274" s="73"/>
    </row>
    <row r="275" spans="14:14" x14ac:dyDescent="0.2">
      <c r="N275" s="73"/>
    </row>
    <row r="276" spans="14:14" x14ac:dyDescent="0.2">
      <c r="N276" s="73"/>
    </row>
    <row r="277" spans="14:14" x14ac:dyDescent="0.2">
      <c r="N277" s="73"/>
    </row>
    <row r="278" spans="14:14" x14ac:dyDescent="0.2">
      <c r="N278" s="73"/>
    </row>
    <row r="279" spans="14:14" x14ac:dyDescent="0.2">
      <c r="N279" s="73"/>
    </row>
    <row r="280" spans="14:14" x14ac:dyDescent="0.2">
      <c r="N280" s="73"/>
    </row>
    <row r="281" spans="14:14" x14ac:dyDescent="0.2">
      <c r="N281" s="73"/>
    </row>
    <row r="282" spans="14:14" x14ac:dyDescent="0.2">
      <c r="N282" s="73"/>
    </row>
    <row r="283" spans="14:14" x14ac:dyDescent="0.2">
      <c r="N283" s="73"/>
    </row>
    <row r="284" spans="14:14" x14ac:dyDescent="0.2">
      <c r="N284" s="73"/>
    </row>
    <row r="285" spans="14:14" x14ac:dyDescent="0.2">
      <c r="N285" s="73"/>
    </row>
    <row r="286" spans="14:14" x14ac:dyDescent="0.2">
      <c r="N286" s="73"/>
    </row>
    <row r="287" spans="14:14" x14ac:dyDescent="0.2">
      <c r="N287" s="73"/>
    </row>
    <row r="288" spans="14:14" x14ac:dyDescent="0.2">
      <c r="N288" s="73"/>
    </row>
    <row r="289" spans="14:14" x14ac:dyDescent="0.2">
      <c r="N289" s="73"/>
    </row>
    <row r="290" spans="14:14" x14ac:dyDescent="0.2">
      <c r="N290" s="73"/>
    </row>
    <row r="291" spans="14:14" x14ac:dyDescent="0.2">
      <c r="N291" s="73"/>
    </row>
    <row r="292" spans="14:14" x14ac:dyDescent="0.2">
      <c r="N292" s="73"/>
    </row>
    <row r="293" spans="14:14" x14ac:dyDescent="0.2">
      <c r="N293" s="73"/>
    </row>
    <row r="294" spans="14:14" x14ac:dyDescent="0.2">
      <c r="N294" s="73"/>
    </row>
    <row r="295" spans="14:14" x14ac:dyDescent="0.2">
      <c r="N295" s="73"/>
    </row>
    <row r="296" spans="14:14" x14ac:dyDescent="0.2">
      <c r="N296" s="73"/>
    </row>
    <row r="297" spans="14:14" x14ac:dyDescent="0.2">
      <c r="N297" s="73"/>
    </row>
    <row r="298" spans="14:14" x14ac:dyDescent="0.2">
      <c r="N298" s="73"/>
    </row>
    <row r="299" spans="14:14" x14ac:dyDescent="0.2">
      <c r="N299" s="73"/>
    </row>
    <row r="300" spans="14:14" x14ac:dyDescent="0.2">
      <c r="N300" s="73"/>
    </row>
    <row r="301" spans="14:14" x14ac:dyDescent="0.2">
      <c r="N301" s="73"/>
    </row>
    <row r="302" spans="14:14" x14ac:dyDescent="0.2">
      <c r="N302" s="73"/>
    </row>
    <row r="303" spans="14:14" x14ac:dyDescent="0.2">
      <c r="N303" s="73"/>
    </row>
    <row r="304" spans="14:14" x14ac:dyDescent="0.2">
      <c r="N304" s="73"/>
    </row>
    <row r="305" spans="14:14" x14ac:dyDescent="0.2">
      <c r="N305" s="73"/>
    </row>
    <row r="306" spans="14:14" x14ac:dyDescent="0.2">
      <c r="N306" s="73"/>
    </row>
    <row r="307" spans="14:14" x14ac:dyDescent="0.2">
      <c r="N307" s="73"/>
    </row>
    <row r="308" spans="14:14" x14ac:dyDescent="0.2">
      <c r="N308" s="73"/>
    </row>
    <row r="309" spans="14:14" x14ac:dyDescent="0.2">
      <c r="N309" s="73"/>
    </row>
    <row r="310" spans="14:14" x14ac:dyDescent="0.2">
      <c r="N310" s="73"/>
    </row>
    <row r="311" spans="14:14" x14ac:dyDescent="0.2">
      <c r="N311" s="73"/>
    </row>
    <row r="312" spans="14:14" x14ac:dyDescent="0.2">
      <c r="N312" s="73"/>
    </row>
    <row r="313" spans="14:14" x14ac:dyDescent="0.2">
      <c r="N313" s="73"/>
    </row>
    <row r="314" spans="14:14" x14ac:dyDescent="0.2">
      <c r="N314" s="73"/>
    </row>
    <row r="315" spans="14:14" x14ac:dyDescent="0.2">
      <c r="N315" s="73"/>
    </row>
    <row r="316" spans="14:14" x14ac:dyDescent="0.2">
      <c r="N316" s="73"/>
    </row>
    <row r="317" spans="14:14" x14ac:dyDescent="0.2">
      <c r="N317" s="73"/>
    </row>
    <row r="318" spans="14:14" x14ac:dyDescent="0.2">
      <c r="N318" s="73"/>
    </row>
    <row r="319" spans="14:14" x14ac:dyDescent="0.2">
      <c r="N319" s="73"/>
    </row>
    <row r="320" spans="14:14" x14ac:dyDescent="0.2">
      <c r="N320" s="73"/>
    </row>
    <row r="321" spans="14:14" x14ac:dyDescent="0.2">
      <c r="N321" s="73"/>
    </row>
    <row r="322" spans="14:14" x14ac:dyDescent="0.2">
      <c r="N322" s="73"/>
    </row>
    <row r="323" spans="14:14" x14ac:dyDescent="0.2">
      <c r="N323" s="73"/>
    </row>
    <row r="324" spans="14:14" x14ac:dyDescent="0.2">
      <c r="N324" s="73"/>
    </row>
    <row r="325" spans="14:14" x14ac:dyDescent="0.2">
      <c r="N325" s="73"/>
    </row>
    <row r="326" spans="14:14" x14ac:dyDescent="0.2">
      <c r="N326" s="73"/>
    </row>
    <row r="327" spans="14:14" x14ac:dyDescent="0.2">
      <c r="N327" s="73"/>
    </row>
    <row r="328" spans="14:14" x14ac:dyDescent="0.2">
      <c r="N328" s="73"/>
    </row>
    <row r="329" spans="14:14" x14ac:dyDescent="0.2">
      <c r="N329" s="73"/>
    </row>
    <row r="330" spans="14:14" x14ac:dyDescent="0.2">
      <c r="N330" s="73"/>
    </row>
    <row r="331" spans="14:14" x14ac:dyDescent="0.2">
      <c r="N331" s="73"/>
    </row>
    <row r="332" spans="14:14" x14ac:dyDescent="0.2">
      <c r="N332" s="73"/>
    </row>
    <row r="333" spans="14:14" x14ac:dyDescent="0.2">
      <c r="N333" s="73"/>
    </row>
    <row r="334" spans="14:14" x14ac:dyDescent="0.2">
      <c r="N334" s="73"/>
    </row>
    <row r="335" spans="14:14" x14ac:dyDescent="0.2">
      <c r="N335" s="73"/>
    </row>
    <row r="336" spans="14:14" x14ac:dyDescent="0.2">
      <c r="N336" s="73"/>
    </row>
    <row r="337" spans="14:14" x14ac:dyDescent="0.2">
      <c r="N337" s="73"/>
    </row>
    <row r="338" spans="14:14" x14ac:dyDescent="0.2">
      <c r="N338" s="73"/>
    </row>
    <row r="339" spans="14:14" x14ac:dyDescent="0.2">
      <c r="N339" s="73"/>
    </row>
    <row r="340" spans="14:14" x14ac:dyDescent="0.2">
      <c r="N340" s="73"/>
    </row>
    <row r="341" spans="14:14" x14ac:dyDescent="0.2">
      <c r="N341" s="73"/>
    </row>
    <row r="342" spans="14:14" x14ac:dyDescent="0.2">
      <c r="N342" s="73"/>
    </row>
    <row r="343" spans="14:14" x14ac:dyDescent="0.2">
      <c r="N343" s="73"/>
    </row>
    <row r="344" spans="14:14" x14ac:dyDescent="0.2">
      <c r="N344" s="73"/>
    </row>
    <row r="345" spans="14:14" x14ac:dyDescent="0.2">
      <c r="N345" s="73"/>
    </row>
    <row r="346" spans="14:14" x14ac:dyDescent="0.2">
      <c r="N346" s="73"/>
    </row>
    <row r="347" spans="14:14" x14ac:dyDescent="0.2">
      <c r="N347" s="73"/>
    </row>
    <row r="348" spans="14:14" x14ac:dyDescent="0.2">
      <c r="N348" s="73"/>
    </row>
    <row r="349" spans="14:14" x14ac:dyDescent="0.2">
      <c r="N349" s="73"/>
    </row>
    <row r="350" spans="14:14" x14ac:dyDescent="0.2">
      <c r="N350" s="73"/>
    </row>
    <row r="351" spans="14:14" x14ac:dyDescent="0.2">
      <c r="N351" s="73"/>
    </row>
    <row r="352" spans="14:14" x14ac:dyDescent="0.2">
      <c r="N352" s="73"/>
    </row>
    <row r="353" spans="14:14" x14ac:dyDescent="0.2">
      <c r="N353" s="73"/>
    </row>
    <row r="354" spans="14:14" x14ac:dyDescent="0.2">
      <c r="N354" s="73"/>
    </row>
    <row r="355" spans="14:14" x14ac:dyDescent="0.2">
      <c r="N355" s="73"/>
    </row>
    <row r="356" spans="14:14" x14ac:dyDescent="0.2">
      <c r="N356" s="73"/>
    </row>
    <row r="357" spans="14:14" x14ac:dyDescent="0.2">
      <c r="N357" s="73"/>
    </row>
    <row r="358" spans="14:14" x14ac:dyDescent="0.2">
      <c r="N358" s="73"/>
    </row>
    <row r="359" spans="14:14" x14ac:dyDescent="0.2">
      <c r="N359" s="73"/>
    </row>
    <row r="360" spans="14:14" x14ac:dyDescent="0.2">
      <c r="N360" s="73"/>
    </row>
    <row r="361" spans="14:14" x14ac:dyDescent="0.2">
      <c r="N361" s="73"/>
    </row>
    <row r="362" spans="14:14" x14ac:dyDescent="0.2">
      <c r="N362" s="73"/>
    </row>
    <row r="363" spans="14:14" x14ac:dyDescent="0.2">
      <c r="N363" s="73"/>
    </row>
    <row r="364" spans="14:14" x14ac:dyDescent="0.2">
      <c r="N364" s="73"/>
    </row>
    <row r="365" spans="14:14" x14ac:dyDescent="0.2">
      <c r="N365" s="73"/>
    </row>
    <row r="366" spans="14:14" x14ac:dyDescent="0.2">
      <c r="N366" s="73"/>
    </row>
    <row r="367" spans="14:14" x14ac:dyDescent="0.2">
      <c r="N367" s="73"/>
    </row>
    <row r="368" spans="14:14" x14ac:dyDescent="0.2">
      <c r="N368" s="73"/>
    </row>
    <row r="369" spans="14:14" x14ac:dyDescent="0.2">
      <c r="N369" s="73"/>
    </row>
    <row r="370" spans="14:14" x14ac:dyDescent="0.2">
      <c r="N370" s="73"/>
    </row>
    <row r="371" spans="14:14" x14ac:dyDescent="0.2">
      <c r="N371" s="73"/>
    </row>
    <row r="372" spans="14:14" x14ac:dyDescent="0.2">
      <c r="N372" s="73"/>
    </row>
    <row r="373" spans="14:14" x14ac:dyDescent="0.2">
      <c r="N373" s="73"/>
    </row>
    <row r="374" spans="14:14" x14ac:dyDescent="0.2">
      <c r="N374" s="73"/>
    </row>
    <row r="375" spans="14:14" x14ac:dyDescent="0.2">
      <c r="N375" s="73"/>
    </row>
    <row r="376" spans="14:14" x14ac:dyDescent="0.2">
      <c r="N376" s="73"/>
    </row>
    <row r="377" spans="14:14" x14ac:dyDescent="0.2">
      <c r="N377" s="7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R301"/>
  <sheetViews>
    <sheetView workbookViewId="0">
      <selection activeCell="E15" sqref="E15"/>
    </sheetView>
  </sheetViews>
  <sheetFormatPr baseColWidth="10" defaultColWidth="11.5" defaultRowHeight="15" x14ac:dyDescent="0.2"/>
  <cols>
    <col min="1" max="1" width="38.33203125" bestFit="1" customWidth="1"/>
    <col min="2" max="2" width="22.6640625" bestFit="1" customWidth="1"/>
    <col min="3" max="3" width="7.33203125" bestFit="1" customWidth="1"/>
    <col min="4" max="4" width="16.6640625" bestFit="1" customWidth="1"/>
    <col min="5" max="5" width="22.6640625" bestFit="1" customWidth="1"/>
    <col min="6" max="6" width="8.33203125" bestFit="1" customWidth="1"/>
    <col min="7" max="7" width="9.5" bestFit="1" customWidth="1"/>
    <col min="8" max="9" width="6" bestFit="1" customWidth="1"/>
    <col min="10" max="11" width="6" customWidth="1"/>
    <col min="12" max="12" width="7.33203125" bestFit="1" customWidth="1"/>
    <col min="13" max="13" width="12.83203125" bestFit="1" customWidth="1"/>
    <col min="14" max="14" width="18.1640625" bestFit="1" customWidth="1"/>
    <col min="15" max="15" width="4.1640625" bestFit="1" customWidth="1"/>
    <col min="16" max="16" width="3" bestFit="1" customWidth="1"/>
    <col min="17" max="17" width="10.1640625" bestFit="1" customWidth="1"/>
  </cols>
  <sheetData>
    <row r="1" spans="1:18" x14ac:dyDescent="0.2">
      <c r="A1" t="s">
        <v>840</v>
      </c>
      <c r="B1" t="s">
        <v>841</v>
      </c>
      <c r="C1" t="s">
        <v>842</v>
      </c>
      <c r="D1" t="s">
        <v>843</v>
      </c>
      <c r="E1" t="s">
        <v>844</v>
      </c>
      <c r="F1" t="s">
        <v>834</v>
      </c>
      <c r="G1" t="s">
        <v>835</v>
      </c>
      <c r="H1" t="s">
        <v>845</v>
      </c>
      <c r="I1" t="s">
        <v>846</v>
      </c>
      <c r="L1" t="s">
        <v>863</v>
      </c>
    </row>
    <row r="2" spans="1:18" x14ac:dyDescent="0.2">
      <c r="A2" t="s">
        <v>3040</v>
      </c>
      <c r="B2" t="s">
        <v>3041</v>
      </c>
      <c r="C2" t="s">
        <v>850</v>
      </c>
      <c r="D2" t="s">
        <v>851</v>
      </c>
      <c r="E2" t="s">
        <v>3042</v>
      </c>
      <c r="F2" t="s">
        <v>3058</v>
      </c>
      <c r="G2" t="s">
        <v>3059</v>
      </c>
      <c r="H2">
        <v>1.93</v>
      </c>
      <c r="I2">
        <v>1.89</v>
      </c>
      <c r="L2" s="39">
        <f>_xlfn.NUMBERVALUE(RIGHT(F2,LEN(F2)-FIND(" ",F2)))</f>
        <v>47</v>
      </c>
      <c r="M2" t="str">
        <f>LEFT(A2,(FIND("_",A2)-1))</f>
        <v>Philadelphia Eagles</v>
      </c>
      <c r="N2" t="str">
        <f>RIGHT(A2,LEN(A2)-FIND("_",A2))</f>
        <v>Tampa Bay Buccaneers</v>
      </c>
      <c r="O2" t="str">
        <f>VLOOKUP(M2,'Name Bridge'!$A:$B,2,FALSE)</f>
        <v>PHI</v>
      </c>
      <c r="P2" s="73" t="str">
        <f>VLOOKUP(N2,'Name Bridge'!$A:$B,2,FALSE)</f>
        <v>TB</v>
      </c>
      <c r="Q2" t="str">
        <f>LEFT(B2,10)</f>
        <v>2022-01-16</v>
      </c>
      <c r="R2">
        <f>_xlfn.NUMBERVALUE(Q2)</f>
        <v>44577</v>
      </c>
    </row>
    <row r="3" spans="1:18" x14ac:dyDescent="0.2">
      <c r="A3" t="s">
        <v>3040</v>
      </c>
      <c r="B3" t="s">
        <v>3041</v>
      </c>
      <c r="C3" t="s">
        <v>850</v>
      </c>
      <c r="D3" t="s">
        <v>855</v>
      </c>
      <c r="E3" t="s">
        <v>3043</v>
      </c>
      <c r="F3" t="s">
        <v>3060</v>
      </c>
      <c r="G3" t="s">
        <v>3061</v>
      </c>
      <c r="H3">
        <v>1.93</v>
      </c>
      <c r="I3">
        <v>1.88</v>
      </c>
      <c r="L3" s="39">
        <f t="shared" ref="L3:L66" si="0">_xlfn.NUMBERVALUE(RIGHT(F3,LEN(F3)-FIND(" ",F3)))</f>
        <v>47</v>
      </c>
      <c r="M3" t="str">
        <f t="shared" ref="M3:M66" si="1">LEFT(A3,(FIND("_",A3)-1))</f>
        <v>Philadelphia Eagles</v>
      </c>
      <c r="N3" t="str">
        <f t="shared" ref="N3:N66" si="2">RIGHT(A3,LEN(A3)-FIND("_",A3))</f>
        <v>Tampa Bay Buccaneers</v>
      </c>
      <c r="O3" t="str">
        <f>VLOOKUP(M3,'Name Bridge'!$A:$B,2,FALSE)</f>
        <v>PHI</v>
      </c>
      <c r="P3" s="73" t="str">
        <f>VLOOKUP(N3,'Name Bridge'!$A:$B,2,FALSE)</f>
        <v>TB</v>
      </c>
      <c r="Q3" t="str">
        <f t="shared" ref="Q3:Q66" si="3">LEFT(B3,10)</f>
        <v>2022-01-16</v>
      </c>
      <c r="R3">
        <f t="shared" ref="R3:R66" si="4">_xlfn.NUMBERVALUE(Q3)</f>
        <v>44577</v>
      </c>
    </row>
    <row r="4" spans="1:18" x14ac:dyDescent="0.2">
      <c r="A4" t="s">
        <v>3040</v>
      </c>
      <c r="B4" t="s">
        <v>3041</v>
      </c>
      <c r="C4" t="s">
        <v>850</v>
      </c>
      <c r="D4" t="s">
        <v>859</v>
      </c>
      <c r="E4" t="s">
        <v>3044</v>
      </c>
      <c r="F4" t="s">
        <v>3058</v>
      </c>
      <c r="G4" t="s">
        <v>3059</v>
      </c>
      <c r="H4">
        <v>1.93</v>
      </c>
      <c r="I4">
        <v>1.88</v>
      </c>
      <c r="L4" s="39">
        <f t="shared" si="0"/>
        <v>47</v>
      </c>
      <c r="M4" t="str">
        <f t="shared" si="1"/>
        <v>Philadelphia Eagles</v>
      </c>
      <c r="N4" t="str">
        <f t="shared" si="2"/>
        <v>Tampa Bay Buccaneers</v>
      </c>
      <c r="O4" t="str">
        <f>VLOOKUP(M4,'Name Bridge'!$A:$B,2,FALSE)</f>
        <v>PHI</v>
      </c>
      <c r="P4" s="73" t="str">
        <f>VLOOKUP(N4,'Name Bridge'!$A:$B,2,FALSE)</f>
        <v>TB</v>
      </c>
      <c r="Q4" t="str">
        <f t="shared" si="3"/>
        <v>2022-01-16</v>
      </c>
      <c r="R4">
        <f t="shared" si="4"/>
        <v>44577</v>
      </c>
    </row>
    <row r="5" spans="1:18" x14ac:dyDescent="0.2">
      <c r="A5" t="s">
        <v>3040</v>
      </c>
      <c r="B5" t="s">
        <v>3041</v>
      </c>
      <c r="C5" t="s">
        <v>850</v>
      </c>
      <c r="D5" t="s">
        <v>852</v>
      </c>
      <c r="E5" t="s">
        <v>3044</v>
      </c>
      <c r="F5" t="s">
        <v>3060</v>
      </c>
      <c r="G5" t="s">
        <v>3061</v>
      </c>
      <c r="H5">
        <v>1.93</v>
      </c>
      <c r="I5">
        <v>1.88</v>
      </c>
      <c r="L5" s="39">
        <f t="shared" si="0"/>
        <v>47</v>
      </c>
      <c r="M5" t="str">
        <f t="shared" si="1"/>
        <v>Philadelphia Eagles</v>
      </c>
      <c r="N5" t="str">
        <f t="shared" si="2"/>
        <v>Tampa Bay Buccaneers</v>
      </c>
      <c r="O5" t="str">
        <f>VLOOKUP(M5,'Name Bridge'!$A:$B,2,FALSE)</f>
        <v>PHI</v>
      </c>
      <c r="P5" s="73" t="str">
        <f>VLOOKUP(N5,'Name Bridge'!$A:$B,2,FALSE)</f>
        <v>TB</v>
      </c>
      <c r="Q5" t="str">
        <f t="shared" si="3"/>
        <v>2022-01-16</v>
      </c>
      <c r="R5">
        <f t="shared" si="4"/>
        <v>44577</v>
      </c>
    </row>
    <row r="6" spans="1:18" x14ac:dyDescent="0.2">
      <c r="A6" t="s">
        <v>3040</v>
      </c>
      <c r="B6" t="s">
        <v>3041</v>
      </c>
      <c r="C6" t="s">
        <v>850</v>
      </c>
      <c r="D6" t="s">
        <v>858</v>
      </c>
      <c r="E6" t="s">
        <v>3043</v>
      </c>
      <c r="F6" t="s">
        <v>3062</v>
      </c>
      <c r="G6" t="s">
        <v>3063</v>
      </c>
      <c r="H6">
        <v>1.87</v>
      </c>
      <c r="I6">
        <v>1.95</v>
      </c>
      <c r="L6" s="39">
        <f t="shared" si="0"/>
        <v>46.5</v>
      </c>
      <c r="M6" t="str">
        <f t="shared" si="1"/>
        <v>Philadelphia Eagles</v>
      </c>
      <c r="N6" t="str">
        <f t="shared" si="2"/>
        <v>Tampa Bay Buccaneers</v>
      </c>
      <c r="O6" t="str">
        <f>VLOOKUP(M6,'Name Bridge'!$A:$B,2,FALSE)</f>
        <v>PHI</v>
      </c>
      <c r="P6" s="73" t="str">
        <f>VLOOKUP(N6,'Name Bridge'!$A:$B,2,FALSE)</f>
        <v>TB</v>
      </c>
      <c r="Q6" t="str">
        <f t="shared" si="3"/>
        <v>2022-01-16</v>
      </c>
      <c r="R6">
        <f t="shared" si="4"/>
        <v>44577</v>
      </c>
    </row>
    <row r="7" spans="1:18" x14ac:dyDescent="0.2">
      <c r="A7" t="s">
        <v>3040</v>
      </c>
      <c r="B7" t="s">
        <v>3041</v>
      </c>
      <c r="C7" t="s">
        <v>850</v>
      </c>
      <c r="D7" t="s">
        <v>2305</v>
      </c>
      <c r="E7" t="s">
        <v>3045</v>
      </c>
      <c r="F7" t="s">
        <v>3058</v>
      </c>
      <c r="G7" t="s">
        <v>3059</v>
      </c>
      <c r="H7">
        <v>1.93</v>
      </c>
      <c r="I7">
        <v>1.88</v>
      </c>
      <c r="L7" s="39">
        <f t="shared" si="0"/>
        <v>47</v>
      </c>
      <c r="M7" t="str">
        <f t="shared" si="1"/>
        <v>Philadelphia Eagles</v>
      </c>
      <c r="N7" t="str">
        <f t="shared" si="2"/>
        <v>Tampa Bay Buccaneers</v>
      </c>
      <c r="O7" t="str">
        <f>VLOOKUP(M7,'Name Bridge'!$A:$B,2,FALSE)</f>
        <v>PHI</v>
      </c>
      <c r="P7" s="73" t="str">
        <f>VLOOKUP(N7,'Name Bridge'!$A:$B,2,FALSE)</f>
        <v>TB</v>
      </c>
      <c r="Q7" t="str">
        <f t="shared" si="3"/>
        <v>2022-01-16</v>
      </c>
      <c r="R7">
        <f t="shared" si="4"/>
        <v>44577</v>
      </c>
    </row>
    <row r="8" spans="1:18" x14ac:dyDescent="0.2">
      <c r="A8" t="s">
        <v>3040</v>
      </c>
      <c r="B8" t="s">
        <v>3041</v>
      </c>
      <c r="C8" t="s">
        <v>850</v>
      </c>
      <c r="D8" t="s">
        <v>854</v>
      </c>
      <c r="E8" t="s">
        <v>3046</v>
      </c>
      <c r="F8" t="s">
        <v>3062</v>
      </c>
      <c r="G8" t="s">
        <v>3063</v>
      </c>
      <c r="H8">
        <v>1.91</v>
      </c>
      <c r="I8">
        <v>1.91</v>
      </c>
      <c r="L8" s="39">
        <f t="shared" si="0"/>
        <v>46.5</v>
      </c>
      <c r="M8" t="str">
        <f t="shared" si="1"/>
        <v>Philadelphia Eagles</v>
      </c>
      <c r="N8" t="str">
        <f t="shared" si="2"/>
        <v>Tampa Bay Buccaneers</v>
      </c>
      <c r="O8" t="str">
        <f>VLOOKUP(M8,'Name Bridge'!$A:$B,2,FALSE)</f>
        <v>PHI</v>
      </c>
      <c r="P8" s="73" t="str">
        <f>VLOOKUP(N8,'Name Bridge'!$A:$B,2,FALSE)</f>
        <v>TB</v>
      </c>
      <c r="Q8" t="str">
        <f t="shared" si="3"/>
        <v>2022-01-16</v>
      </c>
      <c r="R8">
        <f t="shared" si="4"/>
        <v>44577</v>
      </c>
    </row>
    <row r="9" spans="1:18" x14ac:dyDescent="0.2">
      <c r="A9" t="s">
        <v>3040</v>
      </c>
      <c r="B9" t="s">
        <v>3041</v>
      </c>
      <c r="C9" t="s">
        <v>850</v>
      </c>
      <c r="D9" t="s">
        <v>2664</v>
      </c>
      <c r="E9" t="s">
        <v>3047</v>
      </c>
      <c r="F9" t="s">
        <v>3058</v>
      </c>
      <c r="G9" t="s">
        <v>3059</v>
      </c>
      <c r="H9">
        <v>1.9</v>
      </c>
      <c r="I9">
        <v>1.9</v>
      </c>
      <c r="L9" s="39">
        <f t="shared" si="0"/>
        <v>47</v>
      </c>
      <c r="M9" t="str">
        <f t="shared" si="1"/>
        <v>Philadelphia Eagles</v>
      </c>
      <c r="N9" t="str">
        <f t="shared" si="2"/>
        <v>Tampa Bay Buccaneers</v>
      </c>
      <c r="O9" t="str">
        <f>VLOOKUP(M9,'Name Bridge'!$A:$B,2,FALSE)</f>
        <v>PHI</v>
      </c>
      <c r="P9" s="73" t="str">
        <f>VLOOKUP(N9,'Name Bridge'!$A:$B,2,FALSE)</f>
        <v>TB</v>
      </c>
      <c r="Q9" t="str">
        <f t="shared" si="3"/>
        <v>2022-01-16</v>
      </c>
      <c r="R9">
        <f t="shared" si="4"/>
        <v>44577</v>
      </c>
    </row>
    <row r="10" spans="1:18" x14ac:dyDescent="0.2">
      <c r="A10" t="s">
        <v>3040</v>
      </c>
      <c r="B10" t="s">
        <v>3041</v>
      </c>
      <c r="C10" t="s">
        <v>850</v>
      </c>
      <c r="D10" t="s">
        <v>853</v>
      </c>
      <c r="E10" t="s">
        <v>3047</v>
      </c>
      <c r="F10" t="s">
        <v>3058</v>
      </c>
      <c r="G10" t="s">
        <v>3059</v>
      </c>
      <c r="H10">
        <v>1.91</v>
      </c>
      <c r="I10">
        <v>1.91</v>
      </c>
      <c r="L10" s="39">
        <f t="shared" si="0"/>
        <v>47</v>
      </c>
      <c r="M10" t="str">
        <f t="shared" si="1"/>
        <v>Philadelphia Eagles</v>
      </c>
      <c r="N10" t="str">
        <f t="shared" si="2"/>
        <v>Tampa Bay Buccaneers</v>
      </c>
      <c r="O10" t="str">
        <f>VLOOKUP(M10,'Name Bridge'!$A:$B,2,FALSE)</f>
        <v>PHI</v>
      </c>
      <c r="P10" s="73" t="str">
        <f>VLOOKUP(N10,'Name Bridge'!$A:$B,2,FALSE)</f>
        <v>TB</v>
      </c>
      <c r="Q10" t="str">
        <f t="shared" si="3"/>
        <v>2022-01-16</v>
      </c>
      <c r="R10">
        <f t="shared" si="4"/>
        <v>44577</v>
      </c>
    </row>
    <row r="11" spans="1:18" x14ac:dyDescent="0.2">
      <c r="A11" t="s">
        <v>3040</v>
      </c>
      <c r="B11" t="s">
        <v>3041</v>
      </c>
      <c r="C11" t="s">
        <v>850</v>
      </c>
      <c r="D11" t="s">
        <v>2408</v>
      </c>
      <c r="E11" t="s">
        <v>3047</v>
      </c>
      <c r="F11" t="s">
        <v>3060</v>
      </c>
      <c r="G11" t="s">
        <v>3061</v>
      </c>
      <c r="H11">
        <v>1.91</v>
      </c>
      <c r="I11">
        <v>1.91</v>
      </c>
      <c r="L11" s="39">
        <f t="shared" si="0"/>
        <v>47</v>
      </c>
      <c r="M11" t="str">
        <f t="shared" si="1"/>
        <v>Philadelphia Eagles</v>
      </c>
      <c r="N11" t="str">
        <f t="shared" si="2"/>
        <v>Tampa Bay Buccaneers</v>
      </c>
      <c r="O11" t="str">
        <f>VLOOKUP(M11,'Name Bridge'!$A:$B,2,FALSE)</f>
        <v>PHI</v>
      </c>
      <c r="P11" s="73" t="str">
        <f>VLOOKUP(N11,'Name Bridge'!$A:$B,2,FALSE)</f>
        <v>TB</v>
      </c>
      <c r="Q11" t="str">
        <f t="shared" si="3"/>
        <v>2022-01-16</v>
      </c>
      <c r="R11">
        <f t="shared" si="4"/>
        <v>44577</v>
      </c>
    </row>
    <row r="12" spans="1:18" x14ac:dyDescent="0.2">
      <c r="A12" t="s">
        <v>3040</v>
      </c>
      <c r="B12" t="s">
        <v>3041</v>
      </c>
      <c r="C12" t="s">
        <v>850</v>
      </c>
      <c r="D12" t="s">
        <v>860</v>
      </c>
      <c r="E12" t="s">
        <v>3044</v>
      </c>
      <c r="F12" t="s">
        <v>3060</v>
      </c>
      <c r="G12" t="s">
        <v>3061</v>
      </c>
      <c r="H12">
        <v>1.91</v>
      </c>
      <c r="I12">
        <v>1.91</v>
      </c>
      <c r="L12" s="39">
        <f t="shared" si="0"/>
        <v>47</v>
      </c>
      <c r="M12" t="str">
        <f t="shared" si="1"/>
        <v>Philadelphia Eagles</v>
      </c>
      <c r="N12" t="str">
        <f t="shared" si="2"/>
        <v>Tampa Bay Buccaneers</v>
      </c>
      <c r="O12" t="str">
        <f>VLOOKUP(M12,'Name Bridge'!$A:$B,2,FALSE)</f>
        <v>PHI</v>
      </c>
      <c r="P12" s="73" t="str">
        <f>VLOOKUP(N12,'Name Bridge'!$A:$B,2,FALSE)</f>
        <v>TB</v>
      </c>
      <c r="Q12" t="str">
        <f t="shared" si="3"/>
        <v>2022-01-16</v>
      </c>
      <c r="R12">
        <f t="shared" si="4"/>
        <v>44577</v>
      </c>
    </row>
    <row r="13" spans="1:18" x14ac:dyDescent="0.2">
      <c r="A13" t="s">
        <v>3040</v>
      </c>
      <c r="B13" t="s">
        <v>3041</v>
      </c>
      <c r="C13" t="s">
        <v>850</v>
      </c>
      <c r="D13" t="s">
        <v>861</v>
      </c>
      <c r="E13" t="s">
        <v>3043</v>
      </c>
      <c r="F13" t="s">
        <v>3058</v>
      </c>
      <c r="G13" t="s">
        <v>3059</v>
      </c>
      <c r="H13">
        <v>1.91</v>
      </c>
      <c r="I13">
        <v>1.91</v>
      </c>
      <c r="L13" s="39">
        <f t="shared" si="0"/>
        <v>47</v>
      </c>
      <c r="M13" t="str">
        <f t="shared" si="1"/>
        <v>Philadelphia Eagles</v>
      </c>
      <c r="N13" t="str">
        <f t="shared" si="2"/>
        <v>Tampa Bay Buccaneers</v>
      </c>
      <c r="O13" t="str">
        <f>VLOOKUP(M13,'Name Bridge'!$A:$B,2,FALSE)</f>
        <v>PHI</v>
      </c>
      <c r="P13" s="73" t="str">
        <f>VLOOKUP(N13,'Name Bridge'!$A:$B,2,FALSE)</f>
        <v>TB</v>
      </c>
      <c r="Q13" t="str">
        <f t="shared" si="3"/>
        <v>2022-01-16</v>
      </c>
      <c r="R13">
        <f t="shared" si="4"/>
        <v>44577</v>
      </c>
    </row>
    <row r="14" spans="1:18" x14ac:dyDescent="0.2">
      <c r="A14" t="s">
        <v>3040</v>
      </c>
      <c r="B14" t="s">
        <v>3041</v>
      </c>
      <c r="C14" t="s">
        <v>850</v>
      </c>
      <c r="D14" t="s">
        <v>2378</v>
      </c>
      <c r="E14" t="s">
        <v>3048</v>
      </c>
      <c r="F14" t="s">
        <v>3058</v>
      </c>
      <c r="G14" t="s">
        <v>3059</v>
      </c>
      <c r="H14">
        <v>1.91</v>
      </c>
      <c r="I14">
        <v>1.91</v>
      </c>
      <c r="L14" s="39">
        <f t="shared" si="0"/>
        <v>47</v>
      </c>
      <c r="M14" t="str">
        <f t="shared" si="1"/>
        <v>Philadelphia Eagles</v>
      </c>
      <c r="N14" t="str">
        <f t="shared" si="2"/>
        <v>Tampa Bay Buccaneers</v>
      </c>
      <c r="O14" t="str">
        <f>VLOOKUP(M14,'Name Bridge'!$A:$B,2,FALSE)</f>
        <v>PHI</v>
      </c>
      <c r="P14" s="73" t="str">
        <f>VLOOKUP(N14,'Name Bridge'!$A:$B,2,FALSE)</f>
        <v>TB</v>
      </c>
      <c r="Q14" t="str">
        <f t="shared" si="3"/>
        <v>2022-01-16</v>
      </c>
      <c r="R14">
        <f t="shared" si="4"/>
        <v>44577</v>
      </c>
    </row>
    <row r="15" spans="1:18" x14ac:dyDescent="0.2">
      <c r="A15" t="s">
        <v>3040</v>
      </c>
      <c r="B15" t="s">
        <v>3041</v>
      </c>
      <c r="C15" t="s">
        <v>850</v>
      </c>
      <c r="D15" t="s">
        <v>856</v>
      </c>
      <c r="E15" t="s">
        <v>3048</v>
      </c>
      <c r="F15" t="s">
        <v>3058</v>
      </c>
      <c r="G15" t="s">
        <v>3059</v>
      </c>
      <c r="H15">
        <v>1.92</v>
      </c>
      <c r="I15">
        <v>1.92</v>
      </c>
      <c r="L15" s="39">
        <f t="shared" si="0"/>
        <v>47</v>
      </c>
      <c r="M15" t="str">
        <f t="shared" si="1"/>
        <v>Philadelphia Eagles</v>
      </c>
      <c r="N15" t="str">
        <f t="shared" si="2"/>
        <v>Tampa Bay Buccaneers</v>
      </c>
      <c r="O15" t="str">
        <f>VLOOKUP(M15,'Name Bridge'!$A:$B,2,FALSE)</f>
        <v>PHI</v>
      </c>
      <c r="P15" s="73" t="str">
        <f>VLOOKUP(N15,'Name Bridge'!$A:$B,2,FALSE)</f>
        <v>TB</v>
      </c>
      <c r="Q15" t="str">
        <f t="shared" si="3"/>
        <v>2022-01-16</v>
      </c>
      <c r="R15">
        <f t="shared" si="4"/>
        <v>44577</v>
      </c>
    </row>
    <row r="16" spans="1:18" x14ac:dyDescent="0.2">
      <c r="A16" t="s">
        <v>3040</v>
      </c>
      <c r="B16" t="s">
        <v>3041</v>
      </c>
      <c r="C16" t="s">
        <v>850</v>
      </c>
      <c r="D16" t="s">
        <v>857</v>
      </c>
      <c r="E16" t="s">
        <v>3050</v>
      </c>
      <c r="F16" t="s">
        <v>3064</v>
      </c>
      <c r="G16" t="s">
        <v>3065</v>
      </c>
      <c r="H16">
        <v>1.91</v>
      </c>
      <c r="I16">
        <v>1.91</v>
      </c>
      <c r="L16" s="39">
        <f t="shared" si="0"/>
        <v>46</v>
      </c>
      <c r="M16" t="str">
        <f t="shared" si="1"/>
        <v>Philadelphia Eagles</v>
      </c>
      <c r="N16" t="str">
        <f t="shared" si="2"/>
        <v>Tampa Bay Buccaneers</v>
      </c>
      <c r="O16" t="str">
        <f>VLOOKUP(M16,'Name Bridge'!$A:$B,2,FALSE)</f>
        <v>PHI</v>
      </c>
      <c r="P16" s="73" t="str">
        <f>VLOOKUP(N16,'Name Bridge'!$A:$B,2,FALSE)</f>
        <v>TB</v>
      </c>
      <c r="Q16" t="str">
        <f t="shared" si="3"/>
        <v>2022-01-16</v>
      </c>
      <c r="R16">
        <f t="shared" si="4"/>
        <v>44577</v>
      </c>
    </row>
    <row r="17" spans="1:18" x14ac:dyDescent="0.2">
      <c r="A17" t="s">
        <v>3040</v>
      </c>
      <c r="B17" t="s">
        <v>3041</v>
      </c>
      <c r="C17" t="s">
        <v>850</v>
      </c>
      <c r="D17" t="s">
        <v>862</v>
      </c>
      <c r="E17" t="s">
        <v>3044</v>
      </c>
      <c r="F17" t="s">
        <v>3058</v>
      </c>
      <c r="G17" t="s">
        <v>3059</v>
      </c>
      <c r="H17">
        <v>1.91</v>
      </c>
      <c r="I17">
        <v>1.91</v>
      </c>
      <c r="L17" s="39">
        <f t="shared" si="0"/>
        <v>47</v>
      </c>
      <c r="M17" t="str">
        <f t="shared" si="1"/>
        <v>Philadelphia Eagles</v>
      </c>
      <c r="N17" t="str">
        <f t="shared" si="2"/>
        <v>Tampa Bay Buccaneers</v>
      </c>
      <c r="O17" t="str">
        <f>VLOOKUP(M17,'Name Bridge'!$A:$B,2,FALSE)</f>
        <v>PHI</v>
      </c>
      <c r="P17" s="73" t="str">
        <f>VLOOKUP(N17,'Name Bridge'!$A:$B,2,FALSE)</f>
        <v>TB</v>
      </c>
      <c r="Q17" t="str">
        <f t="shared" si="3"/>
        <v>2022-01-16</v>
      </c>
      <c r="R17">
        <f t="shared" si="4"/>
        <v>44577</v>
      </c>
    </row>
    <row r="18" spans="1:18" x14ac:dyDescent="0.2">
      <c r="A18" t="s">
        <v>3040</v>
      </c>
      <c r="B18" t="s">
        <v>3041</v>
      </c>
      <c r="C18" t="s">
        <v>850</v>
      </c>
      <c r="D18" t="s">
        <v>2332</v>
      </c>
      <c r="E18" t="s">
        <v>3045</v>
      </c>
      <c r="F18" t="s">
        <v>3062</v>
      </c>
      <c r="G18" t="s">
        <v>3063</v>
      </c>
      <c r="H18">
        <v>1.91</v>
      </c>
      <c r="I18">
        <v>1.91</v>
      </c>
      <c r="L18" s="39">
        <f t="shared" si="0"/>
        <v>46.5</v>
      </c>
      <c r="M18" t="str">
        <f t="shared" si="1"/>
        <v>Philadelphia Eagles</v>
      </c>
      <c r="N18" t="str">
        <f t="shared" si="2"/>
        <v>Tampa Bay Buccaneers</v>
      </c>
      <c r="O18" t="str">
        <f>VLOOKUP(M18,'Name Bridge'!$A:$B,2,FALSE)</f>
        <v>PHI</v>
      </c>
      <c r="P18" s="73" t="str">
        <f>VLOOKUP(N18,'Name Bridge'!$A:$B,2,FALSE)</f>
        <v>TB</v>
      </c>
      <c r="Q18" t="str">
        <f t="shared" si="3"/>
        <v>2022-01-16</v>
      </c>
      <c r="R18">
        <f t="shared" si="4"/>
        <v>44577</v>
      </c>
    </row>
    <row r="19" spans="1:18" x14ac:dyDescent="0.2">
      <c r="A19" t="s">
        <v>3040</v>
      </c>
      <c r="B19" t="s">
        <v>3041</v>
      </c>
      <c r="C19" t="s">
        <v>850</v>
      </c>
      <c r="D19" t="s">
        <v>3051</v>
      </c>
      <c r="E19" t="s">
        <v>3048</v>
      </c>
      <c r="F19" t="s">
        <v>3058</v>
      </c>
      <c r="G19" t="s">
        <v>3059</v>
      </c>
      <c r="H19">
        <v>1.95</v>
      </c>
      <c r="I19">
        <v>1.95</v>
      </c>
      <c r="L19" s="39">
        <f t="shared" si="0"/>
        <v>47</v>
      </c>
      <c r="M19" t="str">
        <f t="shared" si="1"/>
        <v>Philadelphia Eagles</v>
      </c>
      <c r="N19" t="str">
        <f t="shared" si="2"/>
        <v>Tampa Bay Buccaneers</v>
      </c>
      <c r="O19" t="str">
        <f>VLOOKUP(M19,'Name Bridge'!$A:$B,2,FALSE)</f>
        <v>PHI</v>
      </c>
      <c r="P19" s="73" t="str">
        <f>VLOOKUP(N19,'Name Bridge'!$A:$B,2,FALSE)</f>
        <v>TB</v>
      </c>
      <c r="Q19" t="str">
        <f t="shared" si="3"/>
        <v>2022-01-16</v>
      </c>
      <c r="R19">
        <f t="shared" si="4"/>
        <v>44577</v>
      </c>
    </row>
    <row r="20" spans="1:18" x14ac:dyDescent="0.2">
      <c r="A20" t="s">
        <v>3052</v>
      </c>
      <c r="B20" t="s">
        <v>3053</v>
      </c>
      <c r="C20" t="s">
        <v>850</v>
      </c>
      <c r="D20" t="s">
        <v>851</v>
      </c>
      <c r="E20" t="s">
        <v>3042</v>
      </c>
      <c r="F20" t="s">
        <v>3066</v>
      </c>
      <c r="G20" t="s">
        <v>3067</v>
      </c>
      <c r="H20">
        <v>1.92</v>
      </c>
      <c r="I20">
        <v>1.9</v>
      </c>
      <c r="L20" s="39">
        <f t="shared" si="0"/>
        <v>51</v>
      </c>
      <c r="M20" t="str">
        <f t="shared" si="1"/>
        <v>Dallas Cowboys</v>
      </c>
      <c r="N20" t="str">
        <f t="shared" si="2"/>
        <v>San Francisco 49ers</v>
      </c>
      <c r="O20" t="str">
        <f>VLOOKUP(M20,'Name Bridge'!$A:$B,2,FALSE)</f>
        <v>DAL</v>
      </c>
      <c r="P20" s="73" t="str">
        <f>VLOOKUP(N20,'Name Bridge'!$A:$B,2,FALSE)</f>
        <v>SF</v>
      </c>
      <c r="Q20" t="str">
        <f t="shared" si="3"/>
        <v>2022-01-16</v>
      </c>
      <c r="R20">
        <f t="shared" si="4"/>
        <v>44577</v>
      </c>
    </row>
    <row r="21" spans="1:18" x14ac:dyDescent="0.2">
      <c r="A21" t="s">
        <v>3052</v>
      </c>
      <c r="B21" t="s">
        <v>3053</v>
      </c>
      <c r="C21" t="s">
        <v>850</v>
      </c>
      <c r="D21" t="s">
        <v>855</v>
      </c>
      <c r="E21" t="s">
        <v>3043</v>
      </c>
      <c r="F21" t="s">
        <v>3068</v>
      </c>
      <c r="G21" t="s">
        <v>3069</v>
      </c>
      <c r="H21">
        <v>1.92</v>
      </c>
      <c r="I21">
        <v>1.89</v>
      </c>
      <c r="L21" s="39">
        <f t="shared" si="0"/>
        <v>51</v>
      </c>
      <c r="M21" t="str">
        <f t="shared" si="1"/>
        <v>Dallas Cowboys</v>
      </c>
      <c r="N21" t="str">
        <f t="shared" si="2"/>
        <v>San Francisco 49ers</v>
      </c>
      <c r="O21" t="str">
        <f>VLOOKUP(M21,'Name Bridge'!$A:$B,2,FALSE)</f>
        <v>DAL</v>
      </c>
      <c r="P21" s="73" t="str">
        <f>VLOOKUP(N21,'Name Bridge'!$A:$B,2,FALSE)</f>
        <v>SF</v>
      </c>
      <c r="Q21" t="str">
        <f t="shared" si="3"/>
        <v>2022-01-16</v>
      </c>
      <c r="R21">
        <f t="shared" si="4"/>
        <v>44577</v>
      </c>
    </row>
    <row r="22" spans="1:18" x14ac:dyDescent="0.2">
      <c r="A22" t="s">
        <v>3052</v>
      </c>
      <c r="B22" t="s">
        <v>3053</v>
      </c>
      <c r="C22" t="s">
        <v>850</v>
      </c>
      <c r="D22" t="s">
        <v>859</v>
      </c>
      <c r="E22" t="s">
        <v>3044</v>
      </c>
      <c r="F22" t="s">
        <v>3066</v>
      </c>
      <c r="G22" t="s">
        <v>3067</v>
      </c>
      <c r="H22">
        <v>1.92</v>
      </c>
      <c r="I22">
        <v>1.89</v>
      </c>
      <c r="L22" s="39">
        <f t="shared" si="0"/>
        <v>51</v>
      </c>
      <c r="M22" t="str">
        <f t="shared" si="1"/>
        <v>Dallas Cowboys</v>
      </c>
      <c r="N22" t="str">
        <f t="shared" si="2"/>
        <v>San Francisco 49ers</v>
      </c>
      <c r="O22" t="str">
        <f>VLOOKUP(M22,'Name Bridge'!$A:$B,2,FALSE)</f>
        <v>DAL</v>
      </c>
      <c r="P22" s="73" t="str">
        <f>VLOOKUP(N22,'Name Bridge'!$A:$B,2,FALSE)</f>
        <v>SF</v>
      </c>
      <c r="Q22" t="str">
        <f t="shared" si="3"/>
        <v>2022-01-16</v>
      </c>
      <c r="R22">
        <f t="shared" si="4"/>
        <v>44577</v>
      </c>
    </row>
    <row r="23" spans="1:18" x14ac:dyDescent="0.2">
      <c r="A23" t="s">
        <v>3052</v>
      </c>
      <c r="B23" t="s">
        <v>3053</v>
      </c>
      <c r="C23" t="s">
        <v>850</v>
      </c>
      <c r="D23" t="s">
        <v>852</v>
      </c>
      <c r="E23" t="s">
        <v>3044</v>
      </c>
      <c r="F23" t="s">
        <v>3068</v>
      </c>
      <c r="G23" t="s">
        <v>3069</v>
      </c>
      <c r="H23">
        <v>1.92</v>
      </c>
      <c r="I23">
        <v>1.89</v>
      </c>
      <c r="L23" s="39">
        <f t="shared" si="0"/>
        <v>51</v>
      </c>
      <c r="M23" t="str">
        <f t="shared" si="1"/>
        <v>Dallas Cowboys</v>
      </c>
      <c r="N23" t="str">
        <f t="shared" si="2"/>
        <v>San Francisco 49ers</v>
      </c>
      <c r="O23" t="str">
        <f>VLOOKUP(M23,'Name Bridge'!$A:$B,2,FALSE)</f>
        <v>DAL</v>
      </c>
      <c r="P23" s="73" t="str">
        <f>VLOOKUP(N23,'Name Bridge'!$A:$B,2,FALSE)</f>
        <v>SF</v>
      </c>
      <c r="Q23" t="str">
        <f t="shared" si="3"/>
        <v>2022-01-16</v>
      </c>
      <c r="R23">
        <f t="shared" si="4"/>
        <v>44577</v>
      </c>
    </row>
    <row r="24" spans="1:18" x14ac:dyDescent="0.2">
      <c r="A24" t="s">
        <v>3052</v>
      </c>
      <c r="B24" t="s">
        <v>3053</v>
      </c>
      <c r="C24" t="s">
        <v>850</v>
      </c>
      <c r="D24" t="s">
        <v>858</v>
      </c>
      <c r="E24" t="s">
        <v>3043</v>
      </c>
      <c r="F24" t="s">
        <v>3066</v>
      </c>
      <c r="G24" t="s">
        <v>3067</v>
      </c>
      <c r="H24">
        <v>1.94</v>
      </c>
      <c r="I24">
        <v>1.88</v>
      </c>
      <c r="L24" s="39">
        <f t="shared" si="0"/>
        <v>51</v>
      </c>
      <c r="M24" t="str">
        <f t="shared" si="1"/>
        <v>Dallas Cowboys</v>
      </c>
      <c r="N24" t="str">
        <f t="shared" si="2"/>
        <v>San Francisco 49ers</v>
      </c>
      <c r="O24" t="str">
        <f>VLOOKUP(M24,'Name Bridge'!$A:$B,2,FALSE)</f>
        <v>DAL</v>
      </c>
      <c r="P24" s="73" t="str">
        <f>VLOOKUP(N24,'Name Bridge'!$A:$B,2,FALSE)</f>
        <v>SF</v>
      </c>
      <c r="Q24" t="str">
        <f t="shared" si="3"/>
        <v>2022-01-16</v>
      </c>
      <c r="R24">
        <f t="shared" si="4"/>
        <v>44577</v>
      </c>
    </row>
    <row r="25" spans="1:18" x14ac:dyDescent="0.2">
      <c r="A25" t="s">
        <v>3052</v>
      </c>
      <c r="B25" t="s">
        <v>3053</v>
      </c>
      <c r="C25" t="s">
        <v>850</v>
      </c>
      <c r="D25" t="s">
        <v>2305</v>
      </c>
      <c r="E25" t="s">
        <v>3045</v>
      </c>
      <c r="F25" t="s">
        <v>3066</v>
      </c>
      <c r="G25" t="s">
        <v>3067</v>
      </c>
      <c r="H25">
        <v>1.92</v>
      </c>
      <c r="I25">
        <v>1.89</v>
      </c>
      <c r="L25" s="39">
        <f t="shared" si="0"/>
        <v>51</v>
      </c>
      <c r="M25" t="str">
        <f t="shared" si="1"/>
        <v>Dallas Cowboys</v>
      </c>
      <c r="N25" t="str">
        <f t="shared" si="2"/>
        <v>San Francisco 49ers</v>
      </c>
      <c r="O25" t="str">
        <f>VLOOKUP(M25,'Name Bridge'!$A:$B,2,FALSE)</f>
        <v>DAL</v>
      </c>
      <c r="P25" s="73" t="str">
        <f>VLOOKUP(N25,'Name Bridge'!$A:$B,2,FALSE)</f>
        <v>SF</v>
      </c>
      <c r="Q25" t="str">
        <f t="shared" si="3"/>
        <v>2022-01-16</v>
      </c>
      <c r="R25">
        <f t="shared" si="4"/>
        <v>44577</v>
      </c>
    </row>
    <row r="26" spans="1:18" x14ac:dyDescent="0.2">
      <c r="A26" t="s">
        <v>3052</v>
      </c>
      <c r="B26" t="s">
        <v>3053</v>
      </c>
      <c r="C26" t="s">
        <v>850</v>
      </c>
      <c r="D26" t="s">
        <v>854</v>
      </c>
      <c r="E26" t="s">
        <v>3046</v>
      </c>
      <c r="F26" t="s">
        <v>3070</v>
      </c>
      <c r="G26" t="s">
        <v>3071</v>
      </c>
      <c r="H26">
        <v>1.91</v>
      </c>
      <c r="I26">
        <v>1.91</v>
      </c>
      <c r="L26" s="39">
        <f t="shared" si="0"/>
        <v>50.5</v>
      </c>
      <c r="M26" t="str">
        <f t="shared" si="1"/>
        <v>Dallas Cowboys</v>
      </c>
      <c r="N26" t="str">
        <f t="shared" si="2"/>
        <v>San Francisco 49ers</v>
      </c>
      <c r="O26" t="str">
        <f>VLOOKUP(M26,'Name Bridge'!$A:$B,2,FALSE)</f>
        <v>DAL</v>
      </c>
      <c r="P26" s="73" t="str">
        <f>VLOOKUP(N26,'Name Bridge'!$A:$B,2,FALSE)</f>
        <v>SF</v>
      </c>
      <c r="Q26" t="str">
        <f t="shared" si="3"/>
        <v>2022-01-16</v>
      </c>
      <c r="R26">
        <f t="shared" si="4"/>
        <v>44577</v>
      </c>
    </row>
    <row r="27" spans="1:18" x14ac:dyDescent="0.2">
      <c r="A27" t="s">
        <v>3052</v>
      </c>
      <c r="B27" t="s">
        <v>3053</v>
      </c>
      <c r="C27" t="s">
        <v>850</v>
      </c>
      <c r="D27" t="s">
        <v>2664</v>
      </c>
      <c r="E27" t="s">
        <v>3047</v>
      </c>
      <c r="F27" t="s">
        <v>3066</v>
      </c>
      <c r="G27" t="s">
        <v>3067</v>
      </c>
      <c r="H27">
        <v>1.9</v>
      </c>
      <c r="I27">
        <v>1.9</v>
      </c>
      <c r="L27" s="39">
        <f t="shared" si="0"/>
        <v>51</v>
      </c>
      <c r="M27" t="str">
        <f t="shared" si="1"/>
        <v>Dallas Cowboys</v>
      </c>
      <c r="N27" t="str">
        <f t="shared" si="2"/>
        <v>San Francisco 49ers</v>
      </c>
      <c r="O27" t="str">
        <f>VLOOKUP(M27,'Name Bridge'!$A:$B,2,FALSE)</f>
        <v>DAL</v>
      </c>
      <c r="P27" s="73" t="str">
        <f>VLOOKUP(N27,'Name Bridge'!$A:$B,2,FALSE)</f>
        <v>SF</v>
      </c>
      <c r="Q27" t="str">
        <f t="shared" si="3"/>
        <v>2022-01-16</v>
      </c>
      <c r="R27">
        <f t="shared" si="4"/>
        <v>44577</v>
      </c>
    </row>
    <row r="28" spans="1:18" x14ac:dyDescent="0.2">
      <c r="A28" t="s">
        <v>3052</v>
      </c>
      <c r="B28" t="s">
        <v>3053</v>
      </c>
      <c r="C28" t="s">
        <v>850</v>
      </c>
      <c r="D28" t="s">
        <v>853</v>
      </c>
      <c r="E28" t="s">
        <v>3047</v>
      </c>
      <c r="F28" t="s">
        <v>3066</v>
      </c>
      <c r="G28" t="s">
        <v>3067</v>
      </c>
      <c r="H28">
        <v>1.87</v>
      </c>
      <c r="I28">
        <v>1.95</v>
      </c>
      <c r="L28" s="39">
        <f t="shared" si="0"/>
        <v>51</v>
      </c>
      <c r="M28" t="str">
        <f t="shared" si="1"/>
        <v>Dallas Cowboys</v>
      </c>
      <c r="N28" t="str">
        <f t="shared" si="2"/>
        <v>San Francisco 49ers</v>
      </c>
      <c r="O28" t="str">
        <f>VLOOKUP(M28,'Name Bridge'!$A:$B,2,FALSE)</f>
        <v>DAL</v>
      </c>
      <c r="P28" s="73" t="str">
        <f>VLOOKUP(N28,'Name Bridge'!$A:$B,2,FALSE)</f>
        <v>SF</v>
      </c>
      <c r="Q28" t="str">
        <f t="shared" si="3"/>
        <v>2022-01-16</v>
      </c>
      <c r="R28">
        <f t="shared" si="4"/>
        <v>44577</v>
      </c>
    </row>
    <row r="29" spans="1:18" x14ac:dyDescent="0.2">
      <c r="A29" t="s">
        <v>3052</v>
      </c>
      <c r="B29" t="s">
        <v>3053</v>
      </c>
      <c r="C29" t="s">
        <v>850</v>
      </c>
      <c r="D29" t="s">
        <v>860</v>
      </c>
      <c r="E29" t="s">
        <v>3044</v>
      </c>
      <c r="F29" t="s">
        <v>3068</v>
      </c>
      <c r="G29" t="s">
        <v>3069</v>
      </c>
      <c r="H29">
        <v>1.91</v>
      </c>
      <c r="I29">
        <v>1.91</v>
      </c>
      <c r="L29" s="39">
        <f t="shared" si="0"/>
        <v>51</v>
      </c>
      <c r="M29" t="str">
        <f t="shared" si="1"/>
        <v>Dallas Cowboys</v>
      </c>
      <c r="N29" t="str">
        <f t="shared" si="2"/>
        <v>San Francisco 49ers</v>
      </c>
      <c r="O29" t="str">
        <f>VLOOKUP(M29,'Name Bridge'!$A:$B,2,FALSE)</f>
        <v>DAL</v>
      </c>
      <c r="P29" s="73" t="str">
        <f>VLOOKUP(N29,'Name Bridge'!$A:$B,2,FALSE)</f>
        <v>SF</v>
      </c>
      <c r="Q29" t="str">
        <f t="shared" si="3"/>
        <v>2022-01-16</v>
      </c>
      <c r="R29">
        <f t="shared" si="4"/>
        <v>44577</v>
      </c>
    </row>
    <row r="30" spans="1:18" x14ac:dyDescent="0.2">
      <c r="A30" t="s">
        <v>3052</v>
      </c>
      <c r="B30" t="s">
        <v>3053</v>
      </c>
      <c r="C30" t="s">
        <v>850</v>
      </c>
      <c r="D30" t="s">
        <v>2408</v>
      </c>
      <c r="E30" t="s">
        <v>3047</v>
      </c>
      <c r="F30" t="s">
        <v>3072</v>
      </c>
      <c r="G30" t="s">
        <v>3073</v>
      </c>
      <c r="H30">
        <v>2</v>
      </c>
      <c r="I30">
        <v>1.85</v>
      </c>
      <c r="L30" s="39">
        <f t="shared" si="0"/>
        <v>51.5</v>
      </c>
      <c r="M30" t="str">
        <f t="shared" si="1"/>
        <v>Dallas Cowboys</v>
      </c>
      <c r="N30" t="str">
        <f t="shared" si="2"/>
        <v>San Francisco 49ers</v>
      </c>
      <c r="O30" t="str">
        <f>VLOOKUP(M30,'Name Bridge'!$A:$B,2,FALSE)</f>
        <v>DAL</v>
      </c>
      <c r="P30" s="73" t="str">
        <f>VLOOKUP(N30,'Name Bridge'!$A:$B,2,FALSE)</f>
        <v>SF</v>
      </c>
      <c r="Q30" t="str">
        <f t="shared" si="3"/>
        <v>2022-01-16</v>
      </c>
      <c r="R30">
        <f t="shared" si="4"/>
        <v>44577</v>
      </c>
    </row>
    <row r="31" spans="1:18" x14ac:dyDescent="0.2">
      <c r="A31" t="s">
        <v>3052</v>
      </c>
      <c r="B31" t="s">
        <v>3053</v>
      </c>
      <c r="C31" t="s">
        <v>850</v>
      </c>
      <c r="D31" t="s">
        <v>861</v>
      </c>
      <c r="E31" t="s">
        <v>3043</v>
      </c>
      <c r="F31" t="s">
        <v>3066</v>
      </c>
      <c r="G31" t="s">
        <v>3067</v>
      </c>
      <c r="H31">
        <v>1.91</v>
      </c>
      <c r="I31">
        <v>1.91</v>
      </c>
      <c r="L31" s="39">
        <f t="shared" si="0"/>
        <v>51</v>
      </c>
      <c r="M31" t="str">
        <f t="shared" si="1"/>
        <v>Dallas Cowboys</v>
      </c>
      <c r="N31" t="str">
        <f t="shared" si="2"/>
        <v>San Francisco 49ers</v>
      </c>
      <c r="O31" t="str">
        <f>VLOOKUP(M31,'Name Bridge'!$A:$B,2,FALSE)</f>
        <v>DAL</v>
      </c>
      <c r="P31" s="73" t="str">
        <f>VLOOKUP(N31,'Name Bridge'!$A:$B,2,FALSE)</f>
        <v>SF</v>
      </c>
      <c r="Q31" t="str">
        <f t="shared" si="3"/>
        <v>2022-01-16</v>
      </c>
      <c r="R31">
        <f t="shared" si="4"/>
        <v>44577</v>
      </c>
    </row>
    <row r="32" spans="1:18" x14ac:dyDescent="0.2">
      <c r="A32" t="s">
        <v>3052</v>
      </c>
      <c r="B32" t="s">
        <v>3053</v>
      </c>
      <c r="C32" t="s">
        <v>850</v>
      </c>
      <c r="D32" t="s">
        <v>2378</v>
      </c>
      <c r="E32" t="s">
        <v>3048</v>
      </c>
      <c r="F32" t="s">
        <v>3066</v>
      </c>
      <c r="G32" t="s">
        <v>3067</v>
      </c>
      <c r="H32">
        <v>1.91</v>
      </c>
      <c r="I32">
        <v>1.91</v>
      </c>
      <c r="L32" s="39">
        <f t="shared" si="0"/>
        <v>51</v>
      </c>
      <c r="M32" t="str">
        <f t="shared" si="1"/>
        <v>Dallas Cowboys</v>
      </c>
      <c r="N32" t="str">
        <f t="shared" si="2"/>
        <v>San Francisco 49ers</v>
      </c>
      <c r="O32" t="str">
        <f>VLOOKUP(M32,'Name Bridge'!$A:$B,2,FALSE)</f>
        <v>DAL</v>
      </c>
      <c r="P32" s="73" t="str">
        <f>VLOOKUP(N32,'Name Bridge'!$A:$B,2,FALSE)</f>
        <v>SF</v>
      </c>
      <c r="Q32" t="str">
        <f t="shared" si="3"/>
        <v>2022-01-16</v>
      </c>
      <c r="R32">
        <f t="shared" si="4"/>
        <v>44577</v>
      </c>
    </row>
    <row r="33" spans="1:18" x14ac:dyDescent="0.2">
      <c r="A33" t="s">
        <v>3052</v>
      </c>
      <c r="B33" t="s">
        <v>3053</v>
      </c>
      <c r="C33" t="s">
        <v>850</v>
      </c>
      <c r="D33" t="s">
        <v>856</v>
      </c>
      <c r="E33" t="s">
        <v>3048</v>
      </c>
      <c r="F33" t="s">
        <v>3066</v>
      </c>
      <c r="G33" t="s">
        <v>3067</v>
      </c>
      <c r="H33">
        <v>1.92</v>
      </c>
      <c r="I33">
        <v>1.92</v>
      </c>
      <c r="L33" s="39">
        <f t="shared" si="0"/>
        <v>51</v>
      </c>
      <c r="M33" t="str">
        <f t="shared" si="1"/>
        <v>Dallas Cowboys</v>
      </c>
      <c r="N33" t="str">
        <f t="shared" si="2"/>
        <v>San Francisco 49ers</v>
      </c>
      <c r="O33" t="str">
        <f>VLOOKUP(M33,'Name Bridge'!$A:$B,2,FALSE)</f>
        <v>DAL</v>
      </c>
      <c r="P33" s="73" t="str">
        <f>VLOOKUP(N33,'Name Bridge'!$A:$B,2,FALSE)</f>
        <v>SF</v>
      </c>
      <c r="Q33" t="str">
        <f t="shared" si="3"/>
        <v>2022-01-16</v>
      </c>
      <c r="R33">
        <f t="shared" si="4"/>
        <v>44577</v>
      </c>
    </row>
    <row r="34" spans="1:18" x14ac:dyDescent="0.2">
      <c r="A34" t="s">
        <v>3052</v>
      </c>
      <c r="B34" t="s">
        <v>3053</v>
      </c>
      <c r="C34" t="s">
        <v>850</v>
      </c>
      <c r="D34" t="s">
        <v>857</v>
      </c>
      <c r="E34" t="s">
        <v>3050</v>
      </c>
      <c r="F34" t="s">
        <v>3068</v>
      </c>
      <c r="G34" t="s">
        <v>3069</v>
      </c>
      <c r="H34">
        <v>1.87</v>
      </c>
      <c r="I34">
        <v>1.95</v>
      </c>
      <c r="L34" s="39">
        <f t="shared" si="0"/>
        <v>51</v>
      </c>
      <c r="M34" t="str">
        <f t="shared" si="1"/>
        <v>Dallas Cowboys</v>
      </c>
      <c r="N34" t="str">
        <f t="shared" si="2"/>
        <v>San Francisco 49ers</v>
      </c>
      <c r="O34" t="str">
        <f>VLOOKUP(M34,'Name Bridge'!$A:$B,2,FALSE)</f>
        <v>DAL</v>
      </c>
      <c r="P34" s="73" t="str">
        <f>VLOOKUP(N34,'Name Bridge'!$A:$B,2,FALSE)</f>
        <v>SF</v>
      </c>
      <c r="Q34" t="str">
        <f t="shared" si="3"/>
        <v>2022-01-16</v>
      </c>
      <c r="R34">
        <f t="shared" si="4"/>
        <v>44577</v>
      </c>
    </row>
    <row r="35" spans="1:18" x14ac:dyDescent="0.2">
      <c r="A35" t="s">
        <v>3052</v>
      </c>
      <c r="B35" t="s">
        <v>3053</v>
      </c>
      <c r="C35" t="s">
        <v>850</v>
      </c>
      <c r="D35" t="s">
        <v>862</v>
      </c>
      <c r="E35" t="s">
        <v>3044</v>
      </c>
      <c r="F35" t="s">
        <v>3066</v>
      </c>
      <c r="G35" t="s">
        <v>3067</v>
      </c>
      <c r="H35">
        <v>1.91</v>
      </c>
      <c r="I35">
        <v>1.91</v>
      </c>
      <c r="L35" s="39">
        <f t="shared" si="0"/>
        <v>51</v>
      </c>
      <c r="M35" t="str">
        <f t="shared" si="1"/>
        <v>Dallas Cowboys</v>
      </c>
      <c r="N35" t="str">
        <f t="shared" si="2"/>
        <v>San Francisco 49ers</v>
      </c>
      <c r="O35" t="str">
        <f>VLOOKUP(M35,'Name Bridge'!$A:$B,2,FALSE)</f>
        <v>DAL</v>
      </c>
      <c r="P35" s="73" t="str">
        <f>VLOOKUP(N35,'Name Bridge'!$A:$B,2,FALSE)</f>
        <v>SF</v>
      </c>
      <c r="Q35" t="str">
        <f t="shared" si="3"/>
        <v>2022-01-16</v>
      </c>
      <c r="R35">
        <f t="shared" si="4"/>
        <v>44577</v>
      </c>
    </row>
    <row r="36" spans="1:18" x14ac:dyDescent="0.2">
      <c r="A36" t="s">
        <v>3052</v>
      </c>
      <c r="B36" t="s">
        <v>3053</v>
      </c>
      <c r="C36" t="s">
        <v>850</v>
      </c>
      <c r="D36" t="s">
        <v>2332</v>
      </c>
      <c r="E36" t="s">
        <v>3045</v>
      </c>
      <c r="F36" t="s">
        <v>3068</v>
      </c>
      <c r="G36" t="s">
        <v>3069</v>
      </c>
      <c r="H36">
        <v>1.91</v>
      </c>
      <c r="I36">
        <v>1.91</v>
      </c>
      <c r="L36" s="39">
        <f t="shared" si="0"/>
        <v>51</v>
      </c>
      <c r="M36" t="str">
        <f t="shared" si="1"/>
        <v>Dallas Cowboys</v>
      </c>
      <c r="N36" t="str">
        <f t="shared" si="2"/>
        <v>San Francisco 49ers</v>
      </c>
      <c r="O36" t="str">
        <f>VLOOKUP(M36,'Name Bridge'!$A:$B,2,FALSE)</f>
        <v>DAL</v>
      </c>
      <c r="P36" s="73" t="str">
        <f>VLOOKUP(N36,'Name Bridge'!$A:$B,2,FALSE)</f>
        <v>SF</v>
      </c>
      <c r="Q36" t="str">
        <f t="shared" si="3"/>
        <v>2022-01-16</v>
      </c>
      <c r="R36">
        <f t="shared" si="4"/>
        <v>44577</v>
      </c>
    </row>
    <row r="37" spans="1:18" x14ac:dyDescent="0.2">
      <c r="A37" t="s">
        <v>3052</v>
      </c>
      <c r="B37" t="s">
        <v>3053</v>
      </c>
      <c r="C37" t="s">
        <v>850</v>
      </c>
      <c r="D37" t="s">
        <v>3051</v>
      </c>
      <c r="E37" t="s">
        <v>3048</v>
      </c>
      <c r="F37" t="s">
        <v>3066</v>
      </c>
      <c r="G37" t="s">
        <v>3067</v>
      </c>
      <c r="H37">
        <v>1.95</v>
      </c>
      <c r="I37">
        <v>1.95</v>
      </c>
      <c r="L37" s="39">
        <f t="shared" si="0"/>
        <v>51</v>
      </c>
      <c r="M37" t="str">
        <f t="shared" si="1"/>
        <v>Dallas Cowboys</v>
      </c>
      <c r="N37" t="str">
        <f t="shared" si="2"/>
        <v>San Francisco 49ers</v>
      </c>
      <c r="O37" t="str">
        <f>VLOOKUP(M37,'Name Bridge'!$A:$B,2,FALSE)</f>
        <v>DAL</v>
      </c>
      <c r="P37" s="73" t="str">
        <f>VLOOKUP(N37,'Name Bridge'!$A:$B,2,FALSE)</f>
        <v>SF</v>
      </c>
      <c r="Q37" t="str">
        <f t="shared" si="3"/>
        <v>2022-01-16</v>
      </c>
      <c r="R37">
        <f t="shared" si="4"/>
        <v>44577</v>
      </c>
    </row>
    <row r="38" spans="1:18" x14ac:dyDescent="0.2">
      <c r="A38" t="s">
        <v>3054</v>
      </c>
      <c r="B38" t="s">
        <v>3055</v>
      </c>
      <c r="C38" t="s">
        <v>850</v>
      </c>
      <c r="D38" t="s">
        <v>851</v>
      </c>
      <c r="E38" t="s">
        <v>3042</v>
      </c>
      <c r="F38" t="s">
        <v>3062</v>
      </c>
      <c r="G38" t="s">
        <v>3063</v>
      </c>
      <c r="H38">
        <v>1.91</v>
      </c>
      <c r="I38">
        <v>1.91</v>
      </c>
      <c r="L38" s="39">
        <f t="shared" si="0"/>
        <v>46.5</v>
      </c>
      <c r="M38" t="str">
        <f t="shared" si="1"/>
        <v>Kansas City Chiefs</v>
      </c>
      <c r="N38" t="str">
        <f t="shared" si="2"/>
        <v>Pittsburgh Steelers</v>
      </c>
      <c r="O38" t="str">
        <f>VLOOKUP(M38,'Name Bridge'!$A:$B,2,FALSE)</f>
        <v>KC</v>
      </c>
      <c r="P38" s="73" t="str">
        <f>VLOOKUP(N38,'Name Bridge'!$A:$B,2,FALSE)</f>
        <v>PIT</v>
      </c>
      <c r="Q38" t="str">
        <f t="shared" si="3"/>
        <v>2022-01-17</v>
      </c>
      <c r="R38">
        <f t="shared" si="4"/>
        <v>44578</v>
      </c>
    </row>
    <row r="39" spans="1:18" x14ac:dyDescent="0.2">
      <c r="A39" t="s">
        <v>3054</v>
      </c>
      <c r="B39" t="s">
        <v>3055</v>
      </c>
      <c r="C39" t="s">
        <v>850</v>
      </c>
      <c r="D39" t="s">
        <v>855</v>
      </c>
      <c r="E39" t="s">
        <v>3043</v>
      </c>
      <c r="F39" t="s">
        <v>3062</v>
      </c>
      <c r="G39" t="s">
        <v>3063</v>
      </c>
      <c r="H39">
        <v>1.91</v>
      </c>
      <c r="I39">
        <v>1.91</v>
      </c>
      <c r="L39" s="39">
        <f t="shared" si="0"/>
        <v>46.5</v>
      </c>
      <c r="M39" t="str">
        <f t="shared" si="1"/>
        <v>Kansas City Chiefs</v>
      </c>
      <c r="N39" t="str">
        <f t="shared" si="2"/>
        <v>Pittsburgh Steelers</v>
      </c>
      <c r="O39" t="str">
        <f>VLOOKUP(M39,'Name Bridge'!$A:$B,2,FALSE)</f>
        <v>KC</v>
      </c>
      <c r="P39" s="73" t="str">
        <f>VLOOKUP(N39,'Name Bridge'!$A:$B,2,FALSE)</f>
        <v>PIT</v>
      </c>
      <c r="Q39" t="str">
        <f t="shared" si="3"/>
        <v>2022-01-17</v>
      </c>
      <c r="R39">
        <f t="shared" si="4"/>
        <v>44578</v>
      </c>
    </row>
    <row r="40" spans="1:18" x14ac:dyDescent="0.2">
      <c r="A40" t="s">
        <v>3054</v>
      </c>
      <c r="B40" t="s">
        <v>3055</v>
      </c>
      <c r="C40" t="s">
        <v>850</v>
      </c>
      <c r="D40" t="s">
        <v>854</v>
      </c>
      <c r="E40" t="s">
        <v>3046</v>
      </c>
      <c r="F40" t="s">
        <v>3062</v>
      </c>
      <c r="G40" t="s">
        <v>3063</v>
      </c>
      <c r="H40">
        <v>1.91</v>
      </c>
      <c r="I40">
        <v>1.91</v>
      </c>
      <c r="L40" s="39">
        <f t="shared" si="0"/>
        <v>46.5</v>
      </c>
      <c r="M40" t="str">
        <f t="shared" si="1"/>
        <v>Kansas City Chiefs</v>
      </c>
      <c r="N40" t="str">
        <f t="shared" si="2"/>
        <v>Pittsburgh Steelers</v>
      </c>
      <c r="O40" t="str">
        <f>VLOOKUP(M40,'Name Bridge'!$A:$B,2,FALSE)</f>
        <v>KC</v>
      </c>
      <c r="P40" s="73" t="str">
        <f>VLOOKUP(N40,'Name Bridge'!$A:$B,2,FALSE)</f>
        <v>PIT</v>
      </c>
      <c r="Q40" t="str">
        <f t="shared" si="3"/>
        <v>2022-01-17</v>
      </c>
      <c r="R40">
        <f t="shared" si="4"/>
        <v>44578</v>
      </c>
    </row>
    <row r="41" spans="1:18" x14ac:dyDescent="0.2">
      <c r="A41" t="s">
        <v>3054</v>
      </c>
      <c r="B41" t="s">
        <v>3055</v>
      </c>
      <c r="C41" t="s">
        <v>850</v>
      </c>
      <c r="D41" t="s">
        <v>859</v>
      </c>
      <c r="E41" t="s">
        <v>3044</v>
      </c>
      <c r="F41" t="s">
        <v>3062</v>
      </c>
      <c r="G41" t="s">
        <v>3063</v>
      </c>
      <c r="H41">
        <v>1.91</v>
      </c>
      <c r="I41">
        <v>1.91</v>
      </c>
      <c r="L41" s="39">
        <f t="shared" si="0"/>
        <v>46.5</v>
      </c>
      <c r="M41" t="str">
        <f t="shared" si="1"/>
        <v>Kansas City Chiefs</v>
      </c>
      <c r="N41" t="str">
        <f t="shared" si="2"/>
        <v>Pittsburgh Steelers</v>
      </c>
      <c r="O41" t="str">
        <f>VLOOKUP(M41,'Name Bridge'!$A:$B,2,FALSE)</f>
        <v>KC</v>
      </c>
      <c r="P41" s="73" t="str">
        <f>VLOOKUP(N41,'Name Bridge'!$A:$B,2,FALSE)</f>
        <v>PIT</v>
      </c>
      <c r="Q41" t="str">
        <f t="shared" si="3"/>
        <v>2022-01-17</v>
      </c>
      <c r="R41">
        <f t="shared" si="4"/>
        <v>44578</v>
      </c>
    </row>
    <row r="42" spans="1:18" x14ac:dyDescent="0.2">
      <c r="A42" t="s">
        <v>3054</v>
      </c>
      <c r="B42" t="s">
        <v>3055</v>
      </c>
      <c r="C42" t="s">
        <v>850</v>
      </c>
      <c r="D42" t="s">
        <v>852</v>
      </c>
      <c r="E42" t="s">
        <v>3044</v>
      </c>
      <c r="F42" t="s">
        <v>3062</v>
      </c>
      <c r="G42" t="s">
        <v>3063</v>
      </c>
      <c r="H42">
        <v>1.91</v>
      </c>
      <c r="I42">
        <v>1.91</v>
      </c>
      <c r="L42" s="39">
        <f t="shared" si="0"/>
        <v>46.5</v>
      </c>
      <c r="M42" t="str">
        <f t="shared" si="1"/>
        <v>Kansas City Chiefs</v>
      </c>
      <c r="N42" t="str">
        <f t="shared" si="2"/>
        <v>Pittsburgh Steelers</v>
      </c>
      <c r="O42" t="str">
        <f>VLOOKUP(M42,'Name Bridge'!$A:$B,2,FALSE)</f>
        <v>KC</v>
      </c>
      <c r="P42" s="73" t="str">
        <f>VLOOKUP(N42,'Name Bridge'!$A:$B,2,FALSE)</f>
        <v>PIT</v>
      </c>
      <c r="Q42" t="str">
        <f t="shared" si="3"/>
        <v>2022-01-17</v>
      </c>
      <c r="R42">
        <f t="shared" si="4"/>
        <v>44578</v>
      </c>
    </row>
    <row r="43" spans="1:18" x14ac:dyDescent="0.2">
      <c r="A43" t="s">
        <v>3054</v>
      </c>
      <c r="B43" t="s">
        <v>3055</v>
      </c>
      <c r="C43" t="s">
        <v>850</v>
      </c>
      <c r="D43" t="s">
        <v>2664</v>
      </c>
      <c r="E43" t="s">
        <v>3047</v>
      </c>
      <c r="F43" t="s">
        <v>3074</v>
      </c>
      <c r="G43" t="s">
        <v>3075</v>
      </c>
      <c r="H43">
        <v>1.87</v>
      </c>
      <c r="I43">
        <v>1.95</v>
      </c>
      <c r="L43" s="39">
        <f t="shared" si="0"/>
        <v>46</v>
      </c>
      <c r="M43" t="str">
        <f t="shared" si="1"/>
        <v>Kansas City Chiefs</v>
      </c>
      <c r="N43" t="str">
        <f t="shared" si="2"/>
        <v>Pittsburgh Steelers</v>
      </c>
      <c r="O43" t="str">
        <f>VLOOKUP(M43,'Name Bridge'!$A:$B,2,FALSE)</f>
        <v>KC</v>
      </c>
      <c r="P43" s="73" t="str">
        <f>VLOOKUP(N43,'Name Bridge'!$A:$B,2,FALSE)</f>
        <v>PIT</v>
      </c>
      <c r="Q43" t="str">
        <f t="shared" si="3"/>
        <v>2022-01-17</v>
      </c>
      <c r="R43">
        <f t="shared" si="4"/>
        <v>44578</v>
      </c>
    </row>
    <row r="44" spans="1:18" x14ac:dyDescent="0.2">
      <c r="A44" t="s">
        <v>3054</v>
      </c>
      <c r="B44" t="s">
        <v>3055</v>
      </c>
      <c r="C44" t="s">
        <v>850</v>
      </c>
      <c r="D44" t="s">
        <v>2305</v>
      </c>
      <c r="E44" t="s">
        <v>3045</v>
      </c>
      <c r="F44" t="s">
        <v>3062</v>
      </c>
      <c r="G44" t="s">
        <v>3063</v>
      </c>
      <c r="H44">
        <v>1.91</v>
      </c>
      <c r="I44">
        <v>1.91</v>
      </c>
      <c r="L44" s="39">
        <f t="shared" si="0"/>
        <v>46.5</v>
      </c>
      <c r="M44" t="str">
        <f t="shared" si="1"/>
        <v>Kansas City Chiefs</v>
      </c>
      <c r="N44" t="str">
        <f t="shared" si="2"/>
        <v>Pittsburgh Steelers</v>
      </c>
      <c r="O44" t="str">
        <f>VLOOKUP(M44,'Name Bridge'!$A:$B,2,FALSE)</f>
        <v>KC</v>
      </c>
      <c r="P44" s="73" t="str">
        <f>VLOOKUP(N44,'Name Bridge'!$A:$B,2,FALSE)</f>
        <v>PIT</v>
      </c>
      <c r="Q44" t="str">
        <f t="shared" si="3"/>
        <v>2022-01-17</v>
      </c>
      <c r="R44">
        <f t="shared" si="4"/>
        <v>44578</v>
      </c>
    </row>
    <row r="45" spans="1:18" x14ac:dyDescent="0.2">
      <c r="A45" t="s">
        <v>3054</v>
      </c>
      <c r="B45" t="s">
        <v>3055</v>
      </c>
      <c r="C45" t="s">
        <v>850</v>
      </c>
      <c r="D45" t="s">
        <v>853</v>
      </c>
      <c r="E45" t="s">
        <v>3047</v>
      </c>
      <c r="F45" t="s">
        <v>3062</v>
      </c>
      <c r="G45" t="s">
        <v>3063</v>
      </c>
      <c r="H45">
        <v>1.91</v>
      </c>
      <c r="I45">
        <v>1.91</v>
      </c>
      <c r="L45" s="39">
        <f t="shared" si="0"/>
        <v>46.5</v>
      </c>
      <c r="M45" t="str">
        <f t="shared" si="1"/>
        <v>Kansas City Chiefs</v>
      </c>
      <c r="N45" t="str">
        <f t="shared" si="2"/>
        <v>Pittsburgh Steelers</v>
      </c>
      <c r="O45" t="str">
        <f>VLOOKUP(M45,'Name Bridge'!$A:$B,2,FALSE)</f>
        <v>KC</v>
      </c>
      <c r="P45" s="73" t="str">
        <f>VLOOKUP(N45,'Name Bridge'!$A:$B,2,FALSE)</f>
        <v>PIT</v>
      </c>
      <c r="Q45" t="str">
        <f t="shared" si="3"/>
        <v>2022-01-17</v>
      </c>
      <c r="R45">
        <f t="shared" si="4"/>
        <v>44578</v>
      </c>
    </row>
    <row r="46" spans="1:18" x14ac:dyDescent="0.2">
      <c r="A46" t="s">
        <v>3054</v>
      </c>
      <c r="B46" t="s">
        <v>3055</v>
      </c>
      <c r="C46" t="s">
        <v>850</v>
      </c>
      <c r="D46" t="s">
        <v>861</v>
      </c>
      <c r="E46" t="s">
        <v>3043</v>
      </c>
      <c r="F46" t="s">
        <v>3062</v>
      </c>
      <c r="G46" t="s">
        <v>3063</v>
      </c>
      <c r="H46">
        <v>1.91</v>
      </c>
      <c r="I46">
        <v>1.91</v>
      </c>
      <c r="L46" s="39">
        <f t="shared" si="0"/>
        <v>46.5</v>
      </c>
      <c r="M46" t="str">
        <f t="shared" si="1"/>
        <v>Kansas City Chiefs</v>
      </c>
      <c r="N46" t="str">
        <f t="shared" si="2"/>
        <v>Pittsburgh Steelers</v>
      </c>
      <c r="O46" t="str">
        <f>VLOOKUP(M46,'Name Bridge'!$A:$B,2,FALSE)</f>
        <v>KC</v>
      </c>
      <c r="P46" s="73" t="str">
        <f>VLOOKUP(N46,'Name Bridge'!$A:$B,2,FALSE)</f>
        <v>PIT</v>
      </c>
      <c r="Q46" t="str">
        <f t="shared" si="3"/>
        <v>2022-01-17</v>
      </c>
      <c r="R46">
        <f t="shared" si="4"/>
        <v>44578</v>
      </c>
    </row>
    <row r="47" spans="1:18" x14ac:dyDescent="0.2">
      <c r="A47" t="s">
        <v>3054</v>
      </c>
      <c r="B47" t="s">
        <v>3055</v>
      </c>
      <c r="C47" t="s">
        <v>850</v>
      </c>
      <c r="D47" t="s">
        <v>2378</v>
      </c>
      <c r="E47" t="s">
        <v>3048</v>
      </c>
      <c r="F47" t="s">
        <v>3062</v>
      </c>
      <c r="G47" t="s">
        <v>3063</v>
      </c>
      <c r="H47">
        <v>1.91</v>
      </c>
      <c r="I47">
        <v>1.91</v>
      </c>
      <c r="L47" s="39">
        <f t="shared" si="0"/>
        <v>46.5</v>
      </c>
      <c r="M47" t="str">
        <f t="shared" si="1"/>
        <v>Kansas City Chiefs</v>
      </c>
      <c r="N47" t="str">
        <f t="shared" si="2"/>
        <v>Pittsburgh Steelers</v>
      </c>
      <c r="O47" t="str">
        <f>VLOOKUP(M47,'Name Bridge'!$A:$B,2,FALSE)</f>
        <v>KC</v>
      </c>
      <c r="P47" s="73" t="str">
        <f>VLOOKUP(N47,'Name Bridge'!$A:$B,2,FALSE)</f>
        <v>PIT</v>
      </c>
      <c r="Q47" t="str">
        <f t="shared" si="3"/>
        <v>2022-01-17</v>
      </c>
      <c r="R47">
        <f t="shared" si="4"/>
        <v>44578</v>
      </c>
    </row>
    <row r="48" spans="1:18" x14ac:dyDescent="0.2">
      <c r="A48" t="s">
        <v>3054</v>
      </c>
      <c r="B48" t="s">
        <v>3055</v>
      </c>
      <c r="C48" t="s">
        <v>850</v>
      </c>
      <c r="D48" t="s">
        <v>858</v>
      </c>
      <c r="E48" t="s">
        <v>3043</v>
      </c>
      <c r="F48" t="s">
        <v>3062</v>
      </c>
      <c r="G48" t="s">
        <v>3063</v>
      </c>
      <c r="H48">
        <v>1.91</v>
      </c>
      <c r="I48">
        <v>1.91</v>
      </c>
      <c r="L48" s="39">
        <f t="shared" si="0"/>
        <v>46.5</v>
      </c>
      <c r="M48" t="str">
        <f t="shared" si="1"/>
        <v>Kansas City Chiefs</v>
      </c>
      <c r="N48" t="str">
        <f t="shared" si="2"/>
        <v>Pittsburgh Steelers</v>
      </c>
      <c r="O48" t="str">
        <f>VLOOKUP(M48,'Name Bridge'!$A:$B,2,FALSE)</f>
        <v>KC</v>
      </c>
      <c r="P48" s="73" t="str">
        <f>VLOOKUP(N48,'Name Bridge'!$A:$B,2,FALSE)</f>
        <v>PIT</v>
      </c>
      <c r="Q48" t="str">
        <f t="shared" si="3"/>
        <v>2022-01-17</v>
      </c>
      <c r="R48">
        <f t="shared" si="4"/>
        <v>44578</v>
      </c>
    </row>
    <row r="49" spans="1:18" x14ac:dyDescent="0.2">
      <c r="A49" t="s">
        <v>3054</v>
      </c>
      <c r="B49" t="s">
        <v>3055</v>
      </c>
      <c r="C49" t="s">
        <v>850</v>
      </c>
      <c r="D49" t="s">
        <v>860</v>
      </c>
      <c r="E49" t="s">
        <v>3044</v>
      </c>
      <c r="F49" t="s">
        <v>3062</v>
      </c>
      <c r="G49" t="s">
        <v>3063</v>
      </c>
      <c r="H49">
        <v>1.91</v>
      </c>
      <c r="I49">
        <v>1.91</v>
      </c>
      <c r="L49" s="39">
        <f t="shared" si="0"/>
        <v>46.5</v>
      </c>
      <c r="M49" t="str">
        <f t="shared" si="1"/>
        <v>Kansas City Chiefs</v>
      </c>
      <c r="N49" t="str">
        <f t="shared" si="2"/>
        <v>Pittsburgh Steelers</v>
      </c>
      <c r="O49" t="str">
        <f>VLOOKUP(M49,'Name Bridge'!$A:$B,2,FALSE)</f>
        <v>KC</v>
      </c>
      <c r="P49" s="73" t="str">
        <f>VLOOKUP(N49,'Name Bridge'!$A:$B,2,FALSE)</f>
        <v>PIT</v>
      </c>
      <c r="Q49" t="str">
        <f t="shared" si="3"/>
        <v>2022-01-17</v>
      </c>
      <c r="R49">
        <f t="shared" si="4"/>
        <v>44578</v>
      </c>
    </row>
    <row r="50" spans="1:18" x14ac:dyDescent="0.2">
      <c r="A50" t="s">
        <v>3054</v>
      </c>
      <c r="B50" t="s">
        <v>3055</v>
      </c>
      <c r="C50" t="s">
        <v>850</v>
      </c>
      <c r="D50" t="s">
        <v>2408</v>
      </c>
      <c r="E50" t="s">
        <v>3047</v>
      </c>
      <c r="F50" t="s">
        <v>3062</v>
      </c>
      <c r="G50" t="s">
        <v>3063</v>
      </c>
      <c r="H50">
        <v>1.91</v>
      </c>
      <c r="I50">
        <v>1.91</v>
      </c>
      <c r="L50" s="39">
        <f t="shared" si="0"/>
        <v>46.5</v>
      </c>
      <c r="M50" t="str">
        <f t="shared" si="1"/>
        <v>Kansas City Chiefs</v>
      </c>
      <c r="N50" t="str">
        <f t="shared" si="2"/>
        <v>Pittsburgh Steelers</v>
      </c>
      <c r="O50" t="str">
        <f>VLOOKUP(M50,'Name Bridge'!$A:$B,2,FALSE)</f>
        <v>KC</v>
      </c>
      <c r="P50" s="73" t="str">
        <f>VLOOKUP(N50,'Name Bridge'!$A:$B,2,FALSE)</f>
        <v>PIT</v>
      </c>
      <c r="Q50" t="str">
        <f t="shared" si="3"/>
        <v>2022-01-17</v>
      </c>
      <c r="R50">
        <f t="shared" si="4"/>
        <v>44578</v>
      </c>
    </row>
    <row r="51" spans="1:18" x14ac:dyDescent="0.2">
      <c r="A51" t="s">
        <v>3054</v>
      </c>
      <c r="B51" t="s">
        <v>3055</v>
      </c>
      <c r="C51" t="s">
        <v>850</v>
      </c>
      <c r="D51" t="s">
        <v>856</v>
      </c>
      <c r="E51" t="s">
        <v>3048</v>
      </c>
      <c r="F51" t="s">
        <v>3062</v>
      </c>
      <c r="G51" t="s">
        <v>3063</v>
      </c>
      <c r="H51">
        <v>1.92</v>
      </c>
      <c r="I51">
        <v>1.92</v>
      </c>
      <c r="L51" s="39">
        <f t="shared" si="0"/>
        <v>46.5</v>
      </c>
      <c r="M51" t="str">
        <f t="shared" si="1"/>
        <v>Kansas City Chiefs</v>
      </c>
      <c r="N51" t="str">
        <f t="shared" si="2"/>
        <v>Pittsburgh Steelers</v>
      </c>
      <c r="O51" t="str">
        <f>VLOOKUP(M51,'Name Bridge'!$A:$B,2,FALSE)</f>
        <v>KC</v>
      </c>
      <c r="P51" s="73" t="str">
        <f>VLOOKUP(N51,'Name Bridge'!$A:$B,2,FALSE)</f>
        <v>PIT</v>
      </c>
      <c r="Q51" t="str">
        <f t="shared" si="3"/>
        <v>2022-01-17</v>
      </c>
      <c r="R51">
        <f t="shared" si="4"/>
        <v>44578</v>
      </c>
    </row>
    <row r="52" spans="1:18" x14ac:dyDescent="0.2">
      <c r="A52" t="s">
        <v>3054</v>
      </c>
      <c r="B52" t="s">
        <v>3055</v>
      </c>
      <c r="C52" t="s">
        <v>850</v>
      </c>
      <c r="D52" t="s">
        <v>857</v>
      </c>
      <c r="E52" t="s">
        <v>3050</v>
      </c>
      <c r="F52" t="s">
        <v>3062</v>
      </c>
      <c r="G52" t="s">
        <v>3063</v>
      </c>
      <c r="H52">
        <v>1.91</v>
      </c>
      <c r="I52">
        <v>1.91</v>
      </c>
      <c r="L52" s="39">
        <f t="shared" si="0"/>
        <v>46.5</v>
      </c>
      <c r="M52" t="str">
        <f t="shared" si="1"/>
        <v>Kansas City Chiefs</v>
      </c>
      <c r="N52" t="str">
        <f t="shared" si="2"/>
        <v>Pittsburgh Steelers</v>
      </c>
      <c r="O52" t="str">
        <f>VLOOKUP(M52,'Name Bridge'!$A:$B,2,FALSE)</f>
        <v>KC</v>
      </c>
      <c r="P52" s="73" t="str">
        <f>VLOOKUP(N52,'Name Bridge'!$A:$B,2,FALSE)</f>
        <v>PIT</v>
      </c>
      <c r="Q52" t="str">
        <f t="shared" si="3"/>
        <v>2022-01-17</v>
      </c>
      <c r="R52">
        <f t="shared" si="4"/>
        <v>44578</v>
      </c>
    </row>
    <row r="53" spans="1:18" x14ac:dyDescent="0.2">
      <c r="A53" t="s">
        <v>3054</v>
      </c>
      <c r="B53" t="s">
        <v>3055</v>
      </c>
      <c r="C53" t="s">
        <v>850</v>
      </c>
      <c r="D53" t="s">
        <v>862</v>
      </c>
      <c r="E53" t="s">
        <v>3044</v>
      </c>
      <c r="F53" t="s">
        <v>3074</v>
      </c>
      <c r="G53" t="s">
        <v>3075</v>
      </c>
      <c r="H53">
        <v>1.91</v>
      </c>
      <c r="I53">
        <v>1.91</v>
      </c>
      <c r="L53" s="39">
        <f t="shared" si="0"/>
        <v>46</v>
      </c>
      <c r="M53" t="str">
        <f t="shared" si="1"/>
        <v>Kansas City Chiefs</v>
      </c>
      <c r="N53" t="str">
        <f t="shared" si="2"/>
        <v>Pittsburgh Steelers</v>
      </c>
      <c r="O53" t="str">
        <f>VLOOKUP(M53,'Name Bridge'!$A:$B,2,FALSE)</f>
        <v>KC</v>
      </c>
      <c r="P53" s="73" t="str">
        <f>VLOOKUP(N53,'Name Bridge'!$A:$B,2,FALSE)</f>
        <v>PIT</v>
      </c>
      <c r="Q53" t="str">
        <f t="shared" si="3"/>
        <v>2022-01-17</v>
      </c>
      <c r="R53">
        <f t="shared" si="4"/>
        <v>44578</v>
      </c>
    </row>
    <row r="54" spans="1:18" x14ac:dyDescent="0.2">
      <c r="A54" t="s">
        <v>3054</v>
      </c>
      <c r="B54" t="s">
        <v>3055</v>
      </c>
      <c r="C54" t="s">
        <v>850</v>
      </c>
      <c r="D54" t="s">
        <v>2332</v>
      </c>
      <c r="E54" t="s">
        <v>3045</v>
      </c>
      <c r="F54" t="s">
        <v>3064</v>
      </c>
      <c r="G54" t="s">
        <v>3065</v>
      </c>
      <c r="H54">
        <v>1.91</v>
      </c>
      <c r="I54">
        <v>1.91</v>
      </c>
      <c r="L54" s="39">
        <f t="shared" si="0"/>
        <v>46</v>
      </c>
      <c r="M54" t="str">
        <f t="shared" si="1"/>
        <v>Kansas City Chiefs</v>
      </c>
      <c r="N54" t="str">
        <f t="shared" si="2"/>
        <v>Pittsburgh Steelers</v>
      </c>
      <c r="O54" t="str">
        <f>VLOOKUP(M54,'Name Bridge'!$A:$B,2,FALSE)</f>
        <v>KC</v>
      </c>
      <c r="P54" s="73" t="str">
        <f>VLOOKUP(N54,'Name Bridge'!$A:$B,2,FALSE)</f>
        <v>PIT</v>
      </c>
      <c r="Q54" t="str">
        <f t="shared" si="3"/>
        <v>2022-01-17</v>
      </c>
      <c r="R54">
        <f t="shared" si="4"/>
        <v>44578</v>
      </c>
    </row>
    <row r="55" spans="1:18" x14ac:dyDescent="0.2">
      <c r="A55" t="s">
        <v>3054</v>
      </c>
      <c r="B55" t="s">
        <v>3055</v>
      </c>
      <c r="C55" t="s">
        <v>850</v>
      </c>
      <c r="D55" t="s">
        <v>3051</v>
      </c>
      <c r="E55" t="s">
        <v>3048</v>
      </c>
      <c r="F55" t="s">
        <v>3074</v>
      </c>
      <c r="G55" t="s">
        <v>3075</v>
      </c>
      <c r="H55">
        <v>1.91</v>
      </c>
      <c r="I55">
        <v>2</v>
      </c>
      <c r="L55" s="39">
        <f t="shared" si="0"/>
        <v>46</v>
      </c>
      <c r="M55" t="str">
        <f t="shared" si="1"/>
        <v>Kansas City Chiefs</v>
      </c>
      <c r="N55" t="str">
        <f t="shared" si="2"/>
        <v>Pittsburgh Steelers</v>
      </c>
      <c r="O55" t="str">
        <f>VLOOKUP(M55,'Name Bridge'!$A:$B,2,FALSE)</f>
        <v>KC</v>
      </c>
      <c r="P55" s="73" t="str">
        <f>VLOOKUP(N55,'Name Bridge'!$A:$B,2,FALSE)</f>
        <v>PIT</v>
      </c>
      <c r="Q55" t="str">
        <f t="shared" si="3"/>
        <v>2022-01-17</v>
      </c>
      <c r="R55">
        <f t="shared" si="4"/>
        <v>44578</v>
      </c>
    </row>
    <row r="56" spans="1:18" x14ac:dyDescent="0.2">
      <c r="A56" t="s">
        <v>3056</v>
      </c>
      <c r="B56" t="s">
        <v>3057</v>
      </c>
      <c r="C56" t="s">
        <v>850</v>
      </c>
      <c r="D56" t="s">
        <v>851</v>
      </c>
      <c r="E56" t="s">
        <v>3042</v>
      </c>
      <c r="F56" t="s">
        <v>3076</v>
      </c>
      <c r="G56" t="s">
        <v>3077</v>
      </c>
      <c r="H56">
        <v>1.92</v>
      </c>
      <c r="I56">
        <v>1.9</v>
      </c>
      <c r="L56" s="39">
        <f t="shared" si="0"/>
        <v>49.5</v>
      </c>
      <c r="M56" t="str">
        <f t="shared" si="1"/>
        <v>Arizona Cardinals</v>
      </c>
      <c r="N56" t="str">
        <f t="shared" si="2"/>
        <v>Los Angeles Rams</v>
      </c>
      <c r="O56" t="str">
        <f>VLOOKUP(M56,'Name Bridge'!$A:$B,2,FALSE)</f>
        <v>ARI</v>
      </c>
      <c r="P56" s="73" t="str">
        <f>VLOOKUP(N56,'Name Bridge'!$A:$B,2,FALSE)</f>
        <v>LAR</v>
      </c>
      <c r="Q56" t="str">
        <f t="shared" si="3"/>
        <v>2022-01-18</v>
      </c>
      <c r="R56">
        <f t="shared" si="4"/>
        <v>44579</v>
      </c>
    </row>
    <row r="57" spans="1:18" x14ac:dyDescent="0.2">
      <c r="A57" t="s">
        <v>3056</v>
      </c>
      <c r="B57" t="s">
        <v>3057</v>
      </c>
      <c r="C57" t="s">
        <v>850</v>
      </c>
      <c r="D57" t="s">
        <v>855</v>
      </c>
      <c r="E57" t="s">
        <v>3043</v>
      </c>
      <c r="F57" t="s">
        <v>3076</v>
      </c>
      <c r="G57" t="s">
        <v>3077</v>
      </c>
      <c r="H57">
        <v>1.92</v>
      </c>
      <c r="I57">
        <v>1.89</v>
      </c>
      <c r="L57" s="39">
        <f t="shared" si="0"/>
        <v>49.5</v>
      </c>
      <c r="M57" t="str">
        <f t="shared" si="1"/>
        <v>Arizona Cardinals</v>
      </c>
      <c r="N57" t="str">
        <f t="shared" si="2"/>
        <v>Los Angeles Rams</v>
      </c>
      <c r="O57" t="str">
        <f>VLOOKUP(M57,'Name Bridge'!$A:$B,2,FALSE)</f>
        <v>ARI</v>
      </c>
      <c r="P57" s="73" t="str">
        <f>VLOOKUP(N57,'Name Bridge'!$A:$B,2,FALSE)</f>
        <v>LAR</v>
      </c>
      <c r="Q57" t="str">
        <f t="shared" si="3"/>
        <v>2022-01-18</v>
      </c>
      <c r="R57">
        <f t="shared" si="4"/>
        <v>44579</v>
      </c>
    </row>
    <row r="58" spans="1:18" x14ac:dyDescent="0.2">
      <c r="A58" t="s">
        <v>3056</v>
      </c>
      <c r="B58" t="s">
        <v>3057</v>
      </c>
      <c r="C58" t="s">
        <v>850</v>
      </c>
      <c r="D58" t="s">
        <v>852</v>
      </c>
      <c r="E58" t="s">
        <v>3044</v>
      </c>
      <c r="F58" t="s">
        <v>3076</v>
      </c>
      <c r="G58" t="s">
        <v>3077</v>
      </c>
      <c r="H58">
        <v>1.92</v>
      </c>
      <c r="I58">
        <v>1.89</v>
      </c>
      <c r="L58" s="39">
        <f t="shared" si="0"/>
        <v>49.5</v>
      </c>
      <c r="M58" t="str">
        <f t="shared" si="1"/>
        <v>Arizona Cardinals</v>
      </c>
      <c r="N58" t="str">
        <f t="shared" si="2"/>
        <v>Los Angeles Rams</v>
      </c>
      <c r="O58" t="str">
        <f>VLOOKUP(M58,'Name Bridge'!$A:$B,2,FALSE)</f>
        <v>ARI</v>
      </c>
      <c r="P58" s="73" t="str">
        <f>VLOOKUP(N58,'Name Bridge'!$A:$B,2,FALSE)</f>
        <v>LAR</v>
      </c>
      <c r="Q58" t="str">
        <f t="shared" si="3"/>
        <v>2022-01-18</v>
      </c>
      <c r="R58">
        <f t="shared" si="4"/>
        <v>44579</v>
      </c>
    </row>
    <row r="59" spans="1:18" x14ac:dyDescent="0.2">
      <c r="A59" t="s">
        <v>3056</v>
      </c>
      <c r="B59" t="s">
        <v>3057</v>
      </c>
      <c r="C59" t="s">
        <v>850</v>
      </c>
      <c r="D59" t="s">
        <v>859</v>
      </c>
      <c r="E59" t="s">
        <v>3044</v>
      </c>
      <c r="F59" t="s">
        <v>3076</v>
      </c>
      <c r="G59" t="s">
        <v>3077</v>
      </c>
      <c r="H59">
        <v>1.92</v>
      </c>
      <c r="I59">
        <v>1.89</v>
      </c>
      <c r="L59" s="39">
        <f t="shared" si="0"/>
        <v>49.5</v>
      </c>
      <c r="M59" t="str">
        <f t="shared" si="1"/>
        <v>Arizona Cardinals</v>
      </c>
      <c r="N59" t="str">
        <f t="shared" si="2"/>
        <v>Los Angeles Rams</v>
      </c>
      <c r="O59" t="str">
        <f>VLOOKUP(M59,'Name Bridge'!$A:$B,2,FALSE)</f>
        <v>ARI</v>
      </c>
      <c r="P59" s="73" t="str">
        <f>VLOOKUP(N59,'Name Bridge'!$A:$B,2,FALSE)</f>
        <v>LAR</v>
      </c>
      <c r="Q59" t="str">
        <f t="shared" si="3"/>
        <v>2022-01-18</v>
      </c>
      <c r="R59">
        <f t="shared" si="4"/>
        <v>44579</v>
      </c>
    </row>
    <row r="60" spans="1:18" x14ac:dyDescent="0.2">
      <c r="A60" t="s">
        <v>3056</v>
      </c>
      <c r="B60" t="s">
        <v>3057</v>
      </c>
      <c r="C60" t="s">
        <v>850</v>
      </c>
      <c r="D60" t="s">
        <v>858</v>
      </c>
      <c r="E60" t="s">
        <v>3043</v>
      </c>
      <c r="F60" t="s">
        <v>3076</v>
      </c>
      <c r="G60" t="s">
        <v>3077</v>
      </c>
      <c r="H60">
        <v>1.91</v>
      </c>
      <c r="I60">
        <v>1.91</v>
      </c>
      <c r="L60" s="39">
        <f t="shared" si="0"/>
        <v>49.5</v>
      </c>
      <c r="M60" t="str">
        <f t="shared" si="1"/>
        <v>Arizona Cardinals</v>
      </c>
      <c r="N60" t="str">
        <f t="shared" si="2"/>
        <v>Los Angeles Rams</v>
      </c>
      <c r="O60" t="str">
        <f>VLOOKUP(M60,'Name Bridge'!$A:$B,2,FALSE)</f>
        <v>ARI</v>
      </c>
      <c r="P60" s="73" t="str">
        <f>VLOOKUP(N60,'Name Bridge'!$A:$B,2,FALSE)</f>
        <v>LAR</v>
      </c>
      <c r="Q60" t="str">
        <f t="shared" si="3"/>
        <v>2022-01-18</v>
      </c>
      <c r="R60">
        <f t="shared" si="4"/>
        <v>44579</v>
      </c>
    </row>
    <row r="61" spans="1:18" x14ac:dyDescent="0.2">
      <c r="A61" t="s">
        <v>3056</v>
      </c>
      <c r="B61" t="s">
        <v>3057</v>
      </c>
      <c r="C61" t="s">
        <v>850</v>
      </c>
      <c r="D61" t="s">
        <v>2305</v>
      </c>
      <c r="E61" t="s">
        <v>3045</v>
      </c>
      <c r="F61" t="s">
        <v>3076</v>
      </c>
      <c r="G61" t="s">
        <v>3077</v>
      </c>
      <c r="H61">
        <v>1.92</v>
      </c>
      <c r="I61">
        <v>1.89</v>
      </c>
      <c r="L61" s="39">
        <f t="shared" si="0"/>
        <v>49.5</v>
      </c>
      <c r="M61" t="str">
        <f t="shared" si="1"/>
        <v>Arizona Cardinals</v>
      </c>
      <c r="N61" t="str">
        <f t="shared" si="2"/>
        <v>Los Angeles Rams</v>
      </c>
      <c r="O61" t="str">
        <f>VLOOKUP(M61,'Name Bridge'!$A:$B,2,FALSE)</f>
        <v>ARI</v>
      </c>
      <c r="P61" s="73" t="str">
        <f>VLOOKUP(N61,'Name Bridge'!$A:$B,2,FALSE)</f>
        <v>LAR</v>
      </c>
      <c r="Q61" t="str">
        <f t="shared" si="3"/>
        <v>2022-01-18</v>
      </c>
      <c r="R61">
        <f t="shared" si="4"/>
        <v>44579</v>
      </c>
    </row>
    <row r="62" spans="1:18" x14ac:dyDescent="0.2">
      <c r="A62" t="s">
        <v>3056</v>
      </c>
      <c r="B62" t="s">
        <v>3057</v>
      </c>
      <c r="C62" t="s">
        <v>850</v>
      </c>
      <c r="D62" t="s">
        <v>854</v>
      </c>
      <c r="E62" t="s">
        <v>3046</v>
      </c>
      <c r="F62" t="s">
        <v>3076</v>
      </c>
      <c r="G62" t="s">
        <v>3077</v>
      </c>
      <c r="H62">
        <v>1.91</v>
      </c>
      <c r="I62">
        <v>1.91</v>
      </c>
      <c r="L62" s="39">
        <f t="shared" si="0"/>
        <v>49.5</v>
      </c>
      <c r="M62" t="str">
        <f t="shared" si="1"/>
        <v>Arizona Cardinals</v>
      </c>
      <c r="N62" t="str">
        <f t="shared" si="2"/>
        <v>Los Angeles Rams</v>
      </c>
      <c r="O62" t="str">
        <f>VLOOKUP(M62,'Name Bridge'!$A:$B,2,FALSE)</f>
        <v>ARI</v>
      </c>
      <c r="P62" s="73" t="str">
        <f>VLOOKUP(N62,'Name Bridge'!$A:$B,2,FALSE)</f>
        <v>LAR</v>
      </c>
      <c r="Q62" t="str">
        <f t="shared" si="3"/>
        <v>2022-01-18</v>
      </c>
      <c r="R62">
        <f t="shared" si="4"/>
        <v>44579</v>
      </c>
    </row>
    <row r="63" spans="1:18" x14ac:dyDescent="0.2">
      <c r="A63" t="s">
        <v>3056</v>
      </c>
      <c r="B63" t="s">
        <v>3057</v>
      </c>
      <c r="C63" t="s">
        <v>850</v>
      </c>
      <c r="D63" t="s">
        <v>2664</v>
      </c>
      <c r="E63" t="s">
        <v>3047</v>
      </c>
      <c r="F63" t="s">
        <v>3076</v>
      </c>
      <c r="G63" t="s">
        <v>3077</v>
      </c>
      <c r="H63">
        <v>1.89</v>
      </c>
      <c r="I63">
        <v>1.92</v>
      </c>
      <c r="L63" s="39">
        <f t="shared" si="0"/>
        <v>49.5</v>
      </c>
      <c r="M63" t="str">
        <f t="shared" si="1"/>
        <v>Arizona Cardinals</v>
      </c>
      <c r="N63" t="str">
        <f t="shared" si="2"/>
        <v>Los Angeles Rams</v>
      </c>
      <c r="O63" t="str">
        <f>VLOOKUP(M63,'Name Bridge'!$A:$B,2,FALSE)</f>
        <v>ARI</v>
      </c>
      <c r="P63" s="73" t="str">
        <f>VLOOKUP(N63,'Name Bridge'!$A:$B,2,FALSE)</f>
        <v>LAR</v>
      </c>
      <c r="Q63" t="str">
        <f t="shared" si="3"/>
        <v>2022-01-18</v>
      </c>
      <c r="R63">
        <f t="shared" si="4"/>
        <v>44579</v>
      </c>
    </row>
    <row r="64" spans="1:18" x14ac:dyDescent="0.2">
      <c r="A64" t="s">
        <v>3056</v>
      </c>
      <c r="B64" t="s">
        <v>3057</v>
      </c>
      <c r="C64" t="s">
        <v>850</v>
      </c>
      <c r="D64" t="s">
        <v>2408</v>
      </c>
      <c r="E64" t="s">
        <v>3047</v>
      </c>
      <c r="F64" t="s">
        <v>3078</v>
      </c>
      <c r="G64" t="s">
        <v>3079</v>
      </c>
      <c r="H64">
        <v>1.91</v>
      </c>
      <c r="I64">
        <v>1.91</v>
      </c>
      <c r="L64" s="39">
        <f t="shared" si="0"/>
        <v>50</v>
      </c>
      <c r="M64" t="str">
        <f t="shared" si="1"/>
        <v>Arizona Cardinals</v>
      </c>
      <c r="N64" t="str">
        <f t="shared" si="2"/>
        <v>Los Angeles Rams</v>
      </c>
      <c r="O64" t="str">
        <f>VLOOKUP(M64,'Name Bridge'!$A:$B,2,FALSE)</f>
        <v>ARI</v>
      </c>
      <c r="P64" s="73" t="str">
        <f>VLOOKUP(N64,'Name Bridge'!$A:$B,2,FALSE)</f>
        <v>LAR</v>
      </c>
      <c r="Q64" t="str">
        <f t="shared" si="3"/>
        <v>2022-01-18</v>
      </c>
      <c r="R64">
        <f t="shared" si="4"/>
        <v>44579</v>
      </c>
    </row>
    <row r="65" spans="1:18" x14ac:dyDescent="0.2">
      <c r="A65" t="s">
        <v>3056</v>
      </c>
      <c r="B65" t="s">
        <v>3057</v>
      </c>
      <c r="C65" t="s">
        <v>850</v>
      </c>
      <c r="D65" t="s">
        <v>860</v>
      </c>
      <c r="E65" t="s">
        <v>3044</v>
      </c>
      <c r="F65" t="s">
        <v>3078</v>
      </c>
      <c r="G65" t="s">
        <v>3079</v>
      </c>
      <c r="H65">
        <v>1.91</v>
      </c>
      <c r="I65">
        <v>1.91</v>
      </c>
      <c r="L65" s="39">
        <f t="shared" si="0"/>
        <v>50</v>
      </c>
      <c r="M65" t="str">
        <f t="shared" si="1"/>
        <v>Arizona Cardinals</v>
      </c>
      <c r="N65" t="str">
        <f t="shared" si="2"/>
        <v>Los Angeles Rams</v>
      </c>
      <c r="O65" t="str">
        <f>VLOOKUP(M65,'Name Bridge'!$A:$B,2,FALSE)</f>
        <v>ARI</v>
      </c>
      <c r="P65" s="73" t="str">
        <f>VLOOKUP(N65,'Name Bridge'!$A:$B,2,FALSE)</f>
        <v>LAR</v>
      </c>
      <c r="Q65" t="str">
        <f t="shared" si="3"/>
        <v>2022-01-18</v>
      </c>
      <c r="R65">
        <f t="shared" si="4"/>
        <v>44579</v>
      </c>
    </row>
    <row r="66" spans="1:18" x14ac:dyDescent="0.2">
      <c r="A66" t="s">
        <v>3056</v>
      </c>
      <c r="B66" t="s">
        <v>3057</v>
      </c>
      <c r="C66" t="s">
        <v>850</v>
      </c>
      <c r="D66" t="s">
        <v>853</v>
      </c>
      <c r="E66" t="s">
        <v>3047</v>
      </c>
      <c r="F66" t="s">
        <v>3076</v>
      </c>
      <c r="G66" t="s">
        <v>3077</v>
      </c>
      <c r="H66">
        <v>1.91</v>
      </c>
      <c r="I66">
        <v>1.91</v>
      </c>
      <c r="L66" s="39">
        <f t="shared" si="0"/>
        <v>49.5</v>
      </c>
      <c r="M66" t="str">
        <f t="shared" si="1"/>
        <v>Arizona Cardinals</v>
      </c>
      <c r="N66" t="str">
        <f t="shared" si="2"/>
        <v>Los Angeles Rams</v>
      </c>
      <c r="O66" t="str">
        <f>VLOOKUP(M66,'Name Bridge'!$A:$B,2,FALSE)</f>
        <v>ARI</v>
      </c>
      <c r="P66" s="73" t="str">
        <f>VLOOKUP(N66,'Name Bridge'!$A:$B,2,FALSE)</f>
        <v>LAR</v>
      </c>
      <c r="Q66" t="str">
        <f t="shared" si="3"/>
        <v>2022-01-18</v>
      </c>
      <c r="R66">
        <f t="shared" si="4"/>
        <v>44579</v>
      </c>
    </row>
    <row r="67" spans="1:18" x14ac:dyDescent="0.2">
      <c r="A67" t="s">
        <v>3056</v>
      </c>
      <c r="B67" t="s">
        <v>3057</v>
      </c>
      <c r="C67" t="s">
        <v>850</v>
      </c>
      <c r="D67" t="s">
        <v>861</v>
      </c>
      <c r="E67" t="s">
        <v>3043</v>
      </c>
      <c r="F67" t="s">
        <v>3076</v>
      </c>
      <c r="G67" t="s">
        <v>3077</v>
      </c>
      <c r="H67">
        <v>1.91</v>
      </c>
      <c r="I67">
        <v>1.91</v>
      </c>
      <c r="L67" s="39">
        <f t="shared" ref="L67:L130" si="5">_xlfn.NUMBERVALUE(RIGHT(F67,LEN(F67)-FIND(" ",F67)))</f>
        <v>49.5</v>
      </c>
      <c r="M67" t="str">
        <f t="shared" ref="M67:M130" si="6">LEFT(A67,(FIND("_",A67)-1))</f>
        <v>Arizona Cardinals</v>
      </c>
      <c r="N67" t="str">
        <f t="shared" ref="N67:N130" si="7">RIGHT(A67,LEN(A67)-FIND("_",A67))</f>
        <v>Los Angeles Rams</v>
      </c>
      <c r="O67" t="str">
        <f>VLOOKUP(M67,'Name Bridge'!$A:$B,2,FALSE)</f>
        <v>ARI</v>
      </c>
      <c r="P67" s="73" t="str">
        <f>VLOOKUP(N67,'Name Bridge'!$A:$B,2,FALSE)</f>
        <v>LAR</v>
      </c>
      <c r="Q67" t="str">
        <f t="shared" ref="Q67:Q130" si="8">LEFT(B67,10)</f>
        <v>2022-01-18</v>
      </c>
      <c r="R67">
        <f t="shared" ref="R67:R130" si="9">_xlfn.NUMBERVALUE(Q67)</f>
        <v>44579</v>
      </c>
    </row>
    <row r="68" spans="1:18" x14ac:dyDescent="0.2">
      <c r="A68" t="s">
        <v>3056</v>
      </c>
      <c r="B68" t="s">
        <v>3057</v>
      </c>
      <c r="C68" t="s">
        <v>850</v>
      </c>
      <c r="D68" t="s">
        <v>2378</v>
      </c>
      <c r="E68" t="s">
        <v>3048</v>
      </c>
      <c r="F68" t="s">
        <v>3076</v>
      </c>
      <c r="G68" t="s">
        <v>3077</v>
      </c>
      <c r="H68">
        <v>1.91</v>
      </c>
      <c r="I68">
        <v>1.91</v>
      </c>
      <c r="L68" s="39">
        <f t="shared" si="5"/>
        <v>49.5</v>
      </c>
      <c r="M68" t="str">
        <f t="shared" si="6"/>
        <v>Arizona Cardinals</v>
      </c>
      <c r="N68" t="str">
        <f t="shared" si="7"/>
        <v>Los Angeles Rams</v>
      </c>
      <c r="O68" t="str">
        <f>VLOOKUP(M68,'Name Bridge'!$A:$B,2,FALSE)</f>
        <v>ARI</v>
      </c>
      <c r="P68" s="73" t="str">
        <f>VLOOKUP(N68,'Name Bridge'!$A:$B,2,FALSE)</f>
        <v>LAR</v>
      </c>
      <c r="Q68" t="str">
        <f t="shared" si="8"/>
        <v>2022-01-18</v>
      </c>
      <c r="R68">
        <f t="shared" si="9"/>
        <v>44579</v>
      </c>
    </row>
    <row r="69" spans="1:18" x14ac:dyDescent="0.2">
      <c r="A69" t="s">
        <v>3056</v>
      </c>
      <c r="B69" t="s">
        <v>3057</v>
      </c>
      <c r="C69" t="s">
        <v>850</v>
      </c>
      <c r="D69" t="s">
        <v>856</v>
      </c>
      <c r="E69" t="s">
        <v>3048</v>
      </c>
      <c r="F69" t="s">
        <v>3076</v>
      </c>
      <c r="G69" t="s">
        <v>3077</v>
      </c>
      <c r="H69">
        <v>1.92</v>
      </c>
      <c r="I69">
        <v>1.92</v>
      </c>
      <c r="L69" s="39">
        <f t="shared" si="5"/>
        <v>49.5</v>
      </c>
      <c r="M69" t="str">
        <f t="shared" si="6"/>
        <v>Arizona Cardinals</v>
      </c>
      <c r="N69" t="str">
        <f t="shared" si="7"/>
        <v>Los Angeles Rams</v>
      </c>
      <c r="O69" t="str">
        <f>VLOOKUP(M69,'Name Bridge'!$A:$B,2,FALSE)</f>
        <v>ARI</v>
      </c>
      <c r="P69" s="73" t="str">
        <f>VLOOKUP(N69,'Name Bridge'!$A:$B,2,FALSE)</f>
        <v>LAR</v>
      </c>
      <c r="Q69" t="str">
        <f t="shared" si="8"/>
        <v>2022-01-18</v>
      </c>
      <c r="R69">
        <f t="shared" si="9"/>
        <v>44579</v>
      </c>
    </row>
    <row r="70" spans="1:18" x14ac:dyDescent="0.2">
      <c r="A70" t="s">
        <v>3056</v>
      </c>
      <c r="B70" t="s">
        <v>3057</v>
      </c>
      <c r="C70" t="s">
        <v>850</v>
      </c>
      <c r="D70" t="s">
        <v>857</v>
      </c>
      <c r="E70" t="s">
        <v>3050</v>
      </c>
      <c r="F70" t="s">
        <v>3076</v>
      </c>
      <c r="G70" t="s">
        <v>3077</v>
      </c>
      <c r="H70">
        <v>1.91</v>
      </c>
      <c r="I70">
        <v>1.91</v>
      </c>
      <c r="L70" s="39">
        <f t="shared" si="5"/>
        <v>49.5</v>
      </c>
      <c r="M70" t="str">
        <f t="shared" si="6"/>
        <v>Arizona Cardinals</v>
      </c>
      <c r="N70" t="str">
        <f t="shared" si="7"/>
        <v>Los Angeles Rams</v>
      </c>
      <c r="O70" t="str">
        <f>VLOOKUP(M70,'Name Bridge'!$A:$B,2,FALSE)</f>
        <v>ARI</v>
      </c>
      <c r="P70" s="73" t="str">
        <f>VLOOKUP(N70,'Name Bridge'!$A:$B,2,FALSE)</f>
        <v>LAR</v>
      </c>
      <c r="Q70" t="str">
        <f t="shared" si="8"/>
        <v>2022-01-18</v>
      </c>
      <c r="R70">
        <f t="shared" si="9"/>
        <v>44579</v>
      </c>
    </row>
    <row r="71" spans="1:18" x14ac:dyDescent="0.2">
      <c r="A71" t="s">
        <v>3056</v>
      </c>
      <c r="B71" t="s">
        <v>3057</v>
      </c>
      <c r="C71" t="s">
        <v>850</v>
      </c>
      <c r="D71" t="s">
        <v>862</v>
      </c>
      <c r="E71" t="s">
        <v>3044</v>
      </c>
      <c r="F71" t="s">
        <v>3080</v>
      </c>
      <c r="G71" t="s">
        <v>3081</v>
      </c>
      <c r="H71">
        <v>1.91</v>
      </c>
      <c r="I71">
        <v>1.91</v>
      </c>
      <c r="L71" s="39">
        <f t="shared" si="5"/>
        <v>50</v>
      </c>
      <c r="M71" t="str">
        <f t="shared" si="6"/>
        <v>Arizona Cardinals</v>
      </c>
      <c r="N71" t="str">
        <f t="shared" si="7"/>
        <v>Los Angeles Rams</v>
      </c>
      <c r="O71" t="str">
        <f>VLOOKUP(M71,'Name Bridge'!$A:$B,2,FALSE)</f>
        <v>ARI</v>
      </c>
      <c r="P71" s="73" t="str">
        <f>VLOOKUP(N71,'Name Bridge'!$A:$B,2,FALSE)</f>
        <v>LAR</v>
      </c>
      <c r="Q71" t="str">
        <f t="shared" si="8"/>
        <v>2022-01-18</v>
      </c>
      <c r="R71">
        <f t="shared" si="9"/>
        <v>44579</v>
      </c>
    </row>
    <row r="72" spans="1:18" x14ac:dyDescent="0.2">
      <c r="A72" t="s">
        <v>3056</v>
      </c>
      <c r="B72" t="s">
        <v>3057</v>
      </c>
      <c r="C72" t="s">
        <v>850</v>
      </c>
      <c r="D72" t="s">
        <v>2332</v>
      </c>
      <c r="E72" t="s">
        <v>3045</v>
      </c>
      <c r="F72" t="s">
        <v>3078</v>
      </c>
      <c r="G72" t="s">
        <v>3079</v>
      </c>
      <c r="H72">
        <v>1.91</v>
      </c>
      <c r="I72">
        <v>1.91</v>
      </c>
      <c r="L72" s="39">
        <f t="shared" si="5"/>
        <v>50</v>
      </c>
      <c r="M72" t="str">
        <f t="shared" si="6"/>
        <v>Arizona Cardinals</v>
      </c>
      <c r="N72" t="str">
        <f t="shared" si="7"/>
        <v>Los Angeles Rams</v>
      </c>
      <c r="O72" t="str">
        <f>VLOOKUP(M72,'Name Bridge'!$A:$B,2,FALSE)</f>
        <v>ARI</v>
      </c>
      <c r="P72" s="73" t="str">
        <f>VLOOKUP(N72,'Name Bridge'!$A:$B,2,FALSE)</f>
        <v>LAR</v>
      </c>
      <c r="Q72" t="str">
        <f t="shared" si="8"/>
        <v>2022-01-18</v>
      </c>
      <c r="R72">
        <f t="shared" si="9"/>
        <v>44579</v>
      </c>
    </row>
    <row r="73" spans="1:18" x14ac:dyDescent="0.2">
      <c r="A73" t="s">
        <v>3056</v>
      </c>
      <c r="B73" t="s">
        <v>3057</v>
      </c>
      <c r="C73" t="s">
        <v>850</v>
      </c>
      <c r="D73" t="s">
        <v>3051</v>
      </c>
      <c r="E73" t="s">
        <v>3048</v>
      </c>
      <c r="F73" t="s">
        <v>3076</v>
      </c>
      <c r="G73" t="s">
        <v>3077</v>
      </c>
      <c r="H73">
        <v>1.94</v>
      </c>
      <c r="I73">
        <v>1.97</v>
      </c>
      <c r="L73" s="39">
        <f t="shared" si="5"/>
        <v>49.5</v>
      </c>
      <c r="M73" t="str">
        <f t="shared" si="6"/>
        <v>Arizona Cardinals</v>
      </c>
      <c r="N73" t="str">
        <f t="shared" si="7"/>
        <v>Los Angeles Rams</v>
      </c>
      <c r="O73" t="str">
        <f>VLOOKUP(M73,'Name Bridge'!$A:$B,2,FALSE)</f>
        <v>ARI</v>
      </c>
      <c r="P73" s="73" t="str">
        <f>VLOOKUP(N73,'Name Bridge'!$A:$B,2,FALSE)</f>
        <v>LAR</v>
      </c>
      <c r="Q73" t="str">
        <f t="shared" si="8"/>
        <v>2022-01-18</v>
      </c>
      <c r="R73">
        <f t="shared" si="9"/>
        <v>44579</v>
      </c>
    </row>
    <row r="74" spans="1:18" x14ac:dyDescent="0.2">
      <c r="L74" s="39" t="e">
        <f t="shared" si="5"/>
        <v>#VALUE!</v>
      </c>
      <c r="M74" t="e">
        <f t="shared" si="6"/>
        <v>#VALUE!</v>
      </c>
      <c r="N74" t="e">
        <f t="shared" si="7"/>
        <v>#VALUE!</v>
      </c>
      <c r="O74" t="e">
        <f>VLOOKUP(M74,'Name Bridge'!$A:$B,2,FALSE)</f>
        <v>#VALUE!</v>
      </c>
      <c r="P74" s="73" t="e">
        <f>VLOOKUP(N74,'Name Bridge'!$A:$B,2,FALSE)</f>
        <v>#VALUE!</v>
      </c>
      <c r="Q74" t="str">
        <f t="shared" si="8"/>
        <v/>
      </c>
      <c r="R74">
        <f t="shared" si="9"/>
        <v>0</v>
      </c>
    </row>
    <row r="75" spans="1:18" x14ac:dyDescent="0.2">
      <c r="L75" s="39" t="e">
        <f t="shared" si="5"/>
        <v>#VALUE!</v>
      </c>
      <c r="M75" t="e">
        <f t="shared" si="6"/>
        <v>#VALUE!</v>
      </c>
      <c r="N75" t="e">
        <f t="shared" si="7"/>
        <v>#VALUE!</v>
      </c>
      <c r="O75" t="e">
        <f>VLOOKUP(M75,'Name Bridge'!$A:$B,2,FALSE)</f>
        <v>#VALUE!</v>
      </c>
      <c r="P75" s="73" t="e">
        <f>VLOOKUP(N75,'Name Bridge'!$A:$B,2,FALSE)</f>
        <v>#VALUE!</v>
      </c>
      <c r="Q75" t="str">
        <f t="shared" si="8"/>
        <v/>
      </c>
      <c r="R75">
        <f t="shared" si="9"/>
        <v>0</v>
      </c>
    </row>
    <row r="76" spans="1:18" x14ac:dyDescent="0.2">
      <c r="L76" s="39" t="e">
        <f t="shared" si="5"/>
        <v>#VALUE!</v>
      </c>
      <c r="M76" t="e">
        <f t="shared" si="6"/>
        <v>#VALUE!</v>
      </c>
      <c r="N76" t="e">
        <f t="shared" si="7"/>
        <v>#VALUE!</v>
      </c>
      <c r="O76" t="e">
        <f>VLOOKUP(M76,'Name Bridge'!$A:$B,2,FALSE)</f>
        <v>#VALUE!</v>
      </c>
      <c r="P76" s="73" t="e">
        <f>VLOOKUP(N76,'Name Bridge'!$A:$B,2,FALSE)</f>
        <v>#VALUE!</v>
      </c>
      <c r="Q76" t="str">
        <f t="shared" si="8"/>
        <v/>
      </c>
      <c r="R76">
        <f t="shared" si="9"/>
        <v>0</v>
      </c>
    </row>
    <row r="77" spans="1:18" x14ac:dyDescent="0.2">
      <c r="L77" s="39" t="e">
        <f t="shared" si="5"/>
        <v>#VALUE!</v>
      </c>
      <c r="M77" t="e">
        <f t="shared" si="6"/>
        <v>#VALUE!</v>
      </c>
      <c r="N77" t="e">
        <f t="shared" si="7"/>
        <v>#VALUE!</v>
      </c>
      <c r="O77" t="e">
        <f>VLOOKUP(M77,'Name Bridge'!$A:$B,2,FALSE)</f>
        <v>#VALUE!</v>
      </c>
      <c r="P77" s="73" t="e">
        <f>VLOOKUP(N77,'Name Bridge'!$A:$B,2,FALSE)</f>
        <v>#VALUE!</v>
      </c>
      <c r="Q77" t="str">
        <f t="shared" si="8"/>
        <v/>
      </c>
      <c r="R77">
        <f t="shared" si="9"/>
        <v>0</v>
      </c>
    </row>
    <row r="78" spans="1:18" x14ac:dyDescent="0.2">
      <c r="L78" s="39" t="e">
        <f t="shared" si="5"/>
        <v>#VALUE!</v>
      </c>
      <c r="M78" t="e">
        <f t="shared" si="6"/>
        <v>#VALUE!</v>
      </c>
      <c r="N78" t="e">
        <f t="shared" si="7"/>
        <v>#VALUE!</v>
      </c>
      <c r="O78" t="e">
        <f>VLOOKUP(M78,'Name Bridge'!$A:$B,2,FALSE)</f>
        <v>#VALUE!</v>
      </c>
      <c r="P78" s="73" t="e">
        <f>VLOOKUP(N78,'Name Bridge'!$A:$B,2,FALSE)</f>
        <v>#VALUE!</v>
      </c>
      <c r="Q78" t="str">
        <f t="shared" si="8"/>
        <v/>
      </c>
      <c r="R78">
        <f t="shared" si="9"/>
        <v>0</v>
      </c>
    </row>
    <row r="79" spans="1:18" x14ac:dyDescent="0.2">
      <c r="L79" s="39" t="e">
        <f t="shared" si="5"/>
        <v>#VALUE!</v>
      </c>
      <c r="M79" t="e">
        <f t="shared" si="6"/>
        <v>#VALUE!</v>
      </c>
      <c r="N79" t="e">
        <f t="shared" si="7"/>
        <v>#VALUE!</v>
      </c>
      <c r="O79" t="e">
        <f>VLOOKUP(M79,'Name Bridge'!$A:$B,2,FALSE)</f>
        <v>#VALUE!</v>
      </c>
      <c r="P79" s="73" t="e">
        <f>VLOOKUP(N79,'Name Bridge'!$A:$B,2,FALSE)</f>
        <v>#VALUE!</v>
      </c>
      <c r="Q79" t="str">
        <f t="shared" si="8"/>
        <v/>
      </c>
      <c r="R79">
        <f t="shared" si="9"/>
        <v>0</v>
      </c>
    </row>
    <row r="80" spans="1:18" x14ac:dyDescent="0.2">
      <c r="L80" s="39" t="e">
        <f t="shared" si="5"/>
        <v>#VALUE!</v>
      </c>
      <c r="M80" t="e">
        <f t="shared" si="6"/>
        <v>#VALUE!</v>
      </c>
      <c r="N80" t="e">
        <f t="shared" si="7"/>
        <v>#VALUE!</v>
      </c>
      <c r="O80" t="e">
        <f>VLOOKUP(M80,'Name Bridge'!$A:$B,2,FALSE)</f>
        <v>#VALUE!</v>
      </c>
      <c r="P80" s="73" t="e">
        <f>VLOOKUP(N80,'Name Bridge'!$A:$B,2,FALSE)</f>
        <v>#VALUE!</v>
      </c>
      <c r="Q80" t="str">
        <f t="shared" si="8"/>
        <v/>
      </c>
      <c r="R80">
        <f t="shared" si="9"/>
        <v>0</v>
      </c>
    </row>
    <row r="81" spans="12:18" x14ac:dyDescent="0.2">
      <c r="L81" s="39" t="e">
        <f t="shared" si="5"/>
        <v>#VALUE!</v>
      </c>
      <c r="M81" t="e">
        <f t="shared" si="6"/>
        <v>#VALUE!</v>
      </c>
      <c r="N81" t="e">
        <f t="shared" si="7"/>
        <v>#VALUE!</v>
      </c>
      <c r="O81" t="e">
        <f>VLOOKUP(M81,'Name Bridge'!$A:$B,2,FALSE)</f>
        <v>#VALUE!</v>
      </c>
      <c r="P81" s="73" t="e">
        <f>VLOOKUP(N81,'Name Bridge'!$A:$B,2,FALSE)</f>
        <v>#VALUE!</v>
      </c>
      <c r="Q81" t="str">
        <f t="shared" si="8"/>
        <v/>
      </c>
      <c r="R81">
        <f t="shared" si="9"/>
        <v>0</v>
      </c>
    </row>
    <row r="82" spans="12:18" x14ac:dyDescent="0.2">
      <c r="L82" s="39" t="e">
        <f t="shared" si="5"/>
        <v>#VALUE!</v>
      </c>
      <c r="M82" t="e">
        <f t="shared" si="6"/>
        <v>#VALUE!</v>
      </c>
      <c r="N82" t="e">
        <f t="shared" si="7"/>
        <v>#VALUE!</v>
      </c>
      <c r="O82" t="e">
        <f>VLOOKUP(M82,'Name Bridge'!$A:$B,2,FALSE)</f>
        <v>#VALUE!</v>
      </c>
      <c r="P82" s="73" t="e">
        <f>VLOOKUP(N82,'Name Bridge'!$A:$B,2,FALSE)</f>
        <v>#VALUE!</v>
      </c>
      <c r="Q82" t="str">
        <f t="shared" si="8"/>
        <v/>
      </c>
      <c r="R82">
        <f t="shared" si="9"/>
        <v>0</v>
      </c>
    </row>
    <row r="83" spans="12:18" x14ac:dyDescent="0.2">
      <c r="L83" s="39" t="e">
        <f t="shared" si="5"/>
        <v>#VALUE!</v>
      </c>
      <c r="M83" t="e">
        <f t="shared" si="6"/>
        <v>#VALUE!</v>
      </c>
      <c r="N83" t="e">
        <f t="shared" si="7"/>
        <v>#VALUE!</v>
      </c>
      <c r="O83" t="e">
        <f>VLOOKUP(M83,'Name Bridge'!$A:$B,2,FALSE)</f>
        <v>#VALUE!</v>
      </c>
      <c r="P83" s="73" t="e">
        <f>VLOOKUP(N83,'Name Bridge'!$A:$B,2,FALSE)</f>
        <v>#VALUE!</v>
      </c>
      <c r="Q83" t="str">
        <f t="shared" si="8"/>
        <v/>
      </c>
      <c r="R83">
        <f t="shared" si="9"/>
        <v>0</v>
      </c>
    </row>
    <row r="84" spans="12:18" x14ac:dyDescent="0.2">
      <c r="L84" s="39" t="e">
        <f t="shared" si="5"/>
        <v>#VALUE!</v>
      </c>
      <c r="M84" t="e">
        <f t="shared" si="6"/>
        <v>#VALUE!</v>
      </c>
      <c r="N84" t="e">
        <f t="shared" si="7"/>
        <v>#VALUE!</v>
      </c>
      <c r="O84" t="e">
        <f>VLOOKUP(M84,'Name Bridge'!$A:$B,2,FALSE)</f>
        <v>#VALUE!</v>
      </c>
      <c r="P84" s="73" t="e">
        <f>VLOOKUP(N84,'Name Bridge'!$A:$B,2,FALSE)</f>
        <v>#VALUE!</v>
      </c>
      <c r="Q84" t="str">
        <f t="shared" si="8"/>
        <v/>
      </c>
      <c r="R84">
        <f t="shared" si="9"/>
        <v>0</v>
      </c>
    </row>
    <row r="85" spans="12:18" x14ac:dyDescent="0.2">
      <c r="L85" s="39" t="e">
        <f t="shared" si="5"/>
        <v>#VALUE!</v>
      </c>
      <c r="M85" t="e">
        <f t="shared" si="6"/>
        <v>#VALUE!</v>
      </c>
      <c r="N85" t="e">
        <f t="shared" si="7"/>
        <v>#VALUE!</v>
      </c>
      <c r="O85" t="e">
        <f>VLOOKUP(M85,'Name Bridge'!$A:$B,2,FALSE)</f>
        <v>#VALUE!</v>
      </c>
      <c r="P85" s="73" t="e">
        <f>VLOOKUP(N85,'Name Bridge'!$A:$B,2,FALSE)</f>
        <v>#VALUE!</v>
      </c>
      <c r="Q85" t="str">
        <f t="shared" si="8"/>
        <v/>
      </c>
      <c r="R85">
        <f t="shared" si="9"/>
        <v>0</v>
      </c>
    </row>
    <row r="86" spans="12:18" x14ac:dyDescent="0.2">
      <c r="L86" s="39" t="e">
        <f t="shared" si="5"/>
        <v>#VALUE!</v>
      </c>
      <c r="M86" t="e">
        <f t="shared" si="6"/>
        <v>#VALUE!</v>
      </c>
      <c r="N86" t="e">
        <f t="shared" si="7"/>
        <v>#VALUE!</v>
      </c>
      <c r="O86" t="e">
        <f>VLOOKUP(M86,'Name Bridge'!$A:$B,2,FALSE)</f>
        <v>#VALUE!</v>
      </c>
      <c r="P86" s="73" t="e">
        <f>VLOOKUP(N86,'Name Bridge'!$A:$B,2,FALSE)</f>
        <v>#VALUE!</v>
      </c>
      <c r="Q86" t="str">
        <f t="shared" si="8"/>
        <v/>
      </c>
      <c r="R86">
        <f t="shared" si="9"/>
        <v>0</v>
      </c>
    </row>
    <row r="87" spans="12:18" x14ac:dyDescent="0.2">
      <c r="L87" s="39" t="e">
        <f t="shared" si="5"/>
        <v>#VALUE!</v>
      </c>
      <c r="M87" t="e">
        <f t="shared" si="6"/>
        <v>#VALUE!</v>
      </c>
      <c r="N87" t="e">
        <f t="shared" si="7"/>
        <v>#VALUE!</v>
      </c>
      <c r="O87" t="e">
        <f>VLOOKUP(M87,'Name Bridge'!$A:$B,2,FALSE)</f>
        <v>#VALUE!</v>
      </c>
      <c r="P87" s="73" t="e">
        <f>VLOOKUP(N87,'Name Bridge'!$A:$B,2,FALSE)</f>
        <v>#VALUE!</v>
      </c>
      <c r="Q87" t="str">
        <f t="shared" si="8"/>
        <v/>
      </c>
      <c r="R87">
        <f t="shared" si="9"/>
        <v>0</v>
      </c>
    </row>
    <row r="88" spans="12:18" x14ac:dyDescent="0.2">
      <c r="L88" s="39" t="e">
        <f t="shared" si="5"/>
        <v>#VALUE!</v>
      </c>
      <c r="M88" t="e">
        <f t="shared" si="6"/>
        <v>#VALUE!</v>
      </c>
      <c r="N88" t="e">
        <f t="shared" si="7"/>
        <v>#VALUE!</v>
      </c>
      <c r="O88" t="e">
        <f>VLOOKUP(M88,'Name Bridge'!$A:$B,2,FALSE)</f>
        <v>#VALUE!</v>
      </c>
      <c r="P88" s="73" t="e">
        <f>VLOOKUP(N88,'Name Bridge'!$A:$B,2,FALSE)</f>
        <v>#VALUE!</v>
      </c>
      <c r="Q88" t="str">
        <f t="shared" si="8"/>
        <v/>
      </c>
      <c r="R88">
        <f t="shared" si="9"/>
        <v>0</v>
      </c>
    </row>
    <row r="89" spans="12:18" x14ac:dyDescent="0.2">
      <c r="L89" s="39" t="e">
        <f t="shared" si="5"/>
        <v>#VALUE!</v>
      </c>
      <c r="M89" t="e">
        <f t="shared" si="6"/>
        <v>#VALUE!</v>
      </c>
      <c r="N89" t="e">
        <f t="shared" si="7"/>
        <v>#VALUE!</v>
      </c>
      <c r="O89" t="e">
        <f>VLOOKUP(M89,'Name Bridge'!$A:$B,2,FALSE)</f>
        <v>#VALUE!</v>
      </c>
      <c r="P89" s="73" t="e">
        <f>VLOOKUP(N89,'Name Bridge'!$A:$B,2,FALSE)</f>
        <v>#VALUE!</v>
      </c>
      <c r="Q89" t="str">
        <f t="shared" si="8"/>
        <v/>
      </c>
      <c r="R89">
        <f t="shared" si="9"/>
        <v>0</v>
      </c>
    </row>
    <row r="90" spans="12:18" x14ac:dyDescent="0.2">
      <c r="L90" s="39" t="e">
        <f t="shared" si="5"/>
        <v>#VALUE!</v>
      </c>
      <c r="M90" t="e">
        <f t="shared" si="6"/>
        <v>#VALUE!</v>
      </c>
      <c r="N90" t="e">
        <f t="shared" si="7"/>
        <v>#VALUE!</v>
      </c>
      <c r="O90" t="e">
        <f>VLOOKUP(M90,'Name Bridge'!$A:$B,2,FALSE)</f>
        <v>#VALUE!</v>
      </c>
      <c r="P90" s="73" t="e">
        <f>VLOOKUP(N90,'Name Bridge'!$A:$B,2,FALSE)</f>
        <v>#VALUE!</v>
      </c>
      <c r="Q90" t="str">
        <f t="shared" si="8"/>
        <v/>
      </c>
      <c r="R90">
        <f t="shared" si="9"/>
        <v>0</v>
      </c>
    </row>
    <row r="91" spans="12:18" x14ac:dyDescent="0.2">
      <c r="L91" s="39" t="e">
        <f t="shared" si="5"/>
        <v>#VALUE!</v>
      </c>
      <c r="M91" t="e">
        <f t="shared" si="6"/>
        <v>#VALUE!</v>
      </c>
      <c r="N91" t="e">
        <f t="shared" si="7"/>
        <v>#VALUE!</v>
      </c>
      <c r="O91" t="e">
        <f>VLOOKUP(M91,'Name Bridge'!$A:$B,2,FALSE)</f>
        <v>#VALUE!</v>
      </c>
      <c r="P91" s="73" t="e">
        <f>VLOOKUP(N91,'Name Bridge'!$A:$B,2,FALSE)</f>
        <v>#VALUE!</v>
      </c>
      <c r="Q91" t="str">
        <f t="shared" si="8"/>
        <v/>
      </c>
      <c r="R91">
        <f t="shared" si="9"/>
        <v>0</v>
      </c>
    </row>
    <row r="92" spans="12:18" x14ac:dyDescent="0.2">
      <c r="L92" s="39" t="e">
        <f t="shared" si="5"/>
        <v>#VALUE!</v>
      </c>
      <c r="M92" t="e">
        <f t="shared" si="6"/>
        <v>#VALUE!</v>
      </c>
      <c r="N92" t="e">
        <f t="shared" si="7"/>
        <v>#VALUE!</v>
      </c>
      <c r="O92" t="e">
        <f>VLOOKUP(M92,'Name Bridge'!$A:$B,2,FALSE)</f>
        <v>#VALUE!</v>
      </c>
      <c r="P92" s="73" t="e">
        <f>VLOOKUP(N92,'Name Bridge'!$A:$B,2,FALSE)</f>
        <v>#VALUE!</v>
      </c>
      <c r="Q92" t="str">
        <f t="shared" si="8"/>
        <v/>
      </c>
      <c r="R92">
        <f t="shared" si="9"/>
        <v>0</v>
      </c>
    </row>
    <row r="93" spans="12:18" x14ac:dyDescent="0.2">
      <c r="L93" s="39" t="e">
        <f t="shared" si="5"/>
        <v>#VALUE!</v>
      </c>
      <c r="M93" t="e">
        <f t="shared" si="6"/>
        <v>#VALUE!</v>
      </c>
      <c r="N93" t="e">
        <f t="shared" si="7"/>
        <v>#VALUE!</v>
      </c>
      <c r="O93" t="e">
        <f>VLOOKUP(M93,'Name Bridge'!$A:$B,2,FALSE)</f>
        <v>#VALUE!</v>
      </c>
      <c r="P93" s="73" t="e">
        <f>VLOOKUP(N93,'Name Bridge'!$A:$B,2,FALSE)</f>
        <v>#VALUE!</v>
      </c>
      <c r="Q93" t="str">
        <f t="shared" si="8"/>
        <v/>
      </c>
      <c r="R93">
        <f t="shared" si="9"/>
        <v>0</v>
      </c>
    </row>
    <row r="94" spans="12:18" x14ac:dyDescent="0.2">
      <c r="L94" s="39" t="e">
        <f t="shared" si="5"/>
        <v>#VALUE!</v>
      </c>
      <c r="M94" t="e">
        <f t="shared" si="6"/>
        <v>#VALUE!</v>
      </c>
      <c r="N94" t="e">
        <f t="shared" si="7"/>
        <v>#VALUE!</v>
      </c>
      <c r="O94" t="e">
        <f>VLOOKUP(M94,'Name Bridge'!$A:$B,2,FALSE)</f>
        <v>#VALUE!</v>
      </c>
      <c r="P94" s="73" t="e">
        <f>VLOOKUP(N94,'Name Bridge'!$A:$B,2,FALSE)</f>
        <v>#VALUE!</v>
      </c>
      <c r="Q94" t="str">
        <f t="shared" si="8"/>
        <v/>
      </c>
      <c r="R94">
        <f t="shared" si="9"/>
        <v>0</v>
      </c>
    </row>
    <row r="95" spans="12:18" x14ac:dyDescent="0.2">
      <c r="L95" s="39" t="e">
        <f t="shared" si="5"/>
        <v>#VALUE!</v>
      </c>
      <c r="M95" t="e">
        <f t="shared" si="6"/>
        <v>#VALUE!</v>
      </c>
      <c r="N95" t="e">
        <f t="shared" si="7"/>
        <v>#VALUE!</v>
      </c>
      <c r="O95" t="e">
        <f>VLOOKUP(M95,'Name Bridge'!$A:$B,2,FALSE)</f>
        <v>#VALUE!</v>
      </c>
      <c r="P95" s="73" t="e">
        <f>VLOOKUP(N95,'Name Bridge'!$A:$B,2,FALSE)</f>
        <v>#VALUE!</v>
      </c>
      <c r="Q95" t="str">
        <f t="shared" si="8"/>
        <v/>
      </c>
      <c r="R95">
        <f t="shared" si="9"/>
        <v>0</v>
      </c>
    </row>
    <row r="96" spans="12:18" x14ac:dyDescent="0.2">
      <c r="L96" s="39" t="e">
        <f t="shared" si="5"/>
        <v>#VALUE!</v>
      </c>
      <c r="M96" t="e">
        <f t="shared" si="6"/>
        <v>#VALUE!</v>
      </c>
      <c r="N96" t="e">
        <f t="shared" si="7"/>
        <v>#VALUE!</v>
      </c>
      <c r="O96" t="e">
        <f>VLOOKUP(M96,'Name Bridge'!$A:$B,2,FALSE)</f>
        <v>#VALUE!</v>
      </c>
      <c r="P96" s="73" t="e">
        <f>VLOOKUP(N96,'Name Bridge'!$A:$B,2,FALSE)</f>
        <v>#VALUE!</v>
      </c>
      <c r="Q96" t="str">
        <f t="shared" si="8"/>
        <v/>
      </c>
      <c r="R96">
        <f t="shared" si="9"/>
        <v>0</v>
      </c>
    </row>
    <row r="97" spans="12:18" x14ac:dyDescent="0.2">
      <c r="L97" s="39" t="e">
        <f t="shared" si="5"/>
        <v>#VALUE!</v>
      </c>
      <c r="M97" t="e">
        <f t="shared" si="6"/>
        <v>#VALUE!</v>
      </c>
      <c r="N97" t="e">
        <f t="shared" si="7"/>
        <v>#VALUE!</v>
      </c>
      <c r="O97" t="e">
        <f>VLOOKUP(M97,'Name Bridge'!$A:$B,2,FALSE)</f>
        <v>#VALUE!</v>
      </c>
      <c r="P97" s="73" t="e">
        <f>VLOOKUP(N97,'Name Bridge'!$A:$B,2,FALSE)</f>
        <v>#VALUE!</v>
      </c>
      <c r="Q97" t="str">
        <f t="shared" si="8"/>
        <v/>
      </c>
      <c r="R97">
        <f t="shared" si="9"/>
        <v>0</v>
      </c>
    </row>
    <row r="98" spans="12:18" x14ac:dyDescent="0.2">
      <c r="L98" s="39" t="e">
        <f t="shared" si="5"/>
        <v>#VALUE!</v>
      </c>
      <c r="M98" t="e">
        <f t="shared" si="6"/>
        <v>#VALUE!</v>
      </c>
      <c r="N98" t="e">
        <f t="shared" si="7"/>
        <v>#VALUE!</v>
      </c>
      <c r="O98" t="e">
        <f>VLOOKUP(M98,'Name Bridge'!$A:$B,2,FALSE)</f>
        <v>#VALUE!</v>
      </c>
      <c r="P98" s="73" t="e">
        <f>VLOOKUP(N98,'Name Bridge'!$A:$B,2,FALSE)</f>
        <v>#VALUE!</v>
      </c>
      <c r="Q98" t="str">
        <f t="shared" si="8"/>
        <v/>
      </c>
      <c r="R98">
        <f t="shared" si="9"/>
        <v>0</v>
      </c>
    </row>
    <row r="99" spans="12:18" x14ac:dyDescent="0.2">
      <c r="L99" s="39" t="e">
        <f t="shared" si="5"/>
        <v>#VALUE!</v>
      </c>
      <c r="M99" t="e">
        <f t="shared" si="6"/>
        <v>#VALUE!</v>
      </c>
      <c r="N99" t="e">
        <f t="shared" si="7"/>
        <v>#VALUE!</v>
      </c>
      <c r="O99" t="e">
        <f>VLOOKUP(M99,'Name Bridge'!$A:$B,2,FALSE)</f>
        <v>#VALUE!</v>
      </c>
      <c r="P99" s="73" t="e">
        <f>VLOOKUP(N99,'Name Bridge'!$A:$B,2,FALSE)</f>
        <v>#VALUE!</v>
      </c>
      <c r="Q99" t="str">
        <f t="shared" si="8"/>
        <v/>
      </c>
      <c r="R99">
        <f t="shared" si="9"/>
        <v>0</v>
      </c>
    </row>
    <row r="100" spans="12:18" x14ac:dyDescent="0.2">
      <c r="L100" s="39" t="e">
        <f t="shared" si="5"/>
        <v>#VALUE!</v>
      </c>
      <c r="M100" t="e">
        <f t="shared" si="6"/>
        <v>#VALUE!</v>
      </c>
      <c r="N100" t="e">
        <f t="shared" si="7"/>
        <v>#VALUE!</v>
      </c>
      <c r="O100" t="e">
        <f>VLOOKUP(M100,'Name Bridge'!$A:$B,2,FALSE)</f>
        <v>#VALUE!</v>
      </c>
      <c r="P100" s="73" t="e">
        <f>VLOOKUP(N100,'Name Bridge'!$A:$B,2,FALSE)</f>
        <v>#VALUE!</v>
      </c>
      <c r="Q100" t="str">
        <f t="shared" si="8"/>
        <v/>
      </c>
      <c r="R100">
        <f t="shared" si="9"/>
        <v>0</v>
      </c>
    </row>
    <row r="101" spans="12:18" x14ac:dyDescent="0.2">
      <c r="L101" s="39" t="e">
        <f t="shared" si="5"/>
        <v>#VALUE!</v>
      </c>
      <c r="M101" t="e">
        <f t="shared" si="6"/>
        <v>#VALUE!</v>
      </c>
      <c r="N101" t="e">
        <f t="shared" si="7"/>
        <v>#VALUE!</v>
      </c>
      <c r="O101" t="e">
        <f>VLOOKUP(M101,'Name Bridge'!$A:$B,2,FALSE)</f>
        <v>#VALUE!</v>
      </c>
      <c r="P101" s="73" t="e">
        <f>VLOOKUP(N101,'Name Bridge'!$A:$B,2,FALSE)</f>
        <v>#VALUE!</v>
      </c>
      <c r="Q101" t="str">
        <f t="shared" si="8"/>
        <v/>
      </c>
      <c r="R101">
        <f t="shared" si="9"/>
        <v>0</v>
      </c>
    </row>
    <row r="102" spans="12:18" x14ac:dyDescent="0.2">
      <c r="L102" s="39" t="e">
        <f t="shared" si="5"/>
        <v>#VALUE!</v>
      </c>
      <c r="M102" t="e">
        <f t="shared" si="6"/>
        <v>#VALUE!</v>
      </c>
      <c r="N102" t="e">
        <f t="shared" si="7"/>
        <v>#VALUE!</v>
      </c>
      <c r="O102" t="e">
        <f>VLOOKUP(M102,'Name Bridge'!$A:$B,2,FALSE)</f>
        <v>#VALUE!</v>
      </c>
      <c r="P102" s="73" t="e">
        <f>VLOOKUP(N102,'Name Bridge'!$A:$B,2,FALSE)</f>
        <v>#VALUE!</v>
      </c>
      <c r="Q102" t="str">
        <f t="shared" si="8"/>
        <v/>
      </c>
      <c r="R102">
        <f t="shared" si="9"/>
        <v>0</v>
      </c>
    </row>
    <row r="103" spans="12:18" x14ac:dyDescent="0.2">
      <c r="L103" s="39" t="e">
        <f t="shared" si="5"/>
        <v>#VALUE!</v>
      </c>
      <c r="M103" t="e">
        <f t="shared" si="6"/>
        <v>#VALUE!</v>
      </c>
      <c r="N103" t="e">
        <f t="shared" si="7"/>
        <v>#VALUE!</v>
      </c>
      <c r="O103" t="e">
        <f>VLOOKUP(M103,'Name Bridge'!$A:$B,2,FALSE)</f>
        <v>#VALUE!</v>
      </c>
      <c r="P103" s="73" t="e">
        <f>VLOOKUP(N103,'Name Bridge'!$A:$B,2,FALSE)</f>
        <v>#VALUE!</v>
      </c>
      <c r="Q103" t="str">
        <f t="shared" si="8"/>
        <v/>
      </c>
      <c r="R103">
        <f t="shared" si="9"/>
        <v>0</v>
      </c>
    </row>
    <row r="104" spans="12:18" x14ac:dyDescent="0.2">
      <c r="L104" s="39" t="e">
        <f t="shared" si="5"/>
        <v>#VALUE!</v>
      </c>
      <c r="M104" t="e">
        <f t="shared" si="6"/>
        <v>#VALUE!</v>
      </c>
      <c r="N104" t="e">
        <f t="shared" si="7"/>
        <v>#VALUE!</v>
      </c>
      <c r="O104" t="e">
        <f>VLOOKUP(M104,'Name Bridge'!$A:$B,2,FALSE)</f>
        <v>#VALUE!</v>
      </c>
      <c r="P104" s="73" t="e">
        <f>VLOOKUP(N104,'Name Bridge'!$A:$B,2,FALSE)</f>
        <v>#VALUE!</v>
      </c>
      <c r="Q104" t="str">
        <f t="shared" si="8"/>
        <v/>
      </c>
      <c r="R104">
        <f t="shared" si="9"/>
        <v>0</v>
      </c>
    </row>
    <row r="105" spans="12:18" x14ac:dyDescent="0.2">
      <c r="L105" s="39" t="e">
        <f t="shared" si="5"/>
        <v>#VALUE!</v>
      </c>
      <c r="M105" t="e">
        <f t="shared" si="6"/>
        <v>#VALUE!</v>
      </c>
      <c r="N105" t="e">
        <f t="shared" si="7"/>
        <v>#VALUE!</v>
      </c>
      <c r="O105" t="e">
        <f>VLOOKUP(M105,'Name Bridge'!$A:$B,2,FALSE)</f>
        <v>#VALUE!</v>
      </c>
      <c r="P105" s="73" t="e">
        <f>VLOOKUP(N105,'Name Bridge'!$A:$B,2,FALSE)</f>
        <v>#VALUE!</v>
      </c>
      <c r="Q105" t="str">
        <f t="shared" si="8"/>
        <v/>
      </c>
      <c r="R105">
        <f t="shared" si="9"/>
        <v>0</v>
      </c>
    </row>
    <row r="106" spans="12:18" x14ac:dyDescent="0.2">
      <c r="L106" s="39" t="e">
        <f t="shared" si="5"/>
        <v>#VALUE!</v>
      </c>
      <c r="M106" t="e">
        <f t="shared" si="6"/>
        <v>#VALUE!</v>
      </c>
      <c r="N106" t="e">
        <f t="shared" si="7"/>
        <v>#VALUE!</v>
      </c>
      <c r="O106" t="e">
        <f>VLOOKUP(M106,'Name Bridge'!$A:$B,2,FALSE)</f>
        <v>#VALUE!</v>
      </c>
      <c r="P106" s="73" t="e">
        <f>VLOOKUP(N106,'Name Bridge'!$A:$B,2,FALSE)</f>
        <v>#VALUE!</v>
      </c>
      <c r="Q106" t="str">
        <f t="shared" si="8"/>
        <v/>
      </c>
      <c r="R106">
        <f t="shared" si="9"/>
        <v>0</v>
      </c>
    </row>
    <row r="107" spans="12:18" x14ac:dyDescent="0.2">
      <c r="L107" s="39" t="e">
        <f t="shared" si="5"/>
        <v>#VALUE!</v>
      </c>
      <c r="M107" t="e">
        <f t="shared" si="6"/>
        <v>#VALUE!</v>
      </c>
      <c r="N107" t="e">
        <f t="shared" si="7"/>
        <v>#VALUE!</v>
      </c>
      <c r="O107" t="e">
        <f>VLOOKUP(M107,'Name Bridge'!$A:$B,2,FALSE)</f>
        <v>#VALUE!</v>
      </c>
      <c r="P107" s="73" t="e">
        <f>VLOOKUP(N107,'Name Bridge'!$A:$B,2,FALSE)</f>
        <v>#VALUE!</v>
      </c>
      <c r="Q107" t="str">
        <f t="shared" si="8"/>
        <v/>
      </c>
      <c r="R107">
        <f t="shared" si="9"/>
        <v>0</v>
      </c>
    </row>
    <row r="108" spans="12:18" x14ac:dyDescent="0.2">
      <c r="L108" s="39" t="e">
        <f t="shared" si="5"/>
        <v>#VALUE!</v>
      </c>
      <c r="M108" t="e">
        <f t="shared" si="6"/>
        <v>#VALUE!</v>
      </c>
      <c r="N108" t="e">
        <f t="shared" si="7"/>
        <v>#VALUE!</v>
      </c>
      <c r="O108" t="e">
        <f>VLOOKUP(M108,'Name Bridge'!$A:$B,2,FALSE)</f>
        <v>#VALUE!</v>
      </c>
      <c r="P108" s="73" t="e">
        <f>VLOOKUP(N108,'Name Bridge'!$A:$B,2,FALSE)</f>
        <v>#VALUE!</v>
      </c>
      <c r="Q108" t="str">
        <f t="shared" si="8"/>
        <v/>
      </c>
      <c r="R108">
        <f t="shared" si="9"/>
        <v>0</v>
      </c>
    </row>
    <row r="109" spans="12:18" x14ac:dyDescent="0.2">
      <c r="L109" s="39" t="e">
        <f t="shared" si="5"/>
        <v>#VALUE!</v>
      </c>
      <c r="M109" t="e">
        <f t="shared" si="6"/>
        <v>#VALUE!</v>
      </c>
      <c r="N109" t="e">
        <f t="shared" si="7"/>
        <v>#VALUE!</v>
      </c>
      <c r="O109" t="e">
        <f>VLOOKUP(M109,'Name Bridge'!$A:$B,2,FALSE)</f>
        <v>#VALUE!</v>
      </c>
      <c r="P109" s="73" t="e">
        <f>VLOOKUP(N109,'Name Bridge'!$A:$B,2,FALSE)</f>
        <v>#VALUE!</v>
      </c>
      <c r="Q109" t="str">
        <f t="shared" si="8"/>
        <v/>
      </c>
      <c r="R109">
        <f t="shared" si="9"/>
        <v>0</v>
      </c>
    </row>
    <row r="110" spans="12:18" x14ac:dyDescent="0.2">
      <c r="L110" s="39" t="e">
        <f t="shared" si="5"/>
        <v>#VALUE!</v>
      </c>
      <c r="M110" t="e">
        <f t="shared" si="6"/>
        <v>#VALUE!</v>
      </c>
      <c r="N110" t="e">
        <f t="shared" si="7"/>
        <v>#VALUE!</v>
      </c>
      <c r="O110" t="e">
        <f>VLOOKUP(M110,'Name Bridge'!$A:$B,2,FALSE)</f>
        <v>#VALUE!</v>
      </c>
      <c r="P110" s="73" t="e">
        <f>VLOOKUP(N110,'Name Bridge'!$A:$B,2,FALSE)</f>
        <v>#VALUE!</v>
      </c>
      <c r="Q110" t="str">
        <f t="shared" si="8"/>
        <v/>
      </c>
      <c r="R110">
        <f t="shared" si="9"/>
        <v>0</v>
      </c>
    </row>
    <row r="111" spans="12:18" x14ac:dyDescent="0.2">
      <c r="L111" s="39" t="e">
        <f t="shared" si="5"/>
        <v>#VALUE!</v>
      </c>
      <c r="M111" t="e">
        <f t="shared" si="6"/>
        <v>#VALUE!</v>
      </c>
      <c r="N111" t="e">
        <f t="shared" si="7"/>
        <v>#VALUE!</v>
      </c>
      <c r="O111" t="e">
        <f>VLOOKUP(M111,'Name Bridge'!$A:$B,2,FALSE)</f>
        <v>#VALUE!</v>
      </c>
      <c r="P111" s="73" t="e">
        <f>VLOOKUP(N111,'Name Bridge'!$A:$B,2,FALSE)</f>
        <v>#VALUE!</v>
      </c>
      <c r="Q111" t="str">
        <f t="shared" si="8"/>
        <v/>
      </c>
      <c r="R111">
        <f t="shared" si="9"/>
        <v>0</v>
      </c>
    </row>
    <row r="112" spans="12:18" x14ac:dyDescent="0.2">
      <c r="L112" s="39" t="e">
        <f t="shared" si="5"/>
        <v>#VALUE!</v>
      </c>
      <c r="M112" t="e">
        <f t="shared" si="6"/>
        <v>#VALUE!</v>
      </c>
      <c r="N112" t="e">
        <f t="shared" si="7"/>
        <v>#VALUE!</v>
      </c>
      <c r="O112" t="e">
        <f>VLOOKUP(M112,'Name Bridge'!$A:$B,2,FALSE)</f>
        <v>#VALUE!</v>
      </c>
      <c r="P112" s="73" t="e">
        <f>VLOOKUP(N112,'Name Bridge'!$A:$B,2,FALSE)</f>
        <v>#VALUE!</v>
      </c>
      <c r="Q112" t="str">
        <f t="shared" si="8"/>
        <v/>
      </c>
      <c r="R112">
        <f t="shared" si="9"/>
        <v>0</v>
      </c>
    </row>
    <row r="113" spans="12:18" x14ac:dyDescent="0.2">
      <c r="L113" s="39" t="e">
        <f t="shared" si="5"/>
        <v>#VALUE!</v>
      </c>
      <c r="M113" t="e">
        <f t="shared" si="6"/>
        <v>#VALUE!</v>
      </c>
      <c r="N113" t="e">
        <f t="shared" si="7"/>
        <v>#VALUE!</v>
      </c>
      <c r="O113" t="e">
        <f>VLOOKUP(M113,'Name Bridge'!$A:$B,2,FALSE)</f>
        <v>#VALUE!</v>
      </c>
      <c r="P113" s="73" t="e">
        <f>VLOOKUP(N113,'Name Bridge'!$A:$B,2,FALSE)</f>
        <v>#VALUE!</v>
      </c>
      <c r="Q113" t="str">
        <f t="shared" si="8"/>
        <v/>
      </c>
      <c r="R113">
        <f t="shared" si="9"/>
        <v>0</v>
      </c>
    </row>
    <row r="114" spans="12:18" x14ac:dyDescent="0.2">
      <c r="L114" s="39" t="e">
        <f t="shared" si="5"/>
        <v>#VALUE!</v>
      </c>
      <c r="M114" t="e">
        <f t="shared" si="6"/>
        <v>#VALUE!</v>
      </c>
      <c r="N114" t="e">
        <f t="shared" si="7"/>
        <v>#VALUE!</v>
      </c>
      <c r="O114" t="e">
        <f>VLOOKUP(M114,'Name Bridge'!$A:$B,2,FALSE)</f>
        <v>#VALUE!</v>
      </c>
      <c r="P114" s="73" t="e">
        <f>VLOOKUP(N114,'Name Bridge'!$A:$B,2,FALSE)</f>
        <v>#VALUE!</v>
      </c>
      <c r="Q114" t="str">
        <f t="shared" si="8"/>
        <v/>
      </c>
      <c r="R114">
        <f t="shared" si="9"/>
        <v>0</v>
      </c>
    </row>
    <row r="115" spans="12:18" x14ac:dyDescent="0.2">
      <c r="L115" s="39" t="e">
        <f t="shared" si="5"/>
        <v>#VALUE!</v>
      </c>
      <c r="M115" t="e">
        <f t="shared" si="6"/>
        <v>#VALUE!</v>
      </c>
      <c r="N115" t="e">
        <f t="shared" si="7"/>
        <v>#VALUE!</v>
      </c>
      <c r="O115" t="e">
        <f>VLOOKUP(M115,'Name Bridge'!$A:$B,2,FALSE)</f>
        <v>#VALUE!</v>
      </c>
      <c r="P115" s="73" t="e">
        <f>VLOOKUP(N115,'Name Bridge'!$A:$B,2,FALSE)</f>
        <v>#VALUE!</v>
      </c>
      <c r="Q115" t="str">
        <f t="shared" si="8"/>
        <v/>
      </c>
      <c r="R115">
        <f t="shared" si="9"/>
        <v>0</v>
      </c>
    </row>
    <row r="116" spans="12:18" x14ac:dyDescent="0.2">
      <c r="L116" s="39" t="e">
        <f t="shared" si="5"/>
        <v>#VALUE!</v>
      </c>
      <c r="M116" t="e">
        <f t="shared" si="6"/>
        <v>#VALUE!</v>
      </c>
      <c r="N116" t="e">
        <f t="shared" si="7"/>
        <v>#VALUE!</v>
      </c>
      <c r="O116" t="e">
        <f>VLOOKUP(M116,'Name Bridge'!$A:$B,2,FALSE)</f>
        <v>#VALUE!</v>
      </c>
      <c r="P116" s="73" t="e">
        <f>VLOOKUP(N116,'Name Bridge'!$A:$B,2,FALSE)</f>
        <v>#VALUE!</v>
      </c>
      <c r="Q116" t="str">
        <f t="shared" si="8"/>
        <v/>
      </c>
      <c r="R116">
        <f t="shared" si="9"/>
        <v>0</v>
      </c>
    </row>
    <row r="117" spans="12:18" x14ac:dyDescent="0.2">
      <c r="L117" s="39" t="e">
        <f t="shared" si="5"/>
        <v>#VALUE!</v>
      </c>
      <c r="M117" t="e">
        <f t="shared" si="6"/>
        <v>#VALUE!</v>
      </c>
      <c r="N117" t="e">
        <f t="shared" si="7"/>
        <v>#VALUE!</v>
      </c>
      <c r="O117" t="e">
        <f>VLOOKUP(M117,'Name Bridge'!$A:$B,2,FALSE)</f>
        <v>#VALUE!</v>
      </c>
      <c r="P117" s="73" t="e">
        <f>VLOOKUP(N117,'Name Bridge'!$A:$B,2,FALSE)</f>
        <v>#VALUE!</v>
      </c>
      <c r="Q117" t="str">
        <f t="shared" si="8"/>
        <v/>
      </c>
      <c r="R117">
        <f t="shared" si="9"/>
        <v>0</v>
      </c>
    </row>
    <row r="118" spans="12:18" x14ac:dyDescent="0.2">
      <c r="L118" s="39" t="e">
        <f t="shared" si="5"/>
        <v>#VALUE!</v>
      </c>
      <c r="M118" t="e">
        <f t="shared" si="6"/>
        <v>#VALUE!</v>
      </c>
      <c r="N118" t="e">
        <f t="shared" si="7"/>
        <v>#VALUE!</v>
      </c>
      <c r="O118" t="e">
        <f>VLOOKUP(M118,'Name Bridge'!$A:$B,2,FALSE)</f>
        <v>#VALUE!</v>
      </c>
      <c r="P118" s="73" t="e">
        <f>VLOOKUP(N118,'Name Bridge'!$A:$B,2,FALSE)</f>
        <v>#VALUE!</v>
      </c>
      <c r="Q118" t="str">
        <f t="shared" si="8"/>
        <v/>
      </c>
      <c r="R118">
        <f t="shared" si="9"/>
        <v>0</v>
      </c>
    </row>
    <row r="119" spans="12:18" x14ac:dyDescent="0.2">
      <c r="L119" s="39" t="e">
        <f t="shared" si="5"/>
        <v>#VALUE!</v>
      </c>
      <c r="M119" t="e">
        <f t="shared" si="6"/>
        <v>#VALUE!</v>
      </c>
      <c r="N119" t="e">
        <f t="shared" si="7"/>
        <v>#VALUE!</v>
      </c>
      <c r="O119" t="e">
        <f>VLOOKUP(M119,'Name Bridge'!$A:$B,2,FALSE)</f>
        <v>#VALUE!</v>
      </c>
      <c r="P119" s="73" t="e">
        <f>VLOOKUP(N119,'Name Bridge'!$A:$B,2,FALSE)</f>
        <v>#VALUE!</v>
      </c>
      <c r="Q119" t="str">
        <f t="shared" si="8"/>
        <v/>
      </c>
      <c r="R119">
        <f t="shared" si="9"/>
        <v>0</v>
      </c>
    </row>
    <row r="120" spans="12:18" x14ac:dyDescent="0.2">
      <c r="L120" s="39" t="e">
        <f t="shared" si="5"/>
        <v>#VALUE!</v>
      </c>
      <c r="M120" t="e">
        <f t="shared" si="6"/>
        <v>#VALUE!</v>
      </c>
      <c r="N120" t="e">
        <f t="shared" si="7"/>
        <v>#VALUE!</v>
      </c>
      <c r="O120" t="e">
        <f>VLOOKUP(M120,'Name Bridge'!$A:$B,2,FALSE)</f>
        <v>#VALUE!</v>
      </c>
      <c r="P120" s="73" t="e">
        <f>VLOOKUP(N120,'Name Bridge'!$A:$B,2,FALSE)</f>
        <v>#VALUE!</v>
      </c>
      <c r="Q120" t="str">
        <f t="shared" si="8"/>
        <v/>
      </c>
      <c r="R120">
        <f t="shared" si="9"/>
        <v>0</v>
      </c>
    </row>
    <row r="121" spans="12:18" x14ac:dyDescent="0.2">
      <c r="L121" s="39" t="e">
        <f t="shared" si="5"/>
        <v>#VALUE!</v>
      </c>
      <c r="M121" t="e">
        <f t="shared" si="6"/>
        <v>#VALUE!</v>
      </c>
      <c r="N121" t="e">
        <f t="shared" si="7"/>
        <v>#VALUE!</v>
      </c>
      <c r="O121" t="e">
        <f>VLOOKUP(M121,'Name Bridge'!$A:$B,2,FALSE)</f>
        <v>#VALUE!</v>
      </c>
      <c r="P121" s="73" t="e">
        <f>VLOOKUP(N121,'Name Bridge'!$A:$B,2,FALSE)</f>
        <v>#VALUE!</v>
      </c>
      <c r="Q121" t="str">
        <f t="shared" si="8"/>
        <v/>
      </c>
      <c r="R121">
        <f t="shared" si="9"/>
        <v>0</v>
      </c>
    </row>
    <row r="122" spans="12:18" x14ac:dyDescent="0.2">
      <c r="L122" s="39" t="e">
        <f t="shared" si="5"/>
        <v>#VALUE!</v>
      </c>
      <c r="M122" t="e">
        <f t="shared" si="6"/>
        <v>#VALUE!</v>
      </c>
      <c r="N122" t="e">
        <f t="shared" si="7"/>
        <v>#VALUE!</v>
      </c>
      <c r="O122" t="e">
        <f>VLOOKUP(M122,'Name Bridge'!$A:$B,2,FALSE)</f>
        <v>#VALUE!</v>
      </c>
      <c r="P122" s="73" t="e">
        <f>VLOOKUP(N122,'Name Bridge'!$A:$B,2,FALSE)</f>
        <v>#VALUE!</v>
      </c>
      <c r="Q122" t="str">
        <f t="shared" si="8"/>
        <v/>
      </c>
      <c r="R122">
        <f t="shared" si="9"/>
        <v>0</v>
      </c>
    </row>
    <row r="123" spans="12:18" x14ac:dyDescent="0.2">
      <c r="L123" s="39" t="e">
        <f t="shared" si="5"/>
        <v>#VALUE!</v>
      </c>
      <c r="M123" t="e">
        <f t="shared" si="6"/>
        <v>#VALUE!</v>
      </c>
      <c r="N123" t="e">
        <f t="shared" si="7"/>
        <v>#VALUE!</v>
      </c>
      <c r="O123" t="e">
        <f>VLOOKUP(M123,'Name Bridge'!$A:$B,2,FALSE)</f>
        <v>#VALUE!</v>
      </c>
      <c r="P123" s="73" t="e">
        <f>VLOOKUP(N123,'Name Bridge'!$A:$B,2,FALSE)</f>
        <v>#VALUE!</v>
      </c>
      <c r="Q123" t="str">
        <f t="shared" si="8"/>
        <v/>
      </c>
      <c r="R123">
        <f t="shared" si="9"/>
        <v>0</v>
      </c>
    </row>
    <row r="124" spans="12:18" x14ac:dyDescent="0.2">
      <c r="L124" s="39" t="e">
        <f t="shared" si="5"/>
        <v>#VALUE!</v>
      </c>
      <c r="M124" t="e">
        <f t="shared" si="6"/>
        <v>#VALUE!</v>
      </c>
      <c r="N124" t="e">
        <f t="shared" si="7"/>
        <v>#VALUE!</v>
      </c>
      <c r="O124" t="e">
        <f>VLOOKUP(M124,'Name Bridge'!$A:$B,2,FALSE)</f>
        <v>#VALUE!</v>
      </c>
      <c r="P124" s="73" t="e">
        <f>VLOOKUP(N124,'Name Bridge'!$A:$B,2,FALSE)</f>
        <v>#VALUE!</v>
      </c>
      <c r="Q124" t="str">
        <f t="shared" si="8"/>
        <v/>
      </c>
      <c r="R124">
        <f t="shared" si="9"/>
        <v>0</v>
      </c>
    </row>
    <row r="125" spans="12:18" x14ac:dyDescent="0.2">
      <c r="L125" s="39" t="e">
        <f t="shared" si="5"/>
        <v>#VALUE!</v>
      </c>
      <c r="M125" t="e">
        <f t="shared" si="6"/>
        <v>#VALUE!</v>
      </c>
      <c r="N125" t="e">
        <f t="shared" si="7"/>
        <v>#VALUE!</v>
      </c>
      <c r="O125" t="e">
        <f>VLOOKUP(M125,'Name Bridge'!$A:$B,2,FALSE)</f>
        <v>#VALUE!</v>
      </c>
      <c r="P125" s="73" t="e">
        <f>VLOOKUP(N125,'Name Bridge'!$A:$B,2,FALSE)</f>
        <v>#VALUE!</v>
      </c>
      <c r="Q125" t="str">
        <f t="shared" si="8"/>
        <v/>
      </c>
      <c r="R125">
        <f t="shared" si="9"/>
        <v>0</v>
      </c>
    </row>
    <row r="126" spans="12:18" x14ac:dyDescent="0.2">
      <c r="L126" s="39" t="e">
        <f t="shared" si="5"/>
        <v>#VALUE!</v>
      </c>
      <c r="M126" t="e">
        <f t="shared" si="6"/>
        <v>#VALUE!</v>
      </c>
      <c r="N126" t="e">
        <f t="shared" si="7"/>
        <v>#VALUE!</v>
      </c>
      <c r="O126" t="e">
        <f>VLOOKUP(M126,'Name Bridge'!$A:$B,2,FALSE)</f>
        <v>#VALUE!</v>
      </c>
      <c r="P126" s="73" t="e">
        <f>VLOOKUP(N126,'Name Bridge'!$A:$B,2,FALSE)</f>
        <v>#VALUE!</v>
      </c>
      <c r="Q126" t="str">
        <f t="shared" si="8"/>
        <v/>
      </c>
      <c r="R126">
        <f t="shared" si="9"/>
        <v>0</v>
      </c>
    </row>
    <row r="127" spans="12:18" x14ac:dyDescent="0.2">
      <c r="L127" s="39" t="e">
        <f t="shared" si="5"/>
        <v>#VALUE!</v>
      </c>
      <c r="M127" t="e">
        <f t="shared" si="6"/>
        <v>#VALUE!</v>
      </c>
      <c r="N127" t="e">
        <f t="shared" si="7"/>
        <v>#VALUE!</v>
      </c>
      <c r="O127" t="e">
        <f>VLOOKUP(M127,'Name Bridge'!$A:$B,2,FALSE)</f>
        <v>#VALUE!</v>
      </c>
      <c r="P127" s="73" t="e">
        <f>VLOOKUP(N127,'Name Bridge'!$A:$B,2,FALSE)</f>
        <v>#VALUE!</v>
      </c>
      <c r="Q127" t="str">
        <f t="shared" si="8"/>
        <v/>
      </c>
      <c r="R127">
        <f t="shared" si="9"/>
        <v>0</v>
      </c>
    </row>
    <row r="128" spans="12:18" x14ac:dyDescent="0.2">
      <c r="L128" s="39" t="e">
        <f t="shared" si="5"/>
        <v>#VALUE!</v>
      </c>
      <c r="M128" t="e">
        <f t="shared" si="6"/>
        <v>#VALUE!</v>
      </c>
      <c r="N128" t="e">
        <f t="shared" si="7"/>
        <v>#VALUE!</v>
      </c>
      <c r="O128" t="e">
        <f>VLOOKUP(M128,'Name Bridge'!$A:$B,2,FALSE)</f>
        <v>#VALUE!</v>
      </c>
      <c r="P128" s="73" t="e">
        <f>VLOOKUP(N128,'Name Bridge'!$A:$B,2,FALSE)</f>
        <v>#VALUE!</v>
      </c>
      <c r="Q128" t="str">
        <f t="shared" si="8"/>
        <v/>
      </c>
      <c r="R128">
        <f t="shared" si="9"/>
        <v>0</v>
      </c>
    </row>
    <row r="129" spans="12:18" x14ac:dyDescent="0.2">
      <c r="L129" s="39" t="e">
        <f t="shared" si="5"/>
        <v>#VALUE!</v>
      </c>
      <c r="M129" t="e">
        <f t="shared" si="6"/>
        <v>#VALUE!</v>
      </c>
      <c r="N129" t="e">
        <f t="shared" si="7"/>
        <v>#VALUE!</v>
      </c>
      <c r="O129" t="e">
        <f>VLOOKUP(M129,'Name Bridge'!$A:$B,2,FALSE)</f>
        <v>#VALUE!</v>
      </c>
      <c r="P129" s="73" t="e">
        <f>VLOOKUP(N129,'Name Bridge'!$A:$B,2,FALSE)</f>
        <v>#VALUE!</v>
      </c>
      <c r="Q129" t="str">
        <f t="shared" si="8"/>
        <v/>
      </c>
      <c r="R129">
        <f t="shared" si="9"/>
        <v>0</v>
      </c>
    </row>
    <row r="130" spans="12:18" x14ac:dyDescent="0.2">
      <c r="L130" s="39" t="e">
        <f t="shared" si="5"/>
        <v>#VALUE!</v>
      </c>
      <c r="M130" t="e">
        <f t="shared" si="6"/>
        <v>#VALUE!</v>
      </c>
      <c r="N130" t="e">
        <f t="shared" si="7"/>
        <v>#VALUE!</v>
      </c>
      <c r="O130" t="e">
        <f>VLOOKUP(M130,'Name Bridge'!$A:$B,2,FALSE)</f>
        <v>#VALUE!</v>
      </c>
      <c r="P130" s="73" t="e">
        <f>VLOOKUP(N130,'Name Bridge'!$A:$B,2,FALSE)</f>
        <v>#VALUE!</v>
      </c>
      <c r="Q130" t="str">
        <f t="shared" si="8"/>
        <v/>
      </c>
      <c r="R130">
        <f t="shared" si="9"/>
        <v>0</v>
      </c>
    </row>
    <row r="131" spans="12:18" x14ac:dyDescent="0.2">
      <c r="L131" s="39" t="e">
        <f t="shared" ref="L131:L194" si="10">_xlfn.NUMBERVALUE(RIGHT(F131,LEN(F131)-FIND(" ",F131)))</f>
        <v>#VALUE!</v>
      </c>
      <c r="M131" t="e">
        <f t="shared" ref="M131:M194" si="11">LEFT(A131,(FIND("_",A131)-1))</f>
        <v>#VALUE!</v>
      </c>
      <c r="N131" t="e">
        <f t="shared" ref="N131:N194" si="12">RIGHT(A131,LEN(A131)-FIND("_",A131))</f>
        <v>#VALUE!</v>
      </c>
      <c r="O131" t="e">
        <f>VLOOKUP(M131,'Name Bridge'!$A:$B,2,FALSE)</f>
        <v>#VALUE!</v>
      </c>
      <c r="P131" s="73" t="e">
        <f>VLOOKUP(N131,'Name Bridge'!$A:$B,2,FALSE)</f>
        <v>#VALUE!</v>
      </c>
      <c r="Q131" t="str">
        <f t="shared" ref="Q131:Q194" si="13">LEFT(B131,10)</f>
        <v/>
      </c>
      <c r="R131">
        <f t="shared" ref="R131:R194" si="14">_xlfn.NUMBERVALUE(Q131)</f>
        <v>0</v>
      </c>
    </row>
    <row r="132" spans="12:18" x14ac:dyDescent="0.2">
      <c r="L132" s="39" t="e">
        <f t="shared" si="10"/>
        <v>#VALUE!</v>
      </c>
      <c r="M132" t="e">
        <f t="shared" si="11"/>
        <v>#VALUE!</v>
      </c>
      <c r="N132" t="e">
        <f t="shared" si="12"/>
        <v>#VALUE!</v>
      </c>
      <c r="O132" t="e">
        <f>VLOOKUP(M132,'Name Bridge'!$A:$B,2,FALSE)</f>
        <v>#VALUE!</v>
      </c>
      <c r="P132" s="73" t="e">
        <f>VLOOKUP(N132,'Name Bridge'!$A:$B,2,FALSE)</f>
        <v>#VALUE!</v>
      </c>
      <c r="Q132" t="str">
        <f t="shared" si="13"/>
        <v/>
      </c>
      <c r="R132">
        <f t="shared" si="14"/>
        <v>0</v>
      </c>
    </row>
    <row r="133" spans="12:18" x14ac:dyDescent="0.2">
      <c r="L133" s="39" t="e">
        <f t="shared" si="10"/>
        <v>#VALUE!</v>
      </c>
      <c r="M133" t="e">
        <f t="shared" si="11"/>
        <v>#VALUE!</v>
      </c>
      <c r="N133" t="e">
        <f t="shared" si="12"/>
        <v>#VALUE!</v>
      </c>
      <c r="O133" t="e">
        <f>VLOOKUP(M133,'Name Bridge'!$A:$B,2,FALSE)</f>
        <v>#VALUE!</v>
      </c>
      <c r="P133" s="73" t="e">
        <f>VLOOKUP(N133,'Name Bridge'!$A:$B,2,FALSE)</f>
        <v>#VALUE!</v>
      </c>
      <c r="Q133" t="str">
        <f t="shared" si="13"/>
        <v/>
      </c>
      <c r="R133">
        <f t="shared" si="14"/>
        <v>0</v>
      </c>
    </row>
    <row r="134" spans="12:18" x14ac:dyDescent="0.2">
      <c r="L134" s="39" t="e">
        <f t="shared" si="10"/>
        <v>#VALUE!</v>
      </c>
      <c r="M134" t="e">
        <f t="shared" si="11"/>
        <v>#VALUE!</v>
      </c>
      <c r="N134" t="e">
        <f t="shared" si="12"/>
        <v>#VALUE!</v>
      </c>
      <c r="O134" t="e">
        <f>VLOOKUP(M134,'Name Bridge'!$A:$B,2,FALSE)</f>
        <v>#VALUE!</v>
      </c>
      <c r="P134" s="73" t="e">
        <f>VLOOKUP(N134,'Name Bridge'!$A:$B,2,FALSE)</f>
        <v>#VALUE!</v>
      </c>
      <c r="Q134" t="str">
        <f t="shared" si="13"/>
        <v/>
      </c>
      <c r="R134">
        <f t="shared" si="14"/>
        <v>0</v>
      </c>
    </row>
    <row r="135" spans="12:18" x14ac:dyDescent="0.2">
      <c r="L135" s="39" t="e">
        <f t="shared" si="10"/>
        <v>#VALUE!</v>
      </c>
      <c r="M135" t="e">
        <f t="shared" si="11"/>
        <v>#VALUE!</v>
      </c>
      <c r="N135" t="e">
        <f t="shared" si="12"/>
        <v>#VALUE!</v>
      </c>
      <c r="O135" t="e">
        <f>VLOOKUP(M135,'Name Bridge'!$A:$B,2,FALSE)</f>
        <v>#VALUE!</v>
      </c>
      <c r="P135" s="73" t="e">
        <f>VLOOKUP(N135,'Name Bridge'!$A:$B,2,FALSE)</f>
        <v>#VALUE!</v>
      </c>
      <c r="Q135" t="str">
        <f t="shared" si="13"/>
        <v/>
      </c>
      <c r="R135">
        <f t="shared" si="14"/>
        <v>0</v>
      </c>
    </row>
    <row r="136" spans="12:18" x14ac:dyDescent="0.2">
      <c r="L136" s="39" t="e">
        <f t="shared" si="10"/>
        <v>#VALUE!</v>
      </c>
      <c r="M136" t="e">
        <f t="shared" si="11"/>
        <v>#VALUE!</v>
      </c>
      <c r="N136" t="e">
        <f t="shared" si="12"/>
        <v>#VALUE!</v>
      </c>
      <c r="O136" t="e">
        <f>VLOOKUP(M136,'Name Bridge'!$A:$B,2,FALSE)</f>
        <v>#VALUE!</v>
      </c>
      <c r="P136" s="73" t="e">
        <f>VLOOKUP(N136,'Name Bridge'!$A:$B,2,FALSE)</f>
        <v>#VALUE!</v>
      </c>
      <c r="Q136" t="str">
        <f t="shared" si="13"/>
        <v/>
      </c>
      <c r="R136">
        <f t="shared" si="14"/>
        <v>0</v>
      </c>
    </row>
    <row r="137" spans="12:18" x14ac:dyDescent="0.2">
      <c r="L137" s="39" t="e">
        <f t="shared" si="10"/>
        <v>#VALUE!</v>
      </c>
      <c r="M137" t="e">
        <f t="shared" si="11"/>
        <v>#VALUE!</v>
      </c>
      <c r="N137" t="e">
        <f t="shared" si="12"/>
        <v>#VALUE!</v>
      </c>
      <c r="O137" t="e">
        <f>VLOOKUP(M137,'Name Bridge'!$A:$B,2,FALSE)</f>
        <v>#VALUE!</v>
      </c>
      <c r="P137" s="73" t="e">
        <f>VLOOKUP(N137,'Name Bridge'!$A:$B,2,FALSE)</f>
        <v>#VALUE!</v>
      </c>
      <c r="Q137" t="str">
        <f t="shared" si="13"/>
        <v/>
      </c>
      <c r="R137">
        <f t="shared" si="14"/>
        <v>0</v>
      </c>
    </row>
    <row r="138" spans="12:18" x14ac:dyDescent="0.2">
      <c r="L138" s="39" t="e">
        <f t="shared" si="10"/>
        <v>#VALUE!</v>
      </c>
      <c r="M138" t="e">
        <f t="shared" si="11"/>
        <v>#VALUE!</v>
      </c>
      <c r="N138" t="e">
        <f t="shared" si="12"/>
        <v>#VALUE!</v>
      </c>
      <c r="O138" t="e">
        <f>VLOOKUP(M138,'Name Bridge'!$A:$B,2,FALSE)</f>
        <v>#VALUE!</v>
      </c>
      <c r="P138" s="73" t="e">
        <f>VLOOKUP(N138,'Name Bridge'!$A:$B,2,FALSE)</f>
        <v>#VALUE!</v>
      </c>
      <c r="Q138" t="str">
        <f t="shared" si="13"/>
        <v/>
      </c>
      <c r="R138">
        <f t="shared" si="14"/>
        <v>0</v>
      </c>
    </row>
    <row r="139" spans="12:18" x14ac:dyDescent="0.2">
      <c r="L139" s="39" t="e">
        <f t="shared" si="10"/>
        <v>#VALUE!</v>
      </c>
      <c r="M139" t="e">
        <f t="shared" si="11"/>
        <v>#VALUE!</v>
      </c>
      <c r="N139" t="e">
        <f t="shared" si="12"/>
        <v>#VALUE!</v>
      </c>
      <c r="O139" t="e">
        <f>VLOOKUP(M139,'Name Bridge'!$A:$B,2,FALSE)</f>
        <v>#VALUE!</v>
      </c>
      <c r="P139" s="73" t="e">
        <f>VLOOKUP(N139,'Name Bridge'!$A:$B,2,FALSE)</f>
        <v>#VALUE!</v>
      </c>
      <c r="Q139" t="str">
        <f t="shared" si="13"/>
        <v/>
      </c>
      <c r="R139">
        <f t="shared" si="14"/>
        <v>0</v>
      </c>
    </row>
    <row r="140" spans="12:18" x14ac:dyDescent="0.2">
      <c r="L140" s="39" t="e">
        <f t="shared" si="10"/>
        <v>#VALUE!</v>
      </c>
      <c r="M140" t="e">
        <f t="shared" si="11"/>
        <v>#VALUE!</v>
      </c>
      <c r="N140" t="e">
        <f t="shared" si="12"/>
        <v>#VALUE!</v>
      </c>
      <c r="O140" t="e">
        <f>VLOOKUP(M140,'Name Bridge'!$A:$B,2,FALSE)</f>
        <v>#VALUE!</v>
      </c>
      <c r="P140" s="73" t="e">
        <f>VLOOKUP(N140,'Name Bridge'!$A:$B,2,FALSE)</f>
        <v>#VALUE!</v>
      </c>
      <c r="Q140" t="str">
        <f t="shared" si="13"/>
        <v/>
      </c>
      <c r="R140">
        <f t="shared" si="14"/>
        <v>0</v>
      </c>
    </row>
    <row r="141" spans="12:18" x14ac:dyDescent="0.2">
      <c r="L141" s="39" t="e">
        <f t="shared" si="10"/>
        <v>#VALUE!</v>
      </c>
      <c r="M141" t="e">
        <f t="shared" si="11"/>
        <v>#VALUE!</v>
      </c>
      <c r="N141" t="e">
        <f t="shared" si="12"/>
        <v>#VALUE!</v>
      </c>
      <c r="O141" t="e">
        <f>VLOOKUP(M141,'Name Bridge'!$A:$B,2,FALSE)</f>
        <v>#VALUE!</v>
      </c>
      <c r="P141" s="73" t="e">
        <f>VLOOKUP(N141,'Name Bridge'!$A:$B,2,FALSE)</f>
        <v>#VALUE!</v>
      </c>
      <c r="Q141" t="str">
        <f t="shared" si="13"/>
        <v/>
      </c>
      <c r="R141">
        <f t="shared" si="14"/>
        <v>0</v>
      </c>
    </row>
    <row r="142" spans="12:18" x14ac:dyDescent="0.2">
      <c r="L142" s="39" t="e">
        <f t="shared" si="10"/>
        <v>#VALUE!</v>
      </c>
      <c r="M142" t="e">
        <f t="shared" si="11"/>
        <v>#VALUE!</v>
      </c>
      <c r="N142" t="e">
        <f t="shared" si="12"/>
        <v>#VALUE!</v>
      </c>
      <c r="O142" t="e">
        <f>VLOOKUP(M142,'Name Bridge'!$A:$B,2,FALSE)</f>
        <v>#VALUE!</v>
      </c>
      <c r="P142" s="73" t="e">
        <f>VLOOKUP(N142,'Name Bridge'!$A:$B,2,FALSE)</f>
        <v>#VALUE!</v>
      </c>
      <c r="Q142" t="str">
        <f t="shared" si="13"/>
        <v/>
      </c>
      <c r="R142">
        <f t="shared" si="14"/>
        <v>0</v>
      </c>
    </row>
    <row r="143" spans="12:18" x14ac:dyDescent="0.2">
      <c r="L143" s="39" t="e">
        <f t="shared" si="10"/>
        <v>#VALUE!</v>
      </c>
      <c r="M143" t="e">
        <f t="shared" si="11"/>
        <v>#VALUE!</v>
      </c>
      <c r="N143" t="e">
        <f t="shared" si="12"/>
        <v>#VALUE!</v>
      </c>
      <c r="O143" t="e">
        <f>VLOOKUP(M143,'Name Bridge'!$A:$B,2,FALSE)</f>
        <v>#VALUE!</v>
      </c>
      <c r="P143" s="73" t="e">
        <f>VLOOKUP(N143,'Name Bridge'!$A:$B,2,FALSE)</f>
        <v>#VALUE!</v>
      </c>
      <c r="Q143" t="str">
        <f t="shared" si="13"/>
        <v/>
      </c>
      <c r="R143">
        <f t="shared" si="14"/>
        <v>0</v>
      </c>
    </row>
    <row r="144" spans="12:18" x14ac:dyDescent="0.2">
      <c r="L144" s="39" t="e">
        <f t="shared" si="10"/>
        <v>#VALUE!</v>
      </c>
      <c r="M144" t="e">
        <f t="shared" si="11"/>
        <v>#VALUE!</v>
      </c>
      <c r="N144" t="e">
        <f t="shared" si="12"/>
        <v>#VALUE!</v>
      </c>
      <c r="O144" t="e">
        <f>VLOOKUP(M144,'Name Bridge'!$A:$B,2,FALSE)</f>
        <v>#VALUE!</v>
      </c>
      <c r="P144" s="73" t="e">
        <f>VLOOKUP(N144,'Name Bridge'!$A:$B,2,FALSE)</f>
        <v>#VALUE!</v>
      </c>
      <c r="Q144" t="str">
        <f t="shared" si="13"/>
        <v/>
      </c>
      <c r="R144">
        <f t="shared" si="14"/>
        <v>0</v>
      </c>
    </row>
    <row r="145" spans="12:18" x14ac:dyDescent="0.2">
      <c r="L145" s="39" t="e">
        <f t="shared" si="10"/>
        <v>#VALUE!</v>
      </c>
      <c r="M145" t="e">
        <f t="shared" si="11"/>
        <v>#VALUE!</v>
      </c>
      <c r="N145" t="e">
        <f t="shared" si="12"/>
        <v>#VALUE!</v>
      </c>
      <c r="O145" t="e">
        <f>VLOOKUP(M145,'Name Bridge'!$A:$B,2,FALSE)</f>
        <v>#VALUE!</v>
      </c>
      <c r="P145" s="73" t="e">
        <f>VLOOKUP(N145,'Name Bridge'!$A:$B,2,FALSE)</f>
        <v>#VALUE!</v>
      </c>
      <c r="Q145" t="str">
        <f t="shared" si="13"/>
        <v/>
      </c>
      <c r="R145">
        <f t="shared" si="14"/>
        <v>0</v>
      </c>
    </row>
    <row r="146" spans="12:18" x14ac:dyDescent="0.2">
      <c r="L146" s="39" t="e">
        <f t="shared" si="10"/>
        <v>#VALUE!</v>
      </c>
      <c r="M146" t="e">
        <f t="shared" si="11"/>
        <v>#VALUE!</v>
      </c>
      <c r="N146" t="e">
        <f t="shared" si="12"/>
        <v>#VALUE!</v>
      </c>
      <c r="O146" t="e">
        <f>VLOOKUP(M146,'Name Bridge'!$A:$B,2,FALSE)</f>
        <v>#VALUE!</v>
      </c>
      <c r="P146" s="73" t="e">
        <f>VLOOKUP(N146,'Name Bridge'!$A:$B,2,FALSE)</f>
        <v>#VALUE!</v>
      </c>
      <c r="Q146" t="str">
        <f t="shared" si="13"/>
        <v/>
      </c>
      <c r="R146">
        <f t="shared" si="14"/>
        <v>0</v>
      </c>
    </row>
    <row r="147" spans="12:18" x14ac:dyDescent="0.2">
      <c r="L147" s="39" t="e">
        <f t="shared" si="10"/>
        <v>#VALUE!</v>
      </c>
      <c r="M147" t="e">
        <f t="shared" si="11"/>
        <v>#VALUE!</v>
      </c>
      <c r="N147" t="e">
        <f t="shared" si="12"/>
        <v>#VALUE!</v>
      </c>
      <c r="O147" t="e">
        <f>VLOOKUP(M147,'Name Bridge'!$A:$B,2,FALSE)</f>
        <v>#VALUE!</v>
      </c>
      <c r="P147" s="73" t="e">
        <f>VLOOKUP(N147,'Name Bridge'!$A:$B,2,FALSE)</f>
        <v>#VALUE!</v>
      </c>
      <c r="Q147" t="str">
        <f t="shared" si="13"/>
        <v/>
      </c>
      <c r="R147">
        <f t="shared" si="14"/>
        <v>0</v>
      </c>
    </row>
    <row r="148" spans="12:18" x14ac:dyDescent="0.2">
      <c r="L148" s="39" t="e">
        <f t="shared" si="10"/>
        <v>#VALUE!</v>
      </c>
      <c r="M148" t="e">
        <f t="shared" si="11"/>
        <v>#VALUE!</v>
      </c>
      <c r="N148" t="e">
        <f t="shared" si="12"/>
        <v>#VALUE!</v>
      </c>
      <c r="O148" t="e">
        <f>VLOOKUP(M148,'Name Bridge'!$A:$B,2,FALSE)</f>
        <v>#VALUE!</v>
      </c>
      <c r="P148" s="73" t="e">
        <f>VLOOKUP(N148,'Name Bridge'!$A:$B,2,FALSE)</f>
        <v>#VALUE!</v>
      </c>
      <c r="Q148" t="str">
        <f t="shared" si="13"/>
        <v/>
      </c>
      <c r="R148">
        <f t="shared" si="14"/>
        <v>0</v>
      </c>
    </row>
    <row r="149" spans="12:18" x14ac:dyDescent="0.2">
      <c r="L149" s="39" t="e">
        <f t="shared" si="10"/>
        <v>#VALUE!</v>
      </c>
      <c r="M149" t="e">
        <f t="shared" si="11"/>
        <v>#VALUE!</v>
      </c>
      <c r="N149" t="e">
        <f t="shared" si="12"/>
        <v>#VALUE!</v>
      </c>
      <c r="O149" t="e">
        <f>VLOOKUP(M149,'Name Bridge'!$A:$B,2,FALSE)</f>
        <v>#VALUE!</v>
      </c>
      <c r="P149" s="73" t="e">
        <f>VLOOKUP(N149,'Name Bridge'!$A:$B,2,FALSE)</f>
        <v>#VALUE!</v>
      </c>
      <c r="Q149" t="str">
        <f t="shared" si="13"/>
        <v/>
      </c>
      <c r="R149">
        <f t="shared" si="14"/>
        <v>0</v>
      </c>
    </row>
    <row r="150" spans="12:18" x14ac:dyDescent="0.2">
      <c r="L150" s="39" t="e">
        <f t="shared" si="10"/>
        <v>#VALUE!</v>
      </c>
      <c r="M150" t="e">
        <f t="shared" si="11"/>
        <v>#VALUE!</v>
      </c>
      <c r="N150" t="e">
        <f t="shared" si="12"/>
        <v>#VALUE!</v>
      </c>
      <c r="O150" t="e">
        <f>VLOOKUP(M150,'Name Bridge'!$A:$B,2,FALSE)</f>
        <v>#VALUE!</v>
      </c>
      <c r="P150" s="73" t="e">
        <f>VLOOKUP(N150,'Name Bridge'!$A:$B,2,FALSE)</f>
        <v>#VALUE!</v>
      </c>
      <c r="Q150" t="str">
        <f t="shared" si="13"/>
        <v/>
      </c>
      <c r="R150">
        <f t="shared" si="14"/>
        <v>0</v>
      </c>
    </row>
    <row r="151" spans="12:18" x14ac:dyDescent="0.2">
      <c r="L151" s="39" t="e">
        <f t="shared" si="10"/>
        <v>#VALUE!</v>
      </c>
      <c r="M151" t="e">
        <f t="shared" si="11"/>
        <v>#VALUE!</v>
      </c>
      <c r="N151" t="e">
        <f t="shared" si="12"/>
        <v>#VALUE!</v>
      </c>
      <c r="O151" t="e">
        <f>VLOOKUP(M151,'Name Bridge'!$A:$B,2,FALSE)</f>
        <v>#VALUE!</v>
      </c>
      <c r="P151" s="73" t="e">
        <f>VLOOKUP(N151,'Name Bridge'!$A:$B,2,FALSE)</f>
        <v>#VALUE!</v>
      </c>
      <c r="Q151" t="str">
        <f t="shared" si="13"/>
        <v/>
      </c>
      <c r="R151">
        <f t="shared" si="14"/>
        <v>0</v>
      </c>
    </row>
    <row r="152" spans="12:18" x14ac:dyDescent="0.2">
      <c r="L152" s="39" t="e">
        <f t="shared" si="10"/>
        <v>#VALUE!</v>
      </c>
      <c r="M152" t="e">
        <f t="shared" si="11"/>
        <v>#VALUE!</v>
      </c>
      <c r="N152" t="e">
        <f t="shared" si="12"/>
        <v>#VALUE!</v>
      </c>
      <c r="O152" t="e">
        <f>VLOOKUP(M152,'Name Bridge'!$A:$B,2,FALSE)</f>
        <v>#VALUE!</v>
      </c>
      <c r="P152" s="73" t="e">
        <f>VLOOKUP(N152,'Name Bridge'!$A:$B,2,FALSE)</f>
        <v>#VALUE!</v>
      </c>
      <c r="Q152" t="str">
        <f t="shared" si="13"/>
        <v/>
      </c>
      <c r="R152">
        <f t="shared" si="14"/>
        <v>0</v>
      </c>
    </row>
    <row r="153" spans="12:18" x14ac:dyDescent="0.2">
      <c r="L153" s="39" t="e">
        <f t="shared" si="10"/>
        <v>#VALUE!</v>
      </c>
      <c r="M153" t="e">
        <f t="shared" si="11"/>
        <v>#VALUE!</v>
      </c>
      <c r="N153" t="e">
        <f t="shared" si="12"/>
        <v>#VALUE!</v>
      </c>
      <c r="O153" t="e">
        <f>VLOOKUP(M153,'Name Bridge'!$A:$B,2,FALSE)</f>
        <v>#VALUE!</v>
      </c>
      <c r="P153" s="73" t="e">
        <f>VLOOKUP(N153,'Name Bridge'!$A:$B,2,FALSE)</f>
        <v>#VALUE!</v>
      </c>
      <c r="Q153" t="str">
        <f t="shared" si="13"/>
        <v/>
      </c>
      <c r="R153">
        <f t="shared" si="14"/>
        <v>0</v>
      </c>
    </row>
    <row r="154" spans="12:18" x14ac:dyDescent="0.2">
      <c r="L154" s="39" t="e">
        <f t="shared" si="10"/>
        <v>#VALUE!</v>
      </c>
      <c r="M154" t="e">
        <f t="shared" si="11"/>
        <v>#VALUE!</v>
      </c>
      <c r="N154" t="e">
        <f t="shared" si="12"/>
        <v>#VALUE!</v>
      </c>
      <c r="O154" t="e">
        <f>VLOOKUP(M154,'Name Bridge'!$A:$B,2,FALSE)</f>
        <v>#VALUE!</v>
      </c>
      <c r="P154" s="73" t="e">
        <f>VLOOKUP(N154,'Name Bridge'!$A:$B,2,FALSE)</f>
        <v>#VALUE!</v>
      </c>
      <c r="Q154" t="str">
        <f t="shared" si="13"/>
        <v/>
      </c>
      <c r="R154">
        <f t="shared" si="14"/>
        <v>0</v>
      </c>
    </row>
    <row r="155" spans="12:18" x14ac:dyDescent="0.2">
      <c r="L155" s="39" t="e">
        <f t="shared" si="10"/>
        <v>#VALUE!</v>
      </c>
      <c r="M155" t="e">
        <f t="shared" si="11"/>
        <v>#VALUE!</v>
      </c>
      <c r="N155" t="e">
        <f t="shared" si="12"/>
        <v>#VALUE!</v>
      </c>
      <c r="O155" t="e">
        <f>VLOOKUP(M155,'Name Bridge'!$A:$B,2,FALSE)</f>
        <v>#VALUE!</v>
      </c>
      <c r="P155" s="73" t="e">
        <f>VLOOKUP(N155,'Name Bridge'!$A:$B,2,FALSE)</f>
        <v>#VALUE!</v>
      </c>
      <c r="Q155" t="str">
        <f t="shared" si="13"/>
        <v/>
      </c>
      <c r="R155">
        <f t="shared" si="14"/>
        <v>0</v>
      </c>
    </row>
    <row r="156" spans="12:18" x14ac:dyDescent="0.2">
      <c r="L156" s="39" t="e">
        <f t="shared" si="10"/>
        <v>#VALUE!</v>
      </c>
      <c r="M156" t="e">
        <f t="shared" si="11"/>
        <v>#VALUE!</v>
      </c>
      <c r="N156" t="e">
        <f t="shared" si="12"/>
        <v>#VALUE!</v>
      </c>
      <c r="O156" t="e">
        <f>VLOOKUP(M156,'Name Bridge'!$A:$B,2,FALSE)</f>
        <v>#VALUE!</v>
      </c>
      <c r="P156" s="73" t="e">
        <f>VLOOKUP(N156,'Name Bridge'!$A:$B,2,FALSE)</f>
        <v>#VALUE!</v>
      </c>
      <c r="Q156" t="str">
        <f t="shared" si="13"/>
        <v/>
      </c>
      <c r="R156">
        <f t="shared" si="14"/>
        <v>0</v>
      </c>
    </row>
    <row r="157" spans="12:18" x14ac:dyDescent="0.2">
      <c r="L157" s="39" t="e">
        <f t="shared" si="10"/>
        <v>#VALUE!</v>
      </c>
      <c r="M157" t="e">
        <f t="shared" si="11"/>
        <v>#VALUE!</v>
      </c>
      <c r="N157" t="e">
        <f t="shared" si="12"/>
        <v>#VALUE!</v>
      </c>
      <c r="O157" t="e">
        <f>VLOOKUP(M157,'Name Bridge'!$A:$B,2,FALSE)</f>
        <v>#VALUE!</v>
      </c>
      <c r="P157" s="73" t="e">
        <f>VLOOKUP(N157,'Name Bridge'!$A:$B,2,FALSE)</f>
        <v>#VALUE!</v>
      </c>
      <c r="Q157" t="str">
        <f t="shared" si="13"/>
        <v/>
      </c>
      <c r="R157">
        <f t="shared" si="14"/>
        <v>0</v>
      </c>
    </row>
    <row r="158" spans="12:18" x14ac:dyDescent="0.2">
      <c r="L158" s="39" t="e">
        <f t="shared" si="10"/>
        <v>#VALUE!</v>
      </c>
      <c r="M158" t="e">
        <f t="shared" si="11"/>
        <v>#VALUE!</v>
      </c>
      <c r="N158" t="e">
        <f t="shared" si="12"/>
        <v>#VALUE!</v>
      </c>
      <c r="O158" t="e">
        <f>VLOOKUP(M158,'Name Bridge'!$A:$B,2,FALSE)</f>
        <v>#VALUE!</v>
      </c>
      <c r="P158" s="73" t="e">
        <f>VLOOKUP(N158,'Name Bridge'!$A:$B,2,FALSE)</f>
        <v>#VALUE!</v>
      </c>
      <c r="Q158" t="str">
        <f t="shared" si="13"/>
        <v/>
      </c>
      <c r="R158">
        <f t="shared" si="14"/>
        <v>0</v>
      </c>
    </row>
    <row r="159" spans="12:18" x14ac:dyDescent="0.2">
      <c r="L159" s="39" t="e">
        <f t="shared" si="10"/>
        <v>#VALUE!</v>
      </c>
      <c r="M159" t="e">
        <f t="shared" si="11"/>
        <v>#VALUE!</v>
      </c>
      <c r="N159" t="e">
        <f t="shared" si="12"/>
        <v>#VALUE!</v>
      </c>
      <c r="O159" t="e">
        <f>VLOOKUP(M159,'Name Bridge'!$A:$B,2,FALSE)</f>
        <v>#VALUE!</v>
      </c>
      <c r="P159" s="73" t="e">
        <f>VLOOKUP(N159,'Name Bridge'!$A:$B,2,FALSE)</f>
        <v>#VALUE!</v>
      </c>
      <c r="Q159" t="str">
        <f t="shared" si="13"/>
        <v/>
      </c>
      <c r="R159">
        <f t="shared" si="14"/>
        <v>0</v>
      </c>
    </row>
    <row r="160" spans="12:18" x14ac:dyDescent="0.2">
      <c r="L160" s="39" t="e">
        <f t="shared" si="10"/>
        <v>#VALUE!</v>
      </c>
      <c r="M160" t="e">
        <f t="shared" si="11"/>
        <v>#VALUE!</v>
      </c>
      <c r="N160" t="e">
        <f t="shared" si="12"/>
        <v>#VALUE!</v>
      </c>
      <c r="O160" t="e">
        <f>VLOOKUP(M160,'Name Bridge'!$A:$B,2,FALSE)</f>
        <v>#VALUE!</v>
      </c>
      <c r="P160" s="73" t="e">
        <f>VLOOKUP(N160,'Name Bridge'!$A:$B,2,FALSE)</f>
        <v>#VALUE!</v>
      </c>
      <c r="Q160" t="str">
        <f t="shared" si="13"/>
        <v/>
      </c>
      <c r="R160">
        <f t="shared" si="14"/>
        <v>0</v>
      </c>
    </row>
    <row r="161" spans="12:18" x14ac:dyDescent="0.2">
      <c r="L161" s="39" t="e">
        <f t="shared" si="10"/>
        <v>#VALUE!</v>
      </c>
      <c r="M161" t="e">
        <f t="shared" si="11"/>
        <v>#VALUE!</v>
      </c>
      <c r="N161" t="e">
        <f t="shared" si="12"/>
        <v>#VALUE!</v>
      </c>
      <c r="O161" t="e">
        <f>VLOOKUP(M161,'Name Bridge'!$A:$B,2,FALSE)</f>
        <v>#VALUE!</v>
      </c>
      <c r="P161" s="73" t="e">
        <f>VLOOKUP(N161,'Name Bridge'!$A:$B,2,FALSE)</f>
        <v>#VALUE!</v>
      </c>
      <c r="Q161" t="str">
        <f t="shared" si="13"/>
        <v/>
      </c>
      <c r="R161">
        <f t="shared" si="14"/>
        <v>0</v>
      </c>
    </row>
    <row r="162" spans="12:18" x14ac:dyDescent="0.2">
      <c r="L162" s="39" t="e">
        <f t="shared" si="10"/>
        <v>#VALUE!</v>
      </c>
      <c r="M162" t="e">
        <f t="shared" si="11"/>
        <v>#VALUE!</v>
      </c>
      <c r="N162" t="e">
        <f t="shared" si="12"/>
        <v>#VALUE!</v>
      </c>
      <c r="O162" t="e">
        <f>VLOOKUP(M162,'Name Bridge'!$A:$B,2,FALSE)</f>
        <v>#VALUE!</v>
      </c>
      <c r="P162" s="73" t="e">
        <f>VLOOKUP(N162,'Name Bridge'!$A:$B,2,FALSE)</f>
        <v>#VALUE!</v>
      </c>
      <c r="Q162" t="str">
        <f t="shared" si="13"/>
        <v/>
      </c>
      <c r="R162">
        <f t="shared" si="14"/>
        <v>0</v>
      </c>
    </row>
    <row r="163" spans="12:18" x14ac:dyDescent="0.2">
      <c r="L163" s="39" t="e">
        <f t="shared" si="10"/>
        <v>#VALUE!</v>
      </c>
      <c r="M163" t="e">
        <f t="shared" si="11"/>
        <v>#VALUE!</v>
      </c>
      <c r="N163" t="e">
        <f t="shared" si="12"/>
        <v>#VALUE!</v>
      </c>
      <c r="O163" t="e">
        <f>VLOOKUP(M163,'Name Bridge'!$A:$B,2,FALSE)</f>
        <v>#VALUE!</v>
      </c>
      <c r="P163" s="73" t="e">
        <f>VLOOKUP(N163,'Name Bridge'!$A:$B,2,FALSE)</f>
        <v>#VALUE!</v>
      </c>
      <c r="Q163" t="str">
        <f t="shared" si="13"/>
        <v/>
      </c>
      <c r="R163">
        <f t="shared" si="14"/>
        <v>0</v>
      </c>
    </row>
    <row r="164" spans="12:18" x14ac:dyDescent="0.2">
      <c r="L164" s="39" t="e">
        <f t="shared" si="10"/>
        <v>#VALUE!</v>
      </c>
      <c r="M164" t="e">
        <f t="shared" si="11"/>
        <v>#VALUE!</v>
      </c>
      <c r="N164" t="e">
        <f t="shared" si="12"/>
        <v>#VALUE!</v>
      </c>
      <c r="O164" t="e">
        <f>VLOOKUP(M164,'Name Bridge'!$A:$B,2,FALSE)</f>
        <v>#VALUE!</v>
      </c>
      <c r="P164" s="73" t="e">
        <f>VLOOKUP(N164,'Name Bridge'!$A:$B,2,FALSE)</f>
        <v>#VALUE!</v>
      </c>
      <c r="Q164" t="str">
        <f t="shared" si="13"/>
        <v/>
      </c>
      <c r="R164">
        <f t="shared" si="14"/>
        <v>0</v>
      </c>
    </row>
    <row r="165" spans="12:18" x14ac:dyDescent="0.2">
      <c r="L165" s="39" t="e">
        <f t="shared" si="10"/>
        <v>#VALUE!</v>
      </c>
      <c r="M165" t="e">
        <f t="shared" si="11"/>
        <v>#VALUE!</v>
      </c>
      <c r="N165" t="e">
        <f t="shared" si="12"/>
        <v>#VALUE!</v>
      </c>
      <c r="O165" t="e">
        <f>VLOOKUP(M165,'Name Bridge'!$A:$B,2,FALSE)</f>
        <v>#VALUE!</v>
      </c>
      <c r="P165" s="73" t="e">
        <f>VLOOKUP(N165,'Name Bridge'!$A:$B,2,FALSE)</f>
        <v>#VALUE!</v>
      </c>
      <c r="Q165" t="str">
        <f t="shared" si="13"/>
        <v/>
      </c>
      <c r="R165">
        <f t="shared" si="14"/>
        <v>0</v>
      </c>
    </row>
    <row r="166" spans="12:18" x14ac:dyDescent="0.2">
      <c r="L166" s="39" t="e">
        <f t="shared" si="10"/>
        <v>#VALUE!</v>
      </c>
      <c r="M166" t="e">
        <f t="shared" si="11"/>
        <v>#VALUE!</v>
      </c>
      <c r="N166" t="e">
        <f t="shared" si="12"/>
        <v>#VALUE!</v>
      </c>
      <c r="O166" t="e">
        <f>VLOOKUP(M166,'Name Bridge'!$A:$B,2,FALSE)</f>
        <v>#VALUE!</v>
      </c>
      <c r="P166" s="73" t="e">
        <f>VLOOKUP(N166,'Name Bridge'!$A:$B,2,FALSE)</f>
        <v>#VALUE!</v>
      </c>
      <c r="Q166" t="str">
        <f t="shared" si="13"/>
        <v/>
      </c>
      <c r="R166">
        <f t="shared" si="14"/>
        <v>0</v>
      </c>
    </row>
    <row r="167" spans="12:18" x14ac:dyDescent="0.2">
      <c r="L167" s="39" t="e">
        <f t="shared" si="10"/>
        <v>#VALUE!</v>
      </c>
      <c r="M167" t="e">
        <f t="shared" si="11"/>
        <v>#VALUE!</v>
      </c>
      <c r="N167" t="e">
        <f t="shared" si="12"/>
        <v>#VALUE!</v>
      </c>
      <c r="O167" t="e">
        <f>VLOOKUP(M167,'Name Bridge'!$A:$B,2,FALSE)</f>
        <v>#VALUE!</v>
      </c>
      <c r="P167" s="73" t="e">
        <f>VLOOKUP(N167,'Name Bridge'!$A:$B,2,FALSE)</f>
        <v>#VALUE!</v>
      </c>
      <c r="Q167" t="str">
        <f t="shared" si="13"/>
        <v/>
      </c>
      <c r="R167">
        <f t="shared" si="14"/>
        <v>0</v>
      </c>
    </row>
    <row r="168" spans="12:18" x14ac:dyDescent="0.2">
      <c r="L168" s="39" t="e">
        <f t="shared" si="10"/>
        <v>#VALUE!</v>
      </c>
      <c r="M168" t="e">
        <f t="shared" si="11"/>
        <v>#VALUE!</v>
      </c>
      <c r="N168" t="e">
        <f t="shared" si="12"/>
        <v>#VALUE!</v>
      </c>
      <c r="O168" t="e">
        <f>VLOOKUP(M168,'Name Bridge'!$A:$B,2,FALSE)</f>
        <v>#VALUE!</v>
      </c>
      <c r="P168" s="73" t="e">
        <f>VLOOKUP(N168,'Name Bridge'!$A:$B,2,FALSE)</f>
        <v>#VALUE!</v>
      </c>
      <c r="Q168" t="str">
        <f t="shared" si="13"/>
        <v/>
      </c>
      <c r="R168">
        <f t="shared" si="14"/>
        <v>0</v>
      </c>
    </row>
    <row r="169" spans="12:18" x14ac:dyDescent="0.2">
      <c r="L169" s="39" t="e">
        <f t="shared" si="10"/>
        <v>#VALUE!</v>
      </c>
      <c r="M169" t="e">
        <f t="shared" si="11"/>
        <v>#VALUE!</v>
      </c>
      <c r="N169" t="e">
        <f t="shared" si="12"/>
        <v>#VALUE!</v>
      </c>
      <c r="O169" t="e">
        <f>VLOOKUP(M169,'Name Bridge'!$A:$B,2,FALSE)</f>
        <v>#VALUE!</v>
      </c>
      <c r="P169" s="73" t="e">
        <f>VLOOKUP(N169,'Name Bridge'!$A:$B,2,FALSE)</f>
        <v>#VALUE!</v>
      </c>
      <c r="Q169" t="str">
        <f t="shared" si="13"/>
        <v/>
      </c>
      <c r="R169">
        <f t="shared" si="14"/>
        <v>0</v>
      </c>
    </row>
    <row r="170" spans="12:18" x14ac:dyDescent="0.2">
      <c r="L170" s="39" t="e">
        <f t="shared" si="10"/>
        <v>#VALUE!</v>
      </c>
      <c r="M170" t="e">
        <f t="shared" si="11"/>
        <v>#VALUE!</v>
      </c>
      <c r="N170" t="e">
        <f t="shared" si="12"/>
        <v>#VALUE!</v>
      </c>
      <c r="O170" t="e">
        <f>VLOOKUP(M170,'Name Bridge'!$A:$B,2,FALSE)</f>
        <v>#VALUE!</v>
      </c>
      <c r="P170" s="73" t="e">
        <f>VLOOKUP(N170,'Name Bridge'!$A:$B,2,FALSE)</f>
        <v>#VALUE!</v>
      </c>
      <c r="Q170" t="str">
        <f t="shared" si="13"/>
        <v/>
      </c>
      <c r="R170">
        <f t="shared" si="14"/>
        <v>0</v>
      </c>
    </row>
    <row r="171" spans="12:18" x14ac:dyDescent="0.2">
      <c r="L171" s="39" t="e">
        <f t="shared" si="10"/>
        <v>#VALUE!</v>
      </c>
      <c r="M171" t="e">
        <f t="shared" si="11"/>
        <v>#VALUE!</v>
      </c>
      <c r="N171" t="e">
        <f t="shared" si="12"/>
        <v>#VALUE!</v>
      </c>
      <c r="O171" t="e">
        <f>VLOOKUP(M171,'Name Bridge'!$A:$B,2,FALSE)</f>
        <v>#VALUE!</v>
      </c>
      <c r="P171" s="73" t="e">
        <f>VLOOKUP(N171,'Name Bridge'!$A:$B,2,FALSE)</f>
        <v>#VALUE!</v>
      </c>
      <c r="Q171" t="str">
        <f t="shared" si="13"/>
        <v/>
      </c>
      <c r="R171">
        <f t="shared" si="14"/>
        <v>0</v>
      </c>
    </row>
    <row r="172" spans="12:18" x14ac:dyDescent="0.2">
      <c r="L172" s="39" t="e">
        <f t="shared" si="10"/>
        <v>#VALUE!</v>
      </c>
      <c r="M172" t="e">
        <f t="shared" si="11"/>
        <v>#VALUE!</v>
      </c>
      <c r="N172" t="e">
        <f t="shared" si="12"/>
        <v>#VALUE!</v>
      </c>
      <c r="O172" t="e">
        <f>VLOOKUP(M172,'Name Bridge'!$A:$B,2,FALSE)</f>
        <v>#VALUE!</v>
      </c>
      <c r="P172" s="73" t="e">
        <f>VLOOKUP(N172,'Name Bridge'!$A:$B,2,FALSE)</f>
        <v>#VALUE!</v>
      </c>
      <c r="Q172" t="str">
        <f t="shared" si="13"/>
        <v/>
      </c>
      <c r="R172">
        <f t="shared" si="14"/>
        <v>0</v>
      </c>
    </row>
    <row r="173" spans="12:18" x14ac:dyDescent="0.2">
      <c r="L173" s="39" t="e">
        <f t="shared" si="10"/>
        <v>#VALUE!</v>
      </c>
      <c r="M173" t="e">
        <f t="shared" si="11"/>
        <v>#VALUE!</v>
      </c>
      <c r="N173" t="e">
        <f t="shared" si="12"/>
        <v>#VALUE!</v>
      </c>
      <c r="O173" t="e">
        <f>VLOOKUP(M173,'Name Bridge'!$A:$B,2,FALSE)</f>
        <v>#VALUE!</v>
      </c>
      <c r="P173" s="73" t="e">
        <f>VLOOKUP(N173,'Name Bridge'!$A:$B,2,FALSE)</f>
        <v>#VALUE!</v>
      </c>
      <c r="Q173" t="str">
        <f t="shared" si="13"/>
        <v/>
      </c>
      <c r="R173">
        <f t="shared" si="14"/>
        <v>0</v>
      </c>
    </row>
    <row r="174" spans="12:18" x14ac:dyDescent="0.2">
      <c r="L174" s="39" t="e">
        <f t="shared" si="10"/>
        <v>#VALUE!</v>
      </c>
      <c r="M174" t="e">
        <f t="shared" si="11"/>
        <v>#VALUE!</v>
      </c>
      <c r="N174" t="e">
        <f t="shared" si="12"/>
        <v>#VALUE!</v>
      </c>
      <c r="O174" t="e">
        <f>VLOOKUP(M174,'Name Bridge'!$A:$B,2,FALSE)</f>
        <v>#VALUE!</v>
      </c>
      <c r="P174" s="73" t="e">
        <f>VLOOKUP(N174,'Name Bridge'!$A:$B,2,FALSE)</f>
        <v>#VALUE!</v>
      </c>
      <c r="Q174" t="str">
        <f t="shared" si="13"/>
        <v/>
      </c>
      <c r="R174">
        <f t="shared" si="14"/>
        <v>0</v>
      </c>
    </row>
    <row r="175" spans="12:18" x14ac:dyDescent="0.2">
      <c r="L175" s="39" t="e">
        <f t="shared" si="10"/>
        <v>#VALUE!</v>
      </c>
      <c r="M175" t="e">
        <f t="shared" si="11"/>
        <v>#VALUE!</v>
      </c>
      <c r="N175" t="e">
        <f t="shared" si="12"/>
        <v>#VALUE!</v>
      </c>
      <c r="O175" t="e">
        <f>VLOOKUP(M175,'Name Bridge'!$A:$B,2,FALSE)</f>
        <v>#VALUE!</v>
      </c>
      <c r="P175" s="73" t="e">
        <f>VLOOKUP(N175,'Name Bridge'!$A:$B,2,FALSE)</f>
        <v>#VALUE!</v>
      </c>
      <c r="Q175" t="str">
        <f t="shared" si="13"/>
        <v/>
      </c>
      <c r="R175">
        <f t="shared" si="14"/>
        <v>0</v>
      </c>
    </row>
    <row r="176" spans="12:18" x14ac:dyDescent="0.2">
      <c r="L176" s="39" t="e">
        <f t="shared" si="10"/>
        <v>#VALUE!</v>
      </c>
      <c r="M176" t="e">
        <f t="shared" si="11"/>
        <v>#VALUE!</v>
      </c>
      <c r="N176" t="e">
        <f t="shared" si="12"/>
        <v>#VALUE!</v>
      </c>
      <c r="O176" t="e">
        <f>VLOOKUP(M176,'Name Bridge'!$A:$B,2,FALSE)</f>
        <v>#VALUE!</v>
      </c>
      <c r="P176" s="73" t="e">
        <f>VLOOKUP(N176,'Name Bridge'!$A:$B,2,FALSE)</f>
        <v>#VALUE!</v>
      </c>
      <c r="Q176" t="str">
        <f t="shared" si="13"/>
        <v/>
      </c>
      <c r="R176">
        <f t="shared" si="14"/>
        <v>0</v>
      </c>
    </row>
    <row r="177" spans="12:18" x14ac:dyDescent="0.2">
      <c r="L177" s="39" t="e">
        <f t="shared" si="10"/>
        <v>#VALUE!</v>
      </c>
      <c r="M177" t="e">
        <f t="shared" si="11"/>
        <v>#VALUE!</v>
      </c>
      <c r="N177" t="e">
        <f t="shared" si="12"/>
        <v>#VALUE!</v>
      </c>
      <c r="O177" t="e">
        <f>VLOOKUP(M177,'Name Bridge'!$A:$B,2,FALSE)</f>
        <v>#VALUE!</v>
      </c>
      <c r="P177" s="73" t="e">
        <f>VLOOKUP(N177,'Name Bridge'!$A:$B,2,FALSE)</f>
        <v>#VALUE!</v>
      </c>
      <c r="Q177" t="str">
        <f t="shared" si="13"/>
        <v/>
      </c>
      <c r="R177">
        <f t="shared" si="14"/>
        <v>0</v>
      </c>
    </row>
    <row r="178" spans="12:18" x14ac:dyDescent="0.2">
      <c r="L178" s="39" t="e">
        <f t="shared" si="10"/>
        <v>#VALUE!</v>
      </c>
      <c r="M178" t="e">
        <f t="shared" si="11"/>
        <v>#VALUE!</v>
      </c>
      <c r="N178" t="e">
        <f t="shared" si="12"/>
        <v>#VALUE!</v>
      </c>
      <c r="O178" t="e">
        <f>VLOOKUP(M178,'Name Bridge'!$A:$B,2,FALSE)</f>
        <v>#VALUE!</v>
      </c>
      <c r="P178" s="73" t="e">
        <f>VLOOKUP(N178,'Name Bridge'!$A:$B,2,FALSE)</f>
        <v>#VALUE!</v>
      </c>
      <c r="Q178" t="str">
        <f t="shared" si="13"/>
        <v/>
      </c>
      <c r="R178">
        <f t="shared" si="14"/>
        <v>0</v>
      </c>
    </row>
    <row r="179" spans="12:18" x14ac:dyDescent="0.2">
      <c r="L179" s="39" t="e">
        <f t="shared" si="10"/>
        <v>#VALUE!</v>
      </c>
      <c r="M179" t="e">
        <f t="shared" si="11"/>
        <v>#VALUE!</v>
      </c>
      <c r="N179" t="e">
        <f t="shared" si="12"/>
        <v>#VALUE!</v>
      </c>
      <c r="O179" t="e">
        <f>VLOOKUP(M179,'Name Bridge'!$A:$B,2,FALSE)</f>
        <v>#VALUE!</v>
      </c>
      <c r="P179" s="73" t="e">
        <f>VLOOKUP(N179,'Name Bridge'!$A:$B,2,FALSE)</f>
        <v>#VALUE!</v>
      </c>
      <c r="Q179" t="str">
        <f t="shared" si="13"/>
        <v/>
      </c>
      <c r="R179">
        <f t="shared" si="14"/>
        <v>0</v>
      </c>
    </row>
    <row r="180" spans="12:18" x14ac:dyDescent="0.2">
      <c r="L180" s="39" t="e">
        <f t="shared" si="10"/>
        <v>#VALUE!</v>
      </c>
      <c r="M180" t="e">
        <f t="shared" si="11"/>
        <v>#VALUE!</v>
      </c>
      <c r="N180" t="e">
        <f t="shared" si="12"/>
        <v>#VALUE!</v>
      </c>
      <c r="O180" t="e">
        <f>VLOOKUP(M180,'Name Bridge'!$A:$B,2,FALSE)</f>
        <v>#VALUE!</v>
      </c>
      <c r="P180" s="73" t="e">
        <f>VLOOKUP(N180,'Name Bridge'!$A:$B,2,FALSE)</f>
        <v>#VALUE!</v>
      </c>
      <c r="Q180" t="str">
        <f t="shared" si="13"/>
        <v/>
      </c>
      <c r="R180">
        <f t="shared" si="14"/>
        <v>0</v>
      </c>
    </row>
    <row r="181" spans="12:18" x14ac:dyDescent="0.2">
      <c r="L181" s="39" t="e">
        <f t="shared" si="10"/>
        <v>#VALUE!</v>
      </c>
      <c r="M181" t="e">
        <f t="shared" si="11"/>
        <v>#VALUE!</v>
      </c>
      <c r="N181" t="e">
        <f t="shared" si="12"/>
        <v>#VALUE!</v>
      </c>
      <c r="O181" t="e">
        <f>VLOOKUP(M181,'Name Bridge'!$A:$B,2,FALSE)</f>
        <v>#VALUE!</v>
      </c>
      <c r="P181" s="73" t="e">
        <f>VLOOKUP(N181,'Name Bridge'!$A:$B,2,FALSE)</f>
        <v>#VALUE!</v>
      </c>
      <c r="Q181" t="str">
        <f t="shared" si="13"/>
        <v/>
      </c>
      <c r="R181">
        <f t="shared" si="14"/>
        <v>0</v>
      </c>
    </row>
    <row r="182" spans="12:18" x14ac:dyDescent="0.2">
      <c r="L182" s="39" t="e">
        <f t="shared" si="10"/>
        <v>#VALUE!</v>
      </c>
      <c r="M182" t="e">
        <f t="shared" si="11"/>
        <v>#VALUE!</v>
      </c>
      <c r="N182" t="e">
        <f t="shared" si="12"/>
        <v>#VALUE!</v>
      </c>
      <c r="O182" t="e">
        <f>VLOOKUP(M182,'Name Bridge'!$A:$B,2,FALSE)</f>
        <v>#VALUE!</v>
      </c>
      <c r="P182" s="73" t="e">
        <f>VLOOKUP(N182,'Name Bridge'!$A:$B,2,FALSE)</f>
        <v>#VALUE!</v>
      </c>
      <c r="Q182" t="str">
        <f t="shared" si="13"/>
        <v/>
      </c>
      <c r="R182">
        <f t="shared" si="14"/>
        <v>0</v>
      </c>
    </row>
    <row r="183" spans="12:18" x14ac:dyDescent="0.2">
      <c r="L183" s="39" t="e">
        <f t="shared" si="10"/>
        <v>#VALUE!</v>
      </c>
      <c r="M183" t="e">
        <f t="shared" si="11"/>
        <v>#VALUE!</v>
      </c>
      <c r="N183" t="e">
        <f t="shared" si="12"/>
        <v>#VALUE!</v>
      </c>
      <c r="O183" t="e">
        <f>VLOOKUP(M183,'Name Bridge'!$A:$B,2,FALSE)</f>
        <v>#VALUE!</v>
      </c>
      <c r="P183" s="73" t="e">
        <f>VLOOKUP(N183,'Name Bridge'!$A:$B,2,FALSE)</f>
        <v>#VALUE!</v>
      </c>
      <c r="Q183" t="str">
        <f t="shared" si="13"/>
        <v/>
      </c>
      <c r="R183">
        <f t="shared" si="14"/>
        <v>0</v>
      </c>
    </row>
    <row r="184" spans="12:18" x14ac:dyDescent="0.2">
      <c r="L184" s="39" t="e">
        <f t="shared" si="10"/>
        <v>#VALUE!</v>
      </c>
      <c r="M184" t="e">
        <f t="shared" si="11"/>
        <v>#VALUE!</v>
      </c>
      <c r="N184" t="e">
        <f t="shared" si="12"/>
        <v>#VALUE!</v>
      </c>
      <c r="O184" t="e">
        <f>VLOOKUP(M184,'Name Bridge'!$A:$B,2,FALSE)</f>
        <v>#VALUE!</v>
      </c>
      <c r="P184" s="73" t="e">
        <f>VLOOKUP(N184,'Name Bridge'!$A:$B,2,FALSE)</f>
        <v>#VALUE!</v>
      </c>
      <c r="Q184" t="str">
        <f t="shared" si="13"/>
        <v/>
      </c>
      <c r="R184">
        <f t="shared" si="14"/>
        <v>0</v>
      </c>
    </row>
    <row r="185" spans="12:18" x14ac:dyDescent="0.2">
      <c r="L185" s="39" t="e">
        <f t="shared" si="10"/>
        <v>#VALUE!</v>
      </c>
      <c r="M185" t="e">
        <f t="shared" si="11"/>
        <v>#VALUE!</v>
      </c>
      <c r="N185" t="e">
        <f t="shared" si="12"/>
        <v>#VALUE!</v>
      </c>
      <c r="O185" t="e">
        <f>VLOOKUP(M185,'Name Bridge'!$A:$B,2,FALSE)</f>
        <v>#VALUE!</v>
      </c>
      <c r="P185" s="73" t="e">
        <f>VLOOKUP(N185,'Name Bridge'!$A:$B,2,FALSE)</f>
        <v>#VALUE!</v>
      </c>
      <c r="Q185" t="str">
        <f t="shared" si="13"/>
        <v/>
      </c>
      <c r="R185">
        <f t="shared" si="14"/>
        <v>0</v>
      </c>
    </row>
    <row r="186" spans="12:18" x14ac:dyDescent="0.2">
      <c r="L186" s="39" t="e">
        <f t="shared" si="10"/>
        <v>#VALUE!</v>
      </c>
      <c r="M186" t="e">
        <f t="shared" si="11"/>
        <v>#VALUE!</v>
      </c>
      <c r="N186" t="e">
        <f t="shared" si="12"/>
        <v>#VALUE!</v>
      </c>
      <c r="O186" t="e">
        <f>VLOOKUP(M186,'Name Bridge'!$A:$B,2,FALSE)</f>
        <v>#VALUE!</v>
      </c>
      <c r="P186" s="73" t="e">
        <f>VLOOKUP(N186,'Name Bridge'!$A:$B,2,FALSE)</f>
        <v>#VALUE!</v>
      </c>
      <c r="Q186" t="str">
        <f t="shared" si="13"/>
        <v/>
      </c>
      <c r="R186">
        <f t="shared" si="14"/>
        <v>0</v>
      </c>
    </row>
    <row r="187" spans="12:18" x14ac:dyDescent="0.2">
      <c r="L187" s="39" t="e">
        <f t="shared" si="10"/>
        <v>#VALUE!</v>
      </c>
      <c r="M187" t="e">
        <f t="shared" si="11"/>
        <v>#VALUE!</v>
      </c>
      <c r="N187" t="e">
        <f t="shared" si="12"/>
        <v>#VALUE!</v>
      </c>
      <c r="O187" t="e">
        <f>VLOOKUP(M187,'Name Bridge'!$A:$B,2,FALSE)</f>
        <v>#VALUE!</v>
      </c>
      <c r="P187" s="73" t="e">
        <f>VLOOKUP(N187,'Name Bridge'!$A:$B,2,FALSE)</f>
        <v>#VALUE!</v>
      </c>
      <c r="Q187" t="str">
        <f t="shared" si="13"/>
        <v/>
      </c>
      <c r="R187">
        <f t="shared" si="14"/>
        <v>0</v>
      </c>
    </row>
    <row r="188" spans="12:18" x14ac:dyDescent="0.2">
      <c r="L188" s="39" t="e">
        <f t="shared" si="10"/>
        <v>#VALUE!</v>
      </c>
      <c r="M188" t="e">
        <f t="shared" si="11"/>
        <v>#VALUE!</v>
      </c>
      <c r="N188" t="e">
        <f t="shared" si="12"/>
        <v>#VALUE!</v>
      </c>
      <c r="O188" t="e">
        <f>VLOOKUP(M188,'Name Bridge'!$A:$B,2,FALSE)</f>
        <v>#VALUE!</v>
      </c>
      <c r="P188" s="73" t="e">
        <f>VLOOKUP(N188,'Name Bridge'!$A:$B,2,FALSE)</f>
        <v>#VALUE!</v>
      </c>
      <c r="Q188" t="str">
        <f t="shared" si="13"/>
        <v/>
      </c>
      <c r="R188">
        <f t="shared" si="14"/>
        <v>0</v>
      </c>
    </row>
    <row r="189" spans="12:18" x14ac:dyDescent="0.2">
      <c r="L189" s="39" t="e">
        <f t="shared" si="10"/>
        <v>#VALUE!</v>
      </c>
      <c r="M189" t="e">
        <f t="shared" si="11"/>
        <v>#VALUE!</v>
      </c>
      <c r="N189" t="e">
        <f t="shared" si="12"/>
        <v>#VALUE!</v>
      </c>
      <c r="O189" t="e">
        <f>VLOOKUP(M189,'Name Bridge'!$A:$B,2,FALSE)</f>
        <v>#VALUE!</v>
      </c>
      <c r="P189" s="73" t="e">
        <f>VLOOKUP(N189,'Name Bridge'!$A:$B,2,FALSE)</f>
        <v>#VALUE!</v>
      </c>
      <c r="Q189" t="str">
        <f t="shared" si="13"/>
        <v/>
      </c>
      <c r="R189">
        <f t="shared" si="14"/>
        <v>0</v>
      </c>
    </row>
    <row r="190" spans="12:18" x14ac:dyDescent="0.2">
      <c r="L190" s="39" t="e">
        <f t="shared" si="10"/>
        <v>#VALUE!</v>
      </c>
      <c r="M190" t="e">
        <f t="shared" si="11"/>
        <v>#VALUE!</v>
      </c>
      <c r="N190" t="e">
        <f t="shared" si="12"/>
        <v>#VALUE!</v>
      </c>
      <c r="O190" t="e">
        <f>VLOOKUP(M190,'Name Bridge'!$A:$B,2,FALSE)</f>
        <v>#VALUE!</v>
      </c>
      <c r="P190" s="73" t="e">
        <f>VLOOKUP(N190,'Name Bridge'!$A:$B,2,FALSE)</f>
        <v>#VALUE!</v>
      </c>
      <c r="Q190" t="str">
        <f t="shared" si="13"/>
        <v/>
      </c>
      <c r="R190">
        <f t="shared" si="14"/>
        <v>0</v>
      </c>
    </row>
    <row r="191" spans="12:18" x14ac:dyDescent="0.2">
      <c r="L191" s="39" t="e">
        <f t="shared" si="10"/>
        <v>#VALUE!</v>
      </c>
      <c r="M191" t="e">
        <f t="shared" si="11"/>
        <v>#VALUE!</v>
      </c>
      <c r="N191" t="e">
        <f t="shared" si="12"/>
        <v>#VALUE!</v>
      </c>
      <c r="O191" t="e">
        <f>VLOOKUP(M191,'Name Bridge'!$A:$B,2,FALSE)</f>
        <v>#VALUE!</v>
      </c>
      <c r="P191" s="73" t="e">
        <f>VLOOKUP(N191,'Name Bridge'!$A:$B,2,FALSE)</f>
        <v>#VALUE!</v>
      </c>
      <c r="Q191" t="str">
        <f t="shared" si="13"/>
        <v/>
      </c>
      <c r="R191">
        <f t="shared" si="14"/>
        <v>0</v>
      </c>
    </row>
    <row r="192" spans="12:18" x14ac:dyDescent="0.2">
      <c r="L192" s="39" t="e">
        <f t="shared" si="10"/>
        <v>#VALUE!</v>
      </c>
      <c r="M192" t="e">
        <f t="shared" si="11"/>
        <v>#VALUE!</v>
      </c>
      <c r="N192" t="e">
        <f t="shared" si="12"/>
        <v>#VALUE!</v>
      </c>
      <c r="O192" t="e">
        <f>VLOOKUP(M192,'Name Bridge'!$A:$B,2,FALSE)</f>
        <v>#VALUE!</v>
      </c>
      <c r="P192" s="73" t="e">
        <f>VLOOKUP(N192,'Name Bridge'!$A:$B,2,FALSE)</f>
        <v>#VALUE!</v>
      </c>
      <c r="Q192" t="str">
        <f t="shared" si="13"/>
        <v/>
      </c>
      <c r="R192">
        <f t="shared" si="14"/>
        <v>0</v>
      </c>
    </row>
    <row r="193" spans="12:18" x14ac:dyDescent="0.2">
      <c r="L193" s="39" t="e">
        <f t="shared" si="10"/>
        <v>#VALUE!</v>
      </c>
      <c r="M193" t="e">
        <f t="shared" si="11"/>
        <v>#VALUE!</v>
      </c>
      <c r="N193" t="e">
        <f t="shared" si="12"/>
        <v>#VALUE!</v>
      </c>
      <c r="O193" t="e">
        <f>VLOOKUP(M193,'Name Bridge'!$A:$B,2,FALSE)</f>
        <v>#VALUE!</v>
      </c>
      <c r="P193" s="73" t="e">
        <f>VLOOKUP(N193,'Name Bridge'!$A:$B,2,FALSE)</f>
        <v>#VALUE!</v>
      </c>
      <c r="Q193" t="str">
        <f t="shared" si="13"/>
        <v/>
      </c>
      <c r="R193">
        <f t="shared" si="14"/>
        <v>0</v>
      </c>
    </row>
    <row r="194" spans="12:18" x14ac:dyDescent="0.2">
      <c r="L194" s="39" t="e">
        <f t="shared" si="10"/>
        <v>#VALUE!</v>
      </c>
      <c r="M194" t="e">
        <f t="shared" si="11"/>
        <v>#VALUE!</v>
      </c>
      <c r="N194" t="e">
        <f t="shared" si="12"/>
        <v>#VALUE!</v>
      </c>
      <c r="O194" t="e">
        <f>VLOOKUP(M194,'Name Bridge'!$A:$B,2,FALSE)</f>
        <v>#VALUE!</v>
      </c>
      <c r="P194" s="73" t="e">
        <f>VLOOKUP(N194,'Name Bridge'!$A:$B,2,FALSE)</f>
        <v>#VALUE!</v>
      </c>
      <c r="Q194" t="str">
        <f t="shared" si="13"/>
        <v/>
      </c>
      <c r="R194">
        <f t="shared" si="14"/>
        <v>0</v>
      </c>
    </row>
    <row r="195" spans="12:18" x14ac:dyDescent="0.2">
      <c r="L195" s="39" t="e">
        <f t="shared" ref="L195:L235" si="15">_xlfn.NUMBERVALUE(RIGHT(F195,LEN(F195)-FIND(" ",F195)))</f>
        <v>#VALUE!</v>
      </c>
      <c r="M195" t="e">
        <f t="shared" ref="M195:M235" si="16">LEFT(A195,(FIND("_",A195)-1))</f>
        <v>#VALUE!</v>
      </c>
      <c r="N195" t="e">
        <f t="shared" ref="N195:N235" si="17">RIGHT(A195,LEN(A195)-FIND("_",A195))</f>
        <v>#VALUE!</v>
      </c>
      <c r="O195" t="e">
        <f>VLOOKUP(M195,'Name Bridge'!$A:$B,2,FALSE)</f>
        <v>#VALUE!</v>
      </c>
      <c r="P195" s="73" t="e">
        <f>VLOOKUP(N195,'Name Bridge'!$A:$B,2,FALSE)</f>
        <v>#VALUE!</v>
      </c>
      <c r="Q195" t="str">
        <f t="shared" ref="Q195:Q235" si="18">LEFT(B195,10)</f>
        <v/>
      </c>
      <c r="R195">
        <f t="shared" ref="R195:R235" si="19">_xlfn.NUMBERVALUE(Q195)</f>
        <v>0</v>
      </c>
    </row>
    <row r="196" spans="12:18" x14ac:dyDescent="0.2">
      <c r="L196" s="39" t="e">
        <f t="shared" si="15"/>
        <v>#VALUE!</v>
      </c>
      <c r="M196" t="e">
        <f t="shared" si="16"/>
        <v>#VALUE!</v>
      </c>
      <c r="N196" t="e">
        <f t="shared" si="17"/>
        <v>#VALUE!</v>
      </c>
      <c r="O196" t="e">
        <f>VLOOKUP(M196,'Name Bridge'!$A:$B,2,FALSE)</f>
        <v>#VALUE!</v>
      </c>
      <c r="P196" s="73" t="e">
        <f>VLOOKUP(N196,'Name Bridge'!$A:$B,2,FALSE)</f>
        <v>#VALUE!</v>
      </c>
      <c r="Q196" t="str">
        <f t="shared" si="18"/>
        <v/>
      </c>
      <c r="R196">
        <f t="shared" si="19"/>
        <v>0</v>
      </c>
    </row>
    <row r="197" spans="12:18" x14ac:dyDescent="0.2">
      <c r="L197" s="39" t="e">
        <f t="shared" si="15"/>
        <v>#VALUE!</v>
      </c>
      <c r="M197" t="e">
        <f t="shared" si="16"/>
        <v>#VALUE!</v>
      </c>
      <c r="N197" t="e">
        <f t="shared" si="17"/>
        <v>#VALUE!</v>
      </c>
      <c r="O197" t="e">
        <f>VLOOKUP(M197,'Name Bridge'!$A:$B,2,FALSE)</f>
        <v>#VALUE!</v>
      </c>
      <c r="P197" s="73" t="e">
        <f>VLOOKUP(N197,'Name Bridge'!$A:$B,2,FALSE)</f>
        <v>#VALUE!</v>
      </c>
      <c r="Q197" t="str">
        <f t="shared" si="18"/>
        <v/>
      </c>
      <c r="R197">
        <f t="shared" si="19"/>
        <v>0</v>
      </c>
    </row>
    <row r="198" spans="12:18" x14ac:dyDescent="0.2">
      <c r="L198" s="39" t="e">
        <f t="shared" si="15"/>
        <v>#VALUE!</v>
      </c>
      <c r="M198" t="e">
        <f t="shared" si="16"/>
        <v>#VALUE!</v>
      </c>
      <c r="N198" t="e">
        <f t="shared" si="17"/>
        <v>#VALUE!</v>
      </c>
      <c r="O198" t="e">
        <f>VLOOKUP(M198,'Name Bridge'!$A:$B,2,FALSE)</f>
        <v>#VALUE!</v>
      </c>
      <c r="P198" s="73" t="e">
        <f>VLOOKUP(N198,'Name Bridge'!$A:$B,2,FALSE)</f>
        <v>#VALUE!</v>
      </c>
      <c r="Q198" t="str">
        <f t="shared" si="18"/>
        <v/>
      </c>
      <c r="R198">
        <f t="shared" si="19"/>
        <v>0</v>
      </c>
    </row>
    <row r="199" spans="12:18" x14ac:dyDescent="0.2">
      <c r="L199" s="39" t="e">
        <f t="shared" si="15"/>
        <v>#VALUE!</v>
      </c>
      <c r="M199" t="e">
        <f t="shared" si="16"/>
        <v>#VALUE!</v>
      </c>
      <c r="N199" t="e">
        <f t="shared" si="17"/>
        <v>#VALUE!</v>
      </c>
      <c r="O199" t="e">
        <f>VLOOKUP(M199,'Name Bridge'!$A:$B,2,FALSE)</f>
        <v>#VALUE!</v>
      </c>
      <c r="P199" s="73" t="e">
        <f>VLOOKUP(N199,'Name Bridge'!$A:$B,2,FALSE)</f>
        <v>#VALUE!</v>
      </c>
      <c r="Q199" t="str">
        <f t="shared" si="18"/>
        <v/>
      </c>
      <c r="R199">
        <f t="shared" si="19"/>
        <v>0</v>
      </c>
    </row>
    <row r="200" spans="12:18" x14ac:dyDescent="0.2">
      <c r="L200" s="39" t="e">
        <f t="shared" si="15"/>
        <v>#VALUE!</v>
      </c>
      <c r="M200" t="e">
        <f t="shared" si="16"/>
        <v>#VALUE!</v>
      </c>
      <c r="N200" t="e">
        <f t="shared" si="17"/>
        <v>#VALUE!</v>
      </c>
      <c r="O200" t="e">
        <f>VLOOKUP(M200,'Name Bridge'!$A:$B,2,FALSE)</f>
        <v>#VALUE!</v>
      </c>
      <c r="P200" s="73" t="e">
        <f>VLOOKUP(N200,'Name Bridge'!$A:$B,2,FALSE)</f>
        <v>#VALUE!</v>
      </c>
      <c r="Q200" t="str">
        <f t="shared" si="18"/>
        <v/>
      </c>
      <c r="R200">
        <f t="shared" si="19"/>
        <v>0</v>
      </c>
    </row>
    <row r="201" spans="12:18" x14ac:dyDescent="0.2">
      <c r="L201" s="39" t="e">
        <f t="shared" si="15"/>
        <v>#VALUE!</v>
      </c>
      <c r="M201" t="e">
        <f t="shared" si="16"/>
        <v>#VALUE!</v>
      </c>
      <c r="N201" t="e">
        <f t="shared" si="17"/>
        <v>#VALUE!</v>
      </c>
      <c r="O201" t="e">
        <f>VLOOKUP(M201,'Name Bridge'!$A:$B,2,FALSE)</f>
        <v>#VALUE!</v>
      </c>
      <c r="P201" s="73" t="e">
        <f>VLOOKUP(N201,'Name Bridge'!$A:$B,2,FALSE)</f>
        <v>#VALUE!</v>
      </c>
      <c r="Q201" t="str">
        <f t="shared" si="18"/>
        <v/>
      </c>
      <c r="R201">
        <f t="shared" si="19"/>
        <v>0</v>
      </c>
    </row>
    <row r="202" spans="12:18" x14ac:dyDescent="0.2">
      <c r="L202" s="39" t="e">
        <f t="shared" si="15"/>
        <v>#VALUE!</v>
      </c>
      <c r="M202" t="e">
        <f t="shared" si="16"/>
        <v>#VALUE!</v>
      </c>
      <c r="N202" t="e">
        <f t="shared" si="17"/>
        <v>#VALUE!</v>
      </c>
      <c r="O202" t="e">
        <f>VLOOKUP(M202,'Name Bridge'!$A:$B,2,FALSE)</f>
        <v>#VALUE!</v>
      </c>
      <c r="P202" s="73" t="e">
        <f>VLOOKUP(N202,'Name Bridge'!$A:$B,2,FALSE)</f>
        <v>#VALUE!</v>
      </c>
      <c r="Q202" t="str">
        <f t="shared" si="18"/>
        <v/>
      </c>
      <c r="R202">
        <f t="shared" si="19"/>
        <v>0</v>
      </c>
    </row>
    <row r="203" spans="12:18" x14ac:dyDescent="0.2">
      <c r="L203" s="39" t="e">
        <f t="shared" si="15"/>
        <v>#VALUE!</v>
      </c>
      <c r="M203" t="e">
        <f t="shared" si="16"/>
        <v>#VALUE!</v>
      </c>
      <c r="N203" t="e">
        <f t="shared" si="17"/>
        <v>#VALUE!</v>
      </c>
      <c r="O203" t="e">
        <f>VLOOKUP(M203,'Name Bridge'!$A:$B,2,FALSE)</f>
        <v>#VALUE!</v>
      </c>
      <c r="P203" s="73" t="e">
        <f>VLOOKUP(N203,'Name Bridge'!$A:$B,2,FALSE)</f>
        <v>#VALUE!</v>
      </c>
      <c r="Q203" t="str">
        <f t="shared" si="18"/>
        <v/>
      </c>
      <c r="R203">
        <f t="shared" si="19"/>
        <v>0</v>
      </c>
    </row>
    <row r="204" spans="12:18" x14ac:dyDescent="0.2">
      <c r="L204" s="39" t="e">
        <f t="shared" si="15"/>
        <v>#VALUE!</v>
      </c>
      <c r="M204" t="e">
        <f t="shared" si="16"/>
        <v>#VALUE!</v>
      </c>
      <c r="N204" t="e">
        <f t="shared" si="17"/>
        <v>#VALUE!</v>
      </c>
      <c r="O204" t="e">
        <f>VLOOKUP(M204,'Name Bridge'!$A:$B,2,FALSE)</f>
        <v>#VALUE!</v>
      </c>
      <c r="P204" s="73" t="e">
        <f>VLOOKUP(N204,'Name Bridge'!$A:$B,2,FALSE)</f>
        <v>#VALUE!</v>
      </c>
      <c r="Q204" t="str">
        <f t="shared" si="18"/>
        <v/>
      </c>
      <c r="R204">
        <f t="shared" si="19"/>
        <v>0</v>
      </c>
    </row>
    <row r="205" spans="12:18" x14ac:dyDescent="0.2">
      <c r="L205" s="39" t="e">
        <f t="shared" si="15"/>
        <v>#VALUE!</v>
      </c>
      <c r="M205" t="e">
        <f t="shared" si="16"/>
        <v>#VALUE!</v>
      </c>
      <c r="N205" t="e">
        <f t="shared" si="17"/>
        <v>#VALUE!</v>
      </c>
      <c r="O205" t="e">
        <f>VLOOKUP(M205,'Name Bridge'!$A:$B,2,FALSE)</f>
        <v>#VALUE!</v>
      </c>
      <c r="P205" s="73" t="e">
        <f>VLOOKUP(N205,'Name Bridge'!$A:$B,2,FALSE)</f>
        <v>#VALUE!</v>
      </c>
      <c r="Q205" t="str">
        <f t="shared" si="18"/>
        <v/>
      </c>
      <c r="R205">
        <f t="shared" si="19"/>
        <v>0</v>
      </c>
    </row>
    <row r="206" spans="12:18" x14ac:dyDescent="0.2">
      <c r="L206" s="39" t="e">
        <f t="shared" si="15"/>
        <v>#VALUE!</v>
      </c>
      <c r="M206" t="e">
        <f t="shared" si="16"/>
        <v>#VALUE!</v>
      </c>
      <c r="N206" t="e">
        <f t="shared" si="17"/>
        <v>#VALUE!</v>
      </c>
      <c r="O206" t="e">
        <f>VLOOKUP(M206,'Name Bridge'!$A:$B,2,FALSE)</f>
        <v>#VALUE!</v>
      </c>
      <c r="P206" s="73" t="e">
        <f>VLOOKUP(N206,'Name Bridge'!$A:$B,2,FALSE)</f>
        <v>#VALUE!</v>
      </c>
      <c r="Q206" t="str">
        <f t="shared" si="18"/>
        <v/>
      </c>
      <c r="R206">
        <f t="shared" si="19"/>
        <v>0</v>
      </c>
    </row>
    <row r="207" spans="12:18" x14ac:dyDescent="0.2">
      <c r="L207" s="39" t="e">
        <f t="shared" si="15"/>
        <v>#VALUE!</v>
      </c>
      <c r="M207" t="e">
        <f t="shared" si="16"/>
        <v>#VALUE!</v>
      </c>
      <c r="N207" t="e">
        <f t="shared" si="17"/>
        <v>#VALUE!</v>
      </c>
      <c r="O207" t="e">
        <f>VLOOKUP(M207,'Name Bridge'!$A:$B,2,FALSE)</f>
        <v>#VALUE!</v>
      </c>
      <c r="P207" s="73" t="e">
        <f>VLOOKUP(N207,'Name Bridge'!$A:$B,2,FALSE)</f>
        <v>#VALUE!</v>
      </c>
      <c r="Q207" t="str">
        <f t="shared" si="18"/>
        <v/>
      </c>
      <c r="R207">
        <f t="shared" si="19"/>
        <v>0</v>
      </c>
    </row>
    <row r="208" spans="12:18" x14ac:dyDescent="0.2">
      <c r="L208" s="39" t="e">
        <f t="shared" si="15"/>
        <v>#VALUE!</v>
      </c>
      <c r="M208" t="e">
        <f t="shared" si="16"/>
        <v>#VALUE!</v>
      </c>
      <c r="N208" t="e">
        <f t="shared" si="17"/>
        <v>#VALUE!</v>
      </c>
      <c r="O208" t="e">
        <f>VLOOKUP(M208,'Name Bridge'!$A:$B,2,FALSE)</f>
        <v>#VALUE!</v>
      </c>
      <c r="P208" s="73" t="e">
        <f>VLOOKUP(N208,'Name Bridge'!$A:$B,2,FALSE)</f>
        <v>#VALUE!</v>
      </c>
      <c r="Q208" t="str">
        <f t="shared" si="18"/>
        <v/>
      </c>
      <c r="R208">
        <f t="shared" si="19"/>
        <v>0</v>
      </c>
    </row>
    <row r="209" spans="12:18" x14ac:dyDescent="0.2">
      <c r="L209" s="39" t="e">
        <f t="shared" si="15"/>
        <v>#VALUE!</v>
      </c>
      <c r="M209" t="e">
        <f t="shared" si="16"/>
        <v>#VALUE!</v>
      </c>
      <c r="N209" t="e">
        <f t="shared" si="17"/>
        <v>#VALUE!</v>
      </c>
      <c r="O209" t="e">
        <f>VLOOKUP(M209,'Name Bridge'!$A:$B,2,FALSE)</f>
        <v>#VALUE!</v>
      </c>
      <c r="P209" s="73" t="e">
        <f>VLOOKUP(N209,'Name Bridge'!$A:$B,2,FALSE)</f>
        <v>#VALUE!</v>
      </c>
      <c r="Q209" t="str">
        <f t="shared" si="18"/>
        <v/>
      </c>
      <c r="R209">
        <f t="shared" si="19"/>
        <v>0</v>
      </c>
    </row>
    <row r="210" spans="12:18" x14ac:dyDescent="0.2">
      <c r="L210" s="39" t="e">
        <f t="shared" si="15"/>
        <v>#VALUE!</v>
      </c>
      <c r="M210" t="e">
        <f t="shared" si="16"/>
        <v>#VALUE!</v>
      </c>
      <c r="N210" t="e">
        <f t="shared" si="17"/>
        <v>#VALUE!</v>
      </c>
      <c r="O210" t="e">
        <f>VLOOKUP(M210,'Name Bridge'!$A:$B,2,FALSE)</f>
        <v>#VALUE!</v>
      </c>
      <c r="P210" s="73" t="e">
        <f>VLOOKUP(N210,'Name Bridge'!$A:$B,2,FALSE)</f>
        <v>#VALUE!</v>
      </c>
      <c r="Q210" t="str">
        <f t="shared" si="18"/>
        <v/>
      </c>
      <c r="R210">
        <f t="shared" si="19"/>
        <v>0</v>
      </c>
    </row>
    <row r="211" spans="12:18" x14ac:dyDescent="0.2">
      <c r="L211" s="39" t="e">
        <f t="shared" si="15"/>
        <v>#VALUE!</v>
      </c>
      <c r="M211" t="e">
        <f t="shared" si="16"/>
        <v>#VALUE!</v>
      </c>
      <c r="N211" t="e">
        <f t="shared" si="17"/>
        <v>#VALUE!</v>
      </c>
      <c r="O211" t="e">
        <f>VLOOKUP(M211,'Name Bridge'!$A:$B,2,FALSE)</f>
        <v>#VALUE!</v>
      </c>
      <c r="P211" s="73" t="e">
        <f>VLOOKUP(N211,'Name Bridge'!$A:$B,2,FALSE)</f>
        <v>#VALUE!</v>
      </c>
      <c r="Q211" t="str">
        <f t="shared" si="18"/>
        <v/>
      </c>
      <c r="R211">
        <f t="shared" si="19"/>
        <v>0</v>
      </c>
    </row>
    <row r="212" spans="12:18" x14ac:dyDescent="0.2">
      <c r="L212" s="39" t="e">
        <f t="shared" si="15"/>
        <v>#VALUE!</v>
      </c>
      <c r="M212" t="e">
        <f t="shared" si="16"/>
        <v>#VALUE!</v>
      </c>
      <c r="N212" t="e">
        <f t="shared" si="17"/>
        <v>#VALUE!</v>
      </c>
      <c r="O212" t="e">
        <f>VLOOKUP(M212,'Name Bridge'!$A:$B,2,FALSE)</f>
        <v>#VALUE!</v>
      </c>
      <c r="P212" s="73" t="e">
        <f>VLOOKUP(N212,'Name Bridge'!$A:$B,2,FALSE)</f>
        <v>#VALUE!</v>
      </c>
      <c r="Q212" t="str">
        <f t="shared" si="18"/>
        <v/>
      </c>
      <c r="R212">
        <f t="shared" si="19"/>
        <v>0</v>
      </c>
    </row>
    <row r="213" spans="12:18" x14ac:dyDescent="0.2">
      <c r="L213" s="39" t="e">
        <f t="shared" si="15"/>
        <v>#VALUE!</v>
      </c>
      <c r="M213" t="e">
        <f t="shared" si="16"/>
        <v>#VALUE!</v>
      </c>
      <c r="N213" t="e">
        <f t="shared" si="17"/>
        <v>#VALUE!</v>
      </c>
      <c r="O213" t="e">
        <f>VLOOKUP(M213,'Name Bridge'!$A:$B,2,FALSE)</f>
        <v>#VALUE!</v>
      </c>
      <c r="P213" s="73" t="e">
        <f>VLOOKUP(N213,'Name Bridge'!$A:$B,2,FALSE)</f>
        <v>#VALUE!</v>
      </c>
      <c r="Q213" t="str">
        <f t="shared" si="18"/>
        <v/>
      </c>
      <c r="R213">
        <f t="shared" si="19"/>
        <v>0</v>
      </c>
    </row>
    <row r="214" spans="12:18" x14ac:dyDescent="0.2">
      <c r="L214" s="39" t="e">
        <f t="shared" si="15"/>
        <v>#VALUE!</v>
      </c>
      <c r="M214" t="e">
        <f t="shared" si="16"/>
        <v>#VALUE!</v>
      </c>
      <c r="N214" t="e">
        <f t="shared" si="17"/>
        <v>#VALUE!</v>
      </c>
      <c r="O214" t="e">
        <f>VLOOKUP(M214,'Name Bridge'!$A:$B,2,FALSE)</f>
        <v>#VALUE!</v>
      </c>
      <c r="P214" s="73" t="e">
        <f>VLOOKUP(N214,'Name Bridge'!$A:$B,2,FALSE)</f>
        <v>#VALUE!</v>
      </c>
      <c r="Q214" t="str">
        <f t="shared" si="18"/>
        <v/>
      </c>
      <c r="R214">
        <f t="shared" si="19"/>
        <v>0</v>
      </c>
    </row>
    <row r="215" spans="12:18" x14ac:dyDescent="0.2">
      <c r="L215" s="39" t="e">
        <f t="shared" si="15"/>
        <v>#VALUE!</v>
      </c>
      <c r="M215" t="e">
        <f t="shared" si="16"/>
        <v>#VALUE!</v>
      </c>
      <c r="N215" t="e">
        <f t="shared" si="17"/>
        <v>#VALUE!</v>
      </c>
      <c r="O215" t="e">
        <f>VLOOKUP(M215,'Name Bridge'!$A:$B,2,FALSE)</f>
        <v>#VALUE!</v>
      </c>
      <c r="P215" s="73" t="e">
        <f>VLOOKUP(N215,'Name Bridge'!$A:$B,2,FALSE)</f>
        <v>#VALUE!</v>
      </c>
      <c r="Q215" t="str">
        <f t="shared" si="18"/>
        <v/>
      </c>
      <c r="R215">
        <f t="shared" si="19"/>
        <v>0</v>
      </c>
    </row>
    <row r="216" spans="12:18" x14ac:dyDescent="0.2">
      <c r="L216" s="39" t="e">
        <f t="shared" si="15"/>
        <v>#VALUE!</v>
      </c>
      <c r="M216" t="e">
        <f t="shared" si="16"/>
        <v>#VALUE!</v>
      </c>
      <c r="N216" t="e">
        <f t="shared" si="17"/>
        <v>#VALUE!</v>
      </c>
      <c r="O216" t="e">
        <f>VLOOKUP(M216,'Name Bridge'!$A:$B,2,FALSE)</f>
        <v>#VALUE!</v>
      </c>
      <c r="P216" s="73" t="e">
        <f>VLOOKUP(N216,'Name Bridge'!$A:$B,2,FALSE)</f>
        <v>#VALUE!</v>
      </c>
      <c r="Q216" t="str">
        <f t="shared" si="18"/>
        <v/>
      </c>
      <c r="R216">
        <f t="shared" si="19"/>
        <v>0</v>
      </c>
    </row>
    <row r="217" spans="12:18" x14ac:dyDescent="0.2">
      <c r="L217" s="39" t="e">
        <f t="shared" si="15"/>
        <v>#VALUE!</v>
      </c>
      <c r="M217" t="e">
        <f t="shared" si="16"/>
        <v>#VALUE!</v>
      </c>
      <c r="N217" t="e">
        <f t="shared" si="17"/>
        <v>#VALUE!</v>
      </c>
      <c r="O217" t="e">
        <f>VLOOKUP(M217,'Name Bridge'!$A:$B,2,FALSE)</f>
        <v>#VALUE!</v>
      </c>
      <c r="P217" s="73" t="e">
        <f>VLOOKUP(N217,'Name Bridge'!$A:$B,2,FALSE)</f>
        <v>#VALUE!</v>
      </c>
      <c r="Q217" t="str">
        <f t="shared" si="18"/>
        <v/>
      </c>
      <c r="R217">
        <f t="shared" si="19"/>
        <v>0</v>
      </c>
    </row>
    <row r="218" spans="12:18" x14ac:dyDescent="0.2">
      <c r="L218" s="39" t="e">
        <f t="shared" si="15"/>
        <v>#VALUE!</v>
      </c>
      <c r="M218" t="e">
        <f t="shared" si="16"/>
        <v>#VALUE!</v>
      </c>
      <c r="N218" t="e">
        <f t="shared" si="17"/>
        <v>#VALUE!</v>
      </c>
      <c r="O218" t="e">
        <f>VLOOKUP(M218,'Name Bridge'!$A:$B,2,FALSE)</f>
        <v>#VALUE!</v>
      </c>
      <c r="P218" s="73" t="e">
        <f>VLOOKUP(N218,'Name Bridge'!$A:$B,2,FALSE)</f>
        <v>#VALUE!</v>
      </c>
      <c r="Q218" t="str">
        <f t="shared" si="18"/>
        <v/>
      </c>
      <c r="R218">
        <f t="shared" si="19"/>
        <v>0</v>
      </c>
    </row>
    <row r="219" spans="12:18" x14ac:dyDescent="0.2">
      <c r="L219" s="39" t="e">
        <f t="shared" si="15"/>
        <v>#VALUE!</v>
      </c>
      <c r="M219" t="e">
        <f t="shared" si="16"/>
        <v>#VALUE!</v>
      </c>
      <c r="N219" t="e">
        <f t="shared" si="17"/>
        <v>#VALUE!</v>
      </c>
      <c r="O219" t="e">
        <f>VLOOKUP(M219,'Name Bridge'!$A:$B,2,FALSE)</f>
        <v>#VALUE!</v>
      </c>
      <c r="P219" s="73" t="e">
        <f>VLOOKUP(N219,'Name Bridge'!$A:$B,2,FALSE)</f>
        <v>#VALUE!</v>
      </c>
      <c r="Q219" t="str">
        <f t="shared" si="18"/>
        <v/>
      </c>
      <c r="R219">
        <f t="shared" si="19"/>
        <v>0</v>
      </c>
    </row>
    <row r="220" spans="12:18" x14ac:dyDescent="0.2">
      <c r="L220" s="39" t="e">
        <f t="shared" si="15"/>
        <v>#VALUE!</v>
      </c>
      <c r="M220" t="e">
        <f t="shared" si="16"/>
        <v>#VALUE!</v>
      </c>
      <c r="N220" t="e">
        <f t="shared" si="17"/>
        <v>#VALUE!</v>
      </c>
      <c r="O220" t="e">
        <f>VLOOKUP(M220,'Name Bridge'!$A:$B,2,FALSE)</f>
        <v>#VALUE!</v>
      </c>
      <c r="P220" s="73" t="e">
        <f>VLOOKUP(N220,'Name Bridge'!$A:$B,2,FALSE)</f>
        <v>#VALUE!</v>
      </c>
      <c r="Q220" t="str">
        <f t="shared" si="18"/>
        <v/>
      </c>
      <c r="R220">
        <f t="shared" si="19"/>
        <v>0</v>
      </c>
    </row>
    <row r="221" spans="12:18" x14ac:dyDescent="0.2">
      <c r="L221" s="39" t="e">
        <f t="shared" si="15"/>
        <v>#VALUE!</v>
      </c>
      <c r="M221" t="e">
        <f t="shared" si="16"/>
        <v>#VALUE!</v>
      </c>
      <c r="N221" t="e">
        <f t="shared" si="17"/>
        <v>#VALUE!</v>
      </c>
      <c r="O221" t="e">
        <f>VLOOKUP(M221,'Name Bridge'!$A:$B,2,FALSE)</f>
        <v>#VALUE!</v>
      </c>
      <c r="P221" s="73" t="e">
        <f>VLOOKUP(N221,'Name Bridge'!$A:$B,2,FALSE)</f>
        <v>#VALUE!</v>
      </c>
      <c r="Q221" t="str">
        <f t="shared" si="18"/>
        <v/>
      </c>
      <c r="R221">
        <f t="shared" si="19"/>
        <v>0</v>
      </c>
    </row>
    <row r="222" spans="12:18" x14ac:dyDescent="0.2">
      <c r="L222" s="39" t="e">
        <f t="shared" si="15"/>
        <v>#VALUE!</v>
      </c>
      <c r="M222" t="e">
        <f t="shared" si="16"/>
        <v>#VALUE!</v>
      </c>
      <c r="N222" t="e">
        <f t="shared" si="17"/>
        <v>#VALUE!</v>
      </c>
      <c r="O222" t="e">
        <f>VLOOKUP(M222,'Name Bridge'!$A:$B,2,FALSE)</f>
        <v>#VALUE!</v>
      </c>
      <c r="P222" s="73" t="e">
        <f>VLOOKUP(N222,'Name Bridge'!$A:$B,2,FALSE)</f>
        <v>#VALUE!</v>
      </c>
      <c r="Q222" t="str">
        <f t="shared" si="18"/>
        <v/>
      </c>
      <c r="R222">
        <f t="shared" si="19"/>
        <v>0</v>
      </c>
    </row>
    <row r="223" spans="12:18" x14ac:dyDescent="0.2">
      <c r="L223" s="39" t="e">
        <f t="shared" si="15"/>
        <v>#VALUE!</v>
      </c>
      <c r="M223" t="e">
        <f t="shared" si="16"/>
        <v>#VALUE!</v>
      </c>
      <c r="N223" t="e">
        <f t="shared" si="17"/>
        <v>#VALUE!</v>
      </c>
      <c r="O223" t="e">
        <f>VLOOKUP(M223,'Name Bridge'!$A:$B,2,FALSE)</f>
        <v>#VALUE!</v>
      </c>
      <c r="P223" s="73" t="e">
        <f>VLOOKUP(N223,'Name Bridge'!$A:$B,2,FALSE)</f>
        <v>#VALUE!</v>
      </c>
      <c r="Q223" t="str">
        <f t="shared" si="18"/>
        <v/>
      </c>
      <c r="R223">
        <f t="shared" si="19"/>
        <v>0</v>
      </c>
    </row>
    <row r="224" spans="12:18" x14ac:dyDescent="0.2">
      <c r="L224" s="39" t="e">
        <f t="shared" si="15"/>
        <v>#VALUE!</v>
      </c>
      <c r="M224" t="e">
        <f t="shared" si="16"/>
        <v>#VALUE!</v>
      </c>
      <c r="N224" t="e">
        <f t="shared" si="17"/>
        <v>#VALUE!</v>
      </c>
      <c r="O224" t="e">
        <f>VLOOKUP(M224,'Name Bridge'!$A:$B,2,FALSE)</f>
        <v>#VALUE!</v>
      </c>
      <c r="P224" s="73" t="e">
        <f>VLOOKUP(N224,'Name Bridge'!$A:$B,2,FALSE)</f>
        <v>#VALUE!</v>
      </c>
      <c r="Q224" t="str">
        <f t="shared" si="18"/>
        <v/>
      </c>
      <c r="R224">
        <f t="shared" si="19"/>
        <v>0</v>
      </c>
    </row>
    <row r="225" spans="12:18" x14ac:dyDescent="0.2">
      <c r="L225" s="39" t="e">
        <f t="shared" si="15"/>
        <v>#VALUE!</v>
      </c>
      <c r="M225" t="e">
        <f t="shared" si="16"/>
        <v>#VALUE!</v>
      </c>
      <c r="N225" t="e">
        <f t="shared" si="17"/>
        <v>#VALUE!</v>
      </c>
      <c r="O225" t="e">
        <f>VLOOKUP(M225,'Name Bridge'!$A:$B,2,FALSE)</f>
        <v>#VALUE!</v>
      </c>
      <c r="P225" s="73" t="e">
        <f>VLOOKUP(N225,'Name Bridge'!$A:$B,2,FALSE)</f>
        <v>#VALUE!</v>
      </c>
      <c r="Q225" t="str">
        <f t="shared" si="18"/>
        <v/>
      </c>
      <c r="R225">
        <f t="shared" si="19"/>
        <v>0</v>
      </c>
    </row>
    <row r="226" spans="12:18" x14ac:dyDescent="0.2">
      <c r="L226" s="39" t="e">
        <f t="shared" si="15"/>
        <v>#VALUE!</v>
      </c>
      <c r="M226" t="e">
        <f t="shared" si="16"/>
        <v>#VALUE!</v>
      </c>
      <c r="N226" t="e">
        <f t="shared" si="17"/>
        <v>#VALUE!</v>
      </c>
      <c r="O226" t="e">
        <f>VLOOKUP(M226,'Name Bridge'!$A:$B,2,FALSE)</f>
        <v>#VALUE!</v>
      </c>
      <c r="P226" s="73" t="e">
        <f>VLOOKUP(N226,'Name Bridge'!$A:$B,2,FALSE)</f>
        <v>#VALUE!</v>
      </c>
      <c r="Q226" t="str">
        <f t="shared" si="18"/>
        <v/>
      </c>
      <c r="R226">
        <f t="shared" si="19"/>
        <v>0</v>
      </c>
    </row>
    <row r="227" spans="12:18" x14ac:dyDescent="0.2">
      <c r="L227" s="39" t="e">
        <f t="shared" si="15"/>
        <v>#VALUE!</v>
      </c>
      <c r="M227" t="e">
        <f t="shared" si="16"/>
        <v>#VALUE!</v>
      </c>
      <c r="N227" t="e">
        <f t="shared" si="17"/>
        <v>#VALUE!</v>
      </c>
      <c r="P227" s="73"/>
      <c r="Q227" t="str">
        <f t="shared" si="18"/>
        <v/>
      </c>
      <c r="R227">
        <f t="shared" si="19"/>
        <v>0</v>
      </c>
    </row>
    <row r="228" spans="12:18" x14ac:dyDescent="0.2">
      <c r="L228" s="39" t="e">
        <f t="shared" si="15"/>
        <v>#VALUE!</v>
      </c>
      <c r="M228" t="e">
        <f t="shared" si="16"/>
        <v>#VALUE!</v>
      </c>
      <c r="N228" t="e">
        <f t="shared" si="17"/>
        <v>#VALUE!</v>
      </c>
      <c r="P228" s="73"/>
      <c r="Q228" t="str">
        <f t="shared" si="18"/>
        <v/>
      </c>
      <c r="R228">
        <f t="shared" si="19"/>
        <v>0</v>
      </c>
    </row>
    <row r="229" spans="12:18" x14ac:dyDescent="0.2">
      <c r="L229" s="39" t="e">
        <f t="shared" si="15"/>
        <v>#VALUE!</v>
      </c>
      <c r="M229" t="e">
        <f t="shared" si="16"/>
        <v>#VALUE!</v>
      </c>
      <c r="N229" t="e">
        <f t="shared" si="17"/>
        <v>#VALUE!</v>
      </c>
      <c r="P229" s="73"/>
      <c r="Q229" t="str">
        <f t="shared" si="18"/>
        <v/>
      </c>
      <c r="R229">
        <f t="shared" si="19"/>
        <v>0</v>
      </c>
    </row>
    <row r="230" spans="12:18" x14ac:dyDescent="0.2">
      <c r="L230" s="39" t="e">
        <f t="shared" si="15"/>
        <v>#VALUE!</v>
      </c>
      <c r="M230" t="e">
        <f t="shared" si="16"/>
        <v>#VALUE!</v>
      </c>
      <c r="N230" t="e">
        <f t="shared" si="17"/>
        <v>#VALUE!</v>
      </c>
      <c r="P230" s="73"/>
      <c r="Q230" t="str">
        <f t="shared" si="18"/>
        <v/>
      </c>
      <c r="R230">
        <f t="shared" si="19"/>
        <v>0</v>
      </c>
    </row>
    <row r="231" spans="12:18" x14ac:dyDescent="0.2">
      <c r="L231" s="39" t="e">
        <f t="shared" si="15"/>
        <v>#VALUE!</v>
      </c>
      <c r="M231" t="e">
        <f t="shared" si="16"/>
        <v>#VALUE!</v>
      </c>
      <c r="N231" t="e">
        <f t="shared" si="17"/>
        <v>#VALUE!</v>
      </c>
      <c r="P231" s="73"/>
      <c r="Q231" t="str">
        <f t="shared" si="18"/>
        <v/>
      </c>
      <c r="R231">
        <f t="shared" si="19"/>
        <v>0</v>
      </c>
    </row>
    <row r="232" spans="12:18" x14ac:dyDescent="0.2">
      <c r="L232" s="39" t="e">
        <f t="shared" si="15"/>
        <v>#VALUE!</v>
      </c>
      <c r="M232" t="e">
        <f t="shared" si="16"/>
        <v>#VALUE!</v>
      </c>
      <c r="N232" t="e">
        <f t="shared" si="17"/>
        <v>#VALUE!</v>
      </c>
      <c r="P232" s="73"/>
      <c r="Q232" t="str">
        <f t="shared" si="18"/>
        <v/>
      </c>
      <c r="R232">
        <f t="shared" si="19"/>
        <v>0</v>
      </c>
    </row>
    <row r="233" spans="12:18" x14ac:dyDescent="0.2">
      <c r="L233" s="39" t="e">
        <f t="shared" si="15"/>
        <v>#VALUE!</v>
      </c>
      <c r="M233" t="e">
        <f t="shared" si="16"/>
        <v>#VALUE!</v>
      </c>
      <c r="N233" t="e">
        <f t="shared" si="17"/>
        <v>#VALUE!</v>
      </c>
      <c r="P233" s="73"/>
      <c r="Q233" t="str">
        <f t="shared" si="18"/>
        <v/>
      </c>
      <c r="R233">
        <f t="shared" si="19"/>
        <v>0</v>
      </c>
    </row>
    <row r="234" spans="12:18" x14ac:dyDescent="0.2">
      <c r="L234" s="39" t="e">
        <f t="shared" si="15"/>
        <v>#VALUE!</v>
      </c>
      <c r="M234" t="e">
        <f t="shared" si="16"/>
        <v>#VALUE!</v>
      </c>
      <c r="N234" t="e">
        <f t="shared" si="17"/>
        <v>#VALUE!</v>
      </c>
      <c r="P234" s="73"/>
      <c r="Q234" t="str">
        <f t="shared" si="18"/>
        <v/>
      </c>
      <c r="R234">
        <f t="shared" si="19"/>
        <v>0</v>
      </c>
    </row>
    <row r="235" spans="12:18" x14ac:dyDescent="0.2">
      <c r="L235" s="39" t="e">
        <f t="shared" si="15"/>
        <v>#VALUE!</v>
      </c>
      <c r="M235" t="e">
        <f t="shared" si="16"/>
        <v>#VALUE!</v>
      </c>
      <c r="N235" t="e">
        <f t="shared" si="17"/>
        <v>#VALUE!</v>
      </c>
      <c r="P235" s="73"/>
      <c r="Q235" t="str">
        <f t="shared" si="18"/>
        <v/>
      </c>
      <c r="R235">
        <f t="shared" si="19"/>
        <v>0</v>
      </c>
    </row>
    <row r="236" spans="12:18" x14ac:dyDescent="0.2">
      <c r="L236" s="39"/>
      <c r="P236" s="73"/>
    </row>
    <row r="237" spans="12:18" x14ac:dyDescent="0.2">
      <c r="L237" s="39"/>
      <c r="P237" s="73"/>
    </row>
    <row r="238" spans="12:18" x14ac:dyDescent="0.2">
      <c r="L238" s="39"/>
      <c r="P238" s="73"/>
    </row>
    <row r="239" spans="12:18" x14ac:dyDescent="0.2">
      <c r="L239" s="39"/>
      <c r="P239" s="73"/>
    </row>
    <row r="240" spans="12:18" x14ac:dyDescent="0.2">
      <c r="L240" s="39"/>
      <c r="P240" s="73"/>
    </row>
    <row r="241" spans="12:16" x14ac:dyDescent="0.2">
      <c r="L241" s="39"/>
      <c r="P241" s="73"/>
    </row>
    <row r="242" spans="12:16" x14ac:dyDescent="0.2">
      <c r="L242" s="39"/>
      <c r="P242" s="73"/>
    </row>
    <row r="243" spans="12:16" x14ac:dyDescent="0.2">
      <c r="L243" s="39"/>
      <c r="P243" s="73"/>
    </row>
    <row r="244" spans="12:16" x14ac:dyDescent="0.2">
      <c r="L244" s="39"/>
      <c r="P244" s="73"/>
    </row>
    <row r="245" spans="12:16" x14ac:dyDescent="0.2">
      <c r="L245" s="39"/>
      <c r="P245" s="73"/>
    </row>
    <row r="246" spans="12:16" x14ac:dyDescent="0.2">
      <c r="L246" s="39"/>
      <c r="P246" s="73"/>
    </row>
    <row r="247" spans="12:16" x14ac:dyDescent="0.2">
      <c r="L247" s="39"/>
      <c r="P247" s="73"/>
    </row>
    <row r="248" spans="12:16" x14ac:dyDescent="0.2">
      <c r="L248" s="39"/>
      <c r="P248" s="73"/>
    </row>
    <row r="249" spans="12:16" x14ac:dyDescent="0.2">
      <c r="L249" s="39"/>
      <c r="P249" s="73"/>
    </row>
    <row r="250" spans="12:16" x14ac:dyDescent="0.2">
      <c r="L250" s="39"/>
      <c r="P250" s="73"/>
    </row>
    <row r="251" spans="12:16" x14ac:dyDescent="0.2">
      <c r="L251" s="39"/>
      <c r="P251" s="73"/>
    </row>
    <row r="252" spans="12:16" x14ac:dyDescent="0.2">
      <c r="L252" s="39"/>
      <c r="P252" s="73"/>
    </row>
    <row r="253" spans="12:16" x14ac:dyDescent="0.2">
      <c r="L253" s="39"/>
      <c r="P253" s="73"/>
    </row>
    <row r="254" spans="12:16" x14ac:dyDescent="0.2">
      <c r="L254" s="39"/>
      <c r="P254" s="73"/>
    </row>
    <row r="255" spans="12:16" x14ac:dyDescent="0.2">
      <c r="L255" s="39"/>
      <c r="P255" s="73"/>
    </row>
    <row r="256" spans="12:16" x14ac:dyDescent="0.2">
      <c r="L256" s="39"/>
      <c r="P256" s="73"/>
    </row>
    <row r="257" spans="12:16" x14ac:dyDescent="0.2">
      <c r="L257" s="39"/>
      <c r="P257" s="73"/>
    </row>
    <row r="258" spans="12:16" x14ac:dyDescent="0.2">
      <c r="L258" s="39"/>
      <c r="P258" s="73"/>
    </row>
    <row r="259" spans="12:16" x14ac:dyDescent="0.2">
      <c r="L259" s="39"/>
      <c r="P259" s="73"/>
    </row>
    <row r="260" spans="12:16" x14ac:dyDescent="0.2">
      <c r="L260" s="39"/>
      <c r="P260" s="73"/>
    </row>
    <row r="261" spans="12:16" x14ac:dyDescent="0.2">
      <c r="L261" s="39"/>
      <c r="P261" s="73"/>
    </row>
    <row r="262" spans="12:16" x14ac:dyDescent="0.2">
      <c r="L262" s="39"/>
      <c r="P262" s="73"/>
    </row>
    <row r="263" spans="12:16" x14ac:dyDescent="0.2">
      <c r="L263" s="39"/>
      <c r="P263" s="73"/>
    </row>
    <row r="264" spans="12:16" x14ac:dyDescent="0.2">
      <c r="L264" s="39"/>
      <c r="P264" s="73"/>
    </row>
    <row r="265" spans="12:16" x14ac:dyDescent="0.2">
      <c r="L265" s="39"/>
      <c r="P265" s="73"/>
    </row>
    <row r="266" spans="12:16" x14ac:dyDescent="0.2">
      <c r="L266" s="39"/>
      <c r="P266" s="73"/>
    </row>
    <row r="267" spans="12:16" x14ac:dyDescent="0.2">
      <c r="L267" s="39"/>
      <c r="P267" s="73"/>
    </row>
    <row r="268" spans="12:16" x14ac:dyDescent="0.2">
      <c r="L268" s="39"/>
      <c r="P268" s="73"/>
    </row>
    <row r="269" spans="12:16" x14ac:dyDescent="0.2">
      <c r="L269" s="39"/>
      <c r="P269" s="73"/>
    </row>
    <row r="270" spans="12:16" x14ac:dyDescent="0.2">
      <c r="L270" s="39"/>
      <c r="P270" s="73"/>
    </row>
    <row r="271" spans="12:16" x14ac:dyDescent="0.2">
      <c r="L271" s="39"/>
      <c r="P271" s="73"/>
    </row>
    <row r="272" spans="12:16" x14ac:dyDescent="0.2">
      <c r="L272" s="39"/>
      <c r="P272" s="73"/>
    </row>
    <row r="273" spans="12:16" x14ac:dyDescent="0.2">
      <c r="L273" s="39"/>
      <c r="P273" s="73"/>
    </row>
    <row r="274" spans="12:16" x14ac:dyDescent="0.2">
      <c r="L274" s="39"/>
      <c r="P274" s="73"/>
    </row>
    <row r="275" spans="12:16" x14ac:dyDescent="0.2">
      <c r="L275" s="39"/>
      <c r="P275" s="73"/>
    </row>
    <row r="276" spans="12:16" x14ac:dyDescent="0.2">
      <c r="L276" s="39"/>
      <c r="P276" s="73"/>
    </row>
    <row r="277" spans="12:16" x14ac:dyDescent="0.2">
      <c r="L277" s="39"/>
      <c r="P277" s="73"/>
    </row>
    <row r="278" spans="12:16" x14ac:dyDescent="0.2">
      <c r="L278" s="39"/>
      <c r="P278" s="73"/>
    </row>
    <row r="279" spans="12:16" x14ac:dyDescent="0.2">
      <c r="L279" s="39"/>
      <c r="P279" s="73"/>
    </row>
    <row r="280" spans="12:16" x14ac:dyDescent="0.2">
      <c r="L280" s="39"/>
      <c r="P280" s="73"/>
    </row>
    <row r="281" spans="12:16" x14ac:dyDescent="0.2">
      <c r="L281" s="39"/>
      <c r="P281" s="73"/>
    </row>
    <row r="282" spans="12:16" x14ac:dyDescent="0.2">
      <c r="L282" s="39"/>
      <c r="P282" s="73"/>
    </row>
    <row r="283" spans="12:16" x14ac:dyDescent="0.2">
      <c r="L283" s="39"/>
      <c r="P283" s="73"/>
    </row>
    <row r="284" spans="12:16" x14ac:dyDescent="0.2">
      <c r="L284" s="39"/>
      <c r="P284" s="73"/>
    </row>
    <row r="285" spans="12:16" x14ac:dyDescent="0.2">
      <c r="L285" s="39"/>
      <c r="P285" s="73"/>
    </row>
    <row r="286" spans="12:16" x14ac:dyDescent="0.2">
      <c r="L286" s="39"/>
      <c r="P286" s="73"/>
    </row>
    <row r="287" spans="12:16" x14ac:dyDescent="0.2">
      <c r="L287" s="39"/>
      <c r="P287" s="73"/>
    </row>
    <row r="288" spans="12:16" x14ac:dyDescent="0.2">
      <c r="L288" s="39"/>
      <c r="P288" s="73"/>
    </row>
    <row r="289" spans="12:16" x14ac:dyDescent="0.2">
      <c r="L289" s="39"/>
      <c r="P289" s="73"/>
    </row>
    <row r="290" spans="12:16" x14ac:dyDescent="0.2">
      <c r="L290" s="39"/>
      <c r="P290" s="73"/>
    </row>
    <row r="291" spans="12:16" x14ac:dyDescent="0.2">
      <c r="L291" s="39"/>
      <c r="P291" s="73"/>
    </row>
    <row r="292" spans="12:16" x14ac:dyDescent="0.2">
      <c r="L292" s="39"/>
      <c r="P292" s="73"/>
    </row>
    <row r="293" spans="12:16" x14ac:dyDescent="0.2">
      <c r="L293" s="39"/>
      <c r="P293" s="73"/>
    </row>
    <row r="294" spans="12:16" x14ac:dyDescent="0.2">
      <c r="L294" s="39"/>
      <c r="P294" s="73"/>
    </row>
    <row r="295" spans="12:16" x14ac:dyDescent="0.2">
      <c r="L295" s="39"/>
      <c r="P295" s="73"/>
    </row>
    <row r="296" spans="12:16" x14ac:dyDescent="0.2">
      <c r="L296" s="39"/>
      <c r="P296" s="73"/>
    </row>
    <row r="297" spans="12:16" x14ac:dyDescent="0.2">
      <c r="L297" s="39"/>
      <c r="P297" s="73"/>
    </row>
    <row r="298" spans="12:16" x14ac:dyDescent="0.2">
      <c r="L298" s="39"/>
      <c r="P298" s="73"/>
    </row>
    <row r="299" spans="12:16" x14ac:dyDescent="0.2">
      <c r="L299" s="39"/>
      <c r="P299" s="73"/>
    </row>
    <row r="300" spans="12:16" x14ac:dyDescent="0.2">
      <c r="L300" s="39"/>
      <c r="P300" s="73"/>
    </row>
    <row r="301" spans="12:16" x14ac:dyDescent="0.2">
      <c r="L301" s="39"/>
      <c r="P301" s="7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B72"/>
  <sheetViews>
    <sheetView topLeftCell="A35" workbookViewId="0">
      <selection activeCell="A66" sqref="A66"/>
    </sheetView>
  </sheetViews>
  <sheetFormatPr baseColWidth="10" defaultColWidth="8.83203125" defaultRowHeight="15" x14ac:dyDescent="0.2"/>
  <cols>
    <col min="1" max="1" width="20" bestFit="1" customWidth="1"/>
    <col min="2" max="2" width="18" bestFit="1" customWidth="1"/>
  </cols>
  <sheetData>
    <row r="1" spans="1:2" x14ac:dyDescent="0.2">
      <c r="A1" t="s">
        <v>864</v>
      </c>
      <c r="B1" t="s">
        <v>27</v>
      </c>
    </row>
    <row r="2" spans="1:2" x14ac:dyDescent="0.2">
      <c r="A2" t="s">
        <v>171</v>
      </c>
      <c r="B2" t="s">
        <v>171</v>
      </c>
    </row>
    <row r="3" spans="1:2" x14ac:dyDescent="0.2">
      <c r="A3" t="s">
        <v>865</v>
      </c>
      <c r="B3" t="s">
        <v>866</v>
      </c>
    </row>
    <row r="4" spans="1:2" x14ac:dyDescent="0.2">
      <c r="A4" t="s">
        <v>867</v>
      </c>
      <c r="B4" t="s">
        <v>868</v>
      </c>
    </row>
    <row r="5" spans="1:2" x14ac:dyDescent="0.2">
      <c r="A5" t="s">
        <v>869</v>
      </c>
      <c r="B5" t="s">
        <v>869</v>
      </c>
    </row>
    <row r="6" spans="1:2" x14ac:dyDescent="0.2">
      <c r="A6" t="s">
        <v>870</v>
      </c>
      <c r="B6" t="s">
        <v>870</v>
      </c>
    </row>
    <row r="7" spans="1:2" x14ac:dyDescent="0.2">
      <c r="A7" t="s">
        <v>871</v>
      </c>
      <c r="B7" t="s">
        <v>872</v>
      </c>
    </row>
    <row r="8" spans="1:2" x14ac:dyDescent="0.2">
      <c r="A8" t="s">
        <v>873</v>
      </c>
      <c r="B8" t="s">
        <v>874</v>
      </c>
    </row>
    <row r="9" spans="1:2" x14ac:dyDescent="0.2">
      <c r="A9" t="s">
        <v>875</v>
      </c>
      <c r="B9" t="s">
        <v>876</v>
      </c>
    </row>
    <row r="10" spans="1:2" x14ac:dyDescent="0.2">
      <c r="A10" t="s">
        <v>309</v>
      </c>
      <c r="B10" t="s">
        <v>138</v>
      </c>
    </row>
    <row r="11" spans="1:2" x14ac:dyDescent="0.2">
      <c r="A11" t="s">
        <v>401</v>
      </c>
      <c r="B11" t="s">
        <v>70</v>
      </c>
    </row>
    <row r="12" spans="1:2" x14ac:dyDescent="0.2">
      <c r="A12" t="s">
        <v>664</v>
      </c>
      <c r="B12" t="s">
        <v>142</v>
      </c>
    </row>
    <row r="13" spans="1:2" x14ac:dyDescent="0.2">
      <c r="A13" t="s">
        <v>697</v>
      </c>
      <c r="B13" t="s">
        <v>71</v>
      </c>
    </row>
    <row r="14" spans="1:2" x14ac:dyDescent="0.2">
      <c r="A14" t="s">
        <v>702</v>
      </c>
      <c r="B14" t="s">
        <v>74</v>
      </c>
    </row>
    <row r="15" spans="1:2" x14ac:dyDescent="0.2">
      <c r="A15" t="s">
        <v>642</v>
      </c>
      <c r="B15" t="s">
        <v>93</v>
      </c>
    </row>
    <row r="16" spans="1:2" x14ac:dyDescent="0.2">
      <c r="A16" t="s">
        <v>696</v>
      </c>
      <c r="B16" t="s">
        <v>77</v>
      </c>
    </row>
    <row r="17" spans="1:2" x14ac:dyDescent="0.2">
      <c r="A17" t="s">
        <v>694</v>
      </c>
      <c r="B17" t="s">
        <v>98</v>
      </c>
    </row>
    <row r="18" spans="1:2" x14ac:dyDescent="0.2">
      <c r="A18" t="s">
        <v>629</v>
      </c>
      <c r="B18" t="s">
        <v>119</v>
      </c>
    </row>
    <row r="19" spans="1:2" x14ac:dyDescent="0.2">
      <c r="A19" t="s">
        <v>698</v>
      </c>
      <c r="B19" t="s">
        <v>78</v>
      </c>
    </row>
    <row r="20" spans="1:2" x14ac:dyDescent="0.2">
      <c r="A20" t="s">
        <v>813</v>
      </c>
      <c r="B20" t="s">
        <v>725</v>
      </c>
    </row>
    <row r="21" spans="1:2" x14ac:dyDescent="0.2">
      <c r="A21" t="s">
        <v>690</v>
      </c>
      <c r="B21" t="s">
        <v>73</v>
      </c>
    </row>
    <row r="22" spans="1:2" x14ac:dyDescent="0.2">
      <c r="A22" t="s">
        <v>695</v>
      </c>
      <c r="B22" t="s">
        <v>81</v>
      </c>
    </row>
    <row r="23" spans="1:2" x14ac:dyDescent="0.2">
      <c r="A23" t="s">
        <v>689</v>
      </c>
      <c r="B23" t="s">
        <v>123</v>
      </c>
    </row>
    <row r="24" spans="1:2" x14ac:dyDescent="0.2">
      <c r="A24" t="s">
        <v>614</v>
      </c>
      <c r="B24" t="s">
        <v>141</v>
      </c>
    </row>
    <row r="25" spans="1:2" x14ac:dyDescent="0.2">
      <c r="A25" t="s">
        <v>448</v>
      </c>
      <c r="B25" t="s">
        <v>85</v>
      </c>
    </row>
    <row r="26" spans="1:2" x14ac:dyDescent="0.2">
      <c r="A26" t="s">
        <v>688</v>
      </c>
      <c r="B26" t="s">
        <v>101</v>
      </c>
    </row>
    <row r="27" spans="1:2" x14ac:dyDescent="0.2">
      <c r="A27" t="s">
        <v>691</v>
      </c>
      <c r="B27" t="s">
        <v>102</v>
      </c>
    </row>
    <row r="28" spans="1:2" x14ac:dyDescent="0.2">
      <c r="A28" t="s">
        <v>877</v>
      </c>
      <c r="B28" t="s">
        <v>729</v>
      </c>
    </row>
    <row r="29" spans="1:2" x14ac:dyDescent="0.2">
      <c r="A29" t="s">
        <v>699</v>
      </c>
      <c r="B29" t="s">
        <v>122</v>
      </c>
    </row>
    <row r="30" spans="1:2" x14ac:dyDescent="0.2">
      <c r="A30" t="s">
        <v>643</v>
      </c>
      <c r="B30" t="s">
        <v>107</v>
      </c>
    </row>
    <row r="31" spans="1:2" x14ac:dyDescent="0.2">
      <c r="A31" t="s">
        <v>693</v>
      </c>
      <c r="B31" t="s">
        <v>92</v>
      </c>
    </row>
    <row r="32" spans="1:2" x14ac:dyDescent="0.2">
      <c r="A32" t="s">
        <v>621</v>
      </c>
      <c r="B32" t="s">
        <v>118</v>
      </c>
    </row>
    <row r="33" spans="1:2" x14ac:dyDescent="0.2">
      <c r="A33" t="s">
        <v>666</v>
      </c>
      <c r="B33" t="s">
        <v>99</v>
      </c>
    </row>
    <row r="34" spans="1:2" x14ac:dyDescent="0.2">
      <c r="A34" t="s">
        <v>878</v>
      </c>
      <c r="B34" t="s">
        <v>730</v>
      </c>
    </row>
    <row r="35" spans="1:2" x14ac:dyDescent="0.2">
      <c r="A35" t="s">
        <v>692</v>
      </c>
      <c r="B35" t="s">
        <v>86</v>
      </c>
    </row>
    <row r="36" spans="1:2" x14ac:dyDescent="0.2">
      <c r="A36" t="s">
        <v>839</v>
      </c>
      <c r="B36" t="s">
        <v>727</v>
      </c>
    </row>
    <row r="37" spans="1:2" x14ac:dyDescent="0.2">
      <c r="A37" t="s">
        <v>701</v>
      </c>
      <c r="B37" t="s">
        <v>82</v>
      </c>
    </row>
    <row r="38" spans="1:2" x14ac:dyDescent="0.2">
      <c r="A38" t="s">
        <v>879</v>
      </c>
      <c r="B38" t="s">
        <v>726</v>
      </c>
    </row>
    <row r="39" spans="1:2" x14ac:dyDescent="0.2">
      <c r="A39" t="s">
        <v>700</v>
      </c>
      <c r="B39" t="s">
        <v>139</v>
      </c>
    </row>
    <row r="40" spans="1:2" x14ac:dyDescent="0.2">
      <c r="A40" t="s">
        <v>349</v>
      </c>
      <c r="B40" t="s">
        <v>108</v>
      </c>
    </row>
    <row r="41" spans="1:2" x14ac:dyDescent="0.2">
      <c r="A41" t="s">
        <v>880</v>
      </c>
      <c r="B41" t="s">
        <v>728</v>
      </c>
    </row>
    <row r="42" spans="1:2" x14ac:dyDescent="0.2">
      <c r="A42" t="s">
        <v>881</v>
      </c>
      <c r="B42" t="s">
        <v>726</v>
      </c>
    </row>
    <row r="43" spans="1:2" x14ac:dyDescent="0.2">
      <c r="A43" t="s">
        <v>159</v>
      </c>
      <c r="B43" t="s">
        <v>882</v>
      </c>
    </row>
    <row r="44" spans="1:2" x14ac:dyDescent="0.2">
      <c r="A44" t="s">
        <v>883</v>
      </c>
      <c r="B44" t="s">
        <v>884</v>
      </c>
    </row>
    <row r="45" spans="1:2" x14ac:dyDescent="0.2">
      <c r="A45" t="s">
        <v>151</v>
      </c>
      <c r="B45" t="s">
        <v>151</v>
      </c>
    </row>
    <row r="46" spans="1:2" x14ac:dyDescent="0.2">
      <c r="A46" t="s">
        <v>114</v>
      </c>
      <c r="B46" t="s">
        <v>885</v>
      </c>
    </row>
    <row r="47" spans="1:2" x14ac:dyDescent="0.2">
      <c r="A47" t="s">
        <v>252</v>
      </c>
      <c r="B47" t="s">
        <v>886</v>
      </c>
    </row>
    <row r="48" spans="1:2" x14ac:dyDescent="0.2">
      <c r="A48" t="s">
        <v>887</v>
      </c>
      <c r="B48" t="s">
        <v>888</v>
      </c>
    </row>
    <row r="49" spans="1:2" x14ac:dyDescent="0.2">
      <c r="A49" t="s">
        <v>245</v>
      </c>
      <c r="B49" t="s">
        <v>889</v>
      </c>
    </row>
    <row r="50" spans="1:2" x14ac:dyDescent="0.2">
      <c r="A50" t="s">
        <v>250</v>
      </c>
      <c r="B50" t="s">
        <v>890</v>
      </c>
    </row>
    <row r="51" spans="1:2" x14ac:dyDescent="0.2">
      <c r="A51" t="s">
        <v>206</v>
      </c>
      <c r="B51" t="s">
        <v>891</v>
      </c>
    </row>
    <row r="52" spans="1:2" x14ac:dyDescent="0.2">
      <c r="A52" t="s">
        <v>892</v>
      </c>
      <c r="B52" t="s">
        <v>893</v>
      </c>
    </row>
    <row r="53" spans="1:2" x14ac:dyDescent="0.2">
      <c r="A53" t="s">
        <v>314</v>
      </c>
      <c r="B53" t="s">
        <v>894</v>
      </c>
    </row>
    <row r="54" spans="1:2" x14ac:dyDescent="0.2">
      <c r="A54" t="s">
        <v>895</v>
      </c>
      <c r="B54" t="s">
        <v>896</v>
      </c>
    </row>
    <row r="55" spans="1:2" x14ac:dyDescent="0.2">
      <c r="A55" t="s">
        <v>897</v>
      </c>
      <c r="B55" t="s">
        <v>898</v>
      </c>
    </row>
    <row r="56" spans="1:2" x14ac:dyDescent="0.2">
      <c r="A56" t="s">
        <v>193</v>
      </c>
      <c r="B56" t="s">
        <v>899</v>
      </c>
    </row>
    <row r="57" spans="1:2" x14ac:dyDescent="0.2">
      <c r="A57" t="s">
        <v>450</v>
      </c>
      <c r="B57" t="s">
        <v>900</v>
      </c>
    </row>
    <row r="58" spans="1:2" x14ac:dyDescent="0.2">
      <c r="A58" t="s">
        <v>347</v>
      </c>
      <c r="B58" t="s">
        <v>901</v>
      </c>
    </row>
    <row r="60" spans="1:2" x14ac:dyDescent="0.2">
      <c r="A60" t="s">
        <v>76</v>
      </c>
      <c r="B60" t="s">
        <v>2309</v>
      </c>
    </row>
    <row r="61" spans="1:2" x14ac:dyDescent="0.2">
      <c r="A61" t="s">
        <v>136</v>
      </c>
      <c r="B61" t="s">
        <v>2310</v>
      </c>
    </row>
    <row r="62" spans="1:2" x14ac:dyDescent="0.2">
      <c r="A62" t="s">
        <v>2418</v>
      </c>
      <c r="B62" t="s">
        <v>1433</v>
      </c>
    </row>
    <row r="63" spans="1:2" x14ac:dyDescent="0.2">
      <c r="A63" t="s">
        <v>315</v>
      </c>
      <c r="B63" t="s">
        <v>2311</v>
      </c>
    </row>
    <row r="64" spans="1:2" x14ac:dyDescent="0.2">
      <c r="A64" t="s">
        <v>255</v>
      </c>
      <c r="B64" t="s">
        <v>2318</v>
      </c>
    </row>
    <row r="65" spans="1:2" x14ac:dyDescent="0.2">
      <c r="A65" t="s">
        <v>2546</v>
      </c>
      <c r="B65" t="s">
        <v>1931</v>
      </c>
    </row>
    <row r="66" spans="1:2" x14ac:dyDescent="0.2">
      <c r="A66" t="s">
        <v>80</v>
      </c>
      <c r="B66" t="s">
        <v>1335</v>
      </c>
    </row>
    <row r="67" spans="1:2" x14ac:dyDescent="0.2">
      <c r="A67" t="s">
        <v>185</v>
      </c>
      <c r="B67" t="str">
        <f>A67&amp;"*"</f>
        <v>Deebo Samuel*</v>
      </c>
    </row>
    <row r="68" spans="1:2" x14ac:dyDescent="0.2">
      <c r="A68" t="s">
        <v>975</v>
      </c>
      <c r="B68" t="str">
        <f>A68&amp;"*"</f>
        <v>Tom Brady*</v>
      </c>
    </row>
    <row r="69" spans="1:2" x14ac:dyDescent="0.2">
      <c r="A69" t="s">
        <v>90</v>
      </c>
      <c r="B69" t="str">
        <f>A69&amp;"*"</f>
        <v>Tyreek Hill*</v>
      </c>
    </row>
    <row r="70" spans="1:2" x14ac:dyDescent="0.2">
      <c r="A70" t="s">
        <v>89</v>
      </c>
      <c r="B70" t="str">
        <f t="shared" ref="B70:B72" si="0">A70&amp;"*"</f>
        <v>Travis Kelce*</v>
      </c>
    </row>
    <row r="71" spans="1:2" x14ac:dyDescent="0.2">
      <c r="A71" t="s">
        <v>137</v>
      </c>
      <c r="B71" t="str">
        <f t="shared" si="0"/>
        <v>George Kittle*</v>
      </c>
    </row>
    <row r="72" spans="1:2" x14ac:dyDescent="0.2">
      <c r="A72" t="s">
        <v>2448</v>
      </c>
      <c r="B72" t="str">
        <f t="shared" si="0"/>
        <v>Cedrick Wilson*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/>
  <dimension ref="A1:AF40"/>
  <sheetViews>
    <sheetView workbookViewId="0"/>
  </sheetViews>
  <sheetFormatPr baseColWidth="10" defaultColWidth="8.83203125" defaultRowHeight="15" x14ac:dyDescent="0.2"/>
  <cols>
    <col min="1" max="1" width="5.5" bestFit="1" customWidth="1"/>
    <col min="2" max="3" width="18.33203125" bestFit="1" customWidth="1"/>
    <col min="4" max="4" width="8.1640625" bestFit="1" customWidth="1"/>
    <col min="5" max="5" width="6.6640625" bestFit="1" customWidth="1"/>
    <col min="6" max="6" width="6.5" bestFit="1" customWidth="1"/>
    <col min="7" max="7" width="9.5" bestFit="1" customWidth="1"/>
    <col min="8" max="8" width="16.5" bestFit="1" customWidth="1"/>
    <col min="9" max="9" width="12.5" bestFit="1" customWidth="1"/>
    <col min="10" max="10" width="13.6640625" bestFit="1" customWidth="1"/>
    <col min="11" max="11" width="11.5" bestFit="1" customWidth="1"/>
    <col min="12" max="12" width="10.5" bestFit="1" customWidth="1"/>
    <col min="13" max="13" width="6.5" bestFit="1" customWidth="1"/>
    <col min="14" max="14" width="5.5" bestFit="1" customWidth="1"/>
    <col min="15" max="15" width="7.1640625" bestFit="1" customWidth="1"/>
    <col min="16" max="16" width="5.6640625" bestFit="1" customWidth="1"/>
    <col min="17" max="17" width="7.33203125" bestFit="1" customWidth="1"/>
    <col min="18" max="18" width="12.6640625" bestFit="1" customWidth="1"/>
    <col min="19" max="19" width="6.33203125" bestFit="1" customWidth="1"/>
    <col min="20" max="20" width="10" bestFit="1" customWidth="1"/>
    <col min="21" max="21" width="13.5" bestFit="1" customWidth="1"/>
    <col min="22" max="23" width="12.5" bestFit="1" customWidth="1"/>
    <col min="24" max="24" width="11.83203125" bestFit="1" customWidth="1"/>
    <col min="25" max="25" width="7" bestFit="1" customWidth="1"/>
    <col min="26" max="26" width="8" bestFit="1" customWidth="1"/>
    <col min="27" max="27" width="17.1640625" bestFit="1" customWidth="1"/>
    <col min="28" max="28" width="13.6640625" bestFit="1" customWidth="1"/>
    <col min="29" max="29" width="17.83203125" bestFit="1" customWidth="1"/>
    <col min="30" max="31" width="6.83203125" bestFit="1" customWidth="1"/>
    <col min="32" max="32" width="8" bestFit="1" customWidth="1"/>
    <col min="33" max="33" width="12.83203125" bestFit="1" customWidth="1"/>
    <col min="34" max="34" width="13.1640625" bestFit="1" customWidth="1"/>
    <col min="35" max="36" width="12.5" bestFit="1" customWidth="1"/>
    <col min="37" max="37" width="13.33203125" bestFit="1" customWidth="1"/>
    <col min="38" max="38" width="16.83203125" bestFit="1" customWidth="1"/>
    <col min="39" max="39" width="17.1640625" bestFit="1" customWidth="1"/>
    <col min="40" max="40" width="6.83203125" customWidth="1"/>
  </cols>
  <sheetData>
    <row r="1" spans="1:32" x14ac:dyDescent="0.2">
      <c r="A1" t="s">
        <v>902</v>
      </c>
      <c r="B1" t="s">
        <v>903</v>
      </c>
      <c r="C1" t="s">
        <v>904</v>
      </c>
      <c r="D1" t="s">
        <v>21</v>
      </c>
      <c r="E1" t="s">
        <v>905</v>
      </c>
      <c r="F1" t="s">
        <v>906</v>
      </c>
      <c r="G1" t="s">
        <v>907</v>
      </c>
      <c r="H1" t="s">
        <v>908</v>
      </c>
      <c r="I1" t="s">
        <v>909</v>
      </c>
      <c r="J1" t="s">
        <v>910</v>
      </c>
      <c r="K1" t="s">
        <v>911</v>
      </c>
      <c r="L1" t="s">
        <v>912</v>
      </c>
      <c r="M1" t="s">
        <v>799</v>
      </c>
      <c r="N1" t="s">
        <v>800</v>
      </c>
      <c r="O1" t="s">
        <v>913</v>
      </c>
      <c r="P1" t="s">
        <v>914</v>
      </c>
      <c r="Q1" t="s">
        <v>915</v>
      </c>
      <c r="R1" t="s">
        <v>916</v>
      </c>
      <c r="S1" t="s">
        <v>917</v>
      </c>
      <c r="T1" t="s">
        <v>918</v>
      </c>
      <c r="U1" t="s">
        <v>919</v>
      </c>
      <c r="V1" t="s">
        <v>920</v>
      </c>
      <c r="W1" t="s">
        <v>921</v>
      </c>
      <c r="X1" t="s">
        <v>922</v>
      </c>
      <c r="Y1" t="s">
        <v>923</v>
      </c>
      <c r="Z1" t="s">
        <v>924</v>
      </c>
      <c r="AA1" t="s">
        <v>925</v>
      </c>
      <c r="AB1" t="s">
        <v>926</v>
      </c>
      <c r="AC1" t="s">
        <v>927</v>
      </c>
      <c r="AD1" t="s">
        <v>928</v>
      </c>
      <c r="AE1" t="s">
        <v>929</v>
      </c>
      <c r="AF1" t="s">
        <v>930</v>
      </c>
    </row>
    <row r="2" spans="1:32" x14ac:dyDescent="0.2">
      <c r="A2" t="s">
        <v>931</v>
      </c>
      <c r="B2" t="s">
        <v>932</v>
      </c>
      <c r="C2" t="s">
        <v>932</v>
      </c>
      <c r="D2" t="s">
        <v>933</v>
      </c>
      <c r="E2" t="s">
        <v>934</v>
      </c>
      <c r="F2" t="s">
        <v>935</v>
      </c>
      <c r="G2" t="s">
        <v>931</v>
      </c>
      <c r="H2" t="s">
        <v>931</v>
      </c>
      <c r="I2" t="s">
        <v>936</v>
      </c>
      <c r="J2" t="s">
        <v>937</v>
      </c>
      <c r="K2" t="s">
        <v>938</v>
      </c>
      <c r="L2" t="s">
        <v>939</v>
      </c>
      <c r="M2" t="s">
        <v>940</v>
      </c>
      <c r="N2" t="s">
        <v>941</v>
      </c>
      <c r="O2" t="s">
        <v>942</v>
      </c>
      <c r="P2" t="s">
        <v>931</v>
      </c>
      <c r="Q2" t="s">
        <v>943</v>
      </c>
      <c r="R2" t="s">
        <v>944</v>
      </c>
      <c r="S2" t="s">
        <v>945</v>
      </c>
      <c r="T2" t="s">
        <v>946</v>
      </c>
      <c r="U2" t="s">
        <v>947</v>
      </c>
      <c r="V2" t="s">
        <v>948</v>
      </c>
      <c r="W2" t="s">
        <v>949</v>
      </c>
      <c r="X2" t="s">
        <v>950</v>
      </c>
      <c r="Z2" t="s">
        <v>951</v>
      </c>
      <c r="AA2" t="s">
        <v>952</v>
      </c>
      <c r="AB2" t="s">
        <v>953</v>
      </c>
      <c r="AC2" t="s">
        <v>954</v>
      </c>
      <c r="AD2" t="s">
        <v>955</v>
      </c>
      <c r="AE2" t="s">
        <v>931</v>
      </c>
      <c r="AF2" t="s">
        <v>931</v>
      </c>
    </row>
    <row r="3" spans="1:32" x14ac:dyDescent="0.2">
      <c r="A3" t="s">
        <v>941</v>
      </c>
      <c r="B3" t="s">
        <v>956</v>
      </c>
      <c r="C3" t="s">
        <v>956</v>
      </c>
      <c r="D3" t="s">
        <v>729</v>
      </c>
      <c r="E3" t="s">
        <v>957</v>
      </c>
      <c r="F3" t="s">
        <v>935</v>
      </c>
      <c r="G3" t="s">
        <v>931</v>
      </c>
      <c r="H3" t="s">
        <v>931</v>
      </c>
      <c r="I3" t="s">
        <v>958</v>
      </c>
      <c r="J3" t="s">
        <v>959</v>
      </c>
      <c r="K3" t="s">
        <v>960</v>
      </c>
      <c r="L3" t="s">
        <v>961</v>
      </c>
      <c r="M3" t="s">
        <v>962</v>
      </c>
      <c r="N3" t="s">
        <v>951</v>
      </c>
      <c r="O3" t="s">
        <v>963</v>
      </c>
      <c r="P3" t="s">
        <v>931</v>
      </c>
      <c r="Q3" t="s">
        <v>964</v>
      </c>
      <c r="R3" t="s">
        <v>965</v>
      </c>
      <c r="S3" t="s">
        <v>966</v>
      </c>
      <c r="T3" t="s">
        <v>967</v>
      </c>
      <c r="U3" t="s">
        <v>968</v>
      </c>
      <c r="V3" t="s">
        <v>969</v>
      </c>
      <c r="W3" t="s">
        <v>970</v>
      </c>
      <c r="X3" t="s">
        <v>971</v>
      </c>
      <c r="Z3" t="s">
        <v>931</v>
      </c>
      <c r="AA3" t="s">
        <v>972</v>
      </c>
      <c r="AB3" t="s">
        <v>973</v>
      </c>
      <c r="AC3" t="s">
        <v>974</v>
      </c>
      <c r="AD3" t="s">
        <v>964</v>
      </c>
    </row>
    <row r="4" spans="1:32" x14ac:dyDescent="0.2">
      <c r="A4" t="s">
        <v>951</v>
      </c>
      <c r="B4" t="s">
        <v>975</v>
      </c>
      <c r="C4" t="s">
        <v>975</v>
      </c>
      <c r="D4" t="s">
        <v>976</v>
      </c>
      <c r="E4" t="s">
        <v>977</v>
      </c>
      <c r="F4" t="s">
        <v>935</v>
      </c>
      <c r="G4" t="s">
        <v>931</v>
      </c>
      <c r="H4" t="s">
        <v>931</v>
      </c>
      <c r="I4" t="s">
        <v>936</v>
      </c>
      <c r="J4" t="s">
        <v>978</v>
      </c>
      <c r="K4" t="s">
        <v>979</v>
      </c>
      <c r="L4" t="s">
        <v>980</v>
      </c>
      <c r="M4" t="s">
        <v>981</v>
      </c>
      <c r="N4" t="s">
        <v>982</v>
      </c>
      <c r="O4" t="s">
        <v>983</v>
      </c>
      <c r="P4" t="s">
        <v>941</v>
      </c>
      <c r="Q4" t="s">
        <v>984</v>
      </c>
      <c r="R4" t="s">
        <v>985</v>
      </c>
      <c r="S4" t="s">
        <v>986</v>
      </c>
      <c r="T4" t="s">
        <v>987</v>
      </c>
      <c r="U4" t="s">
        <v>988</v>
      </c>
      <c r="V4" t="s">
        <v>989</v>
      </c>
      <c r="W4" t="s">
        <v>990</v>
      </c>
      <c r="X4" t="s">
        <v>991</v>
      </c>
      <c r="Z4" t="s">
        <v>992</v>
      </c>
      <c r="AA4" t="s">
        <v>992</v>
      </c>
      <c r="AB4" t="s">
        <v>993</v>
      </c>
      <c r="AC4" t="s">
        <v>994</v>
      </c>
      <c r="AD4" t="s">
        <v>995</v>
      </c>
      <c r="AE4" t="s">
        <v>931</v>
      </c>
      <c r="AF4" t="s">
        <v>931</v>
      </c>
    </row>
    <row r="5" spans="1:32" x14ac:dyDescent="0.2">
      <c r="A5" t="s">
        <v>982</v>
      </c>
      <c r="B5" t="s">
        <v>131</v>
      </c>
      <c r="C5" t="s">
        <v>131</v>
      </c>
      <c r="D5" t="s">
        <v>73</v>
      </c>
      <c r="E5" t="s">
        <v>996</v>
      </c>
      <c r="F5" t="s">
        <v>935</v>
      </c>
      <c r="G5" t="s">
        <v>931</v>
      </c>
      <c r="H5" t="s">
        <v>931</v>
      </c>
      <c r="I5" t="s">
        <v>958</v>
      </c>
      <c r="J5" t="s">
        <v>997</v>
      </c>
      <c r="K5" t="s">
        <v>998</v>
      </c>
      <c r="L5" t="s">
        <v>999</v>
      </c>
      <c r="M5" t="s">
        <v>1000</v>
      </c>
      <c r="N5" t="s">
        <v>941</v>
      </c>
      <c r="O5" t="s">
        <v>1001</v>
      </c>
      <c r="P5" t="s">
        <v>992</v>
      </c>
      <c r="Q5" t="s">
        <v>995</v>
      </c>
      <c r="R5" t="s">
        <v>1002</v>
      </c>
      <c r="S5" t="s">
        <v>937</v>
      </c>
      <c r="T5" t="s">
        <v>968</v>
      </c>
      <c r="U5" t="s">
        <v>983</v>
      </c>
      <c r="V5" t="s">
        <v>1003</v>
      </c>
      <c r="W5" t="s">
        <v>1004</v>
      </c>
      <c r="X5" t="s">
        <v>1005</v>
      </c>
      <c r="Z5" t="s">
        <v>951</v>
      </c>
      <c r="AA5" t="s">
        <v>952</v>
      </c>
      <c r="AB5" t="s">
        <v>1006</v>
      </c>
      <c r="AC5" t="s">
        <v>1007</v>
      </c>
      <c r="AD5" t="s">
        <v>1008</v>
      </c>
    </row>
    <row r="6" spans="1:32" x14ac:dyDescent="0.2">
      <c r="A6" t="s">
        <v>1009</v>
      </c>
      <c r="B6" t="s">
        <v>173</v>
      </c>
      <c r="C6" t="s">
        <v>173</v>
      </c>
      <c r="D6" t="s">
        <v>139</v>
      </c>
      <c r="E6" t="s">
        <v>1010</v>
      </c>
      <c r="F6" t="s">
        <v>935</v>
      </c>
      <c r="G6" t="s">
        <v>931</v>
      </c>
      <c r="H6" t="s">
        <v>931</v>
      </c>
      <c r="I6" t="s">
        <v>958</v>
      </c>
      <c r="J6" t="s">
        <v>1011</v>
      </c>
      <c r="K6" t="s">
        <v>1012</v>
      </c>
      <c r="L6" t="s">
        <v>1013</v>
      </c>
      <c r="M6" t="s">
        <v>1014</v>
      </c>
      <c r="N6" t="s">
        <v>951</v>
      </c>
      <c r="O6" t="s">
        <v>1015</v>
      </c>
      <c r="P6" t="s">
        <v>931</v>
      </c>
      <c r="Q6" t="s">
        <v>943</v>
      </c>
      <c r="R6" t="s">
        <v>1016</v>
      </c>
      <c r="S6" t="s">
        <v>1017</v>
      </c>
      <c r="T6" t="s">
        <v>1018</v>
      </c>
      <c r="U6" t="s">
        <v>1019</v>
      </c>
      <c r="V6" t="s">
        <v>1020</v>
      </c>
      <c r="W6" t="s">
        <v>1021</v>
      </c>
      <c r="X6" t="s">
        <v>1022</v>
      </c>
      <c r="Z6" t="s">
        <v>951</v>
      </c>
      <c r="AA6" t="s">
        <v>1023</v>
      </c>
      <c r="AB6" t="s">
        <v>1024</v>
      </c>
      <c r="AC6" t="s">
        <v>1025</v>
      </c>
      <c r="AD6" t="s">
        <v>1026</v>
      </c>
    </row>
    <row r="7" spans="1:32" x14ac:dyDescent="0.2">
      <c r="A7" t="s">
        <v>1027</v>
      </c>
      <c r="B7" t="s">
        <v>117</v>
      </c>
      <c r="C7" t="s">
        <v>117</v>
      </c>
      <c r="D7" t="s">
        <v>118</v>
      </c>
      <c r="E7" t="s">
        <v>1028</v>
      </c>
      <c r="F7" t="s">
        <v>935</v>
      </c>
      <c r="G7" t="s">
        <v>931</v>
      </c>
      <c r="H7" t="s">
        <v>931</v>
      </c>
      <c r="I7" t="s">
        <v>936</v>
      </c>
      <c r="J7" t="s">
        <v>966</v>
      </c>
      <c r="K7" t="s">
        <v>986</v>
      </c>
      <c r="L7" t="s">
        <v>1029</v>
      </c>
      <c r="M7" t="s">
        <v>1030</v>
      </c>
      <c r="N7" t="s">
        <v>931</v>
      </c>
      <c r="O7" t="s">
        <v>1031</v>
      </c>
      <c r="P7" t="s">
        <v>931</v>
      </c>
      <c r="Q7" t="s">
        <v>1031</v>
      </c>
      <c r="R7" t="s">
        <v>1032</v>
      </c>
      <c r="S7" t="s">
        <v>1028</v>
      </c>
      <c r="T7" t="s">
        <v>968</v>
      </c>
      <c r="U7" t="s">
        <v>1033</v>
      </c>
      <c r="V7" t="s">
        <v>1034</v>
      </c>
      <c r="W7" t="s">
        <v>1035</v>
      </c>
      <c r="X7" t="s">
        <v>1036</v>
      </c>
      <c r="Z7" t="s">
        <v>941</v>
      </c>
      <c r="AA7" t="s">
        <v>951</v>
      </c>
      <c r="AB7" t="s">
        <v>1037</v>
      </c>
      <c r="AC7" t="s">
        <v>1038</v>
      </c>
      <c r="AD7" t="s">
        <v>1001</v>
      </c>
      <c r="AE7" t="s">
        <v>931</v>
      </c>
      <c r="AF7" t="s">
        <v>931</v>
      </c>
    </row>
    <row r="8" spans="1:32" x14ac:dyDescent="0.2">
      <c r="A8" t="s">
        <v>1039</v>
      </c>
      <c r="B8" t="s">
        <v>80</v>
      </c>
      <c r="C8" t="s">
        <v>80</v>
      </c>
      <c r="D8" t="s">
        <v>1040</v>
      </c>
      <c r="E8" t="s">
        <v>952</v>
      </c>
      <c r="F8" t="s">
        <v>935</v>
      </c>
      <c r="G8" t="s">
        <v>931</v>
      </c>
      <c r="H8" t="s">
        <v>931</v>
      </c>
      <c r="I8" t="s">
        <v>936</v>
      </c>
      <c r="J8" t="s">
        <v>1010</v>
      </c>
      <c r="K8" t="s">
        <v>997</v>
      </c>
      <c r="L8" t="s">
        <v>1041</v>
      </c>
      <c r="M8" t="s">
        <v>1030</v>
      </c>
      <c r="N8" t="s">
        <v>951</v>
      </c>
      <c r="O8" t="s">
        <v>1042</v>
      </c>
      <c r="P8" t="s">
        <v>992</v>
      </c>
      <c r="Q8" t="s">
        <v>995</v>
      </c>
      <c r="R8" t="s">
        <v>944</v>
      </c>
      <c r="S8" t="s">
        <v>1043</v>
      </c>
      <c r="T8" t="s">
        <v>1044</v>
      </c>
      <c r="U8" t="s">
        <v>1045</v>
      </c>
      <c r="V8" t="s">
        <v>1046</v>
      </c>
      <c r="W8" t="s">
        <v>1035</v>
      </c>
      <c r="X8" t="s">
        <v>1047</v>
      </c>
      <c r="Z8" t="s">
        <v>941</v>
      </c>
      <c r="AA8" t="s">
        <v>1048</v>
      </c>
      <c r="AB8" t="s">
        <v>1049</v>
      </c>
      <c r="AC8" t="s">
        <v>1050</v>
      </c>
      <c r="AD8" t="s">
        <v>1015</v>
      </c>
      <c r="AE8" t="s">
        <v>931</v>
      </c>
      <c r="AF8" t="s">
        <v>931</v>
      </c>
    </row>
    <row r="9" spans="1:32" x14ac:dyDescent="0.2">
      <c r="A9" t="s">
        <v>1051</v>
      </c>
      <c r="B9" t="s">
        <v>152</v>
      </c>
      <c r="C9" t="s">
        <v>152</v>
      </c>
      <c r="D9" t="s">
        <v>1052</v>
      </c>
      <c r="E9" t="s">
        <v>985</v>
      </c>
      <c r="F9" t="s">
        <v>935</v>
      </c>
      <c r="G9" t="s">
        <v>931</v>
      </c>
      <c r="H9" t="s">
        <v>931</v>
      </c>
      <c r="I9" t="s">
        <v>958</v>
      </c>
      <c r="J9" t="s">
        <v>957</v>
      </c>
      <c r="K9" t="s">
        <v>1053</v>
      </c>
      <c r="L9" t="s">
        <v>1054</v>
      </c>
      <c r="M9" t="s">
        <v>1055</v>
      </c>
      <c r="N9" t="s">
        <v>951</v>
      </c>
      <c r="O9" t="s">
        <v>1018</v>
      </c>
      <c r="P9" t="s">
        <v>951</v>
      </c>
      <c r="Q9" t="s">
        <v>1018</v>
      </c>
      <c r="R9" t="s">
        <v>1048</v>
      </c>
      <c r="S9" t="s">
        <v>1056</v>
      </c>
      <c r="T9" t="s">
        <v>1057</v>
      </c>
      <c r="U9" t="s">
        <v>1026</v>
      </c>
      <c r="V9" t="s">
        <v>1058</v>
      </c>
      <c r="W9" t="s">
        <v>1059</v>
      </c>
      <c r="X9" t="s">
        <v>1060</v>
      </c>
      <c r="Z9" t="s">
        <v>931</v>
      </c>
      <c r="AA9" t="s">
        <v>1048</v>
      </c>
      <c r="AB9" t="s">
        <v>1061</v>
      </c>
      <c r="AC9" t="s">
        <v>1062</v>
      </c>
      <c r="AD9" t="s">
        <v>1063</v>
      </c>
    </row>
    <row r="10" spans="1:32" x14ac:dyDescent="0.2">
      <c r="A10" t="s">
        <v>1064</v>
      </c>
      <c r="B10" t="s">
        <v>134</v>
      </c>
      <c r="C10" t="s">
        <v>134</v>
      </c>
      <c r="D10" t="s">
        <v>82</v>
      </c>
      <c r="E10" t="s">
        <v>952</v>
      </c>
      <c r="F10" t="s">
        <v>935</v>
      </c>
      <c r="G10" t="s">
        <v>931</v>
      </c>
      <c r="H10" t="s">
        <v>931</v>
      </c>
      <c r="I10" t="s">
        <v>958</v>
      </c>
      <c r="J10" t="s">
        <v>965</v>
      </c>
      <c r="K10" t="s">
        <v>957</v>
      </c>
      <c r="L10" t="s">
        <v>1041</v>
      </c>
      <c r="M10" t="s">
        <v>1065</v>
      </c>
      <c r="N10" t="s">
        <v>992</v>
      </c>
      <c r="O10" t="s">
        <v>995</v>
      </c>
      <c r="P10" t="s">
        <v>931</v>
      </c>
      <c r="Q10" t="s">
        <v>942</v>
      </c>
      <c r="R10" t="s">
        <v>1066</v>
      </c>
      <c r="S10" t="s">
        <v>977</v>
      </c>
      <c r="T10" t="s">
        <v>1067</v>
      </c>
      <c r="U10" t="s">
        <v>1068</v>
      </c>
      <c r="V10" t="s">
        <v>1069</v>
      </c>
      <c r="W10" t="s">
        <v>1070</v>
      </c>
      <c r="X10" t="s">
        <v>1071</v>
      </c>
      <c r="Z10" t="s">
        <v>941</v>
      </c>
      <c r="AA10" t="s">
        <v>944</v>
      </c>
      <c r="AB10" t="s">
        <v>1072</v>
      </c>
      <c r="AC10" t="s">
        <v>1073</v>
      </c>
      <c r="AD10" t="s">
        <v>1074</v>
      </c>
    </row>
    <row r="11" spans="1:32" x14ac:dyDescent="0.2">
      <c r="A11" t="s">
        <v>1075</v>
      </c>
      <c r="B11" t="s">
        <v>1076</v>
      </c>
      <c r="C11" t="s">
        <v>1076</v>
      </c>
      <c r="D11" t="s">
        <v>730</v>
      </c>
      <c r="E11" t="s">
        <v>996</v>
      </c>
      <c r="F11" t="s">
        <v>935</v>
      </c>
      <c r="G11" t="s">
        <v>931</v>
      </c>
      <c r="H11" t="s">
        <v>931</v>
      </c>
      <c r="I11" t="s">
        <v>936</v>
      </c>
      <c r="J11" t="s">
        <v>1032</v>
      </c>
      <c r="K11" t="s">
        <v>952</v>
      </c>
      <c r="L11" t="s">
        <v>1077</v>
      </c>
      <c r="M11" t="s">
        <v>1065</v>
      </c>
      <c r="N11" t="s">
        <v>951</v>
      </c>
      <c r="O11" t="s">
        <v>1067</v>
      </c>
      <c r="P11" t="s">
        <v>992</v>
      </c>
      <c r="Q11" t="s">
        <v>995</v>
      </c>
      <c r="R11" t="s">
        <v>1048</v>
      </c>
      <c r="S11" t="s">
        <v>1078</v>
      </c>
      <c r="T11" t="s">
        <v>1079</v>
      </c>
      <c r="U11" t="s">
        <v>1080</v>
      </c>
      <c r="V11" t="s">
        <v>1081</v>
      </c>
      <c r="W11" t="s">
        <v>1070</v>
      </c>
      <c r="X11" t="s">
        <v>1082</v>
      </c>
      <c r="Z11" t="s">
        <v>931</v>
      </c>
      <c r="AA11" t="s">
        <v>1064</v>
      </c>
      <c r="AB11" t="s">
        <v>1083</v>
      </c>
      <c r="AC11" t="s">
        <v>1084</v>
      </c>
      <c r="AD11" t="s">
        <v>1085</v>
      </c>
    </row>
    <row r="12" spans="1:32" x14ac:dyDescent="0.2">
      <c r="A12" t="s">
        <v>1086</v>
      </c>
      <c r="B12" t="s">
        <v>148</v>
      </c>
      <c r="C12" t="s">
        <v>148</v>
      </c>
      <c r="D12" t="s">
        <v>1087</v>
      </c>
      <c r="E12" t="s">
        <v>934</v>
      </c>
      <c r="F12" t="s">
        <v>935</v>
      </c>
      <c r="G12" t="s">
        <v>931</v>
      </c>
      <c r="H12" t="s">
        <v>931</v>
      </c>
      <c r="I12" t="s">
        <v>936</v>
      </c>
      <c r="J12" t="s">
        <v>944</v>
      </c>
      <c r="K12" t="s">
        <v>1088</v>
      </c>
      <c r="L12" t="s">
        <v>1089</v>
      </c>
      <c r="M12" t="s">
        <v>1090</v>
      </c>
      <c r="N12" t="s">
        <v>931</v>
      </c>
      <c r="O12" t="s">
        <v>984</v>
      </c>
      <c r="P12" t="s">
        <v>992</v>
      </c>
      <c r="Q12" t="s">
        <v>995</v>
      </c>
      <c r="R12" t="s">
        <v>972</v>
      </c>
      <c r="S12" t="s">
        <v>1091</v>
      </c>
      <c r="T12" t="s">
        <v>1092</v>
      </c>
      <c r="U12" t="s">
        <v>1093</v>
      </c>
      <c r="V12" t="s">
        <v>1094</v>
      </c>
      <c r="W12" t="s">
        <v>1095</v>
      </c>
      <c r="X12" t="s">
        <v>1096</v>
      </c>
      <c r="Z12" t="s">
        <v>931</v>
      </c>
      <c r="AA12" t="s">
        <v>1051</v>
      </c>
      <c r="AB12" t="s">
        <v>1097</v>
      </c>
      <c r="AC12" t="s">
        <v>1098</v>
      </c>
      <c r="AD12" t="s">
        <v>1099</v>
      </c>
    </row>
    <row r="13" spans="1:32" x14ac:dyDescent="0.2">
      <c r="A13" t="s">
        <v>972</v>
      </c>
      <c r="B13" t="s">
        <v>149</v>
      </c>
      <c r="C13" t="s">
        <v>149</v>
      </c>
      <c r="D13" t="s">
        <v>122</v>
      </c>
      <c r="E13" t="s">
        <v>978</v>
      </c>
      <c r="F13" t="s">
        <v>935</v>
      </c>
      <c r="G13" t="s">
        <v>931</v>
      </c>
      <c r="H13" t="s">
        <v>931</v>
      </c>
      <c r="I13" t="s">
        <v>936</v>
      </c>
      <c r="J13" t="s">
        <v>965</v>
      </c>
      <c r="K13" t="s">
        <v>996</v>
      </c>
      <c r="L13" t="s">
        <v>1100</v>
      </c>
      <c r="M13" t="s">
        <v>1101</v>
      </c>
      <c r="N13" t="s">
        <v>941</v>
      </c>
      <c r="O13" t="s">
        <v>1102</v>
      </c>
      <c r="P13" t="s">
        <v>992</v>
      </c>
      <c r="Q13" t="s">
        <v>995</v>
      </c>
      <c r="R13" t="s">
        <v>1048</v>
      </c>
      <c r="S13" t="s">
        <v>1103</v>
      </c>
      <c r="T13" t="s">
        <v>1104</v>
      </c>
      <c r="U13" t="s">
        <v>1105</v>
      </c>
      <c r="V13" t="s">
        <v>1106</v>
      </c>
      <c r="W13" t="s">
        <v>1107</v>
      </c>
      <c r="X13" t="s">
        <v>1108</v>
      </c>
      <c r="Z13" t="s">
        <v>931</v>
      </c>
      <c r="AA13" t="s">
        <v>941</v>
      </c>
      <c r="AB13" t="s">
        <v>1109</v>
      </c>
      <c r="AC13" t="s">
        <v>1110</v>
      </c>
      <c r="AD13" t="s">
        <v>1111</v>
      </c>
    </row>
    <row r="14" spans="1:32" x14ac:dyDescent="0.2">
      <c r="A14" t="s">
        <v>1048</v>
      </c>
      <c r="B14" t="s">
        <v>95</v>
      </c>
      <c r="C14" t="s">
        <v>95</v>
      </c>
      <c r="D14" t="s">
        <v>78</v>
      </c>
      <c r="E14" t="s">
        <v>1023</v>
      </c>
      <c r="F14" t="s">
        <v>935</v>
      </c>
      <c r="G14" t="s">
        <v>931</v>
      </c>
      <c r="H14" t="s">
        <v>931</v>
      </c>
      <c r="I14" t="s">
        <v>936</v>
      </c>
      <c r="J14" t="s">
        <v>965</v>
      </c>
      <c r="K14" t="s">
        <v>978</v>
      </c>
      <c r="L14" t="s">
        <v>1112</v>
      </c>
      <c r="M14" t="s">
        <v>1113</v>
      </c>
      <c r="N14" t="s">
        <v>982</v>
      </c>
      <c r="O14" t="s">
        <v>1046</v>
      </c>
      <c r="P14" t="s">
        <v>931</v>
      </c>
      <c r="Q14" t="s">
        <v>1114</v>
      </c>
      <c r="R14" t="s">
        <v>1048</v>
      </c>
      <c r="S14" t="s">
        <v>1011</v>
      </c>
      <c r="T14" t="s">
        <v>1115</v>
      </c>
      <c r="U14" t="s">
        <v>1116</v>
      </c>
      <c r="V14" t="s">
        <v>1117</v>
      </c>
      <c r="W14" t="s">
        <v>1118</v>
      </c>
      <c r="X14" t="s">
        <v>1119</v>
      </c>
      <c r="Z14" t="s">
        <v>941</v>
      </c>
      <c r="AA14" t="s">
        <v>1064</v>
      </c>
      <c r="AB14" t="s">
        <v>1120</v>
      </c>
      <c r="AC14" t="s">
        <v>1121</v>
      </c>
      <c r="AD14" t="s">
        <v>1018</v>
      </c>
    </row>
    <row r="15" spans="1:32" x14ac:dyDescent="0.2">
      <c r="A15" t="s">
        <v>1066</v>
      </c>
      <c r="B15" t="s">
        <v>192</v>
      </c>
      <c r="C15" t="s">
        <v>192</v>
      </c>
      <c r="D15" t="s">
        <v>1122</v>
      </c>
      <c r="E15" t="s">
        <v>1028</v>
      </c>
      <c r="F15" t="s">
        <v>935</v>
      </c>
      <c r="G15" t="s">
        <v>931</v>
      </c>
      <c r="H15" t="s">
        <v>931</v>
      </c>
      <c r="I15" t="s">
        <v>958</v>
      </c>
      <c r="J15" t="s">
        <v>1123</v>
      </c>
      <c r="K15" t="s">
        <v>1124</v>
      </c>
      <c r="L15" t="s">
        <v>1125</v>
      </c>
      <c r="M15" t="s">
        <v>1126</v>
      </c>
      <c r="N15" t="s">
        <v>931</v>
      </c>
      <c r="O15" t="s">
        <v>1127</v>
      </c>
      <c r="P15" t="s">
        <v>992</v>
      </c>
      <c r="Q15" t="s">
        <v>995</v>
      </c>
      <c r="R15" t="s">
        <v>1066</v>
      </c>
      <c r="S15" t="s">
        <v>952</v>
      </c>
      <c r="T15" t="s">
        <v>968</v>
      </c>
      <c r="U15" t="s">
        <v>947</v>
      </c>
      <c r="V15" t="s">
        <v>1128</v>
      </c>
      <c r="W15" t="s">
        <v>1129</v>
      </c>
      <c r="X15" t="s">
        <v>1130</v>
      </c>
      <c r="Z15" t="s">
        <v>931</v>
      </c>
      <c r="AA15" t="s">
        <v>1048</v>
      </c>
      <c r="AB15" t="s">
        <v>1131</v>
      </c>
      <c r="AC15" t="s">
        <v>1132</v>
      </c>
      <c r="AD15" t="s">
        <v>1133</v>
      </c>
    </row>
    <row r="16" spans="1:32" x14ac:dyDescent="0.2">
      <c r="A16" t="s">
        <v>1002</v>
      </c>
      <c r="B16" t="s">
        <v>168</v>
      </c>
      <c r="C16" t="s">
        <v>168</v>
      </c>
      <c r="D16" t="s">
        <v>70</v>
      </c>
      <c r="E16" t="s">
        <v>1023</v>
      </c>
      <c r="F16" t="s">
        <v>935</v>
      </c>
      <c r="G16" t="s">
        <v>931</v>
      </c>
      <c r="H16" t="s">
        <v>931</v>
      </c>
      <c r="I16" t="s">
        <v>936</v>
      </c>
      <c r="J16" t="s">
        <v>1023</v>
      </c>
      <c r="K16" t="s">
        <v>1134</v>
      </c>
      <c r="L16" t="s">
        <v>1135</v>
      </c>
      <c r="M16" t="s">
        <v>1136</v>
      </c>
      <c r="N16" t="s">
        <v>931</v>
      </c>
      <c r="O16" t="s">
        <v>1111</v>
      </c>
      <c r="P16" t="s">
        <v>992</v>
      </c>
      <c r="Q16" t="s">
        <v>995</v>
      </c>
      <c r="R16" t="s">
        <v>1066</v>
      </c>
      <c r="S16" t="s">
        <v>1012</v>
      </c>
      <c r="T16" t="s">
        <v>983</v>
      </c>
      <c r="U16" t="s">
        <v>1137</v>
      </c>
      <c r="V16" t="s">
        <v>1138</v>
      </c>
      <c r="W16" t="s">
        <v>1139</v>
      </c>
      <c r="X16" t="s">
        <v>1140</v>
      </c>
      <c r="Z16" t="s">
        <v>931</v>
      </c>
      <c r="AA16" t="s">
        <v>1064</v>
      </c>
      <c r="AB16" t="s">
        <v>1141</v>
      </c>
      <c r="AC16" t="s">
        <v>1142</v>
      </c>
      <c r="AD16" t="s">
        <v>1143</v>
      </c>
    </row>
    <row r="17" spans="1:32" x14ac:dyDescent="0.2">
      <c r="A17" t="s">
        <v>1144</v>
      </c>
      <c r="B17" t="s">
        <v>97</v>
      </c>
      <c r="C17" t="s">
        <v>97</v>
      </c>
      <c r="D17" t="s">
        <v>98</v>
      </c>
      <c r="E17" t="s">
        <v>1088</v>
      </c>
      <c r="F17" t="s">
        <v>935</v>
      </c>
      <c r="G17" t="s">
        <v>931</v>
      </c>
      <c r="H17" t="s">
        <v>931</v>
      </c>
      <c r="I17" t="s">
        <v>958</v>
      </c>
      <c r="J17" t="s">
        <v>934</v>
      </c>
      <c r="K17" t="s">
        <v>1053</v>
      </c>
      <c r="L17" t="s">
        <v>1145</v>
      </c>
      <c r="M17" t="s">
        <v>1146</v>
      </c>
      <c r="N17" t="s">
        <v>931</v>
      </c>
      <c r="O17" t="s">
        <v>1147</v>
      </c>
      <c r="P17" t="s">
        <v>992</v>
      </c>
      <c r="Q17" t="s">
        <v>995</v>
      </c>
      <c r="R17" t="s">
        <v>1048</v>
      </c>
      <c r="S17" t="s">
        <v>945</v>
      </c>
      <c r="T17" t="s">
        <v>1015</v>
      </c>
      <c r="U17" t="s">
        <v>1148</v>
      </c>
      <c r="V17" t="s">
        <v>1115</v>
      </c>
      <c r="W17" t="s">
        <v>1149</v>
      </c>
      <c r="X17" t="s">
        <v>1150</v>
      </c>
      <c r="Z17" t="s">
        <v>951</v>
      </c>
      <c r="AA17" t="s">
        <v>1144</v>
      </c>
      <c r="AB17" t="s">
        <v>1151</v>
      </c>
      <c r="AC17" t="s">
        <v>1152</v>
      </c>
      <c r="AD17" t="s">
        <v>1153</v>
      </c>
    </row>
    <row r="18" spans="1:32" x14ac:dyDescent="0.2">
      <c r="A18" t="s">
        <v>944</v>
      </c>
      <c r="B18" t="s">
        <v>154</v>
      </c>
      <c r="C18" t="s">
        <v>154</v>
      </c>
      <c r="D18" t="s">
        <v>92</v>
      </c>
      <c r="E18" t="s">
        <v>1023</v>
      </c>
      <c r="F18" t="s">
        <v>935</v>
      </c>
      <c r="G18" t="s">
        <v>931</v>
      </c>
      <c r="H18" t="s">
        <v>931</v>
      </c>
      <c r="I18" t="s">
        <v>958</v>
      </c>
      <c r="J18" t="s">
        <v>985</v>
      </c>
      <c r="K18" t="s">
        <v>945</v>
      </c>
      <c r="L18" t="s">
        <v>1154</v>
      </c>
      <c r="M18" t="s">
        <v>1155</v>
      </c>
      <c r="N18" t="s">
        <v>931</v>
      </c>
      <c r="O18" t="s">
        <v>1156</v>
      </c>
      <c r="P18" t="s">
        <v>992</v>
      </c>
      <c r="Q18" t="s">
        <v>995</v>
      </c>
      <c r="R18" t="s">
        <v>1048</v>
      </c>
      <c r="S18" t="s">
        <v>959</v>
      </c>
      <c r="T18" t="s">
        <v>968</v>
      </c>
      <c r="U18" t="s">
        <v>946</v>
      </c>
      <c r="V18" t="s">
        <v>1157</v>
      </c>
      <c r="W18" t="s">
        <v>1158</v>
      </c>
      <c r="X18" t="s">
        <v>1159</v>
      </c>
      <c r="Z18" t="s">
        <v>941</v>
      </c>
      <c r="AA18" t="s">
        <v>1048</v>
      </c>
      <c r="AB18" t="s">
        <v>1160</v>
      </c>
      <c r="AC18" t="s">
        <v>1161</v>
      </c>
      <c r="AD18" t="s">
        <v>955</v>
      </c>
    </row>
    <row r="19" spans="1:32" x14ac:dyDescent="0.2">
      <c r="A19" t="s">
        <v>1162</v>
      </c>
      <c r="B19" t="s">
        <v>164</v>
      </c>
      <c r="C19" t="s">
        <v>164</v>
      </c>
      <c r="D19" t="s">
        <v>93</v>
      </c>
      <c r="E19" t="s">
        <v>1123</v>
      </c>
      <c r="F19" t="s">
        <v>935</v>
      </c>
      <c r="G19" t="s">
        <v>931</v>
      </c>
      <c r="H19" t="s">
        <v>931</v>
      </c>
      <c r="I19" t="s">
        <v>936</v>
      </c>
      <c r="J19" t="s">
        <v>957</v>
      </c>
      <c r="K19" t="s">
        <v>997</v>
      </c>
      <c r="L19" t="s">
        <v>1163</v>
      </c>
      <c r="M19" t="s">
        <v>1164</v>
      </c>
      <c r="N19" t="s">
        <v>941</v>
      </c>
      <c r="O19" t="s">
        <v>1153</v>
      </c>
      <c r="P19" t="s">
        <v>992</v>
      </c>
      <c r="Q19" t="s">
        <v>995</v>
      </c>
      <c r="R19" t="s">
        <v>944</v>
      </c>
      <c r="S19" t="s">
        <v>1088</v>
      </c>
      <c r="T19" t="s">
        <v>1165</v>
      </c>
      <c r="U19" t="s">
        <v>1166</v>
      </c>
      <c r="V19" t="s">
        <v>1044</v>
      </c>
      <c r="W19" t="s">
        <v>1167</v>
      </c>
      <c r="X19" t="s">
        <v>1168</v>
      </c>
      <c r="Z19" t="s">
        <v>941</v>
      </c>
      <c r="AA19" t="s">
        <v>1064</v>
      </c>
      <c r="AB19" t="s">
        <v>1169</v>
      </c>
      <c r="AC19" t="s">
        <v>1170</v>
      </c>
      <c r="AD19" t="s">
        <v>1015</v>
      </c>
    </row>
    <row r="20" spans="1:32" x14ac:dyDescent="0.2">
      <c r="A20" t="s">
        <v>1016</v>
      </c>
      <c r="B20" t="s">
        <v>120</v>
      </c>
      <c r="C20" t="s">
        <v>120</v>
      </c>
      <c r="D20" t="s">
        <v>102</v>
      </c>
      <c r="E20" t="s">
        <v>1028</v>
      </c>
      <c r="F20" t="s">
        <v>935</v>
      </c>
      <c r="G20" t="s">
        <v>931</v>
      </c>
      <c r="H20" t="s">
        <v>931</v>
      </c>
      <c r="I20" t="s">
        <v>936</v>
      </c>
      <c r="J20" t="s">
        <v>1010</v>
      </c>
      <c r="K20" t="s">
        <v>1134</v>
      </c>
      <c r="L20" t="s">
        <v>1171</v>
      </c>
      <c r="M20" t="s">
        <v>1164</v>
      </c>
      <c r="N20" t="s">
        <v>951</v>
      </c>
      <c r="O20" t="s">
        <v>1172</v>
      </c>
      <c r="P20" t="s">
        <v>992</v>
      </c>
      <c r="Q20" t="s">
        <v>995</v>
      </c>
      <c r="R20" t="s">
        <v>1048</v>
      </c>
      <c r="S20" t="s">
        <v>957</v>
      </c>
      <c r="T20" t="s">
        <v>1173</v>
      </c>
      <c r="U20" t="s">
        <v>1174</v>
      </c>
      <c r="V20" t="s">
        <v>1003</v>
      </c>
      <c r="W20" t="s">
        <v>1167</v>
      </c>
      <c r="X20" t="s">
        <v>1175</v>
      </c>
      <c r="Z20" t="s">
        <v>931</v>
      </c>
      <c r="AA20" t="s">
        <v>951</v>
      </c>
      <c r="AB20" t="s">
        <v>1176</v>
      </c>
      <c r="AC20" t="s">
        <v>1177</v>
      </c>
      <c r="AD20" t="s">
        <v>1143</v>
      </c>
    </row>
    <row r="21" spans="1:32" x14ac:dyDescent="0.2">
      <c r="A21" t="s">
        <v>1032</v>
      </c>
      <c r="B21" t="s">
        <v>132</v>
      </c>
      <c r="C21" t="s">
        <v>132</v>
      </c>
      <c r="D21" t="s">
        <v>74</v>
      </c>
      <c r="E21" t="s">
        <v>1088</v>
      </c>
      <c r="F21" t="s">
        <v>935</v>
      </c>
      <c r="G21" t="s">
        <v>931</v>
      </c>
      <c r="H21" t="s">
        <v>931</v>
      </c>
      <c r="I21" t="s">
        <v>936</v>
      </c>
      <c r="J21" t="s">
        <v>1032</v>
      </c>
      <c r="K21" t="s">
        <v>1010</v>
      </c>
      <c r="L21" t="s">
        <v>1178</v>
      </c>
      <c r="M21" t="s">
        <v>1179</v>
      </c>
      <c r="N21" t="s">
        <v>941</v>
      </c>
      <c r="O21" t="s">
        <v>988</v>
      </c>
      <c r="P21" t="s">
        <v>992</v>
      </c>
      <c r="Q21" t="s">
        <v>995</v>
      </c>
      <c r="R21" t="s">
        <v>972</v>
      </c>
      <c r="S21" t="s">
        <v>979</v>
      </c>
      <c r="T21" t="s">
        <v>1128</v>
      </c>
      <c r="U21" t="s">
        <v>1180</v>
      </c>
      <c r="V21" t="s">
        <v>1181</v>
      </c>
      <c r="W21" t="s">
        <v>1182</v>
      </c>
      <c r="X21" t="s">
        <v>1183</v>
      </c>
      <c r="Z21" t="s">
        <v>1009</v>
      </c>
      <c r="AA21" t="s">
        <v>977</v>
      </c>
      <c r="AB21" t="s">
        <v>1184</v>
      </c>
      <c r="AC21" t="s">
        <v>1185</v>
      </c>
      <c r="AD21" t="s">
        <v>1186</v>
      </c>
      <c r="AE21" t="s">
        <v>992</v>
      </c>
      <c r="AF21" t="s">
        <v>931</v>
      </c>
    </row>
    <row r="22" spans="1:32" x14ac:dyDescent="0.2">
      <c r="A22" t="s">
        <v>965</v>
      </c>
      <c r="B22" t="s">
        <v>169</v>
      </c>
      <c r="C22" t="s">
        <v>169</v>
      </c>
      <c r="D22" t="s">
        <v>71</v>
      </c>
      <c r="E22" t="s">
        <v>985</v>
      </c>
      <c r="F22" t="s">
        <v>935</v>
      </c>
      <c r="G22" t="s">
        <v>931</v>
      </c>
      <c r="H22" t="s">
        <v>931</v>
      </c>
      <c r="I22" t="s">
        <v>958</v>
      </c>
      <c r="J22" t="s">
        <v>1032</v>
      </c>
      <c r="K22" t="s">
        <v>945</v>
      </c>
      <c r="L22" t="s">
        <v>1187</v>
      </c>
      <c r="M22" t="s">
        <v>1188</v>
      </c>
      <c r="N22" t="s">
        <v>941</v>
      </c>
      <c r="O22" t="s">
        <v>1189</v>
      </c>
      <c r="P22" t="s">
        <v>931</v>
      </c>
      <c r="Q22" t="s">
        <v>1156</v>
      </c>
      <c r="R22" t="s">
        <v>1075</v>
      </c>
      <c r="S22" t="s">
        <v>1190</v>
      </c>
      <c r="T22" t="s">
        <v>1191</v>
      </c>
      <c r="U22" t="s">
        <v>1192</v>
      </c>
      <c r="V22" t="s">
        <v>1193</v>
      </c>
      <c r="W22" t="s">
        <v>1194</v>
      </c>
      <c r="X22" t="s">
        <v>1195</v>
      </c>
      <c r="Z22" t="s">
        <v>1027</v>
      </c>
      <c r="AA22" t="s">
        <v>1053</v>
      </c>
      <c r="AB22" t="s">
        <v>1196</v>
      </c>
      <c r="AC22" t="s">
        <v>1151</v>
      </c>
      <c r="AD22" t="s">
        <v>1197</v>
      </c>
    </row>
    <row r="23" spans="1:32" x14ac:dyDescent="0.2">
      <c r="A23" t="s">
        <v>985</v>
      </c>
      <c r="B23" t="s">
        <v>111</v>
      </c>
      <c r="C23" t="s">
        <v>111</v>
      </c>
      <c r="D23" t="s">
        <v>108</v>
      </c>
      <c r="E23" t="s">
        <v>996</v>
      </c>
      <c r="F23" t="s">
        <v>935</v>
      </c>
      <c r="G23" t="s">
        <v>931</v>
      </c>
      <c r="H23" t="s">
        <v>931</v>
      </c>
      <c r="I23" t="s">
        <v>936</v>
      </c>
      <c r="J23" t="s">
        <v>1162</v>
      </c>
      <c r="K23" t="s">
        <v>1028</v>
      </c>
      <c r="L23" t="s">
        <v>1198</v>
      </c>
      <c r="M23" t="s">
        <v>1199</v>
      </c>
      <c r="N23" t="s">
        <v>982</v>
      </c>
      <c r="O23" t="s">
        <v>1200</v>
      </c>
      <c r="P23" t="s">
        <v>992</v>
      </c>
      <c r="Q23" t="s">
        <v>995</v>
      </c>
      <c r="R23" t="s">
        <v>972</v>
      </c>
      <c r="S23" t="s">
        <v>1201</v>
      </c>
      <c r="T23" t="s">
        <v>1045</v>
      </c>
      <c r="U23" t="s">
        <v>1202</v>
      </c>
      <c r="V23" t="s">
        <v>1203</v>
      </c>
      <c r="W23" t="s">
        <v>1204</v>
      </c>
      <c r="X23" t="s">
        <v>1205</v>
      </c>
      <c r="Z23" t="s">
        <v>951</v>
      </c>
      <c r="AA23" t="s">
        <v>1048</v>
      </c>
      <c r="AB23" t="s">
        <v>1206</v>
      </c>
      <c r="AC23" t="s">
        <v>1207</v>
      </c>
      <c r="AD23" t="s">
        <v>1067</v>
      </c>
    </row>
    <row r="24" spans="1:32" x14ac:dyDescent="0.2">
      <c r="A24" t="s">
        <v>1028</v>
      </c>
      <c r="B24" t="s">
        <v>172</v>
      </c>
      <c r="C24" t="s">
        <v>172</v>
      </c>
      <c r="D24" t="s">
        <v>107</v>
      </c>
      <c r="E24" t="s">
        <v>1123</v>
      </c>
      <c r="F24" t="s">
        <v>935</v>
      </c>
      <c r="G24" t="s">
        <v>931</v>
      </c>
      <c r="H24" t="s">
        <v>931</v>
      </c>
      <c r="I24" t="s">
        <v>958</v>
      </c>
      <c r="J24" t="s">
        <v>1088</v>
      </c>
      <c r="K24" t="s">
        <v>1011</v>
      </c>
      <c r="L24" t="s">
        <v>1208</v>
      </c>
      <c r="M24" t="s">
        <v>1209</v>
      </c>
      <c r="N24" t="s">
        <v>941</v>
      </c>
      <c r="O24" t="s">
        <v>1015</v>
      </c>
      <c r="P24" t="s">
        <v>992</v>
      </c>
      <c r="Q24" t="s">
        <v>995</v>
      </c>
      <c r="R24" t="s">
        <v>1066</v>
      </c>
      <c r="S24" t="s">
        <v>1023</v>
      </c>
      <c r="T24" t="s">
        <v>1033</v>
      </c>
      <c r="U24" t="s">
        <v>947</v>
      </c>
      <c r="V24" t="s">
        <v>1105</v>
      </c>
      <c r="W24" t="s">
        <v>1210</v>
      </c>
      <c r="X24" t="s">
        <v>1140</v>
      </c>
      <c r="Z24" t="s">
        <v>951</v>
      </c>
      <c r="AA24" t="s">
        <v>957</v>
      </c>
      <c r="AB24" t="s">
        <v>1211</v>
      </c>
      <c r="AC24" t="s">
        <v>1212</v>
      </c>
      <c r="AD24" t="s">
        <v>1165</v>
      </c>
    </row>
    <row r="25" spans="1:32" x14ac:dyDescent="0.2">
      <c r="A25" t="s">
        <v>1023</v>
      </c>
      <c r="B25" t="s">
        <v>1213</v>
      </c>
      <c r="C25" t="s">
        <v>1213</v>
      </c>
      <c r="D25" t="s">
        <v>725</v>
      </c>
      <c r="E25" t="s">
        <v>1023</v>
      </c>
      <c r="F25" t="s">
        <v>935</v>
      </c>
      <c r="G25" t="s">
        <v>931</v>
      </c>
      <c r="H25" t="s">
        <v>931</v>
      </c>
      <c r="I25" t="s">
        <v>958</v>
      </c>
      <c r="J25" t="s">
        <v>1016</v>
      </c>
      <c r="K25" t="s">
        <v>934</v>
      </c>
      <c r="L25" t="s">
        <v>1214</v>
      </c>
      <c r="M25" t="s">
        <v>1215</v>
      </c>
      <c r="N25" t="s">
        <v>931</v>
      </c>
      <c r="O25" t="s">
        <v>1216</v>
      </c>
      <c r="P25" t="s">
        <v>992</v>
      </c>
      <c r="Q25" t="s">
        <v>995</v>
      </c>
      <c r="R25" t="s">
        <v>1086</v>
      </c>
      <c r="S25" t="s">
        <v>998</v>
      </c>
      <c r="T25" t="s">
        <v>946</v>
      </c>
      <c r="U25" t="s">
        <v>1137</v>
      </c>
      <c r="V25" t="s">
        <v>1217</v>
      </c>
      <c r="W25" t="s">
        <v>1218</v>
      </c>
      <c r="X25" t="s">
        <v>1219</v>
      </c>
      <c r="Z25" t="s">
        <v>951</v>
      </c>
      <c r="AA25" t="s">
        <v>1162</v>
      </c>
      <c r="AB25" t="s">
        <v>1220</v>
      </c>
      <c r="AC25" t="s">
        <v>1221</v>
      </c>
      <c r="AD25" t="s">
        <v>1222</v>
      </c>
    </row>
    <row r="26" spans="1:32" x14ac:dyDescent="0.2">
      <c r="A26" t="s">
        <v>1088</v>
      </c>
      <c r="B26" t="s">
        <v>116</v>
      </c>
      <c r="C26" t="s">
        <v>116</v>
      </c>
      <c r="D26" t="s">
        <v>77</v>
      </c>
      <c r="E26" t="s">
        <v>996</v>
      </c>
      <c r="F26" t="s">
        <v>935</v>
      </c>
      <c r="G26" t="s">
        <v>931</v>
      </c>
      <c r="H26" t="s">
        <v>931</v>
      </c>
      <c r="I26" t="s">
        <v>958</v>
      </c>
      <c r="J26" t="s">
        <v>965</v>
      </c>
      <c r="K26" t="s">
        <v>1134</v>
      </c>
      <c r="L26" t="s">
        <v>1223</v>
      </c>
      <c r="M26" t="s">
        <v>1224</v>
      </c>
      <c r="N26" t="s">
        <v>931</v>
      </c>
      <c r="O26" t="s">
        <v>1111</v>
      </c>
      <c r="P26" t="s">
        <v>931</v>
      </c>
      <c r="Q26" t="s">
        <v>1111</v>
      </c>
      <c r="R26" t="s">
        <v>1086</v>
      </c>
      <c r="S26" t="s">
        <v>1124</v>
      </c>
      <c r="T26" t="s">
        <v>1102</v>
      </c>
      <c r="U26" t="s">
        <v>1015</v>
      </c>
      <c r="V26" t="s">
        <v>1116</v>
      </c>
      <c r="W26" t="s">
        <v>1225</v>
      </c>
      <c r="X26" t="s">
        <v>1226</v>
      </c>
      <c r="Z26" t="s">
        <v>1027</v>
      </c>
      <c r="AA26" t="s">
        <v>938</v>
      </c>
      <c r="AB26" t="s">
        <v>1227</v>
      </c>
      <c r="AC26" t="s">
        <v>1228</v>
      </c>
      <c r="AD26" t="s">
        <v>1229</v>
      </c>
    </row>
    <row r="27" spans="1:32" x14ac:dyDescent="0.2">
      <c r="A27" t="s">
        <v>952</v>
      </c>
      <c r="B27" t="s">
        <v>1230</v>
      </c>
      <c r="C27" t="s">
        <v>1230</v>
      </c>
      <c r="D27" t="s">
        <v>727</v>
      </c>
      <c r="E27" t="s">
        <v>937</v>
      </c>
      <c r="F27" t="s">
        <v>935</v>
      </c>
      <c r="G27" t="s">
        <v>931</v>
      </c>
      <c r="H27" t="s">
        <v>931</v>
      </c>
      <c r="I27" t="s">
        <v>958</v>
      </c>
      <c r="J27" t="s">
        <v>1010</v>
      </c>
      <c r="K27" t="s">
        <v>1011</v>
      </c>
      <c r="L27" t="s">
        <v>1231</v>
      </c>
      <c r="M27" t="s">
        <v>1232</v>
      </c>
      <c r="N27" t="s">
        <v>992</v>
      </c>
      <c r="O27" t="s">
        <v>995</v>
      </c>
      <c r="P27" t="s">
        <v>931</v>
      </c>
      <c r="Q27" t="s">
        <v>1127</v>
      </c>
      <c r="R27" t="s">
        <v>1048</v>
      </c>
      <c r="S27" t="s">
        <v>1016</v>
      </c>
      <c r="T27" t="s">
        <v>1189</v>
      </c>
      <c r="U27" t="s">
        <v>1233</v>
      </c>
      <c r="V27" t="s">
        <v>987</v>
      </c>
      <c r="W27" t="s">
        <v>1234</v>
      </c>
      <c r="X27" t="s">
        <v>1235</v>
      </c>
      <c r="Z27" t="s">
        <v>951</v>
      </c>
      <c r="AA27" t="s">
        <v>957</v>
      </c>
      <c r="AB27" t="s">
        <v>1236</v>
      </c>
      <c r="AC27" t="s">
        <v>1237</v>
      </c>
      <c r="AD27" t="s">
        <v>1165</v>
      </c>
    </row>
    <row r="28" spans="1:32" x14ac:dyDescent="0.2">
      <c r="A28" t="s">
        <v>1010</v>
      </c>
      <c r="B28" t="s">
        <v>161</v>
      </c>
      <c r="C28" t="s">
        <v>161</v>
      </c>
      <c r="D28" t="s">
        <v>142</v>
      </c>
      <c r="E28" t="s">
        <v>1028</v>
      </c>
      <c r="F28" t="s">
        <v>935</v>
      </c>
      <c r="G28" t="s">
        <v>931</v>
      </c>
      <c r="H28" t="s">
        <v>931</v>
      </c>
      <c r="I28" t="s">
        <v>936</v>
      </c>
      <c r="J28" t="s">
        <v>1144</v>
      </c>
      <c r="K28" t="s">
        <v>1010</v>
      </c>
      <c r="L28" t="s">
        <v>1238</v>
      </c>
      <c r="M28" t="s">
        <v>1239</v>
      </c>
      <c r="N28" t="s">
        <v>931</v>
      </c>
      <c r="O28" t="s">
        <v>1085</v>
      </c>
      <c r="P28" t="s">
        <v>931</v>
      </c>
      <c r="Q28" t="s">
        <v>1085</v>
      </c>
      <c r="R28" t="s">
        <v>1064</v>
      </c>
      <c r="S28" t="s">
        <v>997</v>
      </c>
      <c r="T28" t="s">
        <v>1173</v>
      </c>
      <c r="U28" t="s">
        <v>1033</v>
      </c>
      <c r="V28" t="s">
        <v>1092</v>
      </c>
      <c r="W28" t="s">
        <v>1240</v>
      </c>
      <c r="X28" t="s">
        <v>1241</v>
      </c>
      <c r="Z28" t="s">
        <v>941</v>
      </c>
      <c r="AA28" t="s">
        <v>944</v>
      </c>
      <c r="AB28" t="s">
        <v>1242</v>
      </c>
      <c r="AC28" t="s">
        <v>1243</v>
      </c>
      <c r="AD28" t="s">
        <v>967</v>
      </c>
    </row>
    <row r="29" spans="1:32" x14ac:dyDescent="0.2">
      <c r="A29" t="s">
        <v>957</v>
      </c>
      <c r="B29" t="s">
        <v>133</v>
      </c>
      <c r="C29" t="s">
        <v>133</v>
      </c>
      <c r="D29" t="s">
        <v>99</v>
      </c>
      <c r="E29" t="s">
        <v>1124</v>
      </c>
      <c r="F29" t="s">
        <v>935</v>
      </c>
      <c r="G29" t="s">
        <v>931</v>
      </c>
      <c r="H29" t="s">
        <v>931</v>
      </c>
      <c r="I29" t="s">
        <v>936</v>
      </c>
      <c r="J29" t="s">
        <v>1162</v>
      </c>
      <c r="K29" t="s">
        <v>978</v>
      </c>
      <c r="L29" t="s">
        <v>1244</v>
      </c>
      <c r="M29" t="s">
        <v>1245</v>
      </c>
      <c r="N29" t="s">
        <v>931</v>
      </c>
      <c r="O29" t="s">
        <v>1114</v>
      </c>
      <c r="P29" t="s">
        <v>992</v>
      </c>
      <c r="Q29" t="s">
        <v>995</v>
      </c>
      <c r="R29" t="s">
        <v>1064</v>
      </c>
      <c r="S29" t="s">
        <v>1023</v>
      </c>
      <c r="T29" t="s">
        <v>1018</v>
      </c>
      <c r="U29" t="s">
        <v>1057</v>
      </c>
      <c r="V29" t="s">
        <v>1246</v>
      </c>
      <c r="W29" t="s">
        <v>1247</v>
      </c>
      <c r="X29" t="s">
        <v>1248</v>
      </c>
      <c r="Z29" t="s">
        <v>941</v>
      </c>
      <c r="AA29" t="s">
        <v>1086</v>
      </c>
      <c r="AB29" t="s">
        <v>1249</v>
      </c>
      <c r="AC29" t="s">
        <v>1250</v>
      </c>
      <c r="AD29" t="s">
        <v>1018</v>
      </c>
      <c r="AE29" t="s">
        <v>931</v>
      </c>
      <c r="AF29" t="s">
        <v>931</v>
      </c>
    </row>
    <row r="30" spans="1:32" x14ac:dyDescent="0.2">
      <c r="A30" t="s">
        <v>1123</v>
      </c>
      <c r="B30" t="s">
        <v>128</v>
      </c>
      <c r="C30" t="s">
        <v>128</v>
      </c>
      <c r="D30" t="s">
        <v>101</v>
      </c>
      <c r="E30" t="s">
        <v>997</v>
      </c>
      <c r="F30" t="s">
        <v>935</v>
      </c>
      <c r="G30" t="s">
        <v>931</v>
      </c>
      <c r="H30" t="s">
        <v>931</v>
      </c>
      <c r="I30" t="s">
        <v>958</v>
      </c>
      <c r="J30" t="s">
        <v>965</v>
      </c>
      <c r="K30" t="s">
        <v>1134</v>
      </c>
      <c r="L30" t="s">
        <v>1223</v>
      </c>
      <c r="M30" t="s">
        <v>1251</v>
      </c>
      <c r="N30" t="s">
        <v>992</v>
      </c>
      <c r="O30" t="s">
        <v>995</v>
      </c>
      <c r="P30" t="s">
        <v>992</v>
      </c>
      <c r="Q30" t="s">
        <v>995</v>
      </c>
      <c r="R30" t="s">
        <v>1051</v>
      </c>
      <c r="S30" t="s">
        <v>1162</v>
      </c>
      <c r="T30" t="s">
        <v>1252</v>
      </c>
      <c r="U30" t="s">
        <v>1252</v>
      </c>
      <c r="V30" t="s">
        <v>946</v>
      </c>
      <c r="W30" t="s">
        <v>1253</v>
      </c>
      <c r="X30" t="s">
        <v>1254</v>
      </c>
      <c r="Z30" t="s">
        <v>951</v>
      </c>
      <c r="AA30" t="s">
        <v>957</v>
      </c>
      <c r="AB30" t="s">
        <v>1255</v>
      </c>
      <c r="AC30" t="s">
        <v>1255</v>
      </c>
      <c r="AD30" t="s">
        <v>1256</v>
      </c>
    </row>
    <row r="31" spans="1:32" x14ac:dyDescent="0.2">
      <c r="A31" t="s">
        <v>934</v>
      </c>
      <c r="B31" t="s">
        <v>155</v>
      </c>
      <c r="C31" t="s">
        <v>155</v>
      </c>
      <c r="D31" t="s">
        <v>1257</v>
      </c>
      <c r="E31" t="s">
        <v>1010</v>
      </c>
      <c r="F31" t="s">
        <v>935</v>
      </c>
      <c r="G31" t="s">
        <v>931</v>
      </c>
      <c r="H31" t="s">
        <v>931</v>
      </c>
      <c r="I31" t="s">
        <v>936</v>
      </c>
      <c r="J31" t="s">
        <v>1066</v>
      </c>
      <c r="K31" t="s">
        <v>1032</v>
      </c>
      <c r="L31" t="s">
        <v>1258</v>
      </c>
      <c r="M31" t="s">
        <v>1259</v>
      </c>
      <c r="N31" t="s">
        <v>1009</v>
      </c>
      <c r="O31" t="s">
        <v>1260</v>
      </c>
      <c r="P31" t="s">
        <v>992</v>
      </c>
      <c r="Q31" t="s">
        <v>995</v>
      </c>
      <c r="R31" t="s">
        <v>1064</v>
      </c>
      <c r="S31" t="s">
        <v>1261</v>
      </c>
      <c r="T31" t="s">
        <v>988</v>
      </c>
      <c r="U31" t="s">
        <v>1217</v>
      </c>
      <c r="V31" t="s">
        <v>1262</v>
      </c>
      <c r="W31" t="s">
        <v>1263</v>
      </c>
      <c r="X31" t="s">
        <v>1264</v>
      </c>
      <c r="Z31" t="s">
        <v>992</v>
      </c>
      <c r="AA31" t="s">
        <v>992</v>
      </c>
      <c r="AB31" t="s">
        <v>1265</v>
      </c>
      <c r="AC31" t="s">
        <v>1266</v>
      </c>
      <c r="AD31" t="s">
        <v>995</v>
      </c>
    </row>
    <row r="32" spans="1:32" x14ac:dyDescent="0.2">
      <c r="A32" t="s">
        <v>966</v>
      </c>
      <c r="B32" t="s">
        <v>103</v>
      </c>
      <c r="C32" t="s">
        <v>103</v>
      </c>
      <c r="D32" t="s">
        <v>1267</v>
      </c>
      <c r="E32" t="s">
        <v>1011</v>
      </c>
      <c r="F32" t="s">
        <v>935</v>
      </c>
      <c r="G32" t="s">
        <v>931</v>
      </c>
      <c r="H32" t="s">
        <v>931</v>
      </c>
      <c r="I32" t="s">
        <v>958</v>
      </c>
      <c r="J32" t="s">
        <v>1002</v>
      </c>
      <c r="K32" t="s">
        <v>957</v>
      </c>
      <c r="L32" t="s">
        <v>1268</v>
      </c>
      <c r="M32" t="s">
        <v>1269</v>
      </c>
      <c r="N32" t="s">
        <v>992</v>
      </c>
      <c r="O32" t="s">
        <v>995</v>
      </c>
      <c r="P32" t="s">
        <v>941</v>
      </c>
      <c r="Q32" t="s">
        <v>1270</v>
      </c>
      <c r="R32" t="s">
        <v>1027</v>
      </c>
      <c r="S32" t="s">
        <v>966</v>
      </c>
      <c r="T32" t="s">
        <v>1271</v>
      </c>
      <c r="U32" t="s">
        <v>1272</v>
      </c>
      <c r="V32" t="s">
        <v>1020</v>
      </c>
      <c r="W32" t="s">
        <v>1273</v>
      </c>
      <c r="X32" t="s">
        <v>1274</v>
      </c>
      <c r="Z32" t="s">
        <v>931</v>
      </c>
      <c r="AA32" t="s">
        <v>1086</v>
      </c>
      <c r="AB32" t="s">
        <v>1275</v>
      </c>
      <c r="AC32" t="s">
        <v>1276</v>
      </c>
      <c r="AD32" t="s">
        <v>1277</v>
      </c>
    </row>
    <row r="33" spans="1:30" x14ac:dyDescent="0.2">
      <c r="A33" t="s">
        <v>978</v>
      </c>
      <c r="B33" t="s">
        <v>167</v>
      </c>
      <c r="C33" t="s">
        <v>167</v>
      </c>
      <c r="D33" t="s">
        <v>119</v>
      </c>
      <c r="E33" t="s">
        <v>957</v>
      </c>
      <c r="G33" t="s">
        <v>931</v>
      </c>
      <c r="H33" t="s">
        <v>992</v>
      </c>
      <c r="J33" t="s">
        <v>1086</v>
      </c>
      <c r="K33" t="s">
        <v>1002</v>
      </c>
      <c r="L33" t="s">
        <v>1278</v>
      </c>
      <c r="M33" t="s">
        <v>1279</v>
      </c>
      <c r="N33" t="s">
        <v>931</v>
      </c>
      <c r="O33" t="s">
        <v>1074</v>
      </c>
      <c r="P33" t="s">
        <v>992</v>
      </c>
      <c r="Q33" t="s">
        <v>995</v>
      </c>
      <c r="R33" t="s">
        <v>1027</v>
      </c>
      <c r="S33" t="s">
        <v>937</v>
      </c>
      <c r="T33" t="s">
        <v>1280</v>
      </c>
      <c r="U33" t="s">
        <v>1281</v>
      </c>
      <c r="V33" t="s">
        <v>1180</v>
      </c>
      <c r="W33" t="s">
        <v>1282</v>
      </c>
      <c r="X33" t="s">
        <v>1283</v>
      </c>
      <c r="Z33" t="s">
        <v>992</v>
      </c>
      <c r="AA33" t="s">
        <v>992</v>
      </c>
      <c r="AB33" t="s">
        <v>1284</v>
      </c>
      <c r="AC33" t="s">
        <v>1285</v>
      </c>
      <c r="AD33" t="s">
        <v>995</v>
      </c>
    </row>
    <row r="34" spans="1:30" x14ac:dyDescent="0.2">
      <c r="A34" t="s">
        <v>996</v>
      </c>
      <c r="B34" t="s">
        <v>195</v>
      </c>
      <c r="C34" t="s">
        <v>195</v>
      </c>
      <c r="D34" t="s">
        <v>1267</v>
      </c>
      <c r="E34" t="s">
        <v>1028</v>
      </c>
      <c r="G34" t="s">
        <v>931</v>
      </c>
      <c r="H34" t="s">
        <v>992</v>
      </c>
      <c r="J34" t="s">
        <v>1009</v>
      </c>
      <c r="K34" t="s">
        <v>1039</v>
      </c>
      <c r="L34" t="s">
        <v>1286</v>
      </c>
      <c r="M34" t="s">
        <v>1287</v>
      </c>
      <c r="N34" t="s">
        <v>992</v>
      </c>
      <c r="O34" t="s">
        <v>995</v>
      </c>
      <c r="P34" t="s">
        <v>992</v>
      </c>
      <c r="Q34" t="s">
        <v>995</v>
      </c>
      <c r="R34" t="s">
        <v>951</v>
      </c>
      <c r="S34" t="s">
        <v>978</v>
      </c>
      <c r="T34" t="s">
        <v>1128</v>
      </c>
      <c r="U34" t="s">
        <v>1128</v>
      </c>
      <c r="V34" t="s">
        <v>1288</v>
      </c>
      <c r="W34" t="s">
        <v>1089</v>
      </c>
      <c r="X34" t="s">
        <v>1289</v>
      </c>
      <c r="Z34" t="s">
        <v>931</v>
      </c>
      <c r="AA34" t="s">
        <v>982</v>
      </c>
      <c r="AB34" t="s">
        <v>1290</v>
      </c>
      <c r="AC34" t="s">
        <v>1290</v>
      </c>
      <c r="AD34" t="s">
        <v>1046</v>
      </c>
    </row>
    <row r="35" spans="1:30" x14ac:dyDescent="0.2">
      <c r="A35" t="s">
        <v>937</v>
      </c>
      <c r="B35" t="s">
        <v>166</v>
      </c>
      <c r="C35" t="s">
        <v>166</v>
      </c>
      <c r="D35" t="s">
        <v>119</v>
      </c>
      <c r="E35" t="s">
        <v>1124</v>
      </c>
      <c r="F35" t="s">
        <v>935</v>
      </c>
      <c r="G35" t="s">
        <v>931</v>
      </c>
      <c r="H35" t="s">
        <v>931</v>
      </c>
      <c r="I35" t="s">
        <v>958</v>
      </c>
      <c r="J35" t="s">
        <v>951</v>
      </c>
      <c r="K35" t="s">
        <v>1027</v>
      </c>
      <c r="L35" t="s">
        <v>1291</v>
      </c>
      <c r="M35" t="s">
        <v>1048</v>
      </c>
      <c r="N35" t="s">
        <v>992</v>
      </c>
      <c r="O35" t="s">
        <v>995</v>
      </c>
      <c r="P35" t="s">
        <v>992</v>
      </c>
      <c r="Q35" t="s">
        <v>995</v>
      </c>
      <c r="R35" t="s">
        <v>992</v>
      </c>
      <c r="S35" t="s">
        <v>1027</v>
      </c>
      <c r="T35" t="s">
        <v>1292</v>
      </c>
      <c r="U35" t="s">
        <v>1292</v>
      </c>
      <c r="V35" t="s">
        <v>1293</v>
      </c>
      <c r="W35" t="s">
        <v>1294</v>
      </c>
      <c r="X35" t="s">
        <v>1295</v>
      </c>
      <c r="Z35" t="s">
        <v>931</v>
      </c>
      <c r="AA35" t="s">
        <v>941</v>
      </c>
      <c r="AB35" t="s">
        <v>1296</v>
      </c>
      <c r="AC35" t="s">
        <v>1296</v>
      </c>
      <c r="AD35" t="s">
        <v>1297</v>
      </c>
    </row>
    <row r="36" spans="1:30" x14ac:dyDescent="0.2">
      <c r="A36" t="s">
        <v>1134</v>
      </c>
      <c r="B36" t="s">
        <v>104</v>
      </c>
      <c r="C36" t="s">
        <v>104</v>
      </c>
      <c r="D36" t="s">
        <v>73</v>
      </c>
      <c r="E36" t="s">
        <v>985</v>
      </c>
      <c r="F36" t="s">
        <v>1298</v>
      </c>
      <c r="G36" t="s">
        <v>931</v>
      </c>
      <c r="H36" t="s">
        <v>931</v>
      </c>
      <c r="J36" t="s">
        <v>931</v>
      </c>
      <c r="K36" t="s">
        <v>931</v>
      </c>
      <c r="L36" t="s">
        <v>1299</v>
      </c>
      <c r="M36" t="s">
        <v>1086</v>
      </c>
      <c r="N36" t="s">
        <v>992</v>
      </c>
      <c r="O36" t="s">
        <v>995</v>
      </c>
      <c r="P36" t="s">
        <v>992</v>
      </c>
      <c r="Q36" t="s">
        <v>995</v>
      </c>
      <c r="R36" t="s">
        <v>931</v>
      </c>
      <c r="S36" t="s">
        <v>1086</v>
      </c>
      <c r="T36" t="s">
        <v>1045</v>
      </c>
      <c r="U36" t="s">
        <v>1045</v>
      </c>
      <c r="V36" t="s">
        <v>1045</v>
      </c>
      <c r="W36" t="s">
        <v>1045</v>
      </c>
      <c r="X36" t="s">
        <v>1300</v>
      </c>
      <c r="Z36" t="s">
        <v>992</v>
      </c>
      <c r="AA36" t="s">
        <v>992</v>
      </c>
      <c r="AB36" t="s">
        <v>1301</v>
      </c>
      <c r="AC36" t="s">
        <v>1301</v>
      </c>
      <c r="AD36" t="s">
        <v>995</v>
      </c>
    </row>
    <row r="37" spans="1:30" x14ac:dyDescent="0.2">
      <c r="A37" t="s">
        <v>997</v>
      </c>
      <c r="B37" t="s">
        <v>1302</v>
      </c>
      <c r="C37" t="s">
        <v>1302</v>
      </c>
      <c r="D37" t="s">
        <v>727</v>
      </c>
      <c r="E37" t="s">
        <v>985</v>
      </c>
      <c r="G37" t="s">
        <v>931</v>
      </c>
      <c r="H37" t="s">
        <v>992</v>
      </c>
      <c r="J37" t="s">
        <v>941</v>
      </c>
      <c r="K37" t="s">
        <v>941</v>
      </c>
      <c r="L37" t="s">
        <v>1299</v>
      </c>
      <c r="M37" t="s">
        <v>1075</v>
      </c>
      <c r="N37" t="s">
        <v>992</v>
      </c>
      <c r="O37" t="s">
        <v>995</v>
      </c>
      <c r="P37" t="s">
        <v>992</v>
      </c>
      <c r="Q37" t="s">
        <v>995</v>
      </c>
      <c r="R37" t="s">
        <v>992</v>
      </c>
      <c r="S37" t="s">
        <v>1064</v>
      </c>
      <c r="T37" t="s">
        <v>1026</v>
      </c>
      <c r="U37" t="s">
        <v>1026</v>
      </c>
      <c r="V37" t="s">
        <v>1026</v>
      </c>
      <c r="W37" t="s">
        <v>1105</v>
      </c>
      <c r="X37" t="s">
        <v>1303</v>
      </c>
      <c r="Z37" t="s">
        <v>992</v>
      </c>
      <c r="AA37" t="s">
        <v>992</v>
      </c>
      <c r="AB37" t="s">
        <v>1304</v>
      </c>
      <c r="AC37" t="s">
        <v>1304</v>
      </c>
      <c r="AD37" t="s">
        <v>995</v>
      </c>
    </row>
    <row r="38" spans="1:30" x14ac:dyDescent="0.2">
      <c r="A38" t="s">
        <v>945</v>
      </c>
      <c r="B38" t="s">
        <v>1305</v>
      </c>
      <c r="C38" t="s">
        <v>1305</v>
      </c>
      <c r="D38" t="s">
        <v>77</v>
      </c>
      <c r="E38" t="s">
        <v>1123</v>
      </c>
      <c r="G38" t="s">
        <v>931</v>
      </c>
      <c r="H38" t="s">
        <v>992</v>
      </c>
      <c r="J38" t="s">
        <v>931</v>
      </c>
      <c r="K38" t="s">
        <v>931</v>
      </c>
      <c r="L38" t="s">
        <v>1299</v>
      </c>
      <c r="M38" t="s">
        <v>1027</v>
      </c>
      <c r="N38" t="s">
        <v>992</v>
      </c>
      <c r="O38" t="s">
        <v>995</v>
      </c>
      <c r="P38" t="s">
        <v>992</v>
      </c>
      <c r="Q38" t="s">
        <v>995</v>
      </c>
      <c r="R38" t="s">
        <v>931</v>
      </c>
      <c r="S38" t="s">
        <v>1027</v>
      </c>
      <c r="T38" t="s">
        <v>1306</v>
      </c>
      <c r="U38" t="s">
        <v>1306</v>
      </c>
      <c r="V38" t="s">
        <v>1306</v>
      </c>
      <c r="W38" t="s">
        <v>1306</v>
      </c>
      <c r="X38" t="s">
        <v>1307</v>
      </c>
      <c r="Z38" t="s">
        <v>992</v>
      </c>
      <c r="AA38" t="s">
        <v>992</v>
      </c>
      <c r="AB38" t="s">
        <v>1308</v>
      </c>
      <c r="AC38" t="s">
        <v>1308</v>
      </c>
      <c r="AD38" t="s">
        <v>995</v>
      </c>
    </row>
    <row r="39" spans="1:30" x14ac:dyDescent="0.2">
      <c r="A39" t="s">
        <v>1011</v>
      </c>
      <c r="B39" t="s">
        <v>181</v>
      </c>
      <c r="C39" t="s">
        <v>181</v>
      </c>
      <c r="D39" t="s">
        <v>1087</v>
      </c>
      <c r="E39" t="s">
        <v>965</v>
      </c>
      <c r="G39" t="s">
        <v>931</v>
      </c>
      <c r="H39" t="s">
        <v>992</v>
      </c>
      <c r="J39" t="s">
        <v>931</v>
      </c>
      <c r="K39" t="s">
        <v>931</v>
      </c>
      <c r="L39" t="s">
        <v>1299</v>
      </c>
      <c r="M39" t="s">
        <v>1009</v>
      </c>
      <c r="N39" t="s">
        <v>931</v>
      </c>
      <c r="O39" t="s">
        <v>1299</v>
      </c>
      <c r="P39" t="s">
        <v>992</v>
      </c>
      <c r="Q39" t="s">
        <v>995</v>
      </c>
      <c r="R39" t="s">
        <v>931</v>
      </c>
      <c r="S39" t="s">
        <v>1009</v>
      </c>
      <c r="T39" t="s">
        <v>1026</v>
      </c>
      <c r="U39" t="s">
        <v>1260</v>
      </c>
      <c r="V39" t="s">
        <v>1026</v>
      </c>
      <c r="W39" t="s">
        <v>1026</v>
      </c>
      <c r="X39" t="s">
        <v>1309</v>
      </c>
      <c r="Z39" t="s">
        <v>992</v>
      </c>
      <c r="AA39" t="s">
        <v>992</v>
      </c>
      <c r="AB39" t="s">
        <v>1304</v>
      </c>
      <c r="AC39" t="s">
        <v>1310</v>
      </c>
      <c r="AD39" t="s">
        <v>995</v>
      </c>
    </row>
    <row r="40" spans="1:30" x14ac:dyDescent="0.2">
      <c r="A40" t="s">
        <v>1124</v>
      </c>
      <c r="B40" t="s">
        <v>156</v>
      </c>
      <c r="C40" t="s">
        <v>156</v>
      </c>
      <c r="D40" t="s">
        <v>1257</v>
      </c>
      <c r="E40" t="s">
        <v>966</v>
      </c>
      <c r="G40" t="s">
        <v>931</v>
      </c>
      <c r="H40" t="s">
        <v>992</v>
      </c>
      <c r="J40" t="s">
        <v>931</v>
      </c>
      <c r="K40" t="s">
        <v>931</v>
      </c>
      <c r="L40" t="s">
        <v>1299</v>
      </c>
      <c r="M40" t="s">
        <v>951</v>
      </c>
      <c r="N40" t="s">
        <v>992</v>
      </c>
      <c r="O40" t="s">
        <v>995</v>
      </c>
      <c r="P40" t="s">
        <v>992</v>
      </c>
      <c r="Q40" t="s">
        <v>995</v>
      </c>
      <c r="R40" t="s">
        <v>931</v>
      </c>
      <c r="S40" t="s">
        <v>951</v>
      </c>
      <c r="T40" t="s">
        <v>1311</v>
      </c>
      <c r="U40" t="s">
        <v>1311</v>
      </c>
      <c r="V40" t="s">
        <v>1311</v>
      </c>
      <c r="W40" t="s">
        <v>1311</v>
      </c>
      <c r="X40" t="s">
        <v>1312</v>
      </c>
      <c r="Z40" t="s">
        <v>992</v>
      </c>
      <c r="AA40" t="s">
        <v>992</v>
      </c>
      <c r="AB40" t="s">
        <v>1313</v>
      </c>
      <c r="AC40" t="s">
        <v>1313</v>
      </c>
      <c r="AD40" t="s">
        <v>995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FC4CE-47C4-7D42-9679-99B0C95960A7}">
  <sheetPr codeName="Sheet9"/>
  <dimension ref="A1:AE120"/>
  <sheetViews>
    <sheetView workbookViewId="0">
      <selection activeCell="L24" sqref="L24"/>
    </sheetView>
  </sheetViews>
  <sheetFormatPr baseColWidth="10" defaultRowHeight="15" x14ac:dyDescent="0.2"/>
  <cols>
    <col min="1" max="1" width="4.1640625" bestFit="1" customWidth="1"/>
    <col min="2" max="2" width="17.5" bestFit="1" customWidth="1"/>
    <col min="3" max="3" width="4.83203125" bestFit="1" customWidth="1"/>
    <col min="4" max="4" width="4.6640625" bestFit="1" customWidth="1"/>
    <col min="5" max="5" width="4.5" bestFit="1" customWidth="1"/>
    <col min="6" max="6" width="3.1640625" bestFit="1" customWidth="1"/>
    <col min="7" max="7" width="3.6640625" bestFit="1" customWidth="1"/>
    <col min="8" max="8" width="7.5" bestFit="1" customWidth="1"/>
    <col min="9" max="9" width="5.33203125" bestFit="1" customWidth="1"/>
    <col min="10" max="10" width="4.1640625" bestFit="1" customWidth="1"/>
    <col min="11" max="11" width="7.1640625" bestFit="1" customWidth="1"/>
    <col min="12" max="12" width="5.1640625" bestFit="1" customWidth="1"/>
    <col min="13" max="13" width="3.6640625" bestFit="1" customWidth="1"/>
    <col min="14" max="14" width="5.5" bestFit="1" customWidth="1"/>
    <col min="15" max="15" width="3.5" bestFit="1" customWidth="1"/>
    <col min="16" max="16" width="5.33203125" bestFit="1" customWidth="1"/>
    <col min="17" max="17" width="4.1640625" bestFit="1" customWidth="1"/>
    <col min="18" max="18" width="4.6640625" bestFit="1" customWidth="1"/>
    <col min="19" max="19" width="5.1640625" bestFit="1" customWidth="1"/>
    <col min="20" max="20" width="5.6640625" bestFit="1" customWidth="1"/>
    <col min="21" max="21" width="5.1640625" bestFit="1" customWidth="1"/>
    <col min="22" max="23" width="6.1640625" bestFit="1" customWidth="1"/>
    <col min="24" max="24" width="5.33203125" bestFit="1" customWidth="1"/>
    <col min="25" max="25" width="3.33203125" bestFit="1" customWidth="1"/>
    <col min="26" max="26" width="4.5" bestFit="1" customWidth="1"/>
    <col min="27" max="27" width="5.1640625" bestFit="1" customWidth="1"/>
    <col min="28" max="28" width="6.1640625" bestFit="1" customWidth="1"/>
    <col min="29" max="29" width="7" bestFit="1" customWidth="1"/>
    <col min="30" max="30" width="5" bestFit="1" customWidth="1"/>
    <col min="31" max="31" width="5.5" bestFit="1" customWidth="1"/>
  </cols>
  <sheetData>
    <row r="1" spans="1:31" ht="18" x14ac:dyDescent="0.2">
      <c r="A1" s="93" t="s">
        <v>2306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</row>
    <row r="2" spans="1:31" x14ac:dyDescent="0.2">
      <c r="A2" s="89" t="s">
        <v>902</v>
      </c>
      <c r="B2" s="89" t="s">
        <v>903</v>
      </c>
      <c r="C2" s="89" t="s">
        <v>1314</v>
      </c>
      <c r="D2" s="89" t="s">
        <v>905</v>
      </c>
      <c r="E2" s="89" t="s">
        <v>906</v>
      </c>
      <c r="F2" s="89" t="s">
        <v>1315</v>
      </c>
      <c r="G2" s="89" t="s">
        <v>1316</v>
      </c>
      <c r="H2" s="89" t="s">
        <v>1317</v>
      </c>
      <c r="I2" s="89" t="s">
        <v>1318</v>
      </c>
      <c r="J2" s="89" t="s">
        <v>1319</v>
      </c>
      <c r="K2" s="89" t="s">
        <v>1320</v>
      </c>
      <c r="L2" s="89" t="s">
        <v>799</v>
      </c>
      <c r="M2" s="89" t="s">
        <v>800</v>
      </c>
      <c r="N2" s="89" t="s">
        <v>913</v>
      </c>
      <c r="O2" s="89" t="s">
        <v>914</v>
      </c>
      <c r="P2" s="89" t="s">
        <v>915</v>
      </c>
      <c r="Q2" s="89" t="s">
        <v>1321</v>
      </c>
      <c r="R2" s="89" t="s">
        <v>917</v>
      </c>
      <c r="S2" s="89" t="s">
        <v>1322</v>
      </c>
      <c r="T2" s="89" t="s">
        <v>1323</v>
      </c>
      <c r="U2" s="89" t="s">
        <v>1324</v>
      </c>
      <c r="V2" s="89" t="s">
        <v>1325</v>
      </c>
      <c r="W2" s="89" t="s">
        <v>1326</v>
      </c>
      <c r="X2" s="89" t="s">
        <v>923</v>
      </c>
      <c r="Y2" s="89" t="s">
        <v>1327</v>
      </c>
      <c r="Z2" s="89" t="s">
        <v>799</v>
      </c>
      <c r="AA2" s="89" t="s">
        <v>928</v>
      </c>
      <c r="AB2" s="89" t="s">
        <v>1329</v>
      </c>
      <c r="AC2" s="89" t="s">
        <v>1330</v>
      </c>
      <c r="AD2" s="89" t="s">
        <v>929</v>
      </c>
      <c r="AE2" s="89" t="s">
        <v>930</v>
      </c>
    </row>
    <row r="3" spans="1:31" ht="16" x14ac:dyDescent="0.2">
      <c r="A3" s="89">
        <v>1</v>
      </c>
      <c r="B3" s="84" t="s">
        <v>2640</v>
      </c>
      <c r="C3" s="84" t="s">
        <v>976</v>
      </c>
      <c r="D3" s="83">
        <v>44</v>
      </c>
      <c r="E3" s="83" t="s">
        <v>79</v>
      </c>
      <c r="F3" s="83">
        <v>17</v>
      </c>
      <c r="G3" s="83">
        <v>17</v>
      </c>
      <c r="H3" s="83" t="s">
        <v>3083</v>
      </c>
      <c r="I3" s="83">
        <v>485</v>
      </c>
      <c r="J3" s="83">
        <v>719</v>
      </c>
      <c r="K3" s="83">
        <v>67.5</v>
      </c>
      <c r="L3" s="83">
        <v>5316</v>
      </c>
      <c r="M3" s="83">
        <v>43</v>
      </c>
      <c r="N3" s="83">
        <v>6</v>
      </c>
      <c r="O3" s="83">
        <v>12</v>
      </c>
      <c r="P3" s="83">
        <v>1.7</v>
      </c>
      <c r="Q3" s="83">
        <v>269</v>
      </c>
      <c r="R3" s="83">
        <v>62</v>
      </c>
      <c r="S3" s="83">
        <v>7.4</v>
      </c>
      <c r="T3" s="83">
        <v>7.8</v>
      </c>
      <c r="U3" s="83">
        <v>11</v>
      </c>
      <c r="V3" s="83">
        <v>312.7</v>
      </c>
      <c r="W3" s="83">
        <v>102.1</v>
      </c>
      <c r="X3" s="83">
        <v>68.099999999999994</v>
      </c>
      <c r="Y3" s="83">
        <v>22</v>
      </c>
      <c r="Z3" s="83">
        <v>144</v>
      </c>
      <c r="AA3" s="83">
        <v>3</v>
      </c>
      <c r="AB3" s="83">
        <v>6.98</v>
      </c>
      <c r="AC3" s="83">
        <v>7.41</v>
      </c>
      <c r="AD3" s="83">
        <v>3</v>
      </c>
      <c r="AE3" s="83">
        <v>5</v>
      </c>
    </row>
    <row r="4" spans="1:31" ht="16" x14ac:dyDescent="0.2">
      <c r="A4" s="89">
        <v>2</v>
      </c>
      <c r="B4" s="84" t="s">
        <v>2641</v>
      </c>
      <c r="C4" s="84" t="s">
        <v>118</v>
      </c>
      <c r="D4" s="83">
        <v>23</v>
      </c>
      <c r="E4" s="83" t="s">
        <v>79</v>
      </c>
      <c r="F4" s="83">
        <v>17</v>
      </c>
      <c r="G4" s="83">
        <v>17</v>
      </c>
      <c r="H4" s="85">
        <v>36777</v>
      </c>
      <c r="I4" s="83">
        <v>443</v>
      </c>
      <c r="J4" s="83">
        <v>672</v>
      </c>
      <c r="K4" s="83">
        <v>65.900000000000006</v>
      </c>
      <c r="L4" s="83">
        <v>5014</v>
      </c>
      <c r="M4" s="83">
        <v>38</v>
      </c>
      <c r="N4" s="83">
        <v>5.7</v>
      </c>
      <c r="O4" s="83">
        <v>15</v>
      </c>
      <c r="P4" s="83">
        <v>2.2000000000000002</v>
      </c>
      <c r="Q4" s="83">
        <v>256</v>
      </c>
      <c r="R4" s="83">
        <v>72</v>
      </c>
      <c r="S4" s="83">
        <v>7.5</v>
      </c>
      <c r="T4" s="83">
        <v>7.6</v>
      </c>
      <c r="U4" s="83">
        <v>11.3</v>
      </c>
      <c r="V4" s="83">
        <v>294.89999999999998</v>
      </c>
      <c r="W4" s="83">
        <v>97.7</v>
      </c>
      <c r="X4" s="83">
        <v>65.599999999999994</v>
      </c>
      <c r="Y4" s="83">
        <v>31</v>
      </c>
      <c r="Z4" s="83">
        <v>214</v>
      </c>
      <c r="AA4" s="83">
        <v>4.4000000000000004</v>
      </c>
      <c r="AB4" s="83">
        <v>6.83</v>
      </c>
      <c r="AC4" s="83">
        <v>6.95</v>
      </c>
      <c r="AD4" s="83">
        <v>5</v>
      </c>
      <c r="AE4" s="83">
        <v>5</v>
      </c>
    </row>
    <row r="5" spans="1:31" ht="16" x14ac:dyDescent="0.2">
      <c r="A5" s="89">
        <v>3</v>
      </c>
      <c r="B5" s="84" t="s">
        <v>1076</v>
      </c>
      <c r="C5" s="84" t="s">
        <v>730</v>
      </c>
      <c r="D5" s="83">
        <v>33</v>
      </c>
      <c r="E5" s="83" t="s">
        <v>79</v>
      </c>
      <c r="F5" s="83">
        <v>17</v>
      </c>
      <c r="G5" s="83">
        <v>17</v>
      </c>
      <c r="H5" s="85">
        <v>36865</v>
      </c>
      <c r="I5" s="83">
        <v>404</v>
      </c>
      <c r="J5" s="83">
        <v>601</v>
      </c>
      <c r="K5" s="83">
        <v>67.2</v>
      </c>
      <c r="L5" s="83">
        <v>4886</v>
      </c>
      <c r="M5" s="83">
        <v>41</v>
      </c>
      <c r="N5" s="83">
        <v>6.8</v>
      </c>
      <c r="O5" s="83">
        <v>17</v>
      </c>
      <c r="P5" s="83">
        <v>2.8</v>
      </c>
      <c r="Q5" s="83">
        <v>233</v>
      </c>
      <c r="R5" s="83">
        <v>79</v>
      </c>
      <c r="S5" s="83">
        <v>8.1</v>
      </c>
      <c r="T5" s="83">
        <v>8.1999999999999993</v>
      </c>
      <c r="U5" s="83">
        <v>12.1</v>
      </c>
      <c r="V5" s="83">
        <v>287.39999999999998</v>
      </c>
      <c r="W5" s="83">
        <v>102.9</v>
      </c>
      <c r="X5" s="83">
        <v>63.8</v>
      </c>
      <c r="Y5" s="83">
        <v>30</v>
      </c>
      <c r="Z5" s="83">
        <v>243</v>
      </c>
      <c r="AA5" s="83">
        <v>4.8</v>
      </c>
      <c r="AB5" s="83">
        <v>7.36</v>
      </c>
      <c r="AC5" s="83">
        <v>7.45</v>
      </c>
      <c r="AD5" s="83">
        <v>3</v>
      </c>
      <c r="AE5" s="83">
        <v>4</v>
      </c>
    </row>
    <row r="6" spans="1:31" ht="16" x14ac:dyDescent="0.2">
      <c r="A6" s="89">
        <v>4</v>
      </c>
      <c r="B6" s="84" t="s">
        <v>1335</v>
      </c>
      <c r="C6" s="84" t="s">
        <v>1040</v>
      </c>
      <c r="D6" s="83">
        <v>26</v>
      </c>
      <c r="E6" s="83" t="s">
        <v>79</v>
      </c>
      <c r="F6" s="83">
        <v>17</v>
      </c>
      <c r="G6" s="83">
        <v>17</v>
      </c>
      <c r="H6" s="85">
        <v>36865</v>
      </c>
      <c r="I6" s="83">
        <v>436</v>
      </c>
      <c r="J6" s="83">
        <v>658</v>
      </c>
      <c r="K6" s="83">
        <v>66.3</v>
      </c>
      <c r="L6" s="83">
        <v>4839</v>
      </c>
      <c r="M6" s="83">
        <v>37</v>
      </c>
      <c r="N6" s="83">
        <v>5.6</v>
      </c>
      <c r="O6" s="83">
        <v>13</v>
      </c>
      <c r="P6" s="83">
        <v>2</v>
      </c>
      <c r="Q6" s="83">
        <v>260</v>
      </c>
      <c r="R6" s="83">
        <v>75</v>
      </c>
      <c r="S6" s="83">
        <v>7.4</v>
      </c>
      <c r="T6" s="83">
        <v>7.6</v>
      </c>
      <c r="U6" s="83">
        <v>11.1</v>
      </c>
      <c r="V6" s="83">
        <v>284.60000000000002</v>
      </c>
      <c r="W6" s="83">
        <v>98.5</v>
      </c>
      <c r="X6" s="83">
        <v>62.2</v>
      </c>
      <c r="Y6" s="83">
        <v>28</v>
      </c>
      <c r="Z6" s="83">
        <v>146</v>
      </c>
      <c r="AA6" s="83">
        <v>4.0999999999999996</v>
      </c>
      <c r="AB6" s="83">
        <v>6.84</v>
      </c>
      <c r="AC6" s="83">
        <v>7.07</v>
      </c>
      <c r="AD6" s="83">
        <v>3</v>
      </c>
      <c r="AE6" s="83">
        <v>3</v>
      </c>
    </row>
    <row r="7" spans="1:31" ht="16" x14ac:dyDescent="0.2">
      <c r="A7" s="89">
        <v>5</v>
      </c>
      <c r="B7" s="84" t="s">
        <v>932</v>
      </c>
      <c r="C7" s="84" t="s">
        <v>933</v>
      </c>
      <c r="D7" s="83">
        <v>30</v>
      </c>
      <c r="E7" s="83" t="s">
        <v>79</v>
      </c>
      <c r="F7" s="83">
        <v>17</v>
      </c>
      <c r="G7" s="83">
        <v>17</v>
      </c>
      <c r="H7" s="85">
        <v>36806</v>
      </c>
      <c r="I7" s="83">
        <v>428</v>
      </c>
      <c r="J7" s="83">
        <v>626</v>
      </c>
      <c r="K7" s="83">
        <v>68.400000000000006</v>
      </c>
      <c r="L7" s="83">
        <v>4804</v>
      </c>
      <c r="M7" s="83">
        <v>23</v>
      </c>
      <c r="N7" s="83">
        <v>3.7</v>
      </c>
      <c r="O7" s="83">
        <v>14</v>
      </c>
      <c r="P7" s="83">
        <v>2.2000000000000002</v>
      </c>
      <c r="Q7" s="83">
        <v>217</v>
      </c>
      <c r="R7" s="83">
        <v>61</v>
      </c>
      <c r="S7" s="83">
        <v>7.7</v>
      </c>
      <c r="T7" s="83">
        <v>7.4</v>
      </c>
      <c r="U7" s="83">
        <v>11.2</v>
      </c>
      <c r="V7" s="83">
        <v>282.60000000000002</v>
      </c>
      <c r="W7" s="83">
        <v>94</v>
      </c>
      <c r="X7" s="83">
        <v>52.4</v>
      </c>
      <c r="Y7" s="83">
        <v>40</v>
      </c>
      <c r="Z7" s="83">
        <v>241</v>
      </c>
      <c r="AA7" s="83">
        <v>6</v>
      </c>
      <c r="AB7" s="83">
        <v>6.85</v>
      </c>
      <c r="AC7" s="83">
        <v>6.6</v>
      </c>
      <c r="AD7" s="83">
        <v>3</v>
      </c>
      <c r="AE7" s="83">
        <v>6</v>
      </c>
    </row>
    <row r="8" spans="1:31" ht="16" x14ac:dyDescent="0.2">
      <c r="A8" s="89">
        <v>6</v>
      </c>
      <c r="B8" s="84" t="s">
        <v>132</v>
      </c>
      <c r="C8" s="84" t="s">
        <v>74</v>
      </c>
      <c r="D8" s="83">
        <v>25</v>
      </c>
      <c r="E8" s="83" t="s">
        <v>79</v>
      </c>
      <c r="F8" s="83">
        <v>16</v>
      </c>
      <c r="G8" s="83">
        <v>16</v>
      </c>
      <c r="H8" s="85">
        <v>36805</v>
      </c>
      <c r="I8" s="83">
        <v>366</v>
      </c>
      <c r="J8" s="83">
        <v>520</v>
      </c>
      <c r="K8" s="83">
        <v>70.400000000000006</v>
      </c>
      <c r="L8" s="83">
        <v>4611</v>
      </c>
      <c r="M8" s="83">
        <v>34</v>
      </c>
      <c r="N8" s="83">
        <v>6.5</v>
      </c>
      <c r="O8" s="83">
        <v>14</v>
      </c>
      <c r="P8" s="83">
        <v>2.7</v>
      </c>
      <c r="Q8" s="83">
        <v>202</v>
      </c>
      <c r="R8" s="83">
        <v>82</v>
      </c>
      <c r="S8" s="83">
        <v>8.9</v>
      </c>
      <c r="T8" s="83">
        <v>9</v>
      </c>
      <c r="U8" s="83">
        <v>12.6</v>
      </c>
      <c r="V8" s="83">
        <v>288.2</v>
      </c>
      <c r="W8" s="83">
        <v>108.3</v>
      </c>
      <c r="X8" s="83">
        <v>54.3</v>
      </c>
      <c r="Y8" s="83">
        <v>51</v>
      </c>
      <c r="Z8" s="83">
        <v>370</v>
      </c>
      <c r="AA8" s="83">
        <v>8.9</v>
      </c>
      <c r="AB8" s="83">
        <v>7.43</v>
      </c>
      <c r="AC8" s="83">
        <v>7.51</v>
      </c>
      <c r="AD8" s="83">
        <v>2</v>
      </c>
      <c r="AE8" s="83">
        <v>3</v>
      </c>
    </row>
    <row r="9" spans="1:31" ht="16" x14ac:dyDescent="0.2">
      <c r="A9" s="89">
        <v>7</v>
      </c>
      <c r="B9" s="84" t="s">
        <v>956</v>
      </c>
      <c r="C9" s="84" t="s">
        <v>729</v>
      </c>
      <c r="D9" s="83">
        <v>28</v>
      </c>
      <c r="E9" s="83" t="s">
        <v>79</v>
      </c>
      <c r="F9" s="83">
        <v>16</v>
      </c>
      <c r="G9" s="83">
        <v>16</v>
      </c>
      <c r="H9" s="85">
        <v>36835</v>
      </c>
      <c r="I9" s="83">
        <v>410</v>
      </c>
      <c r="J9" s="83">
        <v>596</v>
      </c>
      <c r="K9" s="83">
        <v>68.8</v>
      </c>
      <c r="L9" s="83">
        <v>4449</v>
      </c>
      <c r="M9" s="83">
        <v>37</v>
      </c>
      <c r="N9" s="83">
        <v>6.2</v>
      </c>
      <c r="O9" s="83">
        <v>10</v>
      </c>
      <c r="P9" s="83">
        <v>1.7</v>
      </c>
      <c r="Q9" s="83">
        <v>227</v>
      </c>
      <c r="R9" s="83">
        <v>51</v>
      </c>
      <c r="S9" s="83">
        <v>7.5</v>
      </c>
      <c r="T9" s="83">
        <v>8</v>
      </c>
      <c r="U9" s="83">
        <v>10.9</v>
      </c>
      <c r="V9" s="83">
        <v>278.10000000000002</v>
      </c>
      <c r="W9" s="83">
        <v>104.2</v>
      </c>
      <c r="X9" s="83">
        <v>54.6</v>
      </c>
      <c r="Y9" s="83">
        <v>30</v>
      </c>
      <c r="Z9" s="83">
        <v>144</v>
      </c>
      <c r="AA9" s="83">
        <v>4.8</v>
      </c>
      <c r="AB9" s="83">
        <v>6.88</v>
      </c>
      <c r="AC9" s="83">
        <v>7.34</v>
      </c>
      <c r="AD9" s="83">
        <v>1</v>
      </c>
      <c r="AE9" s="83">
        <v>2</v>
      </c>
    </row>
    <row r="10" spans="1:31" ht="16" x14ac:dyDescent="0.2">
      <c r="A10" s="89">
        <v>8</v>
      </c>
      <c r="B10" s="84" t="s">
        <v>97</v>
      </c>
      <c r="C10" s="84" t="s">
        <v>98</v>
      </c>
      <c r="D10" s="83">
        <v>25</v>
      </c>
      <c r="E10" s="83" t="s">
        <v>79</v>
      </c>
      <c r="F10" s="83">
        <v>17</v>
      </c>
      <c r="G10" s="83">
        <v>17</v>
      </c>
      <c r="H10" s="85">
        <v>36836</v>
      </c>
      <c r="I10" s="83">
        <v>409</v>
      </c>
      <c r="J10" s="83">
        <v>646</v>
      </c>
      <c r="K10" s="83">
        <v>63.3</v>
      </c>
      <c r="L10" s="83">
        <v>4407</v>
      </c>
      <c r="M10" s="83">
        <v>36</v>
      </c>
      <c r="N10" s="83">
        <v>5.6</v>
      </c>
      <c r="O10" s="83">
        <v>15</v>
      </c>
      <c r="P10" s="83">
        <v>2.2999999999999998</v>
      </c>
      <c r="Q10" s="83">
        <v>234</v>
      </c>
      <c r="R10" s="83">
        <v>61</v>
      </c>
      <c r="S10" s="83">
        <v>6.8</v>
      </c>
      <c r="T10" s="83">
        <v>6.9</v>
      </c>
      <c r="U10" s="83">
        <v>10.8</v>
      </c>
      <c r="V10" s="83">
        <v>259.2</v>
      </c>
      <c r="W10" s="83">
        <v>92.2</v>
      </c>
      <c r="X10" s="83">
        <v>60.7</v>
      </c>
      <c r="Y10" s="83">
        <v>26</v>
      </c>
      <c r="Z10" s="83">
        <v>164</v>
      </c>
      <c r="AA10" s="83">
        <v>3.9</v>
      </c>
      <c r="AB10" s="83">
        <v>6.31</v>
      </c>
      <c r="AC10" s="83">
        <v>6.38</v>
      </c>
      <c r="AD10" s="83"/>
      <c r="AE10" s="83"/>
    </row>
    <row r="11" spans="1:31" ht="16" x14ac:dyDescent="0.2">
      <c r="A11" s="89">
        <v>9</v>
      </c>
      <c r="B11" s="84" t="s">
        <v>3093</v>
      </c>
      <c r="C11" s="84" t="s">
        <v>73</v>
      </c>
      <c r="D11" s="83">
        <v>33</v>
      </c>
      <c r="E11" s="83" t="s">
        <v>79</v>
      </c>
      <c r="F11" s="83">
        <v>16</v>
      </c>
      <c r="G11" s="83">
        <v>16</v>
      </c>
      <c r="H11" s="85">
        <v>36746</v>
      </c>
      <c r="I11" s="83">
        <v>372</v>
      </c>
      <c r="J11" s="83">
        <v>561</v>
      </c>
      <c r="K11" s="83">
        <v>66.3</v>
      </c>
      <c r="L11" s="83">
        <v>4221</v>
      </c>
      <c r="M11" s="83">
        <v>33</v>
      </c>
      <c r="N11" s="83">
        <v>5.9</v>
      </c>
      <c r="O11" s="83">
        <v>7</v>
      </c>
      <c r="P11" s="83">
        <v>1.2</v>
      </c>
      <c r="Q11" s="83">
        <v>192</v>
      </c>
      <c r="R11" s="83">
        <v>64</v>
      </c>
      <c r="S11" s="83">
        <v>7.5</v>
      </c>
      <c r="T11" s="83">
        <v>8.1</v>
      </c>
      <c r="U11" s="83">
        <v>11.3</v>
      </c>
      <c r="V11" s="83">
        <v>263.8</v>
      </c>
      <c r="W11" s="83">
        <v>103.1</v>
      </c>
      <c r="X11" s="83">
        <v>52.3</v>
      </c>
      <c r="Y11" s="83">
        <v>28</v>
      </c>
      <c r="Z11" s="83">
        <v>197</v>
      </c>
      <c r="AA11" s="83">
        <v>4.8</v>
      </c>
      <c r="AB11" s="83">
        <v>6.83</v>
      </c>
      <c r="AC11" s="83">
        <v>7.42</v>
      </c>
      <c r="AD11" s="83">
        <v>3</v>
      </c>
      <c r="AE11" s="83">
        <v>4</v>
      </c>
    </row>
    <row r="12" spans="1:31" ht="16" x14ac:dyDescent="0.2">
      <c r="A12" s="89">
        <v>10</v>
      </c>
      <c r="B12" s="84" t="s">
        <v>1347</v>
      </c>
      <c r="C12" s="84" t="s">
        <v>1267</v>
      </c>
      <c r="D12" s="83">
        <v>38</v>
      </c>
      <c r="E12" s="83" t="s">
        <v>79</v>
      </c>
      <c r="F12" s="83">
        <v>16</v>
      </c>
      <c r="G12" s="83">
        <v>16</v>
      </c>
      <c r="H12" s="83" t="s">
        <v>1338</v>
      </c>
      <c r="I12" s="83">
        <v>366</v>
      </c>
      <c r="J12" s="83">
        <v>531</v>
      </c>
      <c r="K12" s="83">
        <v>68.900000000000006</v>
      </c>
      <c r="L12" s="83">
        <v>4115</v>
      </c>
      <c r="M12" s="83">
        <v>37</v>
      </c>
      <c r="N12" s="83">
        <v>7</v>
      </c>
      <c r="O12" s="83">
        <v>4</v>
      </c>
      <c r="P12" s="83">
        <v>0.8</v>
      </c>
      <c r="Q12" s="83">
        <v>213</v>
      </c>
      <c r="R12" s="83">
        <v>75</v>
      </c>
      <c r="S12" s="83">
        <v>7.7</v>
      </c>
      <c r="T12" s="83">
        <v>8.8000000000000007</v>
      </c>
      <c r="U12" s="83">
        <v>11.2</v>
      </c>
      <c r="V12" s="83">
        <v>257.2</v>
      </c>
      <c r="W12" s="83">
        <v>111.9</v>
      </c>
      <c r="X12" s="83">
        <v>69.099999999999994</v>
      </c>
      <c r="Y12" s="83">
        <v>30</v>
      </c>
      <c r="Z12" s="83">
        <v>188</v>
      </c>
      <c r="AA12" s="83">
        <v>5.3</v>
      </c>
      <c r="AB12" s="83">
        <v>7</v>
      </c>
      <c r="AC12" s="83">
        <v>8</v>
      </c>
      <c r="AD12" s="83">
        <v>1</v>
      </c>
      <c r="AE12" s="83">
        <v>2</v>
      </c>
    </row>
    <row r="13" spans="1:31" ht="16" x14ac:dyDescent="0.2">
      <c r="A13" s="89">
        <v>11</v>
      </c>
      <c r="B13" s="84" t="s">
        <v>128</v>
      </c>
      <c r="C13" s="84" t="s">
        <v>101</v>
      </c>
      <c r="D13" s="83">
        <v>36</v>
      </c>
      <c r="E13" s="83" t="s">
        <v>79</v>
      </c>
      <c r="F13" s="83">
        <v>17</v>
      </c>
      <c r="G13" s="83">
        <v>17</v>
      </c>
      <c r="H13" s="85">
        <v>36717</v>
      </c>
      <c r="I13" s="83">
        <v>375</v>
      </c>
      <c r="J13" s="83">
        <v>560</v>
      </c>
      <c r="K13" s="83">
        <v>67</v>
      </c>
      <c r="L13" s="83">
        <v>3968</v>
      </c>
      <c r="M13" s="83">
        <v>20</v>
      </c>
      <c r="N13" s="83">
        <v>3.6</v>
      </c>
      <c r="O13" s="83">
        <v>12</v>
      </c>
      <c r="P13" s="83">
        <v>2.1</v>
      </c>
      <c r="Q13" s="83">
        <v>195</v>
      </c>
      <c r="R13" s="83">
        <v>64</v>
      </c>
      <c r="S13" s="83">
        <v>7.1</v>
      </c>
      <c r="T13" s="83">
        <v>6.8</v>
      </c>
      <c r="U13" s="83">
        <v>10.6</v>
      </c>
      <c r="V13" s="83">
        <v>233.4</v>
      </c>
      <c r="W13" s="83">
        <v>90.4</v>
      </c>
      <c r="X13" s="83">
        <v>46.1</v>
      </c>
      <c r="Y13" s="83">
        <v>40</v>
      </c>
      <c r="Z13" s="83">
        <v>274</v>
      </c>
      <c r="AA13" s="83">
        <v>6.7</v>
      </c>
      <c r="AB13" s="83">
        <v>6.16</v>
      </c>
      <c r="AC13" s="83">
        <v>5.92</v>
      </c>
      <c r="AD13" s="83">
        <v>3</v>
      </c>
      <c r="AE13" s="83">
        <v>4</v>
      </c>
    </row>
    <row r="14" spans="1:31" ht="16" x14ac:dyDescent="0.2">
      <c r="A14" s="89">
        <v>12</v>
      </c>
      <c r="B14" s="84" t="s">
        <v>148</v>
      </c>
      <c r="C14" s="84" t="s">
        <v>1087</v>
      </c>
      <c r="D14" s="83">
        <v>30</v>
      </c>
      <c r="E14" s="83" t="s">
        <v>79</v>
      </c>
      <c r="F14" s="83">
        <v>15</v>
      </c>
      <c r="G14" s="83">
        <v>15</v>
      </c>
      <c r="H14" s="85">
        <v>36775</v>
      </c>
      <c r="I14" s="83">
        <v>301</v>
      </c>
      <c r="J14" s="83">
        <v>441</v>
      </c>
      <c r="K14" s="83">
        <v>68.3</v>
      </c>
      <c r="L14" s="83">
        <v>3810</v>
      </c>
      <c r="M14" s="83">
        <v>20</v>
      </c>
      <c r="N14" s="83">
        <v>4.5</v>
      </c>
      <c r="O14" s="83">
        <v>12</v>
      </c>
      <c r="P14" s="83">
        <v>2.7</v>
      </c>
      <c r="Q14" s="83">
        <v>172</v>
      </c>
      <c r="R14" s="83">
        <v>83</v>
      </c>
      <c r="S14" s="83">
        <v>8.6</v>
      </c>
      <c r="T14" s="83">
        <v>8.3000000000000007</v>
      </c>
      <c r="U14" s="83">
        <v>12.7</v>
      </c>
      <c r="V14" s="83">
        <v>254</v>
      </c>
      <c r="W14" s="83">
        <v>98.7</v>
      </c>
      <c r="X14" s="83">
        <v>53.3</v>
      </c>
      <c r="Y14" s="83">
        <v>29</v>
      </c>
      <c r="Z14" s="83">
        <v>201</v>
      </c>
      <c r="AA14" s="83">
        <v>6.2</v>
      </c>
      <c r="AB14" s="83">
        <v>7.68</v>
      </c>
      <c r="AC14" s="83">
        <v>7.38</v>
      </c>
      <c r="AD14" s="83">
        <v>3</v>
      </c>
      <c r="AE14" s="83">
        <v>3</v>
      </c>
    </row>
    <row r="15" spans="1:31" ht="16" x14ac:dyDescent="0.2">
      <c r="A15" s="89">
        <v>13</v>
      </c>
      <c r="B15" s="84" t="s">
        <v>3094</v>
      </c>
      <c r="C15" s="84" t="s">
        <v>1122</v>
      </c>
      <c r="D15" s="83">
        <v>23</v>
      </c>
      <c r="E15" s="83" t="s">
        <v>79</v>
      </c>
      <c r="F15" s="83">
        <v>17</v>
      </c>
      <c r="G15" s="83">
        <v>17</v>
      </c>
      <c r="H15" s="85">
        <v>36806</v>
      </c>
      <c r="I15" s="83">
        <v>352</v>
      </c>
      <c r="J15" s="83">
        <v>521</v>
      </c>
      <c r="K15" s="83">
        <v>67.599999999999994</v>
      </c>
      <c r="L15" s="83">
        <v>3801</v>
      </c>
      <c r="M15" s="83">
        <v>22</v>
      </c>
      <c r="N15" s="83">
        <v>4.2</v>
      </c>
      <c r="O15" s="83">
        <v>13</v>
      </c>
      <c r="P15" s="83">
        <v>2.5</v>
      </c>
      <c r="Q15" s="83">
        <v>177</v>
      </c>
      <c r="R15" s="83">
        <v>75</v>
      </c>
      <c r="S15" s="83">
        <v>7.3</v>
      </c>
      <c r="T15" s="83">
        <v>7</v>
      </c>
      <c r="U15" s="83">
        <v>10.8</v>
      </c>
      <c r="V15" s="83">
        <v>223.6</v>
      </c>
      <c r="W15" s="83">
        <v>92.5</v>
      </c>
      <c r="X15" s="83">
        <v>50.9</v>
      </c>
      <c r="Y15" s="83">
        <v>28</v>
      </c>
      <c r="Z15" s="83">
        <v>241</v>
      </c>
      <c r="AA15" s="83">
        <v>5.0999999999999996</v>
      </c>
      <c r="AB15" s="83">
        <v>6.48</v>
      </c>
      <c r="AC15" s="83">
        <v>6.22</v>
      </c>
      <c r="AD15" s="83">
        <v>1</v>
      </c>
      <c r="AE15" s="83">
        <v>1</v>
      </c>
    </row>
    <row r="16" spans="1:31" ht="16" x14ac:dyDescent="0.2">
      <c r="A16" s="89">
        <v>14</v>
      </c>
      <c r="B16" s="84" t="s">
        <v>1339</v>
      </c>
      <c r="C16" s="84" t="s">
        <v>78</v>
      </c>
      <c r="D16" s="83">
        <v>24</v>
      </c>
      <c r="E16" s="83" t="s">
        <v>79</v>
      </c>
      <c r="F16" s="83">
        <v>14</v>
      </c>
      <c r="G16" s="83">
        <v>14</v>
      </c>
      <c r="H16" s="85">
        <v>36774</v>
      </c>
      <c r="I16" s="83">
        <v>333</v>
      </c>
      <c r="J16" s="83">
        <v>481</v>
      </c>
      <c r="K16" s="83">
        <v>69.2</v>
      </c>
      <c r="L16" s="83">
        <v>3787</v>
      </c>
      <c r="M16" s="83">
        <v>24</v>
      </c>
      <c r="N16" s="83">
        <v>5</v>
      </c>
      <c r="O16" s="83">
        <v>10</v>
      </c>
      <c r="P16" s="83">
        <v>2.1</v>
      </c>
      <c r="Q16" s="83">
        <v>172</v>
      </c>
      <c r="R16" s="83">
        <v>77</v>
      </c>
      <c r="S16" s="83">
        <v>7.9</v>
      </c>
      <c r="T16" s="83">
        <v>7.9</v>
      </c>
      <c r="U16" s="83">
        <v>11.4</v>
      </c>
      <c r="V16" s="83">
        <v>270.5</v>
      </c>
      <c r="W16" s="83">
        <v>100.6</v>
      </c>
      <c r="X16" s="83">
        <v>57.3</v>
      </c>
      <c r="Y16" s="83">
        <v>31</v>
      </c>
      <c r="Z16" s="83">
        <v>286</v>
      </c>
      <c r="AA16" s="83">
        <v>6.1</v>
      </c>
      <c r="AB16" s="83">
        <v>6.84</v>
      </c>
      <c r="AC16" s="83">
        <v>6.9</v>
      </c>
      <c r="AD16" s="83">
        <v>1</v>
      </c>
      <c r="AE16" s="83">
        <v>1</v>
      </c>
    </row>
    <row r="17" spans="1:31" ht="16" x14ac:dyDescent="0.2">
      <c r="A17" s="89">
        <v>15</v>
      </c>
      <c r="B17" s="84" t="s">
        <v>133</v>
      </c>
      <c r="C17" s="84" t="s">
        <v>99</v>
      </c>
      <c r="D17" s="83">
        <v>39</v>
      </c>
      <c r="E17" s="83" t="s">
        <v>79</v>
      </c>
      <c r="F17" s="83">
        <v>16</v>
      </c>
      <c r="G17" s="83">
        <v>16</v>
      </c>
      <c r="H17" s="85">
        <v>36776</v>
      </c>
      <c r="I17" s="83">
        <v>390</v>
      </c>
      <c r="J17" s="83">
        <v>605</v>
      </c>
      <c r="K17" s="83">
        <v>64.5</v>
      </c>
      <c r="L17" s="83">
        <v>3740</v>
      </c>
      <c r="M17" s="83">
        <v>22</v>
      </c>
      <c r="N17" s="83">
        <v>3.6</v>
      </c>
      <c r="O17" s="83">
        <v>10</v>
      </c>
      <c r="P17" s="83">
        <v>1.7</v>
      </c>
      <c r="Q17" s="83">
        <v>188</v>
      </c>
      <c r="R17" s="83">
        <v>59</v>
      </c>
      <c r="S17" s="83">
        <v>6.2</v>
      </c>
      <c r="T17" s="83">
        <v>6.2</v>
      </c>
      <c r="U17" s="83">
        <v>9.6</v>
      </c>
      <c r="V17" s="83">
        <v>233.8</v>
      </c>
      <c r="W17" s="83">
        <v>86.8</v>
      </c>
      <c r="X17" s="83">
        <v>35.6</v>
      </c>
      <c r="Y17" s="83">
        <v>38</v>
      </c>
      <c r="Z17" s="83">
        <v>239</v>
      </c>
      <c r="AA17" s="83">
        <v>5.9</v>
      </c>
      <c r="AB17" s="83">
        <v>5.44</v>
      </c>
      <c r="AC17" s="83">
        <v>5.43</v>
      </c>
      <c r="AD17" s="83">
        <v>6</v>
      </c>
      <c r="AE17" s="83">
        <v>7</v>
      </c>
    </row>
    <row r="18" spans="1:31" ht="16" customHeight="1" x14ac:dyDescent="0.2">
      <c r="A18" s="89">
        <v>16</v>
      </c>
      <c r="B18" s="84" t="s">
        <v>116</v>
      </c>
      <c r="C18" s="84" t="s">
        <v>77</v>
      </c>
      <c r="D18" s="83">
        <v>33</v>
      </c>
      <c r="E18" s="83" t="s">
        <v>79</v>
      </c>
      <c r="F18" s="83">
        <v>17</v>
      </c>
      <c r="G18" s="83">
        <v>17</v>
      </c>
      <c r="H18" s="85">
        <v>36865</v>
      </c>
      <c r="I18" s="83">
        <v>357</v>
      </c>
      <c r="J18" s="83">
        <v>531</v>
      </c>
      <c r="K18" s="83">
        <v>67.2</v>
      </c>
      <c r="L18" s="83">
        <v>3734</v>
      </c>
      <c r="M18" s="83">
        <v>21</v>
      </c>
      <c r="N18" s="83">
        <v>4</v>
      </c>
      <c r="O18" s="83">
        <v>14</v>
      </c>
      <c r="P18" s="83">
        <v>2.6</v>
      </c>
      <c r="Q18" s="83">
        <v>192</v>
      </c>
      <c r="R18" s="83">
        <v>57</v>
      </c>
      <c r="S18" s="83">
        <v>7</v>
      </c>
      <c r="T18" s="83">
        <v>6.6</v>
      </c>
      <c r="U18" s="83">
        <v>10.5</v>
      </c>
      <c r="V18" s="83">
        <v>219.6</v>
      </c>
      <c r="W18" s="83">
        <v>89.6</v>
      </c>
      <c r="X18" s="83">
        <v>55.9</v>
      </c>
      <c r="Y18" s="83">
        <v>47</v>
      </c>
      <c r="Z18" s="83">
        <v>327</v>
      </c>
      <c r="AA18" s="83">
        <v>8.1</v>
      </c>
      <c r="AB18" s="83">
        <v>5.89</v>
      </c>
      <c r="AC18" s="83">
        <v>5.53</v>
      </c>
      <c r="AD18" s="83">
        <v>3</v>
      </c>
      <c r="AE18" s="83">
        <v>4</v>
      </c>
    </row>
    <row r="19" spans="1:31" ht="16" x14ac:dyDescent="0.2">
      <c r="A19" s="89">
        <v>17</v>
      </c>
      <c r="B19" s="84" t="s">
        <v>152</v>
      </c>
      <c r="C19" s="84" t="s">
        <v>1052</v>
      </c>
      <c r="D19" s="83">
        <v>22</v>
      </c>
      <c r="E19" s="83" t="s">
        <v>79</v>
      </c>
      <c r="F19" s="83">
        <v>17</v>
      </c>
      <c r="G19" s="83">
        <v>17</v>
      </c>
      <c r="H19" s="85">
        <v>36599</v>
      </c>
      <c r="I19" s="83">
        <v>359</v>
      </c>
      <c r="J19" s="83">
        <v>602</v>
      </c>
      <c r="K19" s="83">
        <v>59.6</v>
      </c>
      <c r="L19" s="83">
        <v>3641</v>
      </c>
      <c r="M19" s="83">
        <v>12</v>
      </c>
      <c r="N19" s="83">
        <v>2</v>
      </c>
      <c r="O19" s="83">
        <v>17</v>
      </c>
      <c r="P19" s="83">
        <v>2.8</v>
      </c>
      <c r="Q19" s="83">
        <v>177</v>
      </c>
      <c r="R19" s="83">
        <v>58</v>
      </c>
      <c r="S19" s="83">
        <v>6</v>
      </c>
      <c r="T19" s="83">
        <v>5.2</v>
      </c>
      <c r="U19" s="83">
        <v>10.1</v>
      </c>
      <c r="V19" s="83">
        <v>214.2</v>
      </c>
      <c r="W19" s="83">
        <v>71.900000000000006</v>
      </c>
      <c r="X19" s="83">
        <v>33.5</v>
      </c>
      <c r="Y19" s="83">
        <v>32</v>
      </c>
      <c r="Z19" s="83">
        <v>238</v>
      </c>
      <c r="AA19" s="83">
        <v>5</v>
      </c>
      <c r="AB19" s="83">
        <v>5.37</v>
      </c>
      <c r="AC19" s="83">
        <v>4.54</v>
      </c>
      <c r="AD19" s="83">
        <v>1</v>
      </c>
      <c r="AE19" s="83">
        <v>2</v>
      </c>
    </row>
    <row r="20" spans="1:31" ht="16" customHeight="1" x14ac:dyDescent="0.2">
      <c r="A20" s="89">
        <v>18</v>
      </c>
      <c r="B20" s="84" t="s">
        <v>172</v>
      </c>
      <c r="C20" s="84" t="s">
        <v>107</v>
      </c>
      <c r="D20" s="83">
        <v>29</v>
      </c>
      <c r="E20" s="83" t="s">
        <v>79</v>
      </c>
      <c r="F20" s="83">
        <v>17</v>
      </c>
      <c r="G20" s="83">
        <v>17</v>
      </c>
      <c r="H20" s="85">
        <v>36777</v>
      </c>
      <c r="I20" s="83">
        <v>322</v>
      </c>
      <c r="J20" s="83">
        <v>516</v>
      </c>
      <c r="K20" s="83">
        <v>62.4</v>
      </c>
      <c r="L20" s="83">
        <v>3563</v>
      </c>
      <c r="M20" s="83">
        <v>27</v>
      </c>
      <c r="N20" s="83">
        <v>5.2</v>
      </c>
      <c r="O20" s="83">
        <v>7</v>
      </c>
      <c r="P20" s="83">
        <v>1.4</v>
      </c>
      <c r="Q20" s="83">
        <v>165</v>
      </c>
      <c r="R20" s="83">
        <v>76</v>
      </c>
      <c r="S20" s="83">
        <v>6.9</v>
      </c>
      <c r="T20" s="83">
        <v>7.3</v>
      </c>
      <c r="U20" s="83">
        <v>11.1</v>
      </c>
      <c r="V20" s="83">
        <v>209.6</v>
      </c>
      <c r="W20" s="83">
        <v>94.6</v>
      </c>
      <c r="X20" s="83">
        <v>54.7</v>
      </c>
      <c r="Y20" s="83">
        <v>32</v>
      </c>
      <c r="Z20" s="83">
        <v>227</v>
      </c>
      <c r="AA20" s="83">
        <v>5.8</v>
      </c>
      <c r="AB20" s="83">
        <v>6.09</v>
      </c>
      <c r="AC20" s="83">
        <v>6.5</v>
      </c>
      <c r="AD20" s="83"/>
      <c r="AE20" s="83"/>
    </row>
    <row r="21" spans="1:31" ht="16" x14ac:dyDescent="0.2">
      <c r="A21" s="89">
        <v>19</v>
      </c>
      <c r="B21" s="84" t="s">
        <v>167</v>
      </c>
      <c r="C21" s="84" t="s">
        <v>119</v>
      </c>
      <c r="D21" s="83">
        <v>28</v>
      </c>
      <c r="E21" s="83" t="s">
        <v>79</v>
      </c>
      <c r="F21" s="83">
        <v>16</v>
      </c>
      <c r="G21" s="83">
        <v>15</v>
      </c>
      <c r="H21" s="85">
        <v>36715</v>
      </c>
      <c r="I21" s="83">
        <v>321</v>
      </c>
      <c r="J21" s="83">
        <v>494</v>
      </c>
      <c r="K21" s="83">
        <v>65</v>
      </c>
      <c r="L21" s="83">
        <v>3419</v>
      </c>
      <c r="M21" s="83">
        <v>20</v>
      </c>
      <c r="N21" s="83">
        <v>4</v>
      </c>
      <c r="O21" s="83">
        <v>15</v>
      </c>
      <c r="P21" s="83">
        <v>3</v>
      </c>
      <c r="Q21" s="83">
        <v>167</v>
      </c>
      <c r="R21" s="83">
        <v>73</v>
      </c>
      <c r="S21" s="83">
        <v>6.9</v>
      </c>
      <c r="T21" s="83">
        <v>6.4</v>
      </c>
      <c r="U21" s="83">
        <v>10.7</v>
      </c>
      <c r="V21" s="83">
        <v>213.7</v>
      </c>
      <c r="W21" s="83">
        <v>85.9</v>
      </c>
      <c r="X21" s="83">
        <v>39.9</v>
      </c>
      <c r="Y21" s="83">
        <v>38</v>
      </c>
      <c r="Z21" s="83">
        <v>278</v>
      </c>
      <c r="AA21" s="83">
        <v>7.1</v>
      </c>
      <c r="AB21" s="83">
        <v>5.9</v>
      </c>
      <c r="AC21" s="83">
        <v>5.39</v>
      </c>
      <c r="AD21" s="83">
        <v>3</v>
      </c>
      <c r="AE21" s="83">
        <v>4</v>
      </c>
    </row>
    <row r="22" spans="1:31" ht="16" x14ac:dyDescent="0.2">
      <c r="A22" s="89">
        <v>20</v>
      </c>
      <c r="B22" s="84" t="s">
        <v>173</v>
      </c>
      <c r="C22" s="84" t="s">
        <v>139</v>
      </c>
      <c r="D22" s="83">
        <v>27</v>
      </c>
      <c r="E22" s="83" t="s">
        <v>79</v>
      </c>
      <c r="F22" s="83">
        <v>14</v>
      </c>
      <c r="G22" s="83">
        <v>14</v>
      </c>
      <c r="H22" s="85">
        <v>36960</v>
      </c>
      <c r="I22" s="83">
        <v>332</v>
      </c>
      <c r="J22" s="83">
        <v>494</v>
      </c>
      <c r="K22" s="83">
        <v>67.2</v>
      </c>
      <c r="L22" s="83">
        <v>3245</v>
      </c>
      <c r="M22" s="83">
        <v>19</v>
      </c>
      <c r="N22" s="83">
        <v>3.8</v>
      </c>
      <c r="O22" s="83">
        <v>8</v>
      </c>
      <c r="P22" s="83">
        <v>1.6</v>
      </c>
      <c r="Q22" s="83">
        <v>162</v>
      </c>
      <c r="R22" s="83">
        <v>63</v>
      </c>
      <c r="S22" s="83">
        <v>6.6</v>
      </c>
      <c r="T22" s="83">
        <v>6.6</v>
      </c>
      <c r="U22" s="83">
        <v>9.8000000000000007</v>
      </c>
      <c r="V22" s="83">
        <v>231.8</v>
      </c>
      <c r="W22" s="83">
        <v>91.5</v>
      </c>
      <c r="X22" s="83">
        <v>39.5</v>
      </c>
      <c r="Y22" s="83">
        <v>35</v>
      </c>
      <c r="Z22" s="83">
        <v>280</v>
      </c>
      <c r="AA22" s="83">
        <v>6.6</v>
      </c>
      <c r="AB22" s="83">
        <v>5.6</v>
      </c>
      <c r="AC22" s="83">
        <v>5.64</v>
      </c>
      <c r="AD22" s="83">
        <v>2</v>
      </c>
      <c r="AE22" s="83">
        <v>2</v>
      </c>
    </row>
    <row r="23" spans="1:31" ht="16" x14ac:dyDescent="0.2">
      <c r="A23" s="89">
        <v>21</v>
      </c>
      <c r="B23" s="84" t="s">
        <v>120</v>
      </c>
      <c r="C23" s="84" t="s">
        <v>102</v>
      </c>
      <c r="D23" s="83">
        <v>23</v>
      </c>
      <c r="E23" s="83" t="s">
        <v>79</v>
      </c>
      <c r="F23" s="83">
        <v>15</v>
      </c>
      <c r="G23" s="83">
        <v>15</v>
      </c>
      <c r="H23" s="85">
        <v>36745</v>
      </c>
      <c r="I23" s="83">
        <v>265</v>
      </c>
      <c r="J23" s="83">
        <v>432</v>
      </c>
      <c r="K23" s="83">
        <v>61.3</v>
      </c>
      <c r="L23" s="83">
        <v>3144</v>
      </c>
      <c r="M23" s="83">
        <v>16</v>
      </c>
      <c r="N23" s="83">
        <v>3.7</v>
      </c>
      <c r="O23" s="83">
        <v>9</v>
      </c>
      <c r="P23" s="83">
        <v>2.1</v>
      </c>
      <c r="Q23" s="83">
        <v>143</v>
      </c>
      <c r="R23" s="83">
        <v>91</v>
      </c>
      <c r="S23" s="83">
        <v>7.3</v>
      </c>
      <c r="T23" s="83">
        <v>7.1</v>
      </c>
      <c r="U23" s="83">
        <v>11.9</v>
      </c>
      <c r="V23" s="83">
        <v>209.6</v>
      </c>
      <c r="W23" s="83">
        <v>87.2</v>
      </c>
      <c r="X23" s="83">
        <v>48.5</v>
      </c>
      <c r="Y23" s="83">
        <v>26</v>
      </c>
      <c r="Z23" s="83">
        <v>150</v>
      </c>
      <c r="AA23" s="83">
        <v>5.7</v>
      </c>
      <c r="AB23" s="83">
        <v>6.54</v>
      </c>
      <c r="AC23" s="83">
        <v>6.35</v>
      </c>
      <c r="AD23" s="83">
        <v>2</v>
      </c>
      <c r="AE23" s="83">
        <v>2</v>
      </c>
    </row>
    <row r="24" spans="1:31" ht="16" x14ac:dyDescent="0.2">
      <c r="A24" s="89">
        <v>22</v>
      </c>
      <c r="B24" s="84" t="s">
        <v>1341</v>
      </c>
      <c r="C24" s="84" t="s">
        <v>108</v>
      </c>
      <c r="D24" s="83">
        <v>33</v>
      </c>
      <c r="E24" s="83" t="s">
        <v>79</v>
      </c>
      <c r="F24" s="83">
        <v>14</v>
      </c>
      <c r="G24" s="83">
        <v>14</v>
      </c>
      <c r="H24" s="85">
        <v>36685</v>
      </c>
      <c r="I24" s="83">
        <v>259</v>
      </c>
      <c r="J24" s="83">
        <v>400</v>
      </c>
      <c r="K24" s="83">
        <v>64.8</v>
      </c>
      <c r="L24" s="83">
        <v>3113</v>
      </c>
      <c r="M24" s="83">
        <v>25</v>
      </c>
      <c r="N24" s="83">
        <v>6.3</v>
      </c>
      <c r="O24" s="83">
        <v>6</v>
      </c>
      <c r="P24" s="83">
        <v>1.5</v>
      </c>
      <c r="Q24" s="83">
        <v>135</v>
      </c>
      <c r="R24" s="83">
        <v>69</v>
      </c>
      <c r="S24" s="83">
        <v>7.8</v>
      </c>
      <c r="T24" s="83">
        <v>8.4</v>
      </c>
      <c r="U24" s="83">
        <v>12</v>
      </c>
      <c r="V24" s="83">
        <v>222.4</v>
      </c>
      <c r="W24" s="83">
        <v>103.1</v>
      </c>
      <c r="X24" s="83">
        <v>54.7</v>
      </c>
      <c r="Y24" s="83">
        <v>33</v>
      </c>
      <c r="Z24" s="83">
        <v>266</v>
      </c>
      <c r="AA24" s="83">
        <v>7.6</v>
      </c>
      <c r="AB24" s="83">
        <v>6.58</v>
      </c>
      <c r="AC24" s="83">
        <v>7.11</v>
      </c>
      <c r="AD24" s="83">
        <v>0</v>
      </c>
      <c r="AE24" s="83">
        <v>1</v>
      </c>
    </row>
    <row r="25" spans="1:31" ht="16" x14ac:dyDescent="0.2">
      <c r="A25" s="89">
        <v>23</v>
      </c>
      <c r="B25" s="84" t="s">
        <v>164</v>
      </c>
      <c r="C25" s="84" t="s">
        <v>93</v>
      </c>
      <c r="D25" s="83">
        <v>29</v>
      </c>
      <c r="E25" s="83" t="s">
        <v>79</v>
      </c>
      <c r="F25" s="83">
        <v>14</v>
      </c>
      <c r="G25" s="83">
        <v>14</v>
      </c>
      <c r="H25" s="85">
        <v>36714</v>
      </c>
      <c r="I25" s="83">
        <v>285</v>
      </c>
      <c r="J25" s="83">
        <v>426</v>
      </c>
      <c r="K25" s="83">
        <v>66.900000000000006</v>
      </c>
      <c r="L25" s="83">
        <v>3052</v>
      </c>
      <c r="M25" s="83">
        <v>18</v>
      </c>
      <c r="N25" s="83">
        <v>4.2</v>
      </c>
      <c r="O25" s="83">
        <v>7</v>
      </c>
      <c r="P25" s="83">
        <v>1.6</v>
      </c>
      <c r="Q25" s="83">
        <v>146</v>
      </c>
      <c r="R25" s="83">
        <v>64</v>
      </c>
      <c r="S25" s="83">
        <v>7.2</v>
      </c>
      <c r="T25" s="83">
        <v>7.3</v>
      </c>
      <c r="U25" s="83">
        <v>10.7</v>
      </c>
      <c r="V25" s="83">
        <v>218</v>
      </c>
      <c r="W25" s="83">
        <v>94.9</v>
      </c>
      <c r="X25" s="83">
        <v>47.4</v>
      </c>
      <c r="Y25" s="83">
        <v>31</v>
      </c>
      <c r="Z25" s="83">
        <v>211</v>
      </c>
      <c r="AA25" s="83">
        <v>6.8</v>
      </c>
      <c r="AB25" s="83">
        <v>6.22</v>
      </c>
      <c r="AC25" s="83">
        <v>6.32</v>
      </c>
      <c r="AD25" s="83">
        <v>0</v>
      </c>
      <c r="AE25" s="83">
        <v>1</v>
      </c>
    </row>
    <row r="26" spans="1:31" ht="16" x14ac:dyDescent="0.2">
      <c r="A26" s="89">
        <v>24</v>
      </c>
      <c r="B26" s="84" t="s">
        <v>134</v>
      </c>
      <c r="C26" s="84" t="s">
        <v>82</v>
      </c>
      <c r="D26" s="83">
        <v>26</v>
      </c>
      <c r="E26" s="83" t="s">
        <v>79</v>
      </c>
      <c r="F26" s="83">
        <v>14</v>
      </c>
      <c r="G26" s="83">
        <v>14</v>
      </c>
      <c r="H26" s="85">
        <v>36685</v>
      </c>
      <c r="I26" s="83">
        <v>253</v>
      </c>
      <c r="J26" s="83">
        <v>418</v>
      </c>
      <c r="K26" s="83">
        <v>60.5</v>
      </c>
      <c r="L26" s="83">
        <v>3010</v>
      </c>
      <c r="M26" s="83">
        <v>17</v>
      </c>
      <c r="N26" s="83">
        <v>4.0999999999999996</v>
      </c>
      <c r="O26" s="83">
        <v>13</v>
      </c>
      <c r="P26" s="83">
        <v>3.1</v>
      </c>
      <c r="Q26" s="83">
        <v>143</v>
      </c>
      <c r="R26" s="83">
        <v>71</v>
      </c>
      <c r="S26" s="83">
        <v>7.2</v>
      </c>
      <c r="T26" s="83">
        <v>6.6</v>
      </c>
      <c r="U26" s="83">
        <v>11.9</v>
      </c>
      <c r="V26" s="83">
        <v>215</v>
      </c>
      <c r="W26" s="83">
        <v>83.1</v>
      </c>
      <c r="X26" s="83">
        <v>35.1</v>
      </c>
      <c r="Y26" s="83">
        <v>43</v>
      </c>
      <c r="Z26" s="83">
        <v>269</v>
      </c>
      <c r="AA26" s="83">
        <v>9.3000000000000007</v>
      </c>
      <c r="AB26" s="83">
        <v>5.95</v>
      </c>
      <c r="AC26" s="83">
        <v>5.41</v>
      </c>
      <c r="AD26" s="83"/>
      <c r="AE26" s="83"/>
    </row>
    <row r="27" spans="1:31" ht="16" x14ac:dyDescent="0.2">
      <c r="A27" s="89">
        <v>25</v>
      </c>
      <c r="B27" s="84" t="s">
        <v>2642</v>
      </c>
      <c r="C27" s="84" t="s">
        <v>725</v>
      </c>
      <c r="D27" s="83">
        <v>24</v>
      </c>
      <c r="E27" s="83" t="s">
        <v>79</v>
      </c>
      <c r="F27" s="83">
        <v>12</v>
      </c>
      <c r="G27" s="83">
        <v>12</v>
      </c>
      <c r="H27" s="85">
        <v>36712</v>
      </c>
      <c r="I27" s="83">
        <v>246</v>
      </c>
      <c r="J27" s="83">
        <v>382</v>
      </c>
      <c r="K27" s="83">
        <v>64.400000000000006</v>
      </c>
      <c r="L27" s="83">
        <v>2882</v>
      </c>
      <c r="M27" s="83">
        <v>16</v>
      </c>
      <c r="N27" s="83">
        <v>4.2</v>
      </c>
      <c r="O27" s="83">
        <v>13</v>
      </c>
      <c r="P27" s="83">
        <v>3.4</v>
      </c>
      <c r="Q27" s="83">
        <v>135</v>
      </c>
      <c r="R27" s="83">
        <v>49</v>
      </c>
      <c r="S27" s="83">
        <v>7.5</v>
      </c>
      <c r="T27" s="83">
        <v>6.9</v>
      </c>
      <c r="U27" s="83">
        <v>11.7</v>
      </c>
      <c r="V27" s="83">
        <v>240.2</v>
      </c>
      <c r="W27" s="83">
        <v>87</v>
      </c>
      <c r="X27" s="83">
        <v>50.7</v>
      </c>
      <c r="Y27" s="83">
        <v>38</v>
      </c>
      <c r="Z27" s="83">
        <v>190</v>
      </c>
      <c r="AA27" s="83">
        <v>9</v>
      </c>
      <c r="AB27" s="83">
        <v>6.41</v>
      </c>
      <c r="AC27" s="83">
        <v>5.78</v>
      </c>
      <c r="AD27" s="83">
        <v>4</v>
      </c>
      <c r="AE27" s="83">
        <v>4</v>
      </c>
    </row>
    <row r="28" spans="1:31" ht="16" x14ac:dyDescent="0.2">
      <c r="A28" s="89">
        <v>26</v>
      </c>
      <c r="B28" s="84" t="s">
        <v>2240</v>
      </c>
      <c r="C28" s="84" t="s">
        <v>122</v>
      </c>
      <c r="D28" s="83">
        <v>23</v>
      </c>
      <c r="E28" s="83" t="s">
        <v>79</v>
      </c>
      <c r="F28" s="83">
        <v>13</v>
      </c>
      <c r="G28" s="83">
        <v>11</v>
      </c>
      <c r="H28" s="85">
        <v>36565</v>
      </c>
      <c r="I28" s="83">
        <v>263</v>
      </c>
      <c r="J28" s="83">
        <v>394</v>
      </c>
      <c r="K28" s="83">
        <v>66.8</v>
      </c>
      <c r="L28" s="83">
        <v>2664</v>
      </c>
      <c r="M28" s="83">
        <v>16</v>
      </c>
      <c r="N28" s="83">
        <v>4.0999999999999996</v>
      </c>
      <c r="O28" s="83">
        <v>10</v>
      </c>
      <c r="P28" s="83">
        <v>2.5</v>
      </c>
      <c r="Q28" s="83">
        <v>118</v>
      </c>
      <c r="R28" s="83">
        <v>67</v>
      </c>
      <c r="S28" s="83">
        <v>6.8</v>
      </c>
      <c r="T28" s="83">
        <v>6.4</v>
      </c>
      <c r="U28" s="83">
        <v>10.1</v>
      </c>
      <c r="V28" s="83">
        <v>204.9</v>
      </c>
      <c r="W28" s="83">
        <v>88.8</v>
      </c>
      <c r="X28" s="83">
        <v>35.5</v>
      </c>
      <c r="Y28" s="83">
        <v>31</v>
      </c>
      <c r="Z28" s="83">
        <v>206</v>
      </c>
      <c r="AA28" s="83">
        <v>7.3</v>
      </c>
      <c r="AB28" s="83">
        <v>5.78</v>
      </c>
      <c r="AC28" s="83">
        <v>5.48</v>
      </c>
      <c r="AD28" s="83"/>
      <c r="AE28" s="83"/>
    </row>
    <row r="29" spans="1:31" ht="16" x14ac:dyDescent="0.2">
      <c r="A29" s="89">
        <v>27</v>
      </c>
      <c r="B29" s="84" t="s">
        <v>161</v>
      </c>
      <c r="C29" s="84" t="s">
        <v>142</v>
      </c>
      <c r="D29" s="83">
        <v>23</v>
      </c>
      <c r="E29" s="83" t="s">
        <v>79</v>
      </c>
      <c r="F29" s="83">
        <v>13</v>
      </c>
      <c r="G29" s="83">
        <v>12</v>
      </c>
      <c r="H29" s="85">
        <v>36712</v>
      </c>
      <c r="I29" s="83">
        <v>263</v>
      </c>
      <c r="J29" s="83">
        <v>388</v>
      </c>
      <c r="K29" s="83">
        <v>67.8</v>
      </c>
      <c r="L29" s="83">
        <v>2653</v>
      </c>
      <c r="M29" s="83">
        <v>16</v>
      </c>
      <c r="N29" s="83">
        <v>4.0999999999999996</v>
      </c>
      <c r="O29" s="83">
        <v>10</v>
      </c>
      <c r="P29" s="83">
        <v>2.6</v>
      </c>
      <c r="Q29" s="83">
        <v>137</v>
      </c>
      <c r="R29" s="83">
        <v>65</v>
      </c>
      <c r="S29" s="83">
        <v>6.8</v>
      </c>
      <c r="T29" s="83">
        <v>6.5</v>
      </c>
      <c r="U29" s="83">
        <v>10.1</v>
      </c>
      <c r="V29" s="83">
        <v>204.1</v>
      </c>
      <c r="W29" s="83">
        <v>90.1</v>
      </c>
      <c r="X29" s="83">
        <v>49.7</v>
      </c>
      <c r="Y29" s="83">
        <v>20</v>
      </c>
      <c r="Z29" s="83">
        <v>152</v>
      </c>
      <c r="AA29" s="83">
        <v>4.9000000000000004</v>
      </c>
      <c r="AB29" s="83">
        <v>6.13</v>
      </c>
      <c r="AC29" s="83">
        <v>5.81</v>
      </c>
      <c r="AD29" s="83">
        <v>0</v>
      </c>
      <c r="AE29" s="83">
        <v>2</v>
      </c>
    </row>
    <row r="30" spans="1:31" ht="16" x14ac:dyDescent="0.2">
      <c r="A30" s="89">
        <v>28</v>
      </c>
      <c r="B30" s="84" t="s">
        <v>168</v>
      </c>
      <c r="C30" s="84" t="s">
        <v>70</v>
      </c>
      <c r="D30" s="83">
        <v>24</v>
      </c>
      <c r="E30" s="83" t="s">
        <v>79</v>
      </c>
      <c r="F30" s="83">
        <v>12</v>
      </c>
      <c r="G30" s="83">
        <v>11</v>
      </c>
      <c r="H30" s="85">
        <v>36623</v>
      </c>
      <c r="I30" s="83">
        <v>243</v>
      </c>
      <c r="J30" s="83">
        <v>406</v>
      </c>
      <c r="K30" s="83">
        <v>59.9</v>
      </c>
      <c r="L30" s="83">
        <v>2527</v>
      </c>
      <c r="M30" s="83">
        <v>9</v>
      </c>
      <c r="N30" s="83">
        <v>2.2000000000000002</v>
      </c>
      <c r="O30" s="83">
        <v>13</v>
      </c>
      <c r="P30" s="83">
        <v>3.2</v>
      </c>
      <c r="Q30" s="83">
        <v>123</v>
      </c>
      <c r="R30" s="83">
        <v>63</v>
      </c>
      <c r="S30" s="83">
        <v>6.2</v>
      </c>
      <c r="T30" s="83">
        <v>5.2</v>
      </c>
      <c r="U30" s="83">
        <v>10.4</v>
      </c>
      <c r="V30" s="83">
        <v>210.6</v>
      </c>
      <c r="W30" s="83">
        <v>71.900000000000006</v>
      </c>
      <c r="X30" s="83">
        <v>33.200000000000003</v>
      </c>
      <c r="Y30" s="83">
        <v>35</v>
      </c>
      <c r="Z30" s="83">
        <v>204</v>
      </c>
      <c r="AA30" s="83">
        <v>7.9</v>
      </c>
      <c r="AB30" s="83">
        <v>5.27</v>
      </c>
      <c r="AC30" s="83">
        <v>4.3499999999999996</v>
      </c>
      <c r="AD30" s="83"/>
      <c r="AE30" s="83"/>
    </row>
    <row r="31" spans="1:31" ht="16" x14ac:dyDescent="0.2">
      <c r="A31" s="89">
        <v>29</v>
      </c>
      <c r="B31" s="84" t="s">
        <v>154</v>
      </c>
      <c r="C31" s="84" t="s">
        <v>92</v>
      </c>
      <c r="D31" s="83">
        <v>24</v>
      </c>
      <c r="E31" s="83" t="s">
        <v>79</v>
      </c>
      <c r="F31" s="83">
        <v>11</v>
      </c>
      <c r="G31" s="83">
        <v>11</v>
      </c>
      <c r="H31" s="85">
        <v>36623</v>
      </c>
      <c r="I31" s="83">
        <v>232</v>
      </c>
      <c r="J31" s="83">
        <v>361</v>
      </c>
      <c r="K31" s="83">
        <v>64.3</v>
      </c>
      <c r="L31" s="83">
        <v>2428</v>
      </c>
      <c r="M31" s="83">
        <v>10</v>
      </c>
      <c r="N31" s="83">
        <v>2.8</v>
      </c>
      <c r="O31" s="83">
        <v>7</v>
      </c>
      <c r="P31" s="83">
        <v>1.9</v>
      </c>
      <c r="Q31" s="83">
        <v>116</v>
      </c>
      <c r="R31" s="83">
        <v>54</v>
      </c>
      <c r="S31" s="83">
        <v>6.7</v>
      </c>
      <c r="T31" s="83">
        <v>6.4</v>
      </c>
      <c r="U31" s="83">
        <v>10.5</v>
      </c>
      <c r="V31" s="83">
        <v>220.7</v>
      </c>
      <c r="W31" s="83">
        <v>84.8</v>
      </c>
      <c r="X31" s="83">
        <v>41.5</v>
      </c>
      <c r="Y31" s="83">
        <v>22</v>
      </c>
      <c r="Z31" s="83">
        <v>160</v>
      </c>
      <c r="AA31" s="83">
        <v>5.7</v>
      </c>
      <c r="AB31" s="83">
        <v>5.92</v>
      </c>
      <c r="AC31" s="83">
        <v>5.62</v>
      </c>
      <c r="AD31" s="83">
        <v>1</v>
      </c>
      <c r="AE31" s="83">
        <v>1</v>
      </c>
    </row>
    <row r="32" spans="1:31" x14ac:dyDescent="0.2">
      <c r="A32" s="89" t="s">
        <v>902</v>
      </c>
      <c r="B32" s="89" t="s">
        <v>903</v>
      </c>
      <c r="C32" s="89" t="s">
        <v>1314</v>
      </c>
      <c r="D32" s="89" t="s">
        <v>905</v>
      </c>
      <c r="E32" s="89" t="s">
        <v>906</v>
      </c>
      <c r="F32" s="89" t="s">
        <v>1315</v>
      </c>
      <c r="G32" s="89" t="s">
        <v>1316</v>
      </c>
      <c r="H32" s="89" t="s">
        <v>1317</v>
      </c>
      <c r="I32" s="89" t="s">
        <v>1318</v>
      </c>
      <c r="J32" s="89" t="s">
        <v>1319</v>
      </c>
      <c r="K32" s="89" t="s">
        <v>1320</v>
      </c>
      <c r="L32" s="89" t="s">
        <v>799</v>
      </c>
      <c r="M32" s="89" t="s">
        <v>800</v>
      </c>
      <c r="N32" s="89" t="s">
        <v>913</v>
      </c>
      <c r="O32" s="89" t="s">
        <v>914</v>
      </c>
      <c r="P32" s="89" t="s">
        <v>915</v>
      </c>
      <c r="Q32" s="89" t="s">
        <v>1321</v>
      </c>
      <c r="R32" s="89" t="s">
        <v>917</v>
      </c>
      <c r="S32" s="89" t="s">
        <v>1322</v>
      </c>
      <c r="T32" s="89" t="s">
        <v>1323</v>
      </c>
      <c r="U32" s="89" t="s">
        <v>1324</v>
      </c>
      <c r="V32" s="89" t="s">
        <v>1325</v>
      </c>
      <c r="W32" s="89" t="s">
        <v>1326</v>
      </c>
      <c r="X32" s="89" t="s">
        <v>923</v>
      </c>
      <c r="Y32" s="89" t="s">
        <v>1327</v>
      </c>
      <c r="Z32" s="89" t="s">
        <v>799</v>
      </c>
      <c r="AA32" s="89" t="s">
        <v>928</v>
      </c>
      <c r="AB32" s="89" t="s">
        <v>1329</v>
      </c>
      <c r="AC32" s="89" t="s">
        <v>1330</v>
      </c>
      <c r="AD32" s="89" t="s">
        <v>929</v>
      </c>
      <c r="AE32" s="89" t="s">
        <v>930</v>
      </c>
    </row>
    <row r="33" spans="1:31" ht="16" x14ac:dyDescent="0.2">
      <c r="A33" s="89">
        <v>30</v>
      </c>
      <c r="B33" s="84" t="s">
        <v>169</v>
      </c>
      <c r="C33" s="84" t="s">
        <v>71</v>
      </c>
      <c r="D33" s="83">
        <v>22</v>
      </c>
      <c r="E33" s="83" t="s">
        <v>79</v>
      </c>
      <c r="F33" s="83">
        <v>13</v>
      </c>
      <c r="G33" s="83">
        <v>13</v>
      </c>
      <c r="H33" s="85">
        <v>36595</v>
      </c>
      <c r="I33" s="83">
        <v>213</v>
      </c>
      <c r="J33" s="83">
        <v>383</v>
      </c>
      <c r="K33" s="83">
        <v>55.6</v>
      </c>
      <c r="L33" s="83">
        <v>2334</v>
      </c>
      <c r="M33" s="83">
        <v>9</v>
      </c>
      <c r="N33" s="83">
        <v>2.2999999999999998</v>
      </c>
      <c r="O33" s="83">
        <v>11</v>
      </c>
      <c r="P33" s="83">
        <v>2.9</v>
      </c>
      <c r="Q33" s="83">
        <v>112</v>
      </c>
      <c r="R33" s="83">
        <v>54</v>
      </c>
      <c r="S33" s="83">
        <v>6.1</v>
      </c>
      <c r="T33" s="83">
        <v>5.3</v>
      </c>
      <c r="U33" s="83">
        <v>11</v>
      </c>
      <c r="V33" s="83">
        <v>179.5</v>
      </c>
      <c r="W33" s="83">
        <v>69.7</v>
      </c>
      <c r="X33" s="83">
        <v>28.2</v>
      </c>
      <c r="Y33" s="83">
        <v>44</v>
      </c>
      <c r="Z33" s="83">
        <v>370</v>
      </c>
      <c r="AA33" s="83">
        <v>10.3</v>
      </c>
      <c r="AB33" s="83">
        <v>4.5999999999999996</v>
      </c>
      <c r="AC33" s="83">
        <v>3.86</v>
      </c>
      <c r="AD33" s="83">
        <v>1</v>
      </c>
      <c r="AE33" s="83">
        <v>1</v>
      </c>
    </row>
    <row r="34" spans="1:31" ht="16" x14ac:dyDescent="0.2">
      <c r="A34" s="89">
        <v>31</v>
      </c>
      <c r="B34" s="84" t="s">
        <v>1302</v>
      </c>
      <c r="C34" s="84" t="s">
        <v>727</v>
      </c>
      <c r="D34" s="83">
        <v>22</v>
      </c>
      <c r="E34" s="83" t="s">
        <v>79</v>
      </c>
      <c r="F34" s="83">
        <v>12</v>
      </c>
      <c r="G34" s="83">
        <v>10</v>
      </c>
      <c r="H34" s="85">
        <v>36564</v>
      </c>
      <c r="I34" s="83">
        <v>159</v>
      </c>
      <c r="J34" s="83">
        <v>270</v>
      </c>
      <c r="K34" s="83">
        <v>58.9</v>
      </c>
      <c r="L34" s="83">
        <v>1870</v>
      </c>
      <c r="M34" s="83">
        <v>7</v>
      </c>
      <c r="N34" s="83">
        <v>2.6</v>
      </c>
      <c r="O34" s="83">
        <v>10</v>
      </c>
      <c r="P34" s="83">
        <v>3.7</v>
      </c>
      <c r="Q34" s="83">
        <v>83</v>
      </c>
      <c r="R34" s="83">
        <v>64</v>
      </c>
      <c r="S34" s="83">
        <v>6.9</v>
      </c>
      <c r="T34" s="83">
        <v>5.8</v>
      </c>
      <c r="U34" s="83">
        <v>11.8</v>
      </c>
      <c r="V34" s="83">
        <v>155.80000000000001</v>
      </c>
      <c r="W34" s="83">
        <v>73.2</v>
      </c>
      <c r="X34" s="83">
        <v>26.4</v>
      </c>
      <c r="Y34" s="83">
        <v>36</v>
      </c>
      <c r="Z34" s="83">
        <v>264</v>
      </c>
      <c r="AA34" s="83">
        <v>11.8</v>
      </c>
      <c r="AB34" s="83">
        <v>5.25</v>
      </c>
      <c r="AC34" s="83">
        <v>4.24</v>
      </c>
      <c r="AD34" s="83"/>
      <c r="AE34" s="83"/>
    </row>
    <row r="35" spans="1:31" ht="16" x14ac:dyDescent="0.2">
      <c r="A35" s="89">
        <v>32</v>
      </c>
      <c r="B35" s="84" t="s">
        <v>1230</v>
      </c>
      <c r="C35" s="84" t="s">
        <v>727</v>
      </c>
      <c r="D35" s="83">
        <v>34</v>
      </c>
      <c r="E35" s="83" t="s">
        <v>79</v>
      </c>
      <c r="F35" s="83">
        <v>8</v>
      </c>
      <c r="G35" s="83">
        <v>6</v>
      </c>
      <c r="H35" s="85">
        <v>36588</v>
      </c>
      <c r="I35" s="83">
        <v>149</v>
      </c>
      <c r="J35" s="83">
        <v>236</v>
      </c>
      <c r="K35" s="83">
        <v>63.1</v>
      </c>
      <c r="L35" s="83">
        <v>1515</v>
      </c>
      <c r="M35" s="83">
        <v>8</v>
      </c>
      <c r="N35" s="83">
        <v>3.4</v>
      </c>
      <c r="O35" s="83">
        <v>9</v>
      </c>
      <c r="P35" s="83">
        <v>3.8</v>
      </c>
      <c r="Q35" s="83">
        <v>83</v>
      </c>
      <c r="R35" s="83">
        <v>60</v>
      </c>
      <c r="S35" s="83">
        <v>6.4</v>
      </c>
      <c r="T35" s="83">
        <v>5.4</v>
      </c>
      <c r="U35" s="83">
        <v>10.199999999999999</v>
      </c>
      <c r="V35" s="83">
        <v>189.4</v>
      </c>
      <c r="W35" s="83">
        <v>76.900000000000006</v>
      </c>
      <c r="X35" s="83">
        <v>33.6</v>
      </c>
      <c r="Y35" s="83">
        <v>18</v>
      </c>
      <c r="Z35" s="83">
        <v>143</v>
      </c>
      <c r="AA35" s="83">
        <v>7.1</v>
      </c>
      <c r="AB35" s="83">
        <v>5.4</v>
      </c>
      <c r="AC35" s="83">
        <v>4.4400000000000004</v>
      </c>
      <c r="AD35" s="83">
        <v>1</v>
      </c>
      <c r="AE35" s="83">
        <v>1</v>
      </c>
    </row>
    <row r="36" spans="1:31" ht="16" x14ac:dyDescent="0.2">
      <c r="A36" s="89">
        <v>33</v>
      </c>
      <c r="B36" s="84" t="s">
        <v>187</v>
      </c>
      <c r="C36" s="84" t="s">
        <v>142</v>
      </c>
      <c r="D36" s="83">
        <v>29</v>
      </c>
      <c r="E36" s="83" t="s">
        <v>79</v>
      </c>
      <c r="F36" s="83">
        <v>11</v>
      </c>
      <c r="G36" s="83">
        <v>5</v>
      </c>
      <c r="H36" s="85">
        <v>36559</v>
      </c>
      <c r="I36" s="83">
        <v>141</v>
      </c>
      <c r="J36" s="83">
        <v>225</v>
      </c>
      <c r="K36" s="83">
        <v>62.7</v>
      </c>
      <c r="L36" s="83">
        <v>1283</v>
      </c>
      <c r="M36" s="83">
        <v>5</v>
      </c>
      <c r="N36" s="83">
        <v>2.2000000000000002</v>
      </c>
      <c r="O36" s="83">
        <v>4</v>
      </c>
      <c r="P36" s="83">
        <v>1.8</v>
      </c>
      <c r="Q36" s="83">
        <v>69</v>
      </c>
      <c r="R36" s="83">
        <v>52</v>
      </c>
      <c r="S36" s="83">
        <v>5.7</v>
      </c>
      <c r="T36" s="83">
        <v>5.3</v>
      </c>
      <c r="U36" s="83">
        <v>9.1</v>
      </c>
      <c r="V36" s="83">
        <v>116.6</v>
      </c>
      <c r="W36" s="83">
        <v>78.099999999999994</v>
      </c>
      <c r="X36" s="83">
        <v>48.2</v>
      </c>
      <c r="Y36" s="83">
        <v>19</v>
      </c>
      <c r="Z36" s="83">
        <v>132</v>
      </c>
      <c r="AA36" s="83">
        <v>7.8</v>
      </c>
      <c r="AB36" s="83">
        <v>4.72</v>
      </c>
      <c r="AC36" s="83">
        <v>4.3899999999999997</v>
      </c>
      <c r="AD36" s="83"/>
      <c r="AE36" s="83"/>
    </row>
    <row r="37" spans="1:31" ht="16" x14ac:dyDescent="0.2">
      <c r="A37" s="89">
        <v>34</v>
      </c>
      <c r="B37" s="84" t="s">
        <v>155</v>
      </c>
      <c r="C37" s="84" t="s">
        <v>1257</v>
      </c>
      <c r="D37" s="83">
        <v>27</v>
      </c>
      <c r="E37" s="83" t="s">
        <v>79</v>
      </c>
      <c r="F37" s="83">
        <v>7</v>
      </c>
      <c r="G37" s="83">
        <v>7</v>
      </c>
      <c r="H37" s="85">
        <v>36648</v>
      </c>
      <c r="I37" s="83">
        <v>95</v>
      </c>
      <c r="J37" s="83">
        <v>161</v>
      </c>
      <c r="K37" s="83">
        <v>59</v>
      </c>
      <c r="L37" s="83">
        <v>1170</v>
      </c>
      <c r="M37" s="83">
        <v>14</v>
      </c>
      <c r="N37" s="83">
        <v>8.6999999999999993</v>
      </c>
      <c r="O37" s="83">
        <v>3</v>
      </c>
      <c r="P37" s="83">
        <v>1.9</v>
      </c>
      <c r="Q37" s="83">
        <v>56</v>
      </c>
      <c r="R37" s="83">
        <v>72</v>
      </c>
      <c r="S37" s="83">
        <v>7.3</v>
      </c>
      <c r="T37" s="83">
        <v>8.1999999999999993</v>
      </c>
      <c r="U37" s="83">
        <v>12.3</v>
      </c>
      <c r="V37" s="83">
        <v>167.1</v>
      </c>
      <c r="W37" s="83">
        <v>102.8</v>
      </c>
      <c r="X37" s="83">
        <v>64.400000000000006</v>
      </c>
      <c r="Y37" s="83">
        <v>11</v>
      </c>
      <c r="Z37" s="83">
        <v>69</v>
      </c>
      <c r="AA37" s="83">
        <v>6.4</v>
      </c>
      <c r="AB37" s="83">
        <v>6.4</v>
      </c>
      <c r="AC37" s="83">
        <v>7.24</v>
      </c>
      <c r="AD37" s="83">
        <v>0</v>
      </c>
      <c r="AE37" s="83">
        <v>1</v>
      </c>
    </row>
    <row r="38" spans="1:31" ht="16" x14ac:dyDescent="0.2">
      <c r="A38" s="89">
        <v>35</v>
      </c>
      <c r="B38" s="84" t="s">
        <v>2417</v>
      </c>
      <c r="C38" s="84" t="s">
        <v>1257</v>
      </c>
      <c r="D38" s="83">
        <v>30</v>
      </c>
      <c r="E38" s="83" t="s">
        <v>79</v>
      </c>
      <c r="F38" s="83">
        <v>6</v>
      </c>
      <c r="G38" s="83">
        <v>4</v>
      </c>
      <c r="H38" s="83" t="s">
        <v>1375</v>
      </c>
      <c r="I38" s="83">
        <v>108</v>
      </c>
      <c r="J38" s="83">
        <v>188</v>
      </c>
      <c r="K38" s="83">
        <v>57.4</v>
      </c>
      <c r="L38" s="83">
        <v>1154</v>
      </c>
      <c r="M38" s="83">
        <v>11</v>
      </c>
      <c r="N38" s="83">
        <v>5.9</v>
      </c>
      <c r="O38" s="83">
        <v>3</v>
      </c>
      <c r="P38" s="83">
        <v>1.6</v>
      </c>
      <c r="Q38" s="83">
        <v>61</v>
      </c>
      <c r="R38" s="83">
        <v>46</v>
      </c>
      <c r="S38" s="83">
        <v>6.1</v>
      </c>
      <c r="T38" s="83">
        <v>6.6</v>
      </c>
      <c r="U38" s="83">
        <v>10.7</v>
      </c>
      <c r="V38" s="83">
        <v>192.3</v>
      </c>
      <c r="W38" s="83">
        <v>88.4</v>
      </c>
      <c r="X38" s="83">
        <v>35.5</v>
      </c>
      <c r="Y38" s="83">
        <v>9</v>
      </c>
      <c r="Z38" s="83">
        <v>64</v>
      </c>
      <c r="AA38" s="83">
        <v>4.5999999999999996</v>
      </c>
      <c r="AB38" s="83">
        <v>5.53</v>
      </c>
      <c r="AC38" s="83">
        <v>5.96</v>
      </c>
      <c r="AD38" s="83">
        <v>1</v>
      </c>
      <c r="AE38" s="83">
        <v>1</v>
      </c>
    </row>
    <row r="39" spans="1:31" ht="16" x14ac:dyDescent="0.2">
      <c r="A39" s="89">
        <v>36</v>
      </c>
      <c r="B39" s="84" t="s">
        <v>1390</v>
      </c>
      <c r="C39" s="84" t="s">
        <v>725</v>
      </c>
      <c r="D39" s="83">
        <v>23</v>
      </c>
      <c r="E39" s="83" t="s">
        <v>79</v>
      </c>
      <c r="F39" s="83">
        <v>7</v>
      </c>
      <c r="G39" s="83">
        <v>4</v>
      </c>
      <c r="H39" s="85">
        <v>36528</v>
      </c>
      <c r="I39" s="83">
        <v>122</v>
      </c>
      <c r="J39" s="83">
        <v>188</v>
      </c>
      <c r="K39" s="83">
        <v>64.900000000000006</v>
      </c>
      <c r="L39" s="83">
        <v>1081</v>
      </c>
      <c r="M39" s="83">
        <v>3</v>
      </c>
      <c r="N39" s="83">
        <v>1.6</v>
      </c>
      <c r="O39" s="83">
        <v>4</v>
      </c>
      <c r="P39" s="83">
        <v>2.1</v>
      </c>
      <c r="Q39" s="83">
        <v>55</v>
      </c>
      <c r="R39" s="83">
        <v>43</v>
      </c>
      <c r="S39" s="83">
        <v>5.8</v>
      </c>
      <c r="T39" s="83">
        <v>5.0999999999999996</v>
      </c>
      <c r="U39" s="83">
        <v>8.9</v>
      </c>
      <c r="V39" s="83">
        <v>154.4</v>
      </c>
      <c r="W39" s="83">
        <v>76.599999999999994</v>
      </c>
      <c r="X39" s="83">
        <v>49</v>
      </c>
      <c r="Y39" s="83">
        <v>18</v>
      </c>
      <c r="Z39" s="83">
        <v>107</v>
      </c>
      <c r="AA39" s="83">
        <v>8.6999999999999993</v>
      </c>
      <c r="AB39" s="83">
        <v>4.7300000000000004</v>
      </c>
      <c r="AC39" s="83">
        <v>4.1500000000000004</v>
      </c>
      <c r="AD39" s="83">
        <v>1</v>
      </c>
      <c r="AE39" s="83">
        <v>1</v>
      </c>
    </row>
    <row r="40" spans="1:31" ht="16" x14ac:dyDescent="0.2">
      <c r="A40" s="89">
        <v>37</v>
      </c>
      <c r="B40" s="84" t="s">
        <v>156</v>
      </c>
      <c r="C40" s="84" t="s">
        <v>1257</v>
      </c>
      <c r="D40" s="83">
        <v>31</v>
      </c>
      <c r="E40" s="83" t="s">
        <v>79</v>
      </c>
      <c r="F40" s="83">
        <v>12</v>
      </c>
      <c r="G40" s="83">
        <v>9</v>
      </c>
      <c r="H40" s="85">
        <v>36617</v>
      </c>
      <c r="I40" s="83">
        <v>78</v>
      </c>
      <c r="J40" s="83">
        <v>134</v>
      </c>
      <c r="K40" s="83">
        <v>58.2</v>
      </c>
      <c r="L40" s="83">
        <v>978</v>
      </c>
      <c r="M40" s="83">
        <v>4</v>
      </c>
      <c r="N40" s="83">
        <v>3</v>
      </c>
      <c r="O40" s="83">
        <v>5</v>
      </c>
      <c r="P40" s="83">
        <v>3.7</v>
      </c>
      <c r="Q40" s="83">
        <v>43</v>
      </c>
      <c r="R40" s="83">
        <v>70</v>
      </c>
      <c r="S40" s="83">
        <v>7.3</v>
      </c>
      <c r="T40" s="83">
        <v>6.2</v>
      </c>
      <c r="U40" s="83">
        <v>12.5</v>
      </c>
      <c r="V40" s="83">
        <v>81.5</v>
      </c>
      <c r="W40" s="83">
        <v>75.400000000000006</v>
      </c>
      <c r="X40" s="83">
        <v>42.5</v>
      </c>
      <c r="Y40" s="83">
        <v>9</v>
      </c>
      <c r="Z40" s="83">
        <v>64</v>
      </c>
      <c r="AA40" s="83">
        <v>6.3</v>
      </c>
      <c r="AB40" s="83">
        <v>6.39</v>
      </c>
      <c r="AC40" s="83">
        <v>5.38</v>
      </c>
      <c r="AD40" s="83"/>
      <c r="AE40" s="83"/>
    </row>
    <row r="41" spans="1:31" ht="16" x14ac:dyDescent="0.2">
      <c r="A41" s="89">
        <v>38</v>
      </c>
      <c r="B41" s="84" t="s">
        <v>149</v>
      </c>
      <c r="C41" s="84" t="s">
        <v>122</v>
      </c>
      <c r="D41" s="83">
        <v>32</v>
      </c>
      <c r="E41" s="83" t="s">
        <v>79</v>
      </c>
      <c r="F41" s="83">
        <v>6</v>
      </c>
      <c r="G41" s="83">
        <v>6</v>
      </c>
      <c r="H41" s="85">
        <v>36560</v>
      </c>
      <c r="I41" s="83">
        <v>91</v>
      </c>
      <c r="J41" s="83">
        <v>150</v>
      </c>
      <c r="K41" s="83">
        <v>60.7</v>
      </c>
      <c r="L41" s="83">
        <v>966</v>
      </c>
      <c r="M41" s="83">
        <v>5</v>
      </c>
      <c r="N41" s="83">
        <v>3.3</v>
      </c>
      <c r="O41" s="83">
        <v>5</v>
      </c>
      <c r="P41" s="83">
        <v>3.3</v>
      </c>
      <c r="Q41" s="83">
        <v>44</v>
      </c>
      <c r="R41" s="83">
        <v>52</v>
      </c>
      <c r="S41" s="83">
        <v>6.4</v>
      </c>
      <c r="T41" s="83">
        <v>5.6</v>
      </c>
      <c r="U41" s="83">
        <v>10.6</v>
      </c>
      <c r="V41" s="83">
        <v>161</v>
      </c>
      <c r="W41" s="83">
        <v>76.7</v>
      </c>
      <c r="X41" s="83">
        <v>40.4</v>
      </c>
      <c r="Y41" s="83">
        <v>13</v>
      </c>
      <c r="Z41" s="83">
        <v>119</v>
      </c>
      <c r="AA41" s="83">
        <v>8</v>
      </c>
      <c r="AB41" s="83">
        <v>5.2</v>
      </c>
      <c r="AC41" s="83">
        <v>4.43</v>
      </c>
      <c r="AD41" s="83"/>
      <c r="AE41" s="83"/>
    </row>
    <row r="42" spans="1:31" ht="16" x14ac:dyDescent="0.2">
      <c r="A42" s="89">
        <v>39</v>
      </c>
      <c r="B42" s="84" t="s">
        <v>2409</v>
      </c>
      <c r="C42" s="84" t="s">
        <v>71</v>
      </c>
      <c r="D42" s="83">
        <v>26</v>
      </c>
      <c r="E42" s="83" t="s">
        <v>79</v>
      </c>
      <c r="F42" s="83">
        <v>4</v>
      </c>
      <c r="G42" s="83">
        <v>3</v>
      </c>
      <c r="H42" s="85">
        <v>36527</v>
      </c>
      <c r="I42" s="83">
        <v>88</v>
      </c>
      <c r="J42" s="83">
        <v>132</v>
      </c>
      <c r="K42" s="83">
        <v>66.7</v>
      </c>
      <c r="L42" s="83">
        <v>953</v>
      </c>
      <c r="M42" s="83">
        <v>5</v>
      </c>
      <c r="N42" s="83">
        <v>3.8</v>
      </c>
      <c r="O42" s="83">
        <v>8</v>
      </c>
      <c r="P42" s="83">
        <v>6.1</v>
      </c>
      <c r="Q42" s="83">
        <v>49</v>
      </c>
      <c r="R42" s="83">
        <v>28</v>
      </c>
      <c r="S42" s="83">
        <v>7.2</v>
      </c>
      <c r="T42" s="83">
        <v>5.3</v>
      </c>
      <c r="U42" s="83">
        <v>10.8</v>
      </c>
      <c r="V42" s="83">
        <v>238.3</v>
      </c>
      <c r="W42" s="83">
        <v>75.099999999999994</v>
      </c>
      <c r="X42" s="83">
        <v>50.5</v>
      </c>
      <c r="Y42" s="83">
        <v>4</v>
      </c>
      <c r="Z42" s="83">
        <v>18</v>
      </c>
      <c r="AA42" s="83">
        <v>2.9</v>
      </c>
      <c r="AB42" s="83">
        <v>6.88</v>
      </c>
      <c r="AC42" s="83">
        <v>4.96</v>
      </c>
      <c r="AD42" s="83">
        <v>1</v>
      </c>
      <c r="AE42" s="83">
        <v>1</v>
      </c>
    </row>
    <row r="43" spans="1:31" ht="16" x14ac:dyDescent="0.2">
      <c r="A43" s="89">
        <v>40</v>
      </c>
      <c r="B43" s="84" t="s">
        <v>204</v>
      </c>
      <c r="C43" s="84" t="s">
        <v>92</v>
      </c>
      <c r="D43" s="83">
        <v>32</v>
      </c>
      <c r="E43" s="83" t="s">
        <v>79</v>
      </c>
      <c r="F43" s="83">
        <v>6</v>
      </c>
      <c r="G43" s="83">
        <v>4</v>
      </c>
      <c r="H43" s="83" t="s">
        <v>1375</v>
      </c>
      <c r="I43" s="83">
        <v>90</v>
      </c>
      <c r="J43" s="83">
        <v>167</v>
      </c>
      <c r="K43" s="83">
        <v>53.9</v>
      </c>
      <c r="L43" s="83">
        <v>790</v>
      </c>
      <c r="M43" s="83">
        <v>4</v>
      </c>
      <c r="N43" s="83">
        <v>2.4</v>
      </c>
      <c r="O43" s="83">
        <v>10</v>
      </c>
      <c r="P43" s="83">
        <v>6</v>
      </c>
      <c r="Q43" s="83">
        <v>43</v>
      </c>
      <c r="R43" s="83">
        <v>60</v>
      </c>
      <c r="S43" s="83">
        <v>4.7</v>
      </c>
      <c r="T43" s="83">
        <v>2.5</v>
      </c>
      <c r="U43" s="83">
        <v>8.8000000000000007</v>
      </c>
      <c r="V43" s="83">
        <v>131.69999999999999</v>
      </c>
      <c r="W43" s="83">
        <v>49.7</v>
      </c>
      <c r="X43" s="83">
        <v>11.9</v>
      </c>
      <c r="Y43" s="83">
        <v>9</v>
      </c>
      <c r="Z43" s="83">
        <v>68</v>
      </c>
      <c r="AA43" s="83">
        <v>5.0999999999999996</v>
      </c>
      <c r="AB43" s="83">
        <v>4.0999999999999996</v>
      </c>
      <c r="AC43" s="83">
        <v>2</v>
      </c>
      <c r="AD43" s="83"/>
      <c r="AE43" s="83"/>
    </row>
    <row r="44" spans="1:31" ht="16" x14ac:dyDescent="0.2">
      <c r="A44" s="89">
        <v>41</v>
      </c>
      <c r="B44" s="84" t="s">
        <v>165</v>
      </c>
      <c r="C44" s="84" t="s">
        <v>93</v>
      </c>
      <c r="D44" s="83">
        <v>25</v>
      </c>
      <c r="E44" s="83" t="s">
        <v>79</v>
      </c>
      <c r="F44" s="83">
        <v>6</v>
      </c>
      <c r="G44" s="83">
        <v>3</v>
      </c>
      <c r="H44" s="83" t="s">
        <v>1377</v>
      </c>
      <c r="I44" s="83">
        <v>67</v>
      </c>
      <c r="J44" s="83">
        <v>111</v>
      </c>
      <c r="K44" s="83">
        <v>60.4</v>
      </c>
      <c r="L44" s="83">
        <v>787</v>
      </c>
      <c r="M44" s="83">
        <v>2</v>
      </c>
      <c r="N44" s="83">
        <v>1.8</v>
      </c>
      <c r="O44" s="83">
        <v>2</v>
      </c>
      <c r="P44" s="83">
        <v>1.8</v>
      </c>
      <c r="Q44" s="83">
        <v>32</v>
      </c>
      <c r="R44" s="83">
        <v>44</v>
      </c>
      <c r="S44" s="83">
        <v>7.1</v>
      </c>
      <c r="T44" s="83">
        <v>6.6</v>
      </c>
      <c r="U44" s="83">
        <v>11.7</v>
      </c>
      <c r="V44" s="83">
        <v>131.19999999999999</v>
      </c>
      <c r="W44" s="83">
        <v>80.400000000000006</v>
      </c>
      <c r="X44" s="83">
        <v>23.4</v>
      </c>
      <c r="Y44" s="83">
        <v>9</v>
      </c>
      <c r="Z44" s="83">
        <v>52</v>
      </c>
      <c r="AA44" s="83">
        <v>7.5</v>
      </c>
      <c r="AB44" s="83">
        <v>6.13</v>
      </c>
      <c r="AC44" s="83">
        <v>5.71</v>
      </c>
      <c r="AD44" s="83"/>
      <c r="AE44" s="83"/>
    </row>
    <row r="45" spans="1:31" ht="16" x14ac:dyDescent="0.2">
      <c r="A45" s="89">
        <v>42</v>
      </c>
      <c r="B45" s="84" t="s">
        <v>218</v>
      </c>
      <c r="C45" s="84" t="s">
        <v>78</v>
      </c>
      <c r="D45" s="83">
        <v>35</v>
      </c>
      <c r="E45" s="83" t="s">
        <v>79</v>
      </c>
      <c r="F45" s="83">
        <v>8</v>
      </c>
      <c r="G45" s="83">
        <v>3</v>
      </c>
      <c r="H45" s="85">
        <v>36557</v>
      </c>
      <c r="I45" s="83">
        <v>74</v>
      </c>
      <c r="J45" s="83">
        <v>99</v>
      </c>
      <c r="K45" s="83">
        <v>74.7</v>
      </c>
      <c r="L45" s="83">
        <v>740</v>
      </c>
      <c r="M45" s="83">
        <v>3</v>
      </c>
      <c r="N45" s="83">
        <v>3</v>
      </c>
      <c r="O45" s="83">
        <v>1</v>
      </c>
      <c r="P45" s="83">
        <v>1</v>
      </c>
      <c r="Q45" s="83">
        <v>39</v>
      </c>
      <c r="R45" s="83">
        <v>50</v>
      </c>
      <c r="S45" s="83">
        <v>7.5</v>
      </c>
      <c r="T45" s="83">
        <v>7.6</v>
      </c>
      <c r="U45" s="83">
        <v>10</v>
      </c>
      <c r="V45" s="83">
        <v>92.5</v>
      </c>
      <c r="W45" s="83">
        <v>101.4</v>
      </c>
      <c r="X45" s="83">
        <v>54.5</v>
      </c>
      <c r="Y45" s="83">
        <v>6</v>
      </c>
      <c r="Z45" s="83">
        <v>40</v>
      </c>
      <c r="AA45" s="83">
        <v>5.7</v>
      </c>
      <c r="AB45" s="83">
        <v>6.67</v>
      </c>
      <c r="AC45" s="83">
        <v>6.81</v>
      </c>
      <c r="AD45" s="83"/>
      <c r="AE45" s="83"/>
    </row>
    <row r="46" spans="1:31" ht="16" x14ac:dyDescent="0.2">
      <c r="A46" s="89">
        <v>43</v>
      </c>
      <c r="B46" s="84" t="s">
        <v>208</v>
      </c>
      <c r="C46" s="84" t="s">
        <v>108</v>
      </c>
      <c r="D46" s="83">
        <v>31</v>
      </c>
      <c r="E46" s="83" t="s">
        <v>79</v>
      </c>
      <c r="F46" s="83">
        <v>4</v>
      </c>
      <c r="G46" s="83">
        <v>3</v>
      </c>
      <c r="H46" s="85">
        <v>36527</v>
      </c>
      <c r="I46" s="83">
        <v>65</v>
      </c>
      <c r="J46" s="83">
        <v>95</v>
      </c>
      <c r="K46" s="83">
        <v>68.400000000000006</v>
      </c>
      <c r="L46" s="83">
        <v>702</v>
      </c>
      <c r="M46" s="83">
        <v>5</v>
      </c>
      <c r="N46" s="83">
        <v>5.3</v>
      </c>
      <c r="O46" s="83">
        <v>1</v>
      </c>
      <c r="P46" s="83">
        <v>1.1000000000000001</v>
      </c>
      <c r="Q46" s="83">
        <v>31</v>
      </c>
      <c r="R46" s="83">
        <v>84</v>
      </c>
      <c r="S46" s="83">
        <v>7.4</v>
      </c>
      <c r="T46" s="83">
        <v>8</v>
      </c>
      <c r="U46" s="83">
        <v>10.8</v>
      </c>
      <c r="V46" s="83">
        <v>175.5</v>
      </c>
      <c r="W46" s="83">
        <v>103</v>
      </c>
      <c r="X46" s="83">
        <v>45.8</v>
      </c>
      <c r="Y46" s="83">
        <v>13</v>
      </c>
      <c r="Z46" s="83">
        <v>117</v>
      </c>
      <c r="AA46" s="83">
        <v>12</v>
      </c>
      <c r="AB46" s="83">
        <v>5.42</v>
      </c>
      <c r="AC46" s="83">
        <v>5.93</v>
      </c>
      <c r="AD46" s="83"/>
      <c r="AE46" s="83"/>
    </row>
    <row r="47" spans="1:31" ht="16" x14ac:dyDescent="0.2">
      <c r="A47" s="89">
        <v>44</v>
      </c>
      <c r="B47" s="84" t="s">
        <v>140</v>
      </c>
      <c r="C47" s="84" t="s">
        <v>70</v>
      </c>
      <c r="D47" s="83">
        <v>32</v>
      </c>
      <c r="E47" s="83" t="s">
        <v>79</v>
      </c>
      <c r="F47" s="83">
        <v>8</v>
      </c>
      <c r="G47" s="83">
        <v>5</v>
      </c>
      <c r="H47" s="83" t="s">
        <v>1371</v>
      </c>
      <c r="I47" s="83">
        <v>69</v>
      </c>
      <c r="J47" s="83">
        <v>126</v>
      </c>
      <c r="K47" s="83">
        <v>54.8</v>
      </c>
      <c r="L47" s="83">
        <v>684</v>
      </c>
      <c r="M47" s="83">
        <v>4</v>
      </c>
      <c r="N47" s="83">
        <v>3.2</v>
      </c>
      <c r="O47" s="83">
        <v>5</v>
      </c>
      <c r="P47" s="83">
        <v>4</v>
      </c>
      <c r="Q47" s="83">
        <v>32</v>
      </c>
      <c r="R47" s="83">
        <v>64</v>
      </c>
      <c r="S47" s="83">
        <v>5.4</v>
      </c>
      <c r="T47" s="83">
        <v>4.3</v>
      </c>
      <c r="U47" s="83">
        <v>9.9</v>
      </c>
      <c r="V47" s="83">
        <v>85.5</v>
      </c>
      <c r="W47" s="83">
        <v>64.400000000000006</v>
      </c>
      <c r="X47" s="83">
        <v>25.5</v>
      </c>
      <c r="Y47" s="83">
        <v>10</v>
      </c>
      <c r="Z47" s="83">
        <v>83</v>
      </c>
      <c r="AA47" s="83">
        <v>7.4</v>
      </c>
      <c r="AB47" s="83">
        <v>4.42</v>
      </c>
      <c r="AC47" s="83">
        <v>3.35</v>
      </c>
      <c r="AD47" s="83"/>
      <c r="AE47" s="83"/>
    </row>
    <row r="48" spans="1:31" ht="16" x14ac:dyDescent="0.2">
      <c r="A48" s="89">
        <v>45</v>
      </c>
      <c r="B48" s="84" t="s">
        <v>2422</v>
      </c>
      <c r="C48" s="83" t="s">
        <v>1726</v>
      </c>
      <c r="D48" s="83">
        <v>35</v>
      </c>
      <c r="E48" s="83" t="s">
        <v>79</v>
      </c>
      <c r="F48" s="83">
        <v>4</v>
      </c>
      <c r="G48" s="83">
        <v>1</v>
      </c>
      <c r="H48" s="83" t="s">
        <v>958</v>
      </c>
      <c r="I48" s="83">
        <v>57</v>
      </c>
      <c r="J48" s="83">
        <v>85</v>
      </c>
      <c r="K48" s="83">
        <v>67.099999999999994</v>
      </c>
      <c r="L48" s="83">
        <v>638</v>
      </c>
      <c r="M48" s="83">
        <v>5</v>
      </c>
      <c r="N48" s="83">
        <v>5.9</v>
      </c>
      <c r="O48" s="83">
        <v>2</v>
      </c>
      <c r="P48" s="83">
        <v>2.4</v>
      </c>
      <c r="Q48" s="83">
        <v>39</v>
      </c>
      <c r="R48" s="83">
        <v>28</v>
      </c>
      <c r="S48" s="83">
        <v>7.5</v>
      </c>
      <c r="T48" s="83">
        <v>7.6</v>
      </c>
      <c r="U48" s="83">
        <v>11.2</v>
      </c>
      <c r="V48" s="83">
        <v>159.5</v>
      </c>
      <c r="W48" s="83">
        <v>99</v>
      </c>
      <c r="X48" s="83">
        <v>51.7</v>
      </c>
      <c r="Y48" s="83">
        <v>3</v>
      </c>
      <c r="Z48" s="83">
        <v>23</v>
      </c>
      <c r="AA48" s="83">
        <v>3.4</v>
      </c>
      <c r="AB48" s="83">
        <v>6.99</v>
      </c>
      <c r="AC48" s="83">
        <v>7.1</v>
      </c>
      <c r="AD48" s="83"/>
      <c r="AE48" s="83"/>
    </row>
    <row r="49" spans="1:31" ht="16" x14ac:dyDescent="0.2">
      <c r="A49" s="89">
        <v>46</v>
      </c>
      <c r="B49" s="84" t="s">
        <v>181</v>
      </c>
      <c r="C49" s="84" t="s">
        <v>1087</v>
      </c>
      <c r="D49" s="83">
        <v>21</v>
      </c>
      <c r="E49" s="83" t="s">
        <v>79</v>
      </c>
      <c r="F49" s="83">
        <v>6</v>
      </c>
      <c r="G49" s="83">
        <v>2</v>
      </c>
      <c r="H49" s="85">
        <v>36526</v>
      </c>
      <c r="I49" s="83">
        <v>41</v>
      </c>
      <c r="J49" s="83">
        <v>71</v>
      </c>
      <c r="K49" s="83">
        <v>57.7</v>
      </c>
      <c r="L49" s="83">
        <v>603</v>
      </c>
      <c r="M49" s="83">
        <v>5</v>
      </c>
      <c r="N49" s="83">
        <v>7</v>
      </c>
      <c r="O49" s="83">
        <v>2</v>
      </c>
      <c r="P49" s="83">
        <v>2.8</v>
      </c>
      <c r="Q49" s="83">
        <v>27</v>
      </c>
      <c r="R49" s="83">
        <v>76</v>
      </c>
      <c r="S49" s="83">
        <v>8.5</v>
      </c>
      <c r="T49" s="83">
        <v>8.6</v>
      </c>
      <c r="U49" s="83">
        <v>14.7</v>
      </c>
      <c r="V49" s="83">
        <v>100.5</v>
      </c>
      <c r="W49" s="83">
        <v>97.3</v>
      </c>
      <c r="X49" s="83">
        <v>33.4</v>
      </c>
      <c r="Y49" s="83">
        <v>4</v>
      </c>
      <c r="Z49" s="83">
        <v>15</v>
      </c>
      <c r="AA49" s="83">
        <v>5.3</v>
      </c>
      <c r="AB49" s="83">
        <v>7.84</v>
      </c>
      <c r="AC49" s="83">
        <v>7.97</v>
      </c>
      <c r="AD49" s="83"/>
      <c r="AE49" s="83"/>
    </row>
    <row r="50" spans="1:31" ht="16" x14ac:dyDescent="0.2">
      <c r="A50" s="89">
        <v>47</v>
      </c>
      <c r="B50" s="84" t="s">
        <v>226</v>
      </c>
      <c r="C50" s="84" t="s">
        <v>139</v>
      </c>
      <c r="D50" s="83">
        <v>27</v>
      </c>
      <c r="E50" s="83" t="s">
        <v>79</v>
      </c>
      <c r="F50" s="83">
        <v>5</v>
      </c>
      <c r="G50" s="83">
        <v>3</v>
      </c>
      <c r="H50" s="83" t="s">
        <v>1377</v>
      </c>
      <c r="I50" s="83">
        <v>61</v>
      </c>
      <c r="J50" s="83">
        <v>94</v>
      </c>
      <c r="K50" s="83">
        <v>64.900000000000006</v>
      </c>
      <c r="L50" s="83">
        <v>526</v>
      </c>
      <c r="M50" s="83">
        <v>3</v>
      </c>
      <c r="N50" s="83">
        <v>3.2</v>
      </c>
      <c r="O50" s="83">
        <v>6</v>
      </c>
      <c r="P50" s="83">
        <v>6.4</v>
      </c>
      <c r="Q50" s="83">
        <v>28</v>
      </c>
      <c r="R50" s="83">
        <v>42</v>
      </c>
      <c r="S50" s="83">
        <v>5.6</v>
      </c>
      <c r="T50" s="83">
        <v>3.4</v>
      </c>
      <c r="U50" s="83">
        <v>8.6</v>
      </c>
      <c r="V50" s="83">
        <v>105.2</v>
      </c>
      <c r="W50" s="83">
        <v>63.5</v>
      </c>
      <c r="X50" s="83">
        <v>26.4</v>
      </c>
      <c r="Y50" s="83">
        <v>0</v>
      </c>
      <c r="Z50" s="83">
        <v>0</v>
      </c>
      <c r="AA50" s="83">
        <v>0</v>
      </c>
      <c r="AB50" s="83">
        <v>5.6</v>
      </c>
      <c r="AC50" s="83">
        <v>3.36</v>
      </c>
      <c r="AD50" s="83"/>
      <c r="AE50" s="83"/>
    </row>
    <row r="51" spans="1:31" ht="16" x14ac:dyDescent="0.2">
      <c r="A51" s="89">
        <v>48</v>
      </c>
      <c r="B51" s="84" t="s">
        <v>191</v>
      </c>
      <c r="C51" s="84" t="s">
        <v>82</v>
      </c>
      <c r="D51" s="83">
        <v>33</v>
      </c>
      <c r="E51" s="83" t="s">
        <v>79</v>
      </c>
      <c r="F51" s="83">
        <v>7</v>
      </c>
      <c r="G51" s="83">
        <v>2</v>
      </c>
      <c r="H51" s="83" t="s">
        <v>3084</v>
      </c>
      <c r="I51" s="83">
        <v>47</v>
      </c>
      <c r="J51" s="83">
        <v>72</v>
      </c>
      <c r="K51" s="83">
        <v>65.3</v>
      </c>
      <c r="L51" s="83">
        <v>462</v>
      </c>
      <c r="M51" s="83">
        <v>3</v>
      </c>
      <c r="N51" s="83">
        <v>4.2</v>
      </c>
      <c r="O51" s="83">
        <v>1</v>
      </c>
      <c r="P51" s="83">
        <v>1.4</v>
      </c>
      <c r="Q51" s="83">
        <v>25</v>
      </c>
      <c r="R51" s="83">
        <v>34</v>
      </c>
      <c r="S51" s="83">
        <v>6.4</v>
      </c>
      <c r="T51" s="83">
        <v>6.6</v>
      </c>
      <c r="U51" s="83">
        <v>9.8000000000000007</v>
      </c>
      <c r="V51" s="83">
        <v>66</v>
      </c>
      <c r="W51" s="83">
        <v>91.3</v>
      </c>
      <c r="X51" s="83">
        <v>36.9</v>
      </c>
      <c r="Y51" s="83">
        <v>5</v>
      </c>
      <c r="Z51" s="83">
        <v>29</v>
      </c>
      <c r="AA51" s="83">
        <v>6.5</v>
      </c>
      <c r="AB51" s="83">
        <v>5.62</v>
      </c>
      <c r="AC51" s="83">
        <v>5.82</v>
      </c>
      <c r="AD51" s="83"/>
      <c r="AE51" s="83"/>
    </row>
    <row r="52" spans="1:31" ht="16" x14ac:dyDescent="0.2">
      <c r="A52" s="89">
        <v>49</v>
      </c>
      <c r="B52" s="84" t="s">
        <v>190</v>
      </c>
      <c r="C52" s="84" t="s">
        <v>102</v>
      </c>
      <c r="D52" s="83">
        <v>25</v>
      </c>
      <c r="E52" s="83" t="s">
        <v>79</v>
      </c>
      <c r="F52" s="83">
        <v>4</v>
      </c>
      <c r="G52" s="83">
        <v>2</v>
      </c>
      <c r="H52" s="85">
        <v>36526</v>
      </c>
      <c r="I52" s="83">
        <v>41</v>
      </c>
      <c r="J52" s="83">
        <v>60</v>
      </c>
      <c r="K52" s="83">
        <v>68.3</v>
      </c>
      <c r="L52" s="83">
        <v>439</v>
      </c>
      <c r="M52" s="83">
        <v>4</v>
      </c>
      <c r="N52" s="83">
        <v>6.7</v>
      </c>
      <c r="O52" s="83">
        <v>1</v>
      </c>
      <c r="P52" s="83">
        <v>1.7</v>
      </c>
      <c r="Q52" s="83">
        <v>24</v>
      </c>
      <c r="R52" s="83">
        <v>36</v>
      </c>
      <c r="S52" s="83">
        <v>7.3</v>
      </c>
      <c r="T52" s="83">
        <v>7.9</v>
      </c>
      <c r="U52" s="83">
        <v>10.7</v>
      </c>
      <c r="V52" s="83">
        <v>109.8</v>
      </c>
      <c r="W52" s="83">
        <v>104.8</v>
      </c>
      <c r="X52" s="83">
        <v>60.6</v>
      </c>
      <c r="Y52" s="83">
        <v>5</v>
      </c>
      <c r="Z52" s="83">
        <v>31</v>
      </c>
      <c r="AA52" s="83">
        <v>7.7</v>
      </c>
      <c r="AB52" s="83">
        <v>6.28</v>
      </c>
      <c r="AC52" s="83">
        <v>6.82</v>
      </c>
      <c r="AD52" s="83"/>
      <c r="AE52" s="83"/>
    </row>
    <row r="53" spans="1:31" ht="16" x14ac:dyDescent="0.2">
      <c r="A53" s="89">
        <v>50</v>
      </c>
      <c r="B53" s="84" t="s">
        <v>2446</v>
      </c>
      <c r="C53" s="84" t="s">
        <v>729</v>
      </c>
      <c r="D53" s="83">
        <v>28</v>
      </c>
      <c r="E53" s="83" t="s">
        <v>79</v>
      </c>
      <c r="F53" s="83">
        <v>5</v>
      </c>
      <c r="G53" s="83">
        <v>1</v>
      </c>
      <c r="H53" s="83" t="s">
        <v>936</v>
      </c>
      <c r="I53" s="83">
        <v>30</v>
      </c>
      <c r="J53" s="83">
        <v>47</v>
      </c>
      <c r="K53" s="83">
        <v>63.8</v>
      </c>
      <c r="L53" s="83">
        <v>422</v>
      </c>
      <c r="M53" s="83">
        <v>3</v>
      </c>
      <c r="N53" s="83">
        <v>6.4</v>
      </c>
      <c r="O53" s="83">
        <v>1</v>
      </c>
      <c r="P53" s="83">
        <v>2.1</v>
      </c>
      <c r="Q53" s="83">
        <v>18</v>
      </c>
      <c r="R53" s="83">
        <v>73</v>
      </c>
      <c r="S53" s="83">
        <v>9</v>
      </c>
      <c r="T53" s="83">
        <v>9.3000000000000007</v>
      </c>
      <c r="U53" s="83">
        <v>14.1</v>
      </c>
      <c r="V53" s="83">
        <v>84.4</v>
      </c>
      <c r="W53" s="83">
        <v>105.1</v>
      </c>
      <c r="X53" s="83">
        <v>41.8</v>
      </c>
      <c r="Y53" s="83">
        <v>3</v>
      </c>
      <c r="Z53" s="83">
        <v>19</v>
      </c>
      <c r="AA53" s="83">
        <v>6</v>
      </c>
      <c r="AB53" s="83">
        <v>8.06</v>
      </c>
      <c r="AC53" s="83">
        <v>8.36</v>
      </c>
      <c r="AD53" s="83">
        <v>1</v>
      </c>
      <c r="AE53" s="83">
        <v>1</v>
      </c>
    </row>
    <row r="54" spans="1:31" ht="16" x14ac:dyDescent="0.2">
      <c r="A54" s="89">
        <v>51</v>
      </c>
      <c r="B54" s="84" t="s">
        <v>195</v>
      </c>
      <c r="C54" s="84" t="s">
        <v>1267</v>
      </c>
      <c r="D54" s="83">
        <v>23</v>
      </c>
      <c r="E54" s="83" t="s">
        <v>79</v>
      </c>
      <c r="F54" s="83">
        <v>6</v>
      </c>
      <c r="G54" s="83">
        <v>1</v>
      </c>
      <c r="H54" s="83" t="s">
        <v>958</v>
      </c>
      <c r="I54" s="83">
        <v>36</v>
      </c>
      <c r="J54" s="83">
        <v>62</v>
      </c>
      <c r="K54" s="83">
        <v>58.1</v>
      </c>
      <c r="L54" s="83">
        <v>411</v>
      </c>
      <c r="M54" s="83">
        <v>2</v>
      </c>
      <c r="N54" s="83">
        <v>3.2</v>
      </c>
      <c r="O54" s="83">
        <v>3</v>
      </c>
      <c r="P54" s="83">
        <v>4.8</v>
      </c>
      <c r="Q54" s="83">
        <v>22</v>
      </c>
      <c r="R54" s="83">
        <v>62</v>
      </c>
      <c r="S54" s="83">
        <v>6.6</v>
      </c>
      <c r="T54" s="83">
        <v>5.0999999999999996</v>
      </c>
      <c r="U54" s="83">
        <v>11.4</v>
      </c>
      <c r="V54" s="83">
        <v>68.5</v>
      </c>
      <c r="W54" s="83">
        <v>68.7</v>
      </c>
      <c r="X54" s="83">
        <v>31.4</v>
      </c>
      <c r="Y54" s="83">
        <v>3</v>
      </c>
      <c r="Z54" s="83">
        <v>23</v>
      </c>
      <c r="AA54" s="83">
        <v>4.5999999999999996</v>
      </c>
      <c r="AB54" s="83">
        <v>5.97</v>
      </c>
      <c r="AC54" s="83">
        <v>4.51</v>
      </c>
      <c r="AD54" s="83"/>
      <c r="AE54" s="83"/>
    </row>
    <row r="55" spans="1:31" ht="16" x14ac:dyDescent="0.2">
      <c r="A55" s="89">
        <v>52</v>
      </c>
      <c r="B55" s="84" t="s">
        <v>193</v>
      </c>
      <c r="C55" s="84" t="s">
        <v>70</v>
      </c>
      <c r="D55" s="83">
        <v>26</v>
      </c>
      <c r="E55" s="83" t="s">
        <v>79</v>
      </c>
      <c r="F55" s="83">
        <v>5</v>
      </c>
      <c r="G55" s="83">
        <v>1</v>
      </c>
      <c r="H55" s="83" t="s">
        <v>936</v>
      </c>
      <c r="I55" s="83">
        <v>36</v>
      </c>
      <c r="J55" s="83">
        <v>66</v>
      </c>
      <c r="K55" s="83">
        <v>54.5</v>
      </c>
      <c r="L55" s="83">
        <v>362</v>
      </c>
      <c r="M55" s="83">
        <v>1</v>
      </c>
      <c r="N55" s="83">
        <v>1.5</v>
      </c>
      <c r="O55" s="83">
        <v>3</v>
      </c>
      <c r="P55" s="83">
        <v>4.5</v>
      </c>
      <c r="Q55" s="83">
        <v>19</v>
      </c>
      <c r="R55" s="83">
        <v>24</v>
      </c>
      <c r="S55" s="83">
        <v>5.5</v>
      </c>
      <c r="T55" s="83">
        <v>3.7</v>
      </c>
      <c r="U55" s="83">
        <v>10.1</v>
      </c>
      <c r="V55" s="83">
        <v>72.400000000000006</v>
      </c>
      <c r="W55" s="83">
        <v>56.5</v>
      </c>
      <c r="X55" s="83">
        <v>19.3</v>
      </c>
      <c r="Y55" s="83">
        <v>7</v>
      </c>
      <c r="Z55" s="83">
        <v>47</v>
      </c>
      <c r="AA55" s="83">
        <v>9.6</v>
      </c>
      <c r="AB55" s="83">
        <v>4.32</v>
      </c>
      <c r="AC55" s="83">
        <v>2.74</v>
      </c>
      <c r="AD55" s="83"/>
      <c r="AE55" s="83"/>
    </row>
    <row r="56" spans="1:31" ht="16" x14ac:dyDescent="0.2">
      <c r="A56" s="89">
        <v>53</v>
      </c>
      <c r="B56" s="84" t="s">
        <v>177</v>
      </c>
      <c r="C56" s="84" t="s">
        <v>71</v>
      </c>
      <c r="D56" s="83">
        <v>36</v>
      </c>
      <c r="E56" s="83" t="s">
        <v>79</v>
      </c>
      <c r="F56" s="83">
        <v>2</v>
      </c>
      <c r="G56" s="83">
        <v>1</v>
      </c>
      <c r="H56" s="83" t="s">
        <v>958</v>
      </c>
      <c r="I56" s="83">
        <v>27</v>
      </c>
      <c r="J56" s="83">
        <v>42</v>
      </c>
      <c r="K56" s="83">
        <v>64.3</v>
      </c>
      <c r="L56" s="83">
        <v>338</v>
      </c>
      <c r="M56" s="83">
        <v>3</v>
      </c>
      <c r="N56" s="83">
        <v>7.1</v>
      </c>
      <c r="O56" s="83">
        <v>0</v>
      </c>
      <c r="P56" s="83">
        <v>0</v>
      </c>
      <c r="Q56" s="83">
        <v>14</v>
      </c>
      <c r="R56" s="83">
        <v>62</v>
      </c>
      <c r="S56" s="83">
        <v>8</v>
      </c>
      <c r="T56" s="83">
        <v>9.5</v>
      </c>
      <c r="U56" s="83">
        <v>12.5</v>
      </c>
      <c r="V56" s="83">
        <v>169</v>
      </c>
      <c r="W56" s="83">
        <v>113</v>
      </c>
      <c r="X56" s="83">
        <v>43.5</v>
      </c>
      <c r="Y56" s="83">
        <v>2</v>
      </c>
      <c r="Z56" s="83">
        <v>13</v>
      </c>
      <c r="AA56" s="83">
        <v>4.5</v>
      </c>
      <c r="AB56" s="83">
        <v>7.39</v>
      </c>
      <c r="AC56" s="83">
        <v>8.75</v>
      </c>
      <c r="AD56" s="83"/>
      <c r="AE56" s="83"/>
    </row>
    <row r="57" spans="1:31" ht="16" x14ac:dyDescent="0.2">
      <c r="A57" s="89">
        <v>54</v>
      </c>
      <c r="B57" s="84" t="s">
        <v>200</v>
      </c>
      <c r="C57" s="84" t="s">
        <v>99</v>
      </c>
      <c r="D57" s="83">
        <v>26</v>
      </c>
      <c r="E57" s="83" t="s">
        <v>79</v>
      </c>
      <c r="F57" s="83">
        <v>2</v>
      </c>
      <c r="G57" s="83">
        <v>1</v>
      </c>
      <c r="H57" s="83" t="s">
        <v>2494</v>
      </c>
      <c r="I57" s="83">
        <v>35</v>
      </c>
      <c r="J57" s="83">
        <v>58</v>
      </c>
      <c r="K57" s="83">
        <v>60.3</v>
      </c>
      <c r="L57" s="83">
        <v>277</v>
      </c>
      <c r="M57" s="83">
        <v>1</v>
      </c>
      <c r="N57" s="83">
        <v>1.7</v>
      </c>
      <c r="O57" s="83">
        <v>1</v>
      </c>
      <c r="P57" s="83">
        <v>1.7</v>
      </c>
      <c r="Q57" s="83">
        <v>16</v>
      </c>
      <c r="R57" s="83">
        <v>36</v>
      </c>
      <c r="S57" s="83">
        <v>4.8</v>
      </c>
      <c r="T57" s="83">
        <v>4.3</v>
      </c>
      <c r="U57" s="83">
        <v>7.9</v>
      </c>
      <c r="V57" s="83">
        <v>138.5</v>
      </c>
      <c r="W57" s="83">
        <v>70.8</v>
      </c>
      <c r="X57" s="83">
        <v>39.5</v>
      </c>
      <c r="Y57" s="83">
        <v>0</v>
      </c>
      <c r="Z57" s="83">
        <v>0</v>
      </c>
      <c r="AA57" s="83">
        <v>0</v>
      </c>
      <c r="AB57" s="83">
        <v>4.78</v>
      </c>
      <c r="AC57" s="83">
        <v>4.34</v>
      </c>
      <c r="AD57" s="83">
        <v>1</v>
      </c>
      <c r="AE57" s="83">
        <v>0</v>
      </c>
    </row>
    <row r="58" spans="1:31" ht="16" x14ac:dyDescent="0.2">
      <c r="A58" s="89">
        <v>55</v>
      </c>
      <c r="B58" s="84" t="s">
        <v>1362</v>
      </c>
      <c r="C58" s="84" t="s">
        <v>727</v>
      </c>
      <c r="D58" s="83">
        <v>32</v>
      </c>
      <c r="E58" s="83" t="s">
        <v>79</v>
      </c>
      <c r="F58" s="83">
        <v>1</v>
      </c>
      <c r="G58" s="83">
        <v>1</v>
      </c>
      <c r="H58" s="83" t="s">
        <v>936</v>
      </c>
      <c r="I58" s="83">
        <v>24</v>
      </c>
      <c r="J58" s="83">
        <v>35</v>
      </c>
      <c r="K58" s="83">
        <v>68.599999999999994</v>
      </c>
      <c r="L58" s="83">
        <v>250</v>
      </c>
      <c r="M58" s="83">
        <v>1</v>
      </c>
      <c r="N58" s="83">
        <v>2.9</v>
      </c>
      <c r="O58" s="83">
        <v>0</v>
      </c>
      <c r="P58" s="83">
        <v>0</v>
      </c>
      <c r="Q58" s="83">
        <v>14</v>
      </c>
      <c r="R58" s="83">
        <v>30</v>
      </c>
      <c r="S58" s="83">
        <v>7.1</v>
      </c>
      <c r="T58" s="83">
        <v>7.7</v>
      </c>
      <c r="U58" s="83">
        <v>10.4</v>
      </c>
      <c r="V58" s="83">
        <v>250</v>
      </c>
      <c r="W58" s="83">
        <v>98.5</v>
      </c>
      <c r="X58" s="83">
        <v>45.6</v>
      </c>
      <c r="Y58" s="83">
        <v>4</v>
      </c>
      <c r="Z58" s="83">
        <v>21</v>
      </c>
      <c r="AA58" s="83">
        <v>10.3</v>
      </c>
      <c r="AB58" s="83">
        <v>5.87</v>
      </c>
      <c r="AC58" s="83">
        <v>6.38</v>
      </c>
      <c r="AD58" s="83">
        <v>1</v>
      </c>
      <c r="AE58" s="83">
        <v>1</v>
      </c>
    </row>
    <row r="59" spans="1:31" ht="16" x14ac:dyDescent="0.2">
      <c r="A59" s="89">
        <v>56</v>
      </c>
      <c r="B59" s="84" t="s">
        <v>231</v>
      </c>
      <c r="C59" s="84" t="s">
        <v>1122</v>
      </c>
      <c r="D59" s="83">
        <v>36</v>
      </c>
      <c r="E59" s="83" t="s">
        <v>79</v>
      </c>
      <c r="F59" s="83">
        <v>5</v>
      </c>
      <c r="G59" s="83">
        <v>0</v>
      </c>
      <c r="H59" s="83"/>
      <c r="I59" s="83">
        <v>9</v>
      </c>
      <c r="J59" s="83">
        <v>11</v>
      </c>
      <c r="K59" s="83">
        <v>81.8</v>
      </c>
      <c r="L59" s="83">
        <v>227</v>
      </c>
      <c r="M59" s="83">
        <v>1</v>
      </c>
      <c r="N59" s="83">
        <v>9.1</v>
      </c>
      <c r="O59" s="83">
        <v>0</v>
      </c>
      <c r="P59" s="83">
        <v>0</v>
      </c>
      <c r="Q59" s="83">
        <v>8</v>
      </c>
      <c r="R59" s="83">
        <v>48</v>
      </c>
      <c r="S59" s="83">
        <v>20.6</v>
      </c>
      <c r="T59" s="83">
        <v>22.5</v>
      </c>
      <c r="U59" s="83">
        <v>25.2</v>
      </c>
      <c r="V59" s="83">
        <v>45.4</v>
      </c>
      <c r="W59" s="83">
        <v>149.1</v>
      </c>
      <c r="X59" s="83">
        <v>97.4</v>
      </c>
      <c r="Y59" s="83">
        <v>0</v>
      </c>
      <c r="Z59" s="83">
        <v>0</v>
      </c>
      <c r="AA59" s="83">
        <v>0</v>
      </c>
      <c r="AB59" s="83">
        <v>20.64</v>
      </c>
      <c r="AC59" s="83">
        <v>22.45</v>
      </c>
      <c r="AD59" s="83"/>
      <c r="AE59" s="83"/>
    </row>
    <row r="60" spans="1:31" ht="16" x14ac:dyDescent="0.2">
      <c r="A60" s="89">
        <v>57</v>
      </c>
      <c r="B60" s="84" t="s">
        <v>2525</v>
      </c>
      <c r="C60" s="84" t="s">
        <v>92</v>
      </c>
      <c r="D60" s="83">
        <v>23</v>
      </c>
      <c r="E60" s="83" t="s">
        <v>79</v>
      </c>
      <c r="F60" s="83">
        <v>3</v>
      </c>
      <c r="G60" s="83">
        <v>2</v>
      </c>
      <c r="H60" s="83" t="s">
        <v>3085</v>
      </c>
      <c r="I60" s="83">
        <v>27</v>
      </c>
      <c r="J60" s="83">
        <v>60</v>
      </c>
      <c r="K60" s="83">
        <v>45</v>
      </c>
      <c r="L60" s="83">
        <v>210</v>
      </c>
      <c r="M60" s="83">
        <v>1</v>
      </c>
      <c r="N60" s="83">
        <v>1.7</v>
      </c>
      <c r="O60" s="83">
        <v>3</v>
      </c>
      <c r="P60" s="83">
        <v>5</v>
      </c>
      <c r="Q60" s="83">
        <v>10</v>
      </c>
      <c r="R60" s="83">
        <v>36</v>
      </c>
      <c r="S60" s="83">
        <v>3.5</v>
      </c>
      <c r="T60" s="83">
        <v>1.6</v>
      </c>
      <c r="U60" s="83">
        <v>7.8</v>
      </c>
      <c r="V60" s="83">
        <v>70</v>
      </c>
      <c r="W60" s="83">
        <v>38.9</v>
      </c>
      <c r="X60" s="83">
        <v>15.4</v>
      </c>
      <c r="Y60" s="83">
        <v>6</v>
      </c>
      <c r="Z60" s="83">
        <v>33</v>
      </c>
      <c r="AA60" s="83">
        <v>9.1</v>
      </c>
      <c r="AB60" s="83">
        <v>2.68</v>
      </c>
      <c r="AC60" s="83">
        <v>0.94</v>
      </c>
      <c r="AD60" s="83"/>
      <c r="AE60" s="83"/>
    </row>
    <row r="61" spans="1:31" ht="16" x14ac:dyDescent="0.2">
      <c r="A61" s="89">
        <v>58</v>
      </c>
      <c r="B61" s="84" t="s">
        <v>1380</v>
      </c>
      <c r="C61" s="84" t="s">
        <v>119</v>
      </c>
      <c r="D61" s="83">
        <v>30</v>
      </c>
      <c r="E61" s="83" t="s">
        <v>79</v>
      </c>
      <c r="F61" s="83">
        <v>1</v>
      </c>
      <c r="G61" s="83">
        <v>1</v>
      </c>
      <c r="H61" s="83" t="s">
        <v>958</v>
      </c>
      <c r="I61" s="83">
        <v>20</v>
      </c>
      <c r="J61" s="83">
        <v>31</v>
      </c>
      <c r="K61" s="83">
        <v>64.5</v>
      </c>
      <c r="L61" s="83">
        <v>194</v>
      </c>
      <c r="M61" s="83">
        <v>0</v>
      </c>
      <c r="N61" s="83">
        <v>0</v>
      </c>
      <c r="O61" s="83">
        <v>0</v>
      </c>
      <c r="P61" s="83">
        <v>0</v>
      </c>
      <c r="Q61" s="83">
        <v>8</v>
      </c>
      <c r="R61" s="83">
        <v>46</v>
      </c>
      <c r="S61" s="83">
        <v>6.3</v>
      </c>
      <c r="T61" s="83">
        <v>6.3</v>
      </c>
      <c r="U61" s="83">
        <v>9.6999999999999993</v>
      </c>
      <c r="V61" s="83">
        <v>194</v>
      </c>
      <c r="W61" s="83">
        <v>81.900000000000006</v>
      </c>
      <c r="X61" s="83">
        <v>39.6</v>
      </c>
      <c r="Y61" s="83">
        <v>2</v>
      </c>
      <c r="Z61" s="83">
        <v>20</v>
      </c>
      <c r="AA61" s="83">
        <v>6.1</v>
      </c>
      <c r="AB61" s="83">
        <v>5.27</v>
      </c>
      <c r="AC61" s="83">
        <v>5.27</v>
      </c>
      <c r="AD61" s="83"/>
      <c r="AE61" s="83"/>
    </row>
    <row r="62" spans="1:31" ht="16" x14ac:dyDescent="0.2">
      <c r="A62" s="89">
        <v>59</v>
      </c>
      <c r="B62" s="84" t="s">
        <v>2597</v>
      </c>
      <c r="C62" s="84" t="s">
        <v>73</v>
      </c>
      <c r="D62" s="83">
        <v>29</v>
      </c>
      <c r="E62" s="83" t="s">
        <v>79</v>
      </c>
      <c r="F62" s="83">
        <v>1</v>
      </c>
      <c r="G62" s="83">
        <v>1</v>
      </c>
      <c r="H62" s="83" t="s">
        <v>958</v>
      </c>
      <c r="I62" s="83">
        <v>22</v>
      </c>
      <c r="J62" s="83">
        <v>36</v>
      </c>
      <c r="K62" s="83">
        <v>61.1</v>
      </c>
      <c r="L62" s="83">
        <v>189</v>
      </c>
      <c r="M62" s="83">
        <v>1</v>
      </c>
      <c r="N62" s="83">
        <v>2.8</v>
      </c>
      <c r="O62" s="83">
        <v>0</v>
      </c>
      <c r="P62" s="83">
        <v>0</v>
      </c>
      <c r="Q62" s="83">
        <v>8</v>
      </c>
      <c r="R62" s="83">
        <v>30</v>
      </c>
      <c r="S62" s="83">
        <v>5.3</v>
      </c>
      <c r="T62" s="83">
        <v>5.8</v>
      </c>
      <c r="U62" s="83">
        <v>8.6</v>
      </c>
      <c r="V62" s="83">
        <v>189</v>
      </c>
      <c r="W62" s="83">
        <v>84.1</v>
      </c>
      <c r="X62" s="83">
        <v>33.5</v>
      </c>
      <c r="Y62" s="83">
        <v>2</v>
      </c>
      <c r="Z62" s="83">
        <v>15</v>
      </c>
      <c r="AA62" s="83">
        <v>5.3</v>
      </c>
      <c r="AB62" s="83">
        <v>4.58</v>
      </c>
      <c r="AC62" s="83">
        <v>5.1100000000000003</v>
      </c>
      <c r="AD62" s="83"/>
      <c r="AE62" s="83"/>
    </row>
    <row r="63" spans="1:31" x14ac:dyDescent="0.2">
      <c r="A63" s="89" t="s">
        <v>902</v>
      </c>
      <c r="B63" s="89" t="s">
        <v>903</v>
      </c>
      <c r="C63" s="89" t="s">
        <v>1314</v>
      </c>
      <c r="D63" s="89" t="s">
        <v>905</v>
      </c>
      <c r="E63" s="89" t="s">
        <v>906</v>
      </c>
      <c r="F63" s="89" t="s">
        <v>1315</v>
      </c>
      <c r="G63" s="89" t="s">
        <v>1316</v>
      </c>
      <c r="H63" s="89" t="s">
        <v>1317</v>
      </c>
      <c r="I63" s="89" t="s">
        <v>1318</v>
      </c>
      <c r="J63" s="89" t="s">
        <v>1319</v>
      </c>
      <c r="K63" s="89" t="s">
        <v>1320</v>
      </c>
      <c r="L63" s="89" t="s">
        <v>799</v>
      </c>
      <c r="M63" s="89" t="s">
        <v>800</v>
      </c>
      <c r="N63" s="89" t="s">
        <v>913</v>
      </c>
      <c r="O63" s="89" t="s">
        <v>914</v>
      </c>
      <c r="P63" s="89" t="s">
        <v>915</v>
      </c>
      <c r="Q63" s="89" t="s">
        <v>1321</v>
      </c>
      <c r="R63" s="89" t="s">
        <v>917</v>
      </c>
      <c r="S63" s="89" t="s">
        <v>1322</v>
      </c>
      <c r="T63" s="89" t="s">
        <v>1323</v>
      </c>
      <c r="U63" s="89" t="s">
        <v>1324</v>
      </c>
      <c r="V63" s="89" t="s">
        <v>1325</v>
      </c>
      <c r="W63" s="89" t="s">
        <v>1326</v>
      </c>
      <c r="X63" s="89" t="s">
        <v>923</v>
      </c>
      <c r="Y63" s="89" t="s">
        <v>1327</v>
      </c>
      <c r="Z63" s="89" t="s">
        <v>799</v>
      </c>
      <c r="AA63" s="89" t="s">
        <v>928</v>
      </c>
      <c r="AB63" s="89" t="s">
        <v>1329</v>
      </c>
      <c r="AC63" s="89" t="s">
        <v>1330</v>
      </c>
      <c r="AD63" s="89" t="s">
        <v>929</v>
      </c>
      <c r="AE63" s="89" t="s">
        <v>930</v>
      </c>
    </row>
    <row r="64" spans="1:31" ht="16" x14ac:dyDescent="0.2">
      <c r="A64" s="89">
        <v>60</v>
      </c>
      <c r="B64" s="84" t="s">
        <v>184</v>
      </c>
      <c r="C64" s="84" t="s">
        <v>74</v>
      </c>
      <c r="D64" s="83">
        <v>29</v>
      </c>
      <c r="E64" s="83" t="s">
        <v>79</v>
      </c>
      <c r="F64" s="83">
        <v>6</v>
      </c>
      <c r="G64" s="83">
        <v>1</v>
      </c>
      <c r="H64" s="83" t="s">
        <v>958</v>
      </c>
      <c r="I64" s="83">
        <v>17</v>
      </c>
      <c r="J64" s="83">
        <v>34</v>
      </c>
      <c r="K64" s="83">
        <v>50</v>
      </c>
      <c r="L64" s="83">
        <v>149</v>
      </c>
      <c r="M64" s="83">
        <v>2</v>
      </c>
      <c r="N64" s="83">
        <v>5.9</v>
      </c>
      <c r="O64" s="83">
        <v>0</v>
      </c>
      <c r="P64" s="83">
        <v>0</v>
      </c>
      <c r="Q64" s="83">
        <v>5</v>
      </c>
      <c r="R64" s="83">
        <v>26</v>
      </c>
      <c r="S64" s="83">
        <v>4.4000000000000004</v>
      </c>
      <c r="T64" s="83">
        <v>5.6</v>
      </c>
      <c r="U64" s="83">
        <v>8.8000000000000007</v>
      </c>
      <c r="V64" s="83">
        <v>24.8</v>
      </c>
      <c r="W64" s="83">
        <v>81.599999999999994</v>
      </c>
      <c r="X64" s="83">
        <v>8.4</v>
      </c>
      <c r="Y64" s="83">
        <v>4</v>
      </c>
      <c r="Z64" s="83">
        <v>33</v>
      </c>
      <c r="AA64" s="83">
        <v>10.5</v>
      </c>
      <c r="AB64" s="83">
        <v>3.05</v>
      </c>
      <c r="AC64" s="83">
        <v>4.1100000000000003</v>
      </c>
      <c r="AD64" s="83">
        <v>0</v>
      </c>
      <c r="AE64" s="83">
        <v>1</v>
      </c>
    </row>
    <row r="65" spans="1:31" ht="16" x14ac:dyDescent="0.2">
      <c r="A65" s="89">
        <v>61</v>
      </c>
      <c r="B65" s="84" t="s">
        <v>216</v>
      </c>
      <c r="C65" s="84" t="s">
        <v>82</v>
      </c>
      <c r="D65" s="83">
        <v>26</v>
      </c>
      <c r="E65" s="83" t="s">
        <v>79</v>
      </c>
      <c r="F65" s="83">
        <v>1</v>
      </c>
      <c r="G65" s="83">
        <v>1</v>
      </c>
      <c r="H65" s="83" t="s">
        <v>958</v>
      </c>
      <c r="I65" s="83">
        <v>20</v>
      </c>
      <c r="J65" s="83">
        <v>30</v>
      </c>
      <c r="K65" s="83">
        <v>66.7</v>
      </c>
      <c r="L65" s="83">
        <v>147</v>
      </c>
      <c r="M65" s="83">
        <v>1</v>
      </c>
      <c r="N65" s="83">
        <v>3.3</v>
      </c>
      <c r="O65" s="83">
        <v>0</v>
      </c>
      <c r="P65" s="83">
        <v>0</v>
      </c>
      <c r="Q65" s="83">
        <v>9</v>
      </c>
      <c r="R65" s="83">
        <v>25</v>
      </c>
      <c r="S65" s="83">
        <v>4.9000000000000004</v>
      </c>
      <c r="T65" s="83">
        <v>5.6</v>
      </c>
      <c r="U65" s="83">
        <v>7.4</v>
      </c>
      <c r="V65" s="83">
        <v>147</v>
      </c>
      <c r="W65" s="83">
        <v>89.2</v>
      </c>
      <c r="X65" s="83">
        <v>77.599999999999994</v>
      </c>
      <c r="Y65" s="83">
        <v>0</v>
      </c>
      <c r="Z65" s="83">
        <v>0</v>
      </c>
      <c r="AA65" s="83">
        <v>0</v>
      </c>
      <c r="AB65" s="83">
        <v>4.9000000000000004</v>
      </c>
      <c r="AC65" s="83">
        <v>5.57</v>
      </c>
      <c r="AD65" s="83"/>
      <c r="AE65" s="83"/>
    </row>
    <row r="66" spans="1:31" ht="16" x14ac:dyDescent="0.2">
      <c r="A66" s="89">
        <v>62</v>
      </c>
      <c r="B66" s="84" t="s">
        <v>2643</v>
      </c>
      <c r="C66" s="84" t="s">
        <v>1257</v>
      </c>
      <c r="D66" s="83">
        <v>23</v>
      </c>
      <c r="E66" s="83" t="s">
        <v>79</v>
      </c>
      <c r="F66" s="83">
        <v>1</v>
      </c>
      <c r="G66" s="83">
        <v>1</v>
      </c>
      <c r="H66" s="83" t="s">
        <v>958</v>
      </c>
      <c r="I66" s="83">
        <v>12</v>
      </c>
      <c r="J66" s="83">
        <v>20</v>
      </c>
      <c r="K66" s="83">
        <v>60</v>
      </c>
      <c r="L66" s="83">
        <v>135</v>
      </c>
      <c r="M66" s="83">
        <v>0</v>
      </c>
      <c r="N66" s="83">
        <v>0</v>
      </c>
      <c r="O66" s="83">
        <v>2</v>
      </c>
      <c r="P66" s="83">
        <v>10</v>
      </c>
      <c r="Q66" s="83">
        <v>5</v>
      </c>
      <c r="R66" s="83">
        <v>56</v>
      </c>
      <c r="S66" s="83">
        <v>6.8</v>
      </c>
      <c r="T66" s="83">
        <v>2.2999999999999998</v>
      </c>
      <c r="U66" s="83">
        <v>11.3</v>
      </c>
      <c r="V66" s="83">
        <v>135</v>
      </c>
      <c r="W66" s="83">
        <v>40.6</v>
      </c>
      <c r="X66" s="83">
        <v>2.2000000000000002</v>
      </c>
      <c r="Y66" s="83">
        <v>8</v>
      </c>
      <c r="Z66" s="83">
        <v>54</v>
      </c>
      <c r="AA66" s="83">
        <v>28.6</v>
      </c>
      <c r="AB66" s="83">
        <v>2.89</v>
      </c>
      <c r="AC66" s="83">
        <v>-0.32</v>
      </c>
      <c r="AD66" s="83"/>
      <c r="AE66" s="83"/>
    </row>
    <row r="67" spans="1:31" ht="16" x14ac:dyDescent="0.2">
      <c r="A67" s="89">
        <v>63</v>
      </c>
      <c r="B67" s="84" t="s">
        <v>234</v>
      </c>
      <c r="C67" s="84" t="s">
        <v>119</v>
      </c>
      <c r="D67" s="83">
        <v>25</v>
      </c>
      <c r="E67" s="83" t="s">
        <v>79</v>
      </c>
      <c r="F67" s="83">
        <v>2</v>
      </c>
      <c r="G67" s="83">
        <v>0</v>
      </c>
      <c r="H67" s="83"/>
      <c r="I67" s="83">
        <v>12</v>
      </c>
      <c r="J67" s="83">
        <v>19</v>
      </c>
      <c r="K67" s="83">
        <v>63.2</v>
      </c>
      <c r="L67" s="83">
        <v>120</v>
      </c>
      <c r="M67" s="83">
        <v>1</v>
      </c>
      <c r="N67" s="83">
        <v>5.3</v>
      </c>
      <c r="O67" s="83">
        <v>0</v>
      </c>
      <c r="P67" s="83">
        <v>0</v>
      </c>
      <c r="Q67" s="83">
        <v>6</v>
      </c>
      <c r="R67" s="83">
        <v>19</v>
      </c>
      <c r="S67" s="83">
        <v>6.3</v>
      </c>
      <c r="T67" s="83">
        <v>7.4</v>
      </c>
      <c r="U67" s="83">
        <v>10</v>
      </c>
      <c r="V67" s="83">
        <v>60</v>
      </c>
      <c r="W67" s="83">
        <v>98.6</v>
      </c>
      <c r="X67" s="83">
        <v>24.6</v>
      </c>
      <c r="Y67" s="83">
        <v>2</v>
      </c>
      <c r="Z67" s="83">
        <v>5</v>
      </c>
      <c r="AA67" s="83">
        <v>9.5</v>
      </c>
      <c r="AB67" s="83">
        <v>5.48</v>
      </c>
      <c r="AC67" s="83">
        <v>6.43</v>
      </c>
      <c r="AD67" s="83"/>
      <c r="AE67" s="83"/>
    </row>
    <row r="68" spans="1:31" ht="16" x14ac:dyDescent="0.2">
      <c r="A68" s="89">
        <v>64</v>
      </c>
      <c r="B68" s="84" t="s">
        <v>1396</v>
      </c>
      <c r="C68" s="84" t="s">
        <v>729</v>
      </c>
      <c r="D68" s="83">
        <v>26</v>
      </c>
      <c r="E68" s="83" t="s">
        <v>83</v>
      </c>
      <c r="F68" s="83">
        <v>16</v>
      </c>
      <c r="G68" s="83">
        <v>4</v>
      </c>
      <c r="H68" s="83"/>
      <c r="I68" s="83">
        <v>3</v>
      </c>
      <c r="J68" s="83">
        <v>3</v>
      </c>
      <c r="K68" s="83">
        <v>100</v>
      </c>
      <c r="L68" s="83">
        <v>88</v>
      </c>
      <c r="M68" s="83">
        <v>0</v>
      </c>
      <c r="N68" s="83">
        <v>0</v>
      </c>
      <c r="O68" s="83">
        <v>0</v>
      </c>
      <c r="P68" s="83">
        <v>0</v>
      </c>
      <c r="Q68" s="83">
        <v>3</v>
      </c>
      <c r="R68" s="83">
        <v>35</v>
      </c>
      <c r="S68" s="83">
        <v>29.3</v>
      </c>
      <c r="T68" s="83">
        <v>29.3</v>
      </c>
      <c r="U68" s="83">
        <v>29.3</v>
      </c>
      <c r="V68" s="83">
        <v>5.5</v>
      </c>
      <c r="W68" s="83">
        <v>118.7</v>
      </c>
      <c r="X68" s="83">
        <v>99.9</v>
      </c>
      <c r="Y68" s="83">
        <v>0</v>
      </c>
      <c r="Z68" s="83">
        <v>0</v>
      </c>
      <c r="AA68" s="83">
        <v>0</v>
      </c>
      <c r="AB68" s="83">
        <v>29.33</v>
      </c>
      <c r="AC68" s="83">
        <v>29.33</v>
      </c>
      <c r="AD68" s="83"/>
      <c r="AE68" s="83"/>
    </row>
    <row r="69" spans="1:31" ht="16" x14ac:dyDescent="0.2">
      <c r="A69" s="89">
        <v>65</v>
      </c>
      <c r="B69" s="84" t="s">
        <v>229</v>
      </c>
      <c r="C69" s="84" t="s">
        <v>1040</v>
      </c>
      <c r="D69" s="83">
        <v>36</v>
      </c>
      <c r="E69" s="83" t="s">
        <v>79</v>
      </c>
      <c r="F69" s="83">
        <v>4</v>
      </c>
      <c r="G69" s="83">
        <v>0</v>
      </c>
      <c r="H69" s="83"/>
      <c r="I69" s="83">
        <v>11</v>
      </c>
      <c r="J69" s="83">
        <v>16</v>
      </c>
      <c r="K69" s="83">
        <v>68.8</v>
      </c>
      <c r="L69" s="83">
        <v>82</v>
      </c>
      <c r="M69" s="83">
        <v>0</v>
      </c>
      <c r="N69" s="83">
        <v>0</v>
      </c>
      <c r="O69" s="83">
        <v>0</v>
      </c>
      <c r="P69" s="83">
        <v>0</v>
      </c>
      <c r="Q69" s="83">
        <v>6</v>
      </c>
      <c r="R69" s="83">
        <v>17</v>
      </c>
      <c r="S69" s="83">
        <v>5.0999999999999996</v>
      </c>
      <c r="T69" s="83">
        <v>5.0999999999999996</v>
      </c>
      <c r="U69" s="83">
        <v>7.5</v>
      </c>
      <c r="V69" s="83">
        <v>20.5</v>
      </c>
      <c r="W69" s="83">
        <v>80.7</v>
      </c>
      <c r="X69" s="83">
        <v>69.2</v>
      </c>
      <c r="Y69" s="83">
        <v>0</v>
      </c>
      <c r="Z69" s="83">
        <v>0</v>
      </c>
      <c r="AA69" s="83">
        <v>0</v>
      </c>
      <c r="AB69" s="83">
        <v>5.13</v>
      </c>
      <c r="AC69" s="83">
        <v>5.13</v>
      </c>
      <c r="AD69" s="83"/>
      <c r="AE69" s="83"/>
    </row>
    <row r="70" spans="1:31" ht="16" x14ac:dyDescent="0.2">
      <c r="A70" s="89">
        <v>66</v>
      </c>
      <c r="B70" s="84" t="s">
        <v>2356</v>
      </c>
      <c r="C70" s="84" t="s">
        <v>139</v>
      </c>
      <c r="D70" s="83">
        <v>25</v>
      </c>
      <c r="E70" s="83" t="s">
        <v>83</v>
      </c>
      <c r="F70" s="83">
        <v>12</v>
      </c>
      <c r="G70" s="83">
        <v>0</v>
      </c>
      <c r="H70" s="83"/>
      <c r="I70" s="83">
        <v>1</v>
      </c>
      <c r="J70" s="83">
        <v>1</v>
      </c>
      <c r="K70" s="83">
        <v>100</v>
      </c>
      <c r="L70" s="83">
        <v>75</v>
      </c>
      <c r="M70" s="83">
        <v>1</v>
      </c>
      <c r="N70" s="83">
        <v>100</v>
      </c>
      <c r="O70" s="83">
        <v>0</v>
      </c>
      <c r="P70" s="83">
        <v>0</v>
      </c>
      <c r="Q70" s="83">
        <v>1</v>
      </c>
      <c r="R70" s="83">
        <v>75</v>
      </c>
      <c r="S70" s="83">
        <v>75</v>
      </c>
      <c r="T70" s="83">
        <v>95</v>
      </c>
      <c r="U70" s="83">
        <v>75</v>
      </c>
      <c r="V70" s="83">
        <v>6.3</v>
      </c>
      <c r="W70" s="83">
        <v>158.30000000000001</v>
      </c>
      <c r="X70" s="83">
        <v>100</v>
      </c>
      <c r="Y70" s="83">
        <v>0</v>
      </c>
      <c r="Z70" s="83">
        <v>0</v>
      </c>
      <c r="AA70" s="83">
        <v>0</v>
      </c>
      <c r="AB70" s="83">
        <v>75</v>
      </c>
      <c r="AC70" s="83">
        <v>95</v>
      </c>
      <c r="AD70" s="83"/>
      <c r="AE70" s="83"/>
    </row>
    <row r="71" spans="1:31" ht="16" x14ac:dyDescent="0.2">
      <c r="A71" s="89">
        <v>67</v>
      </c>
      <c r="B71" s="84" t="s">
        <v>1385</v>
      </c>
      <c r="C71" s="84" t="s">
        <v>976</v>
      </c>
      <c r="D71" s="83">
        <v>32</v>
      </c>
      <c r="E71" s="83" t="s">
        <v>79</v>
      </c>
      <c r="F71" s="83">
        <v>6</v>
      </c>
      <c r="G71" s="83">
        <v>0</v>
      </c>
      <c r="H71" s="83"/>
      <c r="I71" s="83">
        <v>7</v>
      </c>
      <c r="J71" s="83">
        <v>11</v>
      </c>
      <c r="K71" s="83">
        <v>63.6</v>
      </c>
      <c r="L71" s="83">
        <v>67</v>
      </c>
      <c r="M71" s="83">
        <v>0</v>
      </c>
      <c r="N71" s="83">
        <v>0</v>
      </c>
      <c r="O71" s="83">
        <v>0</v>
      </c>
      <c r="P71" s="83">
        <v>0</v>
      </c>
      <c r="Q71" s="83">
        <v>4</v>
      </c>
      <c r="R71" s="83">
        <v>23</v>
      </c>
      <c r="S71" s="83">
        <v>6.1</v>
      </c>
      <c r="T71" s="83">
        <v>6.1</v>
      </c>
      <c r="U71" s="83">
        <v>9.6</v>
      </c>
      <c r="V71" s="83">
        <v>11.2</v>
      </c>
      <c r="W71" s="83">
        <v>80.5</v>
      </c>
      <c r="X71" s="83">
        <v>31.2</v>
      </c>
      <c r="Y71" s="83">
        <v>1</v>
      </c>
      <c r="Z71" s="83">
        <v>10</v>
      </c>
      <c r="AA71" s="83">
        <v>8.3000000000000007</v>
      </c>
      <c r="AB71" s="83">
        <v>4.75</v>
      </c>
      <c r="AC71" s="83">
        <v>4.75</v>
      </c>
      <c r="AD71" s="83"/>
      <c r="AE71" s="83"/>
    </row>
    <row r="72" spans="1:31" ht="16" x14ac:dyDescent="0.2">
      <c r="A72" s="89">
        <v>68</v>
      </c>
      <c r="B72" s="84" t="s">
        <v>241</v>
      </c>
      <c r="C72" s="84" t="s">
        <v>74</v>
      </c>
      <c r="D72" s="83">
        <v>27</v>
      </c>
      <c r="E72" s="83" t="s">
        <v>83</v>
      </c>
      <c r="F72" s="83">
        <v>16</v>
      </c>
      <c r="G72" s="83">
        <v>10</v>
      </c>
      <c r="H72" s="83"/>
      <c r="I72" s="83">
        <v>1</v>
      </c>
      <c r="J72" s="83">
        <v>1</v>
      </c>
      <c r="K72" s="83">
        <v>100</v>
      </c>
      <c r="L72" s="83">
        <v>46</v>
      </c>
      <c r="M72" s="83">
        <v>0</v>
      </c>
      <c r="N72" s="83">
        <v>0</v>
      </c>
      <c r="O72" s="83">
        <v>0</v>
      </c>
      <c r="P72" s="83">
        <v>0</v>
      </c>
      <c r="Q72" s="83">
        <v>1</v>
      </c>
      <c r="R72" s="83">
        <v>46</v>
      </c>
      <c r="S72" s="83">
        <v>46</v>
      </c>
      <c r="T72" s="83">
        <v>46</v>
      </c>
      <c r="U72" s="83">
        <v>46</v>
      </c>
      <c r="V72" s="83">
        <v>2.9</v>
      </c>
      <c r="W72" s="83">
        <v>118.7</v>
      </c>
      <c r="X72" s="83">
        <v>98.7</v>
      </c>
      <c r="Y72" s="83">
        <v>0</v>
      </c>
      <c r="Z72" s="83">
        <v>0</v>
      </c>
      <c r="AA72" s="83">
        <v>0</v>
      </c>
      <c r="AB72" s="83">
        <v>46</v>
      </c>
      <c r="AC72" s="83">
        <v>46</v>
      </c>
      <c r="AD72" s="83"/>
      <c r="AE72" s="83"/>
    </row>
    <row r="73" spans="1:31" ht="16" x14ac:dyDescent="0.2">
      <c r="A73" s="89">
        <v>69</v>
      </c>
      <c r="B73" s="84" t="s">
        <v>269</v>
      </c>
      <c r="C73" s="84" t="s">
        <v>1122</v>
      </c>
      <c r="D73" s="83">
        <v>25</v>
      </c>
      <c r="E73" s="83" t="s">
        <v>83</v>
      </c>
      <c r="F73" s="83">
        <v>17</v>
      </c>
      <c r="G73" s="83">
        <v>16</v>
      </c>
      <c r="H73" s="83"/>
      <c r="I73" s="83">
        <v>2</v>
      </c>
      <c r="J73" s="83">
        <v>2</v>
      </c>
      <c r="K73" s="83">
        <v>100</v>
      </c>
      <c r="L73" s="83">
        <v>45</v>
      </c>
      <c r="M73" s="83">
        <v>0</v>
      </c>
      <c r="N73" s="83">
        <v>0</v>
      </c>
      <c r="O73" s="83">
        <v>0</v>
      </c>
      <c r="P73" s="83">
        <v>0</v>
      </c>
      <c r="Q73" s="83">
        <v>1</v>
      </c>
      <c r="R73" s="83">
        <v>30</v>
      </c>
      <c r="S73" s="83">
        <v>22.5</v>
      </c>
      <c r="T73" s="83">
        <v>22.5</v>
      </c>
      <c r="U73" s="83">
        <v>22.5</v>
      </c>
      <c r="V73" s="83">
        <v>2.6</v>
      </c>
      <c r="W73" s="83">
        <v>118.7</v>
      </c>
      <c r="X73" s="83">
        <v>73.599999999999994</v>
      </c>
      <c r="Y73" s="83">
        <v>0</v>
      </c>
      <c r="Z73" s="83">
        <v>0</v>
      </c>
      <c r="AA73" s="83">
        <v>0</v>
      </c>
      <c r="AB73" s="83">
        <v>22.5</v>
      </c>
      <c r="AC73" s="83">
        <v>22.5</v>
      </c>
      <c r="AD73" s="83"/>
      <c r="AE73" s="83"/>
    </row>
    <row r="74" spans="1:31" ht="16" x14ac:dyDescent="0.2">
      <c r="A74" s="89">
        <v>70</v>
      </c>
      <c r="B74" s="84" t="s">
        <v>188</v>
      </c>
      <c r="C74" s="84" t="s">
        <v>98</v>
      </c>
      <c r="D74" s="83">
        <v>27</v>
      </c>
      <c r="E74" s="83" t="s">
        <v>79</v>
      </c>
      <c r="F74" s="83">
        <v>6</v>
      </c>
      <c r="G74" s="83">
        <v>0</v>
      </c>
      <c r="H74" s="83"/>
      <c r="I74" s="83">
        <v>6</v>
      </c>
      <c r="J74" s="83">
        <v>8</v>
      </c>
      <c r="K74" s="83">
        <v>75</v>
      </c>
      <c r="L74" s="83">
        <v>43</v>
      </c>
      <c r="M74" s="83">
        <v>0</v>
      </c>
      <c r="N74" s="83">
        <v>0</v>
      </c>
      <c r="O74" s="83">
        <v>1</v>
      </c>
      <c r="P74" s="83">
        <v>12.5</v>
      </c>
      <c r="Q74" s="83">
        <v>2</v>
      </c>
      <c r="R74" s="83">
        <v>15</v>
      </c>
      <c r="S74" s="83">
        <v>5.4</v>
      </c>
      <c r="T74" s="83">
        <v>-0.3</v>
      </c>
      <c r="U74" s="83">
        <v>7.2</v>
      </c>
      <c r="V74" s="83">
        <v>7.2</v>
      </c>
      <c r="W74" s="83">
        <v>47.4</v>
      </c>
      <c r="X74" s="83">
        <v>73.2</v>
      </c>
      <c r="Y74" s="83">
        <v>0</v>
      </c>
      <c r="Z74" s="83">
        <v>0</v>
      </c>
      <c r="AA74" s="83">
        <v>0</v>
      </c>
      <c r="AB74" s="83">
        <v>5.38</v>
      </c>
      <c r="AC74" s="83">
        <v>-0.25</v>
      </c>
      <c r="AD74" s="83"/>
      <c r="AE74" s="83"/>
    </row>
    <row r="75" spans="1:31" ht="16" x14ac:dyDescent="0.2">
      <c r="A75" s="89">
        <v>71</v>
      </c>
      <c r="B75" s="84" t="s">
        <v>2410</v>
      </c>
      <c r="C75" s="84" t="s">
        <v>139</v>
      </c>
      <c r="D75" s="83">
        <v>25</v>
      </c>
      <c r="E75" s="83" t="s">
        <v>3105</v>
      </c>
      <c r="F75" s="83">
        <v>17</v>
      </c>
      <c r="G75" s="83">
        <v>0</v>
      </c>
      <c r="H75" s="83"/>
      <c r="I75" s="83">
        <v>2</v>
      </c>
      <c r="J75" s="83">
        <v>3</v>
      </c>
      <c r="K75" s="83">
        <v>66.7</v>
      </c>
      <c r="L75" s="83">
        <v>38</v>
      </c>
      <c r="M75" s="83">
        <v>0</v>
      </c>
      <c r="N75" s="83">
        <v>0</v>
      </c>
      <c r="O75" s="83">
        <v>0</v>
      </c>
      <c r="P75" s="83">
        <v>0</v>
      </c>
      <c r="Q75" s="83">
        <v>2</v>
      </c>
      <c r="R75" s="83">
        <v>21</v>
      </c>
      <c r="S75" s="83">
        <v>12.7</v>
      </c>
      <c r="T75" s="83">
        <v>12.7</v>
      </c>
      <c r="U75" s="83">
        <v>19</v>
      </c>
      <c r="V75" s="83">
        <v>2.2000000000000002</v>
      </c>
      <c r="W75" s="83">
        <v>109.7</v>
      </c>
      <c r="X75" s="83"/>
      <c r="Y75" s="83">
        <v>0</v>
      </c>
      <c r="Z75" s="83">
        <v>0</v>
      </c>
      <c r="AA75" s="83">
        <v>0</v>
      </c>
      <c r="AB75" s="83">
        <v>12.67</v>
      </c>
      <c r="AC75" s="83">
        <v>12.67</v>
      </c>
      <c r="AD75" s="83"/>
      <c r="AE75" s="83"/>
    </row>
    <row r="76" spans="1:31" ht="16" x14ac:dyDescent="0.2">
      <c r="A76" s="89">
        <v>72</v>
      </c>
      <c r="B76" s="84" t="s">
        <v>207</v>
      </c>
      <c r="C76" s="84" t="s">
        <v>78</v>
      </c>
      <c r="D76" s="83">
        <v>26</v>
      </c>
      <c r="E76" s="83" t="s">
        <v>79</v>
      </c>
      <c r="F76" s="83">
        <v>2</v>
      </c>
      <c r="G76" s="83">
        <v>0</v>
      </c>
      <c r="H76" s="83"/>
      <c r="I76" s="83">
        <v>6</v>
      </c>
      <c r="J76" s="83">
        <v>9</v>
      </c>
      <c r="K76" s="83">
        <v>66.7</v>
      </c>
      <c r="L76" s="83">
        <v>36</v>
      </c>
      <c r="M76" s="83">
        <v>0</v>
      </c>
      <c r="N76" s="83">
        <v>0</v>
      </c>
      <c r="O76" s="83">
        <v>0</v>
      </c>
      <c r="P76" s="83">
        <v>0</v>
      </c>
      <c r="Q76" s="83">
        <v>1</v>
      </c>
      <c r="R76" s="83">
        <v>17</v>
      </c>
      <c r="S76" s="83">
        <v>4</v>
      </c>
      <c r="T76" s="83">
        <v>4</v>
      </c>
      <c r="U76" s="83">
        <v>6</v>
      </c>
      <c r="V76" s="83">
        <v>18</v>
      </c>
      <c r="W76" s="83">
        <v>74.3</v>
      </c>
      <c r="X76" s="83">
        <v>2.2999999999999998</v>
      </c>
      <c r="Y76" s="83">
        <v>2</v>
      </c>
      <c r="Z76" s="83">
        <v>17</v>
      </c>
      <c r="AA76" s="83">
        <v>18.2</v>
      </c>
      <c r="AB76" s="83">
        <v>1.73</v>
      </c>
      <c r="AC76" s="83">
        <v>1.73</v>
      </c>
      <c r="AD76" s="83"/>
      <c r="AE76" s="83"/>
    </row>
    <row r="77" spans="1:31" ht="16" x14ac:dyDescent="0.2">
      <c r="A77" s="89">
        <v>73</v>
      </c>
      <c r="B77" s="84" t="s">
        <v>2033</v>
      </c>
      <c r="C77" s="84" t="s">
        <v>73</v>
      </c>
      <c r="D77" s="83">
        <v>22</v>
      </c>
      <c r="E77" s="83" t="s">
        <v>83</v>
      </c>
      <c r="F77" s="83">
        <v>17</v>
      </c>
      <c r="G77" s="83">
        <v>17</v>
      </c>
      <c r="H77" s="83"/>
      <c r="I77" s="83">
        <v>2</v>
      </c>
      <c r="J77" s="83">
        <v>4</v>
      </c>
      <c r="K77" s="83">
        <v>50</v>
      </c>
      <c r="L77" s="83">
        <v>35</v>
      </c>
      <c r="M77" s="83">
        <v>0</v>
      </c>
      <c r="N77" s="83">
        <v>0</v>
      </c>
      <c r="O77" s="83">
        <v>0</v>
      </c>
      <c r="P77" s="83">
        <v>0</v>
      </c>
      <c r="Q77" s="83">
        <v>2</v>
      </c>
      <c r="R77" s="83">
        <v>24</v>
      </c>
      <c r="S77" s="83">
        <v>8.8000000000000007</v>
      </c>
      <c r="T77" s="83">
        <v>8.8000000000000007</v>
      </c>
      <c r="U77" s="83">
        <v>17.5</v>
      </c>
      <c r="V77" s="83">
        <v>2.1</v>
      </c>
      <c r="W77" s="83">
        <v>80.2</v>
      </c>
      <c r="X77" s="83">
        <v>42.7</v>
      </c>
      <c r="Y77" s="83">
        <v>0</v>
      </c>
      <c r="Z77" s="83">
        <v>0</v>
      </c>
      <c r="AA77" s="83">
        <v>0</v>
      </c>
      <c r="AB77" s="83">
        <v>8.75</v>
      </c>
      <c r="AC77" s="83">
        <v>8.75</v>
      </c>
      <c r="AD77" s="83"/>
      <c r="AE77" s="83"/>
    </row>
    <row r="78" spans="1:31" ht="16" x14ac:dyDescent="0.2">
      <c r="A78" s="89">
        <v>74</v>
      </c>
      <c r="B78" s="84" t="s">
        <v>220</v>
      </c>
      <c r="C78" s="84" t="s">
        <v>1052</v>
      </c>
      <c r="D78" s="83">
        <v>28</v>
      </c>
      <c r="E78" s="83" t="s">
        <v>79</v>
      </c>
      <c r="F78" s="83">
        <v>2</v>
      </c>
      <c r="G78" s="83">
        <v>0</v>
      </c>
      <c r="H78" s="83"/>
      <c r="I78" s="83">
        <v>2</v>
      </c>
      <c r="J78" s="83">
        <v>2</v>
      </c>
      <c r="K78" s="83">
        <v>100</v>
      </c>
      <c r="L78" s="83">
        <v>33</v>
      </c>
      <c r="M78" s="83">
        <v>0</v>
      </c>
      <c r="N78" s="83">
        <v>0</v>
      </c>
      <c r="O78" s="83">
        <v>0</v>
      </c>
      <c r="P78" s="83">
        <v>0</v>
      </c>
      <c r="Q78" s="83">
        <v>1</v>
      </c>
      <c r="R78" s="83">
        <v>28</v>
      </c>
      <c r="S78" s="83">
        <v>16.5</v>
      </c>
      <c r="T78" s="83">
        <v>16.5</v>
      </c>
      <c r="U78" s="83">
        <v>16.5</v>
      </c>
      <c r="V78" s="83">
        <v>16.5</v>
      </c>
      <c r="W78" s="83">
        <v>118.7</v>
      </c>
      <c r="X78" s="83">
        <v>90.3</v>
      </c>
      <c r="Y78" s="83">
        <v>0</v>
      </c>
      <c r="Z78" s="83">
        <v>0</v>
      </c>
      <c r="AA78" s="83">
        <v>0</v>
      </c>
      <c r="AB78" s="83">
        <v>16.5</v>
      </c>
      <c r="AC78" s="83">
        <v>16.5</v>
      </c>
      <c r="AD78" s="83"/>
      <c r="AE78" s="83"/>
    </row>
    <row r="79" spans="1:31" ht="16" x14ac:dyDescent="0.2">
      <c r="A79" s="89">
        <v>75</v>
      </c>
      <c r="B79" s="84" t="s">
        <v>295</v>
      </c>
      <c r="C79" s="84" t="s">
        <v>78</v>
      </c>
      <c r="D79" s="83">
        <v>25</v>
      </c>
      <c r="E79" s="83" t="s">
        <v>83</v>
      </c>
      <c r="F79" s="83">
        <v>17</v>
      </c>
      <c r="G79" s="83">
        <v>11</v>
      </c>
      <c r="H79" s="83"/>
      <c r="I79" s="83">
        <v>1</v>
      </c>
      <c r="J79" s="83">
        <v>1</v>
      </c>
      <c r="K79" s="83">
        <v>100</v>
      </c>
      <c r="L79" s="83">
        <v>33</v>
      </c>
      <c r="M79" s="83">
        <v>0</v>
      </c>
      <c r="N79" s="83">
        <v>0</v>
      </c>
      <c r="O79" s="83">
        <v>0</v>
      </c>
      <c r="P79" s="83">
        <v>0</v>
      </c>
      <c r="Q79" s="83">
        <v>1</v>
      </c>
      <c r="R79" s="83">
        <v>33</v>
      </c>
      <c r="S79" s="83">
        <v>33</v>
      </c>
      <c r="T79" s="83">
        <v>33</v>
      </c>
      <c r="U79" s="83">
        <v>33</v>
      </c>
      <c r="V79" s="83">
        <v>1.9</v>
      </c>
      <c r="W79" s="83">
        <v>118.7</v>
      </c>
      <c r="X79" s="83">
        <v>100</v>
      </c>
      <c r="Y79" s="83">
        <v>0</v>
      </c>
      <c r="Z79" s="83">
        <v>0</v>
      </c>
      <c r="AA79" s="83">
        <v>0</v>
      </c>
      <c r="AB79" s="83">
        <v>33</v>
      </c>
      <c r="AC79" s="83">
        <v>33</v>
      </c>
      <c r="AD79" s="83"/>
      <c r="AE79" s="83"/>
    </row>
    <row r="80" spans="1:31" ht="16" x14ac:dyDescent="0.2">
      <c r="A80" s="89">
        <v>76</v>
      </c>
      <c r="B80" s="84" t="s">
        <v>333</v>
      </c>
      <c r="C80" s="84" t="s">
        <v>1122</v>
      </c>
      <c r="D80" s="83">
        <v>26</v>
      </c>
      <c r="E80" s="83" t="s">
        <v>83</v>
      </c>
      <c r="F80" s="83">
        <v>17</v>
      </c>
      <c r="G80" s="83">
        <v>5</v>
      </c>
      <c r="H80" s="83"/>
      <c r="I80" s="83">
        <v>1</v>
      </c>
      <c r="J80" s="83">
        <v>1</v>
      </c>
      <c r="K80" s="83">
        <v>100</v>
      </c>
      <c r="L80" s="83">
        <v>25</v>
      </c>
      <c r="M80" s="83">
        <v>1</v>
      </c>
      <c r="N80" s="83">
        <v>100</v>
      </c>
      <c r="O80" s="83">
        <v>0</v>
      </c>
      <c r="P80" s="83">
        <v>0</v>
      </c>
      <c r="Q80" s="83">
        <v>1</v>
      </c>
      <c r="R80" s="83">
        <v>25</v>
      </c>
      <c r="S80" s="83">
        <v>25</v>
      </c>
      <c r="T80" s="83">
        <v>45</v>
      </c>
      <c r="U80" s="83">
        <v>25</v>
      </c>
      <c r="V80" s="83">
        <v>1.5</v>
      </c>
      <c r="W80" s="83">
        <v>158.30000000000001</v>
      </c>
      <c r="X80" s="83">
        <v>100</v>
      </c>
      <c r="Y80" s="83">
        <v>0</v>
      </c>
      <c r="Z80" s="83">
        <v>0</v>
      </c>
      <c r="AA80" s="83">
        <v>0</v>
      </c>
      <c r="AB80" s="83">
        <v>25</v>
      </c>
      <c r="AC80" s="83">
        <v>45</v>
      </c>
      <c r="AD80" s="83"/>
      <c r="AE80" s="83"/>
    </row>
    <row r="81" spans="1:31" ht="16" x14ac:dyDescent="0.2">
      <c r="A81" s="89">
        <v>77</v>
      </c>
      <c r="B81" s="84" t="s">
        <v>2231</v>
      </c>
      <c r="C81" s="84" t="s">
        <v>107</v>
      </c>
      <c r="D81" s="83">
        <v>24</v>
      </c>
      <c r="E81" s="83" t="s">
        <v>79</v>
      </c>
      <c r="F81" s="83">
        <v>1</v>
      </c>
      <c r="G81" s="83">
        <v>0</v>
      </c>
      <c r="H81" s="83"/>
      <c r="I81" s="83">
        <v>2</v>
      </c>
      <c r="J81" s="83">
        <v>5</v>
      </c>
      <c r="K81" s="83">
        <v>40</v>
      </c>
      <c r="L81" s="83">
        <v>25</v>
      </c>
      <c r="M81" s="83">
        <v>0</v>
      </c>
      <c r="N81" s="83">
        <v>0</v>
      </c>
      <c r="O81" s="83">
        <v>1</v>
      </c>
      <c r="P81" s="83">
        <v>20</v>
      </c>
      <c r="Q81" s="83">
        <v>2</v>
      </c>
      <c r="R81" s="83">
        <v>10</v>
      </c>
      <c r="S81" s="83">
        <v>5</v>
      </c>
      <c r="T81" s="83">
        <v>-4</v>
      </c>
      <c r="U81" s="83">
        <v>12.5</v>
      </c>
      <c r="V81" s="83">
        <v>25</v>
      </c>
      <c r="W81" s="83">
        <v>16.7</v>
      </c>
      <c r="X81" s="83">
        <v>0.1</v>
      </c>
      <c r="Y81" s="83">
        <v>0</v>
      </c>
      <c r="Z81" s="83">
        <v>0</v>
      </c>
      <c r="AA81" s="83">
        <v>0</v>
      </c>
      <c r="AB81" s="83">
        <v>5</v>
      </c>
      <c r="AC81" s="83">
        <v>-4</v>
      </c>
      <c r="AD81" s="83"/>
      <c r="AE81" s="83"/>
    </row>
    <row r="82" spans="1:31" ht="16" x14ac:dyDescent="0.2">
      <c r="A82" s="89">
        <v>78</v>
      </c>
      <c r="B82" s="84" t="s">
        <v>3086</v>
      </c>
      <c r="C82" s="84" t="s">
        <v>1087</v>
      </c>
      <c r="D82" s="83">
        <v>25</v>
      </c>
      <c r="E82" s="83" t="s">
        <v>83</v>
      </c>
      <c r="F82" s="83">
        <v>16</v>
      </c>
      <c r="G82" s="83">
        <v>15</v>
      </c>
      <c r="H82" s="83"/>
      <c r="I82" s="83">
        <v>1</v>
      </c>
      <c r="J82" s="83">
        <v>2</v>
      </c>
      <c r="K82" s="83">
        <v>50</v>
      </c>
      <c r="L82" s="83">
        <v>24</v>
      </c>
      <c r="M82" s="83">
        <v>1</v>
      </c>
      <c r="N82" s="83">
        <v>50</v>
      </c>
      <c r="O82" s="83">
        <v>0</v>
      </c>
      <c r="P82" s="83">
        <v>0</v>
      </c>
      <c r="Q82" s="83">
        <v>1</v>
      </c>
      <c r="R82" s="83">
        <v>24</v>
      </c>
      <c r="S82" s="83">
        <v>12</v>
      </c>
      <c r="T82" s="83">
        <v>22</v>
      </c>
      <c r="U82" s="83">
        <v>24</v>
      </c>
      <c r="V82" s="83">
        <v>1.5</v>
      </c>
      <c r="W82" s="83">
        <v>133.30000000000001</v>
      </c>
      <c r="X82" s="83">
        <v>98.7</v>
      </c>
      <c r="Y82" s="83">
        <v>0</v>
      </c>
      <c r="Z82" s="83">
        <v>0</v>
      </c>
      <c r="AA82" s="83">
        <v>0</v>
      </c>
      <c r="AB82" s="83">
        <v>12</v>
      </c>
      <c r="AC82" s="83">
        <v>22</v>
      </c>
      <c r="AD82" s="83"/>
      <c r="AE82" s="83"/>
    </row>
    <row r="83" spans="1:31" ht="16" x14ac:dyDescent="0.2">
      <c r="A83" s="89">
        <v>79</v>
      </c>
      <c r="B83" s="84" t="s">
        <v>2661</v>
      </c>
      <c r="C83" s="84" t="s">
        <v>78</v>
      </c>
      <c r="D83" s="83">
        <v>31</v>
      </c>
      <c r="E83" s="83" t="s">
        <v>3106</v>
      </c>
      <c r="F83" s="83">
        <v>16</v>
      </c>
      <c r="G83" s="83">
        <v>0</v>
      </c>
      <c r="H83" s="83"/>
      <c r="I83" s="83">
        <v>1</v>
      </c>
      <c r="J83" s="83">
        <v>1</v>
      </c>
      <c r="K83" s="83">
        <v>100</v>
      </c>
      <c r="L83" s="83">
        <v>23</v>
      </c>
      <c r="M83" s="83">
        <v>0</v>
      </c>
      <c r="N83" s="83">
        <v>0</v>
      </c>
      <c r="O83" s="83">
        <v>0</v>
      </c>
      <c r="P83" s="83">
        <v>0</v>
      </c>
      <c r="Q83" s="83">
        <v>1</v>
      </c>
      <c r="R83" s="83">
        <v>23</v>
      </c>
      <c r="S83" s="83">
        <v>23</v>
      </c>
      <c r="T83" s="83">
        <v>23</v>
      </c>
      <c r="U83" s="83">
        <v>23</v>
      </c>
      <c r="V83" s="83">
        <v>1.4</v>
      </c>
      <c r="W83" s="83">
        <v>118.7</v>
      </c>
      <c r="X83" s="83"/>
      <c r="Y83" s="83">
        <v>0</v>
      </c>
      <c r="Z83" s="83">
        <v>0</v>
      </c>
      <c r="AA83" s="83">
        <v>0</v>
      </c>
      <c r="AB83" s="83">
        <v>23</v>
      </c>
      <c r="AC83" s="83">
        <v>23</v>
      </c>
      <c r="AD83" s="83"/>
      <c r="AE83" s="83"/>
    </row>
    <row r="84" spans="1:31" ht="16" x14ac:dyDescent="0.2">
      <c r="A84" s="89">
        <v>80</v>
      </c>
      <c r="B84" s="84" t="s">
        <v>2237</v>
      </c>
      <c r="C84" s="84" t="s">
        <v>101</v>
      </c>
      <c r="D84" s="83">
        <v>24</v>
      </c>
      <c r="E84" s="83" t="s">
        <v>79</v>
      </c>
      <c r="F84" s="83">
        <v>4</v>
      </c>
      <c r="G84" s="83">
        <v>0</v>
      </c>
      <c r="H84" s="83"/>
      <c r="I84" s="83">
        <v>2</v>
      </c>
      <c r="J84" s="83">
        <v>11</v>
      </c>
      <c r="K84" s="83">
        <v>18.2</v>
      </c>
      <c r="L84" s="83">
        <v>19</v>
      </c>
      <c r="M84" s="83">
        <v>0</v>
      </c>
      <c r="N84" s="83">
        <v>0</v>
      </c>
      <c r="O84" s="83">
        <v>2</v>
      </c>
      <c r="P84" s="83">
        <v>18.2</v>
      </c>
      <c r="Q84" s="83">
        <v>1</v>
      </c>
      <c r="R84" s="83">
        <v>14</v>
      </c>
      <c r="S84" s="83">
        <v>1.7</v>
      </c>
      <c r="T84" s="83">
        <v>-6.5</v>
      </c>
      <c r="U84" s="83">
        <v>9.5</v>
      </c>
      <c r="V84" s="83">
        <v>4.8</v>
      </c>
      <c r="W84" s="83">
        <v>0</v>
      </c>
      <c r="X84" s="83">
        <v>0.1</v>
      </c>
      <c r="Y84" s="83">
        <v>0</v>
      </c>
      <c r="Z84" s="83">
        <v>0</v>
      </c>
      <c r="AA84" s="83">
        <v>0</v>
      </c>
      <c r="AB84" s="83">
        <v>1.73</v>
      </c>
      <c r="AC84" s="83">
        <v>-6.45</v>
      </c>
      <c r="AD84" s="83"/>
      <c r="AE84" s="83"/>
    </row>
    <row r="85" spans="1:31" ht="16" x14ac:dyDescent="0.2">
      <c r="A85" s="89">
        <v>81</v>
      </c>
      <c r="B85" s="84" t="s">
        <v>326</v>
      </c>
      <c r="C85" s="84" t="s">
        <v>92</v>
      </c>
      <c r="D85" s="83">
        <v>22</v>
      </c>
      <c r="E85" s="83" t="s">
        <v>83</v>
      </c>
      <c r="F85" s="83">
        <v>10</v>
      </c>
      <c r="G85" s="83">
        <v>4</v>
      </c>
      <c r="H85" s="83"/>
      <c r="I85" s="83">
        <v>1</v>
      </c>
      <c r="J85" s="83">
        <v>3</v>
      </c>
      <c r="K85" s="83">
        <v>33.299999999999997</v>
      </c>
      <c r="L85" s="83">
        <v>19</v>
      </c>
      <c r="M85" s="83">
        <v>0</v>
      </c>
      <c r="N85" s="83">
        <v>0</v>
      </c>
      <c r="O85" s="83">
        <v>0</v>
      </c>
      <c r="P85" s="83">
        <v>0</v>
      </c>
      <c r="Q85" s="83">
        <v>1</v>
      </c>
      <c r="R85" s="83">
        <v>19</v>
      </c>
      <c r="S85" s="83">
        <v>6.3</v>
      </c>
      <c r="T85" s="83">
        <v>6.3</v>
      </c>
      <c r="U85" s="83">
        <v>19</v>
      </c>
      <c r="V85" s="83">
        <v>1.9</v>
      </c>
      <c r="W85" s="83">
        <v>56.2</v>
      </c>
      <c r="X85" s="83">
        <v>1.8</v>
      </c>
      <c r="Y85" s="83">
        <v>1</v>
      </c>
      <c r="Z85" s="83">
        <v>6</v>
      </c>
      <c r="AA85" s="83">
        <v>25</v>
      </c>
      <c r="AB85" s="83">
        <v>3.25</v>
      </c>
      <c r="AC85" s="83">
        <v>3.25</v>
      </c>
      <c r="AD85" s="83"/>
      <c r="AE85" s="83"/>
    </row>
    <row r="86" spans="1:31" ht="16" x14ac:dyDescent="0.2">
      <c r="A86" s="89">
        <v>82</v>
      </c>
      <c r="B86" s="84" t="s">
        <v>552</v>
      </c>
      <c r="C86" s="84" t="s">
        <v>92</v>
      </c>
      <c r="D86" s="83">
        <v>26</v>
      </c>
      <c r="E86" s="83" t="s">
        <v>83</v>
      </c>
      <c r="F86" s="83">
        <v>3</v>
      </c>
      <c r="G86" s="83">
        <v>0</v>
      </c>
      <c r="H86" s="83"/>
      <c r="I86" s="83">
        <v>1</v>
      </c>
      <c r="J86" s="83">
        <v>1</v>
      </c>
      <c r="K86" s="83">
        <v>100</v>
      </c>
      <c r="L86" s="83">
        <v>16</v>
      </c>
      <c r="M86" s="83">
        <v>0</v>
      </c>
      <c r="N86" s="83">
        <v>0</v>
      </c>
      <c r="O86" s="83">
        <v>0</v>
      </c>
      <c r="P86" s="83">
        <v>0</v>
      </c>
      <c r="Q86" s="83">
        <v>1</v>
      </c>
      <c r="R86" s="83">
        <v>16</v>
      </c>
      <c r="S86" s="83">
        <v>16</v>
      </c>
      <c r="T86" s="83">
        <v>16</v>
      </c>
      <c r="U86" s="83">
        <v>16</v>
      </c>
      <c r="V86" s="83">
        <v>5.3</v>
      </c>
      <c r="W86" s="83">
        <v>118.7</v>
      </c>
      <c r="X86" s="83">
        <v>92.5</v>
      </c>
      <c r="Y86" s="83">
        <v>0</v>
      </c>
      <c r="Z86" s="83">
        <v>0</v>
      </c>
      <c r="AA86" s="83">
        <v>0</v>
      </c>
      <c r="AB86" s="83">
        <v>16</v>
      </c>
      <c r="AC86" s="83">
        <v>16</v>
      </c>
      <c r="AD86" s="83"/>
      <c r="AE86" s="83"/>
    </row>
    <row r="87" spans="1:31" ht="16" x14ac:dyDescent="0.2">
      <c r="A87" s="89">
        <v>83</v>
      </c>
      <c r="B87" s="84" t="s">
        <v>242</v>
      </c>
      <c r="C87" s="84" t="s">
        <v>93</v>
      </c>
      <c r="D87" s="83">
        <v>26</v>
      </c>
      <c r="E87" s="83" t="s">
        <v>83</v>
      </c>
      <c r="F87" s="83">
        <v>17</v>
      </c>
      <c r="G87" s="83">
        <v>16</v>
      </c>
      <c r="H87" s="83"/>
      <c r="I87" s="83">
        <v>1</v>
      </c>
      <c r="J87" s="83">
        <v>1</v>
      </c>
      <c r="K87" s="83">
        <v>100</v>
      </c>
      <c r="L87" s="83">
        <v>16</v>
      </c>
      <c r="M87" s="83">
        <v>0</v>
      </c>
      <c r="N87" s="83">
        <v>0</v>
      </c>
      <c r="O87" s="83">
        <v>0</v>
      </c>
      <c r="P87" s="83">
        <v>0</v>
      </c>
      <c r="Q87" s="83">
        <v>1</v>
      </c>
      <c r="R87" s="83">
        <v>16</v>
      </c>
      <c r="S87" s="83">
        <v>16</v>
      </c>
      <c r="T87" s="83">
        <v>16</v>
      </c>
      <c r="U87" s="83">
        <v>16</v>
      </c>
      <c r="V87" s="83">
        <v>0.9</v>
      </c>
      <c r="W87" s="83">
        <v>118.7</v>
      </c>
      <c r="X87" s="83">
        <v>99.9</v>
      </c>
      <c r="Y87" s="83">
        <v>0</v>
      </c>
      <c r="Z87" s="83">
        <v>0</v>
      </c>
      <c r="AA87" s="83">
        <v>0</v>
      </c>
      <c r="AB87" s="83">
        <v>16</v>
      </c>
      <c r="AC87" s="83">
        <v>16</v>
      </c>
      <c r="AD87" s="83"/>
      <c r="AE87" s="83"/>
    </row>
    <row r="88" spans="1:31" ht="16" x14ac:dyDescent="0.2">
      <c r="A88" s="89">
        <v>84</v>
      </c>
      <c r="B88" s="84" t="s">
        <v>1408</v>
      </c>
      <c r="C88" s="84" t="s">
        <v>1040</v>
      </c>
      <c r="D88" s="83">
        <v>25</v>
      </c>
      <c r="E88" s="83" t="s">
        <v>3105</v>
      </c>
      <c r="F88" s="83">
        <v>16</v>
      </c>
      <c r="G88" s="83">
        <v>0</v>
      </c>
      <c r="H88" s="83"/>
      <c r="I88" s="83">
        <v>1</v>
      </c>
      <c r="J88" s="83">
        <v>1</v>
      </c>
      <c r="K88" s="83">
        <v>100</v>
      </c>
      <c r="L88" s="83">
        <v>16</v>
      </c>
      <c r="M88" s="83">
        <v>0</v>
      </c>
      <c r="N88" s="83">
        <v>0</v>
      </c>
      <c r="O88" s="83">
        <v>0</v>
      </c>
      <c r="P88" s="83">
        <v>0</v>
      </c>
      <c r="Q88" s="83">
        <v>1</v>
      </c>
      <c r="R88" s="83">
        <v>16</v>
      </c>
      <c r="S88" s="83">
        <v>16</v>
      </c>
      <c r="T88" s="83">
        <v>16</v>
      </c>
      <c r="U88" s="83">
        <v>16</v>
      </c>
      <c r="V88" s="83">
        <v>1</v>
      </c>
      <c r="W88" s="83">
        <v>118.7</v>
      </c>
      <c r="X88" s="83"/>
      <c r="Y88" s="83">
        <v>0</v>
      </c>
      <c r="Z88" s="83">
        <v>0</v>
      </c>
      <c r="AA88" s="83">
        <v>0</v>
      </c>
      <c r="AB88" s="83">
        <v>16</v>
      </c>
      <c r="AC88" s="83">
        <v>16</v>
      </c>
      <c r="AD88" s="83"/>
      <c r="AE88" s="83"/>
    </row>
    <row r="89" spans="1:31" ht="16" x14ac:dyDescent="0.2">
      <c r="A89" s="89">
        <v>85</v>
      </c>
      <c r="B89" s="84" t="s">
        <v>166</v>
      </c>
      <c r="C89" s="84" t="s">
        <v>119</v>
      </c>
      <c r="D89" s="83">
        <v>39</v>
      </c>
      <c r="E89" s="83" t="s">
        <v>79</v>
      </c>
      <c r="F89" s="83">
        <v>1</v>
      </c>
      <c r="G89" s="83">
        <v>1</v>
      </c>
      <c r="H89" s="83" t="s">
        <v>958</v>
      </c>
      <c r="I89" s="83">
        <v>3</v>
      </c>
      <c r="J89" s="83">
        <v>6</v>
      </c>
      <c r="K89" s="83">
        <v>50</v>
      </c>
      <c r="L89" s="83">
        <v>13</v>
      </c>
      <c r="M89" s="83">
        <v>0</v>
      </c>
      <c r="N89" s="83">
        <v>0</v>
      </c>
      <c r="O89" s="83">
        <v>0</v>
      </c>
      <c r="P89" s="83">
        <v>0</v>
      </c>
      <c r="Q89" s="83">
        <v>0</v>
      </c>
      <c r="R89" s="83">
        <v>6</v>
      </c>
      <c r="S89" s="83">
        <v>2.2000000000000002</v>
      </c>
      <c r="T89" s="83">
        <v>2.2000000000000002</v>
      </c>
      <c r="U89" s="83">
        <v>4.3</v>
      </c>
      <c r="V89" s="83">
        <v>13</v>
      </c>
      <c r="W89" s="83">
        <v>56.2</v>
      </c>
      <c r="X89" s="83">
        <v>2.2999999999999998</v>
      </c>
      <c r="Y89" s="83">
        <v>1</v>
      </c>
      <c r="Z89" s="83">
        <v>2</v>
      </c>
      <c r="AA89" s="83">
        <v>14.3</v>
      </c>
      <c r="AB89" s="83">
        <v>1.57</v>
      </c>
      <c r="AC89" s="83">
        <v>1.57</v>
      </c>
      <c r="AD89" s="83"/>
      <c r="AE89" s="83"/>
    </row>
    <row r="90" spans="1:31" ht="16" x14ac:dyDescent="0.2">
      <c r="A90" s="89">
        <v>86</v>
      </c>
      <c r="B90" s="84" t="s">
        <v>1305</v>
      </c>
      <c r="C90" s="84" t="s">
        <v>77</v>
      </c>
      <c r="D90" s="83">
        <v>29</v>
      </c>
      <c r="E90" s="83" t="s">
        <v>3106</v>
      </c>
      <c r="F90" s="83">
        <v>17</v>
      </c>
      <c r="G90" s="83">
        <v>0</v>
      </c>
      <c r="H90" s="83"/>
      <c r="I90" s="83">
        <v>1</v>
      </c>
      <c r="J90" s="83">
        <v>1</v>
      </c>
      <c r="K90" s="83">
        <v>100</v>
      </c>
      <c r="L90" s="83">
        <v>6</v>
      </c>
      <c r="M90" s="83">
        <v>0</v>
      </c>
      <c r="N90" s="83">
        <v>0</v>
      </c>
      <c r="O90" s="83">
        <v>0</v>
      </c>
      <c r="P90" s="83">
        <v>0</v>
      </c>
      <c r="Q90" s="83">
        <v>1</v>
      </c>
      <c r="R90" s="83">
        <v>6</v>
      </c>
      <c r="S90" s="83">
        <v>6</v>
      </c>
      <c r="T90" s="83">
        <v>6</v>
      </c>
      <c r="U90" s="83">
        <v>6</v>
      </c>
      <c r="V90" s="83">
        <v>0.4</v>
      </c>
      <c r="W90" s="83">
        <v>91.7</v>
      </c>
      <c r="X90" s="83"/>
      <c r="Y90" s="83">
        <v>0</v>
      </c>
      <c r="Z90" s="83">
        <v>0</v>
      </c>
      <c r="AA90" s="83">
        <v>0</v>
      </c>
      <c r="AB90" s="83">
        <v>6</v>
      </c>
      <c r="AC90" s="83">
        <v>6</v>
      </c>
      <c r="AD90" s="83"/>
      <c r="AE90" s="83"/>
    </row>
    <row r="91" spans="1:31" ht="16" x14ac:dyDescent="0.2">
      <c r="A91" s="89">
        <v>87</v>
      </c>
      <c r="B91" s="84" t="s">
        <v>76</v>
      </c>
      <c r="C91" s="84" t="s">
        <v>77</v>
      </c>
      <c r="D91" s="83">
        <v>27</v>
      </c>
      <c r="E91" s="83" t="s">
        <v>68</v>
      </c>
      <c r="F91" s="83">
        <v>8</v>
      </c>
      <c r="G91" s="83">
        <v>8</v>
      </c>
      <c r="H91" s="83"/>
      <c r="I91" s="83">
        <v>1</v>
      </c>
      <c r="J91" s="83">
        <v>1</v>
      </c>
      <c r="K91" s="83">
        <v>100</v>
      </c>
      <c r="L91" s="83">
        <v>5</v>
      </c>
      <c r="M91" s="83">
        <v>1</v>
      </c>
      <c r="N91" s="83">
        <v>100</v>
      </c>
      <c r="O91" s="83">
        <v>0</v>
      </c>
      <c r="P91" s="83">
        <v>0</v>
      </c>
      <c r="Q91" s="83">
        <v>1</v>
      </c>
      <c r="R91" s="83">
        <v>5</v>
      </c>
      <c r="S91" s="83">
        <v>5</v>
      </c>
      <c r="T91" s="83">
        <v>25</v>
      </c>
      <c r="U91" s="83">
        <v>5</v>
      </c>
      <c r="V91" s="83">
        <v>0.6</v>
      </c>
      <c r="W91" s="83">
        <v>127.1</v>
      </c>
      <c r="X91" s="83">
        <v>76.599999999999994</v>
      </c>
      <c r="Y91" s="83">
        <v>0</v>
      </c>
      <c r="Z91" s="83">
        <v>0</v>
      </c>
      <c r="AA91" s="83">
        <v>0</v>
      </c>
      <c r="AB91" s="83">
        <v>5</v>
      </c>
      <c r="AC91" s="83">
        <v>25</v>
      </c>
      <c r="AD91" s="83"/>
      <c r="AE91" s="83"/>
    </row>
    <row r="92" spans="1:31" ht="16" x14ac:dyDescent="0.2">
      <c r="A92" s="89">
        <v>88</v>
      </c>
      <c r="B92" s="84" t="s">
        <v>2594</v>
      </c>
      <c r="C92" s="84" t="s">
        <v>73</v>
      </c>
      <c r="D92" s="83">
        <v>22</v>
      </c>
      <c r="E92" s="83" t="s">
        <v>79</v>
      </c>
      <c r="F92" s="83">
        <v>1</v>
      </c>
      <c r="G92" s="83">
        <v>0</v>
      </c>
      <c r="H92" s="83"/>
      <c r="I92" s="83">
        <v>2</v>
      </c>
      <c r="J92" s="83">
        <v>3</v>
      </c>
      <c r="K92" s="83">
        <v>66.7</v>
      </c>
      <c r="L92" s="83">
        <v>5</v>
      </c>
      <c r="M92" s="83">
        <v>0</v>
      </c>
      <c r="N92" s="83">
        <v>0</v>
      </c>
      <c r="O92" s="83">
        <v>0</v>
      </c>
      <c r="P92" s="83">
        <v>0</v>
      </c>
      <c r="Q92" s="83">
        <v>0</v>
      </c>
      <c r="R92" s="83">
        <v>6</v>
      </c>
      <c r="S92" s="83">
        <v>1.7</v>
      </c>
      <c r="T92" s="83">
        <v>1.7</v>
      </c>
      <c r="U92" s="83">
        <v>2.5</v>
      </c>
      <c r="V92" s="83">
        <v>5</v>
      </c>
      <c r="W92" s="83">
        <v>70.099999999999994</v>
      </c>
      <c r="X92" s="83">
        <v>14.9</v>
      </c>
      <c r="Y92" s="83">
        <v>0</v>
      </c>
      <c r="Z92" s="83">
        <v>0</v>
      </c>
      <c r="AA92" s="83">
        <v>0</v>
      </c>
      <c r="AB92" s="83">
        <v>1.67</v>
      </c>
      <c r="AC92" s="83">
        <v>1.67</v>
      </c>
      <c r="AD92" s="83"/>
      <c r="AE92" s="83"/>
    </row>
    <row r="93" spans="1:31" ht="16" x14ac:dyDescent="0.2">
      <c r="A93" s="89">
        <v>89</v>
      </c>
      <c r="B93" s="84" t="s">
        <v>1381</v>
      </c>
      <c r="C93" s="84" t="s">
        <v>730</v>
      </c>
      <c r="D93" s="83">
        <v>26</v>
      </c>
      <c r="E93" s="83" t="s">
        <v>79</v>
      </c>
      <c r="F93" s="83">
        <v>3</v>
      </c>
      <c r="G93" s="83">
        <v>0</v>
      </c>
      <c r="H93" s="83"/>
      <c r="I93" s="83">
        <v>1</v>
      </c>
      <c r="J93" s="83">
        <v>4</v>
      </c>
      <c r="K93" s="83">
        <v>25</v>
      </c>
      <c r="L93" s="83">
        <v>5</v>
      </c>
      <c r="M93" s="83">
        <v>0</v>
      </c>
      <c r="N93" s="83">
        <v>0</v>
      </c>
      <c r="O93" s="83">
        <v>1</v>
      </c>
      <c r="P93" s="83">
        <v>25</v>
      </c>
      <c r="Q93" s="83">
        <v>0</v>
      </c>
      <c r="R93" s="83">
        <v>5</v>
      </c>
      <c r="S93" s="83">
        <v>1.3</v>
      </c>
      <c r="T93" s="83">
        <v>-10</v>
      </c>
      <c r="U93" s="83">
        <v>5</v>
      </c>
      <c r="V93" s="83">
        <v>1.7</v>
      </c>
      <c r="W93" s="83">
        <v>0</v>
      </c>
      <c r="X93" s="83">
        <v>0.1</v>
      </c>
      <c r="Y93" s="83">
        <v>1</v>
      </c>
      <c r="Z93" s="83">
        <v>8</v>
      </c>
      <c r="AA93" s="83">
        <v>20</v>
      </c>
      <c r="AB93" s="83">
        <v>-0.6</v>
      </c>
      <c r="AC93" s="83">
        <v>-9.6</v>
      </c>
      <c r="AD93" s="83"/>
      <c r="AE93" s="83"/>
    </row>
    <row r="94" spans="1:31" x14ac:dyDescent="0.2">
      <c r="A94" s="89" t="s">
        <v>902</v>
      </c>
      <c r="B94" s="89" t="s">
        <v>903</v>
      </c>
      <c r="C94" s="89" t="s">
        <v>1314</v>
      </c>
      <c r="D94" s="89" t="s">
        <v>905</v>
      </c>
      <c r="E94" s="89" t="s">
        <v>906</v>
      </c>
      <c r="F94" s="89" t="s">
        <v>1315</v>
      </c>
      <c r="G94" s="89" t="s">
        <v>1316</v>
      </c>
      <c r="H94" s="89" t="s">
        <v>1317</v>
      </c>
      <c r="I94" s="89" t="s">
        <v>1318</v>
      </c>
      <c r="J94" s="89" t="s">
        <v>1319</v>
      </c>
      <c r="K94" s="89" t="s">
        <v>1320</v>
      </c>
      <c r="L94" s="89" t="s">
        <v>799</v>
      </c>
      <c r="M94" s="89" t="s">
        <v>800</v>
      </c>
      <c r="N94" s="89" t="s">
        <v>913</v>
      </c>
      <c r="O94" s="89" t="s">
        <v>914</v>
      </c>
      <c r="P94" s="89" t="s">
        <v>915</v>
      </c>
      <c r="Q94" s="89" t="s">
        <v>1321</v>
      </c>
      <c r="R94" s="89" t="s">
        <v>917</v>
      </c>
      <c r="S94" s="89" t="s">
        <v>1322</v>
      </c>
      <c r="T94" s="89" t="s">
        <v>1323</v>
      </c>
      <c r="U94" s="89" t="s">
        <v>1324</v>
      </c>
      <c r="V94" s="89" t="s">
        <v>1325</v>
      </c>
      <c r="W94" s="89" t="s">
        <v>1326</v>
      </c>
      <c r="X94" s="89" t="s">
        <v>923</v>
      </c>
      <c r="Y94" s="89" t="s">
        <v>1327</v>
      </c>
      <c r="Z94" s="89" t="s">
        <v>799</v>
      </c>
      <c r="AA94" s="89" t="s">
        <v>928</v>
      </c>
      <c r="AB94" s="89" t="s">
        <v>1329</v>
      </c>
      <c r="AC94" s="89" t="s">
        <v>1330</v>
      </c>
      <c r="AD94" s="89" t="s">
        <v>929</v>
      </c>
      <c r="AE94" s="89" t="s">
        <v>930</v>
      </c>
    </row>
    <row r="95" spans="1:31" ht="16" x14ac:dyDescent="0.2">
      <c r="A95" s="89">
        <v>90</v>
      </c>
      <c r="B95" s="84" t="s">
        <v>1460</v>
      </c>
      <c r="C95" s="84" t="s">
        <v>729</v>
      </c>
      <c r="D95" s="83">
        <v>26</v>
      </c>
      <c r="E95" s="83" t="s">
        <v>68</v>
      </c>
      <c r="F95" s="83">
        <v>17</v>
      </c>
      <c r="G95" s="83">
        <v>17</v>
      </c>
      <c r="H95" s="83"/>
      <c r="I95" s="83">
        <v>1</v>
      </c>
      <c r="J95" s="83">
        <v>1</v>
      </c>
      <c r="K95" s="83">
        <v>100</v>
      </c>
      <c r="L95" s="83">
        <v>4</v>
      </c>
      <c r="M95" s="83">
        <v>0</v>
      </c>
      <c r="N95" s="83">
        <v>0</v>
      </c>
      <c r="O95" s="83">
        <v>0</v>
      </c>
      <c r="P95" s="83">
        <v>0</v>
      </c>
      <c r="Q95" s="83">
        <v>0</v>
      </c>
      <c r="R95" s="83">
        <v>4</v>
      </c>
      <c r="S95" s="83">
        <v>4</v>
      </c>
      <c r="T95" s="83">
        <v>4</v>
      </c>
      <c r="U95" s="83">
        <v>4</v>
      </c>
      <c r="V95" s="83">
        <v>0.2</v>
      </c>
      <c r="W95" s="83">
        <v>83.3</v>
      </c>
      <c r="X95" s="83">
        <v>9.9</v>
      </c>
      <c r="Y95" s="83">
        <v>0</v>
      </c>
      <c r="Z95" s="83">
        <v>0</v>
      </c>
      <c r="AA95" s="83">
        <v>0</v>
      </c>
      <c r="AB95" s="83">
        <v>4</v>
      </c>
      <c r="AC95" s="83">
        <v>4</v>
      </c>
      <c r="AD95" s="83"/>
      <c r="AE95" s="83"/>
    </row>
    <row r="96" spans="1:31" ht="16" x14ac:dyDescent="0.2">
      <c r="A96" s="89">
        <v>91</v>
      </c>
      <c r="B96" s="84" t="s">
        <v>1383</v>
      </c>
      <c r="C96" s="84" t="s">
        <v>933</v>
      </c>
      <c r="D96" s="83">
        <v>28</v>
      </c>
      <c r="E96" s="83" t="s">
        <v>79</v>
      </c>
      <c r="F96" s="83">
        <v>10</v>
      </c>
      <c r="G96" s="83">
        <v>0</v>
      </c>
      <c r="H96" s="83"/>
      <c r="I96" s="83">
        <v>1</v>
      </c>
      <c r="J96" s="83">
        <v>2</v>
      </c>
      <c r="K96" s="83">
        <v>50</v>
      </c>
      <c r="L96" s="83">
        <v>4</v>
      </c>
      <c r="M96" s="83">
        <v>0</v>
      </c>
      <c r="N96" s="83">
        <v>0</v>
      </c>
      <c r="O96" s="83">
        <v>0</v>
      </c>
      <c r="P96" s="83">
        <v>0</v>
      </c>
      <c r="Q96" s="83">
        <v>0</v>
      </c>
      <c r="R96" s="83">
        <v>4</v>
      </c>
      <c r="S96" s="83">
        <v>2</v>
      </c>
      <c r="T96" s="83">
        <v>2</v>
      </c>
      <c r="U96" s="83">
        <v>4</v>
      </c>
      <c r="V96" s="83">
        <v>0.4</v>
      </c>
      <c r="W96" s="83">
        <v>56.2</v>
      </c>
      <c r="X96" s="83">
        <v>40.299999999999997</v>
      </c>
      <c r="Y96" s="83">
        <v>0</v>
      </c>
      <c r="Z96" s="83">
        <v>0</v>
      </c>
      <c r="AA96" s="83">
        <v>0</v>
      </c>
      <c r="AB96" s="83">
        <v>2</v>
      </c>
      <c r="AC96" s="83">
        <v>2</v>
      </c>
      <c r="AD96" s="83"/>
      <c r="AE96" s="83"/>
    </row>
    <row r="97" spans="1:31" ht="16" x14ac:dyDescent="0.2">
      <c r="A97" s="89">
        <v>92</v>
      </c>
      <c r="B97" s="84" t="s">
        <v>2312</v>
      </c>
      <c r="C97" s="84" t="s">
        <v>730</v>
      </c>
      <c r="D97" s="83">
        <v>31</v>
      </c>
      <c r="E97" s="83" t="s">
        <v>3105</v>
      </c>
      <c r="F97" s="83">
        <v>17</v>
      </c>
      <c r="G97" s="83">
        <v>0</v>
      </c>
      <c r="H97" s="83"/>
      <c r="I97" s="83">
        <v>1</v>
      </c>
      <c r="J97" s="83">
        <v>1</v>
      </c>
      <c r="K97" s="83">
        <v>100</v>
      </c>
      <c r="L97" s="83">
        <v>2</v>
      </c>
      <c r="M97" s="83">
        <v>0</v>
      </c>
      <c r="N97" s="83">
        <v>0</v>
      </c>
      <c r="O97" s="83">
        <v>0</v>
      </c>
      <c r="P97" s="83">
        <v>0</v>
      </c>
      <c r="Q97" s="83">
        <v>0</v>
      </c>
      <c r="R97" s="83">
        <v>2</v>
      </c>
      <c r="S97" s="83">
        <v>2</v>
      </c>
      <c r="T97" s="83">
        <v>2</v>
      </c>
      <c r="U97" s="83">
        <v>2</v>
      </c>
      <c r="V97" s="83">
        <v>0.1</v>
      </c>
      <c r="W97" s="83">
        <v>79.2</v>
      </c>
      <c r="X97" s="83"/>
      <c r="Y97" s="83">
        <v>0</v>
      </c>
      <c r="Z97" s="83">
        <v>0</v>
      </c>
      <c r="AA97" s="83">
        <v>0</v>
      </c>
      <c r="AB97" s="83">
        <v>2</v>
      </c>
      <c r="AC97" s="83">
        <v>2</v>
      </c>
      <c r="AD97" s="83"/>
      <c r="AE97" s="83"/>
    </row>
    <row r="98" spans="1:31" ht="16" x14ac:dyDescent="0.2">
      <c r="A98" s="89">
        <v>93</v>
      </c>
      <c r="B98" s="84" t="s">
        <v>323</v>
      </c>
      <c r="C98" s="84" t="s">
        <v>102</v>
      </c>
      <c r="D98" s="83">
        <v>26</v>
      </c>
      <c r="E98" s="83" t="s">
        <v>83</v>
      </c>
      <c r="F98" s="83">
        <v>17</v>
      </c>
      <c r="G98" s="83">
        <v>0</v>
      </c>
      <c r="H98" s="83"/>
      <c r="I98" s="83">
        <v>1</v>
      </c>
      <c r="J98" s="83">
        <v>2</v>
      </c>
      <c r="K98" s="83">
        <v>50</v>
      </c>
      <c r="L98" s="83">
        <v>2</v>
      </c>
      <c r="M98" s="83">
        <v>0</v>
      </c>
      <c r="N98" s="83">
        <v>0</v>
      </c>
      <c r="O98" s="83">
        <v>0</v>
      </c>
      <c r="P98" s="83">
        <v>0</v>
      </c>
      <c r="Q98" s="83">
        <v>0</v>
      </c>
      <c r="R98" s="83">
        <v>2</v>
      </c>
      <c r="S98" s="83">
        <v>1</v>
      </c>
      <c r="T98" s="83">
        <v>1</v>
      </c>
      <c r="U98" s="83">
        <v>2</v>
      </c>
      <c r="V98" s="83">
        <v>0.1</v>
      </c>
      <c r="W98" s="83">
        <v>56.2</v>
      </c>
      <c r="X98" s="83">
        <v>0</v>
      </c>
      <c r="Y98" s="83">
        <v>0</v>
      </c>
      <c r="Z98" s="83">
        <v>0</v>
      </c>
      <c r="AA98" s="83">
        <v>0</v>
      </c>
      <c r="AB98" s="83">
        <v>1</v>
      </c>
      <c r="AC98" s="83">
        <v>1</v>
      </c>
      <c r="AD98" s="83"/>
      <c r="AE98" s="83"/>
    </row>
    <row r="99" spans="1:31" ht="16" x14ac:dyDescent="0.2">
      <c r="A99" s="89">
        <v>94</v>
      </c>
      <c r="B99" s="84" t="s">
        <v>228</v>
      </c>
      <c r="C99" s="84" t="s">
        <v>93</v>
      </c>
      <c r="D99" s="83">
        <v>24</v>
      </c>
      <c r="E99" s="83" t="s">
        <v>83</v>
      </c>
      <c r="F99" s="83">
        <v>16</v>
      </c>
      <c r="G99" s="83">
        <v>1</v>
      </c>
      <c r="H99" s="83"/>
      <c r="I99" s="83">
        <v>1</v>
      </c>
      <c r="J99" s="83">
        <v>1</v>
      </c>
      <c r="K99" s="83">
        <v>100</v>
      </c>
      <c r="L99" s="83">
        <v>1</v>
      </c>
      <c r="M99" s="83">
        <v>0</v>
      </c>
      <c r="N99" s="83">
        <v>0</v>
      </c>
      <c r="O99" s="83">
        <v>0</v>
      </c>
      <c r="P99" s="83">
        <v>0</v>
      </c>
      <c r="Q99" s="83">
        <v>0</v>
      </c>
      <c r="R99" s="83">
        <v>1</v>
      </c>
      <c r="S99" s="83">
        <v>1</v>
      </c>
      <c r="T99" s="83">
        <v>1</v>
      </c>
      <c r="U99" s="83">
        <v>1</v>
      </c>
      <c r="V99" s="83">
        <v>0.1</v>
      </c>
      <c r="W99" s="83">
        <v>79.2</v>
      </c>
      <c r="X99" s="83">
        <v>100</v>
      </c>
      <c r="Y99" s="83">
        <v>0</v>
      </c>
      <c r="Z99" s="83">
        <v>0</v>
      </c>
      <c r="AA99" s="83">
        <v>0</v>
      </c>
      <c r="AB99" s="83">
        <v>1</v>
      </c>
      <c r="AC99" s="83">
        <v>1</v>
      </c>
      <c r="AD99" s="83"/>
      <c r="AE99" s="83"/>
    </row>
    <row r="100" spans="1:31" ht="16" x14ac:dyDescent="0.2">
      <c r="A100" s="89">
        <v>95</v>
      </c>
      <c r="B100" s="84" t="s">
        <v>1397</v>
      </c>
      <c r="C100" s="84" t="s">
        <v>118</v>
      </c>
      <c r="D100" s="83">
        <v>29</v>
      </c>
      <c r="E100" s="83" t="s">
        <v>83</v>
      </c>
      <c r="F100" s="83">
        <v>16</v>
      </c>
      <c r="G100" s="83">
        <v>16</v>
      </c>
      <c r="H100" s="83"/>
      <c r="I100" s="83">
        <v>0</v>
      </c>
      <c r="J100" s="83">
        <v>1</v>
      </c>
      <c r="K100" s="83">
        <v>0</v>
      </c>
      <c r="L100" s="83">
        <v>0</v>
      </c>
      <c r="M100" s="83">
        <v>0</v>
      </c>
      <c r="N100" s="83">
        <v>0</v>
      </c>
      <c r="O100" s="83">
        <v>0</v>
      </c>
      <c r="P100" s="83">
        <v>0</v>
      </c>
      <c r="Q100" s="83">
        <v>0</v>
      </c>
      <c r="R100" s="83">
        <v>0</v>
      </c>
      <c r="S100" s="83">
        <v>0</v>
      </c>
      <c r="T100" s="83">
        <v>0</v>
      </c>
      <c r="U100" s="83"/>
      <c r="V100" s="83">
        <v>0</v>
      </c>
      <c r="W100" s="83">
        <v>39.6</v>
      </c>
      <c r="X100" s="83">
        <v>51.3</v>
      </c>
      <c r="Y100" s="83">
        <v>0</v>
      </c>
      <c r="Z100" s="83">
        <v>0</v>
      </c>
      <c r="AA100" s="83">
        <v>0</v>
      </c>
      <c r="AB100" s="83">
        <v>0</v>
      </c>
      <c r="AC100" s="83">
        <v>0</v>
      </c>
      <c r="AD100" s="83"/>
      <c r="AE100" s="83"/>
    </row>
    <row r="101" spans="1:31" ht="16" x14ac:dyDescent="0.2">
      <c r="A101" s="89">
        <v>96</v>
      </c>
      <c r="B101" s="84" t="s">
        <v>1997</v>
      </c>
      <c r="C101" s="84" t="s">
        <v>122</v>
      </c>
      <c r="D101" s="83">
        <v>36</v>
      </c>
      <c r="E101" s="83" t="s">
        <v>83</v>
      </c>
      <c r="F101" s="83">
        <v>8</v>
      </c>
      <c r="G101" s="83">
        <v>0</v>
      </c>
      <c r="H101" s="83"/>
      <c r="I101" s="83">
        <v>0</v>
      </c>
      <c r="J101" s="83">
        <v>1</v>
      </c>
      <c r="K101" s="83">
        <v>0</v>
      </c>
      <c r="L101" s="83">
        <v>0</v>
      </c>
      <c r="M101" s="83">
        <v>0</v>
      </c>
      <c r="N101" s="83">
        <v>0</v>
      </c>
      <c r="O101" s="83">
        <v>0</v>
      </c>
      <c r="P101" s="83">
        <v>0</v>
      </c>
      <c r="Q101" s="83">
        <v>0</v>
      </c>
      <c r="R101" s="83">
        <v>0</v>
      </c>
      <c r="S101" s="83">
        <v>0</v>
      </c>
      <c r="T101" s="83">
        <v>0</v>
      </c>
      <c r="U101" s="83"/>
      <c r="V101" s="83">
        <v>0</v>
      </c>
      <c r="W101" s="83">
        <v>39.6</v>
      </c>
      <c r="X101" s="83">
        <v>3.3</v>
      </c>
      <c r="Y101" s="83">
        <v>0</v>
      </c>
      <c r="Z101" s="83">
        <v>0</v>
      </c>
      <c r="AA101" s="83">
        <v>0</v>
      </c>
      <c r="AB101" s="83">
        <v>0</v>
      </c>
      <c r="AC101" s="83">
        <v>0</v>
      </c>
      <c r="AD101" s="83"/>
      <c r="AE101" s="83"/>
    </row>
    <row r="102" spans="1:31" ht="16" x14ac:dyDescent="0.2">
      <c r="A102" s="89">
        <v>97</v>
      </c>
      <c r="B102" s="84" t="s">
        <v>265</v>
      </c>
      <c r="C102" s="84" t="s">
        <v>98</v>
      </c>
      <c r="D102" s="83">
        <v>32</v>
      </c>
      <c r="E102" s="83" t="s">
        <v>83</v>
      </c>
      <c r="F102" s="83">
        <v>16</v>
      </c>
      <c r="G102" s="83">
        <v>8</v>
      </c>
      <c r="H102" s="83"/>
      <c r="I102" s="83">
        <v>0</v>
      </c>
      <c r="J102" s="83">
        <v>1</v>
      </c>
      <c r="K102" s="83">
        <v>0</v>
      </c>
      <c r="L102" s="83">
        <v>0</v>
      </c>
      <c r="M102" s="83">
        <v>0</v>
      </c>
      <c r="N102" s="83">
        <v>0</v>
      </c>
      <c r="O102" s="83">
        <v>0</v>
      </c>
      <c r="P102" s="83">
        <v>0</v>
      </c>
      <c r="Q102" s="83">
        <v>0</v>
      </c>
      <c r="R102" s="83">
        <v>0</v>
      </c>
      <c r="S102" s="83">
        <v>0</v>
      </c>
      <c r="T102" s="83">
        <v>0</v>
      </c>
      <c r="U102" s="83"/>
      <c r="V102" s="83">
        <v>0</v>
      </c>
      <c r="W102" s="83">
        <v>39.6</v>
      </c>
      <c r="X102" s="83">
        <v>2.2999999999999998</v>
      </c>
      <c r="Y102" s="83">
        <v>0</v>
      </c>
      <c r="Z102" s="83">
        <v>0</v>
      </c>
      <c r="AA102" s="83">
        <v>0</v>
      </c>
      <c r="AB102" s="83">
        <v>0</v>
      </c>
      <c r="AC102" s="83">
        <v>0</v>
      </c>
      <c r="AD102" s="83"/>
      <c r="AE102" s="83"/>
    </row>
    <row r="103" spans="1:31" ht="16" x14ac:dyDescent="0.2">
      <c r="A103" s="89">
        <v>98</v>
      </c>
      <c r="B103" s="84" t="s">
        <v>2490</v>
      </c>
      <c r="C103" s="84" t="s">
        <v>99</v>
      </c>
      <c r="D103" s="83">
        <v>30</v>
      </c>
      <c r="E103" s="83" t="s">
        <v>3107</v>
      </c>
      <c r="F103" s="83">
        <v>17</v>
      </c>
      <c r="G103" s="83">
        <v>0</v>
      </c>
      <c r="H103" s="83"/>
      <c r="I103" s="83">
        <v>0</v>
      </c>
      <c r="J103" s="83">
        <v>1</v>
      </c>
      <c r="K103" s="83">
        <v>0</v>
      </c>
      <c r="L103" s="83">
        <v>0</v>
      </c>
      <c r="M103" s="83">
        <v>0</v>
      </c>
      <c r="N103" s="83">
        <v>0</v>
      </c>
      <c r="O103" s="83">
        <v>0</v>
      </c>
      <c r="P103" s="83">
        <v>0</v>
      </c>
      <c r="Q103" s="83">
        <v>0</v>
      </c>
      <c r="R103" s="83">
        <v>0</v>
      </c>
      <c r="S103" s="83">
        <v>0</v>
      </c>
      <c r="T103" s="83">
        <v>0</v>
      </c>
      <c r="U103" s="83"/>
      <c r="V103" s="83">
        <v>0</v>
      </c>
      <c r="W103" s="83">
        <v>39.6</v>
      </c>
      <c r="X103" s="83"/>
      <c r="Y103" s="83">
        <v>0</v>
      </c>
      <c r="Z103" s="83">
        <v>0</v>
      </c>
      <c r="AA103" s="83">
        <v>0</v>
      </c>
      <c r="AB103" s="83">
        <v>0</v>
      </c>
      <c r="AC103" s="83">
        <v>0</v>
      </c>
      <c r="AD103" s="83"/>
      <c r="AE103" s="83"/>
    </row>
    <row r="104" spans="1:31" ht="16" x14ac:dyDescent="0.2">
      <c r="A104" s="89">
        <v>99</v>
      </c>
      <c r="B104" s="84" t="s">
        <v>109</v>
      </c>
      <c r="C104" s="84" t="s">
        <v>77</v>
      </c>
      <c r="D104" s="83">
        <v>24</v>
      </c>
      <c r="E104" s="83" t="s">
        <v>83</v>
      </c>
      <c r="F104" s="83">
        <v>13</v>
      </c>
      <c r="G104" s="83">
        <v>13</v>
      </c>
      <c r="H104" s="83"/>
      <c r="I104" s="83">
        <v>0</v>
      </c>
      <c r="J104" s="83">
        <v>2</v>
      </c>
      <c r="K104" s="83">
        <v>0</v>
      </c>
      <c r="L104" s="83">
        <v>0</v>
      </c>
      <c r="M104" s="83">
        <v>0</v>
      </c>
      <c r="N104" s="83">
        <v>0</v>
      </c>
      <c r="O104" s="83">
        <v>0</v>
      </c>
      <c r="P104" s="83">
        <v>0</v>
      </c>
      <c r="Q104" s="83">
        <v>0</v>
      </c>
      <c r="R104" s="83">
        <v>0</v>
      </c>
      <c r="S104" s="83">
        <v>0</v>
      </c>
      <c r="T104" s="83">
        <v>0</v>
      </c>
      <c r="U104" s="83"/>
      <c r="V104" s="83">
        <v>0</v>
      </c>
      <c r="W104" s="83">
        <v>39.6</v>
      </c>
      <c r="X104" s="83">
        <v>2.4</v>
      </c>
      <c r="Y104" s="83">
        <v>0</v>
      </c>
      <c r="Z104" s="83">
        <v>0</v>
      </c>
      <c r="AA104" s="83">
        <v>0</v>
      </c>
      <c r="AB104" s="83">
        <v>0</v>
      </c>
      <c r="AC104" s="83">
        <v>0</v>
      </c>
      <c r="AD104" s="83"/>
      <c r="AE104" s="83"/>
    </row>
    <row r="105" spans="1:31" ht="16" x14ac:dyDescent="0.2">
      <c r="A105" s="89">
        <v>100</v>
      </c>
      <c r="B105" s="84" t="s">
        <v>371</v>
      </c>
      <c r="C105" s="84" t="s">
        <v>122</v>
      </c>
      <c r="D105" s="83">
        <v>31</v>
      </c>
      <c r="E105" s="83" t="s">
        <v>68</v>
      </c>
      <c r="F105" s="83">
        <v>16</v>
      </c>
      <c r="G105" s="83">
        <v>5</v>
      </c>
      <c r="H105" s="83"/>
      <c r="I105" s="83">
        <v>0</v>
      </c>
      <c r="J105" s="83">
        <v>1</v>
      </c>
      <c r="K105" s="83">
        <v>0</v>
      </c>
      <c r="L105" s="83">
        <v>0</v>
      </c>
      <c r="M105" s="83">
        <v>0</v>
      </c>
      <c r="N105" s="83">
        <v>0</v>
      </c>
      <c r="O105" s="83">
        <v>0</v>
      </c>
      <c r="P105" s="83">
        <v>0</v>
      </c>
      <c r="Q105" s="83">
        <v>0</v>
      </c>
      <c r="R105" s="83">
        <v>0</v>
      </c>
      <c r="S105" s="83">
        <v>0</v>
      </c>
      <c r="T105" s="83">
        <v>0</v>
      </c>
      <c r="U105" s="83"/>
      <c r="V105" s="83">
        <v>0</v>
      </c>
      <c r="W105" s="83">
        <v>39.6</v>
      </c>
      <c r="X105" s="83">
        <v>2.4</v>
      </c>
      <c r="Y105" s="83">
        <v>0</v>
      </c>
      <c r="Z105" s="83">
        <v>0</v>
      </c>
      <c r="AA105" s="83">
        <v>0</v>
      </c>
      <c r="AB105" s="83">
        <v>0</v>
      </c>
      <c r="AC105" s="83">
        <v>0</v>
      </c>
      <c r="AD105" s="83"/>
      <c r="AE105" s="83"/>
    </row>
    <row r="106" spans="1:31" ht="16" x14ac:dyDescent="0.2">
      <c r="A106" s="89">
        <v>101</v>
      </c>
      <c r="B106" s="84" t="s">
        <v>901</v>
      </c>
      <c r="C106" s="84" t="s">
        <v>71</v>
      </c>
      <c r="D106" s="83">
        <v>28</v>
      </c>
      <c r="E106" s="83" t="s">
        <v>83</v>
      </c>
      <c r="F106" s="83">
        <v>15</v>
      </c>
      <c r="G106" s="83">
        <v>11</v>
      </c>
      <c r="H106" s="83"/>
      <c r="I106" s="83">
        <v>0</v>
      </c>
      <c r="J106" s="83">
        <v>1</v>
      </c>
      <c r="K106" s="83">
        <v>0</v>
      </c>
      <c r="L106" s="83">
        <v>0</v>
      </c>
      <c r="M106" s="83">
        <v>0</v>
      </c>
      <c r="N106" s="83">
        <v>0</v>
      </c>
      <c r="O106" s="83">
        <v>0</v>
      </c>
      <c r="P106" s="83">
        <v>0</v>
      </c>
      <c r="Q106" s="83">
        <v>0</v>
      </c>
      <c r="R106" s="83">
        <v>0</v>
      </c>
      <c r="S106" s="83">
        <v>0</v>
      </c>
      <c r="T106" s="83">
        <v>0</v>
      </c>
      <c r="U106" s="83"/>
      <c r="V106" s="83">
        <v>0</v>
      </c>
      <c r="W106" s="83">
        <v>39.6</v>
      </c>
      <c r="X106" s="83">
        <v>3.5</v>
      </c>
      <c r="Y106" s="83">
        <v>0</v>
      </c>
      <c r="Z106" s="83">
        <v>0</v>
      </c>
      <c r="AA106" s="83">
        <v>0</v>
      </c>
      <c r="AB106" s="83">
        <v>0</v>
      </c>
      <c r="AC106" s="83">
        <v>0</v>
      </c>
      <c r="AD106" s="83"/>
      <c r="AE106" s="83"/>
    </row>
    <row r="107" spans="1:31" ht="16" x14ac:dyDescent="0.2">
      <c r="A107" s="89">
        <v>102</v>
      </c>
      <c r="B107" s="84" t="s">
        <v>1400</v>
      </c>
      <c r="C107" s="84" t="s">
        <v>92</v>
      </c>
      <c r="D107" s="83">
        <v>28</v>
      </c>
      <c r="E107" s="83" t="s">
        <v>3105</v>
      </c>
      <c r="F107" s="83">
        <v>17</v>
      </c>
      <c r="G107" s="83">
        <v>0</v>
      </c>
      <c r="H107" s="83"/>
      <c r="I107" s="83">
        <v>0</v>
      </c>
      <c r="J107" s="83">
        <v>1</v>
      </c>
      <c r="K107" s="83">
        <v>0</v>
      </c>
      <c r="L107" s="83">
        <v>0</v>
      </c>
      <c r="M107" s="83">
        <v>0</v>
      </c>
      <c r="N107" s="83">
        <v>0</v>
      </c>
      <c r="O107" s="83">
        <v>0</v>
      </c>
      <c r="P107" s="83">
        <v>0</v>
      </c>
      <c r="Q107" s="83">
        <v>0</v>
      </c>
      <c r="R107" s="83">
        <v>0</v>
      </c>
      <c r="S107" s="83">
        <v>0</v>
      </c>
      <c r="T107" s="83">
        <v>0</v>
      </c>
      <c r="U107" s="83"/>
      <c r="V107" s="83">
        <v>0</v>
      </c>
      <c r="W107" s="83">
        <v>39.6</v>
      </c>
      <c r="X107" s="83"/>
      <c r="Y107" s="83">
        <v>0</v>
      </c>
      <c r="Z107" s="83">
        <v>0</v>
      </c>
      <c r="AA107" s="83">
        <v>0</v>
      </c>
      <c r="AB107" s="83">
        <v>0</v>
      </c>
      <c r="AC107" s="83">
        <v>0</v>
      </c>
      <c r="AD107" s="83"/>
      <c r="AE107" s="83"/>
    </row>
    <row r="108" spans="1:31" ht="16" x14ac:dyDescent="0.2">
      <c r="A108" s="89">
        <v>103</v>
      </c>
      <c r="B108" s="84" t="s">
        <v>1477</v>
      </c>
      <c r="C108" s="84" t="s">
        <v>976</v>
      </c>
      <c r="D108" s="83">
        <v>26</v>
      </c>
      <c r="E108" s="83" t="s">
        <v>68</v>
      </c>
      <c r="F108" s="83">
        <v>14</v>
      </c>
      <c r="G108" s="83">
        <v>13</v>
      </c>
      <c r="H108" s="83"/>
      <c r="I108" s="83">
        <v>0</v>
      </c>
      <c r="J108" s="83">
        <v>1</v>
      </c>
      <c r="K108" s="83">
        <v>0</v>
      </c>
      <c r="L108" s="83">
        <v>0</v>
      </c>
      <c r="M108" s="83">
        <v>0</v>
      </c>
      <c r="N108" s="83">
        <v>0</v>
      </c>
      <c r="O108" s="83">
        <v>0</v>
      </c>
      <c r="P108" s="83">
        <v>0</v>
      </c>
      <c r="Q108" s="83">
        <v>0</v>
      </c>
      <c r="R108" s="83">
        <v>0</v>
      </c>
      <c r="S108" s="83">
        <v>0</v>
      </c>
      <c r="T108" s="83">
        <v>0</v>
      </c>
      <c r="U108" s="83"/>
      <c r="V108" s="83">
        <v>0</v>
      </c>
      <c r="W108" s="83">
        <v>39.6</v>
      </c>
      <c r="X108" s="83">
        <v>28.1</v>
      </c>
      <c r="Y108" s="83">
        <v>0</v>
      </c>
      <c r="Z108" s="83">
        <v>0</v>
      </c>
      <c r="AA108" s="83">
        <v>0</v>
      </c>
      <c r="AB108" s="83">
        <v>0</v>
      </c>
      <c r="AC108" s="83">
        <v>0</v>
      </c>
      <c r="AD108" s="83"/>
      <c r="AE108" s="83"/>
    </row>
    <row r="109" spans="1:31" ht="16" x14ac:dyDescent="0.2">
      <c r="A109" s="89">
        <v>104</v>
      </c>
      <c r="B109" s="84" t="s">
        <v>2242</v>
      </c>
      <c r="C109" s="84" t="s">
        <v>101</v>
      </c>
      <c r="D109" s="83">
        <v>24</v>
      </c>
      <c r="E109" s="83" t="s">
        <v>79</v>
      </c>
      <c r="F109" s="83">
        <v>9</v>
      </c>
      <c r="G109" s="83">
        <v>0</v>
      </c>
      <c r="H109" s="83"/>
      <c r="I109" s="83">
        <v>0</v>
      </c>
      <c r="J109" s="83">
        <v>1</v>
      </c>
      <c r="K109" s="83">
        <v>0</v>
      </c>
      <c r="L109" s="83">
        <v>0</v>
      </c>
      <c r="M109" s="83">
        <v>0</v>
      </c>
      <c r="N109" s="83">
        <v>0</v>
      </c>
      <c r="O109" s="83">
        <v>1</v>
      </c>
      <c r="P109" s="83">
        <v>100</v>
      </c>
      <c r="Q109" s="83">
        <v>0</v>
      </c>
      <c r="R109" s="83">
        <v>0</v>
      </c>
      <c r="S109" s="83">
        <v>0</v>
      </c>
      <c r="T109" s="83">
        <v>-45</v>
      </c>
      <c r="U109" s="83"/>
      <c r="V109" s="83">
        <v>0</v>
      </c>
      <c r="W109" s="83">
        <v>0</v>
      </c>
      <c r="X109" s="83">
        <v>0.8</v>
      </c>
      <c r="Y109" s="83">
        <v>0</v>
      </c>
      <c r="Z109" s="83">
        <v>0</v>
      </c>
      <c r="AA109" s="83">
        <v>0</v>
      </c>
      <c r="AB109" s="83">
        <v>0</v>
      </c>
      <c r="AC109" s="83">
        <v>-45</v>
      </c>
      <c r="AD109" s="83"/>
      <c r="AE109" s="83"/>
    </row>
    <row r="110" spans="1:31" ht="16" x14ac:dyDescent="0.2">
      <c r="A110" s="89">
        <v>105</v>
      </c>
      <c r="B110" s="84" t="s">
        <v>261</v>
      </c>
      <c r="C110" s="84" t="s">
        <v>142</v>
      </c>
      <c r="D110" s="83">
        <v>26</v>
      </c>
      <c r="E110" s="83" t="s">
        <v>88</v>
      </c>
      <c r="F110" s="83">
        <v>17</v>
      </c>
      <c r="G110" s="83">
        <v>9</v>
      </c>
      <c r="H110" s="83"/>
      <c r="I110" s="83">
        <v>0</v>
      </c>
      <c r="J110" s="83">
        <v>1</v>
      </c>
      <c r="K110" s="83">
        <v>0</v>
      </c>
      <c r="L110" s="83">
        <v>0</v>
      </c>
      <c r="M110" s="83">
        <v>0</v>
      </c>
      <c r="N110" s="83">
        <v>0</v>
      </c>
      <c r="O110" s="83">
        <v>0</v>
      </c>
      <c r="P110" s="83">
        <v>0</v>
      </c>
      <c r="Q110" s="83">
        <v>0</v>
      </c>
      <c r="R110" s="83">
        <v>0</v>
      </c>
      <c r="S110" s="83">
        <v>0</v>
      </c>
      <c r="T110" s="83">
        <v>0</v>
      </c>
      <c r="U110" s="83"/>
      <c r="V110" s="83">
        <v>0</v>
      </c>
      <c r="W110" s="83">
        <v>39.6</v>
      </c>
      <c r="X110" s="83">
        <v>4.2</v>
      </c>
      <c r="Y110" s="83">
        <v>0</v>
      </c>
      <c r="Z110" s="83">
        <v>0</v>
      </c>
      <c r="AA110" s="83">
        <v>0</v>
      </c>
      <c r="AB110" s="83">
        <v>0</v>
      </c>
      <c r="AC110" s="83">
        <v>0</v>
      </c>
      <c r="AD110" s="83"/>
      <c r="AE110" s="83"/>
    </row>
    <row r="111" spans="1:31" ht="16" x14ac:dyDescent="0.2">
      <c r="A111" s="89">
        <v>106</v>
      </c>
      <c r="B111" s="84" t="s">
        <v>2495</v>
      </c>
      <c r="C111" s="84" t="s">
        <v>1257</v>
      </c>
      <c r="D111" s="83">
        <v>23</v>
      </c>
      <c r="E111" s="83" t="s">
        <v>3105</v>
      </c>
      <c r="F111" s="83">
        <v>17</v>
      </c>
      <c r="G111" s="83">
        <v>0</v>
      </c>
      <c r="H111" s="83"/>
      <c r="I111" s="83">
        <v>0</v>
      </c>
      <c r="J111" s="83">
        <v>1</v>
      </c>
      <c r="K111" s="83">
        <v>0</v>
      </c>
      <c r="L111" s="83">
        <v>0</v>
      </c>
      <c r="M111" s="83">
        <v>0</v>
      </c>
      <c r="N111" s="83">
        <v>0</v>
      </c>
      <c r="O111" s="83">
        <v>0</v>
      </c>
      <c r="P111" s="83">
        <v>0</v>
      </c>
      <c r="Q111" s="83">
        <v>0</v>
      </c>
      <c r="R111" s="83">
        <v>0</v>
      </c>
      <c r="S111" s="83">
        <v>0</v>
      </c>
      <c r="T111" s="83">
        <v>0</v>
      </c>
      <c r="U111" s="83"/>
      <c r="V111" s="83">
        <v>0</v>
      </c>
      <c r="W111" s="83">
        <v>39.6</v>
      </c>
      <c r="X111" s="83"/>
      <c r="Y111" s="83">
        <v>0</v>
      </c>
      <c r="Z111" s="83">
        <v>0</v>
      </c>
      <c r="AA111" s="83">
        <v>0</v>
      </c>
      <c r="AB111" s="83">
        <v>0</v>
      </c>
      <c r="AC111" s="83">
        <v>0</v>
      </c>
      <c r="AD111" s="83"/>
      <c r="AE111" s="83"/>
    </row>
    <row r="112" spans="1:31" ht="16" x14ac:dyDescent="0.2">
      <c r="A112" s="89">
        <v>107</v>
      </c>
      <c r="B112" s="84" t="s">
        <v>1405</v>
      </c>
      <c r="C112" s="84" t="s">
        <v>725</v>
      </c>
      <c r="D112" s="83">
        <v>39</v>
      </c>
      <c r="E112" s="83" t="s">
        <v>3105</v>
      </c>
      <c r="F112" s="83">
        <v>17</v>
      </c>
      <c r="G112" s="83">
        <v>0</v>
      </c>
      <c r="H112" s="83"/>
      <c r="I112" s="83">
        <v>0</v>
      </c>
      <c r="J112" s="83">
        <v>1</v>
      </c>
      <c r="K112" s="83">
        <v>0</v>
      </c>
      <c r="L112" s="83">
        <v>0</v>
      </c>
      <c r="M112" s="83">
        <v>0</v>
      </c>
      <c r="N112" s="83">
        <v>0</v>
      </c>
      <c r="O112" s="83">
        <v>0</v>
      </c>
      <c r="P112" s="83">
        <v>0</v>
      </c>
      <c r="Q112" s="83">
        <v>0</v>
      </c>
      <c r="R112" s="83">
        <v>0</v>
      </c>
      <c r="S112" s="83">
        <v>0</v>
      </c>
      <c r="T112" s="83">
        <v>0</v>
      </c>
      <c r="U112" s="83"/>
      <c r="V112" s="83">
        <v>0</v>
      </c>
      <c r="W112" s="83">
        <v>39.6</v>
      </c>
      <c r="X112" s="83"/>
      <c r="Y112" s="83">
        <v>0</v>
      </c>
      <c r="Z112" s="83">
        <v>0</v>
      </c>
      <c r="AA112" s="83">
        <v>0</v>
      </c>
      <c r="AB112" s="83">
        <v>0</v>
      </c>
      <c r="AC112" s="83">
        <v>0</v>
      </c>
      <c r="AD112" s="83"/>
      <c r="AE112" s="83"/>
    </row>
    <row r="113" spans="1:31" ht="16" x14ac:dyDescent="0.2">
      <c r="A113" s="89">
        <v>108</v>
      </c>
      <c r="B113" s="84" t="s">
        <v>3087</v>
      </c>
      <c r="C113" s="84" t="s">
        <v>730</v>
      </c>
      <c r="D113" s="83">
        <v>28</v>
      </c>
      <c r="E113" s="83" t="s">
        <v>83</v>
      </c>
      <c r="F113" s="83">
        <v>17</v>
      </c>
      <c r="G113" s="83">
        <v>17</v>
      </c>
      <c r="H113" s="83"/>
      <c r="I113" s="83">
        <v>0</v>
      </c>
      <c r="J113" s="83">
        <v>1</v>
      </c>
      <c r="K113" s="83">
        <v>0</v>
      </c>
      <c r="L113" s="83">
        <v>0</v>
      </c>
      <c r="M113" s="83">
        <v>0</v>
      </c>
      <c r="N113" s="83">
        <v>0</v>
      </c>
      <c r="O113" s="83">
        <v>0</v>
      </c>
      <c r="P113" s="83">
        <v>0</v>
      </c>
      <c r="Q113" s="83">
        <v>0</v>
      </c>
      <c r="R113" s="83">
        <v>0</v>
      </c>
      <c r="S113" s="83">
        <v>0</v>
      </c>
      <c r="T113" s="83">
        <v>0</v>
      </c>
      <c r="U113" s="83"/>
      <c r="V113" s="83">
        <v>0</v>
      </c>
      <c r="W113" s="83">
        <v>39.6</v>
      </c>
      <c r="X113" s="83">
        <v>10.4</v>
      </c>
      <c r="Y113" s="83">
        <v>0</v>
      </c>
      <c r="Z113" s="83">
        <v>0</v>
      </c>
      <c r="AA113" s="83">
        <v>0</v>
      </c>
      <c r="AB113" s="83">
        <v>0</v>
      </c>
      <c r="AC113" s="83">
        <v>0</v>
      </c>
      <c r="AD113" s="83"/>
      <c r="AE113" s="83"/>
    </row>
    <row r="114" spans="1:31" ht="16" x14ac:dyDescent="0.2">
      <c r="A114" s="89">
        <v>109</v>
      </c>
      <c r="B114" s="84" t="s">
        <v>2040</v>
      </c>
      <c r="C114" s="84" t="s">
        <v>118</v>
      </c>
      <c r="D114" s="83">
        <v>28</v>
      </c>
      <c r="E114" s="83" t="s">
        <v>3105</v>
      </c>
      <c r="F114" s="83">
        <v>17</v>
      </c>
      <c r="G114" s="83">
        <v>0</v>
      </c>
      <c r="H114" s="83"/>
      <c r="I114" s="83">
        <v>0</v>
      </c>
      <c r="J114" s="83">
        <v>1</v>
      </c>
      <c r="K114" s="83">
        <v>0</v>
      </c>
      <c r="L114" s="83">
        <v>0</v>
      </c>
      <c r="M114" s="83">
        <v>0</v>
      </c>
      <c r="N114" s="83">
        <v>0</v>
      </c>
      <c r="O114" s="83">
        <v>0</v>
      </c>
      <c r="P114" s="83">
        <v>0</v>
      </c>
      <c r="Q114" s="83">
        <v>0</v>
      </c>
      <c r="R114" s="83">
        <v>0</v>
      </c>
      <c r="S114" s="83">
        <v>0</v>
      </c>
      <c r="T114" s="83">
        <v>0</v>
      </c>
      <c r="U114" s="83"/>
      <c r="V114" s="83">
        <v>0</v>
      </c>
      <c r="W114" s="83">
        <v>39.6</v>
      </c>
      <c r="X114" s="83"/>
      <c r="Y114" s="83">
        <v>0</v>
      </c>
      <c r="Z114" s="83">
        <v>0</v>
      </c>
      <c r="AA114" s="83">
        <v>0</v>
      </c>
      <c r="AB114" s="83">
        <v>0</v>
      </c>
      <c r="AC114" s="83">
        <v>0</v>
      </c>
      <c r="AD114" s="83"/>
      <c r="AE114" s="83"/>
    </row>
    <row r="115" spans="1:31" ht="16" x14ac:dyDescent="0.2">
      <c r="A115" s="89">
        <v>110</v>
      </c>
      <c r="B115" s="84" t="s">
        <v>1446</v>
      </c>
      <c r="C115" s="84" t="s">
        <v>727</v>
      </c>
      <c r="D115" s="83">
        <v>24</v>
      </c>
      <c r="E115" s="83" t="s">
        <v>68</v>
      </c>
      <c r="F115" s="83">
        <v>13</v>
      </c>
      <c r="G115" s="83">
        <v>13</v>
      </c>
      <c r="H115" s="83"/>
      <c r="I115" s="83">
        <v>0</v>
      </c>
      <c r="J115" s="83">
        <v>1</v>
      </c>
      <c r="K115" s="83">
        <v>0</v>
      </c>
      <c r="L115" s="83">
        <v>0</v>
      </c>
      <c r="M115" s="83">
        <v>0</v>
      </c>
      <c r="N115" s="83">
        <v>0</v>
      </c>
      <c r="O115" s="83">
        <v>1</v>
      </c>
      <c r="P115" s="83">
        <v>100</v>
      </c>
      <c r="Q115" s="83">
        <v>0</v>
      </c>
      <c r="R115" s="83">
        <v>0</v>
      </c>
      <c r="S115" s="83">
        <v>0</v>
      </c>
      <c r="T115" s="83">
        <v>-45</v>
      </c>
      <c r="U115" s="83"/>
      <c r="V115" s="83">
        <v>0</v>
      </c>
      <c r="W115" s="83">
        <v>0</v>
      </c>
      <c r="X115" s="83">
        <v>21.2</v>
      </c>
      <c r="Y115" s="83">
        <v>0</v>
      </c>
      <c r="Z115" s="83">
        <v>0</v>
      </c>
      <c r="AA115" s="83">
        <v>0</v>
      </c>
      <c r="AB115" s="83">
        <v>0</v>
      </c>
      <c r="AC115" s="83">
        <v>-45</v>
      </c>
      <c r="AD115" s="83"/>
      <c r="AE115" s="83"/>
    </row>
    <row r="116" spans="1:31" ht="16" x14ac:dyDescent="0.2">
      <c r="A116" s="89">
        <v>111</v>
      </c>
      <c r="B116" s="84" t="s">
        <v>288</v>
      </c>
      <c r="C116" s="84" t="s">
        <v>101</v>
      </c>
      <c r="D116" s="83">
        <v>30</v>
      </c>
      <c r="E116" s="83" t="s">
        <v>68</v>
      </c>
      <c r="F116" s="83">
        <v>16</v>
      </c>
      <c r="G116" s="83">
        <v>13</v>
      </c>
      <c r="H116" s="83"/>
      <c r="I116" s="83">
        <v>0</v>
      </c>
      <c r="J116" s="83">
        <v>1</v>
      </c>
      <c r="K116" s="83">
        <v>0</v>
      </c>
      <c r="L116" s="83">
        <v>0</v>
      </c>
      <c r="M116" s="83">
        <v>0</v>
      </c>
      <c r="N116" s="83">
        <v>0</v>
      </c>
      <c r="O116" s="83">
        <v>0</v>
      </c>
      <c r="P116" s="83">
        <v>0</v>
      </c>
      <c r="Q116" s="83">
        <v>0</v>
      </c>
      <c r="R116" s="83">
        <v>0</v>
      </c>
      <c r="S116" s="83">
        <v>0</v>
      </c>
      <c r="T116" s="83">
        <v>0</v>
      </c>
      <c r="U116" s="83"/>
      <c r="V116" s="83">
        <v>0</v>
      </c>
      <c r="W116" s="83">
        <v>39.6</v>
      </c>
      <c r="X116" s="83">
        <v>2.9</v>
      </c>
      <c r="Y116" s="83">
        <v>0</v>
      </c>
      <c r="Z116" s="83">
        <v>0</v>
      </c>
      <c r="AA116" s="83">
        <v>0</v>
      </c>
      <c r="AB116" s="83">
        <v>0</v>
      </c>
      <c r="AC116" s="83">
        <v>0</v>
      </c>
      <c r="AD116" s="83"/>
      <c r="AE116" s="83"/>
    </row>
    <row r="117" spans="1:31" ht="16" x14ac:dyDescent="0.2">
      <c r="A117" s="89">
        <v>112</v>
      </c>
      <c r="B117" s="84" t="s">
        <v>233</v>
      </c>
      <c r="C117" s="84" t="s">
        <v>93</v>
      </c>
      <c r="D117" s="83">
        <v>25</v>
      </c>
      <c r="E117" s="83" t="s">
        <v>79</v>
      </c>
      <c r="F117" s="83">
        <v>1</v>
      </c>
      <c r="G117" s="83">
        <v>0</v>
      </c>
      <c r="H117" s="83"/>
      <c r="I117" s="83">
        <v>0</v>
      </c>
      <c r="J117" s="83">
        <v>2</v>
      </c>
      <c r="K117" s="83">
        <v>0</v>
      </c>
      <c r="L117" s="83">
        <v>0</v>
      </c>
      <c r="M117" s="83">
        <v>0</v>
      </c>
      <c r="N117" s="83">
        <v>0</v>
      </c>
      <c r="O117" s="83">
        <v>0</v>
      </c>
      <c r="P117" s="83">
        <v>0</v>
      </c>
      <c r="Q117" s="83">
        <v>0</v>
      </c>
      <c r="R117" s="83">
        <v>0</v>
      </c>
      <c r="S117" s="83">
        <v>0</v>
      </c>
      <c r="T117" s="83">
        <v>0</v>
      </c>
      <c r="U117" s="83"/>
      <c r="V117" s="83">
        <v>0</v>
      </c>
      <c r="W117" s="83">
        <v>39.6</v>
      </c>
      <c r="X117" s="83">
        <v>1.1000000000000001</v>
      </c>
      <c r="Y117" s="83">
        <v>0</v>
      </c>
      <c r="Z117" s="83">
        <v>0</v>
      </c>
      <c r="AA117" s="83">
        <v>0</v>
      </c>
      <c r="AB117" s="83">
        <v>0</v>
      </c>
      <c r="AC117" s="83">
        <v>0</v>
      </c>
      <c r="AD117" s="83"/>
      <c r="AE117" s="83"/>
    </row>
    <row r="118" spans="1:31" ht="16" x14ac:dyDescent="0.2">
      <c r="A118" s="89">
        <v>113</v>
      </c>
      <c r="B118" s="84" t="s">
        <v>180</v>
      </c>
      <c r="C118" s="84" t="s">
        <v>139</v>
      </c>
      <c r="D118" s="83">
        <v>22</v>
      </c>
      <c r="E118" s="83" t="s">
        <v>68</v>
      </c>
      <c r="F118" s="83">
        <v>13</v>
      </c>
      <c r="G118" s="83">
        <v>4</v>
      </c>
      <c r="H118" s="83"/>
      <c r="I118" s="83">
        <v>0</v>
      </c>
      <c r="J118" s="83">
        <v>1</v>
      </c>
      <c r="K118" s="83">
        <v>0</v>
      </c>
      <c r="L118" s="83">
        <v>0</v>
      </c>
      <c r="M118" s="83">
        <v>0</v>
      </c>
      <c r="N118" s="83">
        <v>0</v>
      </c>
      <c r="O118" s="83">
        <v>0</v>
      </c>
      <c r="P118" s="83">
        <v>0</v>
      </c>
      <c r="Q118" s="83">
        <v>0</v>
      </c>
      <c r="R118" s="83">
        <v>0</v>
      </c>
      <c r="S118" s="83">
        <v>0</v>
      </c>
      <c r="T118" s="83">
        <v>0</v>
      </c>
      <c r="U118" s="83"/>
      <c r="V118" s="83">
        <v>0</v>
      </c>
      <c r="W118" s="83">
        <v>39.6</v>
      </c>
      <c r="X118" s="83">
        <v>0.5</v>
      </c>
      <c r="Y118" s="83">
        <v>0</v>
      </c>
      <c r="Z118" s="83">
        <v>0</v>
      </c>
      <c r="AA118" s="83">
        <v>0</v>
      </c>
      <c r="AB118" s="83">
        <v>0</v>
      </c>
      <c r="AC118" s="83">
        <v>0</v>
      </c>
      <c r="AD118" s="83"/>
      <c r="AE118" s="83"/>
    </row>
    <row r="119" spans="1:31" ht="16" x14ac:dyDescent="0.2">
      <c r="A119" s="89">
        <v>114</v>
      </c>
      <c r="B119" s="84" t="s">
        <v>534</v>
      </c>
      <c r="C119" s="84" t="s">
        <v>142</v>
      </c>
      <c r="D119" s="83">
        <v>29</v>
      </c>
      <c r="E119" s="83" t="s">
        <v>83</v>
      </c>
      <c r="F119" s="83">
        <v>14</v>
      </c>
      <c r="G119" s="83">
        <v>5</v>
      </c>
      <c r="H119" s="83"/>
      <c r="I119" s="83">
        <v>0</v>
      </c>
      <c r="J119" s="83">
        <v>1</v>
      </c>
      <c r="K119" s="83">
        <v>0</v>
      </c>
      <c r="L119" s="83">
        <v>0</v>
      </c>
      <c r="M119" s="83">
        <v>0</v>
      </c>
      <c r="N119" s="83">
        <v>0</v>
      </c>
      <c r="O119" s="83">
        <v>0</v>
      </c>
      <c r="P119" s="83">
        <v>0</v>
      </c>
      <c r="Q119" s="83">
        <v>0</v>
      </c>
      <c r="R119" s="83">
        <v>0</v>
      </c>
      <c r="S119" s="83">
        <v>0</v>
      </c>
      <c r="T119" s="83">
        <v>0</v>
      </c>
      <c r="U119" s="83"/>
      <c r="V119" s="83">
        <v>0</v>
      </c>
      <c r="W119" s="83">
        <v>39.6</v>
      </c>
      <c r="X119" s="83">
        <v>0</v>
      </c>
      <c r="Y119" s="83">
        <v>1</v>
      </c>
      <c r="Z119" s="83">
        <v>1</v>
      </c>
      <c r="AA119" s="83">
        <v>50</v>
      </c>
      <c r="AB119" s="83">
        <v>-0.5</v>
      </c>
      <c r="AC119" s="83">
        <v>-0.5</v>
      </c>
      <c r="AD119" s="83"/>
      <c r="AE119" s="83"/>
    </row>
    <row r="120" spans="1:31" ht="16" x14ac:dyDescent="0.2">
      <c r="A120" s="89">
        <v>115</v>
      </c>
      <c r="B120" s="84" t="s">
        <v>495</v>
      </c>
      <c r="C120" s="84" t="s">
        <v>70</v>
      </c>
      <c r="D120" s="83">
        <v>28</v>
      </c>
      <c r="E120" s="83" t="s">
        <v>83</v>
      </c>
      <c r="F120" s="83">
        <v>13</v>
      </c>
      <c r="G120" s="83">
        <v>3</v>
      </c>
      <c r="H120" s="83"/>
      <c r="I120" s="83">
        <v>0</v>
      </c>
      <c r="J120" s="83">
        <v>1</v>
      </c>
      <c r="K120" s="83">
        <v>0</v>
      </c>
      <c r="L120" s="83">
        <v>0</v>
      </c>
      <c r="M120" s="83">
        <v>0</v>
      </c>
      <c r="N120" s="83">
        <v>0</v>
      </c>
      <c r="O120" s="83">
        <v>0</v>
      </c>
      <c r="P120" s="83">
        <v>0</v>
      </c>
      <c r="Q120" s="83">
        <v>0</v>
      </c>
      <c r="R120" s="83">
        <v>0</v>
      </c>
      <c r="S120" s="83">
        <v>0</v>
      </c>
      <c r="T120" s="83">
        <v>0</v>
      </c>
      <c r="U120" s="83"/>
      <c r="V120" s="83">
        <v>0</v>
      </c>
      <c r="W120" s="83">
        <v>39.6</v>
      </c>
      <c r="X120" s="83">
        <v>0.4</v>
      </c>
      <c r="Y120" s="83">
        <v>0</v>
      </c>
      <c r="Z120" s="83">
        <v>0</v>
      </c>
      <c r="AA120" s="83">
        <v>0</v>
      </c>
      <c r="AB120" s="83">
        <v>0</v>
      </c>
      <c r="AC120" s="83">
        <v>0</v>
      </c>
      <c r="AD120" s="83"/>
      <c r="AE120" s="83"/>
    </row>
  </sheetData>
  <mergeCells count="1">
    <mergeCell ref="A1:AE1"/>
  </mergeCells>
  <hyperlinks>
    <hyperlink ref="B3" r:id="rId1" display="file:///players/B/BradTo00.htm" xr:uid="{24073896-36D0-CD40-AC97-E3337564E1B2}"/>
    <hyperlink ref="C3" r:id="rId2" tooltip="Tampa Bay Buccaneers" display="file:///teams/tam/2021.htm" xr:uid="{959F3B17-9FE4-1F42-8342-17C597C1E820}"/>
    <hyperlink ref="B4" r:id="rId3" display="file:///players/H/HerbJu00.htm" xr:uid="{852251CF-C3BC-EA40-8C04-FF3FA18D1773}"/>
    <hyperlink ref="C4" r:id="rId4" tooltip="Los Angeles Chargers" display="file:///teams/sdg/2021.htm" xr:uid="{FDDC56BB-8686-9146-B5C4-2A47BEBBA594}"/>
    <hyperlink ref="B5" r:id="rId5" display="file:///players/S/StafMa00.htm" xr:uid="{381996A3-8D90-1042-8C2B-386E888AE2BF}"/>
    <hyperlink ref="C5" r:id="rId6" tooltip="Los Angeles Rams" display="file:///teams/ram/2021.htm" xr:uid="{C935FFEF-7C15-BC48-A69A-91DB02992604}"/>
    <hyperlink ref="B6" r:id="rId7" display="file:///players/M/MahoPa00.htm" xr:uid="{0207087E-2D9F-F444-BDD3-47973890A698}"/>
    <hyperlink ref="C6" r:id="rId8" tooltip="Kansas City Chiefs" display="file:///teams/kan/2021.htm" xr:uid="{143E5318-258B-044A-AED9-EFD723D86E59}"/>
    <hyperlink ref="B7" r:id="rId9" display="file:///players/C/CarrDe02.htm" xr:uid="{BB2DAF08-1E8D-DF4A-9336-AB79B0E2B70D}"/>
    <hyperlink ref="C7" r:id="rId10" tooltip="Las Vegas Raiders" display="file:///teams/rai/2021.htm" xr:uid="{A2552A0F-38E8-D944-B8A0-56BB6DB76F69}"/>
    <hyperlink ref="B8" r:id="rId11" display="file:///players/B/BurrJo01.htm" xr:uid="{D3C0A93C-0D76-D24B-AD58-21B6C0BB8F08}"/>
    <hyperlink ref="C8" r:id="rId12" tooltip="Cincinnati Bengals" display="file:///teams/cin/2021.htm" xr:uid="{72951142-99C3-8A4A-A4DF-572C28DC9A8F}"/>
    <hyperlink ref="B9" r:id="rId13" display="file:///players/P/PresDa01.htm" xr:uid="{1F4236AB-9704-AE4E-9EE2-1339276C1E2D}"/>
    <hyperlink ref="C9" r:id="rId14" tooltip="Dallas Cowboys" display="file:///teams/dal/2021.htm" xr:uid="{E9588ED5-F3B9-7C46-BDB5-D846022B554A}"/>
    <hyperlink ref="B10" r:id="rId15" display="file:///players/A/AlleJo02.htm" xr:uid="{8A3BB12B-70F3-9647-AF99-31D624558856}"/>
    <hyperlink ref="C10" r:id="rId16" tooltip="Buffalo Bills" display="file:///teams/buf/2021.htm" xr:uid="{A784F03F-FE27-104B-B6A6-61AB856082B2}"/>
    <hyperlink ref="B11" r:id="rId17" display="file:///players/C/CousKi00.htm" xr:uid="{44BBCDFC-4309-984E-A762-A64E0A97E852}"/>
    <hyperlink ref="C11" r:id="rId18" tooltip="Minnesota Vikings" display="file:///teams/min/2021.htm" xr:uid="{378E5A74-EBE1-8343-9519-8AF2138F452F}"/>
    <hyperlink ref="B12" r:id="rId19" display="file:///players/R/RodgAa00.htm" xr:uid="{0FCD06D8-D021-9048-BE83-710445EECF52}"/>
    <hyperlink ref="C12" r:id="rId20" tooltip="Green Bay Packers" display="file:///teams/gnb/2021.htm" xr:uid="{40F1D72E-9CA9-8746-AEE7-B34F79DCF02F}"/>
    <hyperlink ref="B13" r:id="rId21" display="file:///players/R/RyanMa00.htm" xr:uid="{5ADE93C2-F4FA-6744-973A-10A11563AA72}"/>
    <hyperlink ref="C13" r:id="rId22" tooltip="Atlanta Falcons" display="file:///teams/atl/2021.htm" xr:uid="{FFF115D2-5F70-F04B-B0DC-A1271F47613D}"/>
    <hyperlink ref="B14" r:id="rId23" display="file:///players/G/GaroJi00.htm" xr:uid="{5B523F8F-0DC0-4C4A-97F4-A00405821633}"/>
    <hyperlink ref="C14" r:id="rId24" tooltip="San Francisco 49ers" display="file:///teams/sfo/2021.htm" xr:uid="{0B9256CA-91CA-A442-91EB-FEF624CE00AE}"/>
    <hyperlink ref="B15" r:id="rId25" display="file:///players/J/JoneMa05.htm" xr:uid="{5E0D071E-4570-8149-9BB3-E554137E4794}"/>
    <hyperlink ref="C15" r:id="rId26" tooltip="New England Patriots" display="file:///teams/nwe/2021.htm" xr:uid="{BEB32246-A2A4-7E42-BAEB-73D23441C022}"/>
    <hyperlink ref="B16" r:id="rId27" display="file:///players/M/MurrKy00.htm" xr:uid="{8086A0E0-A2AF-5048-A4F2-89A6608EE387}"/>
    <hyperlink ref="C16" r:id="rId28" tooltip="Arizona Cardinals" display="file:///teams/crd/2021.htm" xr:uid="{6A496E99-89D1-0544-8780-8761E7D8AB5A}"/>
    <hyperlink ref="B17" r:id="rId29" display="file:///players/R/RoetBe00.htm" xr:uid="{6B35BB90-CE27-FE41-80E9-7174D4426E77}"/>
    <hyperlink ref="C17" r:id="rId30" tooltip="Pittsburgh Steelers" display="file:///teams/pit/2021.htm" xr:uid="{6CCE4DF4-4843-A548-BE77-7755C5E6A12A}"/>
    <hyperlink ref="B18" r:id="rId31" display="file:///players/T/TannRy00.htm" xr:uid="{2925F635-AC3C-8249-A5A9-A40ECE9C9914}"/>
    <hyperlink ref="C18" r:id="rId32" tooltip="Tennessee Titans" display="file:///teams/oti/2021.htm" xr:uid="{89E7EFB0-DAD7-1A44-A66A-106C766A750C}"/>
    <hyperlink ref="B19" r:id="rId33" display="file:///players/L/LawrTr00.htm" xr:uid="{72ED5E4D-F032-5D43-A3E9-753845227F3F}"/>
    <hyperlink ref="C19" r:id="rId34" tooltip="Jacksonville Jaguars" display="file:///teams/jax/2021.htm" xr:uid="{2F0822E4-393D-2B48-BF8C-4F7B25B2DA08}"/>
    <hyperlink ref="B20" r:id="rId35" display="file:///players/W/WentCa00.htm" xr:uid="{6D9075C6-11AF-244A-B816-D7BA23049DB9}"/>
    <hyperlink ref="C20" r:id="rId36" tooltip="Indianapolis Colts" display="file:///teams/clt/2021.htm" xr:uid="{BC3F2264-9B3B-514E-93D1-734FF6A76E1A}"/>
    <hyperlink ref="B21" r:id="rId37" display="file:///players/H/HeinTa00.htm" xr:uid="{FA37B28F-C493-DE43-920B-175188F9226E}"/>
    <hyperlink ref="C21" r:id="rId38" tooltip="Washington Football Team" display="file:///teams/was/2021.htm" xr:uid="{E26884F1-7780-0940-A3F7-39F4C1A19ED0}"/>
    <hyperlink ref="B22" r:id="rId39" display="file:///players/G/GoffJa00.htm" xr:uid="{6C0D5549-8A11-2B4D-8981-D765267B895B}"/>
    <hyperlink ref="C22" r:id="rId40" tooltip="Detroit Lions" display="file:///teams/det/2021.htm" xr:uid="{A650BC7D-1EC0-C543-8879-6E952E636E20}"/>
    <hyperlink ref="B23" r:id="rId41" display="file:///players/H/HurtJa00.htm" xr:uid="{DE2A0121-D9BD-9249-99CD-8025B7E0A7E1}"/>
    <hyperlink ref="C23" r:id="rId42" tooltip="Philadelphia Eagles" display="file:///teams/phi/2021.htm" xr:uid="{FE00BCC4-60CE-7848-971C-339508758D66}"/>
    <hyperlink ref="B24" r:id="rId43" display="file:///players/W/WilsRu00.htm" xr:uid="{863C63B4-6A29-6B44-ACF7-17CF3DE39389}"/>
    <hyperlink ref="C24" r:id="rId44" tooltip="Seattle Seahawks" display="file:///teams/sea/2021.htm" xr:uid="{5DF3A6F6-B780-B647-B793-774B111801DA}"/>
    <hyperlink ref="B25" r:id="rId45" display="file:///players/B/BridTe00.htm" xr:uid="{295E9719-4EB2-954A-B4C6-2EEECEE1F06F}"/>
    <hyperlink ref="C25" r:id="rId46" tooltip="Denver Broncos" display="file:///teams/den/2021.htm" xr:uid="{E0C2C57C-812C-6643-B103-094FEDC23C1E}"/>
    <hyperlink ref="B26" r:id="rId47" display="file:///players/M/MayfBa00.htm" xr:uid="{1EAFCF21-B646-E343-B79E-F5D3E6DA9A2A}"/>
    <hyperlink ref="C26" r:id="rId48" tooltip="Cleveland Browns" display="file:///teams/cle/2021.htm" xr:uid="{414A5FAA-91E9-DA47-84EA-7D36ACC17AB5}"/>
    <hyperlink ref="B27" r:id="rId49" display="file:///players/J/JackLa00.htm" xr:uid="{FD4ABF37-070C-854D-944D-191B96526582}"/>
    <hyperlink ref="C27" r:id="rId50" tooltip="Baltimore Ravens" display="file:///teams/rav/2021.htm" xr:uid="{C812C703-44CB-CF41-AA31-C81342038CE0}"/>
    <hyperlink ref="B28" r:id="rId51" display="file:///players/M/MillDa02.htm" xr:uid="{ADCDB60B-1A87-194C-9A40-64374A98C23C}"/>
    <hyperlink ref="C28" r:id="rId52" tooltip="Houston Texans" display="file:///teams/htx/2021.htm" xr:uid="{AE866D8F-1C7E-E649-85CF-81C84A06D506}"/>
    <hyperlink ref="B29" r:id="rId53" display="file:///players/T/TagoTu00.htm" xr:uid="{417A6133-4E76-D54A-BF33-4289A27643C1}"/>
    <hyperlink ref="C29" r:id="rId54" tooltip="Miami Dolphins" display="file:///teams/mia/2021.htm" xr:uid="{27A92D04-545E-4843-A4FF-14A9AEFBB32D}"/>
    <hyperlink ref="B30" r:id="rId55" display="file:///players/D/DarnSa00.htm" xr:uid="{A857D1CE-A51F-2540-A5BF-27E03E4982D1}"/>
    <hyperlink ref="C30" r:id="rId56" tooltip="Carolina Panthers" display="file:///teams/car/2021.htm" xr:uid="{1B38F91B-C2EE-8244-88D2-8FC465161168}"/>
    <hyperlink ref="B31" r:id="rId57" display="file:///players/J/JoneDa05.htm" xr:uid="{EA6E9DE0-858A-6442-A547-DFC949DBC060}"/>
    <hyperlink ref="C31" r:id="rId58" tooltip="New York Giants" display="file:///teams/nyg/2021.htm" xr:uid="{B097D004-3A1F-5A46-A4A5-9A3EFFB23FBD}"/>
    <hyperlink ref="B33" r:id="rId59" display="file:///players/W/WilsZa00.htm" xr:uid="{CE0CE2F6-F937-F540-9EE5-5F6AE407A555}"/>
    <hyperlink ref="C33" r:id="rId60" tooltip="New York Jets" display="file:///teams/nyj/2021.htm" xr:uid="{FB9C96B9-586F-894D-A741-FFA277CFDF6B}"/>
    <hyperlink ref="B34" r:id="rId61" display="file:///players/F/FielJu00.htm" xr:uid="{2DB05A35-8A2D-DF48-8286-F08D9DE8A591}"/>
    <hyperlink ref="C34" r:id="rId62" tooltip="Chicago Bears" display="file:///teams/chi/2021.htm" xr:uid="{B55C19EB-363F-9B4E-A208-D4BF285C47B5}"/>
    <hyperlink ref="B35" r:id="rId63" display="file:///players/D/DaltAn00.htm" xr:uid="{10770983-F478-8346-B2C8-134845E0797E}"/>
    <hyperlink ref="C35" r:id="rId64" tooltip="Chicago Bears" display="file:///teams/chi/2021.htm" xr:uid="{A1FFE751-59AD-7040-9708-C3E39C9E01B8}"/>
    <hyperlink ref="B36" r:id="rId65" display="file:///players/B/BrisJa00.htm" xr:uid="{6050BD6D-66D5-2A4D-844D-5CD7BD774D21}"/>
    <hyperlink ref="C36" r:id="rId66" tooltip="Miami Dolphins" display="file:///teams/mia/2021.htm" xr:uid="{A53CA68F-3988-BA43-B46E-AA2E6B2FFD8F}"/>
    <hyperlink ref="B37" r:id="rId67" display="file:///players/W/WinsJa00.htm" xr:uid="{C0F7A10B-D0DB-414C-979F-D4E39A23E746}"/>
    <hyperlink ref="C37" r:id="rId68" tooltip="New Orleans Saints" display="file:///teams/nor/2021.htm" xr:uid="{146890ED-E220-0A44-B5E4-8B95C117AC8B}"/>
    <hyperlink ref="B38" r:id="rId69" display="file:///players/S/SiemTr00.htm" xr:uid="{3C578C11-EC63-784D-9510-656289BF69D3}"/>
    <hyperlink ref="C38" r:id="rId70" tooltip="New Orleans Saints" display="file:///teams/nor/2021.htm" xr:uid="{70996EA7-A3A6-6F41-9430-237AA598C15D}"/>
    <hyperlink ref="B39" r:id="rId71" display="file:///players/H/HuntTy01.htm" xr:uid="{322C452B-510A-B640-BFBA-6AA69F26DF50}"/>
    <hyperlink ref="C39" r:id="rId72" tooltip="Baltimore Ravens" display="file:///teams/rav/2021.htm" xr:uid="{2DF127E4-44E0-E64F-B338-03C3D6208404}"/>
    <hyperlink ref="B40" r:id="rId73" display="file:///players/H/HillTa00.htm" xr:uid="{F9C51169-88DC-2242-BAE8-F28BB3F78EEE}"/>
    <hyperlink ref="C40" r:id="rId74" tooltip="New Orleans Saints" display="file:///teams/nor/2021.htm" xr:uid="{7692F999-6715-7F42-8A52-ABD26E910B20}"/>
    <hyperlink ref="B41" r:id="rId75" display="file:///players/T/TaylTy00.htm" xr:uid="{8A96CB57-FEC5-9B40-8BFA-129CAB1AC8C7}"/>
    <hyperlink ref="C41" r:id="rId76" tooltip="Houston Texans" display="file:///teams/htx/2021.htm" xr:uid="{C9528AA7-0C6E-6B45-8481-540306E6DB39}"/>
    <hyperlink ref="B42" r:id="rId77" display="file:///players/W/WhitMi01.htm" xr:uid="{B939860C-A1C8-1C4B-8A3B-B679766D57CA}"/>
    <hyperlink ref="C42" r:id="rId78" tooltip="New York Jets" display="file:///teams/nyj/2021.htm" xr:uid="{5784231A-9D8B-ED4C-9292-CA86EB211C61}"/>
    <hyperlink ref="B43" r:id="rId79" display="file:///players/G/GlenMi00.htm" xr:uid="{AA1E506F-559A-384B-98FC-11061F825EA0}"/>
    <hyperlink ref="C43" r:id="rId80" tooltip="New York Giants" display="file:///teams/nyg/2021.htm" xr:uid="{C2EE9D7D-2D1D-8644-84BD-A6FFECB87F3A}"/>
    <hyperlink ref="B44" r:id="rId81" display="file:///players/L/LockDr00.htm" xr:uid="{22955F49-95B9-ED42-962B-A4E25AF27353}"/>
    <hyperlink ref="C44" r:id="rId82" tooltip="Denver Broncos" display="file:///teams/den/2021.htm" xr:uid="{FA736E98-6224-BE48-B390-8E1899CD91F8}"/>
    <hyperlink ref="B45" r:id="rId83" display="file:///players/M/McCoCo00.htm" xr:uid="{D9518339-E19E-EB4D-9295-3F88A8F65402}"/>
    <hyperlink ref="C45" r:id="rId84" tooltip="Arizona Cardinals" display="file:///teams/crd/2021.htm" xr:uid="{1C7A8AA7-AC59-6E48-990A-7DD0DAB64C0B}"/>
    <hyperlink ref="B46" r:id="rId85" display="file:///players/S/SmitGe00.htm" xr:uid="{2F7E204F-5A1D-D64F-BB78-01DE6BF357BE}"/>
    <hyperlink ref="C46" r:id="rId86" tooltip="Seattle Seahawks" display="file:///teams/sea/2021.htm" xr:uid="{169A4B88-23AD-7948-A211-9D4FC34AD8D0}"/>
    <hyperlink ref="B47" r:id="rId87" display="file:///players/N/NewtCa00.htm" xr:uid="{CD6BCAF5-48CD-E74C-AA16-DB83BA8DFA31}"/>
    <hyperlink ref="C47" r:id="rId88" tooltip="Carolina Panthers" display="file:///teams/car/2021.htm" xr:uid="{7E853A49-B109-274A-AEAC-B03CF8E6AF17}"/>
    <hyperlink ref="B48" r:id="rId89" display="file:///players/J/JohnJo05.htm" xr:uid="{CFE62F2E-A505-6F43-88CC-92CE7D31CD66}"/>
    <hyperlink ref="B49" r:id="rId90" display="file:///players/L/LancTr00.htm" xr:uid="{11026577-53E2-BD40-9245-180C4E48114D}"/>
    <hyperlink ref="C49" r:id="rId91" tooltip="San Francisco 49ers" display="file:///teams/sfo/2021.htm" xr:uid="{DF065B31-67FA-714A-A13F-59C1721D8531}"/>
    <hyperlink ref="B50" r:id="rId92" display="file:///players/B/BoylTi00.htm" xr:uid="{1251FCA0-1B1E-7941-A42A-CE0391AE622D}"/>
    <hyperlink ref="C50" r:id="rId93" tooltip="Detroit Lions" display="file:///teams/det/2021.htm" xr:uid="{EB83B568-77CB-A947-ACBE-41996ED25F49}"/>
    <hyperlink ref="B51" r:id="rId94" display="file:///players/K/KeenCa00.htm" xr:uid="{F99DFEE6-69FA-8A4F-9718-018A846EEA21}"/>
    <hyperlink ref="C51" r:id="rId95" tooltip="Cleveland Browns" display="file:///teams/cle/2021.htm" xr:uid="{317D3D58-6264-A24E-B315-1517710ECC5C}"/>
    <hyperlink ref="B52" r:id="rId96" display="file:///players/M/MinsGa00.htm" xr:uid="{6DBA9566-3A56-CC41-821F-36C6B07E32C2}"/>
    <hyperlink ref="C52" r:id="rId97" tooltip="Philadelphia Eagles" display="file:///teams/phi/2021.htm" xr:uid="{DD95F24B-FAF5-274F-98D2-3280F4B5103D}"/>
    <hyperlink ref="B53" r:id="rId98" display="file:///players/R/RushCo00.htm" xr:uid="{57A243E5-560F-B54B-B5BE-617B31450EDB}"/>
    <hyperlink ref="C53" r:id="rId99" tooltip="Dallas Cowboys" display="file:///teams/dal/2021.htm" xr:uid="{368CEB67-3215-DE42-9F5E-EEB7277BB7D5}"/>
    <hyperlink ref="B54" r:id="rId100" display="file:///players/L/LoveJo03.htm" xr:uid="{6626A65E-26D4-274A-8038-21D54AB4069E}"/>
    <hyperlink ref="C54" r:id="rId101" tooltip="Green Bay Packers" display="file:///teams/gnb/2021.htm" xr:uid="{03229211-CE71-304B-B891-824D61E9E994}"/>
    <hyperlink ref="B55" r:id="rId102" display="file:///players/W/WalkPh00.htm" xr:uid="{00913CC9-8108-B24F-9AEA-1F6D1B7F0AB4}"/>
    <hyperlink ref="C55" r:id="rId103" tooltip="Carolina Panthers" display="file:///teams/car/2021.htm" xr:uid="{F38F2CEB-5F2C-E140-80FF-BB51F5304DAB}"/>
    <hyperlink ref="B56" r:id="rId104" display="file:///players/F/FlacJo00.htm" xr:uid="{FB7021DB-27B7-3B4D-96F2-ACB9400282FB}"/>
    <hyperlink ref="C56" r:id="rId105" tooltip="New York Jets" display="file:///teams/nyj/2021.htm" xr:uid="{185A7AAE-78DB-2149-81BE-5AFF998B13BE}"/>
    <hyperlink ref="B57" r:id="rId106" display="file:///players/R/RudoMa00.htm" xr:uid="{30C9C5A9-B11E-D940-8FDD-EF65E024CB3B}"/>
    <hyperlink ref="C57" r:id="rId107" tooltip="Pittsburgh Steelers" display="file:///teams/pit/2021.htm" xr:uid="{0921BBF6-014D-7841-9D8B-A504F74C7AD2}"/>
    <hyperlink ref="B58" r:id="rId108" display="file:///players/F/FoleNi00.htm" xr:uid="{A534E348-DF7E-9B45-AFE7-623EFFA786AD}"/>
    <hyperlink ref="C58" r:id="rId109" tooltip="Chicago Bears" display="file:///teams/chi/2021.htm" xr:uid="{C0D47D35-D0B6-1240-A437-2429B0C629B5}"/>
    <hyperlink ref="B59" r:id="rId110" display="file:///players/H/HoyeBr00.htm" xr:uid="{A124E00D-A1E0-A44E-A227-8EBEA427286D}"/>
    <hyperlink ref="C59" r:id="rId111" tooltip="New England Patriots" display="file:///teams/nwe/2021.htm" xr:uid="{640DA850-BDB2-8E4A-9117-069875CF5D47}"/>
    <hyperlink ref="B60" r:id="rId112" display="file:///players/F/FromJa00.htm" xr:uid="{CC9E8A7F-7EA8-7742-AEB5-FE4E2FFB8E94}"/>
    <hyperlink ref="C60" r:id="rId113" tooltip="New York Giants" display="file:///teams/nyg/2021.htm" xr:uid="{D020BB6D-C282-4042-BE82-97D473110489}"/>
    <hyperlink ref="B61" r:id="rId114" display="file:///players/G/GilbGa01.htm" xr:uid="{E608728E-52BF-E846-A0BC-3237B940FB09}"/>
    <hyperlink ref="C61" r:id="rId115" tooltip="Washington Football Team" display="file:///teams/was/2021.htm" xr:uid="{BFFD0BA1-C445-DD4D-8EB7-C3A99F9882DF}"/>
    <hyperlink ref="B62" r:id="rId116" display="file:///players/M/MannSe00.htm" xr:uid="{1B834CBC-2153-A34B-A758-32C9FC3CFC21}"/>
    <hyperlink ref="C62" r:id="rId117" tooltip="Minnesota Vikings" display="file:///teams/min/2021.htm" xr:uid="{2341AE5C-65A0-F74C-ABAF-D730996B2018}"/>
    <hyperlink ref="B64" r:id="rId118" display="file:///players/A/AlleBr00.htm" xr:uid="{0F8C751E-FE2F-C64A-8207-2760113E5444}"/>
    <hyperlink ref="C64" r:id="rId119" tooltip="Cincinnati Bengals" display="file:///teams/cin/2021.htm" xr:uid="{2C258860-94FA-A44A-BEDC-13359D1FF61B}"/>
    <hyperlink ref="B65" r:id="rId120" display="file:///players/M/MullNi00.htm" xr:uid="{47B5CAC9-C3F0-9D40-AD8A-8815F73245FB}"/>
    <hyperlink ref="C65" r:id="rId121" tooltip="Cleveland Browns" display="file:///teams/cle/2021.htm" xr:uid="{94D05210-160B-C14B-943C-26328D285DB6}"/>
    <hyperlink ref="B66" r:id="rId122" display="file:///players/B/BookIa00.htm" xr:uid="{4BC23623-3D53-FA4E-AEA7-ADFF6B6946BB}"/>
    <hyperlink ref="C66" r:id="rId123" tooltip="New Orleans Saints" display="file:///teams/nor/2021.htm" xr:uid="{A61170B4-50EC-CC4A-B745-E91C9E44CA2A}"/>
    <hyperlink ref="B67" r:id="rId124" display="file:///players/A/AlleKy00.htm" xr:uid="{FBAD6A53-CE43-AD4C-A000-F5D91AFD3903}"/>
    <hyperlink ref="C67" r:id="rId125" tooltip="Washington Football Team" display="file:///teams/was/2021.htm" xr:uid="{984C93E0-3F1C-8E4F-8BAA-980C0729A5F1}"/>
    <hyperlink ref="B68" r:id="rId126" display="file:///players/W/WilsCe01.htm" xr:uid="{6ECA5ABA-E255-FF42-82AB-5F1DDA7FF79D}"/>
    <hyperlink ref="C68" r:id="rId127" tooltip="Dallas Cowboys" display="file:///teams/dal/2021.htm" xr:uid="{1EFC501A-1EC5-914C-8C3E-ADD29413077A}"/>
    <hyperlink ref="B69" r:id="rId128" display="file:///players/H/HennCh01.htm" xr:uid="{BD7AC849-8386-E544-99DE-B2F0F26F28FA}"/>
    <hyperlink ref="C69" r:id="rId129" tooltip="Kansas City Chiefs" display="file:///teams/kan/2021.htm" xr:uid="{0D0DDEBE-F94C-C543-BF09-E8D154B01257}"/>
    <hyperlink ref="B70" r:id="rId130" display="file:///players/K/KennTo01.htm" xr:uid="{170C7FD0-797B-8E43-BD4B-CE02B0738985}"/>
    <hyperlink ref="C70" r:id="rId131" tooltip="Detroit Lions" display="file:///teams/det/2021.htm" xr:uid="{78932AF2-7451-8448-8868-8FB25141896B}"/>
    <hyperlink ref="B71" r:id="rId132" display="file:///players/G/GabbBl00.htm" xr:uid="{4EC14E98-0C2E-DC48-88F0-27FA7997B292}"/>
    <hyperlink ref="C71" r:id="rId133" tooltip="Tampa Bay Buccaneers" display="file:///teams/tam/2021.htm" xr:uid="{EA58FDED-5859-104E-A276-E988366A9133}"/>
    <hyperlink ref="B72" r:id="rId134" display="file:///players/B/BoydTy00.htm" xr:uid="{A9F70CCE-AC95-A54C-BD40-F8866A73E250}"/>
    <hyperlink ref="C72" r:id="rId135" tooltip="Cincinnati Bengals" display="file:///teams/cin/2021.htm" xr:uid="{F9C7973E-E8F5-7141-B65D-88B044F5CA8C}"/>
    <hyperlink ref="B73" r:id="rId136" display="file:///players/M/MeyeJa01.htm" xr:uid="{56DA43A9-DA57-C34B-8233-7B98606801A9}"/>
    <hyperlink ref="C73" r:id="rId137" tooltip="New England Patriots" display="file:///teams/nwe/2021.htm" xr:uid="{6BE8C90D-3F4D-3148-B3A5-45755A2B109C}"/>
    <hyperlink ref="B74" r:id="rId138" display="file:///players/T/TrubMi00.htm" xr:uid="{3662A139-40E1-4649-9271-23891ED1625C}"/>
    <hyperlink ref="C74" r:id="rId139" tooltip="Buffalo Bills" display="file:///teams/buf/2021.htm" xr:uid="{ED9A7FBE-735D-B745-A146-DACF55F17E28}"/>
    <hyperlink ref="B75" r:id="rId140" display="file:///players/F/FoxxJa01.htm" xr:uid="{A314E8E3-C560-5B48-AD7A-3C49D47B50AD}"/>
    <hyperlink ref="C75" r:id="rId141" tooltip="Detroit Lions" display="file:///teams/det/2021.htm" xr:uid="{FF50E68A-05CD-E448-BA94-77D066B14931}"/>
    <hyperlink ref="B76" r:id="rId142" display="file:///players/S/StreCh00.htm" xr:uid="{021658CA-7FA8-9D42-9FC5-2D1A43DAD4CF}"/>
    <hyperlink ref="C76" r:id="rId143" tooltip="Arizona Cardinals" display="file:///teams/crd/2021.htm" xr:uid="{A2669F06-471D-CE43-B10A-09460DAF4A0E}"/>
    <hyperlink ref="B77" r:id="rId144" display="file:///players/J/JeffJu00.htm" xr:uid="{36B2AE24-E113-5D4E-9F3E-6B4BAE622173}"/>
    <hyperlink ref="C77" r:id="rId145" tooltip="Minnesota Vikings" display="file:///teams/min/2021.htm" xr:uid="{1B99BBC0-4C62-614E-8583-03DC661061E0}"/>
    <hyperlink ref="B78" r:id="rId146" display="file:///players/B/BeatC.00.htm" xr:uid="{7D14CA13-688F-1946-BBA7-123684597FCC}"/>
    <hyperlink ref="C78" r:id="rId147" tooltip="Jacksonville Jaguars" display="file:///teams/jax/2021.htm" xr:uid="{09A98556-6032-9446-BE1D-DBA04F82957C}"/>
    <hyperlink ref="B79" r:id="rId148" display="file:///players/K/KirkCh01.htm" xr:uid="{495F65CB-3931-354F-BA54-AD84533DE07A}"/>
    <hyperlink ref="C79" r:id="rId149" tooltip="Arizona Cardinals" display="file:///teams/crd/2021.htm" xr:uid="{EAE564C3-3F67-6943-B4EC-D3BB8E20A572}"/>
    <hyperlink ref="B80" r:id="rId150" display="file:///players/B/BourKe00.htm" xr:uid="{B01EE899-E813-724B-9285-37E7A4D78CF0}"/>
    <hyperlink ref="C80" r:id="rId151" tooltip="New England Patriots" display="file:///teams/nwe/2021.htm" xr:uid="{F744FB2F-62EA-4840-9774-E8355FA3D8CF}"/>
    <hyperlink ref="B81" r:id="rId152" display="file:///players/E/EasoJa00.htm" xr:uid="{BD84E931-21A7-F244-9151-34570684FD80}"/>
    <hyperlink ref="C81" r:id="rId153" tooltip="Indianapolis Colts" display="file:///teams/clt/2021.htm" xr:uid="{812A6D26-35A1-8544-BFA7-50D4053F735C}"/>
    <hyperlink ref="B82" r:id="rId154" display="file:///players/S/SamuDe00.htm" xr:uid="{0990D66F-95E4-D845-BABD-C59D42867911}"/>
    <hyperlink ref="C82" r:id="rId155" tooltip="San Francisco 49ers" display="file:///teams/sfo/2021.htm" xr:uid="{5E77F5D1-1559-D94F-873A-D0E51B34FDB8}"/>
    <hyperlink ref="B83" r:id="rId156" display="file:///players/B/BanjCh00.htm" xr:uid="{E5CA16A4-2820-D049-9B1F-A487E21166A5}"/>
    <hyperlink ref="C83" r:id="rId157" tooltip="Arizona Cardinals" display="file:///teams/crd/2021.htm" xr:uid="{CFE9C373-2430-E648-A80E-87A26F2AA6FB}"/>
    <hyperlink ref="B84" r:id="rId158" display="file:///players/R/RoseJo01.htm" xr:uid="{B18CB689-69B9-4E47-A41B-9470430E468C}"/>
    <hyperlink ref="C84" r:id="rId159" tooltip="Atlanta Falcons" display="file:///teams/atl/2021.htm" xr:uid="{A5A07A81-79D1-3543-A34B-BE77803146A5}"/>
    <hyperlink ref="B85" r:id="rId160" display="file:///players/T/ToneKa00.htm" xr:uid="{5CE0094D-55E8-C342-B852-1519CD1FED87}"/>
    <hyperlink ref="C85" r:id="rId161" tooltip="New York Giants" display="file:///teams/nyg/2021.htm" xr:uid="{5CB2ADC3-B9D1-184F-A886-F12F7784C7C0}"/>
    <hyperlink ref="B86" r:id="rId162" display="file:///players/P/PettDa00.htm" xr:uid="{4A0465B7-013F-C744-BE4F-7CF203369A70}"/>
    <hyperlink ref="C86" r:id="rId163" tooltip="New York Giants" display="file:///teams/nyg/2021.htm" xr:uid="{BA3E9BFB-9AFB-BC44-85C2-0E33DF151DCE}"/>
    <hyperlink ref="B87" r:id="rId164" display="file:///players/S/SuttCo00.htm" xr:uid="{D6EB299E-52C2-EB42-8A74-29212BC12F6D}"/>
    <hyperlink ref="C87" r:id="rId165" tooltip="Denver Broncos" display="file:///teams/den/2021.htm" xr:uid="{54BD6D7E-9EE9-3741-9BB5-F4282D8F69C1}"/>
    <hyperlink ref="B88" r:id="rId166" display="file:///players/T/TownTo01.htm" xr:uid="{A503BBA3-CA75-E147-957D-637C9837ABD8}"/>
    <hyperlink ref="C88" r:id="rId167" tooltip="Kansas City Chiefs" display="file:///teams/kan/2021.htm" xr:uid="{61088DB6-9086-9C4A-AE43-6ACFFCC543BF}"/>
    <hyperlink ref="B89" r:id="rId168" display="file:///players/F/FitzRy00.htm" xr:uid="{17BBBDFE-1C71-E84E-B8D3-89072BEE36D4}"/>
    <hyperlink ref="C89" r:id="rId169" tooltip="Washington Football Team" display="file:///teams/was/2021.htm" xr:uid="{F2D10D9F-BDA7-AB4F-88B7-9B5B0C8EA158}"/>
    <hyperlink ref="B90" r:id="rId170" display="file:///players/F/FarlMa00.htm" xr:uid="{D8666710-9FA4-694E-88E0-30E4F734591B}"/>
    <hyperlink ref="C90" r:id="rId171" tooltip="Tennessee Titans" display="file:///teams/oti/2021.htm" xr:uid="{F5AE60AE-112C-4040-B225-B20EE7887E21}"/>
    <hyperlink ref="B91" r:id="rId172" display="file:///players/H/HenrDe00.htm" xr:uid="{784D580F-D15B-8443-9C7B-BC94957A4BAC}"/>
    <hyperlink ref="C91" r:id="rId173" tooltip="Tennessee Titans" display="file:///teams/oti/2021.htm" xr:uid="{B77C2742-F387-2A47-83C4-ADC66301934F}"/>
    <hyperlink ref="B92" r:id="rId174" display="file:///players/M/MondKe00.htm" xr:uid="{8C23D655-D9E6-BE4A-BFFC-FADA34C0D504}"/>
    <hyperlink ref="C92" r:id="rId175" tooltip="Minnesota Vikings" display="file:///teams/min/2021.htm" xr:uid="{7DC11D62-B878-B241-8361-EC4308624243}"/>
    <hyperlink ref="B93" r:id="rId176" display="file:///players/W/WolfJo00.htm" xr:uid="{AC3E96B0-6F52-ED4D-B5C4-49D7AFA6A5FE}"/>
    <hyperlink ref="C93" r:id="rId177" tooltip="Los Angeles Rams" display="file:///teams/ram/2021.htm" xr:uid="{E05B72EE-43D1-2F46-9B77-3D1EF3AEF6C6}"/>
    <hyperlink ref="B95" r:id="rId178" display="file:///players/E/ElliEz00.htm" xr:uid="{5F9BBA00-2C00-6943-B6BB-BC005E83E5CB}"/>
    <hyperlink ref="C95" r:id="rId179" tooltip="Dallas Cowboys" display="file:///teams/dal/2021.htm" xr:uid="{1DCE1F83-1894-8242-A6C7-B896DF8F153F}"/>
    <hyperlink ref="B96" r:id="rId180" display="file:///players/M/MariMa01.htm" xr:uid="{A6EAF0FD-0111-2F4B-A565-3346EA8C612C}"/>
    <hyperlink ref="C96" r:id="rId181" tooltip="Las Vegas Raiders" display="file:///teams/rai/2021.htm" xr:uid="{6A41B7B3-5E38-864A-97D6-C8ACEE1754DF}"/>
    <hyperlink ref="B97" r:id="rId182" display="file:///players/H/HekkJo00.htm" xr:uid="{AEF83210-65FD-8942-9DE1-0226ED20E2F2}"/>
    <hyperlink ref="C97" r:id="rId183" tooltip="Los Angeles Rams" display="file:///teams/ram/2021.htm" xr:uid="{2B848A5C-2C9E-564E-A63B-361E3110A173}"/>
    <hyperlink ref="B98" r:id="rId184" display="file:///players/W/WardGr02.htm" xr:uid="{DF0545F0-DE8D-3E46-873D-9DC729B4928A}"/>
    <hyperlink ref="C98" r:id="rId185" tooltip="Philadelphia Eagles" display="file:///teams/phi/2021.htm" xr:uid="{AB8C5B1F-3130-604E-88E6-B7617AB7DC8F}"/>
    <hyperlink ref="B99" r:id="rId186" display="file:///players/H/HintKe00.htm" xr:uid="{868AE601-FF57-F947-85E5-2B92E6C29547}"/>
    <hyperlink ref="C99" r:id="rId187" tooltip="Denver Broncos" display="file:///teams/den/2021.htm" xr:uid="{80C418E3-888C-C241-9DD2-AE5F9F5CB089}"/>
    <hyperlink ref="B100" r:id="rId188" display="file:///players/A/AlleKe00.htm" xr:uid="{84CA62C1-C872-614A-A727-52E2958A7AD4}"/>
    <hyperlink ref="C100" r:id="rId189" tooltip="Los Angeles Chargers" display="file:///teams/sdg/2021.htm" xr:uid="{F52E5257-A829-3846-AF99-62DC90524EB5}"/>
    <hyperlink ref="B101" r:id="rId190" display="file:///players/A/AmenDa00.htm" xr:uid="{DE5AA795-028B-A54F-BD69-BF14236ECE22}"/>
    <hyperlink ref="C101" r:id="rId191" tooltip="Houston Texans" display="file:///teams/htx/2021.htm" xr:uid="{7E16AB8A-27E2-294D-9278-79106137615C}"/>
    <hyperlink ref="B102" r:id="rId192" display="file:///players/B/BeasCo00.htm" xr:uid="{09323679-6C39-C945-BE36-60BCD292E623}"/>
    <hyperlink ref="C102" r:id="rId193" tooltip="Buffalo Bills" display="file:///teams/buf/2021.htm" xr:uid="{66D3CCB7-1608-FB41-8F05-45699ECB8C2F}"/>
    <hyperlink ref="B103" r:id="rId194" display="file:///players/B/BoswCh00.htm" xr:uid="{059A2CB1-7792-1546-AC20-022020AD6C96}"/>
    <hyperlink ref="C103" r:id="rId195" tooltip="Pittsburgh Steelers" display="file:///teams/pit/2021.htm" xr:uid="{1D5769ED-352C-1845-A3C7-5B9708E93D5C}"/>
    <hyperlink ref="B104" r:id="rId196" display="file:///players/B/BrowAJ00.htm" xr:uid="{8A054F26-0085-EB4F-AACA-90072D5E1058}"/>
    <hyperlink ref="C104" r:id="rId197" tooltip="Tennessee Titans" display="file:///teams/oti/2021.htm" xr:uid="{22A0CD91-E731-1248-8B2C-EA6218936BAC}"/>
    <hyperlink ref="B105" r:id="rId198" display="file:///players/B/BurkRe00.htm" xr:uid="{6854271A-893E-AD49-8514-493F9DCA4A8E}"/>
    <hyperlink ref="C105" r:id="rId199" tooltip="Houston Texans" display="file:///teams/htx/2021.htm" xr:uid="{97C94892-85BF-5C4F-9B53-3E89F25BED65}"/>
    <hyperlink ref="B106" r:id="rId200" display="file:///players/C/ColeKe00.htm" xr:uid="{A238A6F9-DACC-1248-B150-298B20537C84}"/>
    <hyperlink ref="C106" r:id="rId201" tooltip="New York Jets" display="file:///teams/nyj/2021.htm" xr:uid="{9DA201B6-9C62-3A47-88C3-D99A73EF64D6}"/>
    <hyperlink ref="B107" r:id="rId202" display="file:///players/D/DixoRi00.htm" xr:uid="{121F3E73-04C3-1640-9509-AA69F727E3E6}"/>
    <hyperlink ref="C107" r:id="rId203" tooltip="New York Giants" display="file:///teams/nyg/2021.htm" xr:uid="{53F81135-FD8F-0848-84B1-5D344980E511}"/>
    <hyperlink ref="B108" r:id="rId204" display="file:///players/F/FourLe00.htm" xr:uid="{0F3D1AD7-4C33-BE44-A65C-16E40A0FBDEB}"/>
    <hyperlink ref="C108" r:id="rId205" tooltip="Tampa Bay Buccaneers" display="file:///teams/tam/2021.htm" xr:uid="{A0C5C618-7B9D-114C-87C4-7AF85A6FA691}"/>
    <hyperlink ref="B109" r:id="rId206" display="file:///players/F/FranFe00.htm" xr:uid="{20959B5A-C341-AA4B-9143-DEF541F93461}"/>
    <hyperlink ref="C109" r:id="rId207" tooltip="Atlanta Falcons" display="file:///teams/atl/2021.htm" xr:uid="{12CF7E98-77A1-6747-BBE1-B11EB9716372}"/>
    <hyperlink ref="B110" r:id="rId208" display="file:///players/G/GesiMi00.htm" xr:uid="{09055B28-D246-C847-A50D-A82F28F98F02}"/>
    <hyperlink ref="C110" r:id="rId209" tooltip="Miami Dolphins" display="file:///teams/mia/2021.htm" xr:uid="{A0D48279-0BF1-DC47-A17E-D3EA2C652EA0}"/>
    <hyperlink ref="B111" r:id="rId210" display="file:///players/G/GillBl00.htm" xr:uid="{4B06D736-645F-4E49-8294-A0ADD1EA4D5C}"/>
    <hyperlink ref="C111" r:id="rId211" tooltip="New Orleans Saints" display="file:///teams/nor/2021.htm" xr:uid="{A91B93ED-356B-3440-97F8-7A7D32D960B1}"/>
    <hyperlink ref="B112" r:id="rId212" display="file:///players/K/KochSa20.htm" xr:uid="{E2C509FF-0C7E-EB40-B6CA-70C215CDB3BB}"/>
    <hyperlink ref="C112" r:id="rId213" tooltip="Baltimore Ravens" display="file:///teams/rav/2021.htm" xr:uid="{0A64126E-C769-5E4D-BA44-576D948B29F6}"/>
    <hyperlink ref="B113" r:id="rId214" display="file:///players/K/KuppCo00.htm" xr:uid="{3757C1D4-1986-E44C-BCC1-6CAD4B9C1081}"/>
    <hyperlink ref="C113" r:id="rId215" tooltip="Los Angeles Rams" display="file:///teams/ram/2021.htm" xr:uid="{5770292A-0B2C-164C-96E3-7B6EA74A84B4}"/>
    <hyperlink ref="B114" r:id="rId216" display="file:///players/L/LongTy00.htm" xr:uid="{47A80549-99E5-3A4D-9549-7200F30EC594}"/>
    <hyperlink ref="C114" r:id="rId217" tooltip="Los Angeles Chargers" display="file:///teams/sdg/2021.htm" xr:uid="{2A902B94-7877-EA45-BB5D-E52DB52DB3F9}"/>
    <hyperlink ref="B115" r:id="rId218" display="file:///players/M/MontDa01.htm" xr:uid="{6F6BA4BF-253A-5A4D-94DA-D10CF481C3B4}"/>
    <hyperlink ref="C115" r:id="rId219" tooltip="Chicago Bears" display="file:///teams/chi/2021.htm" xr:uid="{AF13E34A-295F-CD4B-9F40-9CFB136668D5}"/>
    <hyperlink ref="B116" r:id="rId220" display="file:///players/P/PattCo00.htm" xr:uid="{459C3C92-44F9-7C4B-9334-62F635A48F30}"/>
    <hyperlink ref="C116" r:id="rId221" tooltip="Atlanta Falcons" display="file:///teams/atl/2021.htm" xr:uid="{E8CE86C3-087C-FE4A-8DF9-E67CB55046FB}"/>
    <hyperlink ref="B117" r:id="rId222" display="file:///players/R/RypiBr00.htm" xr:uid="{A7EFE51D-12F1-2B4B-9830-7876543A3D7B}"/>
    <hyperlink ref="C117" r:id="rId223" tooltip="Denver Broncos" display="file:///teams/den/2021.htm" xr:uid="{B91631EB-30BB-134A-A995-CE11FAD047B9}"/>
    <hyperlink ref="B118" r:id="rId224" display="file:///players/S/SwifDA00.htm" xr:uid="{FE442F12-0E56-0D4F-951C-94DE7FA88D8B}"/>
    <hyperlink ref="C118" r:id="rId225" tooltip="Detroit Lions" display="file:///teams/det/2021.htm" xr:uid="{5B5EC2BA-CD66-384B-AC0E-1326AB1C0866}"/>
    <hyperlink ref="B119" r:id="rId226" display="file:///players/W/WilsAl02.htm" xr:uid="{0FE178A1-DA26-A74D-9636-A124BAE9F008}"/>
    <hyperlink ref="C119" r:id="rId227" tooltip="Miami Dolphins" display="file:///teams/mia/2021.htm" xr:uid="{79969DFE-26EC-E146-8D36-C34964DA95F5}"/>
    <hyperlink ref="B120" r:id="rId228" display="file:///players/Z/ZylsBr00.htm" xr:uid="{E833655A-5E84-3B4D-AF0C-7E2FDAD61BDA}"/>
    <hyperlink ref="C120" r:id="rId229" tooltip="Carolina Panthers" display="file:///teams/car/2021.htm" xr:uid="{5CA8F148-569D-3149-8EA1-63BA6D87758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AF113"/>
  <sheetViews>
    <sheetView workbookViewId="0"/>
  </sheetViews>
  <sheetFormatPr baseColWidth="10" defaultColWidth="8.83203125" defaultRowHeight="15" x14ac:dyDescent="0.2"/>
  <cols>
    <col min="1" max="1" width="5.5" bestFit="1" customWidth="1"/>
    <col min="2" max="2" width="18.5" bestFit="1" customWidth="1"/>
    <col min="3" max="3" width="6" bestFit="1" customWidth="1"/>
    <col min="4" max="4" width="6.6640625" bestFit="1" customWidth="1"/>
    <col min="5" max="5" width="6.5" bestFit="1" customWidth="1"/>
    <col min="6" max="6" width="4.6640625" bestFit="1" customWidth="1"/>
    <col min="7" max="7" width="5.6640625" bestFit="1" customWidth="1"/>
    <col min="8" max="8" width="8.5" bestFit="1" customWidth="1"/>
    <col min="9" max="9" width="7.33203125" bestFit="1" customWidth="1"/>
    <col min="10" max="10" width="6" bestFit="1" customWidth="1"/>
    <col min="11" max="11" width="8.83203125" bestFit="1" customWidth="1"/>
    <col min="12" max="12" width="6.5" bestFit="1" customWidth="1"/>
    <col min="13" max="13" width="5.5" bestFit="1" customWidth="1"/>
    <col min="14" max="14" width="7.1640625" bestFit="1" customWidth="1"/>
    <col min="15" max="15" width="5.6640625" bestFit="1" customWidth="1"/>
    <col min="16" max="16" width="7.33203125" bestFit="1" customWidth="1"/>
    <col min="17" max="17" width="5.5" bestFit="1" customWidth="1"/>
    <col min="18" max="18" width="6.33203125" bestFit="1" customWidth="1"/>
    <col min="19" max="19" width="6.5" bestFit="1" customWidth="1"/>
    <col min="20" max="20" width="7.83203125" bestFit="1" customWidth="1"/>
    <col min="21" max="21" width="6.5" bestFit="1" customWidth="1"/>
    <col min="22" max="22" width="6.6640625" bestFit="1" customWidth="1"/>
    <col min="23" max="23" width="7.33203125" bestFit="1" customWidth="1"/>
    <col min="24" max="24" width="7" bestFit="1" customWidth="1"/>
    <col min="25" max="25" width="5.33203125" bestFit="1" customWidth="1"/>
    <col min="26" max="26" width="7.5" bestFit="1" customWidth="1"/>
    <col min="27" max="27" width="8" bestFit="1" customWidth="1"/>
    <col min="28" max="28" width="9.33203125" bestFit="1" customWidth="1"/>
    <col min="29" max="30" width="6.83203125" bestFit="1" customWidth="1"/>
    <col min="31" max="31" width="8" bestFit="1" customWidth="1"/>
  </cols>
  <sheetData>
    <row r="1" spans="1:32" x14ac:dyDescent="0.2">
      <c r="A1" t="s">
        <v>902</v>
      </c>
      <c r="B1" t="s">
        <v>903</v>
      </c>
      <c r="C1" t="s">
        <v>1314</v>
      </c>
      <c r="D1" t="s">
        <v>905</v>
      </c>
      <c r="E1" t="s">
        <v>906</v>
      </c>
      <c r="F1" t="s">
        <v>1315</v>
      </c>
      <c r="G1" t="s">
        <v>1316</v>
      </c>
      <c r="H1" t="s">
        <v>1317</v>
      </c>
      <c r="I1" t="s">
        <v>1318</v>
      </c>
      <c r="J1" t="s">
        <v>1319</v>
      </c>
      <c r="K1" t="s">
        <v>1320</v>
      </c>
      <c r="L1" t="s">
        <v>799</v>
      </c>
      <c r="M1" t="s">
        <v>800</v>
      </c>
      <c r="N1" t="s">
        <v>913</v>
      </c>
      <c r="O1" t="s">
        <v>914</v>
      </c>
      <c r="P1" t="s">
        <v>915</v>
      </c>
      <c r="Q1" t="s">
        <v>1321</v>
      </c>
      <c r="R1" t="s">
        <v>917</v>
      </c>
      <c r="S1" t="s">
        <v>1322</v>
      </c>
      <c r="T1" t="s">
        <v>1323</v>
      </c>
      <c r="U1" t="s">
        <v>1324</v>
      </c>
      <c r="V1" t="s">
        <v>1325</v>
      </c>
      <c r="W1" t="s">
        <v>1326</v>
      </c>
      <c r="X1" t="s">
        <v>923</v>
      </c>
      <c r="Y1" t="s">
        <v>1327</v>
      </c>
      <c r="Z1" t="s">
        <v>1328</v>
      </c>
      <c r="AA1" t="s">
        <v>1329</v>
      </c>
      <c r="AB1" t="s">
        <v>1330</v>
      </c>
      <c r="AC1" t="s">
        <v>928</v>
      </c>
      <c r="AD1" t="s">
        <v>929</v>
      </c>
      <c r="AE1" t="s">
        <v>930</v>
      </c>
    </row>
    <row r="2" spans="1:32" x14ac:dyDescent="0.2">
      <c r="A2">
        <v>1</v>
      </c>
      <c r="B2" t="s">
        <v>128</v>
      </c>
      <c r="C2" t="s">
        <v>101</v>
      </c>
      <c r="D2">
        <v>35</v>
      </c>
      <c r="E2" t="s">
        <v>79</v>
      </c>
      <c r="F2">
        <v>16</v>
      </c>
      <c r="G2">
        <v>16</v>
      </c>
      <c r="H2" t="s">
        <v>1331</v>
      </c>
      <c r="I2">
        <v>407</v>
      </c>
      <c r="J2">
        <v>626</v>
      </c>
      <c r="K2">
        <v>65</v>
      </c>
      <c r="L2">
        <v>4581</v>
      </c>
      <c r="M2">
        <v>26</v>
      </c>
      <c r="N2">
        <v>4.2</v>
      </c>
      <c r="O2">
        <v>11</v>
      </c>
      <c r="P2">
        <v>1.8</v>
      </c>
      <c r="Q2">
        <v>242</v>
      </c>
      <c r="R2">
        <v>63</v>
      </c>
      <c r="S2">
        <v>7.3</v>
      </c>
      <c r="T2">
        <v>7.4</v>
      </c>
      <c r="U2">
        <v>11.3</v>
      </c>
      <c r="V2">
        <v>286.3</v>
      </c>
      <c r="W2">
        <v>93.3</v>
      </c>
      <c r="X2">
        <v>67</v>
      </c>
      <c r="Y2">
        <v>41</v>
      </c>
      <c r="Z2">
        <v>257</v>
      </c>
      <c r="AA2">
        <v>6.48</v>
      </c>
      <c r="AB2">
        <v>6.52</v>
      </c>
      <c r="AC2">
        <v>6.1</v>
      </c>
    </row>
    <row r="3" spans="1:32" x14ac:dyDescent="0.2">
      <c r="A3">
        <v>2</v>
      </c>
      <c r="B3" t="s">
        <v>975</v>
      </c>
      <c r="C3" t="s">
        <v>976</v>
      </c>
      <c r="D3">
        <v>43</v>
      </c>
      <c r="E3" t="s">
        <v>79</v>
      </c>
      <c r="F3">
        <v>16</v>
      </c>
      <c r="G3">
        <v>16</v>
      </c>
      <c r="H3" t="s">
        <v>1332</v>
      </c>
      <c r="I3">
        <v>401</v>
      </c>
      <c r="J3">
        <v>610</v>
      </c>
      <c r="K3">
        <v>65.7</v>
      </c>
      <c r="L3">
        <v>4633</v>
      </c>
      <c r="M3">
        <v>40</v>
      </c>
      <c r="N3">
        <v>6.6</v>
      </c>
      <c r="O3">
        <v>12</v>
      </c>
      <c r="P3">
        <v>2</v>
      </c>
      <c r="Q3">
        <v>233</v>
      </c>
      <c r="R3">
        <v>50</v>
      </c>
      <c r="S3">
        <v>7.6</v>
      </c>
      <c r="T3">
        <v>8</v>
      </c>
      <c r="U3">
        <v>11.6</v>
      </c>
      <c r="V3">
        <v>289.60000000000002</v>
      </c>
      <c r="W3">
        <v>102.2</v>
      </c>
      <c r="X3">
        <v>72.5</v>
      </c>
      <c r="Y3">
        <v>21</v>
      </c>
      <c r="Z3">
        <v>143</v>
      </c>
      <c r="AA3">
        <v>7.12</v>
      </c>
      <c r="AB3">
        <v>7.53</v>
      </c>
      <c r="AC3">
        <v>3.3</v>
      </c>
      <c r="AD3">
        <v>3</v>
      </c>
      <c r="AE3">
        <v>3</v>
      </c>
    </row>
    <row r="4" spans="1:32" x14ac:dyDescent="0.2">
      <c r="A4">
        <v>3</v>
      </c>
      <c r="B4" t="s">
        <v>133</v>
      </c>
      <c r="C4" t="s">
        <v>99</v>
      </c>
      <c r="D4">
        <v>38</v>
      </c>
      <c r="E4" t="s">
        <v>79</v>
      </c>
      <c r="F4">
        <v>15</v>
      </c>
      <c r="G4">
        <v>15</v>
      </c>
      <c r="H4" t="s">
        <v>1333</v>
      </c>
      <c r="I4">
        <v>399</v>
      </c>
      <c r="J4">
        <v>608</v>
      </c>
      <c r="K4">
        <v>65.599999999999994</v>
      </c>
      <c r="L4">
        <v>3803</v>
      </c>
      <c r="M4">
        <v>33</v>
      </c>
      <c r="N4">
        <v>5.4</v>
      </c>
      <c r="O4">
        <v>10</v>
      </c>
      <c r="P4">
        <v>1.6</v>
      </c>
      <c r="Q4">
        <v>193</v>
      </c>
      <c r="R4">
        <v>84</v>
      </c>
      <c r="S4">
        <v>6.3</v>
      </c>
      <c r="T4">
        <v>6.6</v>
      </c>
      <c r="U4">
        <v>9.5</v>
      </c>
      <c r="V4">
        <v>253.5</v>
      </c>
      <c r="W4">
        <v>94.1</v>
      </c>
      <c r="X4">
        <v>60.1</v>
      </c>
      <c r="Y4">
        <v>13</v>
      </c>
      <c r="Z4">
        <v>118</v>
      </c>
      <c r="AA4">
        <v>5.93</v>
      </c>
      <c r="AB4">
        <v>6.27</v>
      </c>
      <c r="AC4">
        <v>2.1</v>
      </c>
      <c r="AD4">
        <v>4</v>
      </c>
      <c r="AE4">
        <v>4</v>
      </c>
    </row>
    <row r="5" spans="1:32" x14ac:dyDescent="0.2">
      <c r="A5">
        <v>4</v>
      </c>
      <c r="B5" t="s">
        <v>117</v>
      </c>
      <c r="C5" t="s">
        <v>118</v>
      </c>
      <c r="D5">
        <v>22</v>
      </c>
      <c r="E5" t="s">
        <v>79</v>
      </c>
      <c r="F5">
        <v>15</v>
      </c>
      <c r="G5">
        <v>15</v>
      </c>
      <c r="H5" t="s">
        <v>1334</v>
      </c>
      <c r="I5">
        <v>396</v>
      </c>
      <c r="J5">
        <v>595</v>
      </c>
      <c r="K5">
        <v>66.599999999999994</v>
      </c>
      <c r="L5">
        <v>4336</v>
      </c>
      <c r="M5">
        <v>31</v>
      </c>
      <c r="N5">
        <v>5.2</v>
      </c>
      <c r="O5">
        <v>10</v>
      </c>
      <c r="P5">
        <v>1.7</v>
      </c>
      <c r="Q5">
        <v>216</v>
      </c>
      <c r="R5">
        <v>72</v>
      </c>
      <c r="S5">
        <v>7.3</v>
      </c>
      <c r="T5">
        <v>7.6</v>
      </c>
      <c r="U5">
        <v>10.9</v>
      </c>
      <c r="V5">
        <v>289.10000000000002</v>
      </c>
      <c r="W5">
        <v>98.3</v>
      </c>
      <c r="X5">
        <v>69.5</v>
      </c>
      <c r="Y5">
        <v>32</v>
      </c>
      <c r="Z5">
        <v>218</v>
      </c>
      <c r="AA5">
        <v>6.57</v>
      </c>
      <c r="AB5">
        <v>6.84</v>
      </c>
      <c r="AC5">
        <v>5.0999999999999996</v>
      </c>
      <c r="AD5">
        <v>1</v>
      </c>
      <c r="AE5">
        <v>3</v>
      </c>
      <c r="AF5" t="str">
        <f>Passing_Table__PY[[#Headers],[GWD]]</f>
        <v>GWD</v>
      </c>
    </row>
    <row r="6" spans="1:32" x14ac:dyDescent="0.2">
      <c r="A6">
        <v>5</v>
      </c>
      <c r="B6" t="s">
        <v>80</v>
      </c>
      <c r="C6" t="s">
        <v>1040</v>
      </c>
      <c r="D6">
        <v>25</v>
      </c>
      <c r="E6" t="s">
        <v>79</v>
      </c>
      <c r="F6">
        <v>15</v>
      </c>
      <c r="G6">
        <v>15</v>
      </c>
      <c r="H6" t="s">
        <v>1336</v>
      </c>
      <c r="I6">
        <v>390</v>
      </c>
      <c r="J6">
        <v>588</v>
      </c>
      <c r="K6">
        <v>66.3</v>
      </c>
      <c r="L6">
        <v>4740</v>
      </c>
      <c r="M6">
        <v>38</v>
      </c>
      <c r="N6">
        <v>6.5</v>
      </c>
      <c r="O6">
        <v>6</v>
      </c>
      <c r="P6">
        <v>1</v>
      </c>
      <c r="Q6">
        <v>238</v>
      </c>
      <c r="R6">
        <v>75</v>
      </c>
      <c r="S6">
        <v>8.1</v>
      </c>
      <c r="T6">
        <v>8.9</v>
      </c>
      <c r="U6">
        <v>12.2</v>
      </c>
      <c r="V6">
        <v>316</v>
      </c>
      <c r="W6">
        <v>108.2</v>
      </c>
      <c r="X6">
        <v>82.9</v>
      </c>
      <c r="Y6">
        <v>22</v>
      </c>
      <c r="Z6">
        <v>147</v>
      </c>
      <c r="AA6">
        <v>7.53</v>
      </c>
      <c r="AB6">
        <v>8.33</v>
      </c>
      <c r="AC6">
        <v>3.6</v>
      </c>
      <c r="AD6">
        <v>3</v>
      </c>
      <c r="AE6">
        <v>3</v>
      </c>
    </row>
    <row r="7" spans="1:32" x14ac:dyDescent="0.2">
      <c r="A7">
        <v>6</v>
      </c>
      <c r="B7" t="s">
        <v>97</v>
      </c>
      <c r="C7" t="s">
        <v>98</v>
      </c>
      <c r="D7">
        <v>24</v>
      </c>
      <c r="E7" t="s">
        <v>79</v>
      </c>
      <c r="F7">
        <v>16</v>
      </c>
      <c r="G7">
        <v>16</v>
      </c>
      <c r="H7" t="s">
        <v>1338</v>
      </c>
      <c r="I7">
        <v>396</v>
      </c>
      <c r="J7">
        <v>572</v>
      </c>
      <c r="K7">
        <v>69.2</v>
      </c>
      <c r="L7">
        <v>4544</v>
      </c>
      <c r="M7">
        <v>37</v>
      </c>
      <c r="N7">
        <v>6.5</v>
      </c>
      <c r="O7">
        <v>10</v>
      </c>
      <c r="P7">
        <v>1.7</v>
      </c>
      <c r="Q7">
        <v>228</v>
      </c>
      <c r="R7">
        <v>55</v>
      </c>
      <c r="S7">
        <v>7.9</v>
      </c>
      <c r="T7">
        <v>8.5</v>
      </c>
      <c r="U7">
        <v>11.5</v>
      </c>
      <c r="V7">
        <v>284</v>
      </c>
      <c r="W7">
        <v>107.2</v>
      </c>
      <c r="X7">
        <v>81.7</v>
      </c>
      <c r="Y7">
        <v>26</v>
      </c>
      <c r="Z7">
        <v>159</v>
      </c>
      <c r="AA7">
        <v>7.33</v>
      </c>
      <c r="AB7">
        <v>7.82</v>
      </c>
      <c r="AC7">
        <v>4.3</v>
      </c>
      <c r="AD7">
        <v>2</v>
      </c>
      <c r="AE7">
        <v>3</v>
      </c>
    </row>
    <row r="8" spans="1:32" x14ac:dyDescent="0.2">
      <c r="A8">
        <v>7</v>
      </c>
      <c r="B8" t="s">
        <v>95</v>
      </c>
      <c r="C8" t="s">
        <v>78</v>
      </c>
      <c r="D8">
        <v>23</v>
      </c>
      <c r="E8" t="s">
        <v>79</v>
      </c>
      <c r="F8">
        <v>16</v>
      </c>
      <c r="G8">
        <v>16</v>
      </c>
      <c r="H8" t="s">
        <v>1340</v>
      </c>
      <c r="I8">
        <v>375</v>
      </c>
      <c r="J8">
        <v>558</v>
      </c>
      <c r="K8">
        <v>67.2</v>
      </c>
      <c r="L8">
        <v>3971</v>
      </c>
      <c r="M8">
        <v>26</v>
      </c>
      <c r="N8">
        <v>4.7</v>
      </c>
      <c r="O8">
        <v>12</v>
      </c>
      <c r="P8">
        <v>2.2000000000000002</v>
      </c>
      <c r="Q8">
        <v>205</v>
      </c>
      <c r="R8">
        <v>80</v>
      </c>
      <c r="S8">
        <v>7.1</v>
      </c>
      <c r="T8">
        <v>7.1</v>
      </c>
      <c r="U8">
        <v>10.6</v>
      </c>
      <c r="V8">
        <v>248.2</v>
      </c>
      <c r="W8">
        <v>94.3</v>
      </c>
      <c r="X8">
        <v>68.900000000000006</v>
      </c>
      <c r="Y8">
        <v>27</v>
      </c>
      <c r="Z8">
        <v>176</v>
      </c>
      <c r="AA8">
        <v>6.49</v>
      </c>
      <c r="AB8">
        <v>6.45</v>
      </c>
      <c r="AC8">
        <v>4.5999999999999996</v>
      </c>
      <c r="AD8">
        <v>3</v>
      </c>
      <c r="AE8">
        <v>4</v>
      </c>
    </row>
    <row r="9" spans="1:32" x14ac:dyDescent="0.2">
      <c r="A9">
        <v>8</v>
      </c>
      <c r="B9" t="s">
        <v>111</v>
      </c>
      <c r="C9" t="s">
        <v>108</v>
      </c>
      <c r="D9">
        <v>32</v>
      </c>
      <c r="E9" t="s">
        <v>79</v>
      </c>
      <c r="F9">
        <v>16</v>
      </c>
      <c r="G9">
        <v>16</v>
      </c>
      <c r="H9" t="s">
        <v>1342</v>
      </c>
      <c r="I9">
        <v>384</v>
      </c>
      <c r="J9">
        <v>558</v>
      </c>
      <c r="K9">
        <v>68.8</v>
      </c>
      <c r="L9">
        <v>4212</v>
      </c>
      <c r="M9">
        <v>40</v>
      </c>
      <c r="N9">
        <v>7.2</v>
      </c>
      <c r="O9">
        <v>13</v>
      </c>
      <c r="P9">
        <v>2.2999999999999998</v>
      </c>
      <c r="Q9">
        <v>213</v>
      </c>
      <c r="R9">
        <v>62</v>
      </c>
      <c r="S9">
        <v>7.5</v>
      </c>
      <c r="T9">
        <v>7.9</v>
      </c>
      <c r="U9">
        <v>11</v>
      </c>
      <c r="V9">
        <v>263.3</v>
      </c>
      <c r="W9">
        <v>105.1</v>
      </c>
      <c r="X9">
        <v>73.5</v>
      </c>
      <c r="Y9">
        <v>47</v>
      </c>
      <c r="Z9">
        <v>301</v>
      </c>
      <c r="AA9">
        <v>6.46</v>
      </c>
      <c r="AB9">
        <v>6.82</v>
      </c>
      <c r="AC9">
        <v>7.8</v>
      </c>
      <c r="AD9">
        <v>3</v>
      </c>
      <c r="AE9">
        <v>3</v>
      </c>
    </row>
    <row r="10" spans="1:32" x14ac:dyDescent="0.2">
      <c r="A10">
        <v>9</v>
      </c>
      <c r="B10" t="s">
        <v>173</v>
      </c>
      <c r="C10" t="s">
        <v>730</v>
      </c>
      <c r="D10">
        <v>26</v>
      </c>
      <c r="E10" t="s">
        <v>79</v>
      </c>
      <c r="F10">
        <v>15</v>
      </c>
      <c r="G10">
        <v>15</v>
      </c>
      <c r="H10" t="s">
        <v>1343</v>
      </c>
      <c r="I10">
        <v>370</v>
      </c>
      <c r="J10">
        <v>552</v>
      </c>
      <c r="K10">
        <v>67</v>
      </c>
      <c r="L10">
        <v>3952</v>
      </c>
      <c r="M10">
        <v>20</v>
      </c>
      <c r="N10">
        <v>3.6</v>
      </c>
      <c r="O10">
        <v>13</v>
      </c>
      <c r="P10">
        <v>2.4</v>
      </c>
      <c r="Q10">
        <v>188</v>
      </c>
      <c r="R10">
        <v>56</v>
      </c>
      <c r="S10">
        <v>7.2</v>
      </c>
      <c r="T10">
        <v>6.8</v>
      </c>
      <c r="U10">
        <v>10.7</v>
      </c>
      <c r="V10">
        <v>263.5</v>
      </c>
      <c r="W10">
        <v>90</v>
      </c>
      <c r="X10">
        <v>58.5</v>
      </c>
      <c r="Y10">
        <v>23</v>
      </c>
      <c r="Z10">
        <v>161</v>
      </c>
      <c r="AA10">
        <v>6.59</v>
      </c>
      <c r="AB10">
        <v>6.27</v>
      </c>
      <c r="AC10">
        <v>4</v>
      </c>
      <c r="AD10">
        <v>0</v>
      </c>
      <c r="AE10">
        <v>1</v>
      </c>
    </row>
    <row r="11" spans="1:32" x14ac:dyDescent="0.2">
      <c r="A11">
        <v>10</v>
      </c>
      <c r="B11" t="s">
        <v>121</v>
      </c>
      <c r="C11" t="s">
        <v>122</v>
      </c>
      <c r="D11">
        <v>25</v>
      </c>
      <c r="E11" t="s">
        <v>79</v>
      </c>
      <c r="F11">
        <v>16</v>
      </c>
      <c r="G11">
        <v>16</v>
      </c>
      <c r="H11" t="s">
        <v>1331</v>
      </c>
      <c r="I11">
        <v>382</v>
      </c>
      <c r="J11">
        <v>544</v>
      </c>
      <c r="K11">
        <v>70.2</v>
      </c>
      <c r="L11">
        <v>4823</v>
      </c>
      <c r="M11">
        <v>33</v>
      </c>
      <c r="N11">
        <v>6.1</v>
      </c>
      <c r="O11">
        <v>7</v>
      </c>
      <c r="P11">
        <v>1.3</v>
      </c>
      <c r="Q11">
        <v>221</v>
      </c>
      <c r="R11">
        <v>77</v>
      </c>
      <c r="S11">
        <v>8.9</v>
      </c>
      <c r="T11">
        <v>9.5</v>
      </c>
      <c r="U11">
        <v>12.6</v>
      </c>
      <c r="V11">
        <v>301.39999999999998</v>
      </c>
      <c r="W11">
        <v>112.4</v>
      </c>
      <c r="X11">
        <v>70.5</v>
      </c>
      <c r="Y11">
        <v>49</v>
      </c>
      <c r="Z11">
        <v>293</v>
      </c>
      <c r="AA11">
        <v>7.64</v>
      </c>
      <c r="AB11">
        <v>8.2200000000000006</v>
      </c>
      <c r="AC11">
        <v>8.3000000000000007</v>
      </c>
    </row>
    <row r="12" spans="1:32" x14ac:dyDescent="0.2">
      <c r="A12">
        <v>11</v>
      </c>
      <c r="B12" t="s">
        <v>1345</v>
      </c>
      <c r="C12" t="s">
        <v>107</v>
      </c>
      <c r="D12">
        <v>39</v>
      </c>
      <c r="E12" t="s">
        <v>79</v>
      </c>
      <c r="F12">
        <v>16</v>
      </c>
      <c r="G12">
        <v>16</v>
      </c>
      <c r="H12" t="s">
        <v>1332</v>
      </c>
      <c r="I12">
        <v>369</v>
      </c>
      <c r="J12">
        <v>543</v>
      </c>
      <c r="K12">
        <v>68</v>
      </c>
      <c r="L12">
        <v>4169</v>
      </c>
      <c r="M12">
        <v>24</v>
      </c>
      <c r="N12">
        <v>4.4000000000000004</v>
      </c>
      <c r="O12">
        <v>11</v>
      </c>
      <c r="P12">
        <v>2</v>
      </c>
      <c r="Q12">
        <v>200</v>
      </c>
      <c r="R12">
        <v>55</v>
      </c>
      <c r="S12">
        <v>7.7</v>
      </c>
      <c r="T12">
        <v>7.7</v>
      </c>
      <c r="U12">
        <v>11.3</v>
      </c>
      <c r="V12">
        <v>260.60000000000002</v>
      </c>
      <c r="W12">
        <v>97</v>
      </c>
      <c r="X12">
        <v>62.5</v>
      </c>
      <c r="Y12">
        <v>19</v>
      </c>
      <c r="Z12">
        <v>118</v>
      </c>
      <c r="AA12">
        <v>7.21</v>
      </c>
      <c r="AB12">
        <v>7.18</v>
      </c>
      <c r="AC12">
        <v>3.4</v>
      </c>
      <c r="AD12">
        <v>2</v>
      </c>
      <c r="AE12">
        <v>3</v>
      </c>
    </row>
    <row r="13" spans="1:32" x14ac:dyDescent="0.2">
      <c r="A13">
        <v>12</v>
      </c>
      <c r="B13" t="s">
        <v>1076</v>
      </c>
      <c r="C13" t="s">
        <v>139</v>
      </c>
      <c r="D13">
        <v>32</v>
      </c>
      <c r="E13" t="s">
        <v>79</v>
      </c>
      <c r="F13">
        <v>16</v>
      </c>
      <c r="G13">
        <v>16</v>
      </c>
      <c r="H13" t="s">
        <v>1346</v>
      </c>
      <c r="I13">
        <v>339</v>
      </c>
      <c r="J13">
        <v>528</v>
      </c>
      <c r="K13">
        <v>64.2</v>
      </c>
      <c r="L13">
        <v>4084</v>
      </c>
      <c r="M13">
        <v>26</v>
      </c>
      <c r="N13">
        <v>4.9000000000000004</v>
      </c>
      <c r="O13">
        <v>10</v>
      </c>
      <c r="P13">
        <v>1.9</v>
      </c>
      <c r="Q13">
        <v>205</v>
      </c>
      <c r="R13">
        <v>73</v>
      </c>
      <c r="S13">
        <v>7.7</v>
      </c>
      <c r="T13">
        <v>7.9</v>
      </c>
      <c r="U13">
        <v>12</v>
      </c>
      <c r="V13">
        <v>255.3</v>
      </c>
      <c r="W13">
        <v>96.3</v>
      </c>
      <c r="X13">
        <v>68.400000000000006</v>
      </c>
      <c r="Y13">
        <v>38</v>
      </c>
      <c r="Z13">
        <v>254</v>
      </c>
      <c r="AA13">
        <v>6.77</v>
      </c>
      <c r="AB13">
        <v>6.89</v>
      </c>
      <c r="AC13">
        <v>6.7</v>
      </c>
      <c r="AD13">
        <v>3</v>
      </c>
      <c r="AE13">
        <v>4</v>
      </c>
    </row>
    <row r="14" spans="1:32" x14ac:dyDescent="0.2">
      <c r="A14">
        <v>13</v>
      </c>
      <c r="B14" t="s">
        <v>103</v>
      </c>
      <c r="C14" t="s">
        <v>1267</v>
      </c>
      <c r="D14">
        <v>37</v>
      </c>
      <c r="E14" t="s">
        <v>79</v>
      </c>
      <c r="F14">
        <v>16</v>
      </c>
      <c r="G14">
        <v>16</v>
      </c>
      <c r="H14" t="s">
        <v>1338</v>
      </c>
      <c r="I14">
        <v>372</v>
      </c>
      <c r="J14">
        <v>526</v>
      </c>
      <c r="K14">
        <v>70.7</v>
      </c>
      <c r="L14">
        <v>4299</v>
      </c>
      <c r="M14">
        <v>48</v>
      </c>
      <c r="N14">
        <v>9.1</v>
      </c>
      <c r="O14">
        <v>5</v>
      </c>
      <c r="P14">
        <v>1</v>
      </c>
      <c r="Q14">
        <v>216</v>
      </c>
      <c r="R14">
        <v>78</v>
      </c>
      <c r="S14">
        <v>8.1999999999999993</v>
      </c>
      <c r="T14">
        <v>9.6</v>
      </c>
      <c r="U14">
        <v>11.6</v>
      </c>
      <c r="V14">
        <v>268.7</v>
      </c>
      <c r="W14">
        <v>121.5</v>
      </c>
      <c r="X14">
        <v>84.4</v>
      </c>
      <c r="Y14">
        <v>20</v>
      </c>
      <c r="Z14">
        <v>182</v>
      </c>
      <c r="AA14">
        <v>7.54</v>
      </c>
      <c r="AB14">
        <v>8.89</v>
      </c>
      <c r="AC14">
        <v>3.7</v>
      </c>
      <c r="AD14">
        <v>1</v>
      </c>
      <c r="AE14">
        <v>2</v>
      </c>
    </row>
    <row r="15" spans="1:32" x14ac:dyDescent="0.2">
      <c r="A15">
        <v>14</v>
      </c>
      <c r="B15" t="s">
        <v>932</v>
      </c>
      <c r="C15" t="s">
        <v>933</v>
      </c>
      <c r="D15">
        <v>29</v>
      </c>
      <c r="E15" t="s">
        <v>79</v>
      </c>
      <c r="F15">
        <v>16</v>
      </c>
      <c r="G15">
        <v>16</v>
      </c>
      <c r="H15" t="s">
        <v>1340</v>
      </c>
      <c r="I15">
        <v>348</v>
      </c>
      <c r="J15">
        <v>517</v>
      </c>
      <c r="K15">
        <v>67.3</v>
      </c>
      <c r="L15">
        <v>4103</v>
      </c>
      <c r="M15">
        <v>27</v>
      </c>
      <c r="N15">
        <v>5.2</v>
      </c>
      <c r="O15">
        <v>9</v>
      </c>
      <c r="P15">
        <v>1.7</v>
      </c>
      <c r="Q15">
        <v>193</v>
      </c>
      <c r="R15">
        <v>85</v>
      </c>
      <c r="S15">
        <v>7.9</v>
      </c>
      <c r="T15">
        <v>8.1999999999999993</v>
      </c>
      <c r="U15">
        <v>11.8</v>
      </c>
      <c r="V15">
        <v>256.39999999999998</v>
      </c>
      <c r="W15">
        <v>101.4</v>
      </c>
      <c r="X15">
        <v>71</v>
      </c>
      <c r="Y15">
        <v>26</v>
      </c>
      <c r="Z15">
        <v>150</v>
      </c>
      <c r="AA15">
        <v>7.28</v>
      </c>
      <c r="AB15">
        <v>7.53</v>
      </c>
      <c r="AC15">
        <v>4.8</v>
      </c>
      <c r="AD15">
        <v>3</v>
      </c>
      <c r="AE15">
        <v>5</v>
      </c>
    </row>
    <row r="16" spans="1:32" x14ac:dyDescent="0.2">
      <c r="A16">
        <v>15</v>
      </c>
      <c r="B16" t="s">
        <v>131</v>
      </c>
      <c r="C16" t="s">
        <v>73</v>
      </c>
      <c r="D16">
        <v>32</v>
      </c>
      <c r="E16" t="s">
        <v>79</v>
      </c>
      <c r="F16">
        <v>16</v>
      </c>
      <c r="G16">
        <v>16</v>
      </c>
      <c r="H16" t="s">
        <v>1348</v>
      </c>
      <c r="I16">
        <v>349</v>
      </c>
      <c r="J16">
        <v>516</v>
      </c>
      <c r="K16">
        <v>67.599999999999994</v>
      </c>
      <c r="L16">
        <v>4265</v>
      </c>
      <c r="M16">
        <v>35</v>
      </c>
      <c r="N16">
        <v>6.8</v>
      </c>
      <c r="O16">
        <v>13</v>
      </c>
      <c r="P16">
        <v>2.5</v>
      </c>
      <c r="Q16">
        <v>212</v>
      </c>
      <c r="R16">
        <v>71</v>
      </c>
      <c r="S16">
        <v>8.3000000000000007</v>
      </c>
      <c r="T16">
        <v>8.5</v>
      </c>
      <c r="U16">
        <v>12.2</v>
      </c>
      <c r="V16">
        <v>266.60000000000002</v>
      </c>
      <c r="W16">
        <v>105</v>
      </c>
      <c r="X16">
        <v>63.2</v>
      </c>
      <c r="Y16">
        <v>39</v>
      </c>
      <c r="Z16">
        <v>256</v>
      </c>
      <c r="AA16">
        <v>7.22</v>
      </c>
      <c r="AB16">
        <v>7.43</v>
      </c>
      <c r="AC16">
        <v>7</v>
      </c>
      <c r="AD16">
        <v>1</v>
      </c>
      <c r="AE16">
        <v>3</v>
      </c>
    </row>
    <row r="17" spans="1:31" x14ac:dyDescent="0.2">
      <c r="A17">
        <v>16</v>
      </c>
      <c r="B17" t="s">
        <v>164</v>
      </c>
      <c r="C17" t="s">
        <v>70</v>
      </c>
      <c r="D17">
        <v>28</v>
      </c>
      <c r="E17" t="s">
        <v>79</v>
      </c>
      <c r="F17">
        <v>15</v>
      </c>
      <c r="G17">
        <v>15</v>
      </c>
      <c r="H17" t="s">
        <v>1349</v>
      </c>
      <c r="I17">
        <v>340</v>
      </c>
      <c r="J17">
        <v>492</v>
      </c>
      <c r="K17">
        <v>69.099999999999994</v>
      </c>
      <c r="L17">
        <v>3733</v>
      </c>
      <c r="M17">
        <v>15</v>
      </c>
      <c r="N17">
        <v>3</v>
      </c>
      <c r="O17">
        <v>11</v>
      </c>
      <c r="P17">
        <v>2.2000000000000002</v>
      </c>
      <c r="Q17">
        <v>174</v>
      </c>
      <c r="R17">
        <v>75</v>
      </c>
      <c r="S17">
        <v>7.6</v>
      </c>
      <c r="T17">
        <v>7.2</v>
      </c>
      <c r="U17">
        <v>11</v>
      </c>
      <c r="V17">
        <v>248.9</v>
      </c>
      <c r="W17">
        <v>92.1</v>
      </c>
      <c r="X17">
        <v>64.2</v>
      </c>
      <c r="Y17">
        <v>31</v>
      </c>
      <c r="Z17">
        <v>205</v>
      </c>
      <c r="AA17">
        <v>6.75</v>
      </c>
      <c r="AB17">
        <v>6.37</v>
      </c>
      <c r="AC17">
        <v>5.9</v>
      </c>
    </row>
    <row r="18" spans="1:31" x14ac:dyDescent="0.2">
      <c r="A18">
        <v>17</v>
      </c>
      <c r="B18" t="s">
        <v>134</v>
      </c>
      <c r="C18" t="s">
        <v>82</v>
      </c>
      <c r="D18">
        <v>25</v>
      </c>
      <c r="E18" t="s">
        <v>79</v>
      </c>
      <c r="F18">
        <v>16</v>
      </c>
      <c r="G18">
        <v>16</v>
      </c>
      <c r="H18" t="s">
        <v>1332</v>
      </c>
      <c r="I18">
        <v>305</v>
      </c>
      <c r="J18">
        <v>486</v>
      </c>
      <c r="K18">
        <v>62.8</v>
      </c>
      <c r="L18">
        <v>3563</v>
      </c>
      <c r="M18">
        <v>26</v>
      </c>
      <c r="N18">
        <v>5.3</v>
      </c>
      <c r="O18">
        <v>8</v>
      </c>
      <c r="P18">
        <v>1.6</v>
      </c>
      <c r="Q18">
        <v>188</v>
      </c>
      <c r="R18">
        <v>75</v>
      </c>
      <c r="S18">
        <v>7.3</v>
      </c>
      <c r="T18">
        <v>7.7</v>
      </c>
      <c r="U18">
        <v>11.7</v>
      </c>
      <c r="V18">
        <v>222.7</v>
      </c>
      <c r="W18">
        <v>95.9</v>
      </c>
      <c r="X18">
        <v>72.2</v>
      </c>
      <c r="Y18">
        <v>26</v>
      </c>
      <c r="Z18">
        <v>162</v>
      </c>
      <c r="AA18">
        <v>6.64</v>
      </c>
      <c r="AB18">
        <v>6.96</v>
      </c>
      <c r="AC18">
        <v>5.0999999999999996</v>
      </c>
      <c r="AD18">
        <v>2</v>
      </c>
      <c r="AE18">
        <v>2</v>
      </c>
    </row>
    <row r="19" spans="1:31" x14ac:dyDescent="0.2">
      <c r="A19">
        <v>18</v>
      </c>
      <c r="B19" t="s">
        <v>116</v>
      </c>
      <c r="C19" t="s">
        <v>77</v>
      </c>
      <c r="D19">
        <v>32</v>
      </c>
      <c r="E19" t="s">
        <v>79</v>
      </c>
      <c r="F19">
        <v>16</v>
      </c>
      <c r="G19">
        <v>16</v>
      </c>
      <c r="H19" t="s">
        <v>1332</v>
      </c>
      <c r="I19">
        <v>315</v>
      </c>
      <c r="J19">
        <v>481</v>
      </c>
      <c r="K19">
        <v>65.5</v>
      </c>
      <c r="L19">
        <v>3819</v>
      </c>
      <c r="M19">
        <v>33</v>
      </c>
      <c r="N19">
        <v>6.9</v>
      </c>
      <c r="O19">
        <v>7</v>
      </c>
      <c r="P19">
        <v>1.5</v>
      </c>
      <c r="Q19">
        <v>202</v>
      </c>
      <c r="R19">
        <v>75</v>
      </c>
      <c r="S19">
        <v>7.9</v>
      </c>
      <c r="T19">
        <v>8.6999999999999993</v>
      </c>
      <c r="U19">
        <v>12.1</v>
      </c>
      <c r="V19">
        <v>238.7</v>
      </c>
      <c r="W19">
        <v>106.5</v>
      </c>
      <c r="X19">
        <v>78.3</v>
      </c>
      <c r="Y19">
        <v>24</v>
      </c>
      <c r="Z19">
        <v>173</v>
      </c>
      <c r="AA19">
        <v>7.22</v>
      </c>
      <c r="AB19">
        <v>7.9</v>
      </c>
      <c r="AC19">
        <v>4.8</v>
      </c>
      <c r="AD19">
        <v>5</v>
      </c>
      <c r="AE19">
        <v>6</v>
      </c>
    </row>
    <row r="20" spans="1:31" x14ac:dyDescent="0.2">
      <c r="A20">
        <v>19</v>
      </c>
      <c r="B20" t="s">
        <v>154</v>
      </c>
      <c r="C20" t="s">
        <v>92</v>
      </c>
      <c r="D20">
        <v>23</v>
      </c>
      <c r="E20" t="s">
        <v>79</v>
      </c>
      <c r="F20">
        <v>14</v>
      </c>
      <c r="G20">
        <v>14</v>
      </c>
      <c r="H20" t="s">
        <v>1350</v>
      </c>
      <c r="I20">
        <v>280</v>
      </c>
      <c r="J20">
        <v>448</v>
      </c>
      <c r="K20">
        <v>62.5</v>
      </c>
      <c r="L20">
        <v>2943</v>
      </c>
      <c r="M20">
        <v>11</v>
      </c>
      <c r="N20">
        <v>2.5</v>
      </c>
      <c r="O20">
        <v>10</v>
      </c>
      <c r="P20">
        <v>2.2000000000000002</v>
      </c>
      <c r="Q20">
        <v>148</v>
      </c>
      <c r="R20">
        <v>53</v>
      </c>
      <c r="S20">
        <v>6.6</v>
      </c>
      <c r="T20">
        <v>6.1</v>
      </c>
      <c r="U20">
        <v>10.5</v>
      </c>
      <c r="V20">
        <v>210.2</v>
      </c>
      <c r="W20">
        <v>80.400000000000006</v>
      </c>
      <c r="X20">
        <v>61.5</v>
      </c>
      <c r="Y20">
        <v>45</v>
      </c>
      <c r="Z20">
        <v>286</v>
      </c>
      <c r="AA20">
        <v>5.39</v>
      </c>
      <c r="AB20">
        <v>4.92</v>
      </c>
      <c r="AC20">
        <v>9.1</v>
      </c>
      <c r="AD20">
        <v>0</v>
      </c>
      <c r="AE20">
        <v>0</v>
      </c>
    </row>
    <row r="21" spans="1:31" x14ac:dyDescent="0.2">
      <c r="A21">
        <v>20</v>
      </c>
      <c r="B21" t="s">
        <v>165</v>
      </c>
      <c r="C21" t="s">
        <v>93</v>
      </c>
      <c r="D21">
        <v>24</v>
      </c>
      <c r="E21" t="s">
        <v>79</v>
      </c>
      <c r="F21">
        <v>13</v>
      </c>
      <c r="G21">
        <v>13</v>
      </c>
      <c r="H21" t="s">
        <v>1351</v>
      </c>
      <c r="I21">
        <v>254</v>
      </c>
      <c r="J21">
        <v>443</v>
      </c>
      <c r="K21">
        <v>57.3</v>
      </c>
      <c r="L21">
        <v>2933</v>
      </c>
      <c r="M21">
        <v>16</v>
      </c>
      <c r="N21">
        <v>3.6</v>
      </c>
      <c r="O21">
        <v>15</v>
      </c>
      <c r="P21">
        <v>3.4</v>
      </c>
      <c r="Q21">
        <v>145</v>
      </c>
      <c r="R21">
        <v>92</v>
      </c>
      <c r="S21">
        <v>6.6</v>
      </c>
      <c r="T21">
        <v>5.8</v>
      </c>
      <c r="U21">
        <v>11.5</v>
      </c>
      <c r="V21">
        <v>225.6</v>
      </c>
      <c r="W21">
        <v>75.400000000000006</v>
      </c>
      <c r="X21">
        <v>48.8</v>
      </c>
      <c r="Y21">
        <v>19</v>
      </c>
      <c r="Z21">
        <v>123</v>
      </c>
      <c r="AA21">
        <v>6.08</v>
      </c>
      <c r="AB21">
        <v>5.31</v>
      </c>
      <c r="AC21">
        <v>4.0999999999999996</v>
      </c>
      <c r="AD21">
        <v>1</v>
      </c>
      <c r="AE21">
        <v>1</v>
      </c>
    </row>
    <row r="22" spans="1:31" x14ac:dyDescent="0.2">
      <c r="A22">
        <v>21</v>
      </c>
      <c r="B22" t="s">
        <v>172</v>
      </c>
      <c r="C22" t="s">
        <v>102</v>
      </c>
      <c r="D22">
        <v>28</v>
      </c>
      <c r="E22" t="s">
        <v>79</v>
      </c>
      <c r="F22">
        <v>12</v>
      </c>
      <c r="G22">
        <v>12</v>
      </c>
      <c r="H22" t="s">
        <v>1352</v>
      </c>
      <c r="I22">
        <v>251</v>
      </c>
      <c r="J22">
        <v>437</v>
      </c>
      <c r="K22">
        <v>57.4</v>
      </c>
      <c r="L22">
        <v>2620</v>
      </c>
      <c r="M22">
        <v>16</v>
      </c>
      <c r="N22">
        <v>3.7</v>
      </c>
      <c r="O22">
        <v>15</v>
      </c>
      <c r="P22">
        <v>3.4</v>
      </c>
      <c r="Q22">
        <v>130</v>
      </c>
      <c r="R22">
        <v>59</v>
      </c>
      <c r="S22">
        <v>6</v>
      </c>
      <c r="T22">
        <v>5.2</v>
      </c>
      <c r="U22">
        <v>10.4</v>
      </c>
      <c r="V22">
        <v>218.3</v>
      </c>
      <c r="W22">
        <v>72.8</v>
      </c>
      <c r="X22">
        <v>49.6</v>
      </c>
      <c r="Y22">
        <v>50</v>
      </c>
      <c r="Z22">
        <v>326</v>
      </c>
      <c r="AA22">
        <v>4.71</v>
      </c>
      <c r="AB22">
        <v>3.98</v>
      </c>
      <c r="AC22">
        <v>10.3</v>
      </c>
      <c r="AD22">
        <v>3</v>
      </c>
      <c r="AE22">
        <v>2</v>
      </c>
    </row>
    <row r="23" spans="1:31" x14ac:dyDescent="0.2">
      <c r="A23">
        <v>22</v>
      </c>
      <c r="B23" t="s">
        <v>132</v>
      </c>
      <c r="C23" t="s">
        <v>74</v>
      </c>
      <c r="D23">
        <v>24</v>
      </c>
      <c r="E23" t="s">
        <v>935</v>
      </c>
      <c r="F23">
        <v>10</v>
      </c>
      <c r="G23">
        <v>10</v>
      </c>
      <c r="H23" t="s">
        <v>1353</v>
      </c>
      <c r="I23">
        <v>264</v>
      </c>
      <c r="J23">
        <v>404</v>
      </c>
      <c r="K23">
        <v>65.3</v>
      </c>
      <c r="L23">
        <v>2688</v>
      </c>
      <c r="M23">
        <v>13</v>
      </c>
      <c r="N23">
        <v>3.2</v>
      </c>
      <c r="O23">
        <v>5</v>
      </c>
      <c r="P23">
        <v>1.2</v>
      </c>
      <c r="Q23">
        <v>150</v>
      </c>
      <c r="R23">
        <v>67</v>
      </c>
      <c r="S23">
        <v>6.7</v>
      </c>
      <c r="T23">
        <v>6.7</v>
      </c>
      <c r="U23">
        <v>10.199999999999999</v>
      </c>
      <c r="V23">
        <v>268.8</v>
      </c>
      <c r="W23">
        <v>89.8</v>
      </c>
      <c r="X23">
        <v>56.2</v>
      </c>
      <c r="Y23">
        <v>32</v>
      </c>
      <c r="Z23">
        <v>231</v>
      </c>
      <c r="AA23">
        <v>5.64</v>
      </c>
      <c r="AB23">
        <v>5.72</v>
      </c>
      <c r="AC23">
        <v>7.3</v>
      </c>
    </row>
    <row r="24" spans="1:31" x14ac:dyDescent="0.2">
      <c r="A24">
        <v>23</v>
      </c>
      <c r="B24" t="s">
        <v>1354</v>
      </c>
      <c r="C24" t="s">
        <v>1257</v>
      </c>
      <c r="D24">
        <v>41</v>
      </c>
      <c r="E24" t="s">
        <v>79</v>
      </c>
      <c r="F24">
        <v>12</v>
      </c>
      <c r="G24">
        <v>12</v>
      </c>
      <c r="H24" t="s">
        <v>1355</v>
      </c>
      <c r="I24">
        <v>275</v>
      </c>
      <c r="J24">
        <v>390</v>
      </c>
      <c r="K24">
        <v>70.5</v>
      </c>
      <c r="L24">
        <v>2942</v>
      </c>
      <c r="M24">
        <v>24</v>
      </c>
      <c r="N24">
        <v>6.2</v>
      </c>
      <c r="O24">
        <v>6</v>
      </c>
      <c r="P24">
        <v>1.5</v>
      </c>
      <c r="Q24">
        <v>149</v>
      </c>
      <c r="R24">
        <v>52</v>
      </c>
      <c r="S24">
        <v>7.5</v>
      </c>
      <c r="T24">
        <v>8.1</v>
      </c>
      <c r="U24">
        <v>10.7</v>
      </c>
      <c r="V24">
        <v>245.2</v>
      </c>
      <c r="W24">
        <v>106.4</v>
      </c>
      <c r="X24">
        <v>74.599999999999994</v>
      </c>
      <c r="Y24">
        <v>13</v>
      </c>
      <c r="Z24">
        <v>89</v>
      </c>
      <c r="AA24">
        <v>7.08</v>
      </c>
      <c r="AB24">
        <v>7.6</v>
      </c>
      <c r="AC24">
        <v>3.2</v>
      </c>
      <c r="AD24">
        <v>1</v>
      </c>
      <c r="AE24">
        <v>3</v>
      </c>
    </row>
    <row r="25" spans="1:31" x14ac:dyDescent="0.2">
      <c r="A25">
        <v>24</v>
      </c>
      <c r="B25" t="s">
        <v>1213</v>
      </c>
      <c r="C25" t="s">
        <v>725</v>
      </c>
      <c r="D25">
        <v>23</v>
      </c>
      <c r="E25" t="s">
        <v>79</v>
      </c>
      <c r="F25">
        <v>15</v>
      </c>
      <c r="G25">
        <v>15</v>
      </c>
      <c r="H25" t="s">
        <v>1356</v>
      </c>
      <c r="I25">
        <v>242</v>
      </c>
      <c r="J25">
        <v>376</v>
      </c>
      <c r="K25">
        <v>64.400000000000006</v>
      </c>
      <c r="L25">
        <v>2757</v>
      </c>
      <c r="M25">
        <v>26</v>
      </c>
      <c r="N25">
        <v>6.9</v>
      </c>
      <c r="O25">
        <v>9</v>
      </c>
      <c r="P25">
        <v>2.4</v>
      </c>
      <c r="Q25">
        <v>138</v>
      </c>
      <c r="R25">
        <v>47</v>
      </c>
      <c r="S25">
        <v>7.3</v>
      </c>
      <c r="T25">
        <v>7.6</v>
      </c>
      <c r="U25">
        <v>11.4</v>
      </c>
      <c r="V25">
        <v>183.8</v>
      </c>
      <c r="W25">
        <v>99.3</v>
      </c>
      <c r="X25">
        <v>73.7</v>
      </c>
      <c r="Y25">
        <v>29</v>
      </c>
      <c r="Z25">
        <v>160</v>
      </c>
      <c r="AA25">
        <v>6.41</v>
      </c>
      <c r="AB25">
        <v>6.7</v>
      </c>
      <c r="AC25">
        <v>7.2</v>
      </c>
      <c r="AD25">
        <v>1</v>
      </c>
      <c r="AE25">
        <v>1</v>
      </c>
    </row>
    <row r="26" spans="1:31" x14ac:dyDescent="0.2">
      <c r="A26">
        <v>25</v>
      </c>
      <c r="B26" t="s">
        <v>140</v>
      </c>
      <c r="C26" t="s">
        <v>1122</v>
      </c>
      <c r="D26">
        <v>31</v>
      </c>
      <c r="E26" t="s">
        <v>79</v>
      </c>
      <c r="F26">
        <v>15</v>
      </c>
      <c r="G26">
        <v>15</v>
      </c>
      <c r="H26" t="s">
        <v>1357</v>
      </c>
      <c r="I26">
        <v>242</v>
      </c>
      <c r="J26">
        <v>368</v>
      </c>
      <c r="K26">
        <v>65.8</v>
      </c>
      <c r="L26">
        <v>2657</v>
      </c>
      <c r="M26">
        <v>8</v>
      </c>
      <c r="N26">
        <v>2.2000000000000002</v>
      </c>
      <c r="O26">
        <v>10</v>
      </c>
      <c r="P26">
        <v>2.7</v>
      </c>
      <c r="Q26">
        <v>133</v>
      </c>
      <c r="R26">
        <v>50</v>
      </c>
      <c r="S26">
        <v>7.2</v>
      </c>
      <c r="T26">
        <v>6.4</v>
      </c>
      <c r="U26">
        <v>11</v>
      </c>
      <c r="V26">
        <v>177.1</v>
      </c>
      <c r="W26">
        <v>82.9</v>
      </c>
      <c r="X26">
        <v>47</v>
      </c>
      <c r="Y26">
        <v>31</v>
      </c>
      <c r="Z26">
        <v>195</v>
      </c>
      <c r="AA26">
        <v>6.17</v>
      </c>
      <c r="AB26">
        <v>5.44</v>
      </c>
      <c r="AC26">
        <v>7.8</v>
      </c>
      <c r="AD26">
        <v>1</v>
      </c>
      <c r="AE26">
        <v>3</v>
      </c>
    </row>
    <row r="27" spans="1:31" x14ac:dyDescent="0.2">
      <c r="A27">
        <v>26</v>
      </c>
      <c r="B27" t="s">
        <v>168</v>
      </c>
      <c r="C27" t="s">
        <v>71</v>
      </c>
      <c r="D27">
        <v>23</v>
      </c>
      <c r="E27" t="s">
        <v>79</v>
      </c>
      <c r="F27">
        <v>12</v>
      </c>
      <c r="G27">
        <v>12</v>
      </c>
      <c r="H27" t="s">
        <v>1358</v>
      </c>
      <c r="I27">
        <v>217</v>
      </c>
      <c r="J27">
        <v>364</v>
      </c>
      <c r="K27">
        <v>59.6</v>
      </c>
      <c r="L27">
        <v>2208</v>
      </c>
      <c r="M27">
        <v>9</v>
      </c>
      <c r="N27">
        <v>2.5</v>
      </c>
      <c r="O27">
        <v>11</v>
      </c>
      <c r="P27">
        <v>3</v>
      </c>
      <c r="Q27">
        <v>109</v>
      </c>
      <c r="R27">
        <v>69</v>
      </c>
      <c r="S27">
        <v>6.1</v>
      </c>
      <c r="T27">
        <v>5.2</v>
      </c>
      <c r="U27">
        <v>10.199999999999999</v>
      </c>
      <c r="V27">
        <v>184</v>
      </c>
      <c r="W27">
        <v>72.7</v>
      </c>
      <c r="X27">
        <v>40.1</v>
      </c>
      <c r="Y27">
        <v>35</v>
      </c>
      <c r="Z27">
        <v>234</v>
      </c>
      <c r="AA27">
        <v>4.95</v>
      </c>
      <c r="AB27">
        <v>4.16</v>
      </c>
      <c r="AC27">
        <v>8.8000000000000007</v>
      </c>
    </row>
    <row r="28" spans="1:31" x14ac:dyDescent="0.2">
      <c r="A28">
        <v>27</v>
      </c>
      <c r="B28" t="s">
        <v>1230</v>
      </c>
      <c r="C28" t="s">
        <v>729</v>
      </c>
      <c r="D28">
        <v>33</v>
      </c>
      <c r="E28" t="s">
        <v>935</v>
      </c>
      <c r="F28">
        <v>11</v>
      </c>
      <c r="G28">
        <v>9</v>
      </c>
      <c r="H28" t="s">
        <v>1359</v>
      </c>
      <c r="I28">
        <v>216</v>
      </c>
      <c r="J28">
        <v>333</v>
      </c>
      <c r="K28">
        <v>64.900000000000006</v>
      </c>
      <c r="L28">
        <v>2170</v>
      </c>
      <c r="M28">
        <v>14</v>
      </c>
      <c r="N28">
        <v>4.2</v>
      </c>
      <c r="O28">
        <v>8</v>
      </c>
      <c r="P28">
        <v>2.4</v>
      </c>
      <c r="Q28">
        <v>116</v>
      </c>
      <c r="R28">
        <v>69</v>
      </c>
      <c r="S28">
        <v>6.5</v>
      </c>
      <c r="T28">
        <v>6.3</v>
      </c>
      <c r="U28">
        <v>10</v>
      </c>
      <c r="V28">
        <v>197.3</v>
      </c>
      <c r="W28">
        <v>87.3</v>
      </c>
      <c r="X28">
        <v>53.8</v>
      </c>
      <c r="Y28">
        <v>24</v>
      </c>
      <c r="Z28">
        <v>184</v>
      </c>
      <c r="AA28">
        <v>5.56</v>
      </c>
      <c r="AB28">
        <v>5.34</v>
      </c>
      <c r="AC28">
        <v>6.7</v>
      </c>
      <c r="AD28">
        <v>2</v>
      </c>
      <c r="AE28">
        <v>3</v>
      </c>
    </row>
    <row r="29" spans="1:31" x14ac:dyDescent="0.2">
      <c r="A29">
        <v>28</v>
      </c>
      <c r="B29" t="s">
        <v>190</v>
      </c>
      <c r="C29" t="s">
        <v>1052</v>
      </c>
      <c r="D29">
        <v>24</v>
      </c>
      <c r="E29" t="s">
        <v>935</v>
      </c>
      <c r="F29">
        <v>9</v>
      </c>
      <c r="G29">
        <v>8</v>
      </c>
      <c r="H29" t="s">
        <v>1360</v>
      </c>
      <c r="I29">
        <v>216</v>
      </c>
      <c r="J29">
        <v>327</v>
      </c>
      <c r="K29">
        <v>66.099999999999994</v>
      </c>
      <c r="L29">
        <v>2259</v>
      </c>
      <c r="M29">
        <v>16</v>
      </c>
      <c r="N29">
        <v>4.9000000000000004</v>
      </c>
      <c r="O29">
        <v>5</v>
      </c>
      <c r="P29">
        <v>1.5</v>
      </c>
      <c r="Q29">
        <v>117</v>
      </c>
      <c r="R29">
        <v>51</v>
      </c>
      <c r="S29">
        <v>6.9</v>
      </c>
      <c r="T29">
        <v>7.2</v>
      </c>
      <c r="U29">
        <v>10.5</v>
      </c>
      <c r="V29">
        <v>251</v>
      </c>
      <c r="W29">
        <v>95.9</v>
      </c>
      <c r="X29">
        <v>51.7</v>
      </c>
      <c r="Y29">
        <v>27</v>
      </c>
      <c r="Z29">
        <v>147</v>
      </c>
      <c r="AA29">
        <v>5.97</v>
      </c>
      <c r="AB29">
        <v>6.23</v>
      </c>
      <c r="AC29">
        <v>7.6</v>
      </c>
      <c r="AD29">
        <v>1</v>
      </c>
      <c r="AE29">
        <v>1</v>
      </c>
    </row>
    <row r="30" spans="1:31" x14ac:dyDescent="0.2">
      <c r="A30">
        <v>29</v>
      </c>
      <c r="B30" t="s">
        <v>216</v>
      </c>
      <c r="C30" t="s">
        <v>1087</v>
      </c>
      <c r="D30">
        <v>25</v>
      </c>
      <c r="E30" t="s">
        <v>935</v>
      </c>
      <c r="F30">
        <v>10</v>
      </c>
      <c r="G30">
        <v>8</v>
      </c>
      <c r="H30" t="s">
        <v>1361</v>
      </c>
      <c r="I30">
        <v>211</v>
      </c>
      <c r="J30">
        <v>326</v>
      </c>
      <c r="K30">
        <v>64.7</v>
      </c>
      <c r="L30">
        <v>2437</v>
      </c>
      <c r="M30">
        <v>12</v>
      </c>
      <c r="N30">
        <v>3.7</v>
      </c>
      <c r="O30">
        <v>12</v>
      </c>
      <c r="P30">
        <v>3.7</v>
      </c>
      <c r="Q30">
        <v>120</v>
      </c>
      <c r="R30">
        <v>49</v>
      </c>
      <c r="S30">
        <v>7.5</v>
      </c>
      <c r="T30">
        <v>6.6</v>
      </c>
      <c r="U30">
        <v>11.5</v>
      </c>
      <c r="V30">
        <v>243.7</v>
      </c>
      <c r="W30">
        <v>84.1</v>
      </c>
      <c r="X30">
        <v>43.6</v>
      </c>
      <c r="Y30">
        <v>19</v>
      </c>
      <c r="Z30">
        <v>139</v>
      </c>
      <c r="AA30">
        <v>6.66</v>
      </c>
      <c r="AB30">
        <v>5.79</v>
      </c>
      <c r="AC30">
        <v>5.5</v>
      </c>
      <c r="AD30">
        <v>1</v>
      </c>
      <c r="AE30">
        <v>1</v>
      </c>
    </row>
    <row r="31" spans="1:31" x14ac:dyDescent="0.2">
      <c r="A31">
        <v>30</v>
      </c>
      <c r="B31" t="s">
        <v>1362</v>
      </c>
      <c r="C31" t="s">
        <v>727</v>
      </c>
      <c r="D31">
        <v>31</v>
      </c>
      <c r="E31" t="s">
        <v>935</v>
      </c>
      <c r="F31">
        <v>9</v>
      </c>
      <c r="G31">
        <v>7</v>
      </c>
      <c r="H31" t="s">
        <v>1363</v>
      </c>
      <c r="I31">
        <v>202</v>
      </c>
      <c r="J31">
        <v>312</v>
      </c>
      <c r="K31">
        <v>64.7</v>
      </c>
      <c r="L31">
        <v>1852</v>
      </c>
      <c r="M31">
        <v>10</v>
      </c>
      <c r="N31">
        <v>3.2</v>
      </c>
      <c r="O31">
        <v>8</v>
      </c>
      <c r="P31">
        <v>2.6</v>
      </c>
      <c r="Q31">
        <v>93</v>
      </c>
      <c r="R31">
        <v>50</v>
      </c>
      <c r="S31">
        <v>5.9</v>
      </c>
      <c r="T31">
        <v>5.4</v>
      </c>
      <c r="U31">
        <v>9.1999999999999993</v>
      </c>
      <c r="V31">
        <v>205.8</v>
      </c>
      <c r="W31">
        <v>80.8</v>
      </c>
      <c r="X31">
        <v>43.3</v>
      </c>
      <c r="Y31">
        <v>18</v>
      </c>
      <c r="Z31">
        <v>145</v>
      </c>
      <c r="AA31">
        <v>5.17</v>
      </c>
      <c r="AB31">
        <v>4.6900000000000004</v>
      </c>
      <c r="AC31">
        <v>5.5</v>
      </c>
      <c r="AD31">
        <v>2</v>
      </c>
      <c r="AE31">
        <v>2</v>
      </c>
    </row>
    <row r="32" spans="1:31" x14ac:dyDescent="0.2">
      <c r="A32">
        <v>31</v>
      </c>
      <c r="B32" t="s">
        <v>188</v>
      </c>
      <c r="C32" t="s">
        <v>727</v>
      </c>
      <c r="D32">
        <v>26</v>
      </c>
      <c r="E32" t="s">
        <v>935</v>
      </c>
      <c r="F32">
        <v>10</v>
      </c>
      <c r="G32">
        <v>9</v>
      </c>
      <c r="H32" t="s">
        <v>1364</v>
      </c>
      <c r="I32">
        <v>199</v>
      </c>
      <c r="J32">
        <v>297</v>
      </c>
      <c r="K32">
        <v>67</v>
      </c>
      <c r="L32">
        <v>2055</v>
      </c>
      <c r="M32">
        <v>16</v>
      </c>
      <c r="N32">
        <v>5.4</v>
      </c>
      <c r="O32">
        <v>8</v>
      </c>
      <c r="P32">
        <v>2.7</v>
      </c>
      <c r="Q32">
        <v>124</v>
      </c>
      <c r="R32">
        <v>53</v>
      </c>
      <c r="S32">
        <v>6.9</v>
      </c>
      <c r="T32">
        <v>6.8</v>
      </c>
      <c r="U32">
        <v>10.3</v>
      </c>
      <c r="V32">
        <v>205.5</v>
      </c>
      <c r="W32">
        <v>93.5</v>
      </c>
      <c r="X32">
        <v>61.3</v>
      </c>
      <c r="Y32">
        <v>18</v>
      </c>
      <c r="Z32">
        <v>125</v>
      </c>
      <c r="AA32">
        <v>6.13</v>
      </c>
      <c r="AB32">
        <v>6</v>
      </c>
      <c r="AC32">
        <v>5.7</v>
      </c>
      <c r="AD32">
        <v>1</v>
      </c>
      <c r="AE32">
        <v>1</v>
      </c>
    </row>
    <row r="33" spans="1:31" x14ac:dyDescent="0.2">
      <c r="A33">
        <v>32</v>
      </c>
      <c r="B33" t="s">
        <v>161</v>
      </c>
      <c r="C33" t="s">
        <v>142</v>
      </c>
      <c r="D33">
        <v>22</v>
      </c>
      <c r="E33" t="s">
        <v>935</v>
      </c>
      <c r="F33">
        <v>10</v>
      </c>
      <c r="G33">
        <v>9</v>
      </c>
      <c r="H33" t="s">
        <v>1364</v>
      </c>
      <c r="I33">
        <v>186</v>
      </c>
      <c r="J33">
        <v>290</v>
      </c>
      <c r="K33">
        <v>64.099999999999994</v>
      </c>
      <c r="L33">
        <v>1814</v>
      </c>
      <c r="M33">
        <v>11</v>
      </c>
      <c r="N33">
        <v>3.8</v>
      </c>
      <c r="O33">
        <v>5</v>
      </c>
      <c r="P33">
        <v>1.7</v>
      </c>
      <c r="Q33">
        <v>100</v>
      </c>
      <c r="R33">
        <v>35</v>
      </c>
      <c r="S33">
        <v>6.3</v>
      </c>
      <c r="T33">
        <v>6.2</v>
      </c>
      <c r="U33">
        <v>9.8000000000000007</v>
      </c>
      <c r="V33">
        <v>181.4</v>
      </c>
      <c r="W33">
        <v>87.1</v>
      </c>
      <c r="X33">
        <v>52.5</v>
      </c>
      <c r="Y33">
        <v>20</v>
      </c>
      <c r="Z33">
        <v>136</v>
      </c>
      <c r="AA33">
        <v>5.41</v>
      </c>
      <c r="AB33">
        <v>5.4</v>
      </c>
      <c r="AC33">
        <v>6.5</v>
      </c>
      <c r="AD33">
        <v>2</v>
      </c>
      <c r="AE33">
        <v>2</v>
      </c>
    </row>
    <row r="34" spans="1:31" x14ac:dyDescent="0.2">
      <c r="A34">
        <v>33</v>
      </c>
      <c r="B34" t="s">
        <v>166</v>
      </c>
      <c r="C34" t="s">
        <v>142</v>
      </c>
      <c r="D34">
        <v>38</v>
      </c>
      <c r="E34" t="s">
        <v>935</v>
      </c>
      <c r="F34">
        <v>9</v>
      </c>
      <c r="G34">
        <v>7</v>
      </c>
      <c r="H34" t="s">
        <v>1365</v>
      </c>
      <c r="I34">
        <v>183</v>
      </c>
      <c r="J34">
        <v>267</v>
      </c>
      <c r="K34">
        <v>68.5</v>
      </c>
      <c r="L34">
        <v>2091</v>
      </c>
      <c r="M34">
        <v>13</v>
      </c>
      <c r="N34">
        <v>4.9000000000000004</v>
      </c>
      <c r="O34">
        <v>8</v>
      </c>
      <c r="P34">
        <v>3</v>
      </c>
      <c r="Q34">
        <v>106</v>
      </c>
      <c r="R34">
        <v>70</v>
      </c>
      <c r="S34">
        <v>7.8</v>
      </c>
      <c r="T34">
        <v>7.5</v>
      </c>
      <c r="U34">
        <v>11.4</v>
      </c>
      <c r="V34">
        <v>232.3</v>
      </c>
      <c r="W34">
        <v>95.6</v>
      </c>
      <c r="X34">
        <v>76.900000000000006</v>
      </c>
      <c r="Y34">
        <v>14</v>
      </c>
      <c r="Z34">
        <v>65</v>
      </c>
      <c r="AA34">
        <v>7.21</v>
      </c>
      <c r="AB34">
        <v>6.85</v>
      </c>
      <c r="AC34">
        <v>5</v>
      </c>
      <c r="AD34">
        <v>1</v>
      </c>
      <c r="AE34">
        <v>1</v>
      </c>
    </row>
    <row r="35" spans="1:31" x14ac:dyDescent="0.2">
      <c r="A35">
        <v>34</v>
      </c>
      <c r="B35" t="s">
        <v>1366</v>
      </c>
      <c r="C35" t="s">
        <v>119</v>
      </c>
      <c r="D35">
        <v>36</v>
      </c>
      <c r="E35" t="s">
        <v>935</v>
      </c>
      <c r="F35">
        <v>8</v>
      </c>
      <c r="G35">
        <v>6</v>
      </c>
      <c r="H35" t="s">
        <v>1367</v>
      </c>
      <c r="I35">
        <v>168</v>
      </c>
      <c r="J35">
        <v>252</v>
      </c>
      <c r="K35">
        <v>66.7</v>
      </c>
      <c r="L35">
        <v>1582</v>
      </c>
      <c r="M35">
        <v>6</v>
      </c>
      <c r="N35">
        <v>2.4</v>
      </c>
      <c r="O35">
        <v>8</v>
      </c>
      <c r="P35">
        <v>3.2</v>
      </c>
      <c r="Q35">
        <v>74</v>
      </c>
      <c r="R35">
        <v>68</v>
      </c>
      <c r="S35">
        <v>6.3</v>
      </c>
      <c r="T35">
        <v>5.3</v>
      </c>
      <c r="U35">
        <v>9.4</v>
      </c>
      <c r="V35">
        <v>197.8</v>
      </c>
      <c r="W35">
        <v>78.5</v>
      </c>
      <c r="X35">
        <v>34.799999999999997</v>
      </c>
      <c r="Y35">
        <v>22</v>
      </c>
      <c r="Z35">
        <v>139</v>
      </c>
      <c r="AA35">
        <v>5.27</v>
      </c>
      <c r="AB35">
        <v>4.3899999999999997</v>
      </c>
      <c r="AC35">
        <v>8</v>
      </c>
      <c r="AD35">
        <v>1</v>
      </c>
      <c r="AE35">
        <v>1</v>
      </c>
    </row>
    <row r="36" spans="1:31" x14ac:dyDescent="0.2">
      <c r="A36">
        <v>35</v>
      </c>
      <c r="B36" t="s">
        <v>1368</v>
      </c>
      <c r="C36" t="s">
        <v>119</v>
      </c>
      <c r="D36">
        <v>23</v>
      </c>
      <c r="E36" t="s">
        <v>935</v>
      </c>
      <c r="F36">
        <v>7</v>
      </c>
      <c r="G36">
        <v>6</v>
      </c>
      <c r="H36" t="s">
        <v>1369</v>
      </c>
      <c r="I36">
        <v>148</v>
      </c>
      <c r="J36">
        <v>241</v>
      </c>
      <c r="K36">
        <v>61.4</v>
      </c>
      <c r="L36">
        <v>1439</v>
      </c>
      <c r="M36">
        <v>5</v>
      </c>
      <c r="N36">
        <v>2.1</v>
      </c>
      <c r="O36">
        <v>7</v>
      </c>
      <c r="P36">
        <v>2.9</v>
      </c>
      <c r="Q36">
        <v>73</v>
      </c>
      <c r="R36">
        <v>50</v>
      </c>
      <c r="S36">
        <v>6</v>
      </c>
      <c r="T36">
        <v>5.0999999999999996</v>
      </c>
      <c r="U36">
        <v>9.6999999999999993</v>
      </c>
      <c r="V36">
        <v>205.6</v>
      </c>
      <c r="W36">
        <v>73</v>
      </c>
      <c r="X36">
        <v>31</v>
      </c>
      <c r="Y36">
        <v>20</v>
      </c>
      <c r="Z36">
        <v>141</v>
      </c>
      <c r="AA36">
        <v>4.97</v>
      </c>
      <c r="AB36">
        <v>4.1500000000000004</v>
      </c>
      <c r="AC36">
        <v>7.7</v>
      </c>
      <c r="AD36">
        <v>1</v>
      </c>
      <c r="AE36">
        <v>1</v>
      </c>
    </row>
    <row r="37" spans="1:31" x14ac:dyDescent="0.2">
      <c r="A37">
        <v>36</v>
      </c>
      <c r="B37" t="s">
        <v>956</v>
      </c>
      <c r="C37" t="s">
        <v>729</v>
      </c>
      <c r="D37">
        <v>27</v>
      </c>
      <c r="E37" t="s">
        <v>935</v>
      </c>
      <c r="F37">
        <v>5</v>
      </c>
      <c r="G37">
        <v>5</v>
      </c>
      <c r="H37" t="s">
        <v>1370</v>
      </c>
      <c r="I37">
        <v>151</v>
      </c>
      <c r="J37">
        <v>222</v>
      </c>
      <c r="K37">
        <v>68</v>
      </c>
      <c r="L37">
        <v>1856</v>
      </c>
      <c r="M37">
        <v>9</v>
      </c>
      <c r="N37">
        <v>4.0999999999999996</v>
      </c>
      <c r="O37">
        <v>4</v>
      </c>
      <c r="P37">
        <v>1.8</v>
      </c>
      <c r="Q37">
        <v>93</v>
      </c>
      <c r="R37">
        <v>58</v>
      </c>
      <c r="S37">
        <v>8.4</v>
      </c>
      <c r="T37">
        <v>8.4</v>
      </c>
      <c r="U37">
        <v>12.3</v>
      </c>
      <c r="V37">
        <v>371.2</v>
      </c>
      <c r="W37">
        <v>99.6</v>
      </c>
      <c r="X37">
        <v>78.7</v>
      </c>
      <c r="Y37">
        <v>10</v>
      </c>
      <c r="Z37">
        <v>66</v>
      </c>
      <c r="AA37">
        <v>7.72</v>
      </c>
      <c r="AB37">
        <v>7.72</v>
      </c>
      <c r="AC37">
        <v>4.3</v>
      </c>
      <c r="AD37">
        <v>1</v>
      </c>
      <c r="AE37">
        <v>1</v>
      </c>
    </row>
    <row r="38" spans="1:31" x14ac:dyDescent="0.2">
      <c r="A38">
        <v>37</v>
      </c>
      <c r="B38" t="s">
        <v>204</v>
      </c>
      <c r="C38" t="s">
        <v>1052</v>
      </c>
      <c r="D38">
        <v>31</v>
      </c>
      <c r="E38" t="s">
        <v>935</v>
      </c>
      <c r="F38">
        <v>5</v>
      </c>
      <c r="G38">
        <v>5</v>
      </c>
      <c r="H38" t="s">
        <v>1371</v>
      </c>
      <c r="I38">
        <v>111</v>
      </c>
      <c r="J38">
        <v>179</v>
      </c>
      <c r="K38">
        <v>62</v>
      </c>
      <c r="L38">
        <v>1072</v>
      </c>
      <c r="M38">
        <v>7</v>
      </c>
      <c r="N38">
        <v>3.9</v>
      </c>
      <c r="O38">
        <v>5</v>
      </c>
      <c r="P38">
        <v>2.8</v>
      </c>
      <c r="Q38">
        <v>57</v>
      </c>
      <c r="R38">
        <v>46</v>
      </c>
      <c r="S38">
        <v>6</v>
      </c>
      <c r="T38">
        <v>5.5</v>
      </c>
      <c r="U38">
        <v>9.6999999999999993</v>
      </c>
      <c r="V38">
        <v>214.4</v>
      </c>
      <c r="W38">
        <v>80.099999999999994</v>
      </c>
      <c r="X38">
        <v>36.700000000000003</v>
      </c>
      <c r="Y38">
        <v>9</v>
      </c>
      <c r="Z38">
        <v>53</v>
      </c>
      <c r="AA38">
        <v>5.42</v>
      </c>
      <c r="AB38">
        <v>4.97</v>
      </c>
      <c r="AC38">
        <v>4.8</v>
      </c>
    </row>
    <row r="39" spans="1:31" x14ac:dyDescent="0.2">
      <c r="A39">
        <v>38</v>
      </c>
      <c r="B39" t="s">
        <v>120</v>
      </c>
      <c r="C39" t="s">
        <v>102</v>
      </c>
      <c r="D39">
        <v>22</v>
      </c>
      <c r="E39" t="s">
        <v>935</v>
      </c>
      <c r="F39">
        <v>15</v>
      </c>
      <c r="G39">
        <v>4</v>
      </c>
      <c r="H39" t="s">
        <v>1372</v>
      </c>
      <c r="I39">
        <v>77</v>
      </c>
      <c r="J39">
        <v>148</v>
      </c>
      <c r="K39">
        <v>52</v>
      </c>
      <c r="L39">
        <v>1061</v>
      </c>
      <c r="M39">
        <v>6</v>
      </c>
      <c r="N39">
        <v>4.0999999999999996</v>
      </c>
      <c r="O39">
        <v>4</v>
      </c>
      <c r="P39">
        <v>2.7</v>
      </c>
      <c r="Q39">
        <v>45</v>
      </c>
      <c r="R39">
        <v>81</v>
      </c>
      <c r="S39">
        <v>7.2</v>
      </c>
      <c r="T39">
        <v>6.8</v>
      </c>
      <c r="U39">
        <v>13.8</v>
      </c>
      <c r="V39">
        <v>70.7</v>
      </c>
      <c r="W39">
        <v>77.599999999999994</v>
      </c>
      <c r="X39">
        <v>41</v>
      </c>
      <c r="Y39">
        <v>13</v>
      </c>
      <c r="Z39">
        <v>59</v>
      </c>
      <c r="AA39">
        <v>6.22</v>
      </c>
      <c r="AB39">
        <v>5.85</v>
      </c>
      <c r="AC39">
        <v>8.1</v>
      </c>
    </row>
    <row r="40" spans="1:31" x14ac:dyDescent="0.2">
      <c r="A40">
        <v>39</v>
      </c>
      <c r="B40" t="s">
        <v>184</v>
      </c>
      <c r="C40" t="s">
        <v>74</v>
      </c>
      <c r="D40">
        <v>28</v>
      </c>
      <c r="E40" t="s">
        <v>935</v>
      </c>
      <c r="F40">
        <v>5</v>
      </c>
      <c r="G40">
        <v>5</v>
      </c>
      <c r="H40" t="s">
        <v>1373</v>
      </c>
      <c r="I40">
        <v>90</v>
      </c>
      <c r="J40">
        <v>142</v>
      </c>
      <c r="K40">
        <v>63.4</v>
      </c>
      <c r="L40">
        <v>925</v>
      </c>
      <c r="M40">
        <v>5</v>
      </c>
      <c r="N40">
        <v>3.5</v>
      </c>
      <c r="O40">
        <v>4</v>
      </c>
      <c r="P40">
        <v>2.8</v>
      </c>
      <c r="Q40">
        <v>42</v>
      </c>
      <c r="R40">
        <v>72</v>
      </c>
      <c r="S40">
        <v>6.5</v>
      </c>
      <c r="T40">
        <v>6</v>
      </c>
      <c r="U40">
        <v>10.3</v>
      </c>
      <c r="V40">
        <v>185</v>
      </c>
      <c r="W40">
        <v>82</v>
      </c>
      <c r="X40">
        <v>44.9</v>
      </c>
      <c r="Y40">
        <v>7</v>
      </c>
      <c r="Z40">
        <v>51</v>
      </c>
      <c r="AA40">
        <v>5.87</v>
      </c>
      <c r="AB40">
        <v>5.33</v>
      </c>
      <c r="AC40">
        <v>4.7</v>
      </c>
      <c r="AD40">
        <v>1</v>
      </c>
      <c r="AE40">
        <v>1</v>
      </c>
    </row>
    <row r="41" spans="1:31" x14ac:dyDescent="0.2">
      <c r="A41">
        <v>40</v>
      </c>
      <c r="B41" t="s">
        <v>148</v>
      </c>
      <c r="C41" t="s">
        <v>1087</v>
      </c>
      <c r="D41">
        <v>29</v>
      </c>
      <c r="E41" t="s">
        <v>935</v>
      </c>
      <c r="F41">
        <v>6</v>
      </c>
      <c r="G41">
        <v>6</v>
      </c>
      <c r="H41" t="s">
        <v>1374</v>
      </c>
      <c r="I41">
        <v>94</v>
      </c>
      <c r="J41">
        <v>140</v>
      </c>
      <c r="K41">
        <v>67.099999999999994</v>
      </c>
      <c r="L41">
        <v>1096</v>
      </c>
      <c r="M41">
        <v>7</v>
      </c>
      <c r="N41">
        <v>5</v>
      </c>
      <c r="O41">
        <v>5</v>
      </c>
      <c r="P41">
        <v>3.6</v>
      </c>
      <c r="Q41">
        <v>55</v>
      </c>
      <c r="R41">
        <v>76</v>
      </c>
      <c r="S41">
        <v>7.8</v>
      </c>
      <c r="T41">
        <v>7.2</v>
      </c>
      <c r="U41">
        <v>11.7</v>
      </c>
      <c r="V41">
        <v>182.7</v>
      </c>
      <c r="W41">
        <v>92.4</v>
      </c>
      <c r="X41">
        <v>61.5</v>
      </c>
      <c r="Y41">
        <v>11</v>
      </c>
      <c r="Z41">
        <v>77</v>
      </c>
      <c r="AA41">
        <v>6.75</v>
      </c>
      <c r="AB41">
        <v>6.19</v>
      </c>
      <c r="AC41">
        <v>7.3</v>
      </c>
    </row>
    <row r="42" spans="1:31" x14ac:dyDescent="0.2">
      <c r="A42">
        <v>41</v>
      </c>
      <c r="B42" t="s">
        <v>177</v>
      </c>
      <c r="C42" t="s">
        <v>71</v>
      </c>
      <c r="D42">
        <v>35</v>
      </c>
      <c r="E42" t="s">
        <v>935</v>
      </c>
      <c r="F42">
        <v>5</v>
      </c>
      <c r="G42">
        <v>4</v>
      </c>
      <c r="H42" t="s">
        <v>1375</v>
      </c>
      <c r="I42">
        <v>74</v>
      </c>
      <c r="J42">
        <v>134</v>
      </c>
      <c r="K42">
        <v>55.2</v>
      </c>
      <c r="L42">
        <v>864</v>
      </c>
      <c r="M42">
        <v>6</v>
      </c>
      <c r="N42">
        <v>4.5</v>
      </c>
      <c r="O42">
        <v>3</v>
      </c>
      <c r="P42">
        <v>2.2000000000000002</v>
      </c>
      <c r="Q42">
        <v>36</v>
      </c>
      <c r="R42">
        <v>52</v>
      </c>
      <c r="S42">
        <v>6.4</v>
      </c>
      <c r="T42">
        <v>6.3</v>
      </c>
      <c r="U42">
        <v>11.7</v>
      </c>
      <c r="V42">
        <v>172.8</v>
      </c>
      <c r="W42">
        <v>80.599999999999994</v>
      </c>
      <c r="X42">
        <v>58</v>
      </c>
      <c r="Y42">
        <v>7</v>
      </c>
      <c r="Z42">
        <v>69</v>
      </c>
      <c r="AA42">
        <v>5.64</v>
      </c>
      <c r="AB42">
        <v>5.53</v>
      </c>
      <c r="AC42">
        <v>5</v>
      </c>
    </row>
    <row r="43" spans="1:31" x14ac:dyDescent="0.2">
      <c r="A43">
        <v>42</v>
      </c>
      <c r="B43" t="s">
        <v>156</v>
      </c>
      <c r="C43" t="s">
        <v>1257</v>
      </c>
      <c r="D43">
        <v>30</v>
      </c>
      <c r="E43" t="s">
        <v>1298</v>
      </c>
      <c r="F43">
        <v>16</v>
      </c>
      <c r="G43">
        <v>8</v>
      </c>
      <c r="H43" t="s">
        <v>1376</v>
      </c>
      <c r="I43">
        <v>88</v>
      </c>
      <c r="J43">
        <v>121</v>
      </c>
      <c r="K43">
        <v>72.7</v>
      </c>
      <c r="L43">
        <v>928</v>
      </c>
      <c r="M43">
        <v>4</v>
      </c>
      <c r="N43">
        <v>3.3</v>
      </c>
      <c r="O43">
        <v>2</v>
      </c>
      <c r="P43">
        <v>1.7</v>
      </c>
      <c r="Q43">
        <v>45</v>
      </c>
      <c r="R43">
        <v>44</v>
      </c>
      <c r="S43">
        <v>7.7</v>
      </c>
      <c r="T43">
        <v>7.6</v>
      </c>
      <c r="U43">
        <v>10.5</v>
      </c>
      <c r="V43">
        <v>58</v>
      </c>
      <c r="W43">
        <v>98.8</v>
      </c>
      <c r="X43">
        <v>58.8</v>
      </c>
      <c r="Y43">
        <v>14</v>
      </c>
      <c r="Z43">
        <v>87</v>
      </c>
      <c r="AA43">
        <v>6.23</v>
      </c>
      <c r="AB43">
        <v>6.16</v>
      </c>
      <c r="AC43">
        <v>10.4</v>
      </c>
    </row>
    <row r="44" spans="1:31" x14ac:dyDescent="0.2">
      <c r="A44">
        <v>43</v>
      </c>
      <c r="B44" t="s">
        <v>232</v>
      </c>
      <c r="C44" t="s">
        <v>1052</v>
      </c>
      <c r="D44">
        <v>24</v>
      </c>
      <c r="E44" t="s">
        <v>935</v>
      </c>
      <c r="F44">
        <v>3</v>
      </c>
      <c r="G44">
        <v>3</v>
      </c>
      <c r="H44" t="s">
        <v>1377</v>
      </c>
      <c r="I44">
        <v>60</v>
      </c>
      <c r="J44">
        <v>110</v>
      </c>
      <c r="K44">
        <v>54.5</v>
      </c>
      <c r="L44">
        <v>624</v>
      </c>
      <c r="M44">
        <v>2</v>
      </c>
      <c r="N44">
        <v>1.8</v>
      </c>
      <c r="O44">
        <v>6</v>
      </c>
      <c r="P44">
        <v>5.5</v>
      </c>
      <c r="Q44">
        <v>31</v>
      </c>
      <c r="R44">
        <v>73</v>
      </c>
      <c r="S44">
        <v>5.7</v>
      </c>
      <c r="T44">
        <v>3.6</v>
      </c>
      <c r="U44">
        <v>10.4</v>
      </c>
      <c r="V44">
        <v>208</v>
      </c>
      <c r="W44">
        <v>54.5</v>
      </c>
      <c r="X44">
        <v>39.9</v>
      </c>
      <c r="Y44">
        <v>7</v>
      </c>
      <c r="Z44">
        <v>52</v>
      </c>
      <c r="AA44">
        <v>4.8899999999999997</v>
      </c>
      <c r="AB44">
        <v>2.92</v>
      </c>
      <c r="AC44">
        <v>6</v>
      </c>
    </row>
    <row r="45" spans="1:31" x14ac:dyDescent="0.2">
      <c r="A45">
        <v>44</v>
      </c>
      <c r="B45" t="s">
        <v>220</v>
      </c>
      <c r="C45" t="s">
        <v>1087</v>
      </c>
      <c r="D45">
        <v>27</v>
      </c>
      <c r="E45" t="s">
        <v>935</v>
      </c>
      <c r="F45">
        <v>6</v>
      </c>
      <c r="G45">
        <v>2</v>
      </c>
      <c r="H45" t="s">
        <v>1378</v>
      </c>
      <c r="I45">
        <v>66</v>
      </c>
      <c r="J45">
        <v>104</v>
      </c>
      <c r="K45">
        <v>63.5</v>
      </c>
      <c r="L45">
        <v>787</v>
      </c>
      <c r="M45">
        <v>6</v>
      </c>
      <c r="N45">
        <v>5.8</v>
      </c>
      <c r="O45">
        <v>0</v>
      </c>
      <c r="P45">
        <v>0</v>
      </c>
      <c r="Q45">
        <v>42</v>
      </c>
      <c r="R45">
        <v>49</v>
      </c>
      <c r="S45">
        <v>7.6</v>
      </c>
      <c r="T45">
        <v>8.6999999999999993</v>
      </c>
      <c r="U45">
        <v>11.9</v>
      </c>
      <c r="V45">
        <v>131.19999999999999</v>
      </c>
      <c r="W45">
        <v>105.7</v>
      </c>
      <c r="X45">
        <v>53.7</v>
      </c>
      <c r="Y45">
        <v>9</v>
      </c>
      <c r="Z45">
        <v>71</v>
      </c>
      <c r="AA45">
        <v>6.34</v>
      </c>
      <c r="AB45">
        <v>7.4</v>
      </c>
      <c r="AC45">
        <v>8</v>
      </c>
    </row>
    <row r="46" spans="1:31" x14ac:dyDescent="0.2">
      <c r="A46">
        <v>45</v>
      </c>
      <c r="B46" t="s">
        <v>234</v>
      </c>
      <c r="C46" t="s">
        <v>119</v>
      </c>
      <c r="D46">
        <v>24</v>
      </c>
      <c r="E46" t="s">
        <v>935</v>
      </c>
      <c r="F46">
        <v>4</v>
      </c>
      <c r="G46">
        <v>4</v>
      </c>
      <c r="H46" t="s">
        <v>1372</v>
      </c>
      <c r="I46">
        <v>60</v>
      </c>
      <c r="J46">
        <v>87</v>
      </c>
      <c r="K46">
        <v>69</v>
      </c>
      <c r="L46">
        <v>610</v>
      </c>
      <c r="M46">
        <v>4</v>
      </c>
      <c r="N46">
        <v>4.5999999999999996</v>
      </c>
      <c r="O46">
        <v>1</v>
      </c>
      <c r="P46">
        <v>1.1000000000000001</v>
      </c>
      <c r="Q46">
        <v>30</v>
      </c>
      <c r="R46">
        <v>52</v>
      </c>
      <c r="S46">
        <v>7</v>
      </c>
      <c r="T46">
        <v>7.4</v>
      </c>
      <c r="U46">
        <v>10.199999999999999</v>
      </c>
      <c r="V46">
        <v>152.5</v>
      </c>
      <c r="W46">
        <v>99.3</v>
      </c>
      <c r="X46">
        <v>74.5</v>
      </c>
      <c r="Y46">
        <v>7</v>
      </c>
      <c r="Z46">
        <v>44</v>
      </c>
      <c r="AA46">
        <v>6.02</v>
      </c>
      <c r="AB46">
        <v>6.39</v>
      </c>
      <c r="AC46">
        <v>7.4</v>
      </c>
    </row>
    <row r="47" spans="1:31" x14ac:dyDescent="0.2">
      <c r="A47">
        <v>46</v>
      </c>
      <c r="B47" t="s">
        <v>218</v>
      </c>
      <c r="C47" t="s">
        <v>92</v>
      </c>
      <c r="D47">
        <v>34</v>
      </c>
      <c r="E47" t="s">
        <v>935</v>
      </c>
      <c r="F47">
        <v>4</v>
      </c>
      <c r="G47">
        <v>2</v>
      </c>
      <c r="H47" t="s">
        <v>1378</v>
      </c>
      <c r="I47">
        <v>40</v>
      </c>
      <c r="J47">
        <v>66</v>
      </c>
      <c r="K47">
        <v>60.6</v>
      </c>
      <c r="L47">
        <v>375</v>
      </c>
      <c r="M47">
        <v>1</v>
      </c>
      <c r="N47">
        <v>1.5</v>
      </c>
      <c r="O47">
        <v>1</v>
      </c>
      <c r="P47">
        <v>1.5</v>
      </c>
      <c r="Q47">
        <v>19</v>
      </c>
      <c r="R47">
        <v>35</v>
      </c>
      <c r="S47">
        <v>5.7</v>
      </c>
      <c r="T47">
        <v>5.3</v>
      </c>
      <c r="U47">
        <v>9.4</v>
      </c>
      <c r="V47">
        <v>93.8</v>
      </c>
      <c r="W47">
        <v>75</v>
      </c>
      <c r="X47">
        <v>36.6</v>
      </c>
      <c r="Y47">
        <v>5</v>
      </c>
      <c r="Z47">
        <v>24</v>
      </c>
      <c r="AA47">
        <v>4.9400000000000004</v>
      </c>
      <c r="AB47">
        <v>4.59</v>
      </c>
      <c r="AC47">
        <v>7</v>
      </c>
    </row>
    <row r="48" spans="1:31" x14ac:dyDescent="0.2">
      <c r="A48">
        <v>47</v>
      </c>
      <c r="B48" t="s">
        <v>227</v>
      </c>
      <c r="C48" t="s">
        <v>93</v>
      </c>
      <c r="D48">
        <v>27</v>
      </c>
      <c r="E48" t="s">
        <v>935</v>
      </c>
      <c r="F48">
        <v>3</v>
      </c>
      <c r="G48">
        <v>1</v>
      </c>
      <c r="H48" t="s">
        <v>958</v>
      </c>
      <c r="I48">
        <v>35</v>
      </c>
      <c r="J48">
        <v>64</v>
      </c>
      <c r="K48">
        <v>54.7</v>
      </c>
      <c r="L48">
        <v>432</v>
      </c>
      <c r="M48">
        <v>3</v>
      </c>
      <c r="N48">
        <v>4.7</v>
      </c>
      <c r="O48">
        <v>2</v>
      </c>
      <c r="P48">
        <v>3.1</v>
      </c>
      <c r="Q48">
        <v>18</v>
      </c>
      <c r="R48">
        <v>45</v>
      </c>
      <c r="S48">
        <v>6.8</v>
      </c>
      <c r="T48">
        <v>6.3</v>
      </c>
      <c r="U48">
        <v>12.3</v>
      </c>
      <c r="V48">
        <v>144</v>
      </c>
      <c r="W48">
        <v>78.400000000000006</v>
      </c>
      <c r="X48">
        <v>43.4</v>
      </c>
      <c r="Y48">
        <v>11</v>
      </c>
      <c r="Z48">
        <v>98</v>
      </c>
      <c r="AA48">
        <v>4.45</v>
      </c>
      <c r="AB48">
        <v>4.05</v>
      </c>
      <c r="AC48">
        <v>14.7</v>
      </c>
    </row>
    <row r="49" spans="1:31" x14ac:dyDescent="0.2">
      <c r="A49">
        <v>48</v>
      </c>
      <c r="B49" t="s">
        <v>899</v>
      </c>
      <c r="C49" t="s">
        <v>70</v>
      </c>
      <c r="D49">
        <v>25</v>
      </c>
      <c r="E49" t="s">
        <v>935</v>
      </c>
      <c r="F49">
        <v>4</v>
      </c>
      <c r="G49">
        <v>1</v>
      </c>
      <c r="H49" t="s">
        <v>936</v>
      </c>
      <c r="I49">
        <v>32</v>
      </c>
      <c r="J49">
        <v>56</v>
      </c>
      <c r="K49">
        <v>57.1</v>
      </c>
      <c r="L49">
        <v>368</v>
      </c>
      <c r="M49">
        <v>1</v>
      </c>
      <c r="N49">
        <v>1.8</v>
      </c>
      <c r="O49">
        <v>5</v>
      </c>
      <c r="P49">
        <v>8.9</v>
      </c>
      <c r="Q49">
        <v>17</v>
      </c>
      <c r="R49">
        <v>52</v>
      </c>
      <c r="S49">
        <v>6.6</v>
      </c>
      <c r="T49">
        <v>2.9</v>
      </c>
      <c r="U49">
        <v>11.5</v>
      </c>
      <c r="V49">
        <v>92</v>
      </c>
      <c r="W49">
        <v>45.8</v>
      </c>
      <c r="Y49">
        <v>4</v>
      </c>
      <c r="Z49">
        <v>31</v>
      </c>
      <c r="AA49">
        <v>5.62</v>
      </c>
      <c r="AB49">
        <v>2.2000000000000002</v>
      </c>
      <c r="AC49">
        <v>6.7</v>
      </c>
    </row>
    <row r="50" spans="1:31" x14ac:dyDescent="0.2">
      <c r="A50">
        <v>49</v>
      </c>
      <c r="B50" t="s">
        <v>225</v>
      </c>
      <c r="C50" t="s">
        <v>1122</v>
      </c>
      <c r="D50">
        <v>24</v>
      </c>
      <c r="F50">
        <v>5</v>
      </c>
      <c r="G50">
        <v>0</v>
      </c>
      <c r="I50">
        <v>22</v>
      </c>
      <c r="J50">
        <v>44</v>
      </c>
      <c r="K50">
        <v>50</v>
      </c>
      <c r="L50">
        <v>256</v>
      </c>
      <c r="M50">
        <v>2</v>
      </c>
      <c r="N50">
        <v>4.5</v>
      </c>
      <c r="O50">
        <v>3</v>
      </c>
      <c r="P50">
        <v>6.8</v>
      </c>
      <c r="Q50">
        <v>12</v>
      </c>
      <c r="R50">
        <v>38</v>
      </c>
      <c r="S50">
        <v>5.8</v>
      </c>
      <c r="T50">
        <v>3.7</v>
      </c>
      <c r="U50">
        <v>11.6</v>
      </c>
      <c r="V50">
        <v>51.2</v>
      </c>
      <c r="W50">
        <v>54.7</v>
      </c>
      <c r="X50">
        <v>15.9</v>
      </c>
      <c r="Y50">
        <v>4</v>
      </c>
      <c r="Z50">
        <v>21</v>
      </c>
      <c r="AA50">
        <v>4.9000000000000004</v>
      </c>
      <c r="AB50">
        <v>2.92</v>
      </c>
      <c r="AC50">
        <v>8.3000000000000007</v>
      </c>
    </row>
    <row r="51" spans="1:31" x14ac:dyDescent="0.2">
      <c r="A51">
        <v>50</v>
      </c>
      <c r="B51" t="s">
        <v>203</v>
      </c>
      <c r="C51" t="s">
        <v>139</v>
      </c>
      <c r="D51">
        <v>34</v>
      </c>
      <c r="F51">
        <v>4</v>
      </c>
      <c r="G51">
        <v>0</v>
      </c>
      <c r="I51">
        <v>29</v>
      </c>
      <c r="J51">
        <v>43</v>
      </c>
      <c r="K51">
        <v>67.400000000000006</v>
      </c>
      <c r="L51">
        <v>264</v>
      </c>
      <c r="M51">
        <v>1</v>
      </c>
      <c r="N51">
        <v>2.2999999999999998</v>
      </c>
      <c r="O51">
        <v>2</v>
      </c>
      <c r="P51">
        <v>4.7</v>
      </c>
      <c r="Q51">
        <v>14</v>
      </c>
      <c r="R51">
        <v>28</v>
      </c>
      <c r="S51">
        <v>6.1</v>
      </c>
      <c r="T51">
        <v>4.5</v>
      </c>
      <c r="U51">
        <v>9.1</v>
      </c>
      <c r="V51">
        <v>66</v>
      </c>
      <c r="W51">
        <v>72.2</v>
      </c>
      <c r="X51">
        <v>20.5</v>
      </c>
      <c r="Y51">
        <v>3</v>
      </c>
      <c r="Z51">
        <v>29</v>
      </c>
      <c r="AA51">
        <v>5.1100000000000003</v>
      </c>
      <c r="AB51">
        <v>3.59</v>
      </c>
      <c r="AC51">
        <v>6.5</v>
      </c>
    </row>
    <row r="52" spans="1:31" x14ac:dyDescent="0.2">
      <c r="A52">
        <v>51</v>
      </c>
      <c r="B52" t="s">
        <v>1379</v>
      </c>
      <c r="C52" t="s">
        <v>729</v>
      </c>
      <c r="D52">
        <v>24</v>
      </c>
      <c r="E52" t="s">
        <v>935</v>
      </c>
      <c r="F52">
        <v>3</v>
      </c>
      <c r="G52">
        <v>1</v>
      </c>
      <c r="H52" t="s">
        <v>958</v>
      </c>
      <c r="I52">
        <v>23</v>
      </c>
      <c r="J52">
        <v>43</v>
      </c>
      <c r="K52">
        <v>53.5</v>
      </c>
      <c r="L52">
        <v>219</v>
      </c>
      <c r="M52">
        <v>0</v>
      </c>
      <c r="N52">
        <v>0</v>
      </c>
      <c r="O52">
        <v>0</v>
      </c>
      <c r="P52">
        <v>0</v>
      </c>
      <c r="Q52">
        <v>11</v>
      </c>
      <c r="R52">
        <v>32</v>
      </c>
      <c r="S52">
        <v>5.0999999999999996</v>
      </c>
      <c r="T52">
        <v>5.0999999999999996</v>
      </c>
      <c r="U52">
        <v>9.5</v>
      </c>
      <c r="V52">
        <v>73</v>
      </c>
      <c r="W52">
        <v>67.900000000000006</v>
      </c>
      <c r="X52">
        <v>13.5</v>
      </c>
      <c r="Y52">
        <v>7</v>
      </c>
      <c r="Z52">
        <v>73</v>
      </c>
      <c r="AA52">
        <v>2.92</v>
      </c>
      <c r="AB52">
        <v>2.92</v>
      </c>
      <c r="AC52">
        <v>14</v>
      </c>
    </row>
    <row r="53" spans="1:31" x14ac:dyDescent="0.2">
      <c r="A53">
        <v>52</v>
      </c>
      <c r="B53" t="s">
        <v>200</v>
      </c>
      <c r="C53" t="s">
        <v>99</v>
      </c>
      <c r="D53">
        <v>25</v>
      </c>
      <c r="E53" t="s">
        <v>935</v>
      </c>
      <c r="F53">
        <v>5</v>
      </c>
      <c r="G53">
        <v>1</v>
      </c>
      <c r="H53" t="s">
        <v>958</v>
      </c>
      <c r="I53">
        <v>25</v>
      </c>
      <c r="J53">
        <v>43</v>
      </c>
      <c r="K53">
        <v>58.1</v>
      </c>
      <c r="L53">
        <v>324</v>
      </c>
      <c r="M53">
        <v>2</v>
      </c>
      <c r="N53">
        <v>4.7</v>
      </c>
      <c r="O53">
        <v>1</v>
      </c>
      <c r="P53">
        <v>2.2999999999999998</v>
      </c>
      <c r="Q53">
        <v>13</v>
      </c>
      <c r="R53">
        <v>47</v>
      </c>
      <c r="S53">
        <v>7.5</v>
      </c>
      <c r="T53">
        <v>7.4</v>
      </c>
      <c r="U53">
        <v>13</v>
      </c>
      <c r="V53">
        <v>64.8</v>
      </c>
      <c r="W53">
        <v>87.7</v>
      </c>
      <c r="X53">
        <v>78.400000000000006</v>
      </c>
      <c r="Y53">
        <v>1</v>
      </c>
      <c r="Z53">
        <v>8</v>
      </c>
      <c r="AA53">
        <v>7.18</v>
      </c>
      <c r="AB53">
        <v>7.07</v>
      </c>
      <c r="AC53">
        <v>2.2999999999999998</v>
      </c>
    </row>
    <row r="54" spans="1:31" x14ac:dyDescent="0.2">
      <c r="A54">
        <v>53</v>
      </c>
      <c r="B54" t="s">
        <v>233</v>
      </c>
      <c r="C54" t="s">
        <v>93</v>
      </c>
      <c r="D54">
        <v>24</v>
      </c>
      <c r="E54" t="s">
        <v>935</v>
      </c>
      <c r="F54">
        <v>3</v>
      </c>
      <c r="G54">
        <v>1</v>
      </c>
      <c r="H54" t="s">
        <v>936</v>
      </c>
      <c r="I54">
        <v>27</v>
      </c>
      <c r="J54">
        <v>40</v>
      </c>
      <c r="K54">
        <v>67.5</v>
      </c>
      <c r="L54">
        <v>295</v>
      </c>
      <c r="M54">
        <v>2</v>
      </c>
      <c r="N54">
        <v>5</v>
      </c>
      <c r="O54">
        <v>4</v>
      </c>
      <c r="P54">
        <v>10</v>
      </c>
      <c r="Q54">
        <v>12</v>
      </c>
      <c r="R54">
        <v>48</v>
      </c>
      <c r="S54">
        <v>7.4</v>
      </c>
      <c r="T54">
        <v>3.9</v>
      </c>
      <c r="U54">
        <v>10.9</v>
      </c>
      <c r="V54">
        <v>98.3</v>
      </c>
      <c r="W54">
        <v>66.099999999999994</v>
      </c>
      <c r="X54">
        <v>57.9</v>
      </c>
      <c r="Y54">
        <v>1</v>
      </c>
      <c r="Z54">
        <v>0</v>
      </c>
      <c r="AA54">
        <v>7.2</v>
      </c>
      <c r="AB54">
        <v>3.78</v>
      </c>
      <c r="AC54">
        <v>2.4</v>
      </c>
      <c r="AD54">
        <v>1</v>
      </c>
      <c r="AE54">
        <v>1</v>
      </c>
    </row>
    <row r="55" spans="1:31" x14ac:dyDescent="0.2">
      <c r="A55">
        <v>54</v>
      </c>
      <c r="B55" t="s">
        <v>1380</v>
      </c>
      <c r="C55" t="s">
        <v>729</v>
      </c>
      <c r="D55">
        <v>29</v>
      </c>
      <c r="E55" t="s">
        <v>935</v>
      </c>
      <c r="F55">
        <v>1</v>
      </c>
      <c r="G55">
        <v>1</v>
      </c>
      <c r="H55" t="s">
        <v>958</v>
      </c>
      <c r="I55">
        <v>21</v>
      </c>
      <c r="J55">
        <v>38</v>
      </c>
      <c r="K55">
        <v>55.3</v>
      </c>
      <c r="L55">
        <v>243</v>
      </c>
      <c r="M55">
        <v>1</v>
      </c>
      <c r="N55">
        <v>2.6</v>
      </c>
      <c r="O55">
        <v>1</v>
      </c>
      <c r="P55">
        <v>2.6</v>
      </c>
      <c r="Q55">
        <v>10</v>
      </c>
      <c r="R55">
        <v>32</v>
      </c>
      <c r="S55">
        <v>6.4</v>
      </c>
      <c r="T55">
        <v>5.7</v>
      </c>
      <c r="U55">
        <v>11.6</v>
      </c>
      <c r="V55">
        <v>243</v>
      </c>
      <c r="W55">
        <v>72.599999999999994</v>
      </c>
      <c r="X55">
        <v>64.099999999999994</v>
      </c>
      <c r="Y55">
        <v>2</v>
      </c>
      <c r="Z55">
        <v>23</v>
      </c>
      <c r="AA55">
        <v>5.5</v>
      </c>
      <c r="AB55">
        <v>4.88</v>
      </c>
      <c r="AC55">
        <v>5</v>
      </c>
    </row>
    <row r="56" spans="1:31" x14ac:dyDescent="0.2">
      <c r="A56">
        <v>55</v>
      </c>
      <c r="B56" t="s">
        <v>229</v>
      </c>
      <c r="C56" t="s">
        <v>1040</v>
      </c>
      <c r="D56">
        <v>35</v>
      </c>
      <c r="E56" t="s">
        <v>935</v>
      </c>
      <c r="F56">
        <v>3</v>
      </c>
      <c r="G56">
        <v>1</v>
      </c>
      <c r="H56" t="s">
        <v>958</v>
      </c>
      <c r="I56">
        <v>28</v>
      </c>
      <c r="J56">
        <v>38</v>
      </c>
      <c r="K56">
        <v>73.7</v>
      </c>
      <c r="L56">
        <v>248</v>
      </c>
      <c r="M56">
        <v>2</v>
      </c>
      <c r="N56">
        <v>5.3</v>
      </c>
      <c r="O56">
        <v>0</v>
      </c>
      <c r="P56">
        <v>0</v>
      </c>
      <c r="Q56">
        <v>15</v>
      </c>
      <c r="R56">
        <v>37</v>
      </c>
      <c r="S56">
        <v>6.5</v>
      </c>
      <c r="T56">
        <v>7.6</v>
      </c>
      <c r="U56">
        <v>8.9</v>
      </c>
      <c r="V56">
        <v>82.7</v>
      </c>
      <c r="W56">
        <v>108.2</v>
      </c>
      <c r="X56">
        <v>32.700000000000003</v>
      </c>
      <c r="Y56">
        <v>2</v>
      </c>
      <c r="Z56">
        <v>4</v>
      </c>
      <c r="AA56">
        <v>6.1</v>
      </c>
      <c r="AB56">
        <v>7.1</v>
      </c>
      <c r="AC56">
        <v>5</v>
      </c>
    </row>
    <row r="57" spans="1:31" x14ac:dyDescent="0.2">
      <c r="A57">
        <v>56</v>
      </c>
      <c r="B57" t="s">
        <v>1381</v>
      </c>
      <c r="C57" t="s">
        <v>730</v>
      </c>
      <c r="D57">
        <v>25</v>
      </c>
      <c r="E57" t="s">
        <v>935</v>
      </c>
      <c r="F57">
        <v>1</v>
      </c>
      <c r="G57">
        <v>1</v>
      </c>
      <c r="H57" t="s">
        <v>936</v>
      </c>
      <c r="I57">
        <v>22</v>
      </c>
      <c r="J57">
        <v>38</v>
      </c>
      <c r="K57">
        <v>57.9</v>
      </c>
      <c r="L57">
        <v>231</v>
      </c>
      <c r="M57">
        <v>0</v>
      </c>
      <c r="N57">
        <v>0</v>
      </c>
      <c r="O57">
        <v>1</v>
      </c>
      <c r="P57">
        <v>2.6</v>
      </c>
      <c r="Q57">
        <v>12</v>
      </c>
      <c r="R57">
        <v>38</v>
      </c>
      <c r="S57">
        <v>6.1</v>
      </c>
      <c r="T57">
        <v>4.9000000000000004</v>
      </c>
      <c r="U57">
        <v>10.5</v>
      </c>
      <c r="V57">
        <v>231</v>
      </c>
      <c r="W57">
        <v>64.7</v>
      </c>
      <c r="X57">
        <v>74.8</v>
      </c>
      <c r="Y57">
        <v>2</v>
      </c>
      <c r="Z57">
        <v>8</v>
      </c>
      <c r="AA57">
        <v>5.58</v>
      </c>
      <c r="AB57">
        <v>4.45</v>
      </c>
      <c r="AC57">
        <v>5</v>
      </c>
    </row>
    <row r="58" spans="1:31" x14ac:dyDescent="0.2">
      <c r="A58">
        <v>57</v>
      </c>
      <c r="B58" t="s">
        <v>1382</v>
      </c>
      <c r="C58" t="s">
        <v>74</v>
      </c>
      <c r="D58">
        <v>26</v>
      </c>
      <c r="E58" t="s">
        <v>935</v>
      </c>
      <c r="F58">
        <v>5</v>
      </c>
      <c r="G58">
        <v>1</v>
      </c>
      <c r="H58" t="s">
        <v>936</v>
      </c>
      <c r="I58">
        <v>17</v>
      </c>
      <c r="J58">
        <v>32</v>
      </c>
      <c r="K58">
        <v>53.1</v>
      </c>
      <c r="L58">
        <v>164</v>
      </c>
      <c r="M58">
        <v>1</v>
      </c>
      <c r="N58">
        <v>3.1</v>
      </c>
      <c r="O58">
        <v>2</v>
      </c>
      <c r="P58">
        <v>6.3</v>
      </c>
      <c r="Q58">
        <v>8</v>
      </c>
      <c r="R58">
        <v>30</v>
      </c>
      <c r="S58">
        <v>5.0999999999999996</v>
      </c>
      <c r="T58">
        <v>2.9</v>
      </c>
      <c r="U58">
        <v>9.6</v>
      </c>
      <c r="V58">
        <v>32.799999999999997</v>
      </c>
      <c r="W58">
        <v>52.1</v>
      </c>
      <c r="X58">
        <v>49</v>
      </c>
      <c r="Y58">
        <v>9</v>
      </c>
      <c r="Z58">
        <v>63</v>
      </c>
      <c r="AA58">
        <v>2.46</v>
      </c>
      <c r="AB58">
        <v>0.76</v>
      </c>
      <c r="AC58">
        <v>22</v>
      </c>
    </row>
    <row r="59" spans="1:31" x14ac:dyDescent="0.2">
      <c r="A59">
        <v>58</v>
      </c>
      <c r="B59" t="s">
        <v>149</v>
      </c>
      <c r="C59" t="s">
        <v>118</v>
      </c>
      <c r="D59">
        <v>31</v>
      </c>
      <c r="E59" t="s">
        <v>935</v>
      </c>
      <c r="F59">
        <v>2</v>
      </c>
      <c r="G59">
        <v>1</v>
      </c>
      <c r="H59" t="s">
        <v>936</v>
      </c>
      <c r="I59">
        <v>16</v>
      </c>
      <c r="J59">
        <v>30</v>
      </c>
      <c r="K59">
        <v>53.3</v>
      </c>
      <c r="L59">
        <v>208</v>
      </c>
      <c r="M59">
        <v>0</v>
      </c>
      <c r="N59">
        <v>0</v>
      </c>
      <c r="O59">
        <v>0</v>
      </c>
      <c r="P59">
        <v>0</v>
      </c>
      <c r="Q59">
        <v>10</v>
      </c>
      <c r="R59">
        <v>37</v>
      </c>
      <c r="S59">
        <v>6.9</v>
      </c>
      <c r="T59">
        <v>6.9</v>
      </c>
      <c r="U59">
        <v>13</v>
      </c>
      <c r="V59">
        <v>104</v>
      </c>
      <c r="W59">
        <v>75.400000000000006</v>
      </c>
      <c r="X59">
        <v>21.3</v>
      </c>
      <c r="Y59">
        <v>2</v>
      </c>
      <c r="Z59">
        <v>1</v>
      </c>
      <c r="AA59">
        <v>6.47</v>
      </c>
      <c r="AB59">
        <v>6.47</v>
      </c>
      <c r="AC59">
        <v>6.3</v>
      </c>
      <c r="AD59">
        <v>1</v>
      </c>
      <c r="AE59">
        <v>1</v>
      </c>
    </row>
    <row r="60" spans="1:31" x14ac:dyDescent="0.2">
      <c r="A60">
        <v>59</v>
      </c>
      <c r="B60" t="s">
        <v>1383</v>
      </c>
      <c r="C60" t="s">
        <v>933</v>
      </c>
      <c r="D60">
        <v>27</v>
      </c>
      <c r="F60">
        <v>1</v>
      </c>
      <c r="G60">
        <v>0</v>
      </c>
      <c r="I60">
        <v>17</v>
      </c>
      <c r="J60">
        <v>28</v>
      </c>
      <c r="K60">
        <v>60.7</v>
      </c>
      <c r="L60">
        <v>226</v>
      </c>
      <c r="M60">
        <v>1</v>
      </c>
      <c r="N60">
        <v>3.6</v>
      </c>
      <c r="O60">
        <v>1</v>
      </c>
      <c r="P60">
        <v>3.6</v>
      </c>
      <c r="Q60">
        <v>11</v>
      </c>
      <c r="R60">
        <v>35</v>
      </c>
      <c r="S60">
        <v>8.1</v>
      </c>
      <c r="T60">
        <v>7.2</v>
      </c>
      <c r="U60">
        <v>13.3</v>
      </c>
      <c r="V60">
        <v>226</v>
      </c>
      <c r="W60">
        <v>83.3</v>
      </c>
      <c r="X60">
        <v>98.1</v>
      </c>
      <c r="Y60">
        <v>0</v>
      </c>
      <c r="Z60">
        <v>0</v>
      </c>
      <c r="AA60">
        <v>8.07</v>
      </c>
      <c r="AB60">
        <v>7.18</v>
      </c>
      <c r="AC60">
        <v>0</v>
      </c>
    </row>
    <row r="61" spans="1:31" x14ac:dyDescent="0.2">
      <c r="A61">
        <v>60</v>
      </c>
      <c r="B61" t="s">
        <v>231</v>
      </c>
      <c r="C61" t="s">
        <v>1122</v>
      </c>
      <c r="D61">
        <v>35</v>
      </c>
      <c r="E61" t="s">
        <v>935</v>
      </c>
      <c r="F61">
        <v>1</v>
      </c>
      <c r="G61">
        <v>1</v>
      </c>
      <c r="H61" t="s">
        <v>958</v>
      </c>
      <c r="I61">
        <v>15</v>
      </c>
      <c r="J61">
        <v>24</v>
      </c>
      <c r="K61">
        <v>62.5</v>
      </c>
      <c r="L61">
        <v>130</v>
      </c>
      <c r="M61">
        <v>0</v>
      </c>
      <c r="N61">
        <v>0</v>
      </c>
      <c r="O61">
        <v>1</v>
      </c>
      <c r="P61">
        <v>4.2</v>
      </c>
      <c r="Q61">
        <v>8</v>
      </c>
      <c r="R61">
        <v>25</v>
      </c>
      <c r="S61">
        <v>5.4</v>
      </c>
      <c r="T61">
        <v>3.5</v>
      </c>
      <c r="U61">
        <v>8.6999999999999993</v>
      </c>
      <c r="V61">
        <v>130</v>
      </c>
      <c r="W61">
        <v>59.4</v>
      </c>
      <c r="X61">
        <v>28.2</v>
      </c>
      <c r="Y61">
        <v>2</v>
      </c>
      <c r="Z61">
        <v>18</v>
      </c>
      <c r="AA61">
        <v>4.3099999999999996</v>
      </c>
      <c r="AB61">
        <v>2.58</v>
      </c>
      <c r="AC61">
        <v>7.7</v>
      </c>
    </row>
    <row r="62" spans="1:31" x14ac:dyDescent="0.2">
      <c r="A62">
        <v>61</v>
      </c>
      <c r="B62" t="s">
        <v>1384</v>
      </c>
      <c r="C62" t="s">
        <v>98</v>
      </c>
      <c r="D62">
        <v>30</v>
      </c>
      <c r="F62">
        <v>5</v>
      </c>
      <c r="G62">
        <v>0</v>
      </c>
      <c r="I62">
        <v>11</v>
      </c>
      <c r="J62">
        <v>21</v>
      </c>
      <c r="K62">
        <v>52.4</v>
      </c>
      <c r="L62">
        <v>197</v>
      </c>
      <c r="M62">
        <v>1</v>
      </c>
      <c r="N62">
        <v>4.8</v>
      </c>
      <c r="O62">
        <v>1</v>
      </c>
      <c r="P62">
        <v>4.8</v>
      </c>
      <c r="Q62">
        <v>9</v>
      </c>
      <c r="R62">
        <v>56</v>
      </c>
      <c r="S62">
        <v>9.4</v>
      </c>
      <c r="T62">
        <v>8.1999999999999993</v>
      </c>
      <c r="U62">
        <v>17.899999999999999</v>
      </c>
      <c r="V62">
        <v>39.4</v>
      </c>
      <c r="W62">
        <v>80.900000000000006</v>
      </c>
      <c r="X62">
        <v>33.9</v>
      </c>
      <c r="Y62">
        <v>1</v>
      </c>
      <c r="Z62">
        <v>7</v>
      </c>
      <c r="AA62">
        <v>8.64</v>
      </c>
      <c r="AB62">
        <v>7.5</v>
      </c>
      <c r="AC62">
        <v>4.5</v>
      </c>
    </row>
    <row r="63" spans="1:31" x14ac:dyDescent="0.2">
      <c r="A63">
        <v>62</v>
      </c>
      <c r="B63" t="s">
        <v>167</v>
      </c>
      <c r="C63" t="s">
        <v>119</v>
      </c>
      <c r="D63">
        <v>27</v>
      </c>
      <c r="F63">
        <v>1</v>
      </c>
      <c r="G63">
        <v>0</v>
      </c>
      <c r="I63">
        <v>12</v>
      </c>
      <c r="J63">
        <v>19</v>
      </c>
      <c r="K63">
        <v>63.2</v>
      </c>
      <c r="L63">
        <v>137</v>
      </c>
      <c r="M63">
        <v>1</v>
      </c>
      <c r="N63">
        <v>5.3</v>
      </c>
      <c r="O63">
        <v>0</v>
      </c>
      <c r="P63">
        <v>0</v>
      </c>
      <c r="Q63">
        <v>6</v>
      </c>
      <c r="R63">
        <v>29</v>
      </c>
      <c r="S63">
        <v>7.2</v>
      </c>
      <c r="T63">
        <v>8.3000000000000007</v>
      </c>
      <c r="U63">
        <v>11.4</v>
      </c>
      <c r="V63">
        <v>137</v>
      </c>
      <c r="W63">
        <v>102.3</v>
      </c>
      <c r="X63">
        <v>48.3</v>
      </c>
      <c r="Y63">
        <v>1</v>
      </c>
      <c r="Z63">
        <v>7</v>
      </c>
      <c r="AA63">
        <v>6.5</v>
      </c>
      <c r="AB63">
        <v>7.5</v>
      </c>
      <c r="AC63">
        <v>5</v>
      </c>
    </row>
    <row r="64" spans="1:31" x14ac:dyDescent="0.2">
      <c r="A64">
        <v>63</v>
      </c>
      <c r="B64" t="s">
        <v>1385</v>
      </c>
      <c r="C64" t="s">
        <v>976</v>
      </c>
      <c r="D64">
        <v>31</v>
      </c>
      <c r="F64">
        <v>4</v>
      </c>
      <c r="G64">
        <v>0</v>
      </c>
      <c r="I64">
        <v>9</v>
      </c>
      <c r="J64">
        <v>16</v>
      </c>
      <c r="K64">
        <v>56.3</v>
      </c>
      <c r="L64">
        <v>143</v>
      </c>
      <c r="M64">
        <v>2</v>
      </c>
      <c r="N64">
        <v>12.5</v>
      </c>
      <c r="O64">
        <v>0</v>
      </c>
      <c r="P64">
        <v>0</v>
      </c>
      <c r="Q64">
        <v>5</v>
      </c>
      <c r="R64">
        <v>35</v>
      </c>
      <c r="S64">
        <v>8.9</v>
      </c>
      <c r="T64">
        <v>11.4</v>
      </c>
      <c r="U64">
        <v>15.9</v>
      </c>
      <c r="V64">
        <v>35.799999999999997</v>
      </c>
      <c r="W64">
        <v>125.8</v>
      </c>
      <c r="X64">
        <v>60.7</v>
      </c>
      <c r="Y64">
        <v>1</v>
      </c>
      <c r="Z64">
        <v>7</v>
      </c>
      <c r="AA64">
        <v>8</v>
      </c>
      <c r="AB64">
        <v>10.35</v>
      </c>
      <c r="AC64">
        <v>5.9</v>
      </c>
    </row>
    <row r="65" spans="1:29" x14ac:dyDescent="0.2">
      <c r="A65">
        <v>64</v>
      </c>
      <c r="B65" t="s">
        <v>207</v>
      </c>
      <c r="C65" t="s">
        <v>78</v>
      </c>
      <c r="D65">
        <v>25</v>
      </c>
      <c r="F65">
        <v>5</v>
      </c>
      <c r="G65">
        <v>0</v>
      </c>
      <c r="I65">
        <v>11</v>
      </c>
      <c r="J65">
        <v>16</v>
      </c>
      <c r="K65">
        <v>68.8</v>
      </c>
      <c r="L65">
        <v>105</v>
      </c>
      <c r="M65">
        <v>1</v>
      </c>
      <c r="N65">
        <v>6.3</v>
      </c>
      <c r="O65">
        <v>1</v>
      </c>
      <c r="P65">
        <v>6.3</v>
      </c>
      <c r="Q65">
        <v>5</v>
      </c>
      <c r="R65">
        <v>19</v>
      </c>
      <c r="S65">
        <v>6.6</v>
      </c>
      <c r="T65">
        <v>5</v>
      </c>
      <c r="U65">
        <v>9.5</v>
      </c>
      <c r="V65">
        <v>21</v>
      </c>
      <c r="W65">
        <v>81.5</v>
      </c>
      <c r="X65">
        <v>36.4</v>
      </c>
      <c r="Y65">
        <v>2</v>
      </c>
      <c r="Z65">
        <v>10</v>
      </c>
      <c r="AA65">
        <v>5.28</v>
      </c>
      <c r="AB65">
        <v>3.89</v>
      </c>
      <c r="AC65">
        <v>11.1</v>
      </c>
    </row>
    <row r="66" spans="1:29" x14ac:dyDescent="0.2">
      <c r="A66">
        <v>65</v>
      </c>
      <c r="B66" t="s">
        <v>1386</v>
      </c>
      <c r="C66" t="s">
        <v>725</v>
      </c>
      <c r="D66">
        <v>30</v>
      </c>
      <c r="F66">
        <v>4</v>
      </c>
      <c r="G66">
        <v>1</v>
      </c>
      <c r="H66" t="s">
        <v>958</v>
      </c>
      <c r="I66">
        <v>8</v>
      </c>
      <c r="J66">
        <v>14</v>
      </c>
      <c r="K66">
        <v>57.1</v>
      </c>
      <c r="L66">
        <v>42</v>
      </c>
      <c r="M66">
        <v>0</v>
      </c>
      <c r="N66">
        <v>0</v>
      </c>
      <c r="O66">
        <v>2</v>
      </c>
      <c r="P66">
        <v>14.3</v>
      </c>
      <c r="Q66">
        <v>1</v>
      </c>
      <c r="R66">
        <v>9</v>
      </c>
      <c r="S66">
        <v>3</v>
      </c>
      <c r="T66">
        <v>-3.4</v>
      </c>
      <c r="U66">
        <v>5.3</v>
      </c>
      <c r="V66">
        <v>10.5</v>
      </c>
      <c r="W66">
        <v>22.6</v>
      </c>
      <c r="X66">
        <v>25.6</v>
      </c>
      <c r="Y66">
        <v>3</v>
      </c>
      <c r="Z66">
        <v>20</v>
      </c>
      <c r="AA66">
        <v>1.29</v>
      </c>
      <c r="AB66">
        <v>-4</v>
      </c>
      <c r="AC66">
        <v>17.600000000000001</v>
      </c>
    </row>
    <row r="67" spans="1:29" x14ac:dyDescent="0.2">
      <c r="A67">
        <v>66</v>
      </c>
      <c r="B67" t="s">
        <v>217</v>
      </c>
      <c r="C67" t="s">
        <v>102</v>
      </c>
      <c r="D67">
        <v>27</v>
      </c>
      <c r="F67">
        <v>1</v>
      </c>
      <c r="G67">
        <v>0</v>
      </c>
      <c r="I67">
        <v>5</v>
      </c>
      <c r="J67">
        <v>12</v>
      </c>
      <c r="K67">
        <v>41.7</v>
      </c>
      <c r="L67">
        <v>32</v>
      </c>
      <c r="M67">
        <v>0</v>
      </c>
      <c r="N67">
        <v>0</v>
      </c>
      <c r="O67">
        <v>1</v>
      </c>
      <c r="P67">
        <v>8.3000000000000007</v>
      </c>
      <c r="Q67">
        <v>1</v>
      </c>
      <c r="R67">
        <v>10</v>
      </c>
      <c r="S67">
        <v>2.7</v>
      </c>
      <c r="T67">
        <v>-1.1000000000000001</v>
      </c>
      <c r="U67">
        <v>6.4</v>
      </c>
      <c r="V67">
        <v>32</v>
      </c>
      <c r="W67">
        <v>14.6</v>
      </c>
      <c r="X67">
        <v>2.2000000000000002</v>
      </c>
      <c r="Y67">
        <v>2</v>
      </c>
      <c r="Z67">
        <v>16</v>
      </c>
      <c r="AA67">
        <v>1.1399999999999999</v>
      </c>
      <c r="AB67">
        <v>-2.0699999999999998</v>
      </c>
      <c r="AC67">
        <v>14.3</v>
      </c>
    </row>
    <row r="68" spans="1:29" x14ac:dyDescent="0.2">
      <c r="A68">
        <v>67</v>
      </c>
      <c r="B68" t="s">
        <v>155</v>
      </c>
      <c r="C68" t="s">
        <v>1257</v>
      </c>
      <c r="D68">
        <v>26</v>
      </c>
      <c r="F68">
        <v>4</v>
      </c>
      <c r="G68">
        <v>0</v>
      </c>
      <c r="I68">
        <v>7</v>
      </c>
      <c r="J68">
        <v>11</v>
      </c>
      <c r="K68">
        <v>63.6</v>
      </c>
      <c r="L68">
        <v>75</v>
      </c>
      <c r="M68">
        <v>0</v>
      </c>
      <c r="N68">
        <v>0</v>
      </c>
      <c r="O68">
        <v>0</v>
      </c>
      <c r="P68">
        <v>0</v>
      </c>
      <c r="Q68">
        <v>5</v>
      </c>
      <c r="R68">
        <v>19</v>
      </c>
      <c r="S68">
        <v>6.8</v>
      </c>
      <c r="T68">
        <v>6.8</v>
      </c>
      <c r="U68">
        <v>10.7</v>
      </c>
      <c r="V68">
        <v>18.8</v>
      </c>
      <c r="W68">
        <v>83.5</v>
      </c>
      <c r="X68">
        <v>15.6</v>
      </c>
      <c r="Y68">
        <v>2</v>
      </c>
      <c r="Z68">
        <v>11</v>
      </c>
      <c r="AA68">
        <v>4.92</v>
      </c>
      <c r="AB68">
        <v>4.92</v>
      </c>
      <c r="AC68">
        <v>15.4</v>
      </c>
    </row>
    <row r="69" spans="1:29" x14ac:dyDescent="0.2">
      <c r="A69">
        <v>68</v>
      </c>
      <c r="B69" t="s">
        <v>205</v>
      </c>
      <c r="C69" t="s">
        <v>139</v>
      </c>
      <c r="D69">
        <v>25</v>
      </c>
      <c r="F69">
        <v>1</v>
      </c>
      <c r="G69">
        <v>0</v>
      </c>
      <c r="I69">
        <v>6</v>
      </c>
      <c r="J69">
        <v>10</v>
      </c>
      <c r="K69">
        <v>60</v>
      </c>
      <c r="L69">
        <v>49</v>
      </c>
      <c r="M69">
        <v>0</v>
      </c>
      <c r="N69">
        <v>0</v>
      </c>
      <c r="O69">
        <v>1</v>
      </c>
      <c r="P69">
        <v>10</v>
      </c>
      <c r="Q69">
        <v>1</v>
      </c>
      <c r="R69">
        <v>20</v>
      </c>
      <c r="S69">
        <v>4.9000000000000004</v>
      </c>
      <c r="T69">
        <v>0.4</v>
      </c>
      <c r="U69">
        <v>8.1999999999999993</v>
      </c>
      <c r="V69">
        <v>49</v>
      </c>
      <c r="W69">
        <v>32.9</v>
      </c>
      <c r="X69">
        <v>14.7</v>
      </c>
      <c r="Y69">
        <v>1</v>
      </c>
      <c r="Z69">
        <v>10</v>
      </c>
      <c r="AA69">
        <v>3.55</v>
      </c>
      <c r="AB69">
        <v>-0.55000000000000004</v>
      </c>
      <c r="AC69">
        <v>9.1</v>
      </c>
    </row>
    <row r="70" spans="1:29" x14ac:dyDescent="0.2">
      <c r="A70">
        <v>69</v>
      </c>
      <c r="B70" t="s">
        <v>191</v>
      </c>
      <c r="C70" t="s">
        <v>82</v>
      </c>
      <c r="D70">
        <v>32</v>
      </c>
      <c r="F70">
        <v>2</v>
      </c>
      <c r="G70">
        <v>0</v>
      </c>
      <c r="I70">
        <v>5</v>
      </c>
      <c r="J70">
        <v>10</v>
      </c>
      <c r="K70">
        <v>50</v>
      </c>
      <c r="L70">
        <v>46</v>
      </c>
      <c r="M70">
        <v>0</v>
      </c>
      <c r="N70">
        <v>0</v>
      </c>
      <c r="O70">
        <v>0</v>
      </c>
      <c r="P70">
        <v>0</v>
      </c>
      <c r="Q70">
        <v>2</v>
      </c>
      <c r="R70">
        <v>24</v>
      </c>
      <c r="S70">
        <v>4.5999999999999996</v>
      </c>
      <c r="T70">
        <v>4.5999999999999996</v>
      </c>
      <c r="U70">
        <v>9.1999999999999993</v>
      </c>
      <c r="V70">
        <v>23</v>
      </c>
      <c r="W70">
        <v>62.9</v>
      </c>
      <c r="X70">
        <v>42</v>
      </c>
      <c r="Y70">
        <v>0</v>
      </c>
      <c r="Z70">
        <v>0</v>
      </c>
      <c r="AA70">
        <v>4.5999999999999996</v>
      </c>
      <c r="AB70">
        <v>4.5999999999999996</v>
      </c>
      <c r="AC70">
        <v>0</v>
      </c>
    </row>
    <row r="71" spans="1:29" x14ac:dyDescent="0.2">
      <c r="A71">
        <v>70</v>
      </c>
      <c r="B71" t="s">
        <v>1387</v>
      </c>
      <c r="C71" t="s">
        <v>725</v>
      </c>
      <c r="D71">
        <v>25</v>
      </c>
      <c r="F71">
        <v>2</v>
      </c>
      <c r="G71">
        <v>0</v>
      </c>
      <c r="I71">
        <v>3</v>
      </c>
      <c r="J71">
        <v>10</v>
      </c>
      <c r="K71">
        <v>30</v>
      </c>
      <c r="L71">
        <v>90</v>
      </c>
      <c r="M71">
        <v>1</v>
      </c>
      <c r="N71">
        <v>10</v>
      </c>
      <c r="O71">
        <v>0</v>
      </c>
      <c r="P71">
        <v>0</v>
      </c>
      <c r="Q71">
        <v>2</v>
      </c>
      <c r="R71">
        <v>70</v>
      </c>
      <c r="S71">
        <v>9</v>
      </c>
      <c r="T71">
        <v>11</v>
      </c>
      <c r="U71">
        <v>30</v>
      </c>
      <c r="V71">
        <v>45</v>
      </c>
      <c r="W71">
        <v>97.9</v>
      </c>
      <c r="X71">
        <v>35.6</v>
      </c>
      <c r="Y71">
        <v>0</v>
      </c>
      <c r="Z71">
        <v>0</v>
      </c>
      <c r="AA71">
        <v>9</v>
      </c>
      <c r="AB71">
        <v>11</v>
      </c>
      <c r="AC71">
        <v>0</v>
      </c>
    </row>
    <row r="72" spans="1:29" x14ac:dyDescent="0.2">
      <c r="A72">
        <v>71</v>
      </c>
      <c r="B72" t="s">
        <v>228</v>
      </c>
      <c r="C72" t="s">
        <v>93</v>
      </c>
      <c r="D72">
        <v>23</v>
      </c>
      <c r="F72">
        <v>1</v>
      </c>
      <c r="G72">
        <v>0</v>
      </c>
      <c r="I72">
        <v>1</v>
      </c>
      <c r="J72">
        <v>9</v>
      </c>
      <c r="K72">
        <v>11.1</v>
      </c>
      <c r="L72">
        <v>13</v>
      </c>
      <c r="M72">
        <v>0</v>
      </c>
      <c r="N72">
        <v>0</v>
      </c>
      <c r="O72">
        <v>2</v>
      </c>
      <c r="P72">
        <v>22.2</v>
      </c>
      <c r="Q72">
        <v>1</v>
      </c>
      <c r="R72">
        <v>13</v>
      </c>
      <c r="S72">
        <v>1.4</v>
      </c>
      <c r="T72">
        <v>-8.6</v>
      </c>
      <c r="U72">
        <v>13</v>
      </c>
      <c r="V72">
        <v>13</v>
      </c>
      <c r="W72">
        <v>0</v>
      </c>
      <c r="X72">
        <v>0.1</v>
      </c>
      <c r="Y72">
        <v>1</v>
      </c>
      <c r="Z72">
        <v>1</v>
      </c>
      <c r="AA72">
        <v>1.2</v>
      </c>
      <c r="AB72">
        <v>-7.8</v>
      </c>
      <c r="AC72">
        <v>10</v>
      </c>
    </row>
    <row r="73" spans="1:29" x14ac:dyDescent="0.2">
      <c r="A73">
        <v>72</v>
      </c>
      <c r="B73" t="s">
        <v>187</v>
      </c>
      <c r="C73" t="s">
        <v>107</v>
      </c>
      <c r="D73">
        <v>28</v>
      </c>
      <c r="F73">
        <v>11</v>
      </c>
      <c r="G73">
        <v>0</v>
      </c>
      <c r="I73">
        <v>2</v>
      </c>
      <c r="J73">
        <v>8</v>
      </c>
      <c r="K73">
        <v>25</v>
      </c>
      <c r="L73">
        <v>17</v>
      </c>
      <c r="M73">
        <v>0</v>
      </c>
      <c r="N73">
        <v>0</v>
      </c>
      <c r="O73">
        <v>0</v>
      </c>
      <c r="P73">
        <v>0</v>
      </c>
      <c r="Q73">
        <v>1</v>
      </c>
      <c r="R73">
        <v>13</v>
      </c>
      <c r="S73">
        <v>2.1</v>
      </c>
      <c r="T73">
        <v>2.1</v>
      </c>
      <c r="U73">
        <v>8.5</v>
      </c>
      <c r="V73">
        <v>1.5</v>
      </c>
      <c r="W73">
        <v>39.6</v>
      </c>
      <c r="X73">
        <v>65.5</v>
      </c>
      <c r="Y73">
        <v>2</v>
      </c>
      <c r="Z73">
        <v>15</v>
      </c>
      <c r="AA73">
        <v>0.2</v>
      </c>
      <c r="AB73">
        <v>0.2</v>
      </c>
      <c r="AC73">
        <v>20</v>
      </c>
    </row>
    <row r="74" spans="1:29" x14ac:dyDescent="0.2">
      <c r="A74">
        <v>73</v>
      </c>
      <c r="B74" t="s">
        <v>1388</v>
      </c>
      <c r="C74" t="s">
        <v>727</v>
      </c>
      <c r="D74">
        <v>29</v>
      </c>
      <c r="F74">
        <v>1</v>
      </c>
      <c r="G74">
        <v>0</v>
      </c>
      <c r="I74">
        <v>1</v>
      </c>
      <c r="J74">
        <v>5</v>
      </c>
      <c r="K74">
        <v>20</v>
      </c>
      <c r="L74">
        <v>18</v>
      </c>
      <c r="M74">
        <v>0</v>
      </c>
      <c r="N74">
        <v>0</v>
      </c>
      <c r="O74">
        <v>0</v>
      </c>
      <c r="P74">
        <v>0</v>
      </c>
      <c r="Q74">
        <v>1</v>
      </c>
      <c r="R74">
        <v>18</v>
      </c>
      <c r="S74">
        <v>3.6</v>
      </c>
      <c r="T74">
        <v>3.6</v>
      </c>
      <c r="U74">
        <v>18</v>
      </c>
      <c r="V74">
        <v>18</v>
      </c>
      <c r="W74">
        <v>42.1</v>
      </c>
      <c r="X74">
        <v>10</v>
      </c>
      <c r="Y74">
        <v>0</v>
      </c>
      <c r="Z74">
        <v>0</v>
      </c>
      <c r="AA74">
        <v>3.6</v>
      </c>
      <c r="AB74">
        <v>3.6</v>
      </c>
      <c r="AC74">
        <v>0</v>
      </c>
    </row>
    <row r="75" spans="1:29" x14ac:dyDescent="0.2">
      <c r="A75">
        <v>74</v>
      </c>
      <c r="B75" t="s">
        <v>1389</v>
      </c>
      <c r="C75" t="s">
        <v>99</v>
      </c>
      <c r="D75">
        <v>25</v>
      </c>
      <c r="F75">
        <v>1</v>
      </c>
      <c r="G75">
        <v>0</v>
      </c>
      <c r="I75">
        <v>4</v>
      </c>
      <c r="J75">
        <v>5</v>
      </c>
      <c r="K75">
        <v>80</v>
      </c>
      <c r="L75">
        <v>2</v>
      </c>
      <c r="M75">
        <v>0</v>
      </c>
      <c r="N75">
        <v>0</v>
      </c>
      <c r="O75">
        <v>0</v>
      </c>
      <c r="P75">
        <v>0</v>
      </c>
      <c r="Q75">
        <v>0</v>
      </c>
      <c r="R75">
        <v>3</v>
      </c>
      <c r="S75">
        <v>0.4</v>
      </c>
      <c r="T75">
        <v>0.4</v>
      </c>
      <c r="U75">
        <v>0.5</v>
      </c>
      <c r="V75">
        <v>2</v>
      </c>
      <c r="W75">
        <v>79.2</v>
      </c>
      <c r="X75">
        <v>56.4</v>
      </c>
      <c r="Y75">
        <v>0</v>
      </c>
      <c r="Z75">
        <v>0</v>
      </c>
      <c r="AA75">
        <v>0.4</v>
      </c>
      <c r="AB75">
        <v>0.4</v>
      </c>
      <c r="AC75">
        <v>0</v>
      </c>
    </row>
    <row r="76" spans="1:29" x14ac:dyDescent="0.2">
      <c r="A76">
        <v>75</v>
      </c>
      <c r="B76" t="s">
        <v>1390</v>
      </c>
      <c r="C76" t="s">
        <v>725</v>
      </c>
      <c r="D76">
        <v>22</v>
      </c>
      <c r="F76">
        <v>2</v>
      </c>
      <c r="G76">
        <v>0</v>
      </c>
      <c r="I76">
        <v>3</v>
      </c>
      <c r="J76">
        <v>5</v>
      </c>
      <c r="K76">
        <v>60</v>
      </c>
      <c r="L76">
        <v>15</v>
      </c>
      <c r="M76">
        <v>0</v>
      </c>
      <c r="N76">
        <v>0</v>
      </c>
      <c r="O76">
        <v>0</v>
      </c>
      <c r="P76">
        <v>0</v>
      </c>
      <c r="Q76">
        <v>0</v>
      </c>
      <c r="R76">
        <v>8</v>
      </c>
      <c r="S76">
        <v>3</v>
      </c>
      <c r="T76">
        <v>3</v>
      </c>
      <c r="U76">
        <v>5</v>
      </c>
      <c r="V76">
        <v>7.5</v>
      </c>
      <c r="W76">
        <v>64.599999999999994</v>
      </c>
      <c r="X76">
        <v>2</v>
      </c>
      <c r="Y76">
        <v>0</v>
      </c>
      <c r="Z76">
        <v>0</v>
      </c>
      <c r="AA76">
        <v>3</v>
      </c>
      <c r="AB76">
        <v>3</v>
      </c>
      <c r="AC76">
        <v>0</v>
      </c>
    </row>
    <row r="77" spans="1:29" x14ac:dyDescent="0.2">
      <c r="A77">
        <v>76</v>
      </c>
      <c r="B77" t="s">
        <v>1391</v>
      </c>
      <c r="C77" t="s">
        <v>933</v>
      </c>
      <c r="D77">
        <v>26</v>
      </c>
      <c r="F77">
        <v>1</v>
      </c>
      <c r="G77">
        <v>0</v>
      </c>
      <c r="I77">
        <v>3</v>
      </c>
      <c r="J77">
        <v>5</v>
      </c>
      <c r="K77">
        <v>60</v>
      </c>
      <c r="L77">
        <v>25</v>
      </c>
      <c r="M77">
        <v>0</v>
      </c>
      <c r="N77">
        <v>0</v>
      </c>
      <c r="O77">
        <v>0</v>
      </c>
      <c r="P77">
        <v>0</v>
      </c>
      <c r="Q77">
        <v>1</v>
      </c>
      <c r="R77">
        <v>12</v>
      </c>
      <c r="S77">
        <v>5</v>
      </c>
      <c r="T77">
        <v>5</v>
      </c>
      <c r="U77">
        <v>8.3000000000000007</v>
      </c>
      <c r="V77">
        <v>25</v>
      </c>
      <c r="W77">
        <v>72.900000000000006</v>
      </c>
      <c r="X77">
        <v>30.4</v>
      </c>
      <c r="Y77">
        <v>2</v>
      </c>
      <c r="Z77">
        <v>16</v>
      </c>
      <c r="AA77">
        <v>1.29</v>
      </c>
      <c r="AB77">
        <v>1.29</v>
      </c>
      <c r="AC77">
        <v>28.6</v>
      </c>
    </row>
    <row r="78" spans="1:29" x14ac:dyDescent="0.2">
      <c r="A78">
        <v>77</v>
      </c>
      <c r="B78" t="s">
        <v>208</v>
      </c>
      <c r="C78" t="s">
        <v>108</v>
      </c>
      <c r="D78">
        <v>30</v>
      </c>
      <c r="F78">
        <v>1</v>
      </c>
      <c r="G78">
        <v>0</v>
      </c>
      <c r="I78">
        <v>4</v>
      </c>
      <c r="J78">
        <v>5</v>
      </c>
      <c r="K78">
        <v>80</v>
      </c>
      <c r="L78">
        <v>33</v>
      </c>
      <c r="M78">
        <v>0</v>
      </c>
      <c r="N78">
        <v>0</v>
      </c>
      <c r="O78">
        <v>0</v>
      </c>
      <c r="P78">
        <v>0</v>
      </c>
      <c r="Q78">
        <v>3</v>
      </c>
      <c r="R78">
        <v>14</v>
      </c>
      <c r="S78">
        <v>6.6</v>
      </c>
      <c r="T78">
        <v>6.6</v>
      </c>
      <c r="U78">
        <v>8.3000000000000007</v>
      </c>
      <c r="V78">
        <v>33</v>
      </c>
      <c r="W78">
        <v>94.2</v>
      </c>
      <c r="X78">
        <v>5.2</v>
      </c>
      <c r="Y78">
        <v>1</v>
      </c>
      <c r="Z78">
        <v>3</v>
      </c>
      <c r="AA78">
        <v>5</v>
      </c>
      <c r="AB78">
        <v>5</v>
      </c>
      <c r="AC78">
        <v>16.7</v>
      </c>
    </row>
    <row r="79" spans="1:29" x14ac:dyDescent="0.2">
      <c r="A79">
        <v>78</v>
      </c>
      <c r="B79" t="s">
        <v>178</v>
      </c>
      <c r="C79" t="s">
        <v>82</v>
      </c>
      <c r="D79">
        <v>28</v>
      </c>
      <c r="E79" t="s">
        <v>83</v>
      </c>
      <c r="F79">
        <v>15</v>
      </c>
      <c r="G79">
        <v>14</v>
      </c>
      <c r="I79">
        <v>4</v>
      </c>
      <c r="J79">
        <v>4</v>
      </c>
      <c r="K79">
        <v>100</v>
      </c>
      <c r="L79">
        <v>74</v>
      </c>
      <c r="M79">
        <v>1</v>
      </c>
      <c r="N79">
        <v>25</v>
      </c>
      <c r="O79">
        <v>0</v>
      </c>
      <c r="P79">
        <v>0</v>
      </c>
      <c r="Q79">
        <v>4</v>
      </c>
      <c r="R79">
        <v>37</v>
      </c>
      <c r="S79">
        <v>18.5</v>
      </c>
      <c r="T79">
        <v>23.5</v>
      </c>
      <c r="U79">
        <v>18.5</v>
      </c>
      <c r="V79">
        <v>4.9000000000000004</v>
      </c>
      <c r="W79">
        <v>158.30000000000001</v>
      </c>
      <c r="X79">
        <v>100</v>
      </c>
      <c r="Y79">
        <v>0</v>
      </c>
      <c r="Z79">
        <v>0</v>
      </c>
      <c r="AA79">
        <v>18.5</v>
      </c>
      <c r="AB79">
        <v>23.5</v>
      </c>
      <c r="AC79">
        <v>0</v>
      </c>
    </row>
    <row r="80" spans="1:29" x14ac:dyDescent="0.2">
      <c r="A80">
        <v>79</v>
      </c>
      <c r="B80" t="s">
        <v>214</v>
      </c>
      <c r="C80" t="s">
        <v>77</v>
      </c>
      <c r="D80">
        <v>25</v>
      </c>
      <c r="F80">
        <v>6</v>
      </c>
      <c r="G80">
        <v>0</v>
      </c>
      <c r="I80">
        <v>1</v>
      </c>
      <c r="J80">
        <v>3</v>
      </c>
      <c r="K80">
        <v>33.299999999999997</v>
      </c>
      <c r="L80">
        <v>7</v>
      </c>
      <c r="M80">
        <v>0</v>
      </c>
      <c r="N80">
        <v>0</v>
      </c>
      <c r="O80">
        <v>0</v>
      </c>
      <c r="P80">
        <v>0</v>
      </c>
      <c r="Q80">
        <v>1</v>
      </c>
      <c r="R80">
        <v>7</v>
      </c>
      <c r="S80">
        <v>2.2999999999999998</v>
      </c>
      <c r="T80">
        <v>2.2999999999999998</v>
      </c>
      <c r="U80">
        <v>7</v>
      </c>
      <c r="V80">
        <v>1.2</v>
      </c>
      <c r="W80">
        <v>42.4</v>
      </c>
      <c r="X80">
        <v>71.7</v>
      </c>
      <c r="Y80">
        <v>0</v>
      </c>
      <c r="Z80">
        <v>0</v>
      </c>
      <c r="AA80">
        <v>2.33</v>
      </c>
      <c r="AB80">
        <v>2.33</v>
      </c>
      <c r="AC80">
        <v>0</v>
      </c>
    </row>
    <row r="81" spans="1:29" x14ac:dyDescent="0.2">
      <c r="A81">
        <v>80</v>
      </c>
      <c r="B81" t="s">
        <v>357</v>
      </c>
      <c r="C81" t="s">
        <v>142</v>
      </c>
      <c r="D81">
        <v>23</v>
      </c>
      <c r="E81" t="s">
        <v>1392</v>
      </c>
      <c r="F81">
        <v>10</v>
      </c>
      <c r="G81">
        <v>4</v>
      </c>
      <c r="I81">
        <v>1</v>
      </c>
      <c r="J81">
        <v>2</v>
      </c>
      <c r="K81">
        <v>50</v>
      </c>
      <c r="L81">
        <v>32</v>
      </c>
      <c r="M81">
        <v>0</v>
      </c>
      <c r="N81">
        <v>0</v>
      </c>
      <c r="O81">
        <v>0</v>
      </c>
      <c r="P81">
        <v>0</v>
      </c>
      <c r="Q81">
        <v>1</v>
      </c>
      <c r="R81">
        <v>32</v>
      </c>
      <c r="S81">
        <v>16</v>
      </c>
      <c r="T81">
        <v>16</v>
      </c>
      <c r="U81">
        <v>32</v>
      </c>
      <c r="V81">
        <v>3.2</v>
      </c>
      <c r="W81">
        <v>95.8</v>
      </c>
      <c r="X81">
        <v>40</v>
      </c>
      <c r="Y81">
        <v>0</v>
      </c>
      <c r="Z81">
        <v>0</v>
      </c>
      <c r="AA81">
        <v>16</v>
      </c>
      <c r="AB81">
        <v>16</v>
      </c>
      <c r="AC81">
        <v>0</v>
      </c>
    </row>
    <row r="82" spans="1:29" x14ac:dyDescent="0.2">
      <c r="A82">
        <v>81</v>
      </c>
      <c r="B82" t="s">
        <v>241</v>
      </c>
      <c r="C82" t="s">
        <v>74</v>
      </c>
      <c r="D82">
        <v>26</v>
      </c>
      <c r="E82" t="s">
        <v>1298</v>
      </c>
      <c r="F82">
        <v>15</v>
      </c>
      <c r="G82">
        <v>8</v>
      </c>
      <c r="I82">
        <v>1</v>
      </c>
      <c r="J82">
        <v>2</v>
      </c>
      <c r="K82">
        <v>50</v>
      </c>
      <c r="L82">
        <v>16</v>
      </c>
      <c r="M82">
        <v>0</v>
      </c>
      <c r="N82">
        <v>0</v>
      </c>
      <c r="O82">
        <v>0</v>
      </c>
      <c r="P82">
        <v>0</v>
      </c>
      <c r="Q82">
        <v>1</v>
      </c>
      <c r="R82">
        <v>16</v>
      </c>
      <c r="S82">
        <v>8</v>
      </c>
      <c r="T82">
        <v>8</v>
      </c>
      <c r="U82">
        <v>16</v>
      </c>
      <c r="V82">
        <v>1.1000000000000001</v>
      </c>
      <c r="W82">
        <v>77.099999999999994</v>
      </c>
      <c r="X82">
        <v>55.7</v>
      </c>
      <c r="Y82">
        <v>0</v>
      </c>
      <c r="Z82">
        <v>0</v>
      </c>
      <c r="AA82">
        <v>8</v>
      </c>
      <c r="AB82">
        <v>8</v>
      </c>
      <c r="AC82">
        <v>0</v>
      </c>
    </row>
    <row r="83" spans="1:29" x14ac:dyDescent="0.2">
      <c r="A83">
        <v>82</v>
      </c>
      <c r="B83" t="s">
        <v>1393</v>
      </c>
      <c r="C83" t="s">
        <v>1122</v>
      </c>
      <c r="D83">
        <v>34</v>
      </c>
      <c r="E83" t="s">
        <v>1298</v>
      </c>
      <c r="F83">
        <v>6</v>
      </c>
      <c r="G83">
        <v>1</v>
      </c>
      <c r="I83">
        <v>2</v>
      </c>
      <c r="J83">
        <v>2</v>
      </c>
      <c r="K83">
        <v>100</v>
      </c>
      <c r="L83">
        <v>38</v>
      </c>
      <c r="M83">
        <v>0</v>
      </c>
      <c r="N83">
        <v>0</v>
      </c>
      <c r="O83">
        <v>0</v>
      </c>
      <c r="P83">
        <v>0</v>
      </c>
      <c r="Q83">
        <v>2</v>
      </c>
      <c r="R83">
        <v>22</v>
      </c>
      <c r="S83">
        <v>19</v>
      </c>
      <c r="T83">
        <v>19</v>
      </c>
      <c r="U83">
        <v>19</v>
      </c>
      <c r="V83">
        <v>6.3</v>
      </c>
      <c r="W83">
        <v>118.7</v>
      </c>
      <c r="X83">
        <v>98.5</v>
      </c>
      <c r="Y83">
        <v>0</v>
      </c>
      <c r="Z83">
        <v>0</v>
      </c>
      <c r="AA83">
        <v>19</v>
      </c>
      <c r="AB83">
        <v>19</v>
      </c>
      <c r="AC83">
        <v>0</v>
      </c>
    </row>
    <row r="84" spans="1:29" x14ac:dyDescent="0.2">
      <c r="A84">
        <v>83</v>
      </c>
      <c r="B84" t="s">
        <v>251</v>
      </c>
      <c r="C84" t="s">
        <v>101</v>
      </c>
      <c r="D84">
        <v>24</v>
      </c>
      <c r="E84" t="s">
        <v>1298</v>
      </c>
      <c r="F84">
        <v>16</v>
      </c>
      <c r="G84">
        <v>8</v>
      </c>
      <c r="I84">
        <v>1</v>
      </c>
      <c r="J84">
        <v>2</v>
      </c>
      <c r="K84">
        <v>50</v>
      </c>
      <c r="L84">
        <v>39</v>
      </c>
      <c r="M84">
        <v>1</v>
      </c>
      <c r="N84">
        <v>50</v>
      </c>
      <c r="O84">
        <v>0</v>
      </c>
      <c r="P84">
        <v>0</v>
      </c>
      <c r="Q84">
        <v>1</v>
      </c>
      <c r="R84">
        <v>39</v>
      </c>
      <c r="S84">
        <v>19.5</v>
      </c>
      <c r="T84">
        <v>29.5</v>
      </c>
      <c r="U84">
        <v>39</v>
      </c>
      <c r="V84">
        <v>2.4</v>
      </c>
      <c r="W84">
        <v>135.4</v>
      </c>
      <c r="X84">
        <v>100</v>
      </c>
      <c r="Y84">
        <v>0</v>
      </c>
      <c r="Z84">
        <v>0</v>
      </c>
      <c r="AA84">
        <v>19.5</v>
      </c>
      <c r="AB84">
        <v>29.5</v>
      </c>
      <c r="AC84">
        <v>0</v>
      </c>
    </row>
    <row r="85" spans="1:29" x14ac:dyDescent="0.2">
      <c r="A85">
        <v>84</v>
      </c>
      <c r="B85" t="s">
        <v>89</v>
      </c>
      <c r="C85" t="s">
        <v>1040</v>
      </c>
      <c r="D85">
        <v>31</v>
      </c>
      <c r="E85" t="s">
        <v>88</v>
      </c>
      <c r="F85">
        <v>15</v>
      </c>
      <c r="G85">
        <v>15</v>
      </c>
      <c r="I85">
        <v>1</v>
      </c>
      <c r="J85">
        <v>2</v>
      </c>
      <c r="K85">
        <v>50</v>
      </c>
      <c r="L85">
        <v>4</v>
      </c>
      <c r="M85">
        <v>0</v>
      </c>
      <c r="N85">
        <v>0</v>
      </c>
      <c r="O85">
        <v>0</v>
      </c>
      <c r="P85">
        <v>0</v>
      </c>
      <c r="Q85">
        <v>1</v>
      </c>
      <c r="R85">
        <v>4</v>
      </c>
      <c r="S85">
        <v>2</v>
      </c>
      <c r="T85">
        <v>2</v>
      </c>
      <c r="U85">
        <v>4</v>
      </c>
      <c r="V85">
        <v>0.3</v>
      </c>
      <c r="W85">
        <v>56.2</v>
      </c>
      <c r="X85">
        <v>62.7</v>
      </c>
      <c r="Y85">
        <v>0</v>
      </c>
      <c r="Z85">
        <v>0</v>
      </c>
      <c r="AA85">
        <v>2</v>
      </c>
      <c r="AB85">
        <v>2</v>
      </c>
      <c r="AC85">
        <v>0</v>
      </c>
    </row>
    <row r="86" spans="1:29" x14ac:dyDescent="0.2">
      <c r="A86">
        <v>85</v>
      </c>
      <c r="B86" t="s">
        <v>269</v>
      </c>
      <c r="C86" t="s">
        <v>1122</v>
      </c>
      <c r="D86">
        <v>24</v>
      </c>
      <c r="E86" t="s">
        <v>1298</v>
      </c>
      <c r="F86">
        <v>14</v>
      </c>
      <c r="G86">
        <v>9</v>
      </c>
      <c r="I86">
        <v>2</v>
      </c>
      <c r="J86">
        <v>2</v>
      </c>
      <c r="K86">
        <v>100</v>
      </c>
      <c r="L86">
        <v>43</v>
      </c>
      <c r="M86">
        <v>2</v>
      </c>
      <c r="N86">
        <v>100</v>
      </c>
      <c r="O86">
        <v>0</v>
      </c>
      <c r="P86">
        <v>0</v>
      </c>
      <c r="Q86">
        <v>2</v>
      </c>
      <c r="R86">
        <v>24</v>
      </c>
      <c r="S86">
        <v>21.5</v>
      </c>
      <c r="T86">
        <v>41.5</v>
      </c>
      <c r="U86">
        <v>21.5</v>
      </c>
      <c r="V86">
        <v>3.1</v>
      </c>
      <c r="W86">
        <v>158.30000000000001</v>
      </c>
      <c r="X86">
        <v>100</v>
      </c>
      <c r="Y86">
        <v>0</v>
      </c>
      <c r="Z86">
        <v>0</v>
      </c>
      <c r="AA86">
        <v>21.5</v>
      </c>
      <c r="AB86">
        <v>41.5</v>
      </c>
      <c r="AC86">
        <v>0</v>
      </c>
    </row>
    <row r="87" spans="1:29" x14ac:dyDescent="0.2">
      <c r="A87">
        <v>86</v>
      </c>
      <c r="B87" t="s">
        <v>1395</v>
      </c>
      <c r="C87" t="s">
        <v>92</v>
      </c>
      <c r="D87">
        <v>32</v>
      </c>
      <c r="F87">
        <v>12</v>
      </c>
      <c r="G87">
        <v>4</v>
      </c>
      <c r="I87">
        <v>1</v>
      </c>
      <c r="J87">
        <v>2</v>
      </c>
      <c r="K87">
        <v>50</v>
      </c>
      <c r="L87">
        <v>18</v>
      </c>
      <c r="M87">
        <v>0</v>
      </c>
      <c r="N87">
        <v>0</v>
      </c>
      <c r="O87">
        <v>0</v>
      </c>
      <c r="P87">
        <v>0</v>
      </c>
      <c r="Q87">
        <v>1</v>
      </c>
      <c r="R87">
        <v>18</v>
      </c>
      <c r="S87">
        <v>9</v>
      </c>
      <c r="T87">
        <v>9</v>
      </c>
      <c r="U87">
        <v>18</v>
      </c>
      <c r="V87">
        <v>1.5</v>
      </c>
      <c r="W87">
        <v>81.2</v>
      </c>
      <c r="X87">
        <v>6.4</v>
      </c>
      <c r="Y87">
        <v>0</v>
      </c>
      <c r="Z87">
        <v>0</v>
      </c>
      <c r="AA87">
        <v>9</v>
      </c>
      <c r="AB87">
        <v>9</v>
      </c>
      <c r="AC87">
        <v>0</v>
      </c>
    </row>
    <row r="88" spans="1:29" x14ac:dyDescent="0.2">
      <c r="A88">
        <v>87</v>
      </c>
      <c r="B88" t="s">
        <v>1396</v>
      </c>
      <c r="C88" t="s">
        <v>729</v>
      </c>
      <c r="D88">
        <v>25</v>
      </c>
      <c r="F88">
        <v>16</v>
      </c>
      <c r="G88">
        <v>0</v>
      </c>
      <c r="I88">
        <v>2</v>
      </c>
      <c r="J88">
        <v>2</v>
      </c>
      <c r="K88">
        <v>100</v>
      </c>
      <c r="L88">
        <v>23</v>
      </c>
      <c r="M88">
        <v>1</v>
      </c>
      <c r="N88">
        <v>50</v>
      </c>
      <c r="O88">
        <v>0</v>
      </c>
      <c r="P88">
        <v>0</v>
      </c>
      <c r="Q88">
        <v>1</v>
      </c>
      <c r="R88">
        <v>12</v>
      </c>
      <c r="S88">
        <v>11.5</v>
      </c>
      <c r="T88">
        <v>21.5</v>
      </c>
      <c r="U88">
        <v>11.5</v>
      </c>
      <c r="V88">
        <v>1.4</v>
      </c>
      <c r="W88">
        <v>154.19999999999999</v>
      </c>
      <c r="X88">
        <v>99.5</v>
      </c>
      <c r="Y88">
        <v>0</v>
      </c>
      <c r="Z88">
        <v>0</v>
      </c>
      <c r="AA88">
        <v>11.5</v>
      </c>
      <c r="AB88">
        <v>21.5</v>
      </c>
      <c r="AC88">
        <v>0</v>
      </c>
    </row>
    <row r="89" spans="1:29" x14ac:dyDescent="0.2">
      <c r="A89">
        <v>88</v>
      </c>
      <c r="B89" t="s">
        <v>434</v>
      </c>
      <c r="C89" t="s">
        <v>139</v>
      </c>
      <c r="D89">
        <v>25</v>
      </c>
      <c r="E89" t="s">
        <v>1298</v>
      </c>
      <c r="F89">
        <v>14</v>
      </c>
      <c r="G89">
        <v>2</v>
      </c>
      <c r="I89">
        <v>0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V89">
        <v>0</v>
      </c>
      <c r="W89">
        <v>39.6</v>
      </c>
      <c r="X89">
        <v>1.3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">
      <c r="A90">
        <v>89</v>
      </c>
      <c r="B90" t="s">
        <v>125</v>
      </c>
      <c r="C90" t="s">
        <v>118</v>
      </c>
      <c r="D90">
        <v>28</v>
      </c>
      <c r="E90" t="s">
        <v>83</v>
      </c>
      <c r="F90">
        <v>14</v>
      </c>
      <c r="G90">
        <v>13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V90">
        <v>0</v>
      </c>
      <c r="W90">
        <v>39.6</v>
      </c>
      <c r="X90">
        <v>1.9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 x14ac:dyDescent="0.2">
      <c r="A91">
        <v>90</v>
      </c>
      <c r="B91" t="s">
        <v>265</v>
      </c>
      <c r="C91" t="s">
        <v>98</v>
      </c>
      <c r="D91">
        <v>31</v>
      </c>
      <c r="E91" t="s">
        <v>1298</v>
      </c>
      <c r="F91">
        <v>15</v>
      </c>
      <c r="G91">
        <v>10</v>
      </c>
      <c r="I91">
        <v>1</v>
      </c>
      <c r="J91">
        <v>1</v>
      </c>
      <c r="K91">
        <v>100</v>
      </c>
      <c r="L91">
        <v>20</v>
      </c>
      <c r="M91">
        <v>1</v>
      </c>
      <c r="N91">
        <v>100</v>
      </c>
      <c r="O91">
        <v>0</v>
      </c>
      <c r="P91">
        <v>0</v>
      </c>
      <c r="Q91">
        <v>1</v>
      </c>
      <c r="R91">
        <v>20</v>
      </c>
      <c r="S91">
        <v>20</v>
      </c>
      <c r="T91">
        <v>40</v>
      </c>
      <c r="U91">
        <v>20</v>
      </c>
      <c r="V91">
        <v>1.3</v>
      </c>
      <c r="W91">
        <v>158.30000000000001</v>
      </c>
      <c r="X91">
        <v>100</v>
      </c>
      <c r="Y91">
        <v>0</v>
      </c>
      <c r="Z91">
        <v>0</v>
      </c>
      <c r="AA91">
        <v>20</v>
      </c>
      <c r="AB91">
        <v>40</v>
      </c>
      <c r="AC91">
        <v>0</v>
      </c>
    </row>
    <row r="92" spans="1:29" x14ac:dyDescent="0.2">
      <c r="A92">
        <v>91</v>
      </c>
      <c r="B92" t="s">
        <v>171</v>
      </c>
      <c r="C92" t="s">
        <v>82</v>
      </c>
      <c r="D92">
        <v>28</v>
      </c>
      <c r="E92" t="s">
        <v>1298</v>
      </c>
      <c r="F92">
        <v>7</v>
      </c>
      <c r="G92">
        <v>7</v>
      </c>
      <c r="I92">
        <v>1</v>
      </c>
      <c r="J92">
        <v>1</v>
      </c>
      <c r="K92">
        <v>100</v>
      </c>
      <c r="L92">
        <v>18</v>
      </c>
      <c r="M92">
        <v>0</v>
      </c>
      <c r="N92">
        <v>0</v>
      </c>
      <c r="O92">
        <v>0</v>
      </c>
      <c r="P92">
        <v>0</v>
      </c>
      <c r="Q92">
        <v>1</v>
      </c>
      <c r="R92">
        <v>18</v>
      </c>
      <c r="S92">
        <v>18</v>
      </c>
      <c r="T92">
        <v>18</v>
      </c>
      <c r="U92">
        <v>18</v>
      </c>
      <c r="V92">
        <v>2.6</v>
      </c>
      <c r="W92">
        <v>118.7</v>
      </c>
      <c r="X92">
        <v>99.2</v>
      </c>
      <c r="Y92">
        <v>0</v>
      </c>
      <c r="Z92">
        <v>0</v>
      </c>
      <c r="AA92">
        <v>18</v>
      </c>
      <c r="AB92">
        <v>18</v>
      </c>
      <c r="AC92">
        <v>0</v>
      </c>
    </row>
    <row r="93" spans="1:29" x14ac:dyDescent="0.2">
      <c r="A93">
        <v>92</v>
      </c>
      <c r="B93" t="s">
        <v>1398</v>
      </c>
      <c r="C93" t="s">
        <v>70</v>
      </c>
      <c r="D93">
        <v>23</v>
      </c>
      <c r="E93" t="s">
        <v>1399</v>
      </c>
      <c r="F93">
        <v>16</v>
      </c>
      <c r="G93">
        <v>0</v>
      </c>
      <c r="I93">
        <v>1</v>
      </c>
      <c r="J93">
        <v>1</v>
      </c>
      <c r="K93">
        <v>100</v>
      </c>
      <c r="L93">
        <v>28</v>
      </c>
      <c r="M93">
        <v>0</v>
      </c>
      <c r="N93">
        <v>0</v>
      </c>
      <c r="O93">
        <v>0</v>
      </c>
      <c r="P93">
        <v>0</v>
      </c>
      <c r="Q93">
        <v>1</v>
      </c>
      <c r="R93">
        <v>28</v>
      </c>
      <c r="S93">
        <v>28</v>
      </c>
      <c r="T93">
        <v>28</v>
      </c>
      <c r="U93">
        <v>28</v>
      </c>
      <c r="V93">
        <v>1.8</v>
      </c>
      <c r="W93">
        <v>118.7</v>
      </c>
      <c r="X93">
        <v>99.9</v>
      </c>
      <c r="Y93">
        <v>1</v>
      </c>
      <c r="Z93">
        <v>5</v>
      </c>
      <c r="AA93">
        <v>11.5</v>
      </c>
      <c r="AB93">
        <v>11.5</v>
      </c>
      <c r="AC93">
        <v>50</v>
      </c>
    </row>
    <row r="94" spans="1:29" x14ac:dyDescent="0.2">
      <c r="A94">
        <v>93</v>
      </c>
      <c r="B94" t="s">
        <v>277</v>
      </c>
      <c r="C94" t="s">
        <v>122</v>
      </c>
      <c r="D94">
        <v>30</v>
      </c>
      <c r="E94" t="s">
        <v>1298</v>
      </c>
      <c r="F94">
        <v>10</v>
      </c>
      <c r="G94">
        <v>2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V94">
        <v>0</v>
      </c>
      <c r="W94">
        <v>39.6</v>
      </c>
      <c r="X94">
        <v>3.8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1:29" x14ac:dyDescent="0.2">
      <c r="A95">
        <v>94</v>
      </c>
      <c r="B95" t="s">
        <v>237</v>
      </c>
      <c r="C95" t="s">
        <v>71</v>
      </c>
      <c r="D95">
        <v>27</v>
      </c>
      <c r="E95" t="s">
        <v>1298</v>
      </c>
      <c r="F95">
        <v>12</v>
      </c>
      <c r="G95">
        <v>7</v>
      </c>
      <c r="I95">
        <v>1</v>
      </c>
      <c r="J95">
        <v>1</v>
      </c>
      <c r="K95">
        <v>100</v>
      </c>
      <c r="L95">
        <v>43</v>
      </c>
      <c r="M95">
        <v>1</v>
      </c>
      <c r="N95">
        <v>100</v>
      </c>
      <c r="O95">
        <v>0</v>
      </c>
      <c r="P95">
        <v>0</v>
      </c>
      <c r="Q95">
        <v>1</v>
      </c>
      <c r="R95">
        <v>43</v>
      </c>
      <c r="S95">
        <v>43</v>
      </c>
      <c r="T95">
        <v>63</v>
      </c>
      <c r="U95">
        <v>43</v>
      </c>
      <c r="V95">
        <v>3.6</v>
      </c>
      <c r="W95">
        <v>158.30000000000001</v>
      </c>
      <c r="X95">
        <v>100</v>
      </c>
      <c r="Y95">
        <v>0</v>
      </c>
      <c r="Z95">
        <v>0</v>
      </c>
      <c r="AA95">
        <v>43</v>
      </c>
      <c r="AB95">
        <v>63</v>
      </c>
      <c r="AC95">
        <v>0</v>
      </c>
    </row>
    <row r="96" spans="1:29" x14ac:dyDescent="0.2">
      <c r="A96">
        <v>95</v>
      </c>
      <c r="B96" t="s">
        <v>1400</v>
      </c>
      <c r="C96" t="s">
        <v>92</v>
      </c>
      <c r="D96">
        <v>27</v>
      </c>
      <c r="E96" t="s">
        <v>1399</v>
      </c>
      <c r="F96">
        <v>16</v>
      </c>
      <c r="G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V96">
        <v>0</v>
      </c>
      <c r="W96">
        <v>39.6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">
      <c r="A97">
        <v>96</v>
      </c>
      <c r="B97" t="s">
        <v>447</v>
      </c>
      <c r="C97" t="s">
        <v>74</v>
      </c>
      <c r="D97">
        <v>28</v>
      </c>
      <c r="E97" t="s">
        <v>1298</v>
      </c>
      <c r="F97">
        <v>16</v>
      </c>
      <c r="G97">
        <v>2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V97">
        <v>0</v>
      </c>
      <c r="W97">
        <v>39.6</v>
      </c>
      <c r="X97">
        <v>11.1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1:29" x14ac:dyDescent="0.2">
      <c r="A98">
        <v>97</v>
      </c>
      <c r="B98" t="s">
        <v>1401</v>
      </c>
      <c r="C98" t="s">
        <v>98</v>
      </c>
      <c r="D98">
        <v>25</v>
      </c>
      <c r="F98">
        <v>14</v>
      </c>
      <c r="G98">
        <v>0</v>
      </c>
      <c r="I98">
        <v>1</v>
      </c>
      <c r="J98">
        <v>1</v>
      </c>
      <c r="K98">
        <v>100</v>
      </c>
      <c r="L98">
        <v>13</v>
      </c>
      <c r="M98">
        <v>0</v>
      </c>
      <c r="N98">
        <v>0</v>
      </c>
      <c r="O98">
        <v>0</v>
      </c>
      <c r="P98">
        <v>0</v>
      </c>
      <c r="Q98">
        <v>1</v>
      </c>
      <c r="R98">
        <v>13</v>
      </c>
      <c r="S98">
        <v>13</v>
      </c>
      <c r="T98">
        <v>13</v>
      </c>
      <c r="U98">
        <v>13</v>
      </c>
      <c r="V98">
        <v>0.9</v>
      </c>
      <c r="W98">
        <v>118.7</v>
      </c>
      <c r="Y98">
        <v>0</v>
      </c>
      <c r="Z98">
        <v>0</v>
      </c>
      <c r="AA98">
        <v>13</v>
      </c>
      <c r="AB98">
        <v>13</v>
      </c>
      <c r="AC98">
        <v>0</v>
      </c>
    </row>
    <row r="99" spans="1:29" x14ac:dyDescent="0.2">
      <c r="A99">
        <v>98</v>
      </c>
      <c r="B99" t="s">
        <v>1402</v>
      </c>
      <c r="C99" t="s">
        <v>729</v>
      </c>
      <c r="D99">
        <v>31</v>
      </c>
      <c r="F99">
        <v>8</v>
      </c>
      <c r="G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V99">
        <v>0</v>
      </c>
      <c r="W99">
        <v>39.6</v>
      </c>
      <c r="Y99">
        <v>0</v>
      </c>
      <c r="Z99">
        <v>0</v>
      </c>
      <c r="AA99">
        <v>0</v>
      </c>
      <c r="AB99">
        <v>0</v>
      </c>
      <c r="AC99">
        <v>0</v>
      </c>
    </row>
    <row r="100" spans="1:29" x14ac:dyDescent="0.2">
      <c r="A100">
        <v>99</v>
      </c>
      <c r="B100" t="s">
        <v>1403</v>
      </c>
      <c r="C100" t="s">
        <v>933</v>
      </c>
      <c r="D100">
        <v>25</v>
      </c>
      <c r="E100" t="s">
        <v>1298</v>
      </c>
      <c r="F100">
        <v>16</v>
      </c>
      <c r="G100">
        <v>2</v>
      </c>
      <c r="I100">
        <v>1</v>
      </c>
      <c r="J100">
        <v>1</v>
      </c>
      <c r="K100">
        <v>100</v>
      </c>
      <c r="L100">
        <v>29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29</v>
      </c>
      <c r="S100">
        <v>29</v>
      </c>
      <c r="T100">
        <v>29</v>
      </c>
      <c r="U100">
        <v>29</v>
      </c>
      <c r="V100">
        <v>1.8</v>
      </c>
      <c r="W100">
        <v>118.7</v>
      </c>
      <c r="X100">
        <v>100</v>
      </c>
      <c r="Y100">
        <v>0</v>
      </c>
      <c r="Z100">
        <v>0</v>
      </c>
      <c r="AA100">
        <v>29</v>
      </c>
      <c r="AB100">
        <v>29</v>
      </c>
      <c r="AC100">
        <v>0</v>
      </c>
    </row>
    <row r="101" spans="1:29" x14ac:dyDescent="0.2">
      <c r="A101">
        <v>100</v>
      </c>
      <c r="B101" t="s">
        <v>1404</v>
      </c>
      <c r="C101" t="s">
        <v>77</v>
      </c>
      <c r="D101">
        <v>34</v>
      </c>
      <c r="E101" t="s">
        <v>1399</v>
      </c>
      <c r="F101">
        <v>13</v>
      </c>
      <c r="G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V101">
        <v>0</v>
      </c>
      <c r="W101">
        <v>39.6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</row>
    <row r="102" spans="1:29" x14ac:dyDescent="0.2">
      <c r="A102">
        <v>101</v>
      </c>
      <c r="B102" t="s">
        <v>1405</v>
      </c>
      <c r="C102" t="s">
        <v>725</v>
      </c>
      <c r="D102">
        <v>38</v>
      </c>
      <c r="E102" t="s">
        <v>1399</v>
      </c>
      <c r="F102">
        <v>15</v>
      </c>
      <c r="G102">
        <v>0</v>
      </c>
      <c r="I102">
        <v>1</v>
      </c>
      <c r="J102">
        <v>1</v>
      </c>
      <c r="K102">
        <v>100</v>
      </c>
      <c r="L102">
        <v>15</v>
      </c>
      <c r="M102">
        <v>0</v>
      </c>
      <c r="N102">
        <v>0</v>
      </c>
      <c r="O102">
        <v>0</v>
      </c>
      <c r="P102">
        <v>0</v>
      </c>
      <c r="Q102">
        <v>1</v>
      </c>
      <c r="R102">
        <v>15</v>
      </c>
      <c r="S102">
        <v>15</v>
      </c>
      <c r="T102">
        <v>15</v>
      </c>
      <c r="U102">
        <v>15</v>
      </c>
      <c r="V102">
        <v>1</v>
      </c>
      <c r="W102">
        <v>118.7</v>
      </c>
      <c r="Y102">
        <v>0</v>
      </c>
      <c r="Z102">
        <v>0</v>
      </c>
      <c r="AA102">
        <v>15</v>
      </c>
      <c r="AB102">
        <v>15</v>
      </c>
      <c r="AC102">
        <v>0</v>
      </c>
    </row>
    <row r="103" spans="1:29" x14ac:dyDescent="0.2">
      <c r="A103">
        <v>102</v>
      </c>
      <c r="B103" t="s">
        <v>1406</v>
      </c>
      <c r="C103" t="s">
        <v>78</v>
      </c>
      <c r="D103">
        <v>38</v>
      </c>
      <c r="E103" t="s">
        <v>1399</v>
      </c>
      <c r="F103">
        <v>16</v>
      </c>
      <c r="G103">
        <v>0</v>
      </c>
      <c r="I103">
        <v>1</v>
      </c>
      <c r="J103">
        <v>1</v>
      </c>
      <c r="K103">
        <v>100</v>
      </c>
      <c r="L103">
        <v>26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26</v>
      </c>
      <c r="S103">
        <v>26</v>
      </c>
      <c r="T103">
        <v>26</v>
      </c>
      <c r="U103">
        <v>26</v>
      </c>
      <c r="V103">
        <v>1.6</v>
      </c>
      <c r="W103">
        <v>118.7</v>
      </c>
      <c r="Y103">
        <v>0</v>
      </c>
      <c r="Z103">
        <v>0</v>
      </c>
      <c r="AA103">
        <v>26</v>
      </c>
      <c r="AB103">
        <v>26</v>
      </c>
      <c r="AC103">
        <v>0</v>
      </c>
    </row>
    <row r="104" spans="1:29" x14ac:dyDescent="0.2">
      <c r="A104">
        <v>103</v>
      </c>
      <c r="B104" t="s">
        <v>1407</v>
      </c>
      <c r="C104" t="s">
        <v>122</v>
      </c>
      <c r="D104">
        <v>30</v>
      </c>
      <c r="F104">
        <v>2</v>
      </c>
      <c r="G104">
        <v>0</v>
      </c>
      <c r="I104">
        <v>1</v>
      </c>
      <c r="J104">
        <v>1</v>
      </c>
      <c r="K104">
        <v>100</v>
      </c>
      <c r="L104">
        <v>20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20</v>
      </c>
      <c r="S104">
        <v>20</v>
      </c>
      <c r="T104">
        <v>20</v>
      </c>
      <c r="U104">
        <v>20</v>
      </c>
      <c r="V104">
        <v>10</v>
      </c>
      <c r="W104">
        <v>118.7</v>
      </c>
      <c r="X104">
        <v>0</v>
      </c>
      <c r="Y104">
        <v>1</v>
      </c>
      <c r="Z104">
        <v>12</v>
      </c>
      <c r="AA104">
        <v>4</v>
      </c>
      <c r="AB104">
        <v>4</v>
      </c>
      <c r="AC104">
        <v>50</v>
      </c>
    </row>
    <row r="105" spans="1:29" x14ac:dyDescent="0.2">
      <c r="A105">
        <v>104</v>
      </c>
      <c r="B105" t="s">
        <v>402</v>
      </c>
      <c r="C105" t="s">
        <v>98</v>
      </c>
      <c r="D105">
        <v>25</v>
      </c>
      <c r="E105" t="s">
        <v>1298</v>
      </c>
      <c r="F105">
        <v>16</v>
      </c>
      <c r="G105">
        <v>7</v>
      </c>
      <c r="I105">
        <v>1</v>
      </c>
      <c r="J105">
        <v>1</v>
      </c>
      <c r="K105">
        <v>100</v>
      </c>
      <c r="L105">
        <v>12</v>
      </c>
      <c r="M105">
        <v>1</v>
      </c>
      <c r="N105">
        <v>100</v>
      </c>
      <c r="O105">
        <v>0</v>
      </c>
      <c r="P105">
        <v>0</v>
      </c>
      <c r="Q105">
        <v>1</v>
      </c>
      <c r="R105">
        <v>12</v>
      </c>
      <c r="S105">
        <v>12</v>
      </c>
      <c r="T105">
        <v>32</v>
      </c>
      <c r="U105">
        <v>12</v>
      </c>
      <c r="V105">
        <v>0.8</v>
      </c>
      <c r="W105">
        <v>156.19999999999999</v>
      </c>
      <c r="X105">
        <v>91</v>
      </c>
      <c r="Y105">
        <v>0</v>
      </c>
      <c r="Z105">
        <v>0</v>
      </c>
      <c r="AA105">
        <v>12</v>
      </c>
      <c r="AB105">
        <v>32</v>
      </c>
      <c r="AC105">
        <v>0</v>
      </c>
    </row>
    <row r="106" spans="1:29" x14ac:dyDescent="0.2">
      <c r="A106">
        <v>105</v>
      </c>
      <c r="B106" t="s">
        <v>882</v>
      </c>
      <c r="C106" t="s">
        <v>70</v>
      </c>
      <c r="D106">
        <v>23</v>
      </c>
      <c r="E106" t="s">
        <v>83</v>
      </c>
      <c r="F106">
        <v>15</v>
      </c>
      <c r="G106">
        <v>14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V106">
        <v>0</v>
      </c>
      <c r="W106">
        <v>39.6</v>
      </c>
      <c r="Y106">
        <v>0</v>
      </c>
      <c r="Z106">
        <v>0</v>
      </c>
      <c r="AA106">
        <v>0</v>
      </c>
      <c r="AB106">
        <v>0</v>
      </c>
      <c r="AC106">
        <v>0</v>
      </c>
    </row>
    <row r="107" spans="1:29" x14ac:dyDescent="0.2">
      <c r="A107">
        <v>106</v>
      </c>
      <c r="B107" t="s">
        <v>329</v>
      </c>
      <c r="C107" t="s">
        <v>107</v>
      </c>
      <c r="D107">
        <v>26</v>
      </c>
      <c r="E107" t="s">
        <v>83</v>
      </c>
      <c r="F107">
        <v>16</v>
      </c>
      <c r="G107">
        <v>14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V107">
        <v>0</v>
      </c>
      <c r="W107">
        <v>39.6</v>
      </c>
      <c r="X107">
        <v>2.5</v>
      </c>
      <c r="Y107">
        <v>0</v>
      </c>
      <c r="Z107">
        <v>0</v>
      </c>
      <c r="AA107">
        <v>0</v>
      </c>
      <c r="AB107">
        <v>0</v>
      </c>
      <c r="AC107">
        <v>0</v>
      </c>
    </row>
    <row r="108" spans="1:29" x14ac:dyDescent="0.2">
      <c r="A108">
        <v>107</v>
      </c>
      <c r="B108" t="s">
        <v>221</v>
      </c>
      <c r="C108" t="s">
        <v>118</v>
      </c>
      <c r="D108">
        <v>25</v>
      </c>
      <c r="F108">
        <v>1</v>
      </c>
      <c r="G108">
        <v>0</v>
      </c>
      <c r="I108">
        <v>1</v>
      </c>
      <c r="J108">
        <v>1</v>
      </c>
      <c r="K108">
        <v>100</v>
      </c>
      <c r="L108">
        <v>4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4</v>
      </c>
      <c r="S108">
        <v>4</v>
      </c>
      <c r="T108">
        <v>4</v>
      </c>
      <c r="U108">
        <v>4</v>
      </c>
      <c r="V108">
        <v>4</v>
      </c>
      <c r="W108">
        <v>83.3</v>
      </c>
      <c r="X108">
        <v>1.8</v>
      </c>
      <c r="Y108">
        <v>0</v>
      </c>
      <c r="Z108">
        <v>0</v>
      </c>
      <c r="AA108">
        <v>4</v>
      </c>
      <c r="AB108">
        <v>4</v>
      </c>
      <c r="AC108">
        <v>0</v>
      </c>
    </row>
    <row r="109" spans="1:29" x14ac:dyDescent="0.2">
      <c r="A109">
        <v>108</v>
      </c>
      <c r="B109" t="s">
        <v>257</v>
      </c>
      <c r="C109" t="s">
        <v>119</v>
      </c>
      <c r="D109">
        <v>29</v>
      </c>
      <c r="E109" t="s">
        <v>88</v>
      </c>
      <c r="F109">
        <v>16</v>
      </c>
      <c r="G109">
        <v>15</v>
      </c>
      <c r="I109">
        <v>1</v>
      </c>
      <c r="J109">
        <v>1</v>
      </c>
      <c r="K109">
        <v>100</v>
      </c>
      <c r="L109">
        <v>28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28</v>
      </c>
      <c r="S109">
        <v>28</v>
      </c>
      <c r="T109">
        <v>28</v>
      </c>
      <c r="U109">
        <v>28</v>
      </c>
      <c r="V109">
        <v>1.8</v>
      </c>
      <c r="W109">
        <v>118.7</v>
      </c>
      <c r="X109">
        <v>47.7</v>
      </c>
      <c r="Y109">
        <v>0</v>
      </c>
      <c r="Z109">
        <v>0</v>
      </c>
      <c r="AA109">
        <v>28</v>
      </c>
      <c r="AB109">
        <v>28</v>
      </c>
      <c r="AC109">
        <v>0</v>
      </c>
    </row>
    <row r="110" spans="1:29" x14ac:dyDescent="0.2">
      <c r="A110">
        <v>109</v>
      </c>
      <c r="B110" t="s">
        <v>1408</v>
      </c>
      <c r="C110" t="s">
        <v>1040</v>
      </c>
      <c r="D110">
        <v>24</v>
      </c>
      <c r="E110" t="s">
        <v>1399</v>
      </c>
      <c r="F110">
        <v>16</v>
      </c>
      <c r="G110">
        <v>0</v>
      </c>
      <c r="I110">
        <v>1</v>
      </c>
      <c r="J110">
        <v>1</v>
      </c>
      <c r="K110">
        <v>100</v>
      </c>
      <c r="L110">
        <v>13</v>
      </c>
      <c r="M110">
        <v>0</v>
      </c>
      <c r="N110">
        <v>0</v>
      </c>
      <c r="O110">
        <v>0</v>
      </c>
      <c r="P110">
        <v>0</v>
      </c>
      <c r="Q110">
        <v>1</v>
      </c>
      <c r="R110">
        <v>13</v>
      </c>
      <c r="S110">
        <v>13</v>
      </c>
      <c r="T110">
        <v>13</v>
      </c>
      <c r="U110">
        <v>13</v>
      </c>
      <c r="V110">
        <v>0.8</v>
      </c>
      <c r="W110">
        <v>118.7</v>
      </c>
      <c r="X110">
        <v>13.9</v>
      </c>
      <c r="Y110">
        <v>0</v>
      </c>
      <c r="Z110">
        <v>0</v>
      </c>
      <c r="AA110">
        <v>13</v>
      </c>
      <c r="AB110">
        <v>13</v>
      </c>
      <c r="AC110">
        <v>0</v>
      </c>
    </row>
    <row r="111" spans="1:29" x14ac:dyDescent="0.2">
      <c r="A111">
        <v>110</v>
      </c>
      <c r="B111" t="s">
        <v>323</v>
      </c>
      <c r="C111" t="s">
        <v>102</v>
      </c>
      <c r="D111">
        <v>25</v>
      </c>
      <c r="E111" t="s">
        <v>1298</v>
      </c>
      <c r="F111">
        <v>16</v>
      </c>
      <c r="G111">
        <v>10</v>
      </c>
      <c r="I111">
        <v>1</v>
      </c>
      <c r="J111">
        <v>1</v>
      </c>
      <c r="K111">
        <v>100</v>
      </c>
      <c r="L111">
        <v>15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15</v>
      </c>
      <c r="S111">
        <v>15</v>
      </c>
      <c r="T111">
        <v>15</v>
      </c>
      <c r="U111">
        <v>15</v>
      </c>
      <c r="V111">
        <v>0.9</v>
      </c>
      <c r="W111">
        <v>118.7</v>
      </c>
      <c r="X111">
        <v>0.9</v>
      </c>
      <c r="Y111">
        <v>0</v>
      </c>
      <c r="Z111">
        <v>0</v>
      </c>
      <c r="AA111">
        <v>15</v>
      </c>
      <c r="AB111">
        <v>15</v>
      </c>
      <c r="AC111">
        <v>0</v>
      </c>
    </row>
    <row r="112" spans="1:29" x14ac:dyDescent="0.2">
      <c r="A112">
        <v>111</v>
      </c>
      <c r="B112" t="s">
        <v>869</v>
      </c>
      <c r="C112" t="s">
        <v>1040</v>
      </c>
      <c r="D112">
        <v>27</v>
      </c>
      <c r="E112" t="s">
        <v>1298</v>
      </c>
      <c r="F112">
        <v>10</v>
      </c>
      <c r="G112">
        <v>9</v>
      </c>
      <c r="I112">
        <v>0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1</v>
      </c>
      <c r="P112">
        <v>100</v>
      </c>
      <c r="Q112">
        <v>0</v>
      </c>
      <c r="R112">
        <v>0</v>
      </c>
      <c r="S112">
        <v>0</v>
      </c>
      <c r="T112">
        <v>-45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-45</v>
      </c>
      <c r="AC112">
        <v>0</v>
      </c>
    </row>
    <row r="113" spans="1:29" x14ac:dyDescent="0.2">
      <c r="A113">
        <v>112</v>
      </c>
      <c r="B113" t="s">
        <v>509</v>
      </c>
      <c r="C113" t="s">
        <v>119</v>
      </c>
      <c r="D113">
        <v>23</v>
      </c>
      <c r="E113" t="s">
        <v>1298</v>
      </c>
      <c r="F113">
        <v>14</v>
      </c>
      <c r="G113">
        <v>6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V113">
        <v>0</v>
      </c>
      <c r="W113">
        <v>39.6</v>
      </c>
      <c r="X113">
        <v>3.8</v>
      </c>
      <c r="Y113">
        <v>0</v>
      </c>
      <c r="Z113">
        <v>0</v>
      </c>
      <c r="AA113">
        <v>0</v>
      </c>
      <c r="AB113">
        <v>0</v>
      </c>
      <c r="AC113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CCA13-E239-804A-9FC6-7CA60AB7B355}">
  <sheetPr codeName="Sheet11"/>
  <dimension ref="A1:AE117"/>
  <sheetViews>
    <sheetView workbookViewId="0">
      <selection sqref="A1:AE1"/>
    </sheetView>
  </sheetViews>
  <sheetFormatPr baseColWidth="10" defaultRowHeight="15" x14ac:dyDescent="0.2"/>
  <cols>
    <col min="1" max="1" width="4.1640625" bestFit="1" customWidth="1"/>
    <col min="2" max="2" width="15.83203125" bestFit="1" customWidth="1"/>
    <col min="3" max="3" width="4.83203125" bestFit="1" customWidth="1"/>
    <col min="4" max="4" width="4.6640625" bestFit="1" customWidth="1"/>
    <col min="5" max="5" width="7.5" bestFit="1" customWidth="1"/>
    <col min="6" max="6" width="3.1640625" bestFit="1" customWidth="1"/>
    <col min="7" max="7" width="3.6640625" bestFit="1" customWidth="1"/>
    <col min="8" max="8" width="7.5" bestFit="1" customWidth="1"/>
    <col min="9" max="9" width="5.33203125" bestFit="1" customWidth="1"/>
    <col min="10" max="10" width="4.1640625" bestFit="1" customWidth="1"/>
    <col min="11" max="11" width="7.1640625" bestFit="1" customWidth="1"/>
    <col min="12" max="12" width="5.1640625" bestFit="1" customWidth="1"/>
    <col min="13" max="13" width="3.6640625" bestFit="1" customWidth="1"/>
    <col min="14" max="14" width="5.5" bestFit="1" customWidth="1"/>
    <col min="15" max="15" width="3.5" bestFit="1" customWidth="1"/>
    <col min="16" max="16" width="5.33203125" bestFit="1" customWidth="1"/>
    <col min="17" max="17" width="4.1640625" bestFit="1" customWidth="1"/>
    <col min="18" max="18" width="4.6640625" bestFit="1" customWidth="1"/>
    <col min="19" max="19" width="5.1640625" bestFit="1" customWidth="1"/>
    <col min="20" max="20" width="5.6640625" bestFit="1" customWidth="1"/>
    <col min="21" max="21" width="5.1640625" bestFit="1" customWidth="1"/>
    <col min="22" max="23" width="6.1640625" bestFit="1" customWidth="1"/>
    <col min="24" max="24" width="5.33203125" bestFit="1" customWidth="1"/>
    <col min="25" max="25" width="3.33203125" bestFit="1" customWidth="1"/>
    <col min="26" max="26" width="4.5" bestFit="1" customWidth="1"/>
    <col min="27" max="27" width="5.1640625" bestFit="1" customWidth="1"/>
    <col min="28" max="28" width="5.6640625" bestFit="1" customWidth="1"/>
    <col min="29" max="29" width="7" bestFit="1" customWidth="1"/>
    <col min="30" max="30" width="5" bestFit="1" customWidth="1"/>
    <col min="31" max="31" width="5.5" bestFit="1" customWidth="1"/>
  </cols>
  <sheetData>
    <row r="1" spans="1:31" ht="18" x14ac:dyDescent="0.2">
      <c r="A1" s="93" t="s">
        <v>2306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</row>
    <row r="2" spans="1:31" x14ac:dyDescent="0.2">
      <c r="A2" s="89" t="s">
        <v>902</v>
      </c>
      <c r="B2" s="89" t="s">
        <v>903</v>
      </c>
      <c r="C2" s="89" t="s">
        <v>1314</v>
      </c>
      <c r="D2" s="89" t="s">
        <v>905</v>
      </c>
      <c r="E2" s="89" t="s">
        <v>906</v>
      </c>
      <c r="F2" s="89" t="s">
        <v>1315</v>
      </c>
      <c r="G2" s="89" t="s">
        <v>1316</v>
      </c>
      <c r="H2" s="89" t="s">
        <v>1317</v>
      </c>
      <c r="I2" s="89" t="s">
        <v>1318</v>
      </c>
      <c r="J2" s="89" t="s">
        <v>1319</v>
      </c>
      <c r="K2" s="89" t="s">
        <v>1320</v>
      </c>
      <c r="L2" s="89" t="s">
        <v>799</v>
      </c>
      <c r="M2" s="89" t="s">
        <v>800</v>
      </c>
      <c r="N2" s="89" t="s">
        <v>913</v>
      </c>
      <c r="O2" s="89" t="s">
        <v>914</v>
      </c>
      <c r="P2" s="89" t="s">
        <v>915</v>
      </c>
      <c r="Q2" s="89" t="s">
        <v>1321</v>
      </c>
      <c r="R2" s="89" t="s">
        <v>917</v>
      </c>
      <c r="S2" s="89" t="s">
        <v>1322</v>
      </c>
      <c r="T2" s="89" t="s">
        <v>1323</v>
      </c>
      <c r="U2" s="89" t="s">
        <v>1324</v>
      </c>
      <c r="V2" s="89" t="s">
        <v>1325</v>
      </c>
      <c r="W2" s="89" t="s">
        <v>1326</v>
      </c>
      <c r="X2" s="89" t="s">
        <v>923</v>
      </c>
      <c r="Y2" s="89" t="s">
        <v>1327</v>
      </c>
      <c r="Z2" s="89" t="s">
        <v>799</v>
      </c>
      <c r="AA2" s="89" t="s">
        <v>928</v>
      </c>
      <c r="AB2" s="89" t="s">
        <v>1329</v>
      </c>
      <c r="AC2" s="89" t="s">
        <v>1330</v>
      </c>
      <c r="AD2" s="89" t="s">
        <v>929</v>
      </c>
      <c r="AE2" s="89" t="s">
        <v>930</v>
      </c>
    </row>
    <row r="3" spans="1:31" ht="16" x14ac:dyDescent="0.2">
      <c r="A3" s="89">
        <v>1</v>
      </c>
      <c r="B3" s="84" t="s">
        <v>1344</v>
      </c>
      <c r="C3" s="84" t="s">
        <v>122</v>
      </c>
      <c r="D3" s="83">
        <v>25</v>
      </c>
      <c r="E3" s="83" t="s">
        <v>79</v>
      </c>
      <c r="F3" s="83">
        <v>16</v>
      </c>
      <c r="G3" s="83">
        <v>16</v>
      </c>
      <c r="H3" s="85">
        <v>36628</v>
      </c>
      <c r="I3" s="83">
        <v>382</v>
      </c>
      <c r="J3" s="83">
        <v>544</v>
      </c>
      <c r="K3" s="83">
        <v>70.2</v>
      </c>
      <c r="L3" s="83">
        <v>4823</v>
      </c>
      <c r="M3" s="83">
        <v>33</v>
      </c>
      <c r="N3" s="83">
        <v>6.1</v>
      </c>
      <c r="O3" s="83">
        <v>7</v>
      </c>
      <c r="P3" s="83">
        <v>1.3</v>
      </c>
      <c r="Q3" s="83">
        <v>221</v>
      </c>
      <c r="R3" s="83">
        <v>77</v>
      </c>
      <c r="S3" s="83">
        <v>8.9</v>
      </c>
      <c r="T3" s="83">
        <v>9.5</v>
      </c>
      <c r="U3" s="83">
        <v>12.6</v>
      </c>
      <c r="V3" s="83">
        <v>301.39999999999998</v>
      </c>
      <c r="W3" s="83">
        <v>112.4</v>
      </c>
      <c r="X3" s="83">
        <v>63.7</v>
      </c>
      <c r="Y3" s="83">
        <v>49</v>
      </c>
      <c r="Z3" s="83">
        <v>293</v>
      </c>
      <c r="AA3" s="83">
        <v>8.3000000000000007</v>
      </c>
      <c r="AB3" s="83">
        <v>7.64</v>
      </c>
      <c r="AC3" s="83">
        <v>8.2200000000000006</v>
      </c>
      <c r="AD3" s="83"/>
      <c r="AE3" s="83"/>
    </row>
    <row r="4" spans="1:31" ht="16" x14ac:dyDescent="0.2">
      <c r="A4" s="89">
        <v>2</v>
      </c>
      <c r="B4" s="84" t="s">
        <v>1335</v>
      </c>
      <c r="C4" s="84" t="s">
        <v>1040</v>
      </c>
      <c r="D4" s="83">
        <v>25</v>
      </c>
      <c r="E4" s="83" t="s">
        <v>79</v>
      </c>
      <c r="F4" s="83">
        <v>15</v>
      </c>
      <c r="G4" s="83">
        <v>15</v>
      </c>
      <c r="H4" s="83" t="s">
        <v>1336</v>
      </c>
      <c r="I4" s="83">
        <v>390</v>
      </c>
      <c r="J4" s="83">
        <v>588</v>
      </c>
      <c r="K4" s="83">
        <v>66.3</v>
      </c>
      <c r="L4" s="83">
        <v>4740</v>
      </c>
      <c r="M4" s="83">
        <v>38</v>
      </c>
      <c r="N4" s="83">
        <v>6.5</v>
      </c>
      <c r="O4" s="83">
        <v>6</v>
      </c>
      <c r="P4" s="83">
        <v>1</v>
      </c>
      <c r="Q4" s="83">
        <v>238</v>
      </c>
      <c r="R4" s="83">
        <v>75</v>
      </c>
      <c r="S4" s="83">
        <v>8.1</v>
      </c>
      <c r="T4" s="83">
        <v>8.9</v>
      </c>
      <c r="U4" s="83">
        <v>12.2</v>
      </c>
      <c r="V4" s="83">
        <v>316</v>
      </c>
      <c r="W4" s="83">
        <v>108.2</v>
      </c>
      <c r="X4" s="83">
        <v>78.099999999999994</v>
      </c>
      <c r="Y4" s="83">
        <v>22</v>
      </c>
      <c r="Z4" s="83">
        <v>147</v>
      </c>
      <c r="AA4" s="83">
        <v>3.6</v>
      </c>
      <c r="AB4" s="83">
        <v>7.53</v>
      </c>
      <c r="AC4" s="83">
        <v>8.33</v>
      </c>
      <c r="AD4" s="83">
        <v>3</v>
      </c>
      <c r="AE4" s="83">
        <v>3</v>
      </c>
    </row>
    <row r="5" spans="1:31" ht="16" x14ac:dyDescent="0.2">
      <c r="A5" s="89">
        <v>3</v>
      </c>
      <c r="B5" s="84" t="s">
        <v>975</v>
      </c>
      <c r="C5" s="84" t="s">
        <v>976</v>
      </c>
      <c r="D5" s="83">
        <v>43</v>
      </c>
      <c r="E5" s="83" t="s">
        <v>79</v>
      </c>
      <c r="F5" s="83">
        <v>16</v>
      </c>
      <c r="G5" s="83">
        <v>16</v>
      </c>
      <c r="H5" s="85">
        <v>36835</v>
      </c>
      <c r="I5" s="83">
        <v>401</v>
      </c>
      <c r="J5" s="83">
        <v>610</v>
      </c>
      <c r="K5" s="83">
        <v>65.7</v>
      </c>
      <c r="L5" s="83">
        <v>4633</v>
      </c>
      <c r="M5" s="83">
        <v>40</v>
      </c>
      <c r="N5" s="83">
        <v>6.6</v>
      </c>
      <c r="O5" s="83">
        <v>12</v>
      </c>
      <c r="P5" s="83">
        <v>2</v>
      </c>
      <c r="Q5" s="83">
        <v>233</v>
      </c>
      <c r="R5" s="83">
        <v>50</v>
      </c>
      <c r="S5" s="83">
        <v>7.6</v>
      </c>
      <c r="T5" s="83">
        <v>8</v>
      </c>
      <c r="U5" s="83">
        <v>11.6</v>
      </c>
      <c r="V5" s="83">
        <v>289.60000000000002</v>
      </c>
      <c r="W5" s="83">
        <v>102.2</v>
      </c>
      <c r="X5" s="83">
        <v>66</v>
      </c>
      <c r="Y5" s="83">
        <v>21</v>
      </c>
      <c r="Z5" s="83">
        <v>143</v>
      </c>
      <c r="AA5" s="83">
        <v>3.3</v>
      </c>
      <c r="AB5" s="83">
        <v>7.12</v>
      </c>
      <c r="AC5" s="83">
        <v>7.53</v>
      </c>
      <c r="AD5" s="83">
        <v>3</v>
      </c>
      <c r="AE5" s="83">
        <v>3</v>
      </c>
    </row>
    <row r="6" spans="1:31" ht="16" x14ac:dyDescent="0.2">
      <c r="A6" s="89">
        <v>4</v>
      </c>
      <c r="B6" s="84" t="s">
        <v>128</v>
      </c>
      <c r="C6" s="84" t="s">
        <v>101</v>
      </c>
      <c r="D6" s="83">
        <v>35</v>
      </c>
      <c r="E6" s="83" t="s">
        <v>79</v>
      </c>
      <c r="F6" s="83">
        <v>16</v>
      </c>
      <c r="G6" s="83">
        <v>16</v>
      </c>
      <c r="H6" s="85">
        <v>36628</v>
      </c>
      <c r="I6" s="83">
        <v>407</v>
      </c>
      <c r="J6" s="83">
        <v>626</v>
      </c>
      <c r="K6" s="83">
        <v>65</v>
      </c>
      <c r="L6" s="83">
        <v>4581</v>
      </c>
      <c r="M6" s="83">
        <v>26</v>
      </c>
      <c r="N6" s="83">
        <v>4.2</v>
      </c>
      <c r="O6" s="83">
        <v>11</v>
      </c>
      <c r="P6" s="83">
        <v>1.8</v>
      </c>
      <c r="Q6" s="83">
        <v>242</v>
      </c>
      <c r="R6" s="83">
        <v>63</v>
      </c>
      <c r="S6" s="83">
        <v>7.3</v>
      </c>
      <c r="T6" s="83">
        <v>7.4</v>
      </c>
      <c r="U6" s="83">
        <v>11.3</v>
      </c>
      <c r="V6" s="83">
        <v>286.3</v>
      </c>
      <c r="W6" s="83">
        <v>93.3</v>
      </c>
      <c r="X6" s="83">
        <v>59.8</v>
      </c>
      <c r="Y6" s="83">
        <v>41</v>
      </c>
      <c r="Z6" s="83">
        <v>257</v>
      </c>
      <c r="AA6" s="83">
        <v>6.1</v>
      </c>
      <c r="AB6" s="83">
        <v>6.48</v>
      </c>
      <c r="AC6" s="83">
        <v>6.52</v>
      </c>
      <c r="AD6" s="83"/>
      <c r="AE6" s="83"/>
    </row>
    <row r="7" spans="1:31" ht="16" x14ac:dyDescent="0.2">
      <c r="A7" s="89">
        <v>5</v>
      </c>
      <c r="B7" s="84" t="s">
        <v>1337</v>
      </c>
      <c r="C7" s="84" t="s">
        <v>98</v>
      </c>
      <c r="D7" s="83">
        <v>24</v>
      </c>
      <c r="E7" s="83" t="s">
        <v>79</v>
      </c>
      <c r="F7" s="83">
        <v>16</v>
      </c>
      <c r="G7" s="83">
        <v>16</v>
      </c>
      <c r="H7" s="83" t="s">
        <v>1338</v>
      </c>
      <c r="I7" s="83">
        <v>396</v>
      </c>
      <c r="J7" s="83">
        <v>572</v>
      </c>
      <c r="K7" s="83">
        <v>69.2</v>
      </c>
      <c r="L7" s="83">
        <v>4544</v>
      </c>
      <c r="M7" s="83">
        <v>37</v>
      </c>
      <c r="N7" s="83">
        <v>6.5</v>
      </c>
      <c r="O7" s="83">
        <v>10</v>
      </c>
      <c r="P7" s="83">
        <v>1.7</v>
      </c>
      <c r="Q7" s="83">
        <v>228</v>
      </c>
      <c r="R7" s="83">
        <v>55</v>
      </c>
      <c r="S7" s="83">
        <v>7.9</v>
      </c>
      <c r="T7" s="83">
        <v>8.5</v>
      </c>
      <c r="U7" s="83">
        <v>11.5</v>
      </c>
      <c r="V7" s="83">
        <v>284</v>
      </c>
      <c r="W7" s="83">
        <v>107.2</v>
      </c>
      <c r="X7" s="83">
        <v>76.599999999999994</v>
      </c>
      <c r="Y7" s="83">
        <v>26</v>
      </c>
      <c r="Z7" s="83">
        <v>159</v>
      </c>
      <c r="AA7" s="83">
        <v>4.3</v>
      </c>
      <c r="AB7" s="83">
        <v>7.33</v>
      </c>
      <c r="AC7" s="83">
        <v>7.82</v>
      </c>
      <c r="AD7" s="83">
        <v>2</v>
      </c>
      <c r="AE7" s="83">
        <v>3</v>
      </c>
    </row>
    <row r="8" spans="1:31" ht="16" x14ac:dyDescent="0.2">
      <c r="A8" s="89">
        <v>6</v>
      </c>
      <c r="B8" s="84" t="s">
        <v>117</v>
      </c>
      <c r="C8" s="84" t="s">
        <v>118</v>
      </c>
      <c r="D8" s="83">
        <v>22</v>
      </c>
      <c r="E8" s="83" t="s">
        <v>79</v>
      </c>
      <c r="F8" s="83">
        <v>15</v>
      </c>
      <c r="G8" s="83">
        <v>15</v>
      </c>
      <c r="H8" s="85">
        <v>36686</v>
      </c>
      <c r="I8" s="83">
        <v>396</v>
      </c>
      <c r="J8" s="83">
        <v>595</v>
      </c>
      <c r="K8" s="83">
        <v>66.599999999999994</v>
      </c>
      <c r="L8" s="83">
        <v>4336</v>
      </c>
      <c r="M8" s="83">
        <v>31</v>
      </c>
      <c r="N8" s="83">
        <v>5.2</v>
      </c>
      <c r="O8" s="83">
        <v>10</v>
      </c>
      <c r="P8" s="83">
        <v>1.7</v>
      </c>
      <c r="Q8" s="83">
        <v>216</v>
      </c>
      <c r="R8" s="83">
        <v>72</v>
      </c>
      <c r="S8" s="83">
        <v>7.3</v>
      </c>
      <c r="T8" s="83">
        <v>7.6</v>
      </c>
      <c r="U8" s="83">
        <v>10.9</v>
      </c>
      <c r="V8" s="83">
        <v>289.10000000000002</v>
      </c>
      <c r="W8" s="83">
        <v>98.3</v>
      </c>
      <c r="X8" s="83">
        <v>62.6</v>
      </c>
      <c r="Y8" s="83">
        <v>32</v>
      </c>
      <c r="Z8" s="83">
        <v>218</v>
      </c>
      <c r="AA8" s="83">
        <v>5.0999999999999996</v>
      </c>
      <c r="AB8" s="83">
        <v>6.57</v>
      </c>
      <c r="AC8" s="83">
        <v>6.84</v>
      </c>
      <c r="AD8" s="83">
        <v>1</v>
      </c>
      <c r="AE8" s="83">
        <v>3</v>
      </c>
    </row>
    <row r="9" spans="1:31" ht="16" x14ac:dyDescent="0.2">
      <c r="A9" s="89">
        <v>7</v>
      </c>
      <c r="B9" s="84" t="s">
        <v>1347</v>
      </c>
      <c r="C9" s="84" t="s">
        <v>1267</v>
      </c>
      <c r="D9" s="83">
        <v>37</v>
      </c>
      <c r="E9" s="83" t="s">
        <v>79</v>
      </c>
      <c r="F9" s="83">
        <v>16</v>
      </c>
      <c r="G9" s="83">
        <v>16</v>
      </c>
      <c r="H9" s="83" t="s">
        <v>1338</v>
      </c>
      <c r="I9" s="83">
        <v>372</v>
      </c>
      <c r="J9" s="83">
        <v>526</v>
      </c>
      <c r="K9" s="83">
        <v>70.7</v>
      </c>
      <c r="L9" s="83">
        <v>4299</v>
      </c>
      <c r="M9" s="83">
        <v>48</v>
      </c>
      <c r="N9" s="83">
        <v>9.1</v>
      </c>
      <c r="O9" s="83">
        <v>5</v>
      </c>
      <c r="P9" s="83">
        <v>1</v>
      </c>
      <c r="Q9" s="83">
        <v>216</v>
      </c>
      <c r="R9" s="83">
        <v>78</v>
      </c>
      <c r="S9" s="83">
        <v>8.1999999999999993</v>
      </c>
      <c r="T9" s="83">
        <v>9.6</v>
      </c>
      <c r="U9" s="83">
        <v>11.6</v>
      </c>
      <c r="V9" s="83">
        <v>268.7</v>
      </c>
      <c r="W9" s="83">
        <v>121.5</v>
      </c>
      <c r="X9" s="83">
        <v>79.8</v>
      </c>
      <c r="Y9" s="83">
        <v>20</v>
      </c>
      <c r="Z9" s="83">
        <v>182</v>
      </c>
      <c r="AA9" s="83">
        <v>3.7</v>
      </c>
      <c r="AB9" s="83">
        <v>7.54</v>
      </c>
      <c r="AC9" s="83">
        <v>8.89</v>
      </c>
      <c r="AD9" s="83">
        <v>1</v>
      </c>
      <c r="AE9" s="83">
        <v>2</v>
      </c>
    </row>
    <row r="10" spans="1:31" ht="16" x14ac:dyDescent="0.2">
      <c r="A10" s="89">
        <v>8</v>
      </c>
      <c r="B10" s="84" t="s">
        <v>131</v>
      </c>
      <c r="C10" s="84" t="s">
        <v>73</v>
      </c>
      <c r="D10" s="83">
        <v>32</v>
      </c>
      <c r="E10" s="83" t="s">
        <v>79</v>
      </c>
      <c r="F10" s="83">
        <v>16</v>
      </c>
      <c r="G10" s="83">
        <v>16</v>
      </c>
      <c r="H10" s="85">
        <v>36716</v>
      </c>
      <c r="I10" s="83">
        <v>349</v>
      </c>
      <c r="J10" s="83">
        <v>516</v>
      </c>
      <c r="K10" s="83">
        <v>67.599999999999994</v>
      </c>
      <c r="L10" s="83">
        <v>4265</v>
      </c>
      <c r="M10" s="83">
        <v>35</v>
      </c>
      <c r="N10" s="83">
        <v>6.8</v>
      </c>
      <c r="O10" s="83">
        <v>13</v>
      </c>
      <c r="P10" s="83">
        <v>2.5</v>
      </c>
      <c r="Q10" s="83">
        <v>212</v>
      </c>
      <c r="R10" s="83">
        <v>71</v>
      </c>
      <c r="S10" s="83">
        <v>8.3000000000000007</v>
      </c>
      <c r="T10" s="83">
        <v>8.5</v>
      </c>
      <c r="U10" s="83">
        <v>12.2</v>
      </c>
      <c r="V10" s="83">
        <v>266.60000000000002</v>
      </c>
      <c r="W10" s="83">
        <v>105</v>
      </c>
      <c r="X10" s="83">
        <v>55.8</v>
      </c>
      <c r="Y10" s="83">
        <v>39</v>
      </c>
      <c r="Z10" s="83">
        <v>256</v>
      </c>
      <c r="AA10" s="83">
        <v>7</v>
      </c>
      <c r="AB10" s="83">
        <v>7.22</v>
      </c>
      <c r="AC10" s="83">
        <v>7.43</v>
      </c>
      <c r="AD10" s="83">
        <v>1</v>
      </c>
      <c r="AE10" s="83">
        <v>3</v>
      </c>
    </row>
    <row r="11" spans="1:31" ht="16" x14ac:dyDescent="0.2">
      <c r="A11" s="89">
        <v>9</v>
      </c>
      <c r="B11" s="84" t="s">
        <v>1341</v>
      </c>
      <c r="C11" s="84" t="s">
        <v>108</v>
      </c>
      <c r="D11" s="83">
        <v>32</v>
      </c>
      <c r="E11" s="83" t="s">
        <v>79</v>
      </c>
      <c r="F11" s="83">
        <v>16</v>
      </c>
      <c r="G11" s="83">
        <v>16</v>
      </c>
      <c r="H11" s="85">
        <v>36864</v>
      </c>
      <c r="I11" s="83">
        <v>384</v>
      </c>
      <c r="J11" s="83">
        <v>558</v>
      </c>
      <c r="K11" s="83">
        <v>68.8</v>
      </c>
      <c r="L11" s="83">
        <v>4212</v>
      </c>
      <c r="M11" s="83">
        <v>40</v>
      </c>
      <c r="N11" s="83">
        <v>7.2</v>
      </c>
      <c r="O11" s="83">
        <v>13</v>
      </c>
      <c r="P11" s="83">
        <v>2.2999999999999998</v>
      </c>
      <c r="Q11" s="83">
        <v>213</v>
      </c>
      <c r="R11" s="83">
        <v>62</v>
      </c>
      <c r="S11" s="83">
        <v>7.5</v>
      </c>
      <c r="T11" s="83">
        <v>7.9</v>
      </c>
      <c r="U11" s="83">
        <v>11</v>
      </c>
      <c r="V11" s="83">
        <v>263.3</v>
      </c>
      <c r="W11" s="83">
        <v>105.1</v>
      </c>
      <c r="X11" s="83">
        <v>67.099999999999994</v>
      </c>
      <c r="Y11" s="83">
        <v>47</v>
      </c>
      <c r="Z11" s="83">
        <v>301</v>
      </c>
      <c r="AA11" s="83">
        <v>7.8</v>
      </c>
      <c r="AB11" s="83">
        <v>6.46</v>
      </c>
      <c r="AC11" s="83">
        <v>6.82</v>
      </c>
      <c r="AD11" s="83">
        <v>3</v>
      </c>
      <c r="AE11" s="83">
        <v>3</v>
      </c>
    </row>
    <row r="12" spans="1:31" ht="16" x14ac:dyDescent="0.2">
      <c r="A12" s="89">
        <v>10</v>
      </c>
      <c r="B12" s="84" t="s">
        <v>1345</v>
      </c>
      <c r="C12" s="84" t="s">
        <v>107</v>
      </c>
      <c r="D12" s="83">
        <v>39</v>
      </c>
      <c r="E12" s="83" t="s">
        <v>79</v>
      </c>
      <c r="F12" s="83">
        <v>16</v>
      </c>
      <c r="G12" s="83">
        <v>16</v>
      </c>
      <c r="H12" s="85">
        <v>36835</v>
      </c>
      <c r="I12" s="83">
        <v>369</v>
      </c>
      <c r="J12" s="83">
        <v>543</v>
      </c>
      <c r="K12" s="83">
        <v>68</v>
      </c>
      <c r="L12" s="83">
        <v>4169</v>
      </c>
      <c r="M12" s="83">
        <v>24</v>
      </c>
      <c r="N12" s="83">
        <v>4.4000000000000004</v>
      </c>
      <c r="O12" s="83">
        <v>11</v>
      </c>
      <c r="P12" s="83">
        <v>2</v>
      </c>
      <c r="Q12" s="83">
        <v>200</v>
      </c>
      <c r="R12" s="83">
        <v>55</v>
      </c>
      <c r="S12" s="83">
        <v>7.7</v>
      </c>
      <c r="T12" s="83">
        <v>7.7</v>
      </c>
      <c r="U12" s="83">
        <v>11.3</v>
      </c>
      <c r="V12" s="83">
        <v>260.60000000000002</v>
      </c>
      <c r="W12" s="83">
        <v>97</v>
      </c>
      <c r="X12" s="83">
        <v>55</v>
      </c>
      <c r="Y12" s="83">
        <v>19</v>
      </c>
      <c r="Z12" s="83">
        <v>118</v>
      </c>
      <c r="AA12" s="83">
        <v>3.4</v>
      </c>
      <c r="AB12" s="83">
        <v>7.21</v>
      </c>
      <c r="AC12" s="83">
        <v>7.18</v>
      </c>
      <c r="AD12" s="83">
        <v>2</v>
      </c>
      <c r="AE12" s="83">
        <v>3</v>
      </c>
    </row>
    <row r="13" spans="1:31" ht="16" x14ac:dyDescent="0.2">
      <c r="A13" s="89">
        <v>11</v>
      </c>
      <c r="B13" s="84" t="s">
        <v>932</v>
      </c>
      <c r="C13" s="84" t="s">
        <v>933</v>
      </c>
      <c r="D13" s="83">
        <v>29</v>
      </c>
      <c r="E13" s="83" t="s">
        <v>79</v>
      </c>
      <c r="F13" s="83">
        <v>16</v>
      </c>
      <c r="G13" s="83">
        <v>16</v>
      </c>
      <c r="H13" s="85">
        <v>36746</v>
      </c>
      <c r="I13" s="83">
        <v>348</v>
      </c>
      <c r="J13" s="83">
        <v>517</v>
      </c>
      <c r="K13" s="83">
        <v>67.3</v>
      </c>
      <c r="L13" s="83">
        <v>4103</v>
      </c>
      <c r="M13" s="83">
        <v>27</v>
      </c>
      <c r="N13" s="83">
        <v>5.2</v>
      </c>
      <c r="O13" s="83">
        <v>9</v>
      </c>
      <c r="P13" s="83">
        <v>1.7</v>
      </c>
      <c r="Q13" s="83">
        <v>192</v>
      </c>
      <c r="R13" s="83">
        <v>85</v>
      </c>
      <c r="S13" s="83">
        <v>7.9</v>
      </c>
      <c r="T13" s="83">
        <v>8.1999999999999993</v>
      </c>
      <c r="U13" s="83">
        <v>11.8</v>
      </c>
      <c r="V13" s="83">
        <v>256.39999999999998</v>
      </c>
      <c r="W13" s="83">
        <v>101.4</v>
      </c>
      <c r="X13" s="83">
        <v>64.3</v>
      </c>
      <c r="Y13" s="83">
        <v>26</v>
      </c>
      <c r="Z13" s="83">
        <v>150</v>
      </c>
      <c r="AA13" s="83">
        <v>4.8</v>
      </c>
      <c r="AB13" s="83">
        <v>7.28</v>
      </c>
      <c r="AC13" s="83">
        <v>7.53</v>
      </c>
      <c r="AD13" s="83">
        <v>3</v>
      </c>
      <c r="AE13" s="83">
        <v>5</v>
      </c>
    </row>
    <row r="14" spans="1:31" ht="16" x14ac:dyDescent="0.2">
      <c r="A14" s="89">
        <v>12</v>
      </c>
      <c r="B14" s="84" t="s">
        <v>1076</v>
      </c>
      <c r="C14" s="84" t="s">
        <v>139</v>
      </c>
      <c r="D14" s="83">
        <v>32</v>
      </c>
      <c r="E14" s="83" t="s">
        <v>79</v>
      </c>
      <c r="F14" s="83">
        <v>16</v>
      </c>
      <c r="G14" s="83">
        <v>16</v>
      </c>
      <c r="H14" s="85">
        <v>36657</v>
      </c>
      <c r="I14" s="83">
        <v>339</v>
      </c>
      <c r="J14" s="83">
        <v>528</v>
      </c>
      <c r="K14" s="83">
        <v>64.2</v>
      </c>
      <c r="L14" s="83">
        <v>4084</v>
      </c>
      <c r="M14" s="83">
        <v>26</v>
      </c>
      <c r="N14" s="83">
        <v>4.9000000000000004</v>
      </c>
      <c r="O14" s="83">
        <v>10</v>
      </c>
      <c r="P14" s="83">
        <v>1.9</v>
      </c>
      <c r="Q14" s="83">
        <v>205</v>
      </c>
      <c r="R14" s="83">
        <v>73</v>
      </c>
      <c r="S14" s="83">
        <v>7.7</v>
      </c>
      <c r="T14" s="83">
        <v>7.9</v>
      </c>
      <c r="U14" s="83">
        <v>12</v>
      </c>
      <c r="V14" s="83">
        <v>255.3</v>
      </c>
      <c r="W14" s="83">
        <v>96.3</v>
      </c>
      <c r="X14" s="83">
        <v>61.3</v>
      </c>
      <c r="Y14" s="83">
        <v>38</v>
      </c>
      <c r="Z14" s="83">
        <v>254</v>
      </c>
      <c r="AA14" s="83">
        <v>6.7</v>
      </c>
      <c r="AB14" s="83">
        <v>6.77</v>
      </c>
      <c r="AC14" s="83">
        <v>6.89</v>
      </c>
      <c r="AD14" s="83">
        <v>3</v>
      </c>
      <c r="AE14" s="83">
        <v>4</v>
      </c>
    </row>
    <row r="15" spans="1:31" ht="16" x14ac:dyDescent="0.2">
      <c r="A15" s="89">
        <v>13</v>
      </c>
      <c r="B15" s="84" t="s">
        <v>1339</v>
      </c>
      <c r="C15" s="84" t="s">
        <v>78</v>
      </c>
      <c r="D15" s="83">
        <v>23</v>
      </c>
      <c r="E15" s="83" t="s">
        <v>79</v>
      </c>
      <c r="F15" s="83">
        <v>16</v>
      </c>
      <c r="G15" s="83">
        <v>16</v>
      </c>
      <c r="H15" s="85">
        <v>36746</v>
      </c>
      <c r="I15" s="83">
        <v>375</v>
      </c>
      <c r="J15" s="83">
        <v>558</v>
      </c>
      <c r="K15" s="83">
        <v>67.2</v>
      </c>
      <c r="L15" s="83">
        <v>3971</v>
      </c>
      <c r="M15" s="83">
        <v>26</v>
      </c>
      <c r="N15" s="83">
        <v>4.7</v>
      </c>
      <c r="O15" s="83">
        <v>12</v>
      </c>
      <c r="P15" s="83">
        <v>2.2000000000000002</v>
      </c>
      <c r="Q15" s="83">
        <v>205</v>
      </c>
      <c r="R15" s="83">
        <v>80</v>
      </c>
      <c r="S15" s="83">
        <v>7.1</v>
      </c>
      <c r="T15" s="83">
        <v>7.1</v>
      </c>
      <c r="U15" s="83">
        <v>10.6</v>
      </c>
      <c r="V15" s="83">
        <v>248.2</v>
      </c>
      <c r="W15" s="83">
        <v>94.3</v>
      </c>
      <c r="X15" s="83">
        <v>61.9</v>
      </c>
      <c r="Y15" s="83">
        <v>27</v>
      </c>
      <c r="Z15" s="83">
        <v>176</v>
      </c>
      <c r="AA15" s="83">
        <v>4.5999999999999996</v>
      </c>
      <c r="AB15" s="83">
        <v>6.49</v>
      </c>
      <c r="AC15" s="83">
        <v>6.45</v>
      </c>
      <c r="AD15" s="83">
        <v>3</v>
      </c>
      <c r="AE15" s="83">
        <v>4</v>
      </c>
    </row>
    <row r="16" spans="1:31" ht="16" x14ac:dyDescent="0.2">
      <c r="A16" s="89">
        <v>14</v>
      </c>
      <c r="B16" s="84" t="s">
        <v>173</v>
      </c>
      <c r="C16" s="84" t="s">
        <v>730</v>
      </c>
      <c r="D16" s="83">
        <v>26</v>
      </c>
      <c r="E16" s="83" t="s">
        <v>79</v>
      </c>
      <c r="F16" s="83">
        <v>15</v>
      </c>
      <c r="G16" s="83">
        <v>15</v>
      </c>
      <c r="H16" s="85">
        <v>36775</v>
      </c>
      <c r="I16" s="83">
        <v>370</v>
      </c>
      <c r="J16" s="83">
        <v>552</v>
      </c>
      <c r="K16" s="83">
        <v>67</v>
      </c>
      <c r="L16" s="83">
        <v>3952</v>
      </c>
      <c r="M16" s="83">
        <v>20</v>
      </c>
      <c r="N16" s="83">
        <v>3.6</v>
      </c>
      <c r="O16" s="83">
        <v>13</v>
      </c>
      <c r="P16" s="83">
        <v>2.4</v>
      </c>
      <c r="Q16" s="83">
        <v>194</v>
      </c>
      <c r="R16" s="83">
        <v>56</v>
      </c>
      <c r="S16" s="83">
        <v>7.2</v>
      </c>
      <c r="T16" s="83">
        <v>6.8</v>
      </c>
      <c r="U16" s="83">
        <v>10.7</v>
      </c>
      <c r="V16" s="83">
        <v>263.5</v>
      </c>
      <c r="W16" s="83">
        <v>90</v>
      </c>
      <c r="X16" s="83">
        <v>50.8</v>
      </c>
      <c r="Y16" s="83">
        <v>23</v>
      </c>
      <c r="Z16" s="83">
        <v>161</v>
      </c>
      <c r="AA16" s="83">
        <v>4</v>
      </c>
      <c r="AB16" s="83">
        <v>6.59</v>
      </c>
      <c r="AC16" s="83">
        <v>6.27</v>
      </c>
      <c r="AD16" s="83">
        <v>0</v>
      </c>
      <c r="AE16" s="83">
        <v>1</v>
      </c>
    </row>
    <row r="17" spans="1:31" ht="16" x14ac:dyDescent="0.2">
      <c r="A17" s="89">
        <v>15</v>
      </c>
      <c r="B17" s="84" t="s">
        <v>116</v>
      </c>
      <c r="C17" s="84" t="s">
        <v>77</v>
      </c>
      <c r="D17" s="83">
        <v>32</v>
      </c>
      <c r="E17" s="83" t="s">
        <v>79</v>
      </c>
      <c r="F17" s="83">
        <v>16</v>
      </c>
      <c r="G17" s="83">
        <v>16</v>
      </c>
      <c r="H17" s="85">
        <v>36835</v>
      </c>
      <c r="I17" s="83">
        <v>315</v>
      </c>
      <c r="J17" s="83">
        <v>481</v>
      </c>
      <c r="K17" s="83">
        <v>65.5</v>
      </c>
      <c r="L17" s="83">
        <v>3819</v>
      </c>
      <c r="M17" s="83">
        <v>33</v>
      </c>
      <c r="N17" s="83">
        <v>6.9</v>
      </c>
      <c r="O17" s="83">
        <v>7</v>
      </c>
      <c r="P17" s="83">
        <v>1.5</v>
      </c>
      <c r="Q17" s="83">
        <v>202</v>
      </c>
      <c r="R17" s="83">
        <v>75</v>
      </c>
      <c r="S17" s="83">
        <v>7.9</v>
      </c>
      <c r="T17" s="83">
        <v>8.6999999999999993</v>
      </c>
      <c r="U17" s="83">
        <v>12.1</v>
      </c>
      <c r="V17" s="83">
        <v>238.7</v>
      </c>
      <c r="W17" s="83">
        <v>106.5</v>
      </c>
      <c r="X17" s="83">
        <v>72.599999999999994</v>
      </c>
      <c r="Y17" s="83">
        <v>24</v>
      </c>
      <c r="Z17" s="83">
        <v>173</v>
      </c>
      <c r="AA17" s="83">
        <v>4.8</v>
      </c>
      <c r="AB17" s="83">
        <v>7.22</v>
      </c>
      <c r="AC17" s="83">
        <v>7.9</v>
      </c>
      <c r="AD17" s="83">
        <v>5</v>
      </c>
      <c r="AE17" s="83">
        <v>6</v>
      </c>
    </row>
    <row r="18" spans="1:31" ht="16" x14ac:dyDescent="0.2">
      <c r="A18" s="89">
        <v>16</v>
      </c>
      <c r="B18" s="84" t="s">
        <v>133</v>
      </c>
      <c r="C18" s="84" t="s">
        <v>99</v>
      </c>
      <c r="D18" s="83">
        <v>38</v>
      </c>
      <c r="E18" s="83" t="s">
        <v>79</v>
      </c>
      <c r="F18" s="83">
        <v>15</v>
      </c>
      <c r="G18" s="83">
        <v>15</v>
      </c>
      <c r="H18" s="85">
        <v>36863</v>
      </c>
      <c r="I18" s="83">
        <v>399</v>
      </c>
      <c r="J18" s="83">
        <v>608</v>
      </c>
      <c r="K18" s="83">
        <v>65.599999999999994</v>
      </c>
      <c r="L18" s="83">
        <v>3803</v>
      </c>
      <c r="M18" s="83">
        <v>33</v>
      </c>
      <c r="N18" s="83">
        <v>5.4</v>
      </c>
      <c r="O18" s="83">
        <v>10</v>
      </c>
      <c r="P18" s="83">
        <v>1.6</v>
      </c>
      <c r="Q18" s="83">
        <v>193</v>
      </c>
      <c r="R18" s="83">
        <v>84</v>
      </c>
      <c r="S18" s="83">
        <v>6.3</v>
      </c>
      <c r="T18" s="83">
        <v>6.6</v>
      </c>
      <c r="U18" s="83">
        <v>9.5</v>
      </c>
      <c r="V18" s="83">
        <v>253.5</v>
      </c>
      <c r="W18" s="83">
        <v>94.1</v>
      </c>
      <c r="X18" s="83">
        <v>52.5</v>
      </c>
      <c r="Y18" s="83">
        <v>13</v>
      </c>
      <c r="Z18" s="83">
        <v>118</v>
      </c>
      <c r="AA18" s="83">
        <v>2.1</v>
      </c>
      <c r="AB18" s="83">
        <v>5.93</v>
      </c>
      <c r="AC18" s="83">
        <v>6.27</v>
      </c>
      <c r="AD18" s="83">
        <v>4</v>
      </c>
      <c r="AE18" s="83">
        <v>4</v>
      </c>
    </row>
    <row r="19" spans="1:31" ht="16" x14ac:dyDescent="0.2">
      <c r="A19" s="89">
        <v>17</v>
      </c>
      <c r="B19" s="84" t="s">
        <v>164</v>
      </c>
      <c r="C19" s="84" t="s">
        <v>70</v>
      </c>
      <c r="D19" s="83">
        <v>28</v>
      </c>
      <c r="E19" s="83" t="s">
        <v>79</v>
      </c>
      <c r="F19" s="83">
        <v>15</v>
      </c>
      <c r="G19" s="83">
        <v>15</v>
      </c>
      <c r="H19" s="85">
        <v>36627</v>
      </c>
      <c r="I19" s="83">
        <v>340</v>
      </c>
      <c r="J19" s="83">
        <v>492</v>
      </c>
      <c r="K19" s="83">
        <v>69.099999999999994</v>
      </c>
      <c r="L19" s="83">
        <v>3733</v>
      </c>
      <c r="M19" s="83">
        <v>15</v>
      </c>
      <c r="N19" s="83">
        <v>3</v>
      </c>
      <c r="O19" s="83">
        <v>11</v>
      </c>
      <c r="P19" s="83">
        <v>2.2000000000000002</v>
      </c>
      <c r="Q19" s="83">
        <v>174</v>
      </c>
      <c r="R19" s="83">
        <v>75</v>
      </c>
      <c r="S19" s="83">
        <v>7.6</v>
      </c>
      <c r="T19" s="83">
        <v>7.2</v>
      </c>
      <c r="U19" s="83">
        <v>11</v>
      </c>
      <c r="V19" s="83">
        <v>248.9</v>
      </c>
      <c r="W19" s="83">
        <v>92.1</v>
      </c>
      <c r="X19" s="83">
        <v>56.8</v>
      </c>
      <c r="Y19" s="83">
        <v>31</v>
      </c>
      <c r="Z19" s="83">
        <v>205</v>
      </c>
      <c r="AA19" s="83">
        <v>5.9</v>
      </c>
      <c r="AB19" s="83">
        <v>6.75</v>
      </c>
      <c r="AC19" s="83">
        <v>6.37</v>
      </c>
      <c r="AD19" s="83"/>
      <c r="AE19" s="83"/>
    </row>
    <row r="20" spans="1:31" ht="16" x14ac:dyDescent="0.2">
      <c r="A20" s="89">
        <v>18</v>
      </c>
      <c r="B20" s="84" t="s">
        <v>134</v>
      </c>
      <c r="C20" s="84" t="s">
        <v>82</v>
      </c>
      <c r="D20" s="83">
        <v>25</v>
      </c>
      <c r="E20" s="83" t="s">
        <v>79</v>
      </c>
      <c r="F20" s="83">
        <v>16</v>
      </c>
      <c r="G20" s="83">
        <v>16</v>
      </c>
      <c r="H20" s="85">
        <v>36835</v>
      </c>
      <c r="I20" s="83">
        <v>305</v>
      </c>
      <c r="J20" s="83">
        <v>486</v>
      </c>
      <c r="K20" s="83">
        <v>62.8</v>
      </c>
      <c r="L20" s="83">
        <v>3563</v>
      </c>
      <c r="M20" s="83">
        <v>26</v>
      </c>
      <c r="N20" s="83">
        <v>5.3</v>
      </c>
      <c r="O20" s="83">
        <v>8</v>
      </c>
      <c r="P20" s="83">
        <v>1.6</v>
      </c>
      <c r="Q20" s="83">
        <v>188</v>
      </c>
      <c r="R20" s="83">
        <v>75</v>
      </c>
      <c r="S20" s="83">
        <v>7.3</v>
      </c>
      <c r="T20" s="83">
        <v>7.7</v>
      </c>
      <c r="U20" s="83">
        <v>11.7</v>
      </c>
      <c r="V20" s="83">
        <v>222.7</v>
      </c>
      <c r="W20" s="83">
        <v>95.9</v>
      </c>
      <c r="X20" s="83">
        <v>65.5</v>
      </c>
      <c r="Y20" s="83">
        <v>26</v>
      </c>
      <c r="Z20" s="83">
        <v>162</v>
      </c>
      <c r="AA20" s="83">
        <v>5.0999999999999996</v>
      </c>
      <c r="AB20" s="83">
        <v>6.64</v>
      </c>
      <c r="AC20" s="83">
        <v>6.96</v>
      </c>
      <c r="AD20" s="83">
        <v>2</v>
      </c>
      <c r="AE20" s="83">
        <v>2</v>
      </c>
    </row>
    <row r="21" spans="1:31" ht="16" x14ac:dyDescent="0.2">
      <c r="A21" s="89">
        <v>19</v>
      </c>
      <c r="B21" s="84" t="s">
        <v>154</v>
      </c>
      <c r="C21" s="84" t="s">
        <v>92</v>
      </c>
      <c r="D21" s="83">
        <v>23</v>
      </c>
      <c r="E21" s="83" t="s">
        <v>79</v>
      </c>
      <c r="F21" s="83">
        <v>14</v>
      </c>
      <c r="G21" s="83">
        <v>14</v>
      </c>
      <c r="H21" s="85">
        <v>36655</v>
      </c>
      <c r="I21" s="83">
        <v>280</v>
      </c>
      <c r="J21" s="83">
        <v>448</v>
      </c>
      <c r="K21" s="83">
        <v>62.5</v>
      </c>
      <c r="L21" s="83">
        <v>2943</v>
      </c>
      <c r="M21" s="83">
        <v>11</v>
      </c>
      <c r="N21" s="83">
        <v>2.5</v>
      </c>
      <c r="O21" s="83">
        <v>10</v>
      </c>
      <c r="P21" s="83">
        <v>2.2000000000000002</v>
      </c>
      <c r="Q21" s="83">
        <v>157</v>
      </c>
      <c r="R21" s="83">
        <v>53</v>
      </c>
      <c r="S21" s="83">
        <v>6.6</v>
      </c>
      <c r="T21" s="83">
        <v>6.1</v>
      </c>
      <c r="U21" s="83">
        <v>10.5</v>
      </c>
      <c r="V21" s="83">
        <v>210.2</v>
      </c>
      <c r="W21" s="83">
        <v>80.400000000000006</v>
      </c>
      <c r="X21" s="83">
        <v>54</v>
      </c>
      <c r="Y21" s="83">
        <v>45</v>
      </c>
      <c r="Z21" s="83">
        <v>286</v>
      </c>
      <c r="AA21" s="83">
        <v>9.1</v>
      </c>
      <c r="AB21" s="83">
        <v>5.39</v>
      </c>
      <c r="AC21" s="83">
        <v>4.92</v>
      </c>
      <c r="AD21" s="83">
        <v>0</v>
      </c>
      <c r="AE21" s="83">
        <v>0</v>
      </c>
    </row>
    <row r="22" spans="1:31" ht="16" x14ac:dyDescent="0.2">
      <c r="A22" s="89">
        <v>20</v>
      </c>
      <c r="B22" s="84" t="s">
        <v>1354</v>
      </c>
      <c r="C22" s="84" t="s">
        <v>1257</v>
      </c>
      <c r="D22" s="83">
        <v>41</v>
      </c>
      <c r="E22" s="83" t="s">
        <v>79</v>
      </c>
      <c r="F22" s="83">
        <v>12</v>
      </c>
      <c r="G22" s="83">
        <v>12</v>
      </c>
      <c r="H22" s="85">
        <v>36772</v>
      </c>
      <c r="I22" s="83">
        <v>275</v>
      </c>
      <c r="J22" s="83">
        <v>390</v>
      </c>
      <c r="K22" s="83">
        <v>70.5</v>
      </c>
      <c r="L22" s="83">
        <v>2942</v>
      </c>
      <c r="M22" s="83">
        <v>24</v>
      </c>
      <c r="N22" s="83">
        <v>6.2</v>
      </c>
      <c r="O22" s="83">
        <v>6</v>
      </c>
      <c r="P22" s="83">
        <v>1.5</v>
      </c>
      <c r="Q22" s="83">
        <v>149</v>
      </c>
      <c r="R22" s="83">
        <v>52</v>
      </c>
      <c r="S22" s="83">
        <v>7.5</v>
      </c>
      <c r="T22" s="83">
        <v>8.1</v>
      </c>
      <c r="U22" s="83">
        <v>10.7</v>
      </c>
      <c r="V22" s="83">
        <v>245.2</v>
      </c>
      <c r="W22" s="83">
        <v>106.4</v>
      </c>
      <c r="X22" s="83">
        <v>68.3</v>
      </c>
      <c r="Y22" s="83">
        <v>13</v>
      </c>
      <c r="Z22" s="83">
        <v>89</v>
      </c>
      <c r="AA22" s="83">
        <v>3.2</v>
      </c>
      <c r="AB22" s="83">
        <v>7.08</v>
      </c>
      <c r="AC22" s="83">
        <v>7.6</v>
      </c>
      <c r="AD22" s="83">
        <v>1</v>
      </c>
      <c r="AE22" s="83">
        <v>3</v>
      </c>
    </row>
    <row r="23" spans="1:31" ht="16" x14ac:dyDescent="0.2">
      <c r="A23" s="89">
        <v>21</v>
      </c>
      <c r="B23" s="84" t="s">
        <v>165</v>
      </c>
      <c r="C23" s="84" t="s">
        <v>93</v>
      </c>
      <c r="D23" s="83">
        <v>24</v>
      </c>
      <c r="E23" s="83" t="s">
        <v>79</v>
      </c>
      <c r="F23" s="83">
        <v>13</v>
      </c>
      <c r="G23" s="83">
        <v>13</v>
      </c>
      <c r="H23" s="85">
        <v>36625</v>
      </c>
      <c r="I23" s="83">
        <v>254</v>
      </c>
      <c r="J23" s="83">
        <v>443</v>
      </c>
      <c r="K23" s="83">
        <v>57.3</v>
      </c>
      <c r="L23" s="83">
        <v>2933</v>
      </c>
      <c r="M23" s="83">
        <v>16</v>
      </c>
      <c r="N23" s="83">
        <v>3.6</v>
      </c>
      <c r="O23" s="83">
        <v>15</v>
      </c>
      <c r="P23" s="83">
        <v>3.4</v>
      </c>
      <c r="Q23" s="83">
        <v>145</v>
      </c>
      <c r="R23" s="83">
        <v>92</v>
      </c>
      <c r="S23" s="83">
        <v>6.6</v>
      </c>
      <c r="T23" s="83">
        <v>5.8</v>
      </c>
      <c r="U23" s="83">
        <v>11.5</v>
      </c>
      <c r="V23" s="83">
        <v>225.6</v>
      </c>
      <c r="W23" s="83">
        <v>75.400000000000006</v>
      </c>
      <c r="X23" s="83">
        <v>41.2</v>
      </c>
      <c r="Y23" s="83">
        <v>19</v>
      </c>
      <c r="Z23" s="83">
        <v>123</v>
      </c>
      <c r="AA23" s="83">
        <v>4.0999999999999996</v>
      </c>
      <c r="AB23" s="83">
        <v>6.08</v>
      </c>
      <c r="AC23" s="83">
        <v>5.31</v>
      </c>
      <c r="AD23" s="83">
        <v>1</v>
      </c>
      <c r="AE23" s="83">
        <v>1</v>
      </c>
    </row>
    <row r="24" spans="1:31" ht="16" x14ac:dyDescent="0.2">
      <c r="A24" s="89">
        <v>22</v>
      </c>
      <c r="B24" s="84" t="s">
        <v>1213</v>
      </c>
      <c r="C24" s="84" t="s">
        <v>725</v>
      </c>
      <c r="D24" s="83">
        <v>23</v>
      </c>
      <c r="E24" s="83" t="s">
        <v>79</v>
      </c>
      <c r="F24" s="83">
        <v>15</v>
      </c>
      <c r="G24" s="83">
        <v>15</v>
      </c>
      <c r="H24" s="85">
        <v>36834</v>
      </c>
      <c r="I24" s="83">
        <v>242</v>
      </c>
      <c r="J24" s="83">
        <v>376</v>
      </c>
      <c r="K24" s="83">
        <v>64.400000000000006</v>
      </c>
      <c r="L24" s="83">
        <v>2757</v>
      </c>
      <c r="M24" s="83">
        <v>26</v>
      </c>
      <c r="N24" s="83">
        <v>6.9</v>
      </c>
      <c r="O24" s="83">
        <v>9</v>
      </c>
      <c r="P24" s="83">
        <v>2.4</v>
      </c>
      <c r="Q24" s="83">
        <v>138</v>
      </c>
      <c r="R24" s="83">
        <v>47</v>
      </c>
      <c r="S24" s="83">
        <v>7.3</v>
      </c>
      <c r="T24" s="83">
        <v>7.6</v>
      </c>
      <c r="U24" s="83">
        <v>11.4</v>
      </c>
      <c r="V24" s="83">
        <v>183.8</v>
      </c>
      <c r="W24" s="83">
        <v>99.3</v>
      </c>
      <c r="X24" s="83">
        <v>67.3</v>
      </c>
      <c r="Y24" s="83">
        <v>29</v>
      </c>
      <c r="Z24" s="83">
        <v>160</v>
      </c>
      <c r="AA24" s="83">
        <v>7.2</v>
      </c>
      <c r="AB24" s="83">
        <v>6.41</v>
      </c>
      <c r="AC24" s="83">
        <v>6.7</v>
      </c>
      <c r="AD24" s="83">
        <v>1</v>
      </c>
      <c r="AE24" s="83">
        <v>1</v>
      </c>
    </row>
    <row r="25" spans="1:31" ht="16" x14ac:dyDescent="0.2">
      <c r="A25" s="89">
        <v>23</v>
      </c>
      <c r="B25" s="84" t="s">
        <v>132</v>
      </c>
      <c r="C25" s="84" t="s">
        <v>74</v>
      </c>
      <c r="D25" s="83">
        <v>24</v>
      </c>
      <c r="E25" s="83" t="s">
        <v>79</v>
      </c>
      <c r="F25" s="83">
        <v>10</v>
      </c>
      <c r="G25" s="83">
        <v>10</v>
      </c>
      <c r="H25" s="85">
        <v>36929</v>
      </c>
      <c r="I25" s="83">
        <v>264</v>
      </c>
      <c r="J25" s="83">
        <v>404</v>
      </c>
      <c r="K25" s="83">
        <v>65.3</v>
      </c>
      <c r="L25" s="83">
        <v>2688</v>
      </c>
      <c r="M25" s="83">
        <v>13</v>
      </c>
      <c r="N25" s="83">
        <v>3.2</v>
      </c>
      <c r="O25" s="83">
        <v>5</v>
      </c>
      <c r="P25" s="83">
        <v>1.2</v>
      </c>
      <c r="Q25" s="83">
        <v>150</v>
      </c>
      <c r="R25" s="83">
        <v>67</v>
      </c>
      <c r="S25" s="83">
        <v>6.7</v>
      </c>
      <c r="T25" s="83">
        <v>6.7</v>
      </c>
      <c r="U25" s="83">
        <v>10.199999999999999</v>
      </c>
      <c r="V25" s="83">
        <v>268.8</v>
      </c>
      <c r="W25" s="83">
        <v>89.8</v>
      </c>
      <c r="X25" s="83">
        <v>48.5</v>
      </c>
      <c r="Y25" s="83">
        <v>32</v>
      </c>
      <c r="Z25" s="83">
        <v>231</v>
      </c>
      <c r="AA25" s="83">
        <v>7.3</v>
      </c>
      <c r="AB25" s="83">
        <v>5.64</v>
      </c>
      <c r="AC25" s="83">
        <v>5.72</v>
      </c>
      <c r="AD25" s="83"/>
      <c r="AE25" s="83"/>
    </row>
    <row r="26" spans="1:31" ht="16" x14ac:dyDescent="0.2">
      <c r="A26" s="89">
        <v>24</v>
      </c>
      <c r="B26" s="84" t="s">
        <v>140</v>
      </c>
      <c r="C26" s="84" t="s">
        <v>1122</v>
      </c>
      <c r="D26" s="83">
        <v>31</v>
      </c>
      <c r="E26" s="83" t="s">
        <v>79</v>
      </c>
      <c r="F26" s="83">
        <v>15</v>
      </c>
      <c r="G26" s="83">
        <v>15</v>
      </c>
      <c r="H26" s="85">
        <v>36715</v>
      </c>
      <c r="I26" s="83">
        <v>242</v>
      </c>
      <c r="J26" s="83">
        <v>368</v>
      </c>
      <c r="K26" s="83">
        <v>65.8</v>
      </c>
      <c r="L26" s="83">
        <v>2657</v>
      </c>
      <c r="M26" s="83">
        <v>8</v>
      </c>
      <c r="N26" s="83">
        <v>2.2000000000000002</v>
      </c>
      <c r="O26" s="83">
        <v>10</v>
      </c>
      <c r="P26" s="83">
        <v>2.7</v>
      </c>
      <c r="Q26" s="83">
        <v>133</v>
      </c>
      <c r="R26" s="83">
        <v>50</v>
      </c>
      <c r="S26" s="83">
        <v>7.2</v>
      </c>
      <c r="T26" s="83">
        <v>6.4</v>
      </c>
      <c r="U26" s="83">
        <v>11</v>
      </c>
      <c r="V26" s="83">
        <v>177.1</v>
      </c>
      <c r="W26" s="83">
        <v>82.9</v>
      </c>
      <c r="X26" s="83">
        <v>39.4</v>
      </c>
      <c r="Y26" s="83">
        <v>31</v>
      </c>
      <c r="Z26" s="83">
        <v>195</v>
      </c>
      <c r="AA26" s="83">
        <v>7.8</v>
      </c>
      <c r="AB26" s="83">
        <v>6.17</v>
      </c>
      <c r="AC26" s="83">
        <v>5.44</v>
      </c>
      <c r="AD26" s="83">
        <v>1</v>
      </c>
      <c r="AE26" s="83">
        <v>3</v>
      </c>
    </row>
    <row r="27" spans="1:31" ht="16" x14ac:dyDescent="0.2">
      <c r="A27" s="89">
        <v>25</v>
      </c>
      <c r="B27" s="84" t="s">
        <v>172</v>
      </c>
      <c r="C27" s="84" t="s">
        <v>102</v>
      </c>
      <c r="D27" s="83">
        <v>28</v>
      </c>
      <c r="E27" s="83" t="s">
        <v>79</v>
      </c>
      <c r="F27" s="83">
        <v>12</v>
      </c>
      <c r="G27" s="83">
        <v>12</v>
      </c>
      <c r="H27" s="85">
        <v>36958</v>
      </c>
      <c r="I27" s="83">
        <v>251</v>
      </c>
      <c r="J27" s="83">
        <v>437</v>
      </c>
      <c r="K27" s="83">
        <v>57.4</v>
      </c>
      <c r="L27" s="83">
        <v>2620</v>
      </c>
      <c r="M27" s="83">
        <v>16</v>
      </c>
      <c r="N27" s="83">
        <v>3.7</v>
      </c>
      <c r="O27" s="83">
        <v>15</v>
      </c>
      <c r="P27" s="83">
        <v>3.4</v>
      </c>
      <c r="Q27" s="83">
        <v>130</v>
      </c>
      <c r="R27" s="83">
        <v>59</v>
      </c>
      <c r="S27" s="83">
        <v>6</v>
      </c>
      <c r="T27" s="83">
        <v>5.2</v>
      </c>
      <c r="U27" s="83">
        <v>10.4</v>
      </c>
      <c r="V27" s="83">
        <v>218.3</v>
      </c>
      <c r="W27" s="83">
        <v>72.8</v>
      </c>
      <c r="X27" s="83">
        <v>41.9</v>
      </c>
      <c r="Y27" s="83">
        <v>50</v>
      </c>
      <c r="Z27" s="83">
        <v>326</v>
      </c>
      <c r="AA27" s="83">
        <v>10.3</v>
      </c>
      <c r="AB27" s="83">
        <v>4.71</v>
      </c>
      <c r="AC27" s="83">
        <v>3.98</v>
      </c>
      <c r="AD27" s="83">
        <v>3</v>
      </c>
      <c r="AE27" s="83">
        <v>2</v>
      </c>
    </row>
    <row r="28" spans="1:31" ht="16" x14ac:dyDescent="0.2">
      <c r="A28" s="89">
        <v>26</v>
      </c>
      <c r="B28" s="84" t="s">
        <v>216</v>
      </c>
      <c r="C28" s="84" t="s">
        <v>1087</v>
      </c>
      <c r="D28" s="83">
        <v>25</v>
      </c>
      <c r="E28" s="83" t="s">
        <v>79</v>
      </c>
      <c r="F28" s="83">
        <v>10</v>
      </c>
      <c r="G28" s="83">
        <v>8</v>
      </c>
      <c r="H28" s="85">
        <v>36562</v>
      </c>
      <c r="I28" s="83">
        <v>211</v>
      </c>
      <c r="J28" s="83">
        <v>326</v>
      </c>
      <c r="K28" s="83">
        <v>64.7</v>
      </c>
      <c r="L28" s="83">
        <v>2437</v>
      </c>
      <c r="M28" s="83">
        <v>12</v>
      </c>
      <c r="N28" s="83">
        <v>3.7</v>
      </c>
      <c r="O28" s="83">
        <v>12</v>
      </c>
      <c r="P28" s="83">
        <v>3.7</v>
      </c>
      <c r="Q28" s="83">
        <v>120</v>
      </c>
      <c r="R28" s="83">
        <v>49</v>
      </c>
      <c r="S28" s="83">
        <v>7.5</v>
      </c>
      <c r="T28" s="83">
        <v>6.6</v>
      </c>
      <c r="U28" s="83">
        <v>11.5</v>
      </c>
      <c r="V28" s="83">
        <v>243.7</v>
      </c>
      <c r="W28" s="83">
        <v>84.1</v>
      </c>
      <c r="X28" s="83">
        <v>36.299999999999997</v>
      </c>
      <c r="Y28" s="83">
        <v>19</v>
      </c>
      <c r="Z28" s="83">
        <v>139</v>
      </c>
      <c r="AA28" s="83">
        <v>5.5</v>
      </c>
      <c r="AB28" s="83">
        <v>6.66</v>
      </c>
      <c r="AC28" s="83">
        <v>5.79</v>
      </c>
      <c r="AD28" s="83">
        <v>1</v>
      </c>
      <c r="AE28" s="83">
        <v>1</v>
      </c>
    </row>
    <row r="29" spans="1:31" ht="16" customHeight="1" x14ac:dyDescent="0.2">
      <c r="A29" s="89">
        <v>27</v>
      </c>
      <c r="B29" s="84" t="s">
        <v>190</v>
      </c>
      <c r="C29" s="84" t="s">
        <v>1052</v>
      </c>
      <c r="D29" s="83">
        <v>24</v>
      </c>
      <c r="E29" s="83" t="s">
        <v>79</v>
      </c>
      <c r="F29" s="83">
        <v>9</v>
      </c>
      <c r="G29" s="83">
        <v>8</v>
      </c>
      <c r="H29" s="85">
        <v>36532</v>
      </c>
      <c r="I29" s="83">
        <v>216</v>
      </c>
      <c r="J29" s="83">
        <v>327</v>
      </c>
      <c r="K29" s="83">
        <v>66.099999999999994</v>
      </c>
      <c r="L29" s="83">
        <v>2259</v>
      </c>
      <c r="M29" s="83">
        <v>16</v>
      </c>
      <c r="N29" s="83">
        <v>4.9000000000000004</v>
      </c>
      <c r="O29" s="83">
        <v>5</v>
      </c>
      <c r="P29" s="83">
        <v>1.5</v>
      </c>
      <c r="Q29" s="83">
        <v>117</v>
      </c>
      <c r="R29" s="83">
        <v>51</v>
      </c>
      <c r="S29" s="83">
        <v>6.9</v>
      </c>
      <c r="T29" s="83">
        <v>7.2</v>
      </c>
      <c r="U29" s="83">
        <v>10.5</v>
      </c>
      <c r="V29" s="83">
        <v>251</v>
      </c>
      <c r="W29" s="83">
        <v>95.9</v>
      </c>
      <c r="X29" s="83">
        <v>44</v>
      </c>
      <c r="Y29" s="83">
        <v>27</v>
      </c>
      <c r="Z29" s="83">
        <v>147</v>
      </c>
      <c r="AA29" s="83">
        <v>7.6</v>
      </c>
      <c r="AB29" s="83">
        <v>5.97</v>
      </c>
      <c r="AC29" s="83">
        <v>6.23</v>
      </c>
      <c r="AD29" s="83">
        <v>1</v>
      </c>
      <c r="AE29" s="83">
        <v>1</v>
      </c>
    </row>
    <row r="30" spans="1:31" ht="16" x14ac:dyDescent="0.2">
      <c r="A30" s="89">
        <v>28</v>
      </c>
      <c r="B30" s="84" t="s">
        <v>168</v>
      </c>
      <c r="C30" s="84" t="s">
        <v>71</v>
      </c>
      <c r="D30" s="83">
        <v>23</v>
      </c>
      <c r="E30" s="83" t="s">
        <v>79</v>
      </c>
      <c r="F30" s="83">
        <v>12</v>
      </c>
      <c r="G30" s="83">
        <v>12</v>
      </c>
      <c r="H30" s="85">
        <v>36566</v>
      </c>
      <c r="I30" s="83">
        <v>217</v>
      </c>
      <c r="J30" s="83">
        <v>364</v>
      </c>
      <c r="K30" s="83">
        <v>59.6</v>
      </c>
      <c r="L30" s="83">
        <v>2208</v>
      </c>
      <c r="M30" s="83">
        <v>9</v>
      </c>
      <c r="N30" s="83">
        <v>2.5</v>
      </c>
      <c r="O30" s="83">
        <v>11</v>
      </c>
      <c r="P30" s="83">
        <v>3</v>
      </c>
      <c r="Q30" s="83">
        <v>109</v>
      </c>
      <c r="R30" s="83">
        <v>69</v>
      </c>
      <c r="S30" s="83">
        <v>6.1</v>
      </c>
      <c r="T30" s="83">
        <v>5.2</v>
      </c>
      <c r="U30" s="83">
        <v>10.199999999999999</v>
      </c>
      <c r="V30" s="83">
        <v>184</v>
      </c>
      <c r="W30" s="83">
        <v>72.7</v>
      </c>
      <c r="X30" s="83">
        <v>32.9</v>
      </c>
      <c r="Y30" s="83">
        <v>35</v>
      </c>
      <c r="Z30" s="83">
        <v>234</v>
      </c>
      <c r="AA30" s="83">
        <v>8.8000000000000007</v>
      </c>
      <c r="AB30" s="83">
        <v>4.95</v>
      </c>
      <c r="AC30" s="83">
        <v>4.16</v>
      </c>
      <c r="AD30" s="83"/>
      <c r="AE30" s="83"/>
    </row>
    <row r="31" spans="1:31" ht="16" x14ac:dyDescent="0.2">
      <c r="A31" s="89">
        <v>29</v>
      </c>
      <c r="B31" s="84" t="s">
        <v>1230</v>
      </c>
      <c r="C31" s="84" t="s">
        <v>729</v>
      </c>
      <c r="D31" s="83">
        <v>33</v>
      </c>
      <c r="E31" s="83" t="s">
        <v>79</v>
      </c>
      <c r="F31" s="83">
        <v>11</v>
      </c>
      <c r="G31" s="83">
        <v>9</v>
      </c>
      <c r="H31" s="85">
        <v>36621</v>
      </c>
      <c r="I31" s="83">
        <v>216</v>
      </c>
      <c r="J31" s="83">
        <v>333</v>
      </c>
      <c r="K31" s="83">
        <v>64.900000000000006</v>
      </c>
      <c r="L31" s="83">
        <v>2170</v>
      </c>
      <c r="M31" s="83">
        <v>14</v>
      </c>
      <c r="N31" s="83">
        <v>4.2</v>
      </c>
      <c r="O31" s="83">
        <v>8</v>
      </c>
      <c r="P31" s="83">
        <v>2.4</v>
      </c>
      <c r="Q31" s="83">
        <v>116</v>
      </c>
      <c r="R31" s="83">
        <v>69</v>
      </c>
      <c r="S31" s="83">
        <v>6.5</v>
      </c>
      <c r="T31" s="83">
        <v>6.3</v>
      </c>
      <c r="U31" s="83">
        <v>10</v>
      </c>
      <c r="V31" s="83">
        <v>197.3</v>
      </c>
      <c r="W31" s="83">
        <v>87.3</v>
      </c>
      <c r="X31" s="83">
        <v>46.1</v>
      </c>
      <c r="Y31" s="83">
        <v>24</v>
      </c>
      <c r="Z31" s="83">
        <v>184</v>
      </c>
      <c r="AA31" s="83">
        <v>6.7</v>
      </c>
      <c r="AB31" s="83">
        <v>5.56</v>
      </c>
      <c r="AC31" s="83">
        <v>5.34</v>
      </c>
      <c r="AD31" s="83">
        <v>2</v>
      </c>
      <c r="AE31" s="83">
        <v>3</v>
      </c>
    </row>
    <row r="32" spans="1:31" x14ac:dyDescent="0.2">
      <c r="A32" s="89" t="s">
        <v>902</v>
      </c>
      <c r="B32" s="89" t="s">
        <v>903</v>
      </c>
      <c r="C32" s="89" t="s">
        <v>1314</v>
      </c>
      <c r="D32" s="89" t="s">
        <v>905</v>
      </c>
      <c r="E32" s="89" t="s">
        <v>906</v>
      </c>
      <c r="F32" s="89" t="s">
        <v>1315</v>
      </c>
      <c r="G32" s="89" t="s">
        <v>1316</v>
      </c>
      <c r="H32" s="89" t="s">
        <v>1317</v>
      </c>
      <c r="I32" s="89" t="s">
        <v>1318</v>
      </c>
      <c r="J32" s="89" t="s">
        <v>1319</v>
      </c>
      <c r="K32" s="89" t="s">
        <v>1320</v>
      </c>
      <c r="L32" s="89" t="s">
        <v>799</v>
      </c>
      <c r="M32" s="89" t="s">
        <v>800</v>
      </c>
      <c r="N32" s="89" t="s">
        <v>913</v>
      </c>
      <c r="O32" s="89" t="s">
        <v>914</v>
      </c>
      <c r="P32" s="89" t="s">
        <v>915</v>
      </c>
      <c r="Q32" s="89" t="s">
        <v>1321</v>
      </c>
      <c r="R32" s="89" t="s">
        <v>917</v>
      </c>
      <c r="S32" s="89" t="s">
        <v>1322</v>
      </c>
      <c r="T32" s="89" t="s">
        <v>1323</v>
      </c>
      <c r="U32" s="89" t="s">
        <v>1324</v>
      </c>
      <c r="V32" s="89" t="s">
        <v>1325</v>
      </c>
      <c r="W32" s="89" t="s">
        <v>1326</v>
      </c>
      <c r="X32" s="89" t="s">
        <v>923</v>
      </c>
      <c r="Y32" s="89" t="s">
        <v>1327</v>
      </c>
      <c r="Z32" s="89" t="s">
        <v>799</v>
      </c>
      <c r="AA32" s="89" t="s">
        <v>928</v>
      </c>
      <c r="AB32" s="89" t="s">
        <v>1329</v>
      </c>
      <c r="AC32" s="89" t="s">
        <v>1330</v>
      </c>
      <c r="AD32" s="89" t="s">
        <v>929</v>
      </c>
      <c r="AE32" s="89" t="s">
        <v>930</v>
      </c>
    </row>
    <row r="33" spans="1:31" ht="16" x14ac:dyDescent="0.2">
      <c r="A33" s="89">
        <v>30</v>
      </c>
      <c r="B33" s="84" t="s">
        <v>166</v>
      </c>
      <c r="C33" s="84" t="s">
        <v>142</v>
      </c>
      <c r="D33" s="83">
        <v>38</v>
      </c>
      <c r="E33" s="83" t="s">
        <v>79</v>
      </c>
      <c r="F33" s="83">
        <v>9</v>
      </c>
      <c r="G33" s="83">
        <v>7</v>
      </c>
      <c r="H33" s="85">
        <v>36619</v>
      </c>
      <c r="I33" s="83">
        <v>183</v>
      </c>
      <c r="J33" s="83">
        <v>267</v>
      </c>
      <c r="K33" s="83">
        <v>68.5</v>
      </c>
      <c r="L33" s="83">
        <v>2091</v>
      </c>
      <c r="M33" s="83">
        <v>13</v>
      </c>
      <c r="N33" s="83">
        <v>4.9000000000000004</v>
      </c>
      <c r="O33" s="83">
        <v>8</v>
      </c>
      <c r="P33" s="83">
        <v>3</v>
      </c>
      <c r="Q33" s="83">
        <v>106</v>
      </c>
      <c r="R33" s="83">
        <v>70</v>
      </c>
      <c r="S33" s="83">
        <v>7.8</v>
      </c>
      <c r="T33" s="83">
        <v>7.5</v>
      </c>
      <c r="U33" s="83">
        <v>11.4</v>
      </c>
      <c r="V33" s="83">
        <v>232.3</v>
      </c>
      <c r="W33" s="83">
        <v>95.6</v>
      </c>
      <c r="X33" s="83">
        <v>70.900000000000006</v>
      </c>
      <c r="Y33" s="83">
        <v>14</v>
      </c>
      <c r="Z33" s="83">
        <v>65</v>
      </c>
      <c r="AA33" s="83">
        <v>5</v>
      </c>
      <c r="AB33" s="83">
        <v>7.21</v>
      </c>
      <c r="AC33" s="83">
        <v>6.85</v>
      </c>
      <c r="AD33" s="83">
        <v>1</v>
      </c>
      <c r="AE33" s="83">
        <v>1</v>
      </c>
    </row>
    <row r="34" spans="1:31" ht="16" x14ac:dyDescent="0.2">
      <c r="A34" s="89">
        <v>31</v>
      </c>
      <c r="B34" s="84" t="s">
        <v>188</v>
      </c>
      <c r="C34" s="84" t="s">
        <v>727</v>
      </c>
      <c r="D34" s="83">
        <v>26</v>
      </c>
      <c r="E34" s="83" t="s">
        <v>79</v>
      </c>
      <c r="F34" s="83">
        <v>10</v>
      </c>
      <c r="G34" s="83">
        <v>9</v>
      </c>
      <c r="H34" s="85">
        <v>36680</v>
      </c>
      <c r="I34" s="83">
        <v>199</v>
      </c>
      <c r="J34" s="83">
        <v>297</v>
      </c>
      <c r="K34" s="83">
        <v>67</v>
      </c>
      <c r="L34" s="83">
        <v>2055</v>
      </c>
      <c r="M34" s="83">
        <v>16</v>
      </c>
      <c r="N34" s="83">
        <v>5.4</v>
      </c>
      <c r="O34" s="83">
        <v>8</v>
      </c>
      <c r="P34" s="83">
        <v>2.7</v>
      </c>
      <c r="Q34" s="83">
        <v>124</v>
      </c>
      <c r="R34" s="83">
        <v>53</v>
      </c>
      <c r="S34" s="83">
        <v>6.9</v>
      </c>
      <c r="T34" s="83">
        <v>6.8</v>
      </c>
      <c r="U34" s="83">
        <v>10.3</v>
      </c>
      <c r="V34" s="83">
        <v>205.5</v>
      </c>
      <c r="W34" s="83">
        <v>93.5</v>
      </c>
      <c r="X34" s="83">
        <v>53.8</v>
      </c>
      <c r="Y34" s="83">
        <v>18</v>
      </c>
      <c r="Z34" s="83">
        <v>125</v>
      </c>
      <c r="AA34" s="83">
        <v>5.7</v>
      </c>
      <c r="AB34" s="83">
        <v>6.13</v>
      </c>
      <c r="AC34" s="83">
        <v>6</v>
      </c>
      <c r="AD34" s="83">
        <v>1</v>
      </c>
      <c r="AE34" s="83">
        <v>1</v>
      </c>
    </row>
    <row r="35" spans="1:31" ht="16" x14ac:dyDescent="0.2">
      <c r="A35" s="89">
        <v>32</v>
      </c>
      <c r="B35" s="84" t="s">
        <v>956</v>
      </c>
      <c r="C35" s="84" t="s">
        <v>729</v>
      </c>
      <c r="D35" s="83">
        <v>27</v>
      </c>
      <c r="E35" s="83" t="s">
        <v>79</v>
      </c>
      <c r="F35" s="83">
        <v>5</v>
      </c>
      <c r="G35" s="83">
        <v>5</v>
      </c>
      <c r="H35" s="85">
        <v>36559</v>
      </c>
      <c r="I35" s="83">
        <v>151</v>
      </c>
      <c r="J35" s="83">
        <v>222</v>
      </c>
      <c r="K35" s="83">
        <v>68</v>
      </c>
      <c r="L35" s="83">
        <v>1856</v>
      </c>
      <c r="M35" s="83">
        <v>9</v>
      </c>
      <c r="N35" s="83">
        <v>4.0999999999999996</v>
      </c>
      <c r="O35" s="83">
        <v>4</v>
      </c>
      <c r="P35" s="83">
        <v>1.8</v>
      </c>
      <c r="Q35" s="83">
        <v>93</v>
      </c>
      <c r="R35" s="83">
        <v>58</v>
      </c>
      <c r="S35" s="83">
        <v>8.4</v>
      </c>
      <c r="T35" s="83">
        <v>8.4</v>
      </c>
      <c r="U35" s="83">
        <v>12.3</v>
      </c>
      <c r="V35" s="83">
        <v>371.2</v>
      </c>
      <c r="W35" s="83">
        <v>99.6</v>
      </c>
      <c r="X35" s="83">
        <v>73.099999999999994</v>
      </c>
      <c r="Y35" s="83">
        <v>10</v>
      </c>
      <c r="Z35" s="83">
        <v>66</v>
      </c>
      <c r="AA35" s="83">
        <v>4.3</v>
      </c>
      <c r="AB35" s="83">
        <v>7.72</v>
      </c>
      <c r="AC35" s="83">
        <v>7.72</v>
      </c>
      <c r="AD35" s="83">
        <v>1</v>
      </c>
      <c r="AE35" s="83">
        <v>1</v>
      </c>
    </row>
    <row r="36" spans="1:31" ht="16" x14ac:dyDescent="0.2">
      <c r="A36" s="89">
        <v>33</v>
      </c>
      <c r="B36" s="84" t="s">
        <v>1362</v>
      </c>
      <c r="C36" s="84" t="s">
        <v>727</v>
      </c>
      <c r="D36" s="83">
        <v>31</v>
      </c>
      <c r="E36" s="83" t="s">
        <v>79</v>
      </c>
      <c r="F36" s="83">
        <v>9</v>
      </c>
      <c r="G36" s="83">
        <v>7</v>
      </c>
      <c r="H36" s="85">
        <v>36561</v>
      </c>
      <c r="I36" s="83">
        <v>202</v>
      </c>
      <c r="J36" s="83">
        <v>312</v>
      </c>
      <c r="K36" s="83">
        <v>64.7</v>
      </c>
      <c r="L36" s="83">
        <v>1852</v>
      </c>
      <c r="M36" s="83">
        <v>10</v>
      </c>
      <c r="N36" s="83">
        <v>3.2</v>
      </c>
      <c r="O36" s="83">
        <v>8</v>
      </c>
      <c r="P36" s="83">
        <v>2.6</v>
      </c>
      <c r="Q36" s="83">
        <v>93</v>
      </c>
      <c r="R36" s="83">
        <v>50</v>
      </c>
      <c r="S36" s="83">
        <v>5.9</v>
      </c>
      <c r="T36" s="83">
        <v>5.4</v>
      </c>
      <c r="U36" s="83">
        <v>9.1999999999999993</v>
      </c>
      <c r="V36" s="83">
        <v>205.8</v>
      </c>
      <c r="W36" s="83">
        <v>80.8</v>
      </c>
      <c r="X36" s="83">
        <v>36</v>
      </c>
      <c r="Y36" s="83">
        <v>18</v>
      </c>
      <c r="Z36" s="83">
        <v>145</v>
      </c>
      <c r="AA36" s="83">
        <v>5.5</v>
      </c>
      <c r="AB36" s="83">
        <v>5.17</v>
      </c>
      <c r="AC36" s="83">
        <v>4.6900000000000004</v>
      </c>
      <c r="AD36" s="83">
        <v>2</v>
      </c>
      <c r="AE36" s="83">
        <v>2</v>
      </c>
    </row>
    <row r="37" spans="1:31" ht="16" x14ac:dyDescent="0.2">
      <c r="A37" s="89">
        <v>34</v>
      </c>
      <c r="B37" s="84" t="s">
        <v>161</v>
      </c>
      <c r="C37" s="84" t="s">
        <v>142</v>
      </c>
      <c r="D37" s="83">
        <v>22</v>
      </c>
      <c r="E37" s="83" t="s">
        <v>79</v>
      </c>
      <c r="F37" s="83">
        <v>10</v>
      </c>
      <c r="G37" s="83">
        <v>9</v>
      </c>
      <c r="H37" s="85">
        <v>36680</v>
      </c>
      <c r="I37" s="83">
        <v>186</v>
      </c>
      <c r="J37" s="83">
        <v>290</v>
      </c>
      <c r="K37" s="83">
        <v>64.099999999999994</v>
      </c>
      <c r="L37" s="83">
        <v>1814</v>
      </c>
      <c r="M37" s="83">
        <v>11</v>
      </c>
      <c r="N37" s="83">
        <v>3.8</v>
      </c>
      <c r="O37" s="83">
        <v>5</v>
      </c>
      <c r="P37" s="83">
        <v>1.7</v>
      </c>
      <c r="Q37" s="83">
        <v>100</v>
      </c>
      <c r="R37" s="83">
        <v>35</v>
      </c>
      <c r="S37" s="83">
        <v>6.3</v>
      </c>
      <c r="T37" s="83">
        <v>6.2</v>
      </c>
      <c r="U37" s="83">
        <v>9.8000000000000007</v>
      </c>
      <c r="V37" s="83">
        <v>181.4</v>
      </c>
      <c r="W37" s="83">
        <v>87.1</v>
      </c>
      <c r="X37" s="83">
        <v>44.8</v>
      </c>
      <c r="Y37" s="83">
        <v>20</v>
      </c>
      <c r="Z37" s="83">
        <v>136</v>
      </c>
      <c r="AA37" s="83">
        <v>6.5</v>
      </c>
      <c r="AB37" s="83">
        <v>5.41</v>
      </c>
      <c r="AC37" s="83">
        <v>5.4</v>
      </c>
      <c r="AD37" s="83">
        <v>2</v>
      </c>
      <c r="AE37" s="83">
        <v>2</v>
      </c>
    </row>
    <row r="38" spans="1:31" ht="16" x14ac:dyDescent="0.2">
      <c r="A38" s="89">
        <v>35</v>
      </c>
      <c r="B38" s="84" t="s">
        <v>1366</v>
      </c>
      <c r="C38" s="84" t="s">
        <v>119</v>
      </c>
      <c r="D38" s="83">
        <v>36</v>
      </c>
      <c r="E38" s="83" t="s">
        <v>79</v>
      </c>
      <c r="F38" s="83">
        <v>8</v>
      </c>
      <c r="G38" s="83">
        <v>6</v>
      </c>
      <c r="H38" s="85">
        <v>36647</v>
      </c>
      <c r="I38" s="83">
        <v>168</v>
      </c>
      <c r="J38" s="83">
        <v>252</v>
      </c>
      <c r="K38" s="83">
        <v>66.7</v>
      </c>
      <c r="L38" s="83">
        <v>1582</v>
      </c>
      <c r="M38" s="83">
        <v>6</v>
      </c>
      <c r="N38" s="83">
        <v>2.4</v>
      </c>
      <c r="O38" s="83">
        <v>8</v>
      </c>
      <c r="P38" s="83">
        <v>3.2</v>
      </c>
      <c r="Q38" s="83">
        <v>73</v>
      </c>
      <c r="R38" s="83">
        <v>68</v>
      </c>
      <c r="S38" s="83">
        <v>6.3</v>
      </c>
      <c r="T38" s="83">
        <v>5.3</v>
      </c>
      <c r="U38" s="83">
        <v>9.4</v>
      </c>
      <c r="V38" s="83">
        <v>197.8</v>
      </c>
      <c r="W38" s="83">
        <v>78.5</v>
      </c>
      <c r="X38" s="83">
        <v>28.2</v>
      </c>
      <c r="Y38" s="83">
        <v>22</v>
      </c>
      <c r="Z38" s="83">
        <v>139</v>
      </c>
      <c r="AA38" s="83">
        <v>8</v>
      </c>
      <c r="AB38" s="83">
        <v>5.27</v>
      </c>
      <c r="AC38" s="83">
        <v>4.3899999999999997</v>
      </c>
      <c r="AD38" s="83">
        <v>1</v>
      </c>
      <c r="AE38" s="83">
        <v>1</v>
      </c>
    </row>
    <row r="39" spans="1:31" ht="16" x14ac:dyDescent="0.2">
      <c r="A39" s="89">
        <v>36</v>
      </c>
      <c r="B39" s="84" t="s">
        <v>1368</v>
      </c>
      <c r="C39" s="84" t="s">
        <v>119</v>
      </c>
      <c r="D39" s="83">
        <v>23</v>
      </c>
      <c r="E39" s="83" t="s">
        <v>79</v>
      </c>
      <c r="F39" s="83">
        <v>7</v>
      </c>
      <c r="G39" s="83">
        <v>6</v>
      </c>
      <c r="H39" s="85">
        <v>36530</v>
      </c>
      <c r="I39" s="83">
        <v>148</v>
      </c>
      <c r="J39" s="83">
        <v>241</v>
      </c>
      <c r="K39" s="83">
        <v>61.4</v>
      </c>
      <c r="L39" s="83">
        <v>1439</v>
      </c>
      <c r="M39" s="83">
        <v>5</v>
      </c>
      <c r="N39" s="83">
        <v>2.1</v>
      </c>
      <c r="O39" s="83">
        <v>7</v>
      </c>
      <c r="P39" s="83">
        <v>2.9</v>
      </c>
      <c r="Q39" s="83">
        <v>73</v>
      </c>
      <c r="R39" s="83">
        <v>50</v>
      </c>
      <c r="S39" s="83">
        <v>6</v>
      </c>
      <c r="T39" s="83">
        <v>5.0999999999999996</v>
      </c>
      <c r="U39" s="83">
        <v>9.6999999999999993</v>
      </c>
      <c r="V39" s="83">
        <v>205.6</v>
      </c>
      <c r="W39" s="83">
        <v>73</v>
      </c>
      <c r="X39" s="83">
        <v>24.8</v>
      </c>
      <c r="Y39" s="83">
        <v>20</v>
      </c>
      <c r="Z39" s="83">
        <v>141</v>
      </c>
      <c r="AA39" s="83">
        <v>7.7</v>
      </c>
      <c r="AB39" s="83">
        <v>4.97</v>
      </c>
      <c r="AC39" s="83">
        <v>4.1500000000000004</v>
      </c>
      <c r="AD39" s="83">
        <v>1</v>
      </c>
      <c r="AE39" s="83">
        <v>1</v>
      </c>
    </row>
    <row r="40" spans="1:31" ht="16" x14ac:dyDescent="0.2">
      <c r="A40" s="89">
        <v>37</v>
      </c>
      <c r="B40" s="84" t="s">
        <v>148</v>
      </c>
      <c r="C40" s="84" t="s">
        <v>1087</v>
      </c>
      <c r="D40" s="83">
        <v>29</v>
      </c>
      <c r="E40" s="83" t="s">
        <v>79</v>
      </c>
      <c r="F40" s="83">
        <v>6</v>
      </c>
      <c r="G40" s="83">
        <v>6</v>
      </c>
      <c r="H40" s="85">
        <v>36588</v>
      </c>
      <c r="I40" s="83">
        <v>94</v>
      </c>
      <c r="J40" s="83">
        <v>140</v>
      </c>
      <c r="K40" s="83">
        <v>67.099999999999994</v>
      </c>
      <c r="L40" s="83">
        <v>1096</v>
      </c>
      <c r="M40" s="83">
        <v>7</v>
      </c>
      <c r="N40" s="83">
        <v>5</v>
      </c>
      <c r="O40" s="83">
        <v>5</v>
      </c>
      <c r="P40" s="83">
        <v>3.6</v>
      </c>
      <c r="Q40" s="83">
        <v>55</v>
      </c>
      <c r="R40" s="83">
        <v>76</v>
      </c>
      <c r="S40" s="83">
        <v>7.8</v>
      </c>
      <c r="T40" s="83">
        <v>7.2</v>
      </c>
      <c r="U40" s="83">
        <v>11.7</v>
      </c>
      <c r="V40" s="83">
        <v>182.7</v>
      </c>
      <c r="W40" s="83">
        <v>92.4</v>
      </c>
      <c r="X40" s="83">
        <v>54</v>
      </c>
      <c r="Y40" s="83">
        <v>11</v>
      </c>
      <c r="Z40" s="83">
        <v>77</v>
      </c>
      <c r="AA40" s="83">
        <v>7.3</v>
      </c>
      <c r="AB40" s="83">
        <v>6.75</v>
      </c>
      <c r="AC40" s="83">
        <v>6.19</v>
      </c>
      <c r="AD40" s="83"/>
      <c r="AE40" s="83"/>
    </row>
    <row r="41" spans="1:31" ht="16" x14ac:dyDescent="0.2">
      <c r="A41" s="89">
        <v>38</v>
      </c>
      <c r="B41" s="84" t="s">
        <v>204</v>
      </c>
      <c r="C41" s="84" t="s">
        <v>1052</v>
      </c>
      <c r="D41" s="83">
        <v>31</v>
      </c>
      <c r="E41" s="83" t="s">
        <v>79</v>
      </c>
      <c r="F41" s="83">
        <v>5</v>
      </c>
      <c r="G41" s="83">
        <v>5</v>
      </c>
      <c r="H41" s="83" t="s">
        <v>1371</v>
      </c>
      <c r="I41" s="83">
        <v>111</v>
      </c>
      <c r="J41" s="83">
        <v>179</v>
      </c>
      <c r="K41" s="83">
        <v>62</v>
      </c>
      <c r="L41" s="83">
        <v>1072</v>
      </c>
      <c r="M41" s="83">
        <v>7</v>
      </c>
      <c r="N41" s="83">
        <v>3.9</v>
      </c>
      <c r="O41" s="83">
        <v>5</v>
      </c>
      <c r="P41" s="83">
        <v>2.8</v>
      </c>
      <c r="Q41" s="83">
        <v>57</v>
      </c>
      <c r="R41" s="83">
        <v>46</v>
      </c>
      <c r="S41" s="83">
        <v>6</v>
      </c>
      <c r="T41" s="83">
        <v>5.5</v>
      </c>
      <c r="U41" s="83">
        <v>9.6999999999999993</v>
      </c>
      <c r="V41" s="83">
        <v>214.4</v>
      </c>
      <c r="W41" s="83">
        <v>80.099999999999994</v>
      </c>
      <c r="X41" s="83">
        <v>29.8</v>
      </c>
      <c r="Y41" s="83">
        <v>9</v>
      </c>
      <c r="Z41" s="83">
        <v>53</v>
      </c>
      <c r="AA41" s="83">
        <v>4.8</v>
      </c>
      <c r="AB41" s="83">
        <v>5.42</v>
      </c>
      <c r="AC41" s="83">
        <v>4.97</v>
      </c>
      <c r="AD41" s="83"/>
      <c r="AE41" s="83"/>
    </row>
    <row r="42" spans="1:31" ht="16" x14ac:dyDescent="0.2">
      <c r="A42" s="89">
        <v>39</v>
      </c>
      <c r="B42" s="84" t="s">
        <v>120</v>
      </c>
      <c r="C42" s="84" t="s">
        <v>102</v>
      </c>
      <c r="D42" s="83">
        <v>22</v>
      </c>
      <c r="E42" s="83" t="s">
        <v>79</v>
      </c>
      <c r="F42" s="83">
        <v>15</v>
      </c>
      <c r="G42" s="83">
        <v>4</v>
      </c>
      <c r="H42" s="85">
        <v>36528</v>
      </c>
      <c r="I42" s="83">
        <v>77</v>
      </c>
      <c r="J42" s="83">
        <v>148</v>
      </c>
      <c r="K42" s="83">
        <v>52</v>
      </c>
      <c r="L42" s="83">
        <v>1061</v>
      </c>
      <c r="M42" s="83">
        <v>6</v>
      </c>
      <c r="N42" s="83">
        <v>4.0999999999999996</v>
      </c>
      <c r="O42" s="83">
        <v>4</v>
      </c>
      <c r="P42" s="83">
        <v>2.7</v>
      </c>
      <c r="Q42" s="83">
        <v>45</v>
      </c>
      <c r="R42" s="83">
        <v>81</v>
      </c>
      <c r="S42" s="83">
        <v>7.2</v>
      </c>
      <c r="T42" s="83">
        <v>6.8</v>
      </c>
      <c r="U42" s="83">
        <v>13.8</v>
      </c>
      <c r="V42" s="83">
        <v>70.7</v>
      </c>
      <c r="W42" s="83">
        <v>77.599999999999994</v>
      </c>
      <c r="X42" s="83">
        <v>33.799999999999997</v>
      </c>
      <c r="Y42" s="83">
        <v>13</v>
      </c>
      <c r="Z42" s="83">
        <v>59</v>
      </c>
      <c r="AA42" s="83">
        <v>8.1</v>
      </c>
      <c r="AB42" s="83">
        <v>6.22</v>
      </c>
      <c r="AC42" s="83">
        <v>5.85</v>
      </c>
      <c r="AD42" s="83"/>
      <c r="AE42" s="83"/>
    </row>
    <row r="43" spans="1:31" ht="16" x14ac:dyDescent="0.2">
      <c r="A43" s="89">
        <v>40</v>
      </c>
      <c r="B43" s="84" t="s">
        <v>156</v>
      </c>
      <c r="C43" s="84" t="s">
        <v>1257</v>
      </c>
      <c r="D43" s="83">
        <v>30</v>
      </c>
      <c r="E43" s="83" t="s">
        <v>3108</v>
      </c>
      <c r="F43" s="83">
        <v>16</v>
      </c>
      <c r="G43" s="83">
        <v>8</v>
      </c>
      <c r="H43" s="85">
        <v>36586</v>
      </c>
      <c r="I43" s="83">
        <v>88</v>
      </c>
      <c r="J43" s="83">
        <v>121</v>
      </c>
      <c r="K43" s="83">
        <v>72.7</v>
      </c>
      <c r="L43" s="83">
        <v>928</v>
      </c>
      <c r="M43" s="83">
        <v>4</v>
      </c>
      <c r="N43" s="83">
        <v>3.3</v>
      </c>
      <c r="O43" s="83">
        <v>2</v>
      </c>
      <c r="P43" s="83">
        <v>1.7</v>
      </c>
      <c r="Q43" s="83">
        <v>45</v>
      </c>
      <c r="R43" s="83">
        <v>44</v>
      </c>
      <c r="S43" s="83">
        <v>7.7</v>
      </c>
      <c r="T43" s="83">
        <v>7.6</v>
      </c>
      <c r="U43" s="83">
        <v>10.5</v>
      </c>
      <c r="V43" s="83">
        <v>58</v>
      </c>
      <c r="W43" s="83">
        <v>98.8</v>
      </c>
      <c r="X43" s="83">
        <v>51.1</v>
      </c>
      <c r="Y43" s="83">
        <v>14</v>
      </c>
      <c r="Z43" s="83">
        <v>87</v>
      </c>
      <c r="AA43" s="83">
        <v>10.4</v>
      </c>
      <c r="AB43" s="83">
        <v>6.23</v>
      </c>
      <c r="AC43" s="83">
        <v>6.16</v>
      </c>
      <c r="AD43" s="83"/>
      <c r="AE43" s="83"/>
    </row>
    <row r="44" spans="1:31" ht="16" x14ac:dyDescent="0.2">
      <c r="A44" s="89">
        <v>41</v>
      </c>
      <c r="B44" s="84" t="s">
        <v>184</v>
      </c>
      <c r="C44" s="84" t="s">
        <v>74</v>
      </c>
      <c r="D44" s="83">
        <v>28</v>
      </c>
      <c r="E44" s="83" t="s">
        <v>79</v>
      </c>
      <c r="F44" s="83">
        <v>5</v>
      </c>
      <c r="G44" s="83">
        <v>5</v>
      </c>
      <c r="H44" s="85">
        <v>36529</v>
      </c>
      <c r="I44" s="83">
        <v>90</v>
      </c>
      <c r="J44" s="83">
        <v>142</v>
      </c>
      <c r="K44" s="83">
        <v>63.4</v>
      </c>
      <c r="L44" s="83">
        <v>925</v>
      </c>
      <c r="M44" s="83">
        <v>5</v>
      </c>
      <c r="N44" s="83">
        <v>3.5</v>
      </c>
      <c r="O44" s="83">
        <v>4</v>
      </c>
      <c r="P44" s="83">
        <v>2.8</v>
      </c>
      <c r="Q44" s="83">
        <v>42</v>
      </c>
      <c r="R44" s="83">
        <v>72</v>
      </c>
      <c r="S44" s="83">
        <v>6.5</v>
      </c>
      <c r="T44" s="83">
        <v>6</v>
      </c>
      <c r="U44" s="83">
        <v>10.3</v>
      </c>
      <c r="V44" s="83">
        <v>185</v>
      </c>
      <c r="W44" s="83">
        <v>82</v>
      </c>
      <c r="X44" s="83">
        <v>37.5</v>
      </c>
      <c r="Y44" s="83">
        <v>7</v>
      </c>
      <c r="Z44" s="83">
        <v>51</v>
      </c>
      <c r="AA44" s="83">
        <v>4.7</v>
      </c>
      <c r="AB44" s="83">
        <v>5.87</v>
      </c>
      <c r="AC44" s="83">
        <v>5.33</v>
      </c>
      <c r="AD44" s="83">
        <v>1</v>
      </c>
      <c r="AE44" s="83">
        <v>1</v>
      </c>
    </row>
    <row r="45" spans="1:31" ht="16" x14ac:dyDescent="0.2">
      <c r="A45" s="89">
        <v>42</v>
      </c>
      <c r="B45" s="84" t="s">
        <v>177</v>
      </c>
      <c r="C45" s="84" t="s">
        <v>71</v>
      </c>
      <c r="D45" s="83">
        <v>35</v>
      </c>
      <c r="E45" s="83" t="s">
        <v>79</v>
      </c>
      <c r="F45" s="83">
        <v>5</v>
      </c>
      <c r="G45" s="83">
        <v>4</v>
      </c>
      <c r="H45" s="83" t="s">
        <v>1375</v>
      </c>
      <c r="I45" s="83">
        <v>74</v>
      </c>
      <c r="J45" s="83">
        <v>134</v>
      </c>
      <c r="K45" s="83">
        <v>55.2</v>
      </c>
      <c r="L45" s="83">
        <v>864</v>
      </c>
      <c r="M45" s="83">
        <v>6</v>
      </c>
      <c r="N45" s="83">
        <v>4.5</v>
      </c>
      <c r="O45" s="83">
        <v>3</v>
      </c>
      <c r="P45" s="83">
        <v>2.2000000000000002</v>
      </c>
      <c r="Q45" s="83">
        <v>36</v>
      </c>
      <c r="R45" s="83">
        <v>52</v>
      </c>
      <c r="S45" s="83">
        <v>6.4</v>
      </c>
      <c r="T45" s="83">
        <v>6.3</v>
      </c>
      <c r="U45" s="83">
        <v>11.7</v>
      </c>
      <c r="V45" s="83">
        <v>172.8</v>
      </c>
      <c r="W45" s="83">
        <v>80.599999999999994</v>
      </c>
      <c r="X45" s="83">
        <v>50.3</v>
      </c>
      <c r="Y45" s="83">
        <v>7</v>
      </c>
      <c r="Z45" s="83">
        <v>69</v>
      </c>
      <c r="AA45" s="83">
        <v>5</v>
      </c>
      <c r="AB45" s="83">
        <v>5.64</v>
      </c>
      <c r="AC45" s="83">
        <v>5.53</v>
      </c>
      <c r="AD45" s="83"/>
      <c r="AE45" s="83"/>
    </row>
    <row r="46" spans="1:31" ht="16" x14ac:dyDescent="0.2">
      <c r="A46" s="89">
        <v>43</v>
      </c>
      <c r="B46" s="84" t="s">
        <v>220</v>
      </c>
      <c r="C46" s="84" t="s">
        <v>1087</v>
      </c>
      <c r="D46" s="83">
        <v>27</v>
      </c>
      <c r="E46" s="83" t="s">
        <v>79</v>
      </c>
      <c r="F46" s="83">
        <v>6</v>
      </c>
      <c r="G46" s="83">
        <v>2</v>
      </c>
      <c r="H46" s="85">
        <v>36526</v>
      </c>
      <c r="I46" s="83">
        <v>66</v>
      </c>
      <c r="J46" s="83">
        <v>104</v>
      </c>
      <c r="K46" s="83">
        <v>63.5</v>
      </c>
      <c r="L46" s="83">
        <v>787</v>
      </c>
      <c r="M46" s="83">
        <v>6</v>
      </c>
      <c r="N46" s="83">
        <v>5.8</v>
      </c>
      <c r="O46" s="83">
        <v>0</v>
      </c>
      <c r="P46" s="83">
        <v>0</v>
      </c>
      <c r="Q46" s="83">
        <v>42</v>
      </c>
      <c r="R46" s="83">
        <v>49</v>
      </c>
      <c r="S46" s="83">
        <v>7.6</v>
      </c>
      <c r="T46" s="83">
        <v>8.6999999999999993</v>
      </c>
      <c r="U46" s="83">
        <v>11.9</v>
      </c>
      <c r="V46" s="83">
        <v>131.19999999999999</v>
      </c>
      <c r="W46" s="83">
        <v>105.7</v>
      </c>
      <c r="X46" s="83">
        <v>46</v>
      </c>
      <c r="Y46" s="83">
        <v>9</v>
      </c>
      <c r="Z46" s="83">
        <v>71</v>
      </c>
      <c r="AA46" s="83">
        <v>8</v>
      </c>
      <c r="AB46" s="83">
        <v>6.34</v>
      </c>
      <c r="AC46" s="83">
        <v>7.4</v>
      </c>
      <c r="AD46" s="83"/>
      <c r="AE46" s="83"/>
    </row>
    <row r="47" spans="1:31" ht="16" x14ac:dyDescent="0.2">
      <c r="A47" s="89">
        <v>44</v>
      </c>
      <c r="B47" s="84" t="s">
        <v>232</v>
      </c>
      <c r="C47" s="84" t="s">
        <v>1052</v>
      </c>
      <c r="D47" s="83">
        <v>24</v>
      </c>
      <c r="E47" s="83" t="s">
        <v>79</v>
      </c>
      <c r="F47" s="83">
        <v>3</v>
      </c>
      <c r="G47" s="83">
        <v>3</v>
      </c>
      <c r="H47" s="83" t="s">
        <v>1377</v>
      </c>
      <c r="I47" s="83">
        <v>60</v>
      </c>
      <c r="J47" s="83">
        <v>110</v>
      </c>
      <c r="K47" s="83">
        <v>54.5</v>
      </c>
      <c r="L47" s="83">
        <v>624</v>
      </c>
      <c r="M47" s="83">
        <v>2</v>
      </c>
      <c r="N47" s="83">
        <v>1.8</v>
      </c>
      <c r="O47" s="83">
        <v>6</v>
      </c>
      <c r="P47" s="83">
        <v>5.5</v>
      </c>
      <c r="Q47" s="83">
        <v>31</v>
      </c>
      <c r="R47" s="83">
        <v>73</v>
      </c>
      <c r="S47" s="83">
        <v>5.7</v>
      </c>
      <c r="T47" s="83">
        <v>3.6</v>
      </c>
      <c r="U47" s="83">
        <v>10.4</v>
      </c>
      <c r="V47" s="83">
        <v>208</v>
      </c>
      <c r="W47" s="83">
        <v>54.5</v>
      </c>
      <c r="X47" s="83">
        <v>32.799999999999997</v>
      </c>
      <c r="Y47" s="83">
        <v>7</v>
      </c>
      <c r="Z47" s="83">
        <v>52</v>
      </c>
      <c r="AA47" s="83">
        <v>6</v>
      </c>
      <c r="AB47" s="83">
        <v>4.8899999999999997</v>
      </c>
      <c r="AC47" s="83">
        <v>2.92</v>
      </c>
      <c r="AD47" s="83"/>
      <c r="AE47" s="83"/>
    </row>
    <row r="48" spans="1:31" ht="16" x14ac:dyDescent="0.2">
      <c r="A48" s="89">
        <v>45</v>
      </c>
      <c r="B48" s="84" t="s">
        <v>234</v>
      </c>
      <c r="C48" s="84" t="s">
        <v>119</v>
      </c>
      <c r="D48" s="83">
        <v>24</v>
      </c>
      <c r="E48" s="83" t="s">
        <v>79</v>
      </c>
      <c r="F48" s="83">
        <v>4</v>
      </c>
      <c r="G48" s="83">
        <v>4</v>
      </c>
      <c r="H48" s="85">
        <v>36528</v>
      </c>
      <c r="I48" s="83">
        <v>60</v>
      </c>
      <c r="J48" s="83">
        <v>87</v>
      </c>
      <c r="K48" s="83">
        <v>69</v>
      </c>
      <c r="L48" s="83">
        <v>610</v>
      </c>
      <c r="M48" s="83">
        <v>4</v>
      </c>
      <c r="N48" s="83">
        <v>4.5999999999999996</v>
      </c>
      <c r="O48" s="83">
        <v>1</v>
      </c>
      <c r="P48" s="83">
        <v>1.1000000000000001</v>
      </c>
      <c r="Q48" s="83">
        <v>30</v>
      </c>
      <c r="R48" s="83">
        <v>52</v>
      </c>
      <c r="S48" s="83">
        <v>7</v>
      </c>
      <c r="T48" s="83">
        <v>7.4</v>
      </c>
      <c r="U48" s="83">
        <v>10.199999999999999</v>
      </c>
      <c r="V48" s="83">
        <v>152.5</v>
      </c>
      <c r="W48" s="83">
        <v>99.3</v>
      </c>
      <c r="X48" s="83">
        <v>68.2</v>
      </c>
      <c r="Y48" s="83">
        <v>7</v>
      </c>
      <c r="Z48" s="83">
        <v>44</v>
      </c>
      <c r="AA48" s="83">
        <v>7.4</v>
      </c>
      <c r="AB48" s="83">
        <v>6.02</v>
      </c>
      <c r="AC48" s="83">
        <v>6.39</v>
      </c>
      <c r="AD48" s="83"/>
      <c r="AE48" s="83"/>
    </row>
    <row r="49" spans="1:31" ht="16" x14ac:dyDescent="0.2">
      <c r="A49" s="89">
        <v>46</v>
      </c>
      <c r="B49" s="84" t="s">
        <v>227</v>
      </c>
      <c r="C49" s="84" t="s">
        <v>93</v>
      </c>
      <c r="D49" s="83">
        <v>27</v>
      </c>
      <c r="E49" s="83" t="s">
        <v>79</v>
      </c>
      <c r="F49" s="83">
        <v>3</v>
      </c>
      <c r="G49" s="83">
        <v>1</v>
      </c>
      <c r="H49" s="83" t="s">
        <v>958</v>
      </c>
      <c r="I49" s="83">
        <v>35</v>
      </c>
      <c r="J49" s="83">
        <v>64</v>
      </c>
      <c r="K49" s="83">
        <v>54.7</v>
      </c>
      <c r="L49" s="83">
        <v>432</v>
      </c>
      <c r="M49" s="83">
        <v>3</v>
      </c>
      <c r="N49" s="83">
        <v>4.7</v>
      </c>
      <c r="O49" s="83">
        <v>2</v>
      </c>
      <c r="P49" s="83">
        <v>3.1</v>
      </c>
      <c r="Q49" s="83">
        <v>18</v>
      </c>
      <c r="R49" s="83">
        <v>45</v>
      </c>
      <c r="S49" s="83">
        <v>6.8</v>
      </c>
      <c r="T49" s="83">
        <v>6.3</v>
      </c>
      <c r="U49" s="83">
        <v>12.3</v>
      </c>
      <c r="V49" s="83">
        <v>144</v>
      </c>
      <c r="W49" s="83">
        <v>78.400000000000006</v>
      </c>
      <c r="X49" s="83">
        <v>36.1</v>
      </c>
      <c r="Y49" s="83">
        <v>11</v>
      </c>
      <c r="Z49" s="83">
        <v>98</v>
      </c>
      <c r="AA49" s="83">
        <v>14.7</v>
      </c>
      <c r="AB49" s="83">
        <v>4.45</v>
      </c>
      <c r="AC49" s="83">
        <v>4.05</v>
      </c>
      <c r="AD49" s="83"/>
      <c r="AE49" s="83"/>
    </row>
    <row r="50" spans="1:31" ht="16" x14ac:dyDescent="0.2">
      <c r="A50" s="89">
        <v>47</v>
      </c>
      <c r="B50" s="84" t="s">
        <v>218</v>
      </c>
      <c r="C50" s="84" t="s">
        <v>92</v>
      </c>
      <c r="D50" s="83">
        <v>34</v>
      </c>
      <c r="E50" s="83" t="s">
        <v>79</v>
      </c>
      <c r="F50" s="83">
        <v>4</v>
      </c>
      <c r="G50" s="83">
        <v>2</v>
      </c>
      <c r="H50" s="85">
        <v>36526</v>
      </c>
      <c r="I50" s="83">
        <v>40</v>
      </c>
      <c r="J50" s="83">
        <v>66</v>
      </c>
      <c r="K50" s="83">
        <v>60.6</v>
      </c>
      <c r="L50" s="83">
        <v>375</v>
      </c>
      <c r="M50" s="83">
        <v>1</v>
      </c>
      <c r="N50" s="83">
        <v>1.5</v>
      </c>
      <c r="O50" s="83">
        <v>1</v>
      </c>
      <c r="P50" s="83">
        <v>1.5</v>
      </c>
      <c r="Q50" s="83">
        <v>19</v>
      </c>
      <c r="R50" s="83">
        <v>35</v>
      </c>
      <c r="S50" s="83">
        <v>5.7</v>
      </c>
      <c r="T50" s="83">
        <v>5.3</v>
      </c>
      <c r="U50" s="83">
        <v>9.4</v>
      </c>
      <c r="V50" s="83">
        <v>93.8</v>
      </c>
      <c r="W50" s="83">
        <v>75</v>
      </c>
      <c r="X50" s="83">
        <v>29.7</v>
      </c>
      <c r="Y50" s="83">
        <v>5</v>
      </c>
      <c r="Z50" s="83">
        <v>24</v>
      </c>
      <c r="AA50" s="83">
        <v>7</v>
      </c>
      <c r="AB50" s="83">
        <v>4.9400000000000004</v>
      </c>
      <c r="AC50" s="83">
        <v>4.59</v>
      </c>
      <c r="AD50" s="83"/>
      <c r="AE50" s="83"/>
    </row>
    <row r="51" spans="1:31" ht="16" x14ac:dyDescent="0.2">
      <c r="A51" s="89">
        <v>48</v>
      </c>
      <c r="B51" s="84" t="s">
        <v>193</v>
      </c>
      <c r="C51" s="84" t="s">
        <v>70</v>
      </c>
      <c r="D51" s="83">
        <v>25</v>
      </c>
      <c r="E51" s="83" t="s">
        <v>79</v>
      </c>
      <c r="F51" s="83">
        <v>4</v>
      </c>
      <c r="G51" s="83">
        <v>1</v>
      </c>
      <c r="H51" s="83" t="s">
        <v>936</v>
      </c>
      <c r="I51" s="83">
        <v>32</v>
      </c>
      <c r="J51" s="83">
        <v>56</v>
      </c>
      <c r="K51" s="83">
        <v>57.1</v>
      </c>
      <c r="L51" s="83">
        <v>368</v>
      </c>
      <c r="M51" s="83">
        <v>1</v>
      </c>
      <c r="N51" s="83">
        <v>1.8</v>
      </c>
      <c r="O51" s="83">
        <v>5</v>
      </c>
      <c r="P51" s="83">
        <v>8.9</v>
      </c>
      <c r="Q51" s="83">
        <v>17</v>
      </c>
      <c r="R51" s="83">
        <v>52</v>
      </c>
      <c r="S51" s="83">
        <v>6.6</v>
      </c>
      <c r="T51" s="83">
        <v>2.9</v>
      </c>
      <c r="U51" s="83">
        <v>11.5</v>
      </c>
      <c r="V51" s="83">
        <v>92</v>
      </c>
      <c r="W51" s="83">
        <v>45.8</v>
      </c>
      <c r="X51" s="83">
        <v>9.6</v>
      </c>
      <c r="Y51" s="83">
        <v>4</v>
      </c>
      <c r="Z51" s="83">
        <v>31</v>
      </c>
      <c r="AA51" s="83">
        <v>6.7</v>
      </c>
      <c r="AB51" s="83">
        <v>5.62</v>
      </c>
      <c r="AC51" s="83">
        <v>2.2000000000000002</v>
      </c>
      <c r="AD51" s="83"/>
      <c r="AE51" s="83"/>
    </row>
    <row r="52" spans="1:31" ht="16" x14ac:dyDescent="0.2">
      <c r="A52" s="89">
        <v>49</v>
      </c>
      <c r="B52" s="84" t="s">
        <v>200</v>
      </c>
      <c r="C52" s="84" t="s">
        <v>99</v>
      </c>
      <c r="D52" s="83">
        <v>25</v>
      </c>
      <c r="E52" s="83" t="s">
        <v>79</v>
      </c>
      <c r="F52" s="83">
        <v>5</v>
      </c>
      <c r="G52" s="83">
        <v>1</v>
      </c>
      <c r="H52" s="83" t="s">
        <v>958</v>
      </c>
      <c r="I52" s="83">
        <v>25</v>
      </c>
      <c r="J52" s="83">
        <v>43</v>
      </c>
      <c r="K52" s="83">
        <v>58.1</v>
      </c>
      <c r="L52" s="83">
        <v>324</v>
      </c>
      <c r="M52" s="83">
        <v>2</v>
      </c>
      <c r="N52" s="83">
        <v>4.7</v>
      </c>
      <c r="O52" s="83">
        <v>1</v>
      </c>
      <c r="P52" s="83">
        <v>2.2999999999999998</v>
      </c>
      <c r="Q52" s="83">
        <v>13</v>
      </c>
      <c r="R52" s="83">
        <v>47</v>
      </c>
      <c r="S52" s="83">
        <v>7.5</v>
      </c>
      <c r="T52" s="83">
        <v>7.4</v>
      </c>
      <c r="U52" s="83">
        <v>13</v>
      </c>
      <c r="V52" s="83">
        <v>64.8</v>
      </c>
      <c r="W52" s="83">
        <v>87.7</v>
      </c>
      <c r="X52" s="83">
        <v>72.7</v>
      </c>
      <c r="Y52" s="83">
        <v>1</v>
      </c>
      <c r="Z52" s="83">
        <v>8</v>
      </c>
      <c r="AA52" s="83">
        <v>2.2999999999999998</v>
      </c>
      <c r="AB52" s="83">
        <v>7.18</v>
      </c>
      <c r="AC52" s="83">
        <v>7.07</v>
      </c>
      <c r="AD52" s="83"/>
      <c r="AE52" s="83"/>
    </row>
    <row r="53" spans="1:31" ht="16" x14ac:dyDescent="0.2">
      <c r="A53" s="89">
        <v>50</v>
      </c>
      <c r="B53" s="84" t="s">
        <v>233</v>
      </c>
      <c r="C53" s="84" t="s">
        <v>93</v>
      </c>
      <c r="D53" s="83">
        <v>24</v>
      </c>
      <c r="E53" s="83" t="s">
        <v>79</v>
      </c>
      <c r="F53" s="83">
        <v>3</v>
      </c>
      <c r="G53" s="83">
        <v>1</v>
      </c>
      <c r="H53" s="83" t="s">
        <v>936</v>
      </c>
      <c r="I53" s="83">
        <v>27</v>
      </c>
      <c r="J53" s="83">
        <v>40</v>
      </c>
      <c r="K53" s="83">
        <v>67.5</v>
      </c>
      <c r="L53" s="83">
        <v>295</v>
      </c>
      <c r="M53" s="83">
        <v>2</v>
      </c>
      <c r="N53" s="83">
        <v>5</v>
      </c>
      <c r="O53" s="83">
        <v>4</v>
      </c>
      <c r="P53" s="83">
        <v>10</v>
      </c>
      <c r="Q53" s="83">
        <v>12</v>
      </c>
      <c r="R53" s="83">
        <v>48</v>
      </c>
      <c r="S53" s="83">
        <v>7.4</v>
      </c>
      <c r="T53" s="83">
        <v>3.9</v>
      </c>
      <c r="U53" s="83">
        <v>10.9</v>
      </c>
      <c r="V53" s="83">
        <v>98.3</v>
      </c>
      <c r="W53" s="83">
        <v>66.099999999999994</v>
      </c>
      <c r="X53" s="83">
        <v>50.3</v>
      </c>
      <c r="Y53" s="83">
        <v>1</v>
      </c>
      <c r="Z53" s="83">
        <v>0</v>
      </c>
      <c r="AA53" s="83">
        <v>2.4</v>
      </c>
      <c r="AB53" s="83">
        <v>7.2</v>
      </c>
      <c r="AC53" s="83">
        <v>3.78</v>
      </c>
      <c r="AD53" s="83">
        <v>1</v>
      </c>
      <c r="AE53" s="83">
        <v>1</v>
      </c>
    </row>
    <row r="54" spans="1:31" ht="16" x14ac:dyDescent="0.2">
      <c r="A54" s="89">
        <v>51</v>
      </c>
      <c r="B54" s="84" t="s">
        <v>203</v>
      </c>
      <c r="C54" s="84" t="s">
        <v>139</v>
      </c>
      <c r="D54" s="83">
        <v>34</v>
      </c>
      <c r="E54" s="83" t="s">
        <v>79</v>
      </c>
      <c r="F54" s="83">
        <v>4</v>
      </c>
      <c r="G54" s="83">
        <v>0</v>
      </c>
      <c r="H54" s="83"/>
      <c r="I54" s="83">
        <v>29</v>
      </c>
      <c r="J54" s="83">
        <v>43</v>
      </c>
      <c r="K54" s="83">
        <v>67.400000000000006</v>
      </c>
      <c r="L54" s="83">
        <v>264</v>
      </c>
      <c r="M54" s="83">
        <v>1</v>
      </c>
      <c r="N54" s="83">
        <v>2.2999999999999998</v>
      </c>
      <c r="O54" s="83">
        <v>2</v>
      </c>
      <c r="P54" s="83">
        <v>4.7</v>
      </c>
      <c r="Q54" s="83">
        <v>14</v>
      </c>
      <c r="R54" s="83">
        <v>28</v>
      </c>
      <c r="S54" s="83">
        <v>6.1</v>
      </c>
      <c r="T54" s="83">
        <v>4.5</v>
      </c>
      <c r="U54" s="83">
        <v>9.1</v>
      </c>
      <c r="V54" s="83">
        <v>66</v>
      </c>
      <c r="W54" s="83">
        <v>72.2</v>
      </c>
      <c r="X54" s="83">
        <v>15.9</v>
      </c>
      <c r="Y54" s="83">
        <v>3</v>
      </c>
      <c r="Z54" s="83">
        <v>29</v>
      </c>
      <c r="AA54" s="83">
        <v>6.5</v>
      </c>
      <c r="AB54" s="83">
        <v>5.1100000000000003</v>
      </c>
      <c r="AC54" s="83">
        <v>3.59</v>
      </c>
      <c r="AD54" s="83"/>
      <c r="AE54" s="83"/>
    </row>
    <row r="55" spans="1:31" ht="16" x14ac:dyDescent="0.2">
      <c r="A55" s="89">
        <v>52</v>
      </c>
      <c r="B55" s="84" t="s">
        <v>225</v>
      </c>
      <c r="C55" s="84" t="s">
        <v>1122</v>
      </c>
      <c r="D55" s="83">
        <v>24</v>
      </c>
      <c r="E55" s="83" t="s">
        <v>79</v>
      </c>
      <c r="F55" s="83">
        <v>5</v>
      </c>
      <c r="G55" s="83">
        <v>0</v>
      </c>
      <c r="H55" s="83"/>
      <c r="I55" s="83">
        <v>22</v>
      </c>
      <c r="J55" s="83">
        <v>44</v>
      </c>
      <c r="K55" s="83">
        <v>50</v>
      </c>
      <c r="L55" s="83">
        <v>256</v>
      </c>
      <c r="M55" s="83">
        <v>2</v>
      </c>
      <c r="N55" s="83">
        <v>4.5</v>
      </c>
      <c r="O55" s="83">
        <v>3</v>
      </c>
      <c r="P55" s="83">
        <v>6.8</v>
      </c>
      <c r="Q55" s="83">
        <v>12</v>
      </c>
      <c r="R55" s="83">
        <v>38</v>
      </c>
      <c r="S55" s="83">
        <v>5.8</v>
      </c>
      <c r="T55" s="83">
        <v>3.7</v>
      </c>
      <c r="U55" s="83">
        <v>11.6</v>
      </c>
      <c r="V55" s="83">
        <v>51.2</v>
      </c>
      <c r="W55" s="83">
        <v>54.7</v>
      </c>
      <c r="X55" s="83">
        <v>12.2</v>
      </c>
      <c r="Y55" s="83">
        <v>4</v>
      </c>
      <c r="Z55" s="83">
        <v>21</v>
      </c>
      <c r="AA55" s="83">
        <v>8.3000000000000007</v>
      </c>
      <c r="AB55" s="83">
        <v>4.9000000000000004</v>
      </c>
      <c r="AC55" s="83">
        <v>2.92</v>
      </c>
      <c r="AD55" s="83"/>
      <c r="AE55" s="83"/>
    </row>
    <row r="56" spans="1:31" ht="16" x14ac:dyDescent="0.2">
      <c r="A56" s="89">
        <v>53</v>
      </c>
      <c r="B56" s="84" t="s">
        <v>229</v>
      </c>
      <c r="C56" s="84" t="s">
        <v>1040</v>
      </c>
      <c r="D56" s="83">
        <v>35</v>
      </c>
      <c r="E56" s="83" t="s">
        <v>79</v>
      </c>
      <c r="F56" s="83">
        <v>3</v>
      </c>
      <c r="G56" s="83">
        <v>1</v>
      </c>
      <c r="H56" s="83" t="s">
        <v>958</v>
      </c>
      <c r="I56" s="83">
        <v>28</v>
      </c>
      <c r="J56" s="83">
        <v>38</v>
      </c>
      <c r="K56" s="83">
        <v>73.7</v>
      </c>
      <c r="L56" s="83">
        <v>248</v>
      </c>
      <c r="M56" s="83">
        <v>2</v>
      </c>
      <c r="N56" s="83">
        <v>5.3</v>
      </c>
      <c r="O56" s="83">
        <v>0</v>
      </c>
      <c r="P56" s="83">
        <v>0</v>
      </c>
      <c r="Q56" s="83">
        <v>15</v>
      </c>
      <c r="R56" s="83">
        <v>37</v>
      </c>
      <c r="S56" s="83">
        <v>6.5</v>
      </c>
      <c r="T56" s="83">
        <v>7.6</v>
      </c>
      <c r="U56" s="83">
        <v>8.9</v>
      </c>
      <c r="V56" s="83">
        <v>82.7</v>
      </c>
      <c r="W56" s="83">
        <v>108.2</v>
      </c>
      <c r="X56" s="83">
        <v>26.3</v>
      </c>
      <c r="Y56" s="83">
        <v>2</v>
      </c>
      <c r="Z56" s="83">
        <v>4</v>
      </c>
      <c r="AA56" s="83">
        <v>5</v>
      </c>
      <c r="AB56" s="83">
        <v>6.1</v>
      </c>
      <c r="AC56" s="83">
        <v>7.1</v>
      </c>
      <c r="AD56" s="83"/>
      <c r="AE56" s="83"/>
    </row>
    <row r="57" spans="1:31" ht="16" x14ac:dyDescent="0.2">
      <c r="A57" s="89">
        <v>54</v>
      </c>
      <c r="B57" s="84" t="s">
        <v>1380</v>
      </c>
      <c r="C57" s="84" t="s">
        <v>729</v>
      </c>
      <c r="D57" s="83">
        <v>29</v>
      </c>
      <c r="E57" s="83" t="s">
        <v>79</v>
      </c>
      <c r="F57" s="83">
        <v>1</v>
      </c>
      <c r="G57" s="83">
        <v>1</v>
      </c>
      <c r="H57" s="83" t="s">
        <v>958</v>
      </c>
      <c r="I57" s="83">
        <v>21</v>
      </c>
      <c r="J57" s="83">
        <v>38</v>
      </c>
      <c r="K57" s="83">
        <v>55.3</v>
      </c>
      <c r="L57" s="83">
        <v>243</v>
      </c>
      <c r="M57" s="83">
        <v>1</v>
      </c>
      <c r="N57" s="83">
        <v>2.6</v>
      </c>
      <c r="O57" s="83">
        <v>1</v>
      </c>
      <c r="P57" s="83">
        <v>2.6</v>
      </c>
      <c r="Q57" s="83">
        <v>10</v>
      </c>
      <c r="R57" s="83">
        <v>32</v>
      </c>
      <c r="S57" s="83">
        <v>6.4</v>
      </c>
      <c r="T57" s="83">
        <v>5.7</v>
      </c>
      <c r="U57" s="83">
        <v>11.6</v>
      </c>
      <c r="V57" s="83">
        <v>243</v>
      </c>
      <c r="W57" s="83">
        <v>72.599999999999994</v>
      </c>
      <c r="X57" s="83">
        <v>56.8</v>
      </c>
      <c r="Y57" s="83">
        <v>2</v>
      </c>
      <c r="Z57" s="83">
        <v>23</v>
      </c>
      <c r="AA57" s="83">
        <v>5</v>
      </c>
      <c r="AB57" s="83">
        <v>5.5</v>
      </c>
      <c r="AC57" s="83">
        <v>4.88</v>
      </c>
      <c r="AD57" s="83"/>
      <c r="AE57" s="83"/>
    </row>
    <row r="58" spans="1:31" ht="16" x14ac:dyDescent="0.2">
      <c r="A58" s="89">
        <v>55</v>
      </c>
      <c r="B58" s="84" t="s">
        <v>1381</v>
      </c>
      <c r="C58" s="84" t="s">
        <v>730</v>
      </c>
      <c r="D58" s="83">
        <v>25</v>
      </c>
      <c r="E58" s="83" t="s">
        <v>79</v>
      </c>
      <c r="F58" s="83">
        <v>1</v>
      </c>
      <c r="G58" s="83">
        <v>1</v>
      </c>
      <c r="H58" s="83" t="s">
        <v>936</v>
      </c>
      <c r="I58" s="83">
        <v>22</v>
      </c>
      <c r="J58" s="83">
        <v>38</v>
      </c>
      <c r="K58" s="83">
        <v>57.9</v>
      </c>
      <c r="L58" s="83">
        <v>231</v>
      </c>
      <c r="M58" s="83">
        <v>0</v>
      </c>
      <c r="N58" s="83">
        <v>0</v>
      </c>
      <c r="O58" s="83">
        <v>1</v>
      </c>
      <c r="P58" s="83">
        <v>2.6</v>
      </c>
      <c r="Q58" s="83">
        <v>12</v>
      </c>
      <c r="R58" s="83">
        <v>38</v>
      </c>
      <c r="S58" s="83">
        <v>6.1</v>
      </c>
      <c r="T58" s="83">
        <v>4.9000000000000004</v>
      </c>
      <c r="U58" s="83">
        <v>10.5</v>
      </c>
      <c r="V58" s="83">
        <v>231</v>
      </c>
      <c r="W58" s="83">
        <v>64.7</v>
      </c>
      <c r="X58" s="83">
        <v>68.5</v>
      </c>
      <c r="Y58" s="83">
        <v>2</v>
      </c>
      <c r="Z58" s="83">
        <v>8</v>
      </c>
      <c r="AA58" s="83">
        <v>5</v>
      </c>
      <c r="AB58" s="83">
        <v>5.58</v>
      </c>
      <c r="AC58" s="83">
        <v>4.45</v>
      </c>
      <c r="AD58" s="83"/>
      <c r="AE58" s="83"/>
    </row>
    <row r="59" spans="1:31" ht="16" x14ac:dyDescent="0.2">
      <c r="A59" s="89">
        <v>56</v>
      </c>
      <c r="B59" s="84" t="s">
        <v>1383</v>
      </c>
      <c r="C59" s="84" t="s">
        <v>933</v>
      </c>
      <c r="D59" s="83">
        <v>27</v>
      </c>
      <c r="E59" s="83" t="s">
        <v>79</v>
      </c>
      <c r="F59" s="83">
        <v>1</v>
      </c>
      <c r="G59" s="83">
        <v>0</v>
      </c>
      <c r="H59" s="83"/>
      <c r="I59" s="83">
        <v>17</v>
      </c>
      <c r="J59" s="83">
        <v>28</v>
      </c>
      <c r="K59" s="83">
        <v>60.7</v>
      </c>
      <c r="L59" s="83">
        <v>226</v>
      </c>
      <c r="M59" s="83">
        <v>1</v>
      </c>
      <c r="N59" s="83">
        <v>3.6</v>
      </c>
      <c r="O59" s="83">
        <v>1</v>
      </c>
      <c r="P59" s="83">
        <v>3.6</v>
      </c>
      <c r="Q59" s="83">
        <v>11</v>
      </c>
      <c r="R59" s="83">
        <v>35</v>
      </c>
      <c r="S59" s="83">
        <v>8.1</v>
      </c>
      <c r="T59" s="83">
        <v>7.2</v>
      </c>
      <c r="U59" s="83">
        <v>13.3</v>
      </c>
      <c r="V59" s="83">
        <v>226</v>
      </c>
      <c r="W59" s="83">
        <v>83.3</v>
      </c>
      <c r="X59" s="83">
        <v>97.4</v>
      </c>
      <c r="Y59" s="83">
        <v>0</v>
      </c>
      <c r="Z59" s="83">
        <v>0</v>
      </c>
      <c r="AA59" s="83">
        <v>0</v>
      </c>
      <c r="AB59" s="83">
        <v>8.07</v>
      </c>
      <c r="AC59" s="83">
        <v>7.18</v>
      </c>
      <c r="AD59" s="83"/>
      <c r="AE59" s="83"/>
    </row>
    <row r="60" spans="1:31" ht="16" x14ac:dyDescent="0.2">
      <c r="A60" s="89">
        <v>57</v>
      </c>
      <c r="B60" s="84" t="s">
        <v>1379</v>
      </c>
      <c r="C60" s="84" t="s">
        <v>729</v>
      </c>
      <c r="D60" s="83">
        <v>24</v>
      </c>
      <c r="E60" s="83" t="s">
        <v>79</v>
      </c>
      <c r="F60" s="83">
        <v>3</v>
      </c>
      <c r="G60" s="83">
        <v>1</v>
      </c>
      <c r="H60" s="83" t="s">
        <v>958</v>
      </c>
      <c r="I60" s="83">
        <v>23</v>
      </c>
      <c r="J60" s="83">
        <v>43</v>
      </c>
      <c r="K60" s="83">
        <v>53.5</v>
      </c>
      <c r="L60" s="83">
        <v>219</v>
      </c>
      <c r="M60" s="83">
        <v>0</v>
      </c>
      <c r="N60" s="83">
        <v>0</v>
      </c>
      <c r="O60" s="83">
        <v>0</v>
      </c>
      <c r="P60" s="83">
        <v>0</v>
      </c>
      <c r="Q60" s="83">
        <v>11</v>
      </c>
      <c r="R60" s="83">
        <v>32</v>
      </c>
      <c r="S60" s="83">
        <v>5.0999999999999996</v>
      </c>
      <c r="T60" s="83">
        <v>5.0999999999999996</v>
      </c>
      <c r="U60" s="83">
        <v>9.5</v>
      </c>
      <c r="V60" s="83">
        <v>73</v>
      </c>
      <c r="W60" s="83">
        <v>67.900000000000006</v>
      </c>
      <c r="X60" s="83">
        <v>10.199999999999999</v>
      </c>
      <c r="Y60" s="83">
        <v>7</v>
      </c>
      <c r="Z60" s="83">
        <v>73</v>
      </c>
      <c r="AA60" s="83">
        <v>14</v>
      </c>
      <c r="AB60" s="83">
        <v>2.92</v>
      </c>
      <c r="AC60" s="83">
        <v>2.92</v>
      </c>
      <c r="AD60" s="83"/>
      <c r="AE60" s="83"/>
    </row>
    <row r="61" spans="1:31" ht="16" x14ac:dyDescent="0.2">
      <c r="A61" s="89">
        <v>58</v>
      </c>
      <c r="B61" s="84" t="s">
        <v>149</v>
      </c>
      <c r="C61" s="84" t="s">
        <v>118</v>
      </c>
      <c r="D61" s="83">
        <v>31</v>
      </c>
      <c r="E61" s="83" t="s">
        <v>79</v>
      </c>
      <c r="F61" s="83">
        <v>2</v>
      </c>
      <c r="G61" s="83">
        <v>1</v>
      </c>
      <c r="H61" s="83" t="s">
        <v>936</v>
      </c>
      <c r="I61" s="83">
        <v>16</v>
      </c>
      <c r="J61" s="83">
        <v>30</v>
      </c>
      <c r="K61" s="83">
        <v>53.3</v>
      </c>
      <c r="L61" s="83">
        <v>208</v>
      </c>
      <c r="M61" s="83">
        <v>0</v>
      </c>
      <c r="N61" s="83">
        <v>0</v>
      </c>
      <c r="O61" s="83">
        <v>0</v>
      </c>
      <c r="P61" s="83">
        <v>0</v>
      </c>
      <c r="Q61" s="83">
        <v>10</v>
      </c>
      <c r="R61" s="83">
        <v>37</v>
      </c>
      <c r="S61" s="83">
        <v>6.9</v>
      </c>
      <c r="T61" s="83">
        <v>6.9</v>
      </c>
      <c r="U61" s="83">
        <v>13</v>
      </c>
      <c r="V61" s="83">
        <v>104</v>
      </c>
      <c r="W61" s="83">
        <v>75.400000000000006</v>
      </c>
      <c r="X61" s="83">
        <v>16.600000000000001</v>
      </c>
      <c r="Y61" s="83">
        <v>2</v>
      </c>
      <c r="Z61" s="83">
        <v>1</v>
      </c>
      <c r="AA61" s="83">
        <v>6.3</v>
      </c>
      <c r="AB61" s="83">
        <v>6.47</v>
      </c>
      <c r="AC61" s="83">
        <v>6.47</v>
      </c>
      <c r="AD61" s="83">
        <v>1</v>
      </c>
      <c r="AE61" s="83">
        <v>1</v>
      </c>
    </row>
    <row r="62" spans="1:31" ht="16" x14ac:dyDescent="0.2">
      <c r="A62" s="89">
        <v>59</v>
      </c>
      <c r="B62" s="84" t="s">
        <v>1384</v>
      </c>
      <c r="C62" s="84" t="s">
        <v>98</v>
      </c>
      <c r="D62" s="83">
        <v>30</v>
      </c>
      <c r="E62" s="83" t="s">
        <v>79</v>
      </c>
      <c r="F62" s="83">
        <v>5</v>
      </c>
      <c r="G62" s="83">
        <v>0</v>
      </c>
      <c r="H62" s="83"/>
      <c r="I62" s="83">
        <v>11</v>
      </c>
      <c r="J62" s="83">
        <v>21</v>
      </c>
      <c r="K62" s="83">
        <v>52.4</v>
      </c>
      <c r="L62" s="83">
        <v>197</v>
      </c>
      <c r="M62" s="83">
        <v>1</v>
      </c>
      <c r="N62" s="83">
        <v>4.8</v>
      </c>
      <c r="O62" s="83">
        <v>1</v>
      </c>
      <c r="P62" s="83">
        <v>4.8</v>
      </c>
      <c r="Q62" s="83">
        <v>9</v>
      </c>
      <c r="R62" s="83">
        <v>56</v>
      </c>
      <c r="S62" s="83">
        <v>9.4</v>
      </c>
      <c r="T62" s="83">
        <v>8.1999999999999993</v>
      </c>
      <c r="U62" s="83">
        <v>17.899999999999999</v>
      </c>
      <c r="V62" s="83">
        <v>39.4</v>
      </c>
      <c r="W62" s="83">
        <v>80.900000000000006</v>
      </c>
      <c r="X62" s="83">
        <v>27.4</v>
      </c>
      <c r="Y62" s="83">
        <v>1</v>
      </c>
      <c r="Z62" s="83">
        <v>7</v>
      </c>
      <c r="AA62" s="83">
        <v>4.5</v>
      </c>
      <c r="AB62" s="83">
        <v>8.64</v>
      </c>
      <c r="AC62" s="83">
        <v>7.5</v>
      </c>
      <c r="AD62" s="83"/>
      <c r="AE62" s="83"/>
    </row>
    <row r="63" spans="1:31" x14ac:dyDescent="0.2">
      <c r="A63" s="89" t="s">
        <v>902</v>
      </c>
      <c r="B63" s="89" t="s">
        <v>903</v>
      </c>
      <c r="C63" s="89" t="s">
        <v>1314</v>
      </c>
      <c r="D63" s="89" t="s">
        <v>905</v>
      </c>
      <c r="E63" s="89" t="s">
        <v>906</v>
      </c>
      <c r="F63" s="89" t="s">
        <v>1315</v>
      </c>
      <c r="G63" s="89" t="s">
        <v>1316</v>
      </c>
      <c r="H63" s="89" t="s">
        <v>1317</v>
      </c>
      <c r="I63" s="89" t="s">
        <v>1318</v>
      </c>
      <c r="J63" s="89" t="s">
        <v>1319</v>
      </c>
      <c r="K63" s="89" t="s">
        <v>1320</v>
      </c>
      <c r="L63" s="89" t="s">
        <v>799</v>
      </c>
      <c r="M63" s="89" t="s">
        <v>800</v>
      </c>
      <c r="N63" s="89" t="s">
        <v>913</v>
      </c>
      <c r="O63" s="89" t="s">
        <v>914</v>
      </c>
      <c r="P63" s="89" t="s">
        <v>915</v>
      </c>
      <c r="Q63" s="89" t="s">
        <v>1321</v>
      </c>
      <c r="R63" s="89" t="s">
        <v>917</v>
      </c>
      <c r="S63" s="89" t="s">
        <v>1322</v>
      </c>
      <c r="T63" s="89" t="s">
        <v>1323</v>
      </c>
      <c r="U63" s="89" t="s">
        <v>1324</v>
      </c>
      <c r="V63" s="89" t="s">
        <v>1325</v>
      </c>
      <c r="W63" s="89" t="s">
        <v>1326</v>
      </c>
      <c r="X63" s="89" t="s">
        <v>923</v>
      </c>
      <c r="Y63" s="89" t="s">
        <v>1327</v>
      </c>
      <c r="Z63" s="89" t="s">
        <v>799</v>
      </c>
      <c r="AA63" s="89" t="s">
        <v>928</v>
      </c>
      <c r="AB63" s="89" t="s">
        <v>1329</v>
      </c>
      <c r="AC63" s="89" t="s">
        <v>1330</v>
      </c>
      <c r="AD63" s="89" t="s">
        <v>929</v>
      </c>
      <c r="AE63" s="89" t="s">
        <v>930</v>
      </c>
    </row>
    <row r="64" spans="1:31" ht="16" x14ac:dyDescent="0.2">
      <c r="A64" s="89">
        <v>60</v>
      </c>
      <c r="B64" s="84" t="s">
        <v>1382</v>
      </c>
      <c r="C64" s="84" t="s">
        <v>74</v>
      </c>
      <c r="D64" s="83">
        <v>26</v>
      </c>
      <c r="E64" s="83" t="s">
        <v>79</v>
      </c>
      <c r="F64" s="83">
        <v>5</v>
      </c>
      <c r="G64" s="83">
        <v>1</v>
      </c>
      <c r="H64" s="83" t="s">
        <v>936</v>
      </c>
      <c r="I64" s="83">
        <v>17</v>
      </c>
      <c r="J64" s="83">
        <v>32</v>
      </c>
      <c r="K64" s="83">
        <v>53.1</v>
      </c>
      <c r="L64" s="83">
        <v>164</v>
      </c>
      <c r="M64" s="83">
        <v>1</v>
      </c>
      <c r="N64" s="83">
        <v>3.1</v>
      </c>
      <c r="O64" s="83">
        <v>2</v>
      </c>
      <c r="P64" s="83">
        <v>6.3</v>
      </c>
      <c r="Q64" s="83">
        <v>8</v>
      </c>
      <c r="R64" s="83">
        <v>30</v>
      </c>
      <c r="S64" s="83">
        <v>5.0999999999999996</v>
      </c>
      <c r="T64" s="83">
        <v>2.9</v>
      </c>
      <c r="U64" s="83">
        <v>9.6</v>
      </c>
      <c r="V64" s="83">
        <v>32.799999999999997</v>
      </c>
      <c r="W64" s="83">
        <v>52.1</v>
      </c>
      <c r="X64" s="83">
        <v>41.4</v>
      </c>
      <c r="Y64" s="83">
        <v>9</v>
      </c>
      <c r="Z64" s="83">
        <v>63</v>
      </c>
      <c r="AA64" s="83">
        <v>22</v>
      </c>
      <c r="AB64" s="83">
        <v>2.46</v>
      </c>
      <c r="AC64" s="83">
        <v>0.76</v>
      </c>
      <c r="AD64" s="83"/>
      <c r="AE64" s="83"/>
    </row>
    <row r="65" spans="1:31" ht="16" x14ac:dyDescent="0.2">
      <c r="A65" s="89">
        <v>61</v>
      </c>
      <c r="B65" s="84" t="s">
        <v>1385</v>
      </c>
      <c r="C65" s="84" t="s">
        <v>976</v>
      </c>
      <c r="D65" s="83">
        <v>31</v>
      </c>
      <c r="E65" s="83" t="s">
        <v>79</v>
      </c>
      <c r="F65" s="83">
        <v>4</v>
      </c>
      <c r="G65" s="83">
        <v>0</v>
      </c>
      <c r="H65" s="83"/>
      <c r="I65" s="83">
        <v>9</v>
      </c>
      <c r="J65" s="83">
        <v>16</v>
      </c>
      <c r="K65" s="83">
        <v>56.3</v>
      </c>
      <c r="L65" s="83">
        <v>143</v>
      </c>
      <c r="M65" s="83">
        <v>2</v>
      </c>
      <c r="N65" s="83">
        <v>12.5</v>
      </c>
      <c r="O65" s="83">
        <v>0</v>
      </c>
      <c r="P65" s="83">
        <v>0</v>
      </c>
      <c r="Q65" s="83">
        <v>5</v>
      </c>
      <c r="R65" s="83">
        <v>35</v>
      </c>
      <c r="S65" s="83">
        <v>8.9</v>
      </c>
      <c r="T65" s="83">
        <v>11.4</v>
      </c>
      <c r="U65" s="83">
        <v>15.9</v>
      </c>
      <c r="V65" s="83">
        <v>35.799999999999997</v>
      </c>
      <c r="W65" s="83">
        <v>125.8</v>
      </c>
      <c r="X65" s="83">
        <v>53.1</v>
      </c>
      <c r="Y65" s="83">
        <v>1</v>
      </c>
      <c r="Z65" s="83">
        <v>7</v>
      </c>
      <c r="AA65" s="83">
        <v>5.9</v>
      </c>
      <c r="AB65" s="83">
        <v>8</v>
      </c>
      <c r="AC65" s="83">
        <v>10.35</v>
      </c>
      <c r="AD65" s="83"/>
      <c r="AE65" s="83"/>
    </row>
    <row r="66" spans="1:31" ht="16" x14ac:dyDescent="0.2">
      <c r="A66" s="89">
        <v>62</v>
      </c>
      <c r="B66" s="84" t="s">
        <v>167</v>
      </c>
      <c r="C66" s="84" t="s">
        <v>119</v>
      </c>
      <c r="D66" s="83">
        <v>27</v>
      </c>
      <c r="E66" s="83" t="s">
        <v>79</v>
      </c>
      <c r="F66" s="83">
        <v>1</v>
      </c>
      <c r="G66" s="83">
        <v>0</v>
      </c>
      <c r="H66" s="83"/>
      <c r="I66" s="83">
        <v>12</v>
      </c>
      <c r="J66" s="83">
        <v>19</v>
      </c>
      <c r="K66" s="83">
        <v>63.2</v>
      </c>
      <c r="L66" s="83">
        <v>137</v>
      </c>
      <c r="M66" s="83">
        <v>1</v>
      </c>
      <c r="N66" s="83">
        <v>5.3</v>
      </c>
      <c r="O66" s="83">
        <v>0</v>
      </c>
      <c r="P66" s="83">
        <v>0</v>
      </c>
      <c r="Q66" s="83">
        <v>6</v>
      </c>
      <c r="R66" s="83">
        <v>29</v>
      </c>
      <c r="S66" s="83">
        <v>7.2</v>
      </c>
      <c r="T66" s="83">
        <v>8.3000000000000007</v>
      </c>
      <c r="U66" s="83">
        <v>11.4</v>
      </c>
      <c r="V66" s="83">
        <v>137</v>
      </c>
      <c r="W66" s="83">
        <v>102.3</v>
      </c>
      <c r="X66" s="83">
        <v>40.700000000000003</v>
      </c>
      <c r="Y66" s="83">
        <v>1</v>
      </c>
      <c r="Z66" s="83">
        <v>7</v>
      </c>
      <c r="AA66" s="83">
        <v>5</v>
      </c>
      <c r="AB66" s="83">
        <v>6.5</v>
      </c>
      <c r="AC66" s="83">
        <v>7.5</v>
      </c>
      <c r="AD66" s="83"/>
      <c r="AE66" s="83"/>
    </row>
    <row r="67" spans="1:31" ht="16" x14ac:dyDescent="0.2">
      <c r="A67" s="89">
        <v>63</v>
      </c>
      <c r="B67" s="84" t="s">
        <v>231</v>
      </c>
      <c r="C67" s="84" t="s">
        <v>1122</v>
      </c>
      <c r="D67" s="83">
        <v>35</v>
      </c>
      <c r="E67" s="83" t="s">
        <v>79</v>
      </c>
      <c r="F67" s="83">
        <v>1</v>
      </c>
      <c r="G67" s="83">
        <v>1</v>
      </c>
      <c r="H67" s="83" t="s">
        <v>958</v>
      </c>
      <c r="I67" s="83">
        <v>15</v>
      </c>
      <c r="J67" s="83">
        <v>24</v>
      </c>
      <c r="K67" s="83">
        <v>62.5</v>
      </c>
      <c r="L67" s="83">
        <v>130</v>
      </c>
      <c r="M67" s="83">
        <v>0</v>
      </c>
      <c r="N67" s="83">
        <v>0</v>
      </c>
      <c r="O67" s="83">
        <v>1</v>
      </c>
      <c r="P67" s="83">
        <v>4.2</v>
      </c>
      <c r="Q67" s="83">
        <v>8</v>
      </c>
      <c r="R67" s="83">
        <v>25</v>
      </c>
      <c r="S67" s="83">
        <v>5.4</v>
      </c>
      <c r="T67" s="83">
        <v>3.5</v>
      </c>
      <c r="U67" s="83">
        <v>8.6999999999999993</v>
      </c>
      <c r="V67" s="83">
        <v>130</v>
      </c>
      <c r="W67" s="83">
        <v>59.4</v>
      </c>
      <c r="X67" s="83">
        <v>22.4</v>
      </c>
      <c r="Y67" s="83">
        <v>2</v>
      </c>
      <c r="Z67" s="83">
        <v>18</v>
      </c>
      <c r="AA67" s="83">
        <v>7.7</v>
      </c>
      <c r="AB67" s="83">
        <v>4.3099999999999996</v>
      </c>
      <c r="AC67" s="83">
        <v>2.58</v>
      </c>
      <c r="AD67" s="83"/>
      <c r="AE67" s="83"/>
    </row>
    <row r="68" spans="1:31" ht="16" x14ac:dyDescent="0.2">
      <c r="A68" s="89">
        <v>64</v>
      </c>
      <c r="B68" s="84" t="s">
        <v>207</v>
      </c>
      <c r="C68" s="84" t="s">
        <v>78</v>
      </c>
      <c r="D68" s="83">
        <v>25</v>
      </c>
      <c r="E68" s="83" t="s">
        <v>79</v>
      </c>
      <c r="F68" s="83">
        <v>5</v>
      </c>
      <c r="G68" s="83">
        <v>0</v>
      </c>
      <c r="H68" s="83"/>
      <c r="I68" s="83">
        <v>11</v>
      </c>
      <c r="J68" s="83">
        <v>16</v>
      </c>
      <c r="K68" s="83">
        <v>68.8</v>
      </c>
      <c r="L68" s="83">
        <v>105</v>
      </c>
      <c r="M68" s="83">
        <v>1</v>
      </c>
      <c r="N68" s="83">
        <v>6.3</v>
      </c>
      <c r="O68" s="83">
        <v>1</v>
      </c>
      <c r="P68" s="83">
        <v>6.3</v>
      </c>
      <c r="Q68" s="83">
        <v>5</v>
      </c>
      <c r="R68" s="83">
        <v>19</v>
      </c>
      <c r="S68" s="83">
        <v>6.6</v>
      </c>
      <c r="T68" s="83">
        <v>5</v>
      </c>
      <c r="U68" s="83">
        <v>9.5</v>
      </c>
      <c r="V68" s="83">
        <v>21</v>
      </c>
      <c r="W68" s="83">
        <v>81.5</v>
      </c>
      <c r="X68" s="83">
        <v>29.6</v>
      </c>
      <c r="Y68" s="83">
        <v>2</v>
      </c>
      <c r="Z68" s="83">
        <v>10</v>
      </c>
      <c r="AA68" s="83">
        <v>11.1</v>
      </c>
      <c r="AB68" s="83">
        <v>5.28</v>
      </c>
      <c r="AC68" s="83">
        <v>3.89</v>
      </c>
      <c r="AD68" s="83"/>
      <c r="AE68" s="83"/>
    </row>
    <row r="69" spans="1:31" ht="16" x14ac:dyDescent="0.2">
      <c r="A69" s="89">
        <v>65</v>
      </c>
      <c r="B69" s="84" t="s">
        <v>1387</v>
      </c>
      <c r="C69" s="84" t="s">
        <v>725</v>
      </c>
      <c r="D69" s="83">
        <v>25</v>
      </c>
      <c r="E69" s="83" t="s">
        <v>79</v>
      </c>
      <c r="F69" s="83">
        <v>2</v>
      </c>
      <c r="G69" s="83">
        <v>0</v>
      </c>
      <c r="H69" s="83"/>
      <c r="I69" s="83">
        <v>3</v>
      </c>
      <c r="J69" s="83">
        <v>10</v>
      </c>
      <c r="K69" s="83">
        <v>30</v>
      </c>
      <c r="L69" s="83">
        <v>90</v>
      </c>
      <c r="M69" s="83">
        <v>1</v>
      </c>
      <c r="N69" s="83">
        <v>10</v>
      </c>
      <c r="O69" s="83">
        <v>0</v>
      </c>
      <c r="P69" s="83">
        <v>0</v>
      </c>
      <c r="Q69" s="83">
        <v>2</v>
      </c>
      <c r="R69" s="83">
        <v>70</v>
      </c>
      <c r="S69" s="83">
        <v>9</v>
      </c>
      <c r="T69" s="83">
        <v>11</v>
      </c>
      <c r="U69" s="83">
        <v>30</v>
      </c>
      <c r="V69" s="83">
        <v>45</v>
      </c>
      <c r="W69" s="83">
        <v>97.9</v>
      </c>
      <c r="X69" s="83">
        <v>28.9</v>
      </c>
      <c r="Y69" s="83">
        <v>0</v>
      </c>
      <c r="Z69" s="83">
        <v>0</v>
      </c>
      <c r="AA69" s="83">
        <v>0</v>
      </c>
      <c r="AB69" s="83">
        <v>9</v>
      </c>
      <c r="AC69" s="83">
        <v>11</v>
      </c>
      <c r="AD69" s="83"/>
      <c r="AE69" s="83"/>
    </row>
    <row r="70" spans="1:31" ht="16" x14ac:dyDescent="0.2">
      <c r="A70" s="89">
        <v>66</v>
      </c>
      <c r="B70" s="84" t="s">
        <v>155</v>
      </c>
      <c r="C70" s="84" t="s">
        <v>1257</v>
      </c>
      <c r="D70" s="83">
        <v>26</v>
      </c>
      <c r="E70" s="83" t="s">
        <v>79</v>
      </c>
      <c r="F70" s="83">
        <v>4</v>
      </c>
      <c r="G70" s="83">
        <v>0</v>
      </c>
      <c r="H70" s="83"/>
      <c r="I70" s="83">
        <v>7</v>
      </c>
      <c r="J70" s="83">
        <v>11</v>
      </c>
      <c r="K70" s="83">
        <v>63.6</v>
      </c>
      <c r="L70" s="83">
        <v>75</v>
      </c>
      <c r="M70" s="83">
        <v>0</v>
      </c>
      <c r="N70" s="83">
        <v>0</v>
      </c>
      <c r="O70" s="83">
        <v>0</v>
      </c>
      <c r="P70" s="83">
        <v>0</v>
      </c>
      <c r="Q70" s="83">
        <v>5</v>
      </c>
      <c r="R70" s="83">
        <v>19</v>
      </c>
      <c r="S70" s="83">
        <v>6.8</v>
      </c>
      <c r="T70" s="83">
        <v>6.8</v>
      </c>
      <c r="U70" s="83">
        <v>10.7</v>
      </c>
      <c r="V70" s="83">
        <v>18.8</v>
      </c>
      <c r="W70" s="83">
        <v>83.5</v>
      </c>
      <c r="X70" s="83">
        <v>12</v>
      </c>
      <c r="Y70" s="83">
        <v>2</v>
      </c>
      <c r="Z70" s="83">
        <v>11</v>
      </c>
      <c r="AA70" s="83">
        <v>15.4</v>
      </c>
      <c r="AB70" s="83">
        <v>4.92</v>
      </c>
      <c r="AC70" s="83">
        <v>4.92</v>
      </c>
      <c r="AD70" s="83"/>
      <c r="AE70" s="83"/>
    </row>
    <row r="71" spans="1:31" ht="16" x14ac:dyDescent="0.2">
      <c r="A71" s="89">
        <v>67</v>
      </c>
      <c r="B71" s="84" t="s">
        <v>178</v>
      </c>
      <c r="C71" s="84" t="s">
        <v>82</v>
      </c>
      <c r="D71" s="83">
        <v>28</v>
      </c>
      <c r="E71" s="83" t="s">
        <v>83</v>
      </c>
      <c r="F71" s="83">
        <v>15</v>
      </c>
      <c r="G71" s="83">
        <v>14</v>
      </c>
      <c r="H71" s="83"/>
      <c r="I71" s="83">
        <v>4</v>
      </c>
      <c r="J71" s="83">
        <v>4</v>
      </c>
      <c r="K71" s="83">
        <v>100</v>
      </c>
      <c r="L71" s="83">
        <v>74</v>
      </c>
      <c r="M71" s="83">
        <v>1</v>
      </c>
      <c r="N71" s="83">
        <v>25</v>
      </c>
      <c r="O71" s="83">
        <v>0</v>
      </c>
      <c r="P71" s="83">
        <v>0</v>
      </c>
      <c r="Q71" s="83">
        <v>4</v>
      </c>
      <c r="R71" s="83">
        <v>37</v>
      </c>
      <c r="S71" s="83">
        <v>18.5</v>
      </c>
      <c r="T71" s="83">
        <v>23.5</v>
      </c>
      <c r="U71" s="83">
        <v>18.5</v>
      </c>
      <c r="V71" s="83">
        <v>4.9000000000000004</v>
      </c>
      <c r="W71" s="83">
        <v>158.30000000000001</v>
      </c>
      <c r="X71" s="83">
        <v>100</v>
      </c>
      <c r="Y71" s="83">
        <v>0</v>
      </c>
      <c r="Z71" s="83">
        <v>0</v>
      </c>
      <c r="AA71" s="83">
        <v>0</v>
      </c>
      <c r="AB71" s="83">
        <v>18.5</v>
      </c>
      <c r="AC71" s="83">
        <v>23.5</v>
      </c>
      <c r="AD71" s="83"/>
      <c r="AE71" s="83"/>
    </row>
    <row r="72" spans="1:31" ht="16" x14ac:dyDescent="0.2">
      <c r="A72" s="89">
        <v>68</v>
      </c>
      <c r="B72" s="84" t="s">
        <v>205</v>
      </c>
      <c r="C72" s="84" t="s">
        <v>139</v>
      </c>
      <c r="D72" s="83">
        <v>25</v>
      </c>
      <c r="E72" s="83" t="s">
        <v>79</v>
      </c>
      <c r="F72" s="83">
        <v>1</v>
      </c>
      <c r="G72" s="83">
        <v>0</v>
      </c>
      <c r="H72" s="83"/>
      <c r="I72" s="83">
        <v>6</v>
      </c>
      <c r="J72" s="83">
        <v>10</v>
      </c>
      <c r="K72" s="83">
        <v>60</v>
      </c>
      <c r="L72" s="83">
        <v>49</v>
      </c>
      <c r="M72" s="83">
        <v>0</v>
      </c>
      <c r="N72" s="83">
        <v>0</v>
      </c>
      <c r="O72" s="83">
        <v>1</v>
      </c>
      <c r="P72" s="83">
        <v>10</v>
      </c>
      <c r="Q72" s="83">
        <v>1</v>
      </c>
      <c r="R72" s="83">
        <v>20</v>
      </c>
      <c r="S72" s="83">
        <v>4.9000000000000004</v>
      </c>
      <c r="T72" s="83">
        <v>0.4</v>
      </c>
      <c r="U72" s="83">
        <v>8.1999999999999993</v>
      </c>
      <c r="V72" s="83">
        <v>49</v>
      </c>
      <c r="W72" s="83">
        <v>32.9</v>
      </c>
      <c r="X72" s="83">
        <v>11.2</v>
      </c>
      <c r="Y72" s="83">
        <v>1</v>
      </c>
      <c r="Z72" s="83">
        <v>10</v>
      </c>
      <c r="AA72" s="83">
        <v>9.1</v>
      </c>
      <c r="AB72" s="83">
        <v>3.55</v>
      </c>
      <c r="AC72" s="83">
        <v>-0.55000000000000004</v>
      </c>
      <c r="AD72" s="83"/>
      <c r="AE72" s="83"/>
    </row>
    <row r="73" spans="1:31" ht="16" x14ac:dyDescent="0.2">
      <c r="A73" s="89">
        <v>69</v>
      </c>
      <c r="B73" s="84" t="s">
        <v>191</v>
      </c>
      <c r="C73" s="84" t="s">
        <v>82</v>
      </c>
      <c r="D73" s="83">
        <v>32</v>
      </c>
      <c r="E73" s="83" t="s">
        <v>79</v>
      </c>
      <c r="F73" s="83">
        <v>2</v>
      </c>
      <c r="G73" s="83">
        <v>0</v>
      </c>
      <c r="H73" s="83"/>
      <c r="I73" s="83">
        <v>5</v>
      </c>
      <c r="J73" s="83">
        <v>10</v>
      </c>
      <c r="K73" s="83">
        <v>50</v>
      </c>
      <c r="L73" s="83">
        <v>46</v>
      </c>
      <c r="M73" s="83">
        <v>0</v>
      </c>
      <c r="N73" s="83">
        <v>0</v>
      </c>
      <c r="O73" s="83">
        <v>0</v>
      </c>
      <c r="P73" s="83">
        <v>0</v>
      </c>
      <c r="Q73" s="83">
        <v>2</v>
      </c>
      <c r="R73" s="83">
        <v>24</v>
      </c>
      <c r="S73" s="83">
        <v>4.5999999999999996</v>
      </c>
      <c r="T73" s="83">
        <v>4.5999999999999996</v>
      </c>
      <c r="U73" s="83">
        <v>9.1999999999999993</v>
      </c>
      <c r="V73" s="83">
        <v>23</v>
      </c>
      <c r="W73" s="83">
        <v>62.9</v>
      </c>
      <c r="X73" s="83">
        <v>34.700000000000003</v>
      </c>
      <c r="Y73" s="83">
        <v>0</v>
      </c>
      <c r="Z73" s="83">
        <v>0</v>
      </c>
      <c r="AA73" s="83">
        <v>0</v>
      </c>
      <c r="AB73" s="83">
        <v>4.5999999999999996</v>
      </c>
      <c r="AC73" s="83">
        <v>4.5999999999999996</v>
      </c>
      <c r="AD73" s="83"/>
      <c r="AE73" s="83"/>
    </row>
    <row r="74" spans="1:31" ht="16" x14ac:dyDescent="0.2">
      <c r="A74" s="89">
        <v>70</v>
      </c>
      <c r="B74" s="84" t="s">
        <v>237</v>
      </c>
      <c r="C74" s="84" t="s">
        <v>71</v>
      </c>
      <c r="D74" s="83">
        <v>27</v>
      </c>
      <c r="E74" s="83" t="s">
        <v>83</v>
      </c>
      <c r="F74" s="83">
        <v>12</v>
      </c>
      <c r="G74" s="83">
        <v>7</v>
      </c>
      <c r="H74" s="83"/>
      <c r="I74" s="83">
        <v>1</v>
      </c>
      <c r="J74" s="83">
        <v>1</v>
      </c>
      <c r="K74" s="83">
        <v>100</v>
      </c>
      <c r="L74" s="83">
        <v>43</v>
      </c>
      <c r="M74" s="83">
        <v>1</v>
      </c>
      <c r="N74" s="83">
        <v>100</v>
      </c>
      <c r="O74" s="83">
        <v>0</v>
      </c>
      <c r="P74" s="83">
        <v>0</v>
      </c>
      <c r="Q74" s="83">
        <v>1</v>
      </c>
      <c r="R74" s="83">
        <v>43</v>
      </c>
      <c r="S74" s="83">
        <v>43</v>
      </c>
      <c r="T74" s="83">
        <v>63</v>
      </c>
      <c r="U74" s="83">
        <v>43</v>
      </c>
      <c r="V74" s="83">
        <v>3.6</v>
      </c>
      <c r="W74" s="83">
        <v>158.30000000000001</v>
      </c>
      <c r="X74" s="83">
        <v>100</v>
      </c>
      <c r="Y74" s="83">
        <v>0</v>
      </c>
      <c r="Z74" s="83">
        <v>0</v>
      </c>
      <c r="AA74" s="83">
        <v>0</v>
      </c>
      <c r="AB74" s="83">
        <v>43</v>
      </c>
      <c r="AC74" s="83">
        <v>63</v>
      </c>
      <c r="AD74" s="83"/>
      <c r="AE74" s="83"/>
    </row>
    <row r="75" spans="1:31" ht="16" x14ac:dyDescent="0.2">
      <c r="A75" s="89">
        <v>71</v>
      </c>
      <c r="B75" s="84" t="s">
        <v>269</v>
      </c>
      <c r="C75" s="84" t="s">
        <v>1122</v>
      </c>
      <c r="D75" s="83">
        <v>24</v>
      </c>
      <c r="E75" s="83" t="s">
        <v>83</v>
      </c>
      <c r="F75" s="83">
        <v>14</v>
      </c>
      <c r="G75" s="83">
        <v>9</v>
      </c>
      <c r="H75" s="83"/>
      <c r="I75" s="83">
        <v>2</v>
      </c>
      <c r="J75" s="83">
        <v>2</v>
      </c>
      <c r="K75" s="83">
        <v>100</v>
      </c>
      <c r="L75" s="83">
        <v>43</v>
      </c>
      <c r="M75" s="83">
        <v>2</v>
      </c>
      <c r="N75" s="83">
        <v>100</v>
      </c>
      <c r="O75" s="83">
        <v>0</v>
      </c>
      <c r="P75" s="83">
        <v>0</v>
      </c>
      <c r="Q75" s="83">
        <v>2</v>
      </c>
      <c r="R75" s="83">
        <v>24</v>
      </c>
      <c r="S75" s="83">
        <v>21.5</v>
      </c>
      <c r="T75" s="83">
        <v>41.5</v>
      </c>
      <c r="U75" s="83">
        <v>21.5</v>
      </c>
      <c r="V75" s="83">
        <v>3.1</v>
      </c>
      <c r="W75" s="83">
        <v>158.30000000000001</v>
      </c>
      <c r="X75" s="83">
        <v>100</v>
      </c>
      <c r="Y75" s="83">
        <v>0</v>
      </c>
      <c r="Z75" s="83">
        <v>0</v>
      </c>
      <c r="AA75" s="83">
        <v>0</v>
      </c>
      <c r="AB75" s="83">
        <v>21.5</v>
      </c>
      <c r="AC75" s="83">
        <v>41.5</v>
      </c>
      <c r="AD75" s="83"/>
      <c r="AE75" s="83"/>
    </row>
    <row r="76" spans="1:31" ht="16" x14ac:dyDescent="0.2">
      <c r="A76" s="89">
        <v>72</v>
      </c>
      <c r="B76" s="84" t="s">
        <v>1386</v>
      </c>
      <c r="C76" s="84" t="s">
        <v>725</v>
      </c>
      <c r="D76" s="83">
        <v>30</v>
      </c>
      <c r="E76" s="83" t="s">
        <v>79</v>
      </c>
      <c r="F76" s="83">
        <v>4</v>
      </c>
      <c r="G76" s="83">
        <v>1</v>
      </c>
      <c r="H76" s="83" t="s">
        <v>958</v>
      </c>
      <c r="I76" s="83">
        <v>8</v>
      </c>
      <c r="J76" s="83">
        <v>14</v>
      </c>
      <c r="K76" s="83">
        <v>57.1</v>
      </c>
      <c r="L76" s="83">
        <v>42</v>
      </c>
      <c r="M76" s="83">
        <v>0</v>
      </c>
      <c r="N76" s="83">
        <v>0</v>
      </c>
      <c r="O76" s="83">
        <v>2</v>
      </c>
      <c r="P76" s="83">
        <v>14.3</v>
      </c>
      <c r="Q76" s="83">
        <v>1</v>
      </c>
      <c r="R76" s="83">
        <v>9</v>
      </c>
      <c r="S76" s="83">
        <v>3</v>
      </c>
      <c r="T76" s="83">
        <v>-3.4</v>
      </c>
      <c r="U76" s="83">
        <v>5.3</v>
      </c>
      <c r="V76" s="83">
        <v>10.5</v>
      </c>
      <c r="W76" s="83">
        <v>22.6</v>
      </c>
      <c r="X76" s="83">
        <v>20.2</v>
      </c>
      <c r="Y76" s="83">
        <v>3</v>
      </c>
      <c r="Z76" s="83">
        <v>20</v>
      </c>
      <c r="AA76" s="83">
        <v>17.600000000000001</v>
      </c>
      <c r="AB76" s="83">
        <v>1.29</v>
      </c>
      <c r="AC76" s="83">
        <v>-4</v>
      </c>
      <c r="AD76" s="83"/>
      <c r="AE76" s="83"/>
    </row>
    <row r="77" spans="1:31" ht="16" x14ac:dyDescent="0.2">
      <c r="A77" s="89">
        <v>73</v>
      </c>
      <c r="B77" s="84" t="s">
        <v>251</v>
      </c>
      <c r="C77" s="84" t="s">
        <v>101</v>
      </c>
      <c r="D77" s="83">
        <v>24</v>
      </c>
      <c r="E77" s="83" t="s">
        <v>83</v>
      </c>
      <c r="F77" s="83">
        <v>16</v>
      </c>
      <c r="G77" s="83">
        <v>8</v>
      </c>
      <c r="H77" s="83"/>
      <c r="I77" s="83">
        <v>1</v>
      </c>
      <c r="J77" s="83">
        <v>2</v>
      </c>
      <c r="K77" s="83">
        <v>50</v>
      </c>
      <c r="L77" s="83">
        <v>39</v>
      </c>
      <c r="M77" s="83">
        <v>1</v>
      </c>
      <c r="N77" s="83">
        <v>50</v>
      </c>
      <c r="O77" s="83">
        <v>0</v>
      </c>
      <c r="P77" s="83">
        <v>0</v>
      </c>
      <c r="Q77" s="83">
        <v>1</v>
      </c>
      <c r="R77" s="83">
        <v>39</v>
      </c>
      <c r="S77" s="83">
        <v>19.5</v>
      </c>
      <c r="T77" s="83">
        <v>29.5</v>
      </c>
      <c r="U77" s="83">
        <v>39</v>
      </c>
      <c r="V77" s="83">
        <v>2.4</v>
      </c>
      <c r="W77" s="83">
        <v>135.4</v>
      </c>
      <c r="X77" s="83">
        <v>100</v>
      </c>
      <c r="Y77" s="83">
        <v>0</v>
      </c>
      <c r="Z77" s="83">
        <v>0</v>
      </c>
      <c r="AA77" s="83">
        <v>0</v>
      </c>
      <c r="AB77" s="83">
        <v>19.5</v>
      </c>
      <c r="AC77" s="83">
        <v>29.5</v>
      </c>
      <c r="AD77" s="83"/>
      <c r="AE77" s="83"/>
    </row>
    <row r="78" spans="1:31" ht="16" x14ac:dyDescent="0.2">
      <c r="A78" s="89">
        <v>74</v>
      </c>
      <c r="B78" s="84" t="s">
        <v>1393</v>
      </c>
      <c r="C78" s="84" t="s">
        <v>1122</v>
      </c>
      <c r="D78" s="83">
        <v>34</v>
      </c>
      <c r="E78" s="83" t="s">
        <v>83</v>
      </c>
      <c r="F78" s="83">
        <v>6</v>
      </c>
      <c r="G78" s="83">
        <v>1</v>
      </c>
      <c r="H78" s="83"/>
      <c r="I78" s="83">
        <v>2</v>
      </c>
      <c r="J78" s="83">
        <v>2</v>
      </c>
      <c r="K78" s="83">
        <v>100</v>
      </c>
      <c r="L78" s="83">
        <v>38</v>
      </c>
      <c r="M78" s="83">
        <v>0</v>
      </c>
      <c r="N78" s="83">
        <v>0</v>
      </c>
      <c r="O78" s="83">
        <v>0</v>
      </c>
      <c r="P78" s="83">
        <v>0</v>
      </c>
      <c r="Q78" s="83">
        <v>2</v>
      </c>
      <c r="R78" s="83">
        <v>22</v>
      </c>
      <c r="S78" s="83">
        <v>19</v>
      </c>
      <c r="T78" s="83">
        <v>19</v>
      </c>
      <c r="U78" s="83">
        <v>19</v>
      </c>
      <c r="V78" s="83">
        <v>6.3</v>
      </c>
      <c r="W78" s="83">
        <v>118.7</v>
      </c>
      <c r="X78" s="83">
        <v>98</v>
      </c>
      <c r="Y78" s="83">
        <v>0</v>
      </c>
      <c r="Z78" s="83">
        <v>0</v>
      </c>
      <c r="AA78" s="83">
        <v>0</v>
      </c>
      <c r="AB78" s="83">
        <v>19</v>
      </c>
      <c r="AC78" s="83">
        <v>19</v>
      </c>
      <c r="AD78" s="83"/>
      <c r="AE78" s="83"/>
    </row>
    <row r="79" spans="1:31" ht="16" x14ac:dyDescent="0.2">
      <c r="A79" s="89">
        <v>75</v>
      </c>
      <c r="B79" s="84" t="s">
        <v>208</v>
      </c>
      <c r="C79" s="84" t="s">
        <v>108</v>
      </c>
      <c r="D79" s="83">
        <v>30</v>
      </c>
      <c r="E79" s="83" t="s">
        <v>79</v>
      </c>
      <c r="F79" s="83">
        <v>1</v>
      </c>
      <c r="G79" s="83">
        <v>0</v>
      </c>
      <c r="H79" s="83"/>
      <c r="I79" s="83">
        <v>4</v>
      </c>
      <c r="J79" s="83">
        <v>5</v>
      </c>
      <c r="K79" s="83">
        <v>80</v>
      </c>
      <c r="L79" s="83">
        <v>33</v>
      </c>
      <c r="M79" s="83">
        <v>0</v>
      </c>
      <c r="N79" s="83">
        <v>0</v>
      </c>
      <c r="O79" s="83">
        <v>0</v>
      </c>
      <c r="P79" s="83">
        <v>0</v>
      </c>
      <c r="Q79" s="83">
        <v>3</v>
      </c>
      <c r="R79" s="83">
        <v>14</v>
      </c>
      <c r="S79" s="83">
        <v>6.6</v>
      </c>
      <c r="T79" s="83">
        <v>6.6</v>
      </c>
      <c r="U79" s="83">
        <v>8.3000000000000007</v>
      </c>
      <c r="V79" s="83">
        <v>33</v>
      </c>
      <c r="W79" s="83">
        <v>94.2</v>
      </c>
      <c r="X79" s="83">
        <v>3.9</v>
      </c>
      <c r="Y79" s="83">
        <v>1</v>
      </c>
      <c r="Z79" s="83">
        <v>3</v>
      </c>
      <c r="AA79" s="83">
        <v>16.7</v>
      </c>
      <c r="AB79" s="83">
        <v>5</v>
      </c>
      <c r="AC79" s="83">
        <v>5</v>
      </c>
      <c r="AD79" s="83"/>
      <c r="AE79" s="83"/>
    </row>
    <row r="80" spans="1:31" ht="16" x14ac:dyDescent="0.2">
      <c r="A80" s="89">
        <v>76</v>
      </c>
      <c r="B80" s="84" t="s">
        <v>357</v>
      </c>
      <c r="C80" s="84" t="s">
        <v>142</v>
      </c>
      <c r="D80" s="83">
        <v>23</v>
      </c>
      <c r="E80" s="83" t="s">
        <v>83</v>
      </c>
      <c r="F80" s="83">
        <v>10</v>
      </c>
      <c r="G80" s="83">
        <v>4</v>
      </c>
      <c r="H80" s="83"/>
      <c r="I80" s="83">
        <v>1</v>
      </c>
      <c r="J80" s="83">
        <v>2</v>
      </c>
      <c r="K80" s="83">
        <v>50</v>
      </c>
      <c r="L80" s="83">
        <v>32</v>
      </c>
      <c r="M80" s="83">
        <v>0</v>
      </c>
      <c r="N80" s="83">
        <v>0</v>
      </c>
      <c r="O80" s="83">
        <v>0</v>
      </c>
      <c r="P80" s="83">
        <v>0</v>
      </c>
      <c r="Q80" s="83">
        <v>1</v>
      </c>
      <c r="R80" s="83">
        <v>32</v>
      </c>
      <c r="S80" s="83">
        <v>16</v>
      </c>
      <c r="T80" s="83">
        <v>16</v>
      </c>
      <c r="U80" s="83">
        <v>32</v>
      </c>
      <c r="V80" s="83">
        <v>3.2</v>
      </c>
      <c r="W80" s="83">
        <v>95.8</v>
      </c>
      <c r="X80" s="83">
        <v>32.9</v>
      </c>
      <c r="Y80" s="83">
        <v>0</v>
      </c>
      <c r="Z80" s="83">
        <v>0</v>
      </c>
      <c r="AA80" s="83">
        <v>0</v>
      </c>
      <c r="AB80" s="83">
        <v>16</v>
      </c>
      <c r="AC80" s="83">
        <v>16</v>
      </c>
      <c r="AD80" s="83"/>
      <c r="AE80" s="83"/>
    </row>
    <row r="81" spans="1:31" ht="16" x14ac:dyDescent="0.2">
      <c r="A81" s="89">
        <v>77</v>
      </c>
      <c r="B81" s="84" t="s">
        <v>217</v>
      </c>
      <c r="C81" s="84" t="s">
        <v>102</v>
      </c>
      <c r="D81" s="83">
        <v>27</v>
      </c>
      <c r="E81" s="83" t="s">
        <v>79</v>
      </c>
      <c r="F81" s="83">
        <v>1</v>
      </c>
      <c r="G81" s="83">
        <v>0</v>
      </c>
      <c r="H81" s="83"/>
      <c r="I81" s="83">
        <v>5</v>
      </c>
      <c r="J81" s="83">
        <v>12</v>
      </c>
      <c r="K81" s="83">
        <v>41.7</v>
      </c>
      <c r="L81" s="83">
        <v>32</v>
      </c>
      <c r="M81" s="83">
        <v>0</v>
      </c>
      <c r="N81" s="83">
        <v>0</v>
      </c>
      <c r="O81" s="83">
        <v>1</v>
      </c>
      <c r="P81" s="83">
        <v>8.3000000000000007</v>
      </c>
      <c r="Q81" s="83">
        <v>1</v>
      </c>
      <c r="R81" s="83">
        <v>10</v>
      </c>
      <c r="S81" s="83">
        <v>2.7</v>
      </c>
      <c r="T81" s="83">
        <v>-1.1000000000000001</v>
      </c>
      <c r="U81" s="83">
        <v>6.4</v>
      </c>
      <c r="V81" s="83">
        <v>32</v>
      </c>
      <c r="W81" s="83">
        <v>14.6</v>
      </c>
      <c r="X81" s="83">
        <v>1.6</v>
      </c>
      <c r="Y81" s="83">
        <v>2</v>
      </c>
      <c r="Z81" s="83">
        <v>16</v>
      </c>
      <c r="AA81" s="83">
        <v>14.3</v>
      </c>
      <c r="AB81" s="83">
        <v>1.1399999999999999</v>
      </c>
      <c r="AC81" s="83">
        <v>-2.0699999999999998</v>
      </c>
      <c r="AD81" s="83"/>
      <c r="AE81" s="83"/>
    </row>
    <row r="82" spans="1:31" ht="16" x14ac:dyDescent="0.2">
      <c r="A82" s="89">
        <v>78</v>
      </c>
      <c r="B82" s="84" t="s">
        <v>1403</v>
      </c>
      <c r="C82" s="84" t="s">
        <v>933</v>
      </c>
      <c r="D82" s="83">
        <v>25</v>
      </c>
      <c r="E82" s="83" t="s">
        <v>83</v>
      </c>
      <c r="F82" s="83">
        <v>16</v>
      </c>
      <c r="G82" s="83">
        <v>2</v>
      </c>
      <c r="H82" s="83"/>
      <c r="I82" s="83">
        <v>1</v>
      </c>
      <c r="J82" s="83">
        <v>1</v>
      </c>
      <c r="K82" s="83">
        <v>100</v>
      </c>
      <c r="L82" s="83">
        <v>29</v>
      </c>
      <c r="M82" s="83">
        <v>0</v>
      </c>
      <c r="N82" s="83">
        <v>0</v>
      </c>
      <c r="O82" s="83">
        <v>0</v>
      </c>
      <c r="P82" s="83">
        <v>0</v>
      </c>
      <c r="Q82" s="83">
        <v>1</v>
      </c>
      <c r="R82" s="83">
        <v>29</v>
      </c>
      <c r="S82" s="83">
        <v>29</v>
      </c>
      <c r="T82" s="83">
        <v>29</v>
      </c>
      <c r="U82" s="83">
        <v>29</v>
      </c>
      <c r="V82" s="83">
        <v>1.8</v>
      </c>
      <c r="W82" s="83">
        <v>118.7</v>
      </c>
      <c r="X82" s="83">
        <v>100</v>
      </c>
      <c r="Y82" s="83">
        <v>0</v>
      </c>
      <c r="Z82" s="83">
        <v>0</v>
      </c>
      <c r="AA82" s="83">
        <v>0</v>
      </c>
      <c r="AB82" s="83">
        <v>29</v>
      </c>
      <c r="AC82" s="83">
        <v>29</v>
      </c>
      <c r="AD82" s="83"/>
      <c r="AE82" s="83"/>
    </row>
    <row r="83" spans="1:31" ht="16" x14ac:dyDescent="0.2">
      <c r="A83" s="89">
        <v>79</v>
      </c>
      <c r="B83" s="84" t="s">
        <v>1398</v>
      </c>
      <c r="C83" s="84" t="s">
        <v>70</v>
      </c>
      <c r="D83" s="83">
        <v>23</v>
      </c>
      <c r="E83" s="83" t="s">
        <v>3105</v>
      </c>
      <c r="F83" s="83">
        <v>16</v>
      </c>
      <c r="G83" s="83">
        <v>0</v>
      </c>
      <c r="H83" s="83"/>
      <c r="I83" s="83">
        <v>1</v>
      </c>
      <c r="J83" s="83">
        <v>1</v>
      </c>
      <c r="K83" s="83">
        <v>100</v>
      </c>
      <c r="L83" s="83">
        <v>28</v>
      </c>
      <c r="M83" s="83">
        <v>0</v>
      </c>
      <c r="N83" s="83">
        <v>0</v>
      </c>
      <c r="O83" s="83">
        <v>0</v>
      </c>
      <c r="P83" s="83">
        <v>0</v>
      </c>
      <c r="Q83" s="83">
        <v>1</v>
      </c>
      <c r="R83" s="83">
        <v>28</v>
      </c>
      <c r="S83" s="83">
        <v>28</v>
      </c>
      <c r="T83" s="83">
        <v>28</v>
      </c>
      <c r="U83" s="83">
        <v>28</v>
      </c>
      <c r="V83" s="83">
        <v>1.8</v>
      </c>
      <c r="W83" s="83">
        <v>118.7</v>
      </c>
      <c r="X83" s="83">
        <v>99.9</v>
      </c>
      <c r="Y83" s="83">
        <v>1</v>
      </c>
      <c r="Z83" s="83">
        <v>5</v>
      </c>
      <c r="AA83" s="83">
        <v>50</v>
      </c>
      <c r="AB83" s="83">
        <v>11.5</v>
      </c>
      <c r="AC83" s="83">
        <v>11.5</v>
      </c>
      <c r="AD83" s="83"/>
      <c r="AE83" s="83"/>
    </row>
    <row r="84" spans="1:31" ht="16" x14ac:dyDescent="0.2">
      <c r="A84" s="89">
        <v>80</v>
      </c>
      <c r="B84" s="84" t="s">
        <v>257</v>
      </c>
      <c r="C84" s="84" t="s">
        <v>119</v>
      </c>
      <c r="D84" s="83">
        <v>29</v>
      </c>
      <c r="E84" s="83" t="s">
        <v>88</v>
      </c>
      <c r="F84" s="83">
        <v>16</v>
      </c>
      <c r="G84" s="83">
        <v>15</v>
      </c>
      <c r="H84" s="83"/>
      <c r="I84" s="83">
        <v>1</v>
      </c>
      <c r="J84" s="83">
        <v>1</v>
      </c>
      <c r="K84" s="83">
        <v>100</v>
      </c>
      <c r="L84" s="83">
        <v>28</v>
      </c>
      <c r="M84" s="83">
        <v>0</v>
      </c>
      <c r="N84" s="83">
        <v>0</v>
      </c>
      <c r="O84" s="83">
        <v>0</v>
      </c>
      <c r="P84" s="83">
        <v>0</v>
      </c>
      <c r="Q84" s="83">
        <v>1</v>
      </c>
      <c r="R84" s="83">
        <v>28</v>
      </c>
      <c r="S84" s="83">
        <v>28</v>
      </c>
      <c r="T84" s="83">
        <v>28</v>
      </c>
      <c r="U84" s="83">
        <v>28</v>
      </c>
      <c r="V84" s="83">
        <v>1.8</v>
      </c>
      <c r="W84" s="83">
        <v>118.7</v>
      </c>
      <c r="X84" s="83">
        <v>40.1</v>
      </c>
      <c r="Y84" s="83">
        <v>0</v>
      </c>
      <c r="Z84" s="83">
        <v>0</v>
      </c>
      <c r="AA84" s="83">
        <v>0</v>
      </c>
      <c r="AB84" s="83">
        <v>28</v>
      </c>
      <c r="AC84" s="83">
        <v>28</v>
      </c>
      <c r="AD84" s="83"/>
      <c r="AE84" s="83"/>
    </row>
    <row r="85" spans="1:31" ht="16" x14ac:dyDescent="0.2">
      <c r="A85" s="89">
        <v>81</v>
      </c>
      <c r="B85" s="84" t="s">
        <v>1406</v>
      </c>
      <c r="C85" s="84" t="s">
        <v>78</v>
      </c>
      <c r="D85" s="83">
        <v>38</v>
      </c>
      <c r="E85" s="83" t="s">
        <v>3105</v>
      </c>
      <c r="F85" s="83">
        <v>16</v>
      </c>
      <c r="G85" s="83">
        <v>0</v>
      </c>
      <c r="H85" s="83"/>
      <c r="I85" s="83">
        <v>1</v>
      </c>
      <c r="J85" s="83">
        <v>1</v>
      </c>
      <c r="K85" s="83">
        <v>100</v>
      </c>
      <c r="L85" s="83">
        <v>26</v>
      </c>
      <c r="M85" s="83">
        <v>0</v>
      </c>
      <c r="N85" s="83">
        <v>0</v>
      </c>
      <c r="O85" s="83">
        <v>0</v>
      </c>
      <c r="P85" s="83">
        <v>0</v>
      </c>
      <c r="Q85" s="83">
        <v>1</v>
      </c>
      <c r="R85" s="83">
        <v>26</v>
      </c>
      <c r="S85" s="83">
        <v>26</v>
      </c>
      <c r="T85" s="83">
        <v>26</v>
      </c>
      <c r="U85" s="83">
        <v>26</v>
      </c>
      <c r="V85" s="83">
        <v>1.6</v>
      </c>
      <c r="W85" s="83">
        <v>118.7</v>
      </c>
      <c r="X85" s="83"/>
      <c r="Y85" s="83">
        <v>0</v>
      </c>
      <c r="Z85" s="83">
        <v>0</v>
      </c>
      <c r="AA85" s="83">
        <v>0</v>
      </c>
      <c r="AB85" s="83">
        <v>26</v>
      </c>
      <c r="AC85" s="83">
        <v>26</v>
      </c>
      <c r="AD85" s="83"/>
      <c r="AE85" s="83"/>
    </row>
    <row r="86" spans="1:31" ht="16" x14ac:dyDescent="0.2">
      <c r="A86" s="89">
        <v>82</v>
      </c>
      <c r="B86" s="84" t="s">
        <v>1391</v>
      </c>
      <c r="C86" s="84" t="s">
        <v>933</v>
      </c>
      <c r="D86" s="83">
        <v>26</v>
      </c>
      <c r="E86" s="83" t="s">
        <v>79</v>
      </c>
      <c r="F86" s="83">
        <v>1</v>
      </c>
      <c r="G86" s="83">
        <v>0</v>
      </c>
      <c r="H86" s="83"/>
      <c r="I86" s="83">
        <v>3</v>
      </c>
      <c r="J86" s="83">
        <v>5</v>
      </c>
      <c r="K86" s="83">
        <v>60</v>
      </c>
      <c r="L86" s="83">
        <v>25</v>
      </c>
      <c r="M86" s="83">
        <v>0</v>
      </c>
      <c r="N86" s="83">
        <v>0</v>
      </c>
      <c r="O86" s="83">
        <v>0</v>
      </c>
      <c r="P86" s="83">
        <v>0</v>
      </c>
      <c r="Q86" s="83">
        <v>1</v>
      </c>
      <c r="R86" s="83">
        <v>12</v>
      </c>
      <c r="S86" s="83">
        <v>5</v>
      </c>
      <c r="T86" s="83">
        <v>5</v>
      </c>
      <c r="U86" s="83">
        <v>8.3000000000000007</v>
      </c>
      <c r="V86" s="83">
        <v>25</v>
      </c>
      <c r="W86" s="83">
        <v>72.900000000000006</v>
      </c>
      <c r="X86" s="83">
        <v>24.3</v>
      </c>
      <c r="Y86" s="83">
        <v>2</v>
      </c>
      <c r="Z86" s="83">
        <v>16</v>
      </c>
      <c r="AA86" s="83">
        <v>28.6</v>
      </c>
      <c r="AB86" s="83">
        <v>1.29</v>
      </c>
      <c r="AC86" s="83">
        <v>1.29</v>
      </c>
      <c r="AD86" s="83"/>
      <c r="AE86" s="83"/>
    </row>
    <row r="87" spans="1:31" ht="16" x14ac:dyDescent="0.2">
      <c r="A87" s="89">
        <v>83</v>
      </c>
      <c r="B87" s="84" t="s">
        <v>1396</v>
      </c>
      <c r="C87" s="84" t="s">
        <v>729</v>
      </c>
      <c r="D87" s="83">
        <v>25</v>
      </c>
      <c r="E87" s="83" t="s">
        <v>83</v>
      </c>
      <c r="F87" s="83">
        <v>16</v>
      </c>
      <c r="G87" s="83">
        <v>0</v>
      </c>
      <c r="H87" s="83"/>
      <c r="I87" s="83">
        <v>2</v>
      </c>
      <c r="J87" s="83">
        <v>2</v>
      </c>
      <c r="K87" s="83">
        <v>100</v>
      </c>
      <c r="L87" s="83">
        <v>23</v>
      </c>
      <c r="M87" s="83">
        <v>1</v>
      </c>
      <c r="N87" s="83">
        <v>50</v>
      </c>
      <c r="O87" s="83">
        <v>0</v>
      </c>
      <c r="P87" s="83">
        <v>0</v>
      </c>
      <c r="Q87" s="83">
        <v>1</v>
      </c>
      <c r="R87" s="83">
        <v>12</v>
      </c>
      <c r="S87" s="83">
        <v>11.5</v>
      </c>
      <c r="T87" s="83">
        <v>21.5</v>
      </c>
      <c r="U87" s="83">
        <v>11.5</v>
      </c>
      <c r="V87" s="83">
        <v>1.4</v>
      </c>
      <c r="W87" s="83">
        <v>154.19999999999999</v>
      </c>
      <c r="X87" s="83">
        <v>99.3</v>
      </c>
      <c r="Y87" s="83">
        <v>0</v>
      </c>
      <c r="Z87" s="83">
        <v>0</v>
      </c>
      <c r="AA87" s="83">
        <v>0</v>
      </c>
      <c r="AB87" s="83">
        <v>11.5</v>
      </c>
      <c r="AC87" s="83">
        <v>21.5</v>
      </c>
      <c r="AD87" s="83"/>
      <c r="AE87" s="83"/>
    </row>
    <row r="88" spans="1:31" ht="16" x14ac:dyDescent="0.2">
      <c r="A88" s="89">
        <v>84</v>
      </c>
      <c r="B88" s="84" t="s">
        <v>265</v>
      </c>
      <c r="C88" s="84" t="s">
        <v>98</v>
      </c>
      <c r="D88" s="83">
        <v>31</v>
      </c>
      <c r="E88" s="83" t="s">
        <v>83</v>
      </c>
      <c r="F88" s="83">
        <v>15</v>
      </c>
      <c r="G88" s="83">
        <v>10</v>
      </c>
      <c r="H88" s="83"/>
      <c r="I88" s="83">
        <v>1</v>
      </c>
      <c r="J88" s="83">
        <v>1</v>
      </c>
      <c r="K88" s="83">
        <v>100</v>
      </c>
      <c r="L88" s="83">
        <v>20</v>
      </c>
      <c r="M88" s="83">
        <v>1</v>
      </c>
      <c r="N88" s="83">
        <v>100</v>
      </c>
      <c r="O88" s="83">
        <v>0</v>
      </c>
      <c r="P88" s="83">
        <v>0</v>
      </c>
      <c r="Q88" s="83">
        <v>1</v>
      </c>
      <c r="R88" s="83">
        <v>20</v>
      </c>
      <c r="S88" s="83">
        <v>20</v>
      </c>
      <c r="T88" s="83">
        <v>40</v>
      </c>
      <c r="U88" s="83">
        <v>20</v>
      </c>
      <c r="V88" s="83">
        <v>1.3</v>
      </c>
      <c r="W88" s="83">
        <v>158.30000000000001</v>
      </c>
      <c r="X88" s="83">
        <v>100</v>
      </c>
      <c r="Y88" s="83">
        <v>0</v>
      </c>
      <c r="Z88" s="83">
        <v>0</v>
      </c>
      <c r="AA88" s="83">
        <v>0</v>
      </c>
      <c r="AB88" s="83">
        <v>20</v>
      </c>
      <c r="AC88" s="83">
        <v>40</v>
      </c>
      <c r="AD88" s="83"/>
      <c r="AE88" s="83"/>
    </row>
    <row r="89" spans="1:31" ht="16" x14ac:dyDescent="0.2">
      <c r="A89" s="89">
        <v>85</v>
      </c>
      <c r="B89" s="84" t="s">
        <v>1407</v>
      </c>
      <c r="C89" s="84" t="s">
        <v>122</v>
      </c>
      <c r="D89" s="83">
        <v>30</v>
      </c>
      <c r="E89" s="83" t="s">
        <v>79</v>
      </c>
      <c r="F89" s="83">
        <v>2</v>
      </c>
      <c r="G89" s="83">
        <v>0</v>
      </c>
      <c r="H89" s="83"/>
      <c r="I89" s="83">
        <v>1</v>
      </c>
      <c r="J89" s="83">
        <v>1</v>
      </c>
      <c r="K89" s="83">
        <v>100</v>
      </c>
      <c r="L89" s="83">
        <v>20</v>
      </c>
      <c r="M89" s="83">
        <v>0</v>
      </c>
      <c r="N89" s="83">
        <v>0</v>
      </c>
      <c r="O89" s="83">
        <v>0</v>
      </c>
      <c r="P89" s="83">
        <v>0</v>
      </c>
      <c r="Q89" s="83">
        <v>1</v>
      </c>
      <c r="R89" s="83">
        <v>20</v>
      </c>
      <c r="S89" s="83">
        <v>20</v>
      </c>
      <c r="T89" s="83">
        <v>20</v>
      </c>
      <c r="U89" s="83">
        <v>20</v>
      </c>
      <c r="V89" s="83">
        <v>10</v>
      </c>
      <c r="W89" s="83">
        <v>118.7</v>
      </c>
      <c r="X89" s="83">
        <v>0</v>
      </c>
      <c r="Y89" s="83">
        <v>1</v>
      </c>
      <c r="Z89" s="83">
        <v>12</v>
      </c>
      <c r="AA89" s="83">
        <v>50</v>
      </c>
      <c r="AB89" s="83">
        <v>4</v>
      </c>
      <c r="AC89" s="83">
        <v>4</v>
      </c>
      <c r="AD89" s="83"/>
      <c r="AE89" s="83"/>
    </row>
    <row r="90" spans="1:31" ht="16" x14ac:dyDescent="0.2">
      <c r="A90" s="89">
        <v>86</v>
      </c>
      <c r="B90" s="84" t="s">
        <v>171</v>
      </c>
      <c r="C90" s="84" t="s">
        <v>82</v>
      </c>
      <c r="D90" s="83">
        <v>28</v>
      </c>
      <c r="E90" s="83" t="s">
        <v>83</v>
      </c>
      <c r="F90" s="83">
        <v>7</v>
      </c>
      <c r="G90" s="83">
        <v>7</v>
      </c>
      <c r="H90" s="83"/>
      <c r="I90" s="83">
        <v>1</v>
      </c>
      <c r="J90" s="83">
        <v>1</v>
      </c>
      <c r="K90" s="83">
        <v>100</v>
      </c>
      <c r="L90" s="83">
        <v>18</v>
      </c>
      <c r="M90" s="83">
        <v>0</v>
      </c>
      <c r="N90" s="83">
        <v>0</v>
      </c>
      <c r="O90" s="83">
        <v>0</v>
      </c>
      <c r="P90" s="83">
        <v>0</v>
      </c>
      <c r="Q90" s="83">
        <v>1</v>
      </c>
      <c r="R90" s="83">
        <v>18</v>
      </c>
      <c r="S90" s="83">
        <v>18</v>
      </c>
      <c r="T90" s="83">
        <v>18</v>
      </c>
      <c r="U90" s="83">
        <v>18</v>
      </c>
      <c r="V90" s="83">
        <v>2.6</v>
      </c>
      <c r="W90" s="83">
        <v>118.7</v>
      </c>
      <c r="X90" s="83">
        <v>98.9</v>
      </c>
      <c r="Y90" s="83">
        <v>0</v>
      </c>
      <c r="Z90" s="83">
        <v>0</v>
      </c>
      <c r="AA90" s="83">
        <v>0</v>
      </c>
      <c r="AB90" s="83">
        <v>18</v>
      </c>
      <c r="AC90" s="83">
        <v>18</v>
      </c>
      <c r="AD90" s="83"/>
      <c r="AE90" s="83"/>
    </row>
    <row r="91" spans="1:31" ht="16" x14ac:dyDescent="0.2">
      <c r="A91" s="89">
        <v>87</v>
      </c>
      <c r="B91" s="84" t="s">
        <v>1388</v>
      </c>
      <c r="C91" s="84" t="s">
        <v>727</v>
      </c>
      <c r="D91" s="83">
        <v>29</v>
      </c>
      <c r="E91" s="83" t="s">
        <v>79</v>
      </c>
      <c r="F91" s="83">
        <v>1</v>
      </c>
      <c r="G91" s="83">
        <v>0</v>
      </c>
      <c r="H91" s="83"/>
      <c r="I91" s="83">
        <v>1</v>
      </c>
      <c r="J91" s="83">
        <v>5</v>
      </c>
      <c r="K91" s="83">
        <v>20</v>
      </c>
      <c r="L91" s="83">
        <v>18</v>
      </c>
      <c r="M91" s="83">
        <v>0</v>
      </c>
      <c r="N91" s="83">
        <v>0</v>
      </c>
      <c r="O91" s="83">
        <v>0</v>
      </c>
      <c r="P91" s="83">
        <v>0</v>
      </c>
      <c r="Q91" s="83">
        <v>1</v>
      </c>
      <c r="R91" s="83">
        <v>18</v>
      </c>
      <c r="S91" s="83">
        <v>3.6</v>
      </c>
      <c r="T91" s="83">
        <v>3.6</v>
      </c>
      <c r="U91" s="83">
        <v>18</v>
      </c>
      <c r="V91" s="83">
        <v>18</v>
      </c>
      <c r="W91" s="83">
        <v>42.1</v>
      </c>
      <c r="X91" s="83">
        <v>7.5</v>
      </c>
      <c r="Y91" s="83">
        <v>0</v>
      </c>
      <c r="Z91" s="83">
        <v>0</v>
      </c>
      <c r="AA91" s="83">
        <v>0</v>
      </c>
      <c r="AB91" s="83">
        <v>3.6</v>
      </c>
      <c r="AC91" s="83">
        <v>3.6</v>
      </c>
      <c r="AD91" s="83"/>
      <c r="AE91" s="83"/>
    </row>
    <row r="92" spans="1:31" ht="16" x14ac:dyDescent="0.2">
      <c r="A92" s="89">
        <v>88</v>
      </c>
      <c r="B92" s="84" t="s">
        <v>1395</v>
      </c>
      <c r="C92" s="84" t="s">
        <v>92</v>
      </c>
      <c r="D92" s="83">
        <v>32</v>
      </c>
      <c r="E92" s="83" t="s">
        <v>83</v>
      </c>
      <c r="F92" s="83">
        <v>12</v>
      </c>
      <c r="G92" s="83">
        <v>4</v>
      </c>
      <c r="H92" s="83"/>
      <c r="I92" s="83">
        <v>1</v>
      </c>
      <c r="J92" s="83">
        <v>2</v>
      </c>
      <c r="K92" s="83">
        <v>50</v>
      </c>
      <c r="L92" s="83">
        <v>18</v>
      </c>
      <c r="M92" s="83">
        <v>0</v>
      </c>
      <c r="N92" s="83">
        <v>0</v>
      </c>
      <c r="O92" s="83">
        <v>0</v>
      </c>
      <c r="P92" s="83">
        <v>0</v>
      </c>
      <c r="Q92" s="83">
        <v>1</v>
      </c>
      <c r="R92" s="83">
        <v>18</v>
      </c>
      <c r="S92" s="83">
        <v>9</v>
      </c>
      <c r="T92" s="83">
        <v>9</v>
      </c>
      <c r="U92" s="83">
        <v>18</v>
      </c>
      <c r="V92" s="83">
        <v>1.5</v>
      </c>
      <c r="W92" s="83">
        <v>81.2</v>
      </c>
      <c r="X92" s="83">
        <v>4.8</v>
      </c>
      <c r="Y92" s="83">
        <v>0</v>
      </c>
      <c r="Z92" s="83">
        <v>0</v>
      </c>
      <c r="AA92" s="83">
        <v>0</v>
      </c>
      <c r="AB92" s="83">
        <v>9</v>
      </c>
      <c r="AC92" s="83">
        <v>9</v>
      </c>
      <c r="AD92" s="83"/>
      <c r="AE92" s="83"/>
    </row>
    <row r="93" spans="1:31" ht="16" x14ac:dyDescent="0.2">
      <c r="A93" s="89">
        <v>89</v>
      </c>
      <c r="B93" s="84" t="s">
        <v>187</v>
      </c>
      <c r="C93" s="84" t="s">
        <v>107</v>
      </c>
      <c r="D93" s="83">
        <v>28</v>
      </c>
      <c r="E93" s="83" t="s">
        <v>79</v>
      </c>
      <c r="F93" s="83">
        <v>11</v>
      </c>
      <c r="G93" s="83">
        <v>0</v>
      </c>
      <c r="H93" s="83"/>
      <c r="I93" s="83">
        <v>2</v>
      </c>
      <c r="J93" s="83">
        <v>8</v>
      </c>
      <c r="K93" s="83">
        <v>25</v>
      </c>
      <c r="L93" s="83">
        <v>17</v>
      </c>
      <c r="M93" s="83">
        <v>0</v>
      </c>
      <c r="N93" s="83">
        <v>0</v>
      </c>
      <c r="O93" s="83">
        <v>0</v>
      </c>
      <c r="P93" s="83">
        <v>0</v>
      </c>
      <c r="Q93" s="83">
        <v>1</v>
      </c>
      <c r="R93" s="83">
        <v>13</v>
      </c>
      <c r="S93" s="83">
        <v>2.1</v>
      </c>
      <c r="T93" s="83">
        <v>2.1</v>
      </c>
      <c r="U93" s="83">
        <v>8.5</v>
      </c>
      <c r="V93" s="83">
        <v>1.5</v>
      </c>
      <c r="W93" s="83">
        <v>39.6</v>
      </c>
      <c r="X93" s="83">
        <v>58.3</v>
      </c>
      <c r="Y93" s="83">
        <v>2</v>
      </c>
      <c r="Z93" s="83">
        <v>15</v>
      </c>
      <c r="AA93" s="83">
        <v>20</v>
      </c>
      <c r="AB93" s="83">
        <v>0.2</v>
      </c>
      <c r="AC93" s="83">
        <v>0.2</v>
      </c>
      <c r="AD93" s="83"/>
      <c r="AE93" s="83"/>
    </row>
    <row r="94" spans="1:31" x14ac:dyDescent="0.2">
      <c r="A94" s="89" t="s">
        <v>902</v>
      </c>
      <c r="B94" s="89" t="s">
        <v>903</v>
      </c>
      <c r="C94" s="89" t="s">
        <v>1314</v>
      </c>
      <c r="D94" s="89" t="s">
        <v>905</v>
      </c>
      <c r="E94" s="89" t="s">
        <v>906</v>
      </c>
      <c r="F94" s="89" t="s">
        <v>1315</v>
      </c>
      <c r="G94" s="89" t="s">
        <v>1316</v>
      </c>
      <c r="H94" s="89" t="s">
        <v>1317</v>
      </c>
      <c r="I94" s="89" t="s">
        <v>1318</v>
      </c>
      <c r="J94" s="89" t="s">
        <v>1319</v>
      </c>
      <c r="K94" s="89" t="s">
        <v>1320</v>
      </c>
      <c r="L94" s="89" t="s">
        <v>799</v>
      </c>
      <c r="M94" s="89" t="s">
        <v>800</v>
      </c>
      <c r="N94" s="89" t="s">
        <v>913</v>
      </c>
      <c r="O94" s="89" t="s">
        <v>914</v>
      </c>
      <c r="P94" s="89" t="s">
        <v>915</v>
      </c>
      <c r="Q94" s="89" t="s">
        <v>1321</v>
      </c>
      <c r="R94" s="89" t="s">
        <v>917</v>
      </c>
      <c r="S94" s="89" t="s">
        <v>1322</v>
      </c>
      <c r="T94" s="89" t="s">
        <v>1323</v>
      </c>
      <c r="U94" s="89" t="s">
        <v>1324</v>
      </c>
      <c r="V94" s="89" t="s">
        <v>1325</v>
      </c>
      <c r="W94" s="89" t="s">
        <v>1326</v>
      </c>
      <c r="X94" s="89" t="s">
        <v>923</v>
      </c>
      <c r="Y94" s="89" t="s">
        <v>1327</v>
      </c>
      <c r="Z94" s="89" t="s">
        <v>799</v>
      </c>
      <c r="AA94" s="89" t="s">
        <v>928</v>
      </c>
      <c r="AB94" s="89" t="s">
        <v>1329</v>
      </c>
      <c r="AC94" s="89" t="s">
        <v>1330</v>
      </c>
      <c r="AD94" s="89" t="s">
        <v>929</v>
      </c>
      <c r="AE94" s="89" t="s">
        <v>930</v>
      </c>
    </row>
    <row r="95" spans="1:31" ht="16" x14ac:dyDescent="0.2">
      <c r="A95" s="89">
        <v>90</v>
      </c>
      <c r="B95" s="84" t="s">
        <v>241</v>
      </c>
      <c r="C95" s="84" t="s">
        <v>74</v>
      </c>
      <c r="D95" s="83">
        <v>26</v>
      </c>
      <c r="E95" s="83" t="s">
        <v>83</v>
      </c>
      <c r="F95" s="83">
        <v>15</v>
      </c>
      <c r="G95" s="83">
        <v>8</v>
      </c>
      <c r="H95" s="83"/>
      <c r="I95" s="83">
        <v>1</v>
      </c>
      <c r="J95" s="83">
        <v>2</v>
      </c>
      <c r="K95" s="83">
        <v>50</v>
      </c>
      <c r="L95" s="83">
        <v>16</v>
      </c>
      <c r="M95" s="83">
        <v>0</v>
      </c>
      <c r="N95" s="83">
        <v>0</v>
      </c>
      <c r="O95" s="83">
        <v>0</v>
      </c>
      <c r="P95" s="83">
        <v>0</v>
      </c>
      <c r="Q95" s="83">
        <v>1</v>
      </c>
      <c r="R95" s="83">
        <v>16</v>
      </c>
      <c r="S95" s="83">
        <v>8</v>
      </c>
      <c r="T95" s="83">
        <v>8</v>
      </c>
      <c r="U95" s="83">
        <v>16</v>
      </c>
      <c r="V95" s="83">
        <v>1.1000000000000001</v>
      </c>
      <c r="W95" s="83">
        <v>77.099999999999994</v>
      </c>
      <c r="X95" s="83">
        <v>48</v>
      </c>
      <c r="Y95" s="83">
        <v>0</v>
      </c>
      <c r="Z95" s="83">
        <v>0</v>
      </c>
      <c r="AA95" s="83">
        <v>0</v>
      </c>
      <c r="AB95" s="83">
        <v>8</v>
      </c>
      <c r="AC95" s="83">
        <v>8</v>
      </c>
      <c r="AD95" s="83"/>
      <c r="AE95" s="83"/>
    </row>
    <row r="96" spans="1:31" ht="16" x14ac:dyDescent="0.2">
      <c r="A96" s="89">
        <v>91</v>
      </c>
      <c r="B96" s="84" t="s">
        <v>1390</v>
      </c>
      <c r="C96" s="84" t="s">
        <v>725</v>
      </c>
      <c r="D96" s="83">
        <v>22</v>
      </c>
      <c r="E96" s="83" t="s">
        <v>79</v>
      </c>
      <c r="F96" s="83">
        <v>2</v>
      </c>
      <c r="G96" s="83">
        <v>0</v>
      </c>
      <c r="H96" s="83"/>
      <c r="I96" s="83">
        <v>3</v>
      </c>
      <c r="J96" s="83">
        <v>5</v>
      </c>
      <c r="K96" s="83">
        <v>60</v>
      </c>
      <c r="L96" s="83">
        <v>15</v>
      </c>
      <c r="M96" s="83">
        <v>0</v>
      </c>
      <c r="N96" s="83">
        <v>0</v>
      </c>
      <c r="O96" s="83">
        <v>0</v>
      </c>
      <c r="P96" s="83">
        <v>0</v>
      </c>
      <c r="Q96" s="83">
        <v>0</v>
      </c>
      <c r="R96" s="83">
        <v>8</v>
      </c>
      <c r="S96" s="83">
        <v>3</v>
      </c>
      <c r="T96" s="83">
        <v>3</v>
      </c>
      <c r="U96" s="83">
        <v>5</v>
      </c>
      <c r="V96" s="83">
        <v>7.5</v>
      </c>
      <c r="W96" s="83">
        <v>64.599999999999994</v>
      </c>
      <c r="X96" s="83">
        <v>1.4</v>
      </c>
      <c r="Y96" s="83">
        <v>0</v>
      </c>
      <c r="Z96" s="83">
        <v>0</v>
      </c>
      <c r="AA96" s="83">
        <v>0</v>
      </c>
      <c r="AB96" s="83">
        <v>3</v>
      </c>
      <c r="AC96" s="83">
        <v>3</v>
      </c>
      <c r="AD96" s="83"/>
      <c r="AE96" s="83"/>
    </row>
    <row r="97" spans="1:31" ht="16" x14ac:dyDescent="0.2">
      <c r="A97" s="89">
        <v>92</v>
      </c>
      <c r="B97" s="84" t="s">
        <v>1405</v>
      </c>
      <c r="C97" s="84" t="s">
        <v>725</v>
      </c>
      <c r="D97" s="83">
        <v>38</v>
      </c>
      <c r="E97" s="83" t="s">
        <v>3105</v>
      </c>
      <c r="F97" s="83">
        <v>15</v>
      </c>
      <c r="G97" s="83">
        <v>0</v>
      </c>
      <c r="H97" s="83"/>
      <c r="I97" s="83">
        <v>1</v>
      </c>
      <c r="J97" s="83">
        <v>1</v>
      </c>
      <c r="K97" s="83">
        <v>100</v>
      </c>
      <c r="L97" s="83">
        <v>15</v>
      </c>
      <c r="M97" s="83">
        <v>0</v>
      </c>
      <c r="N97" s="83">
        <v>0</v>
      </c>
      <c r="O97" s="83">
        <v>0</v>
      </c>
      <c r="P97" s="83">
        <v>0</v>
      </c>
      <c r="Q97" s="83">
        <v>1</v>
      </c>
      <c r="R97" s="83">
        <v>15</v>
      </c>
      <c r="S97" s="83">
        <v>15</v>
      </c>
      <c r="T97" s="83">
        <v>15</v>
      </c>
      <c r="U97" s="83">
        <v>15</v>
      </c>
      <c r="V97" s="83">
        <v>1</v>
      </c>
      <c r="W97" s="83">
        <v>118.7</v>
      </c>
      <c r="X97" s="83"/>
      <c r="Y97" s="83">
        <v>0</v>
      </c>
      <c r="Z97" s="83">
        <v>0</v>
      </c>
      <c r="AA97" s="83">
        <v>0</v>
      </c>
      <c r="AB97" s="83">
        <v>15</v>
      </c>
      <c r="AC97" s="83">
        <v>15</v>
      </c>
      <c r="AD97" s="83"/>
      <c r="AE97" s="83"/>
    </row>
    <row r="98" spans="1:31" ht="16" x14ac:dyDescent="0.2">
      <c r="A98" s="89">
        <v>93</v>
      </c>
      <c r="B98" s="84" t="s">
        <v>323</v>
      </c>
      <c r="C98" s="84" t="s">
        <v>102</v>
      </c>
      <c r="D98" s="83">
        <v>25</v>
      </c>
      <c r="E98" s="83" t="s">
        <v>83</v>
      </c>
      <c r="F98" s="83">
        <v>16</v>
      </c>
      <c r="G98" s="83">
        <v>10</v>
      </c>
      <c r="H98" s="83"/>
      <c r="I98" s="83">
        <v>1</v>
      </c>
      <c r="J98" s="83">
        <v>1</v>
      </c>
      <c r="K98" s="83">
        <v>100</v>
      </c>
      <c r="L98" s="83">
        <v>15</v>
      </c>
      <c r="M98" s="83">
        <v>0</v>
      </c>
      <c r="N98" s="83">
        <v>0</v>
      </c>
      <c r="O98" s="83">
        <v>0</v>
      </c>
      <c r="P98" s="83">
        <v>0</v>
      </c>
      <c r="Q98" s="83">
        <v>1</v>
      </c>
      <c r="R98" s="83">
        <v>15</v>
      </c>
      <c r="S98" s="83">
        <v>15</v>
      </c>
      <c r="T98" s="83">
        <v>15</v>
      </c>
      <c r="U98" s="83">
        <v>15</v>
      </c>
      <c r="V98" s="83">
        <v>0.9</v>
      </c>
      <c r="W98" s="83">
        <v>118.7</v>
      </c>
      <c r="X98" s="83">
        <v>0.7</v>
      </c>
      <c r="Y98" s="83">
        <v>0</v>
      </c>
      <c r="Z98" s="83">
        <v>0</v>
      </c>
      <c r="AA98" s="83">
        <v>0</v>
      </c>
      <c r="AB98" s="83">
        <v>15</v>
      </c>
      <c r="AC98" s="83">
        <v>15</v>
      </c>
      <c r="AD98" s="83"/>
      <c r="AE98" s="83"/>
    </row>
    <row r="99" spans="1:31" ht="16" x14ac:dyDescent="0.2">
      <c r="A99" s="89">
        <v>94</v>
      </c>
      <c r="B99" s="84" t="s">
        <v>228</v>
      </c>
      <c r="C99" s="84" t="s">
        <v>93</v>
      </c>
      <c r="D99" s="83">
        <v>23</v>
      </c>
      <c r="E99" s="83" t="s">
        <v>83</v>
      </c>
      <c r="F99" s="83">
        <v>1</v>
      </c>
      <c r="G99" s="83">
        <v>0</v>
      </c>
      <c r="H99" s="83"/>
      <c r="I99" s="83">
        <v>1</v>
      </c>
      <c r="J99" s="83">
        <v>9</v>
      </c>
      <c r="K99" s="83">
        <v>11.1</v>
      </c>
      <c r="L99" s="83">
        <v>13</v>
      </c>
      <c r="M99" s="83">
        <v>0</v>
      </c>
      <c r="N99" s="83">
        <v>0</v>
      </c>
      <c r="O99" s="83">
        <v>2</v>
      </c>
      <c r="P99" s="83">
        <v>22.2</v>
      </c>
      <c r="Q99" s="83">
        <v>1</v>
      </c>
      <c r="R99" s="83">
        <v>13</v>
      </c>
      <c r="S99" s="83">
        <v>1.4</v>
      </c>
      <c r="T99" s="83">
        <v>-8.6</v>
      </c>
      <c r="U99" s="83">
        <v>13</v>
      </c>
      <c r="V99" s="83">
        <v>13</v>
      </c>
      <c r="W99" s="83">
        <v>0</v>
      </c>
      <c r="X99" s="83">
        <v>0.1</v>
      </c>
      <c r="Y99" s="83">
        <v>1</v>
      </c>
      <c r="Z99" s="83">
        <v>1</v>
      </c>
      <c r="AA99" s="83">
        <v>10</v>
      </c>
      <c r="AB99" s="83">
        <v>1.2</v>
      </c>
      <c r="AC99" s="83">
        <v>-7.8</v>
      </c>
      <c r="AD99" s="83"/>
      <c r="AE99" s="83"/>
    </row>
    <row r="100" spans="1:31" ht="16" x14ac:dyDescent="0.2">
      <c r="A100" s="89">
        <v>95</v>
      </c>
      <c r="B100" s="84" t="s">
        <v>1401</v>
      </c>
      <c r="C100" s="84" t="s">
        <v>98</v>
      </c>
      <c r="D100" s="83">
        <v>25</v>
      </c>
      <c r="E100" s="83" t="s">
        <v>3106</v>
      </c>
      <c r="F100" s="83">
        <v>14</v>
      </c>
      <c r="G100" s="83">
        <v>0</v>
      </c>
      <c r="H100" s="83"/>
      <c r="I100" s="83">
        <v>1</v>
      </c>
      <c r="J100" s="83">
        <v>1</v>
      </c>
      <c r="K100" s="83">
        <v>100</v>
      </c>
      <c r="L100" s="83">
        <v>13</v>
      </c>
      <c r="M100" s="83">
        <v>0</v>
      </c>
      <c r="N100" s="83">
        <v>0</v>
      </c>
      <c r="O100" s="83">
        <v>0</v>
      </c>
      <c r="P100" s="83">
        <v>0</v>
      </c>
      <c r="Q100" s="83">
        <v>1</v>
      </c>
      <c r="R100" s="83">
        <v>13</v>
      </c>
      <c r="S100" s="83">
        <v>13</v>
      </c>
      <c r="T100" s="83">
        <v>13</v>
      </c>
      <c r="U100" s="83">
        <v>13</v>
      </c>
      <c r="V100" s="83">
        <v>0.9</v>
      </c>
      <c r="W100" s="83">
        <v>118.7</v>
      </c>
      <c r="X100" s="83"/>
      <c r="Y100" s="83">
        <v>0</v>
      </c>
      <c r="Z100" s="83">
        <v>0</v>
      </c>
      <c r="AA100" s="83">
        <v>0</v>
      </c>
      <c r="AB100" s="83">
        <v>13</v>
      </c>
      <c r="AC100" s="83">
        <v>13</v>
      </c>
      <c r="AD100" s="83"/>
      <c r="AE100" s="83"/>
    </row>
    <row r="101" spans="1:31" ht="16" x14ac:dyDescent="0.2">
      <c r="A101" s="89">
        <v>96</v>
      </c>
      <c r="B101" s="84" t="s">
        <v>1408</v>
      </c>
      <c r="C101" s="84" t="s">
        <v>1040</v>
      </c>
      <c r="D101" s="83">
        <v>24</v>
      </c>
      <c r="E101" s="83" t="s">
        <v>3105</v>
      </c>
      <c r="F101" s="83">
        <v>16</v>
      </c>
      <c r="G101" s="83">
        <v>0</v>
      </c>
      <c r="H101" s="83"/>
      <c r="I101" s="83">
        <v>1</v>
      </c>
      <c r="J101" s="83">
        <v>1</v>
      </c>
      <c r="K101" s="83">
        <v>100</v>
      </c>
      <c r="L101" s="83">
        <v>13</v>
      </c>
      <c r="M101" s="83">
        <v>0</v>
      </c>
      <c r="N101" s="83">
        <v>0</v>
      </c>
      <c r="O101" s="83">
        <v>0</v>
      </c>
      <c r="P101" s="83">
        <v>0</v>
      </c>
      <c r="Q101" s="83">
        <v>1</v>
      </c>
      <c r="R101" s="83">
        <v>13</v>
      </c>
      <c r="S101" s="83">
        <v>13</v>
      </c>
      <c r="T101" s="83">
        <v>13</v>
      </c>
      <c r="U101" s="83">
        <v>13</v>
      </c>
      <c r="V101" s="83">
        <v>0.8</v>
      </c>
      <c r="W101" s="83">
        <v>118.7</v>
      </c>
      <c r="X101" s="83">
        <v>10.6</v>
      </c>
      <c r="Y101" s="83">
        <v>0</v>
      </c>
      <c r="Z101" s="83">
        <v>0</v>
      </c>
      <c r="AA101" s="83">
        <v>0</v>
      </c>
      <c r="AB101" s="83">
        <v>13</v>
      </c>
      <c r="AC101" s="83">
        <v>13</v>
      </c>
      <c r="AD101" s="83"/>
      <c r="AE101" s="83"/>
    </row>
    <row r="102" spans="1:31" ht="16" x14ac:dyDescent="0.2">
      <c r="A102" s="89">
        <v>97</v>
      </c>
      <c r="B102" s="84" t="s">
        <v>402</v>
      </c>
      <c r="C102" s="84" t="s">
        <v>98</v>
      </c>
      <c r="D102" s="83">
        <v>25</v>
      </c>
      <c r="E102" s="83" t="s">
        <v>83</v>
      </c>
      <c r="F102" s="83">
        <v>16</v>
      </c>
      <c r="G102" s="83">
        <v>7</v>
      </c>
      <c r="H102" s="83"/>
      <c r="I102" s="83">
        <v>1</v>
      </c>
      <c r="J102" s="83">
        <v>1</v>
      </c>
      <c r="K102" s="83">
        <v>100</v>
      </c>
      <c r="L102" s="83">
        <v>12</v>
      </c>
      <c r="M102" s="83">
        <v>1</v>
      </c>
      <c r="N102" s="83">
        <v>100</v>
      </c>
      <c r="O102" s="83">
        <v>0</v>
      </c>
      <c r="P102" s="83">
        <v>0</v>
      </c>
      <c r="Q102" s="83">
        <v>1</v>
      </c>
      <c r="R102" s="83">
        <v>12</v>
      </c>
      <c r="S102" s="83">
        <v>12</v>
      </c>
      <c r="T102" s="83">
        <v>32</v>
      </c>
      <c r="U102" s="83">
        <v>12</v>
      </c>
      <c r="V102" s="83">
        <v>0.8</v>
      </c>
      <c r="W102" s="83">
        <v>156.19999999999999</v>
      </c>
      <c r="X102" s="83">
        <v>88.2</v>
      </c>
      <c r="Y102" s="83">
        <v>0</v>
      </c>
      <c r="Z102" s="83">
        <v>0</v>
      </c>
      <c r="AA102" s="83">
        <v>0</v>
      </c>
      <c r="AB102" s="83">
        <v>12</v>
      </c>
      <c r="AC102" s="83">
        <v>32</v>
      </c>
      <c r="AD102" s="83"/>
      <c r="AE102" s="83"/>
    </row>
    <row r="103" spans="1:31" ht="16" x14ac:dyDescent="0.2">
      <c r="A103" s="89">
        <v>98</v>
      </c>
      <c r="B103" s="84" t="s">
        <v>214</v>
      </c>
      <c r="C103" s="84" t="s">
        <v>77</v>
      </c>
      <c r="D103" s="83">
        <v>25</v>
      </c>
      <c r="E103" s="83" t="s">
        <v>79</v>
      </c>
      <c r="F103" s="83">
        <v>6</v>
      </c>
      <c r="G103" s="83">
        <v>0</v>
      </c>
      <c r="H103" s="83"/>
      <c r="I103" s="83">
        <v>1</v>
      </c>
      <c r="J103" s="83">
        <v>3</v>
      </c>
      <c r="K103" s="83">
        <v>33.299999999999997</v>
      </c>
      <c r="L103" s="83">
        <v>7</v>
      </c>
      <c r="M103" s="83">
        <v>0</v>
      </c>
      <c r="N103" s="83">
        <v>0</v>
      </c>
      <c r="O103" s="83">
        <v>0</v>
      </c>
      <c r="P103" s="83">
        <v>0</v>
      </c>
      <c r="Q103" s="83">
        <v>1</v>
      </c>
      <c r="R103" s="83">
        <v>7</v>
      </c>
      <c r="S103" s="83">
        <v>2.2999999999999998</v>
      </c>
      <c r="T103" s="83">
        <v>2.2999999999999998</v>
      </c>
      <c r="U103" s="83">
        <v>7</v>
      </c>
      <c r="V103" s="83">
        <v>1.2</v>
      </c>
      <c r="W103" s="83">
        <v>42.4</v>
      </c>
      <c r="X103" s="83">
        <v>65.099999999999994</v>
      </c>
      <c r="Y103" s="83">
        <v>0</v>
      </c>
      <c r="Z103" s="83">
        <v>0</v>
      </c>
      <c r="AA103" s="83">
        <v>0</v>
      </c>
      <c r="AB103" s="83">
        <v>2.33</v>
      </c>
      <c r="AC103" s="83">
        <v>2.33</v>
      </c>
      <c r="AD103" s="83"/>
      <c r="AE103" s="83"/>
    </row>
    <row r="104" spans="1:31" ht="16" x14ac:dyDescent="0.2">
      <c r="A104" s="89">
        <v>99</v>
      </c>
      <c r="B104" s="84" t="s">
        <v>1394</v>
      </c>
      <c r="C104" s="84" t="s">
        <v>1040</v>
      </c>
      <c r="D104" s="83">
        <v>31</v>
      </c>
      <c r="E104" s="83" t="s">
        <v>88</v>
      </c>
      <c r="F104" s="83">
        <v>15</v>
      </c>
      <c r="G104" s="83">
        <v>15</v>
      </c>
      <c r="H104" s="83"/>
      <c r="I104" s="83">
        <v>1</v>
      </c>
      <c r="J104" s="83">
        <v>2</v>
      </c>
      <c r="K104" s="83">
        <v>50</v>
      </c>
      <c r="L104" s="83">
        <v>4</v>
      </c>
      <c r="M104" s="83">
        <v>0</v>
      </c>
      <c r="N104" s="83">
        <v>0</v>
      </c>
      <c r="O104" s="83">
        <v>0</v>
      </c>
      <c r="P104" s="83">
        <v>0</v>
      </c>
      <c r="Q104" s="83">
        <v>1</v>
      </c>
      <c r="R104" s="83">
        <v>4</v>
      </c>
      <c r="S104" s="83">
        <v>2</v>
      </c>
      <c r="T104" s="83">
        <v>2</v>
      </c>
      <c r="U104" s="83">
        <v>4</v>
      </c>
      <c r="V104" s="83">
        <v>0.3</v>
      </c>
      <c r="W104" s="83">
        <v>56.2</v>
      </c>
      <c r="X104" s="83">
        <v>55.2</v>
      </c>
      <c r="Y104" s="83">
        <v>0</v>
      </c>
      <c r="Z104" s="83">
        <v>0</v>
      </c>
      <c r="AA104" s="83">
        <v>0</v>
      </c>
      <c r="AB104" s="83">
        <v>2</v>
      </c>
      <c r="AC104" s="83">
        <v>2</v>
      </c>
      <c r="AD104" s="83"/>
      <c r="AE104" s="83"/>
    </row>
    <row r="105" spans="1:31" ht="16" x14ac:dyDescent="0.2">
      <c r="A105" s="89">
        <v>100</v>
      </c>
      <c r="B105" s="84" t="s">
        <v>221</v>
      </c>
      <c r="C105" s="84" t="s">
        <v>118</v>
      </c>
      <c r="D105" s="83">
        <v>25</v>
      </c>
      <c r="E105" s="83" t="s">
        <v>79</v>
      </c>
      <c r="F105" s="83">
        <v>1</v>
      </c>
      <c r="G105" s="83">
        <v>0</v>
      </c>
      <c r="H105" s="83"/>
      <c r="I105" s="83">
        <v>1</v>
      </c>
      <c r="J105" s="83">
        <v>1</v>
      </c>
      <c r="K105" s="83">
        <v>100</v>
      </c>
      <c r="L105" s="83">
        <v>4</v>
      </c>
      <c r="M105" s="83">
        <v>0</v>
      </c>
      <c r="N105" s="83">
        <v>0</v>
      </c>
      <c r="O105" s="83">
        <v>0</v>
      </c>
      <c r="P105" s="83">
        <v>0</v>
      </c>
      <c r="Q105" s="83">
        <v>0</v>
      </c>
      <c r="R105" s="83">
        <v>4</v>
      </c>
      <c r="S105" s="83">
        <v>4</v>
      </c>
      <c r="T105" s="83">
        <v>4</v>
      </c>
      <c r="U105" s="83">
        <v>4</v>
      </c>
      <c r="V105" s="83">
        <v>4</v>
      </c>
      <c r="W105" s="83">
        <v>83.3</v>
      </c>
      <c r="X105" s="83">
        <v>1.3</v>
      </c>
      <c r="Y105" s="83">
        <v>0</v>
      </c>
      <c r="Z105" s="83">
        <v>0</v>
      </c>
      <c r="AA105" s="83">
        <v>0</v>
      </c>
      <c r="AB105" s="83">
        <v>4</v>
      </c>
      <c r="AC105" s="83">
        <v>4</v>
      </c>
      <c r="AD105" s="83"/>
      <c r="AE105" s="83"/>
    </row>
    <row r="106" spans="1:31" ht="16" x14ac:dyDescent="0.2">
      <c r="A106" s="89">
        <v>101</v>
      </c>
      <c r="B106" s="84" t="s">
        <v>1389</v>
      </c>
      <c r="C106" s="84" t="s">
        <v>99</v>
      </c>
      <c r="D106" s="83">
        <v>25</v>
      </c>
      <c r="E106" s="83" t="s">
        <v>79</v>
      </c>
      <c r="F106" s="83">
        <v>1</v>
      </c>
      <c r="G106" s="83">
        <v>0</v>
      </c>
      <c r="H106" s="83"/>
      <c r="I106" s="83">
        <v>4</v>
      </c>
      <c r="J106" s="83">
        <v>5</v>
      </c>
      <c r="K106" s="83">
        <v>80</v>
      </c>
      <c r="L106" s="83">
        <v>2</v>
      </c>
      <c r="M106" s="83">
        <v>0</v>
      </c>
      <c r="N106" s="83">
        <v>0</v>
      </c>
      <c r="O106" s="83">
        <v>0</v>
      </c>
      <c r="P106" s="83">
        <v>0</v>
      </c>
      <c r="Q106" s="83">
        <v>0</v>
      </c>
      <c r="R106" s="83">
        <v>3</v>
      </c>
      <c r="S106" s="83">
        <v>0.4</v>
      </c>
      <c r="T106" s="83">
        <v>0.4</v>
      </c>
      <c r="U106" s="83">
        <v>0.5</v>
      </c>
      <c r="V106" s="83">
        <v>2</v>
      </c>
      <c r="W106" s="83">
        <v>79.2</v>
      </c>
      <c r="X106" s="83">
        <v>48.7</v>
      </c>
      <c r="Y106" s="83">
        <v>0</v>
      </c>
      <c r="Z106" s="83">
        <v>0</v>
      </c>
      <c r="AA106" s="83">
        <v>0</v>
      </c>
      <c r="AB106" s="83">
        <v>0.4</v>
      </c>
      <c r="AC106" s="83">
        <v>0.4</v>
      </c>
      <c r="AD106" s="83"/>
      <c r="AE106" s="83"/>
    </row>
    <row r="107" spans="1:31" ht="16" x14ac:dyDescent="0.2">
      <c r="A107" s="89">
        <v>102</v>
      </c>
      <c r="B107" s="84" t="s">
        <v>434</v>
      </c>
      <c r="C107" s="84" t="s">
        <v>139</v>
      </c>
      <c r="D107" s="83">
        <v>25</v>
      </c>
      <c r="E107" s="83" t="s">
        <v>83</v>
      </c>
      <c r="F107" s="83">
        <v>14</v>
      </c>
      <c r="G107" s="83">
        <v>2</v>
      </c>
      <c r="H107" s="83"/>
      <c r="I107" s="83">
        <v>0</v>
      </c>
      <c r="J107" s="83">
        <v>1</v>
      </c>
      <c r="K107" s="83">
        <v>0</v>
      </c>
      <c r="L107" s="83">
        <v>0</v>
      </c>
      <c r="M107" s="83">
        <v>0</v>
      </c>
      <c r="N107" s="83">
        <v>0</v>
      </c>
      <c r="O107" s="83">
        <v>0</v>
      </c>
      <c r="P107" s="83">
        <v>0</v>
      </c>
      <c r="Q107" s="83">
        <v>0</v>
      </c>
      <c r="R107" s="83">
        <v>0</v>
      </c>
      <c r="S107" s="83">
        <v>0</v>
      </c>
      <c r="T107" s="83">
        <v>0</v>
      </c>
      <c r="U107" s="83"/>
      <c r="V107" s="83">
        <v>0</v>
      </c>
      <c r="W107" s="83">
        <v>39.6</v>
      </c>
      <c r="X107" s="83">
        <v>0.9</v>
      </c>
      <c r="Y107" s="83">
        <v>0</v>
      </c>
      <c r="Z107" s="83">
        <v>0</v>
      </c>
      <c r="AA107" s="83">
        <v>0</v>
      </c>
      <c r="AB107" s="83">
        <v>0</v>
      </c>
      <c r="AC107" s="83">
        <v>0</v>
      </c>
      <c r="AD107" s="83"/>
      <c r="AE107" s="83"/>
    </row>
    <row r="108" spans="1:31" ht="16" x14ac:dyDescent="0.2">
      <c r="A108" s="89">
        <v>103</v>
      </c>
      <c r="B108" s="84" t="s">
        <v>1397</v>
      </c>
      <c r="C108" s="84" t="s">
        <v>118</v>
      </c>
      <c r="D108" s="83">
        <v>28</v>
      </c>
      <c r="E108" s="83" t="s">
        <v>83</v>
      </c>
      <c r="F108" s="83">
        <v>14</v>
      </c>
      <c r="G108" s="83">
        <v>13</v>
      </c>
      <c r="H108" s="83"/>
      <c r="I108" s="83">
        <v>0</v>
      </c>
      <c r="J108" s="83">
        <v>1</v>
      </c>
      <c r="K108" s="83">
        <v>0</v>
      </c>
      <c r="L108" s="83">
        <v>0</v>
      </c>
      <c r="M108" s="83">
        <v>0</v>
      </c>
      <c r="N108" s="83">
        <v>0</v>
      </c>
      <c r="O108" s="83">
        <v>0</v>
      </c>
      <c r="P108" s="83">
        <v>0</v>
      </c>
      <c r="Q108" s="83">
        <v>0</v>
      </c>
      <c r="R108" s="83">
        <v>0</v>
      </c>
      <c r="S108" s="83">
        <v>0</v>
      </c>
      <c r="T108" s="83">
        <v>0</v>
      </c>
      <c r="U108" s="83"/>
      <c r="V108" s="83">
        <v>0</v>
      </c>
      <c r="W108" s="83">
        <v>39.6</v>
      </c>
      <c r="X108" s="83">
        <v>1.4</v>
      </c>
      <c r="Y108" s="83">
        <v>0</v>
      </c>
      <c r="Z108" s="83">
        <v>0</v>
      </c>
      <c r="AA108" s="83">
        <v>0</v>
      </c>
      <c r="AB108" s="83">
        <v>0</v>
      </c>
      <c r="AC108" s="83">
        <v>0</v>
      </c>
      <c r="AD108" s="83"/>
      <c r="AE108" s="83"/>
    </row>
    <row r="109" spans="1:31" ht="16" x14ac:dyDescent="0.2">
      <c r="A109" s="89">
        <v>104</v>
      </c>
      <c r="B109" s="84" t="s">
        <v>277</v>
      </c>
      <c r="C109" s="84" t="s">
        <v>122</v>
      </c>
      <c r="D109" s="83">
        <v>30</v>
      </c>
      <c r="E109" s="83" t="s">
        <v>83</v>
      </c>
      <c r="F109" s="83">
        <v>10</v>
      </c>
      <c r="G109" s="83">
        <v>2</v>
      </c>
      <c r="H109" s="83"/>
      <c r="I109" s="83">
        <v>0</v>
      </c>
      <c r="J109" s="83">
        <v>1</v>
      </c>
      <c r="K109" s="83">
        <v>0</v>
      </c>
      <c r="L109" s="83">
        <v>0</v>
      </c>
      <c r="M109" s="83">
        <v>0</v>
      </c>
      <c r="N109" s="83">
        <v>0</v>
      </c>
      <c r="O109" s="83">
        <v>0</v>
      </c>
      <c r="P109" s="83">
        <v>0</v>
      </c>
      <c r="Q109" s="83">
        <v>0</v>
      </c>
      <c r="R109" s="83">
        <v>0</v>
      </c>
      <c r="S109" s="83">
        <v>0</v>
      </c>
      <c r="T109" s="83">
        <v>0</v>
      </c>
      <c r="U109" s="83"/>
      <c r="V109" s="83">
        <v>0</v>
      </c>
      <c r="W109" s="83">
        <v>39.6</v>
      </c>
      <c r="X109" s="83">
        <v>2.8</v>
      </c>
      <c r="Y109" s="83">
        <v>0</v>
      </c>
      <c r="Z109" s="83">
        <v>0</v>
      </c>
      <c r="AA109" s="83">
        <v>0</v>
      </c>
      <c r="AB109" s="83">
        <v>0</v>
      </c>
      <c r="AC109" s="83">
        <v>0</v>
      </c>
      <c r="AD109" s="83"/>
      <c r="AE109" s="83"/>
    </row>
    <row r="110" spans="1:31" ht="16" x14ac:dyDescent="0.2">
      <c r="A110" s="89">
        <v>105</v>
      </c>
      <c r="B110" s="84" t="s">
        <v>1400</v>
      </c>
      <c r="C110" s="84" t="s">
        <v>92</v>
      </c>
      <c r="D110" s="83">
        <v>27</v>
      </c>
      <c r="E110" s="83" t="s">
        <v>3105</v>
      </c>
      <c r="F110" s="83">
        <v>16</v>
      </c>
      <c r="G110" s="83">
        <v>0</v>
      </c>
      <c r="H110" s="83"/>
      <c r="I110" s="83">
        <v>0</v>
      </c>
      <c r="J110" s="83">
        <v>1</v>
      </c>
      <c r="K110" s="83">
        <v>0</v>
      </c>
      <c r="L110" s="83">
        <v>0</v>
      </c>
      <c r="M110" s="83">
        <v>0</v>
      </c>
      <c r="N110" s="83">
        <v>0</v>
      </c>
      <c r="O110" s="83">
        <v>0</v>
      </c>
      <c r="P110" s="83">
        <v>0</v>
      </c>
      <c r="Q110" s="83">
        <v>0</v>
      </c>
      <c r="R110" s="83">
        <v>0</v>
      </c>
      <c r="S110" s="83">
        <v>0</v>
      </c>
      <c r="T110" s="83">
        <v>0</v>
      </c>
      <c r="U110" s="83"/>
      <c r="V110" s="83">
        <v>0</v>
      </c>
      <c r="W110" s="83">
        <v>39.6</v>
      </c>
      <c r="X110" s="83"/>
      <c r="Y110" s="83">
        <v>0</v>
      </c>
      <c r="Z110" s="83">
        <v>0</v>
      </c>
      <c r="AA110" s="83">
        <v>0</v>
      </c>
      <c r="AB110" s="83">
        <v>0</v>
      </c>
      <c r="AC110" s="83">
        <v>0</v>
      </c>
      <c r="AD110" s="83"/>
      <c r="AE110" s="83"/>
    </row>
    <row r="111" spans="1:31" ht="16" x14ac:dyDescent="0.2">
      <c r="A111" s="89">
        <v>106</v>
      </c>
      <c r="B111" s="84" t="s">
        <v>447</v>
      </c>
      <c r="C111" s="84" t="s">
        <v>74</v>
      </c>
      <c r="D111" s="83">
        <v>28</v>
      </c>
      <c r="E111" s="83" t="s">
        <v>83</v>
      </c>
      <c r="F111" s="83">
        <v>16</v>
      </c>
      <c r="G111" s="83">
        <v>2</v>
      </c>
      <c r="H111" s="83"/>
      <c r="I111" s="83">
        <v>0</v>
      </c>
      <c r="J111" s="83">
        <v>1</v>
      </c>
      <c r="K111" s="83">
        <v>0</v>
      </c>
      <c r="L111" s="83">
        <v>0</v>
      </c>
      <c r="M111" s="83">
        <v>0</v>
      </c>
      <c r="N111" s="83">
        <v>0</v>
      </c>
      <c r="O111" s="83">
        <v>0</v>
      </c>
      <c r="P111" s="83">
        <v>0</v>
      </c>
      <c r="Q111" s="83">
        <v>0</v>
      </c>
      <c r="R111" s="83">
        <v>0</v>
      </c>
      <c r="S111" s="83">
        <v>0</v>
      </c>
      <c r="T111" s="83">
        <v>0</v>
      </c>
      <c r="U111" s="83"/>
      <c r="V111" s="83">
        <v>0</v>
      </c>
      <c r="W111" s="83">
        <v>39.6</v>
      </c>
      <c r="X111" s="83">
        <v>8.4</v>
      </c>
      <c r="Y111" s="83">
        <v>0</v>
      </c>
      <c r="Z111" s="83">
        <v>0</v>
      </c>
      <c r="AA111" s="83">
        <v>0</v>
      </c>
      <c r="AB111" s="83">
        <v>0</v>
      </c>
      <c r="AC111" s="83">
        <v>0</v>
      </c>
      <c r="AD111" s="83"/>
      <c r="AE111" s="83"/>
    </row>
    <row r="112" spans="1:31" ht="16" x14ac:dyDescent="0.2">
      <c r="A112" s="89">
        <v>107</v>
      </c>
      <c r="B112" s="84" t="s">
        <v>1402</v>
      </c>
      <c r="C112" s="84" t="s">
        <v>729</v>
      </c>
      <c r="D112" s="83">
        <v>31</v>
      </c>
      <c r="E112" s="83" t="s">
        <v>3105</v>
      </c>
      <c r="F112" s="83">
        <v>8</v>
      </c>
      <c r="G112" s="83">
        <v>0</v>
      </c>
      <c r="H112" s="83"/>
      <c r="I112" s="83">
        <v>0</v>
      </c>
      <c r="J112" s="83">
        <v>1</v>
      </c>
      <c r="K112" s="83">
        <v>0</v>
      </c>
      <c r="L112" s="83">
        <v>0</v>
      </c>
      <c r="M112" s="83">
        <v>0</v>
      </c>
      <c r="N112" s="83">
        <v>0</v>
      </c>
      <c r="O112" s="83">
        <v>0</v>
      </c>
      <c r="P112" s="83">
        <v>0</v>
      </c>
      <c r="Q112" s="83">
        <v>0</v>
      </c>
      <c r="R112" s="83">
        <v>0</v>
      </c>
      <c r="S112" s="83">
        <v>0</v>
      </c>
      <c r="T112" s="83">
        <v>0</v>
      </c>
      <c r="U112" s="83"/>
      <c r="V112" s="83">
        <v>0</v>
      </c>
      <c r="W112" s="83">
        <v>39.6</v>
      </c>
      <c r="X112" s="83"/>
      <c r="Y112" s="83">
        <v>0</v>
      </c>
      <c r="Z112" s="83">
        <v>0</v>
      </c>
      <c r="AA112" s="83">
        <v>0</v>
      </c>
      <c r="AB112" s="83">
        <v>0</v>
      </c>
      <c r="AC112" s="83">
        <v>0</v>
      </c>
      <c r="AD112" s="83"/>
      <c r="AE112" s="83"/>
    </row>
    <row r="113" spans="1:31" ht="16" x14ac:dyDescent="0.2">
      <c r="A113" s="89">
        <v>108</v>
      </c>
      <c r="B113" s="84" t="s">
        <v>1404</v>
      </c>
      <c r="C113" s="84" t="s">
        <v>77</v>
      </c>
      <c r="D113" s="83">
        <v>34</v>
      </c>
      <c r="E113" s="83" t="s">
        <v>3105</v>
      </c>
      <c r="F113" s="83">
        <v>13</v>
      </c>
      <c r="G113" s="83">
        <v>0</v>
      </c>
      <c r="H113" s="83"/>
      <c r="I113" s="83">
        <v>0</v>
      </c>
      <c r="J113" s="83">
        <v>1</v>
      </c>
      <c r="K113" s="83">
        <v>0</v>
      </c>
      <c r="L113" s="83">
        <v>0</v>
      </c>
      <c r="M113" s="83">
        <v>0</v>
      </c>
      <c r="N113" s="83">
        <v>0</v>
      </c>
      <c r="O113" s="83">
        <v>0</v>
      </c>
      <c r="P113" s="83">
        <v>0</v>
      </c>
      <c r="Q113" s="83">
        <v>0</v>
      </c>
      <c r="R113" s="83">
        <v>0</v>
      </c>
      <c r="S113" s="83">
        <v>0</v>
      </c>
      <c r="T113" s="83">
        <v>0</v>
      </c>
      <c r="U113" s="83"/>
      <c r="V113" s="83">
        <v>0</v>
      </c>
      <c r="W113" s="83">
        <v>39.6</v>
      </c>
      <c r="X113" s="83">
        <v>0</v>
      </c>
      <c r="Y113" s="83">
        <v>0</v>
      </c>
      <c r="Z113" s="83">
        <v>0</v>
      </c>
      <c r="AA113" s="83">
        <v>0</v>
      </c>
      <c r="AB113" s="83">
        <v>0</v>
      </c>
      <c r="AC113" s="83">
        <v>0</v>
      </c>
      <c r="AD113" s="83"/>
      <c r="AE113" s="83"/>
    </row>
    <row r="114" spans="1:31" ht="16" x14ac:dyDescent="0.2">
      <c r="A114" s="89">
        <v>109</v>
      </c>
      <c r="B114" s="84" t="s">
        <v>882</v>
      </c>
      <c r="C114" s="84" t="s">
        <v>70</v>
      </c>
      <c r="D114" s="83">
        <v>23</v>
      </c>
      <c r="E114" s="83" t="s">
        <v>83</v>
      </c>
      <c r="F114" s="83">
        <v>15</v>
      </c>
      <c r="G114" s="83">
        <v>14</v>
      </c>
      <c r="H114" s="83"/>
      <c r="I114" s="83">
        <v>0</v>
      </c>
      <c r="J114" s="83">
        <v>1</v>
      </c>
      <c r="K114" s="83">
        <v>0</v>
      </c>
      <c r="L114" s="83">
        <v>0</v>
      </c>
      <c r="M114" s="83">
        <v>0</v>
      </c>
      <c r="N114" s="83">
        <v>0</v>
      </c>
      <c r="O114" s="83">
        <v>0</v>
      </c>
      <c r="P114" s="83">
        <v>0</v>
      </c>
      <c r="Q114" s="83">
        <v>0</v>
      </c>
      <c r="R114" s="83">
        <v>0</v>
      </c>
      <c r="S114" s="83">
        <v>0</v>
      </c>
      <c r="T114" s="83">
        <v>0</v>
      </c>
      <c r="U114" s="83"/>
      <c r="V114" s="83">
        <v>0</v>
      </c>
      <c r="W114" s="83">
        <v>39.6</v>
      </c>
      <c r="X114" s="83"/>
      <c r="Y114" s="83">
        <v>0</v>
      </c>
      <c r="Z114" s="83">
        <v>0</v>
      </c>
      <c r="AA114" s="83">
        <v>0</v>
      </c>
      <c r="AB114" s="83">
        <v>0</v>
      </c>
      <c r="AC114" s="83">
        <v>0</v>
      </c>
      <c r="AD114" s="83"/>
      <c r="AE114" s="83"/>
    </row>
    <row r="115" spans="1:31" ht="16" x14ac:dyDescent="0.2">
      <c r="A115" s="89">
        <v>110</v>
      </c>
      <c r="B115" s="84" t="s">
        <v>329</v>
      </c>
      <c r="C115" s="84" t="s">
        <v>107</v>
      </c>
      <c r="D115" s="83">
        <v>26</v>
      </c>
      <c r="E115" s="83" t="s">
        <v>83</v>
      </c>
      <c r="F115" s="83">
        <v>16</v>
      </c>
      <c r="G115" s="83">
        <v>14</v>
      </c>
      <c r="H115" s="83"/>
      <c r="I115" s="83">
        <v>0</v>
      </c>
      <c r="J115" s="83">
        <v>1</v>
      </c>
      <c r="K115" s="83">
        <v>0</v>
      </c>
      <c r="L115" s="83">
        <v>0</v>
      </c>
      <c r="M115" s="83">
        <v>0</v>
      </c>
      <c r="N115" s="83">
        <v>0</v>
      </c>
      <c r="O115" s="83">
        <v>0</v>
      </c>
      <c r="P115" s="83">
        <v>0</v>
      </c>
      <c r="Q115" s="83">
        <v>0</v>
      </c>
      <c r="R115" s="83">
        <v>0</v>
      </c>
      <c r="S115" s="83">
        <v>0</v>
      </c>
      <c r="T115" s="83">
        <v>0</v>
      </c>
      <c r="U115" s="83"/>
      <c r="V115" s="83">
        <v>0</v>
      </c>
      <c r="W115" s="83">
        <v>39.6</v>
      </c>
      <c r="X115" s="83">
        <v>1.8</v>
      </c>
      <c r="Y115" s="83">
        <v>0</v>
      </c>
      <c r="Z115" s="83">
        <v>0</v>
      </c>
      <c r="AA115" s="83">
        <v>0</v>
      </c>
      <c r="AB115" s="83">
        <v>0</v>
      </c>
      <c r="AC115" s="83">
        <v>0</v>
      </c>
      <c r="AD115" s="83"/>
      <c r="AE115" s="83"/>
    </row>
    <row r="116" spans="1:31" ht="16" x14ac:dyDescent="0.2">
      <c r="A116" s="89">
        <v>111</v>
      </c>
      <c r="B116" s="84" t="s">
        <v>869</v>
      </c>
      <c r="C116" s="84" t="s">
        <v>1040</v>
      </c>
      <c r="D116" s="83">
        <v>27</v>
      </c>
      <c r="E116" s="83" t="s">
        <v>83</v>
      </c>
      <c r="F116" s="83">
        <v>10</v>
      </c>
      <c r="G116" s="83">
        <v>9</v>
      </c>
      <c r="H116" s="83"/>
      <c r="I116" s="83">
        <v>0</v>
      </c>
      <c r="J116" s="83">
        <v>1</v>
      </c>
      <c r="K116" s="83">
        <v>0</v>
      </c>
      <c r="L116" s="83">
        <v>0</v>
      </c>
      <c r="M116" s="83">
        <v>0</v>
      </c>
      <c r="N116" s="83">
        <v>0</v>
      </c>
      <c r="O116" s="83">
        <v>1</v>
      </c>
      <c r="P116" s="83">
        <v>100</v>
      </c>
      <c r="Q116" s="83">
        <v>0</v>
      </c>
      <c r="R116" s="83">
        <v>0</v>
      </c>
      <c r="S116" s="83">
        <v>0</v>
      </c>
      <c r="T116" s="83">
        <v>-45</v>
      </c>
      <c r="U116" s="83"/>
      <c r="V116" s="83">
        <v>0</v>
      </c>
      <c r="W116" s="83">
        <v>0</v>
      </c>
      <c r="X116" s="83">
        <v>0</v>
      </c>
      <c r="Y116" s="83">
        <v>0</v>
      </c>
      <c r="Z116" s="83">
        <v>0</v>
      </c>
      <c r="AA116" s="83">
        <v>0</v>
      </c>
      <c r="AB116" s="83">
        <v>0</v>
      </c>
      <c r="AC116" s="83">
        <v>-45</v>
      </c>
      <c r="AD116" s="83"/>
      <c r="AE116" s="83"/>
    </row>
    <row r="117" spans="1:31" ht="16" x14ac:dyDescent="0.2">
      <c r="A117" s="89">
        <v>112</v>
      </c>
      <c r="B117" s="84" t="s">
        <v>509</v>
      </c>
      <c r="C117" s="84" t="s">
        <v>119</v>
      </c>
      <c r="D117" s="83">
        <v>23</v>
      </c>
      <c r="E117" s="83" t="s">
        <v>83</v>
      </c>
      <c r="F117" s="83">
        <v>14</v>
      </c>
      <c r="G117" s="83">
        <v>6</v>
      </c>
      <c r="H117" s="83"/>
      <c r="I117" s="83">
        <v>0</v>
      </c>
      <c r="J117" s="83">
        <v>1</v>
      </c>
      <c r="K117" s="83">
        <v>0</v>
      </c>
      <c r="L117" s="83">
        <v>0</v>
      </c>
      <c r="M117" s="83">
        <v>0</v>
      </c>
      <c r="N117" s="83">
        <v>0</v>
      </c>
      <c r="O117" s="83">
        <v>0</v>
      </c>
      <c r="P117" s="83">
        <v>0</v>
      </c>
      <c r="Q117" s="83">
        <v>0</v>
      </c>
      <c r="R117" s="83">
        <v>0</v>
      </c>
      <c r="S117" s="83">
        <v>0</v>
      </c>
      <c r="T117" s="83">
        <v>0</v>
      </c>
      <c r="U117" s="83"/>
      <c r="V117" s="83">
        <v>0</v>
      </c>
      <c r="W117" s="83">
        <v>39.6</v>
      </c>
      <c r="X117" s="83">
        <v>2.8</v>
      </c>
      <c r="Y117" s="83">
        <v>0</v>
      </c>
      <c r="Z117" s="83">
        <v>0</v>
      </c>
      <c r="AA117" s="83">
        <v>0</v>
      </c>
      <c r="AB117" s="83">
        <v>0</v>
      </c>
      <c r="AC117" s="83">
        <v>0</v>
      </c>
      <c r="AD117" s="83"/>
      <c r="AE117" s="83"/>
    </row>
  </sheetData>
  <mergeCells count="1">
    <mergeCell ref="A1:AE1"/>
  </mergeCells>
  <hyperlinks>
    <hyperlink ref="B3" r:id="rId1" display="file:///players/W/WatsDe00.htm" xr:uid="{68D8F118-30F2-DC44-9C0E-2F81861D110B}"/>
    <hyperlink ref="C3" r:id="rId2" tooltip="Houston Texans" display="file:///teams/htx/2020.htm" xr:uid="{FA55593D-A893-C748-BAB3-40FE67A8EAFB}"/>
    <hyperlink ref="B4" r:id="rId3" display="file:///players/M/MahoPa00.htm" xr:uid="{4CDF851F-1EB3-C643-9283-F85DCC6EF93E}"/>
    <hyperlink ref="C4" r:id="rId4" tooltip="Kansas City Chiefs" display="file:///teams/kan/2020.htm" xr:uid="{B4C88156-D303-DF4A-AD67-9FDC1F7E4547}"/>
    <hyperlink ref="B5" r:id="rId5" display="file:///players/B/BradTo00.htm" xr:uid="{AFC1F52A-0717-1E41-B622-8C6469EE4702}"/>
    <hyperlink ref="C5" r:id="rId6" tooltip="Tampa Bay Buccaneers" display="file:///teams/tam/2020.htm" xr:uid="{0DBA879D-350A-C547-A538-268EE50AD55C}"/>
    <hyperlink ref="B6" r:id="rId7" display="file:///players/R/RyanMa00.htm" xr:uid="{DC54B1FC-86A3-F548-AAC8-C53992CE037C}"/>
    <hyperlink ref="C6" r:id="rId8" tooltip="Atlanta Falcons" display="file:///teams/atl/2020.htm" xr:uid="{74415EA0-8DCD-0D49-857A-274DAA3C8434}"/>
    <hyperlink ref="B7" r:id="rId9" display="file:///players/A/AlleJo02.htm" xr:uid="{F416388B-B9B3-1A4D-8887-0BAC3175FD48}"/>
    <hyperlink ref="C7" r:id="rId10" tooltip="Buffalo Bills" display="file:///teams/buf/2020.htm" xr:uid="{2106BA1A-352C-6A48-B24F-D889D65747AF}"/>
    <hyperlink ref="B8" r:id="rId11" display="file:///players/H/HerbJu00.htm" xr:uid="{21FECDBF-63E3-BD47-81C3-04948FF8E075}"/>
    <hyperlink ref="C8" r:id="rId12" tooltip="Los Angeles Chargers" display="file:///teams/sdg/2020.htm" xr:uid="{5FB00540-242F-624B-8896-A4DD8AFE9DFB}"/>
    <hyperlink ref="B9" r:id="rId13" display="file:///players/R/RodgAa00.htm" xr:uid="{0F9D80A7-F256-D84E-A12E-CA3BC03E78AB}"/>
    <hyperlink ref="C9" r:id="rId14" tooltip="Green Bay Packers" display="file:///teams/gnb/2020.htm" xr:uid="{C03D401B-C257-FD41-BB5D-5F3AD7F838BF}"/>
    <hyperlink ref="B10" r:id="rId15" display="file:///players/C/CousKi00.htm" xr:uid="{6BCEB518-1B38-044C-9BAF-00CDD6394E93}"/>
    <hyperlink ref="C10" r:id="rId16" tooltip="Minnesota Vikings" display="file:///teams/min/2020.htm" xr:uid="{DA80DD8C-5BA6-784A-AD0E-F80872E16C8E}"/>
    <hyperlink ref="B11" r:id="rId17" display="file:///players/W/WilsRu00.htm" xr:uid="{1FFB32B0-3C2D-A642-94C5-1012C2FAA12F}"/>
    <hyperlink ref="C11" r:id="rId18" tooltip="Seattle Seahawks" display="file:///teams/sea/2020.htm" xr:uid="{B2C90DEB-1E43-6D42-AC7F-15186CD21623}"/>
    <hyperlink ref="B12" r:id="rId19" display="file:///players/R/RivePh00.htm" xr:uid="{068935D8-A47D-5048-BFE1-42CC44A8DCCA}"/>
    <hyperlink ref="C12" r:id="rId20" tooltip="Indianapolis Colts" display="file:///teams/clt/2020.htm" xr:uid="{FCD9B3FC-2756-A048-A1DE-86D5D7E4F44B}"/>
    <hyperlink ref="B13" r:id="rId21" display="file:///players/C/CarrDe02.htm" xr:uid="{44AC1931-4C65-D549-BBB1-8094A02871AD}"/>
    <hyperlink ref="C13" r:id="rId22" tooltip="Las Vegas Raiders" display="file:///teams/rai/2020.htm" xr:uid="{1CD5EDD0-5D28-BA40-ADB9-1F975505B992}"/>
    <hyperlink ref="B14" r:id="rId23" display="file:///players/S/StafMa00.htm" xr:uid="{7F63352F-5E84-754C-8F96-0042CED0AFAC}"/>
    <hyperlink ref="C14" r:id="rId24" tooltip="Detroit Lions" display="file:///teams/det/2020.htm" xr:uid="{D6849471-503B-F24D-963D-E5F6E1A7C6D8}"/>
    <hyperlink ref="B15" r:id="rId25" display="file:///players/M/MurrKy00.htm" xr:uid="{A2704A6E-39F2-D148-983E-A2B68CAF1FE9}"/>
    <hyperlink ref="C15" r:id="rId26" tooltip="Arizona Cardinals" display="file:///teams/crd/2020.htm" xr:uid="{A043A6C0-202C-D249-9CB5-833E8F476218}"/>
    <hyperlink ref="B16" r:id="rId27" display="file:///players/G/GoffJa00.htm" xr:uid="{B23861A1-545C-FA47-B416-C31CC0ACA2CC}"/>
    <hyperlink ref="C16" r:id="rId28" tooltip="Los Angeles Rams" display="file:///teams/ram/2020.htm" xr:uid="{6C41E3B2-9DAC-9949-8955-6E2CFD1BD409}"/>
    <hyperlink ref="B17" r:id="rId29" display="file:///players/T/TannRy00.htm" xr:uid="{5089B1AE-3F7E-0049-B4B7-DCDAF4A91E87}"/>
    <hyperlink ref="C17" r:id="rId30" tooltip="Tennessee Titans" display="file:///teams/oti/2020.htm" xr:uid="{49EE49F7-0952-A848-853F-DFE16B3C3578}"/>
    <hyperlink ref="B18" r:id="rId31" display="file:///players/R/RoetBe00.htm" xr:uid="{58107649-73DF-8C4F-8202-368E8B7C30D7}"/>
    <hyperlink ref="C18" r:id="rId32" tooltip="Pittsburgh Steelers" display="file:///teams/pit/2020.htm" xr:uid="{DCA1533A-294C-4D4B-93EC-0F956EA31990}"/>
    <hyperlink ref="B19" r:id="rId33" display="file:///players/B/BridTe00.htm" xr:uid="{4C1EEE2F-F907-7342-82C7-AEB13D28929B}"/>
    <hyperlink ref="C19" r:id="rId34" tooltip="Carolina Panthers" display="file:///teams/car/2020.htm" xr:uid="{23EB0383-E9D0-DE4F-86F9-1FEC1DC197AD}"/>
    <hyperlink ref="B20" r:id="rId35" display="file:///players/M/MayfBa00.htm" xr:uid="{59097C32-5284-B24E-97E8-1FC1021EE3D2}"/>
    <hyperlink ref="C20" r:id="rId36" tooltip="Cleveland Browns" display="file:///teams/cle/2020.htm" xr:uid="{A4518F73-7164-644A-9E2D-A939F16663F0}"/>
    <hyperlink ref="B21" r:id="rId37" display="file:///players/J/JoneDa05.htm" xr:uid="{3A400F28-67BF-FC4B-9D63-E261CD413EE8}"/>
    <hyperlink ref="C21" r:id="rId38" tooltip="New York Giants" display="file:///teams/nyg/2020.htm" xr:uid="{574D18A0-3C41-8E4D-9679-0A68C42BC9F9}"/>
    <hyperlink ref="B22" r:id="rId39" display="file:///players/B/BreeDr00.htm" xr:uid="{F6742C81-15C6-FF49-BA5F-C1EA21BB65D9}"/>
    <hyperlink ref="C22" r:id="rId40" tooltip="New Orleans Saints" display="file:///teams/nor/2020.htm" xr:uid="{2E48A73D-EA47-0642-BA28-AB95B0F4E1EC}"/>
    <hyperlink ref="B23" r:id="rId41" display="file:///players/L/LockDr00.htm" xr:uid="{1BF45DF8-D4EF-F043-9FA3-BC562A3DD3E6}"/>
    <hyperlink ref="C23" r:id="rId42" tooltip="Denver Broncos" display="file:///teams/den/2020.htm" xr:uid="{A509F0C7-232B-3B48-87F9-52EAD90213C7}"/>
    <hyperlink ref="B24" r:id="rId43" display="file:///players/J/JackLa00.htm" xr:uid="{90F81A5A-C2C5-7348-AB10-CB5D182AAD1D}"/>
    <hyperlink ref="C24" r:id="rId44" tooltip="Baltimore Ravens" display="file:///teams/rav/2020.htm" xr:uid="{65F28F10-9055-C544-925C-77AFD83FC496}"/>
    <hyperlink ref="B25" r:id="rId45" display="file:///players/B/BurrJo01.htm" xr:uid="{599586E9-99E4-DA41-8F91-6852665CCCA0}"/>
    <hyperlink ref="C25" r:id="rId46" tooltip="Cincinnati Bengals" display="file:///teams/cin/2020.htm" xr:uid="{6804E22A-5858-0547-8971-A20931BFF57C}"/>
    <hyperlink ref="B26" r:id="rId47" display="file:///players/N/NewtCa00.htm" xr:uid="{5CB82DBC-F9BF-BE47-AC90-70B53BFEA48C}"/>
    <hyperlink ref="C26" r:id="rId48" tooltip="New England Patriots" display="file:///teams/nwe/2020.htm" xr:uid="{FEB119A2-85F8-CC4C-B5E2-79EC4BFD65B1}"/>
    <hyperlink ref="B27" r:id="rId49" display="file:///players/W/WentCa00.htm" xr:uid="{E4833005-A030-3A4E-A116-2B350FDA9636}"/>
    <hyperlink ref="C27" r:id="rId50" tooltip="Philadelphia Eagles" display="file:///teams/phi/2020.htm" xr:uid="{E0CB260A-F2DE-BB49-A8E0-59A663103835}"/>
    <hyperlink ref="B28" r:id="rId51" display="file:///players/M/MullNi00.htm" xr:uid="{1AABA18B-4DF6-A74F-97FE-CECB7692595C}"/>
    <hyperlink ref="C28" r:id="rId52" tooltip="San Francisco 49ers" display="file:///teams/sfo/2020.htm" xr:uid="{BAA772E5-9B79-3C47-BC5C-01B90CF8A798}"/>
    <hyperlink ref="B29" r:id="rId53" display="file:///players/M/MinsGa00.htm" xr:uid="{3E680729-BF98-EE41-A365-02AEA70B418A}"/>
    <hyperlink ref="C29" r:id="rId54" tooltip="Jacksonville Jaguars" display="file:///teams/jax/2020.htm" xr:uid="{0290E94F-66D8-0B41-B181-E1B2B66B73FB}"/>
    <hyperlink ref="B30" r:id="rId55" display="file:///players/D/DarnSa00.htm" xr:uid="{305418CE-9380-0249-B3AE-EC0FFB35F2A9}"/>
    <hyperlink ref="C30" r:id="rId56" tooltip="New York Jets" display="file:///teams/nyj/2020.htm" xr:uid="{4570D74E-E84C-9940-9010-DFC0E023462F}"/>
    <hyperlink ref="B31" r:id="rId57" display="file:///players/D/DaltAn00.htm" xr:uid="{F2112ACA-5809-2E4D-90FE-8D42CBC76E72}"/>
    <hyperlink ref="C31" r:id="rId58" tooltip="Dallas Cowboys" display="file:///teams/dal/2020.htm" xr:uid="{177AD408-FDD5-DF4F-83C7-8AA2ABF7A575}"/>
    <hyperlink ref="B33" r:id="rId59" display="file:///players/F/FitzRy00.htm" xr:uid="{28011990-265E-B542-BAC6-70A9DC8D42A1}"/>
    <hyperlink ref="C33" r:id="rId60" tooltip="Miami Dolphins" display="file:///teams/mia/2020.htm" xr:uid="{80671F30-27F6-A241-A5B5-6FF84FB4028D}"/>
    <hyperlink ref="B34" r:id="rId61" display="file:///players/T/TrubMi00.htm" xr:uid="{A515F99F-7AE6-B146-8C38-89DCBF9799AE}"/>
    <hyperlink ref="C34" r:id="rId62" tooltip="Chicago Bears" display="file:///teams/chi/2020.htm" xr:uid="{1047D6FD-9BD1-3049-A89C-46B47E640F28}"/>
    <hyperlink ref="B35" r:id="rId63" display="file:///players/P/PresDa01.htm" xr:uid="{20488FD0-4068-9142-B9C9-F86FCB45DDCC}"/>
    <hyperlink ref="C35" r:id="rId64" tooltip="Dallas Cowboys" display="file:///teams/dal/2020.htm" xr:uid="{C2919A8D-78BA-4443-837A-9DC1E279CFD9}"/>
    <hyperlink ref="B36" r:id="rId65" display="file:///players/F/FoleNi00.htm" xr:uid="{4F24FA51-545F-D24E-8ED5-7FCDECE1915F}"/>
    <hyperlink ref="C36" r:id="rId66" tooltip="Chicago Bears" display="file:///teams/chi/2020.htm" xr:uid="{4E8A772C-643D-4047-8035-16A08A608AE5}"/>
    <hyperlink ref="B37" r:id="rId67" display="file:///players/T/TagoTu00.htm" xr:uid="{D51EA6EA-2546-4F4D-8524-CF5A8DC876D5}"/>
    <hyperlink ref="C37" r:id="rId68" tooltip="Miami Dolphins" display="file:///teams/mia/2020.htm" xr:uid="{D9CA2469-1CB3-894F-A589-9EB2D8658DCE}"/>
    <hyperlink ref="B38" r:id="rId69" display="file:///players/S/SmitAl03.htm" xr:uid="{AC972D22-C537-EA47-8CF6-0D9AE6089C36}"/>
    <hyperlink ref="C38" r:id="rId70" tooltip="Washington Football Team" display="file:///teams/was/2020.htm" xr:uid="{BABD5BDF-25EE-A249-ABC5-060D823C96E8}"/>
    <hyperlink ref="B39" r:id="rId71" display="file:///players/H/HaskDw00.htm" xr:uid="{78984DBD-386B-5C42-AB2F-F56BCC8AC802}"/>
    <hyperlink ref="C39" r:id="rId72" tooltip="Washington Football Team" display="file:///teams/was/2020.htm" xr:uid="{F9053AC3-4140-E44B-9A06-508C2201F798}"/>
    <hyperlink ref="B40" r:id="rId73" display="file:///players/G/GaroJi00.htm" xr:uid="{74AB887A-C199-E048-A3BB-20C8266810E3}"/>
    <hyperlink ref="C40" r:id="rId74" tooltip="San Francisco 49ers" display="file:///teams/sfo/2020.htm" xr:uid="{11E5A2C1-E8C7-8943-9D3A-68BA5A9D8047}"/>
    <hyperlink ref="B41" r:id="rId75" display="file:///players/G/GlenMi00.htm" xr:uid="{A4C042A7-C18E-3B49-A004-3471F3B15262}"/>
    <hyperlink ref="C41" r:id="rId76" tooltip="Jacksonville Jaguars" display="file:///teams/jax/2020.htm" xr:uid="{3FECED44-75F3-7E4F-8A89-6E33BB4B30B5}"/>
    <hyperlink ref="B42" r:id="rId77" display="file:///players/H/HurtJa00.htm" xr:uid="{83CD45DA-4B09-F44D-B212-1757B609C531}"/>
    <hyperlink ref="C42" r:id="rId78" tooltip="Philadelphia Eagles" display="file:///teams/phi/2020.htm" xr:uid="{B7BD9B88-6117-F042-885D-4FEDB5ACD0EE}"/>
    <hyperlink ref="B43" r:id="rId79" display="file:///players/H/HillTa00.htm" xr:uid="{3C58502E-CFFD-6D48-9929-E3E7E01C47F6}"/>
    <hyperlink ref="C43" r:id="rId80" tooltip="New Orleans Saints" display="file:///teams/nor/2020.htm" xr:uid="{FDE10E9A-58F0-164A-B5EB-FD49F2409C20}"/>
    <hyperlink ref="B44" r:id="rId81" display="file:///players/A/AlleBr00.htm" xr:uid="{EE86396C-7F83-8142-AF5C-5CD471DD1433}"/>
    <hyperlink ref="C44" r:id="rId82" tooltip="Cincinnati Bengals" display="file:///teams/cin/2020.htm" xr:uid="{00523538-9601-304C-93B8-0A2EAC6D7A24}"/>
    <hyperlink ref="B45" r:id="rId83" display="file:///players/F/FlacJo00.htm" xr:uid="{E7D25144-93F4-F846-B480-0417EF6FEE9B}"/>
    <hyperlink ref="C45" r:id="rId84" tooltip="New York Jets" display="file:///teams/nyj/2020.htm" xr:uid="{283D2DD7-B35C-764C-ADD3-88D9D303A603}"/>
    <hyperlink ref="B46" r:id="rId85" display="file:///players/B/BeatC.00.htm" xr:uid="{0A4A6374-79B8-0847-ABFE-C6A4DDE3ACEC}"/>
    <hyperlink ref="C46" r:id="rId86" tooltip="San Francisco 49ers" display="file:///teams/sfo/2020.htm" xr:uid="{73206D2D-34BD-5746-9B93-61E6C4DB584E}"/>
    <hyperlink ref="B47" r:id="rId87" display="file:///players/L/LutoJa00.htm" xr:uid="{801701B6-8187-F84F-8390-E835F4AC3B90}"/>
    <hyperlink ref="C47" r:id="rId88" tooltip="Jacksonville Jaguars" display="file:///teams/jax/2020.htm" xr:uid="{72B25B6A-8DBD-4645-9E9C-AE6E9AE5A8C4}"/>
    <hyperlink ref="B48" r:id="rId89" display="file:///players/A/AlleKy00.htm" xr:uid="{61C5E24E-78AD-DA40-A4C3-466606ED027F}"/>
    <hyperlink ref="C48" r:id="rId90" tooltip="Washington Football Team" display="file:///teams/was/2020.htm" xr:uid="{F36626B4-CADC-474F-B192-C26FC54D0235}"/>
    <hyperlink ref="B49" r:id="rId91" display="file:///players/D/DrisJe00.htm" xr:uid="{5E08066C-979A-3442-8A0E-1A5EF08FA267}"/>
    <hyperlink ref="C49" r:id="rId92" tooltip="Denver Broncos" display="file:///teams/den/2020.htm" xr:uid="{58B5BD61-4FD7-F544-80ED-60E882CF29C4}"/>
    <hyperlink ref="B50" r:id="rId93" display="file:///players/M/McCoCo00.htm" xr:uid="{9AF86A7D-8127-CE40-8D42-6980A0CE9B4D}"/>
    <hyperlink ref="C50" r:id="rId94" tooltip="New York Giants" display="file:///teams/nyg/2020.htm" xr:uid="{BD442F6B-E93D-0C44-85D1-F06C2BAF0256}"/>
    <hyperlink ref="B51" r:id="rId95" display="file:///players/W/WalkPh00.htm" xr:uid="{AAF0F6E5-FCCD-0F46-BD39-8CEEE5A649B8}"/>
    <hyperlink ref="C51" r:id="rId96" tooltip="Carolina Panthers" display="file:///teams/car/2020.htm" xr:uid="{68647615-6885-364F-9EA9-3BDC6AB3B739}"/>
    <hyperlink ref="B52" r:id="rId97" display="file:///players/R/RudoMa00.htm" xr:uid="{A5B570ED-BCCF-5841-88FD-30B01A57DD7E}"/>
    <hyperlink ref="C52" r:id="rId98" tooltip="Pittsburgh Steelers" display="file:///teams/pit/2020.htm" xr:uid="{872D68C1-819D-884B-9680-78788A19E648}"/>
    <hyperlink ref="B53" r:id="rId99" display="file:///players/R/RypiBr00.htm" xr:uid="{905D929F-6F08-934E-82B0-7BA47F9667F2}"/>
    <hyperlink ref="C53" r:id="rId100" tooltip="Denver Broncos" display="file:///teams/den/2020.htm" xr:uid="{38057109-8CE2-E344-8AA7-4DFD11D8DBBE}"/>
    <hyperlink ref="B54" r:id="rId101" display="file:///players/D/DaniCh00.htm" xr:uid="{C4226E6F-A4F3-6B4B-A4A0-39A2AD925F57}"/>
    <hyperlink ref="C54" r:id="rId102" tooltip="Detroit Lions" display="file:///teams/det/2020.htm" xr:uid="{F7B6D412-CC3E-DD4D-82BB-77615DEB9871}"/>
    <hyperlink ref="B55" r:id="rId103" display="file:///players/S/StidJa00.htm" xr:uid="{D6B90A33-6346-F442-B151-2E8BA35BAFC6}"/>
    <hyperlink ref="C55" r:id="rId104" tooltip="New England Patriots" display="file:///teams/nwe/2020.htm" xr:uid="{62EB8D62-E965-1849-90AA-52B877DE839F}"/>
    <hyperlink ref="B56" r:id="rId105" display="file:///players/H/HennCh01.htm" xr:uid="{D940749E-F832-8F48-9D86-4084EF1A330C}"/>
    <hyperlink ref="C56" r:id="rId106" tooltip="Kansas City Chiefs" display="file:///teams/kan/2020.htm" xr:uid="{D362C860-B962-334A-A967-2069C4E57B62}"/>
    <hyperlink ref="B57" r:id="rId107" display="file:///players/G/GilbGa01.htm" xr:uid="{401F4684-14EE-564C-A04A-067E71C798A6}"/>
    <hyperlink ref="C57" r:id="rId108" tooltip="Dallas Cowboys" display="file:///teams/dal/2020.htm" xr:uid="{AE7E60A5-6EAE-264C-80D8-A83BB0E358A5}"/>
    <hyperlink ref="B58" r:id="rId109" display="file:///players/W/WolfJo00.htm" xr:uid="{05EFADFA-3267-6D43-B84D-D072B28ABBFE}"/>
    <hyperlink ref="C58" r:id="rId110" tooltip="Los Angeles Rams" display="file:///teams/ram/2020.htm" xr:uid="{7CE9B421-0ECC-514B-BF8F-3868911EEE6C}"/>
    <hyperlink ref="B59" r:id="rId111" display="file:///players/M/MariMa01.htm" xr:uid="{78AD48F0-6E26-6543-AB7E-DDB9F1EA56F3}"/>
    <hyperlink ref="C59" r:id="rId112" tooltip="Las Vegas Raiders" display="file:///teams/rai/2020.htm" xr:uid="{58378AAF-1E46-7246-A8C4-1499DDFFE595}"/>
    <hyperlink ref="B60" r:id="rId113" display="file:///players/D/DiNuBe00.htm" xr:uid="{B5FF1654-A37D-5D45-BDBE-52FE18CA8554}"/>
    <hyperlink ref="C60" r:id="rId114" tooltip="Dallas Cowboys" display="file:///teams/dal/2020.htm" xr:uid="{A187E719-9BC8-6645-8D73-8AEBD518D62F}"/>
    <hyperlink ref="B61" r:id="rId115" display="file:///players/T/TaylTy00.htm" xr:uid="{56879C9B-C6DF-4F4E-9AED-A49C418D5D46}"/>
    <hyperlink ref="C61" r:id="rId116" tooltip="Los Angeles Chargers" display="file:///teams/sdg/2020.htm" xr:uid="{9EFD5FA4-F36A-5342-BC63-2EDA79367F78}"/>
    <hyperlink ref="B62" r:id="rId117" display="file:///players/B/BarkMa00.htm" xr:uid="{189D3767-84A4-1E4D-BD34-AB5CD70290E7}"/>
    <hyperlink ref="C62" r:id="rId118" tooltip="Buffalo Bills" display="file:///teams/buf/2020.htm" xr:uid="{4FEACC50-6527-4944-8D16-19DF54F4332F}"/>
    <hyperlink ref="B64" r:id="rId119" display="file:///players/F/FinlRy00.htm" xr:uid="{B1BD10B4-A915-7C4B-BFC4-7926448392BD}"/>
    <hyperlink ref="C64" r:id="rId120" tooltip="Cincinnati Bengals" display="file:///teams/cin/2020.htm" xr:uid="{D075B388-317B-844B-81BF-61AAEA01A2BB}"/>
    <hyperlink ref="B65" r:id="rId121" display="file:///players/G/GabbBl00.htm" xr:uid="{EE840D4B-2E01-3447-AF2F-0A5AD01F9789}"/>
    <hyperlink ref="C65" r:id="rId122" tooltip="Tampa Bay Buccaneers" display="file:///teams/tam/2020.htm" xr:uid="{78039419-6CAE-B54D-817A-9DE9D0EEBADE}"/>
    <hyperlink ref="B66" r:id="rId123" display="file:///players/H/HeinTa00.htm" xr:uid="{80EEA3FA-D04E-AA4F-92F4-0A6D678F4976}"/>
    <hyperlink ref="C66" r:id="rId124" tooltip="Washington Football Team" display="file:///teams/was/2020.htm" xr:uid="{280302E6-F58A-EE4C-9482-6BAB34B8566F}"/>
    <hyperlink ref="B67" r:id="rId125" display="file:///players/H/HoyeBr00.htm" xr:uid="{01BC4E4D-CB73-474A-926A-4D3E1A5A08AB}"/>
    <hyperlink ref="C67" r:id="rId126" tooltip="New England Patriots" display="file:///teams/nwe/2020.htm" xr:uid="{1D326A0B-3667-3149-9F6C-A1C7BADCDBC8}"/>
    <hyperlink ref="B68" r:id="rId127" display="file:///players/S/StreCh00.htm" xr:uid="{61C91459-1925-374E-8717-7759C3EC8FEA}"/>
    <hyperlink ref="C68" r:id="rId128" tooltip="Arizona Cardinals" display="file:///teams/crd/2020.htm" xr:uid="{1A5E8309-3D81-1549-B60E-44B87F70E928}"/>
    <hyperlink ref="B69" r:id="rId129" display="file:///players/M/McSoTr00.htm" xr:uid="{2CF48120-E2C3-BB4A-819A-E04772652FAE}"/>
    <hyperlink ref="C69" r:id="rId130" tooltip="Baltimore Ravens" display="file:///teams/rav/2020.htm" xr:uid="{F1517B7E-FD1A-D545-9440-5B4C21DF2AEC}"/>
    <hyperlink ref="B70" r:id="rId131" display="file:///players/W/WinsJa00.htm" xr:uid="{2188F687-1A6F-4849-9BC4-8DB491FB068F}"/>
    <hyperlink ref="C70" r:id="rId132" tooltip="New Orleans Saints" display="file:///teams/nor/2020.htm" xr:uid="{D4CFFAFE-D8C4-D643-9FB3-631E1DDE32DC}"/>
    <hyperlink ref="B71" r:id="rId133" display="file:///players/L/LandJa00.htm" xr:uid="{0DA25838-7D9C-D842-A00A-FD95A4CDB4ED}"/>
    <hyperlink ref="C71" r:id="rId134" tooltip="Cleveland Browns" display="file:///teams/cle/2020.htm" xr:uid="{175186A7-1F6B-3147-961C-56A2B8A8F56F}"/>
    <hyperlink ref="B72" r:id="rId135" display="file:///players/B/BlouDa00.htm" xr:uid="{BAD9A7C3-B970-9D4D-9859-505176774B8A}"/>
    <hyperlink ref="C72" r:id="rId136" tooltip="Detroit Lions" display="file:///teams/det/2020.htm" xr:uid="{0D3D82FA-3005-5C40-804A-910A3A4674DB}"/>
    <hyperlink ref="B73" r:id="rId137" display="file:///players/K/KeenCa00.htm" xr:uid="{417738E4-D353-9549-81E5-D3E5E3C058C2}"/>
    <hyperlink ref="C73" r:id="rId138" tooltip="Cleveland Browns" display="file:///teams/cle/2020.htm" xr:uid="{9B6935BE-CA1F-4347-904C-AECA4009583F}"/>
    <hyperlink ref="B74" r:id="rId139" display="file:///players/C/CrowJa00.htm" xr:uid="{6EBD1BE9-8F17-974E-9963-496915FDDFAA}"/>
    <hyperlink ref="C74" r:id="rId140" tooltip="New York Jets" display="file:///teams/nyj/2020.htm" xr:uid="{A5F5DD6D-B9B6-C84D-8791-B44A92862F2D}"/>
    <hyperlink ref="B75" r:id="rId141" display="file:///players/M/MeyeJa01.htm" xr:uid="{2533B055-5A5E-7140-B925-60810F57DB8A}"/>
    <hyperlink ref="C75" r:id="rId142" tooltip="New England Patriots" display="file:///teams/nwe/2020.htm" xr:uid="{DED557BD-BE63-6241-BA4B-EC6F3C3C34A2}"/>
    <hyperlink ref="B76" r:id="rId143" display="file:///players/G/GrifRo01.htm" xr:uid="{E4755643-8A1F-7A4E-8F15-475986AD2497}"/>
    <hyperlink ref="C76" r:id="rId144" tooltip="Baltimore Ravens" display="file:///teams/rav/2020.htm" xr:uid="{3A54C039-4FC5-CC43-A0EB-7934EBA49D0B}"/>
    <hyperlink ref="B77" r:id="rId145" display="file:///players/G/GageRu00.htm" xr:uid="{F277A96D-9866-DD48-8A54-1D9C34049974}"/>
    <hyperlink ref="C77" r:id="rId146" tooltip="Atlanta Falcons" display="file:///teams/atl/2020.htm" xr:uid="{27AA6ACA-FCEC-9042-9DD7-E081CC99B1E6}"/>
    <hyperlink ref="B78" r:id="rId147" display="file:///players/E/EdelJu00.htm" xr:uid="{53170B55-F700-224E-AE0E-0E89627DDF52}"/>
    <hyperlink ref="C78" r:id="rId148" tooltip="New England Patriots" display="file:///teams/nwe/2020.htm" xr:uid="{147F8814-75A4-1B4E-ABA8-AAD530559473}"/>
    <hyperlink ref="B79" r:id="rId149" display="file:///players/S/SmitGe00.htm" xr:uid="{F3A00381-C0A2-404A-A639-34EA04208337}"/>
    <hyperlink ref="C79" r:id="rId150" tooltip="Seattle Seahawks" display="file:///teams/sea/2020.htm" xr:uid="{C5ECD05C-2AA4-9E45-A902-90CAF43F7982}"/>
    <hyperlink ref="B80" r:id="rId151" display="file:///players/B/BowdLy00.htm" xr:uid="{4AB3E261-004B-A246-A306-CC6BB855ED1F}"/>
    <hyperlink ref="C80" r:id="rId152" tooltip="Miami Dolphins" display="file:///teams/mia/2020.htm" xr:uid="{7BA745B8-3028-124F-906F-D45F0964384F}"/>
    <hyperlink ref="B81" r:id="rId153" display="file:///players/S/SudfNa00.htm" xr:uid="{528A4A95-B2DD-3441-B679-E1816C8C58D5}"/>
    <hyperlink ref="C81" r:id="rId154" tooltip="Philadelphia Eagles" display="file:///teams/phi/2020.htm" xr:uid="{A9E8DFBB-2AD3-1A42-9519-D5C0461129C0}"/>
    <hyperlink ref="B82" r:id="rId155" display="file:///players/J/JoneZa00.htm" xr:uid="{95AA7BBC-19C8-6747-964A-ACAC86B661A5}"/>
    <hyperlink ref="C82" r:id="rId156" tooltip="Las Vegas Raiders" display="file:///teams/rai/2020.htm" xr:uid="{71C1F8AA-7057-4C4F-B726-FA7A94A16B04}"/>
    <hyperlink ref="B83" r:id="rId157" display="file:///players/C/CharJo01.htm" xr:uid="{5E2ED08D-E73B-5741-A56A-2BD1C9793E9A}"/>
    <hyperlink ref="C83" r:id="rId158" tooltip="Carolina Panthers" display="file:///teams/car/2020.htm" xr:uid="{170792A8-AEA5-0B47-A023-F3076E962FF5}"/>
    <hyperlink ref="B84" r:id="rId159" display="file:///players/T/ThomLo00.htm" xr:uid="{9D91BF71-77CE-EA43-9E53-DCDA1E54BC9F}"/>
    <hyperlink ref="C84" r:id="rId160" tooltip="Washington Football Team" display="file:///teams/was/2020.htm" xr:uid="{B4014774-CA8D-704C-809E-7D5C1BA1527A}"/>
    <hyperlink ref="B85" r:id="rId161" display="file:///players/L/LeexAn20.htm" xr:uid="{0EAE9F92-325D-C84C-9307-976848DBB700}"/>
    <hyperlink ref="C85" r:id="rId162" tooltip="Arizona Cardinals" display="file:///teams/crd/2020.htm" xr:uid="{43CCAB1C-3498-A94B-934B-6640AE310713}"/>
    <hyperlink ref="B86" r:id="rId163" display="file:///players/P/PeteNa00.htm" xr:uid="{32653E96-2F27-E44D-83EE-F6D935102805}"/>
    <hyperlink ref="C86" r:id="rId164" tooltip="Las Vegas Raiders" display="file:///teams/rai/2020.htm" xr:uid="{D04938BA-279F-A640-9C5E-C93E4CAE7FA3}"/>
    <hyperlink ref="B87" r:id="rId165" display="file:///players/W/WilsCe01.htm" xr:uid="{32849647-06F7-8C48-99FD-0FC983883C2E}"/>
    <hyperlink ref="C87" r:id="rId166" tooltip="Dallas Cowboys" display="file:///teams/dal/2020.htm" xr:uid="{71024E2B-F75E-AC41-9ADD-E70D37FEA166}"/>
    <hyperlink ref="B88" r:id="rId167" display="file:///players/B/BeasCo00.htm" xr:uid="{2177AD20-0690-0E4A-A467-E254A36BD0EB}"/>
    <hyperlink ref="C88" r:id="rId168" tooltip="Buffalo Bills" display="file:///teams/buf/2020.htm" xr:uid="{972AA0F1-18F0-FB4D-AD6C-90AF655400D7}"/>
    <hyperlink ref="B89" r:id="rId169" display="file:///players/M/McCaA.00.htm" xr:uid="{CD5A35BA-1160-BD4D-B2F2-419C5FBFFE5E}"/>
    <hyperlink ref="C89" r:id="rId170" tooltip="Houston Texans" display="file:///teams/htx/2020.htm" xr:uid="{25DEA486-730D-2347-A7A0-B1E796126B4D}"/>
    <hyperlink ref="B90" r:id="rId171" display="file:///players/B/BeckOd00.htm" xr:uid="{02772733-37E7-524B-A506-CFD288F13530}"/>
    <hyperlink ref="C90" r:id="rId172" tooltip="Cleveland Browns" display="file:///teams/cle/2020.htm" xr:uid="{EEC3A9DF-A333-6143-9750-99581F508863}"/>
    <hyperlink ref="B91" r:id="rId173" display="file:///players/B/BrayTy00.htm" xr:uid="{2E2D0228-1035-B24B-AB1A-1A743DE2FE92}"/>
    <hyperlink ref="C91" r:id="rId174" tooltip="Chicago Bears" display="file:///teams/chi/2020.htm" xr:uid="{23D7A4BB-E8B1-3C44-82A4-1C870D200DEF}"/>
    <hyperlink ref="B92" r:id="rId175" display="file:///players/T/TateGo00.htm" xr:uid="{69E7A04C-694F-C244-B7DF-54B16D074D5A}"/>
    <hyperlink ref="C92" r:id="rId176" tooltip="New York Giants" display="file:///teams/nyg/2020.htm" xr:uid="{E44589D9-5F1A-AC4D-A6F1-04C618F63979}"/>
    <hyperlink ref="B93" r:id="rId177" display="file:///players/B/BrisJa00.htm" xr:uid="{17D67741-CAE4-B341-9F2B-36D283E1B5C8}"/>
    <hyperlink ref="C93" r:id="rId178" tooltip="Indianapolis Colts" display="file:///teams/clt/2020.htm" xr:uid="{44AA6625-7A66-1247-BEE2-E402B5D5B36A}"/>
    <hyperlink ref="B95" r:id="rId179" display="file:///players/B/BoydTy00.htm" xr:uid="{8455E47A-6E8A-F349-91C0-86465E494C96}"/>
    <hyperlink ref="C95" r:id="rId180" tooltip="Cincinnati Bengals" display="file:///teams/cin/2020.htm" xr:uid="{AEA49ACA-F6F6-D44D-BE22-5153C5FA59F8}"/>
    <hyperlink ref="B96" r:id="rId181" display="file:///players/H/HuntTy01.htm" xr:uid="{78D56296-E1E4-2849-98D2-3E0561CC17A5}"/>
    <hyperlink ref="C96" r:id="rId182" tooltip="Baltimore Ravens" display="file:///teams/rav/2020.htm" xr:uid="{0671BD18-49E5-F44E-B450-4E346A6F530C}"/>
    <hyperlink ref="B97" r:id="rId183" display="file:///players/K/KochSa20.htm" xr:uid="{4DA001EF-7ED0-8E4B-9360-1A5A6F535879}"/>
    <hyperlink ref="C97" r:id="rId184" tooltip="Baltimore Ravens" display="file:///teams/rav/2020.htm" xr:uid="{16C12F54-22AD-144B-B5CC-3B5AE35BABB6}"/>
    <hyperlink ref="B98" r:id="rId185" display="file:///players/W/WardGr02.htm" xr:uid="{8F4D9D97-9DF4-9F43-9095-704AF6318437}"/>
    <hyperlink ref="C98" r:id="rId186" tooltip="Philadelphia Eagles" display="file:///teams/phi/2020.htm" xr:uid="{8E86C760-8C77-544E-880E-A36692F1A48F}"/>
    <hyperlink ref="B99" r:id="rId187" display="file:///players/H/HintKe00.htm" xr:uid="{C570DECA-FEE8-7446-8C78-E9D3DB00A60D}"/>
    <hyperlink ref="C99" r:id="rId188" tooltip="Denver Broncos" display="file:///teams/den/2020.htm" xr:uid="{8EB4B68A-B318-4E4A-B8BD-794DF023D09A}"/>
    <hyperlink ref="B100" r:id="rId189" display="file:///players/J/JohnJa11.htm" xr:uid="{3176A357-2F26-9647-92CA-B2DB2FA66B0B}"/>
    <hyperlink ref="C100" r:id="rId190" tooltip="Buffalo Bills" display="file:///teams/buf/2020.htm" xr:uid="{48519A31-22D2-304F-A68F-0E79634685BF}"/>
    <hyperlink ref="B101" r:id="rId191" display="file:///players/T/TownTo01.htm" xr:uid="{4701BA42-20F2-A64C-8E60-0A9E4F1E1F32}"/>
    <hyperlink ref="C101" r:id="rId192" tooltip="Kansas City Chiefs" display="file:///teams/kan/2020.htm" xr:uid="{D8D4DACB-CBC8-724C-9BF2-CCD0E6D762E6}"/>
    <hyperlink ref="B102" r:id="rId193" display="file:///players/M/McKeIs00.htm" xr:uid="{62496F90-3AC7-3D4F-BB67-02B5FAB45B9B}"/>
    <hyperlink ref="C102" r:id="rId194" tooltip="Buffalo Bills" display="file:///teams/buf/2020.htm" xr:uid="{7DDB0DF8-D51A-DD45-A915-ECA2647829C2}"/>
    <hyperlink ref="B103" r:id="rId195" display="file:///players/W/WoodLo00.htm" xr:uid="{DB652296-BE2C-E74D-A2F7-A5DBC46EC9F6}"/>
    <hyperlink ref="C103" r:id="rId196" tooltip="Tennessee Titans" display="file:///teams/oti/2020.htm" xr:uid="{1DB44418-0387-F44F-83C7-8D1C298FA4D7}"/>
    <hyperlink ref="B104" r:id="rId197" display="file:///players/K/KelcTr00.htm" xr:uid="{E539B4BE-E0D5-2347-B3C9-2BCD27127CF3}"/>
    <hyperlink ref="C104" r:id="rId198" tooltip="Kansas City Chiefs" display="file:///teams/kan/2020.htm" xr:uid="{0D359C90-1D59-DC45-98E5-1DCA1626F56C}"/>
    <hyperlink ref="B105" r:id="rId199" display="file:///players/S/SticEa00.htm" xr:uid="{58CD9E27-E826-4040-A26D-79C8F5CFA68F}"/>
    <hyperlink ref="C105" r:id="rId200" tooltip="Los Angeles Chargers" display="file:///teams/sdg/2020.htm" xr:uid="{750E5F3F-0557-7F4F-97E1-70D029D08A1B}"/>
    <hyperlink ref="B106" r:id="rId201" display="file:///players/D/DobbJo00.htm" xr:uid="{13DDBC5D-A19F-AB41-924E-E7A4E24AB2A8}"/>
    <hyperlink ref="C106" r:id="rId202" tooltip="Pittsburgh Steelers" display="file:///teams/pit/2020.htm" xr:uid="{E52766C2-5E87-F24B-B06D-FAE368EDDD6B}"/>
    <hyperlink ref="B107" r:id="rId203" display="file:///players/A/AgneJa00.htm" xr:uid="{EB00DCC2-415B-3C4E-94BA-6227FBED8B6A}"/>
    <hyperlink ref="C107" r:id="rId204" tooltip="Detroit Lions" display="file:///teams/det/2020.htm" xr:uid="{D6761827-D586-5746-9C23-1BADDBAB54BE}"/>
    <hyperlink ref="B108" r:id="rId205" display="file:///players/A/AlleKe00.htm" xr:uid="{B778EAB0-A39B-BF4A-93C5-E8CE1C67D03F}"/>
    <hyperlink ref="C108" r:id="rId206" tooltip="Los Angeles Chargers" display="file:///teams/sdg/2020.htm" xr:uid="{5727E86E-1BF1-5F41-8594-31D16CF9B581}"/>
    <hyperlink ref="B109" r:id="rId207" display="file:///players/C/CobbRa00.htm" xr:uid="{05759E7D-3027-2141-8A36-5F989821B3FC}"/>
    <hyperlink ref="C109" r:id="rId208" tooltip="Houston Texans" display="file:///teams/htx/2020.htm" xr:uid="{E98F57B4-A837-FE40-96D3-09AD347358F1}"/>
    <hyperlink ref="B110" r:id="rId209" display="file:///players/D/DixoRi00.htm" xr:uid="{A57648CC-AAF9-464B-B10F-7E85BC8EB556}"/>
    <hyperlink ref="C110" r:id="rId210" tooltip="New York Giants" display="file:///teams/nyg/2020.htm" xr:uid="{AAA49D68-B587-E746-B85B-B659C5C00C38}"/>
    <hyperlink ref="B111" r:id="rId211" display="file:///players/E/EricAl01.htm" xr:uid="{F0628919-4322-6148-B5DD-F9A29A1D1DE1}"/>
    <hyperlink ref="C111" r:id="rId212" tooltip="Cincinnati Bengals" display="file:///teams/cin/2020.htm" xr:uid="{DFD5EE31-B185-A845-AB55-FA598A0379E2}"/>
    <hyperlink ref="B112" r:id="rId213" display="file:///players/J/JoneCh02.htm" xr:uid="{30B2C493-419B-DB46-9C33-094B0688A13B}"/>
    <hyperlink ref="C112" r:id="rId214" tooltip="Dallas Cowboys" display="file:///teams/dal/2020.htm" xr:uid="{8B781E91-F7BE-8E4E-9432-71194490C196}"/>
    <hyperlink ref="B113" r:id="rId215" display="file:///players/K/KernBr20.htm" xr:uid="{9A4A10B0-ADED-7B4A-8018-1082AD6DDC29}"/>
    <hyperlink ref="C113" r:id="rId216" tooltip="Tennessee Titans" display="file:///teams/oti/2020.htm" xr:uid="{877D7413-69E9-3243-8A99-689783AC0490}"/>
    <hyperlink ref="B114" r:id="rId217" display="file:///players/M/MoorD.00.htm" xr:uid="{7A4DBB8A-575D-8644-BDB8-EE2093122EF0}"/>
    <hyperlink ref="C114" r:id="rId218" tooltip="Carolina Panthers" display="file:///teams/car/2020.htm" xr:uid="{95ED712D-7D73-FC4B-ACBA-36012CE02D45}"/>
    <hyperlink ref="B115" r:id="rId219" display="file:///players/P/PascZa00.htm" xr:uid="{4661E444-C462-2A48-AACF-E29570F36A9A}"/>
    <hyperlink ref="C115" r:id="rId220" tooltip="Indianapolis Colts" display="file:///teams/clt/2020.htm" xr:uid="{C2F6F07F-2DB9-8149-BB95-3AD6F5DAB9D9}"/>
    <hyperlink ref="B116" r:id="rId221" display="file:///players/W/WatkSa00.htm" xr:uid="{B86D652C-1A62-4744-9852-781677D870C2}"/>
    <hyperlink ref="C116" r:id="rId222" tooltip="Kansas City Chiefs" display="file:///teams/kan/2020.htm" xr:uid="{4DB9FA80-E10C-154F-852E-FAB738216479}"/>
    <hyperlink ref="B117" r:id="rId223" display="file:///players/W/WrigIs01.htm" xr:uid="{2C0DEFA9-F685-994A-BD38-F010F5541450}"/>
    <hyperlink ref="C117" r:id="rId224" tooltip="Washington Football Team" display="file:///teams/was/2020.htm" xr:uid="{0EBB03A5-7741-C84F-ADBF-60E85F7B63E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/>
  <dimension ref="A1:P136"/>
  <sheetViews>
    <sheetView workbookViewId="0"/>
  </sheetViews>
  <sheetFormatPr baseColWidth="10" defaultColWidth="8.83203125" defaultRowHeight="15" x14ac:dyDescent="0.2"/>
  <cols>
    <col min="1" max="1" width="5.5" bestFit="1" customWidth="1"/>
    <col min="2" max="3" width="21.5" customWidth="1"/>
    <col min="4" max="4" width="8.1640625" bestFit="1" customWidth="1"/>
    <col min="5" max="5" width="6.6640625" bestFit="1" customWidth="1"/>
    <col min="6" max="6" width="6.5" bestFit="1" customWidth="1"/>
    <col min="7" max="7" width="9.5" bestFit="1" customWidth="1"/>
    <col min="8" max="8" width="16.5" bestFit="1" customWidth="1"/>
    <col min="9" max="9" width="13.5" bestFit="1" customWidth="1"/>
    <col min="10" max="10" width="13.83203125" bestFit="1" customWidth="1"/>
    <col min="11" max="12" width="13" bestFit="1" customWidth="1"/>
    <col min="13" max="13" width="13.6640625" bestFit="1" customWidth="1"/>
    <col min="14" max="14" width="17.5" bestFit="1" customWidth="1"/>
    <col min="15" max="15" width="18" bestFit="1" customWidth="1"/>
    <col min="16" max="16" width="7.1640625" customWidth="1"/>
  </cols>
  <sheetData>
    <row r="1" spans="1:16" x14ac:dyDescent="0.2">
      <c r="A1" t="s">
        <v>902</v>
      </c>
      <c r="B1" t="s">
        <v>903</v>
      </c>
      <c r="C1" t="s">
        <v>904</v>
      </c>
      <c r="D1" t="s">
        <v>21</v>
      </c>
      <c r="E1" t="s">
        <v>905</v>
      </c>
      <c r="F1" t="s">
        <v>906</v>
      </c>
      <c r="G1" t="s">
        <v>907</v>
      </c>
      <c r="H1" t="s">
        <v>908</v>
      </c>
      <c r="I1" t="s">
        <v>1409</v>
      </c>
      <c r="J1" t="s">
        <v>1410</v>
      </c>
      <c r="K1" t="s">
        <v>1411</v>
      </c>
      <c r="L1" t="s">
        <v>1412</v>
      </c>
      <c r="M1" t="s">
        <v>1413</v>
      </c>
      <c r="N1" t="s">
        <v>1414</v>
      </c>
      <c r="O1" t="s">
        <v>1415</v>
      </c>
      <c r="P1" t="s">
        <v>1416</v>
      </c>
    </row>
    <row r="2" spans="1:16" x14ac:dyDescent="0.2">
      <c r="A2" t="s">
        <v>931</v>
      </c>
      <c r="B2" t="s">
        <v>130</v>
      </c>
      <c r="C2" t="s">
        <v>130</v>
      </c>
      <c r="D2" t="s">
        <v>74</v>
      </c>
      <c r="E2" t="s">
        <v>1088</v>
      </c>
      <c r="F2" t="s">
        <v>1392</v>
      </c>
      <c r="G2" t="s">
        <v>931</v>
      </c>
      <c r="H2" t="s">
        <v>931</v>
      </c>
      <c r="I2" t="s">
        <v>1123</v>
      </c>
      <c r="J2" t="s">
        <v>1417</v>
      </c>
      <c r="K2" t="s">
        <v>931</v>
      </c>
      <c r="L2" t="s">
        <v>1027</v>
      </c>
      <c r="M2" t="s">
        <v>1016</v>
      </c>
      <c r="N2" t="s">
        <v>1418</v>
      </c>
      <c r="O2" t="s">
        <v>1419</v>
      </c>
      <c r="P2" t="s">
        <v>992</v>
      </c>
    </row>
    <row r="3" spans="1:16" x14ac:dyDescent="0.2">
      <c r="A3" t="s">
        <v>941</v>
      </c>
      <c r="B3" t="s">
        <v>1420</v>
      </c>
      <c r="C3" t="s">
        <v>1420</v>
      </c>
      <c r="D3" t="s">
        <v>122</v>
      </c>
      <c r="E3" t="s">
        <v>978</v>
      </c>
      <c r="F3" t="s">
        <v>1392</v>
      </c>
      <c r="G3" t="s">
        <v>931</v>
      </c>
      <c r="H3" t="s">
        <v>931</v>
      </c>
      <c r="I3" t="s">
        <v>952</v>
      </c>
      <c r="J3" t="s">
        <v>1421</v>
      </c>
      <c r="K3" t="s">
        <v>931</v>
      </c>
      <c r="L3" t="s">
        <v>982</v>
      </c>
      <c r="M3" t="s">
        <v>1086</v>
      </c>
      <c r="N3" t="s">
        <v>1216</v>
      </c>
      <c r="O3" t="s">
        <v>1422</v>
      </c>
      <c r="P3" t="s">
        <v>992</v>
      </c>
    </row>
    <row r="4" spans="1:16" x14ac:dyDescent="0.2">
      <c r="A4" t="s">
        <v>951</v>
      </c>
      <c r="B4" t="s">
        <v>244</v>
      </c>
      <c r="C4" t="s">
        <v>244</v>
      </c>
      <c r="D4" t="s">
        <v>1122</v>
      </c>
      <c r="E4" t="s">
        <v>1023</v>
      </c>
      <c r="F4" t="s">
        <v>1392</v>
      </c>
      <c r="G4" t="s">
        <v>931</v>
      </c>
      <c r="H4" t="s">
        <v>931</v>
      </c>
      <c r="I4" t="s">
        <v>1028</v>
      </c>
      <c r="J4" t="s">
        <v>1423</v>
      </c>
      <c r="K4" t="s">
        <v>992</v>
      </c>
      <c r="L4" t="s">
        <v>1027</v>
      </c>
      <c r="M4" t="s">
        <v>1134</v>
      </c>
      <c r="N4" t="s">
        <v>1293</v>
      </c>
      <c r="O4" t="s">
        <v>1299</v>
      </c>
      <c r="P4" t="s">
        <v>931</v>
      </c>
    </row>
    <row r="5" spans="1:16" x14ac:dyDescent="0.2">
      <c r="A5" t="s">
        <v>982</v>
      </c>
      <c r="B5" t="s">
        <v>69</v>
      </c>
      <c r="C5" t="s">
        <v>69</v>
      </c>
      <c r="D5" t="s">
        <v>70</v>
      </c>
      <c r="E5" t="s">
        <v>1088</v>
      </c>
      <c r="F5" t="s">
        <v>1392</v>
      </c>
      <c r="G5" t="s">
        <v>931</v>
      </c>
      <c r="H5" t="s">
        <v>931</v>
      </c>
      <c r="I5" t="s">
        <v>965</v>
      </c>
      <c r="J5" t="s">
        <v>1424</v>
      </c>
      <c r="K5" t="s">
        <v>992</v>
      </c>
      <c r="L5" t="s">
        <v>941</v>
      </c>
      <c r="M5" t="s">
        <v>1162</v>
      </c>
      <c r="N5" t="s">
        <v>1252</v>
      </c>
      <c r="O5" t="s">
        <v>1425</v>
      </c>
      <c r="P5" t="s">
        <v>992</v>
      </c>
    </row>
    <row r="6" spans="1:16" x14ac:dyDescent="0.2">
      <c r="A6" t="s">
        <v>1009</v>
      </c>
      <c r="B6" t="s">
        <v>72</v>
      </c>
      <c r="C6" t="s">
        <v>72</v>
      </c>
      <c r="D6" t="s">
        <v>73</v>
      </c>
      <c r="E6" t="s">
        <v>952</v>
      </c>
      <c r="F6" t="s">
        <v>1392</v>
      </c>
      <c r="G6" t="s">
        <v>931</v>
      </c>
      <c r="H6" t="s">
        <v>931</v>
      </c>
      <c r="I6" t="s">
        <v>1032</v>
      </c>
      <c r="J6" t="s">
        <v>1426</v>
      </c>
      <c r="K6" t="s">
        <v>931</v>
      </c>
      <c r="L6" t="s">
        <v>1009</v>
      </c>
      <c r="M6" t="s">
        <v>944</v>
      </c>
      <c r="N6" t="s">
        <v>1114</v>
      </c>
      <c r="O6" t="s">
        <v>1427</v>
      </c>
      <c r="P6" t="s">
        <v>931</v>
      </c>
    </row>
    <row r="7" spans="1:16" x14ac:dyDescent="0.2">
      <c r="A7" t="s">
        <v>1027</v>
      </c>
      <c r="B7" t="s">
        <v>136</v>
      </c>
      <c r="C7" t="s">
        <v>136</v>
      </c>
      <c r="D7" t="s">
        <v>119</v>
      </c>
      <c r="E7" t="s">
        <v>1028</v>
      </c>
      <c r="F7" t="s">
        <v>1392</v>
      </c>
      <c r="G7" t="s">
        <v>931</v>
      </c>
      <c r="H7" t="s">
        <v>931</v>
      </c>
      <c r="I7" t="s">
        <v>1032</v>
      </c>
      <c r="J7" t="s">
        <v>1428</v>
      </c>
      <c r="K7" t="s">
        <v>992</v>
      </c>
      <c r="L7" t="s">
        <v>1009</v>
      </c>
      <c r="M7" t="s">
        <v>1010</v>
      </c>
      <c r="N7" t="s">
        <v>1429</v>
      </c>
      <c r="O7" t="s">
        <v>1430</v>
      </c>
      <c r="P7" t="s">
        <v>941</v>
      </c>
    </row>
    <row r="8" spans="1:16" x14ac:dyDescent="0.2">
      <c r="A8" t="s">
        <v>1039</v>
      </c>
      <c r="B8" t="s">
        <v>87</v>
      </c>
      <c r="C8" t="s">
        <v>87</v>
      </c>
      <c r="D8" t="s">
        <v>1257</v>
      </c>
      <c r="E8" t="s">
        <v>952</v>
      </c>
      <c r="F8" t="s">
        <v>1392</v>
      </c>
      <c r="G8" t="s">
        <v>931</v>
      </c>
      <c r="H8" t="s">
        <v>931</v>
      </c>
      <c r="I8" t="s">
        <v>1032</v>
      </c>
      <c r="J8" t="s">
        <v>1431</v>
      </c>
      <c r="K8" t="s">
        <v>992</v>
      </c>
      <c r="L8" t="s">
        <v>982</v>
      </c>
      <c r="M8" t="s">
        <v>1066</v>
      </c>
      <c r="N8" t="s">
        <v>1233</v>
      </c>
      <c r="O8" t="s">
        <v>1432</v>
      </c>
      <c r="P8" t="s">
        <v>992</v>
      </c>
    </row>
    <row r="9" spans="1:16" x14ac:dyDescent="0.2">
      <c r="A9" t="s">
        <v>1051</v>
      </c>
      <c r="B9" t="s">
        <v>1433</v>
      </c>
      <c r="C9" t="s">
        <v>1433</v>
      </c>
      <c r="D9" t="s">
        <v>1087</v>
      </c>
      <c r="E9" t="s">
        <v>1028</v>
      </c>
      <c r="G9" t="s">
        <v>931</v>
      </c>
      <c r="H9" t="s">
        <v>992</v>
      </c>
      <c r="I9" t="s">
        <v>1016</v>
      </c>
      <c r="J9" t="s">
        <v>1434</v>
      </c>
      <c r="K9" t="s">
        <v>931</v>
      </c>
      <c r="L9" t="s">
        <v>982</v>
      </c>
      <c r="M9" t="s">
        <v>1011</v>
      </c>
      <c r="N9" t="s">
        <v>1435</v>
      </c>
      <c r="O9" t="s">
        <v>1436</v>
      </c>
      <c r="P9" t="s">
        <v>992</v>
      </c>
    </row>
    <row r="10" spans="1:16" x14ac:dyDescent="0.2">
      <c r="A10" t="s">
        <v>1064</v>
      </c>
      <c r="B10" t="s">
        <v>76</v>
      </c>
      <c r="C10" t="s">
        <v>76</v>
      </c>
      <c r="D10" t="s">
        <v>77</v>
      </c>
      <c r="E10" t="s">
        <v>1010</v>
      </c>
      <c r="F10" t="s">
        <v>1392</v>
      </c>
      <c r="G10" t="s">
        <v>931</v>
      </c>
      <c r="H10" t="s">
        <v>931</v>
      </c>
      <c r="I10" t="s">
        <v>944</v>
      </c>
      <c r="J10" t="s">
        <v>960</v>
      </c>
      <c r="K10" t="s">
        <v>992</v>
      </c>
      <c r="L10" t="s">
        <v>941</v>
      </c>
      <c r="M10" t="s">
        <v>1016</v>
      </c>
      <c r="N10" t="s">
        <v>1277</v>
      </c>
      <c r="O10" t="s">
        <v>1437</v>
      </c>
      <c r="P10" t="s">
        <v>992</v>
      </c>
    </row>
    <row r="11" spans="1:16" x14ac:dyDescent="0.2">
      <c r="A11" t="s">
        <v>1075</v>
      </c>
      <c r="B11" t="s">
        <v>106</v>
      </c>
      <c r="C11" t="s">
        <v>106</v>
      </c>
      <c r="D11" t="s">
        <v>107</v>
      </c>
      <c r="E11" t="s">
        <v>985</v>
      </c>
      <c r="F11" t="s">
        <v>1392</v>
      </c>
      <c r="G11" t="s">
        <v>931</v>
      </c>
      <c r="H11" t="s">
        <v>931</v>
      </c>
      <c r="I11" t="s">
        <v>944</v>
      </c>
      <c r="J11" t="s">
        <v>938</v>
      </c>
      <c r="K11" t="s">
        <v>992</v>
      </c>
      <c r="L11" t="s">
        <v>1027</v>
      </c>
      <c r="M11" t="s">
        <v>972</v>
      </c>
      <c r="N11" t="s">
        <v>1216</v>
      </c>
      <c r="O11" t="s">
        <v>1438</v>
      </c>
      <c r="P11" t="s">
        <v>992</v>
      </c>
    </row>
    <row r="12" spans="1:16" x14ac:dyDescent="0.2">
      <c r="A12" t="s">
        <v>1086</v>
      </c>
      <c r="B12" t="s">
        <v>158</v>
      </c>
      <c r="C12" t="s">
        <v>158</v>
      </c>
      <c r="D12" t="s">
        <v>108</v>
      </c>
      <c r="E12" t="s">
        <v>1010</v>
      </c>
      <c r="F12" t="s">
        <v>1392</v>
      </c>
      <c r="G12" t="s">
        <v>931</v>
      </c>
      <c r="H12" t="s">
        <v>931</v>
      </c>
      <c r="I12" t="s">
        <v>1144</v>
      </c>
      <c r="J12" t="s">
        <v>1439</v>
      </c>
      <c r="K12" t="s">
        <v>992</v>
      </c>
      <c r="L12" t="s">
        <v>941</v>
      </c>
      <c r="M12" t="s">
        <v>996</v>
      </c>
      <c r="N12" t="s">
        <v>1148</v>
      </c>
      <c r="O12" t="s">
        <v>1440</v>
      </c>
      <c r="P12" t="s">
        <v>931</v>
      </c>
    </row>
    <row r="13" spans="1:16" x14ac:dyDescent="0.2">
      <c r="A13" t="s">
        <v>972</v>
      </c>
      <c r="B13" t="s">
        <v>264</v>
      </c>
      <c r="C13" t="s">
        <v>264</v>
      </c>
      <c r="D13" t="s">
        <v>78</v>
      </c>
      <c r="E13" t="s">
        <v>952</v>
      </c>
      <c r="G13" t="s">
        <v>931</v>
      </c>
      <c r="H13" t="s">
        <v>992</v>
      </c>
      <c r="I13" t="s">
        <v>1144</v>
      </c>
      <c r="J13" t="s">
        <v>1441</v>
      </c>
      <c r="K13" t="s">
        <v>992</v>
      </c>
      <c r="L13" t="s">
        <v>941</v>
      </c>
      <c r="M13" t="s">
        <v>1051</v>
      </c>
      <c r="N13" t="s">
        <v>1216</v>
      </c>
      <c r="O13" t="s">
        <v>1442</v>
      </c>
      <c r="P13" t="s">
        <v>992</v>
      </c>
    </row>
    <row r="14" spans="1:16" x14ac:dyDescent="0.2">
      <c r="A14" t="s">
        <v>1048</v>
      </c>
      <c r="B14" t="s">
        <v>170</v>
      </c>
      <c r="C14" t="s">
        <v>170</v>
      </c>
      <c r="D14" t="s">
        <v>99</v>
      </c>
      <c r="E14" t="s">
        <v>1028</v>
      </c>
      <c r="F14" t="s">
        <v>1392</v>
      </c>
      <c r="G14" t="s">
        <v>931</v>
      </c>
      <c r="H14" t="s">
        <v>931</v>
      </c>
      <c r="I14" t="s">
        <v>1144</v>
      </c>
      <c r="J14" t="s">
        <v>1443</v>
      </c>
      <c r="K14" t="s">
        <v>992</v>
      </c>
      <c r="L14" t="s">
        <v>951</v>
      </c>
      <c r="M14" t="s">
        <v>1162</v>
      </c>
      <c r="N14" t="s">
        <v>1143</v>
      </c>
      <c r="O14" t="s">
        <v>1444</v>
      </c>
      <c r="P14" t="s">
        <v>992</v>
      </c>
    </row>
    <row r="15" spans="1:16" x14ac:dyDescent="0.2">
      <c r="A15" t="s">
        <v>1066</v>
      </c>
      <c r="B15" t="s">
        <v>888</v>
      </c>
      <c r="C15" t="s">
        <v>888</v>
      </c>
      <c r="D15" t="s">
        <v>730</v>
      </c>
      <c r="E15" t="s">
        <v>1023</v>
      </c>
      <c r="F15" t="s">
        <v>1392</v>
      </c>
      <c r="G15" t="s">
        <v>931</v>
      </c>
      <c r="H15" t="s">
        <v>931</v>
      </c>
      <c r="I15" t="s">
        <v>1144</v>
      </c>
      <c r="J15" t="s">
        <v>1445</v>
      </c>
      <c r="K15" t="s">
        <v>931</v>
      </c>
      <c r="L15" t="s">
        <v>982</v>
      </c>
      <c r="M15" t="s">
        <v>1002</v>
      </c>
      <c r="N15" t="s">
        <v>1418</v>
      </c>
      <c r="O15" t="s">
        <v>1258</v>
      </c>
      <c r="P15" t="s">
        <v>992</v>
      </c>
    </row>
    <row r="16" spans="1:16" x14ac:dyDescent="0.2">
      <c r="A16" t="s">
        <v>1002</v>
      </c>
      <c r="B16" t="s">
        <v>1446</v>
      </c>
      <c r="C16" t="s">
        <v>1446</v>
      </c>
      <c r="D16" t="s">
        <v>727</v>
      </c>
      <c r="E16" t="s">
        <v>1023</v>
      </c>
      <c r="F16" t="s">
        <v>1392</v>
      </c>
      <c r="G16" t="s">
        <v>931</v>
      </c>
      <c r="H16" t="s">
        <v>931</v>
      </c>
      <c r="I16" t="s">
        <v>1144</v>
      </c>
      <c r="J16" t="s">
        <v>1447</v>
      </c>
      <c r="K16" t="s">
        <v>931</v>
      </c>
      <c r="L16" t="s">
        <v>1027</v>
      </c>
      <c r="M16" t="s">
        <v>1056</v>
      </c>
      <c r="N16" t="s">
        <v>1192</v>
      </c>
      <c r="O16" t="s">
        <v>1448</v>
      </c>
      <c r="P16" t="s">
        <v>992</v>
      </c>
    </row>
    <row r="17" spans="1:16" x14ac:dyDescent="0.2">
      <c r="A17" t="s">
        <v>1144</v>
      </c>
      <c r="B17" t="s">
        <v>113</v>
      </c>
      <c r="C17" t="s">
        <v>113</v>
      </c>
      <c r="D17" t="s">
        <v>82</v>
      </c>
      <c r="E17" t="s">
        <v>952</v>
      </c>
      <c r="F17" t="s">
        <v>1392</v>
      </c>
      <c r="G17" t="s">
        <v>931</v>
      </c>
      <c r="H17" t="s">
        <v>931</v>
      </c>
      <c r="I17" t="s">
        <v>1002</v>
      </c>
      <c r="J17" t="s">
        <v>1431</v>
      </c>
      <c r="K17" t="s">
        <v>941</v>
      </c>
      <c r="L17" t="s">
        <v>982</v>
      </c>
      <c r="M17" t="s">
        <v>1162</v>
      </c>
      <c r="N17" t="s">
        <v>1435</v>
      </c>
      <c r="O17" t="s">
        <v>1432</v>
      </c>
      <c r="P17" t="s">
        <v>931</v>
      </c>
    </row>
    <row r="18" spans="1:16" x14ac:dyDescent="0.2">
      <c r="A18" t="s">
        <v>944</v>
      </c>
      <c r="B18" t="s">
        <v>198</v>
      </c>
      <c r="C18" t="s">
        <v>198</v>
      </c>
      <c r="D18" t="s">
        <v>101</v>
      </c>
      <c r="E18" t="s">
        <v>957</v>
      </c>
      <c r="F18" t="s">
        <v>1392</v>
      </c>
      <c r="G18" t="s">
        <v>931</v>
      </c>
      <c r="H18" t="s">
        <v>931</v>
      </c>
      <c r="I18" t="s">
        <v>1002</v>
      </c>
      <c r="J18" t="s">
        <v>998</v>
      </c>
      <c r="K18" t="s">
        <v>992</v>
      </c>
      <c r="L18" t="s">
        <v>941</v>
      </c>
      <c r="M18" t="s">
        <v>972</v>
      </c>
      <c r="N18" t="s">
        <v>1216</v>
      </c>
      <c r="O18" t="s">
        <v>1449</v>
      </c>
      <c r="P18" t="s">
        <v>992</v>
      </c>
    </row>
    <row r="19" spans="1:16" x14ac:dyDescent="0.2">
      <c r="A19" t="s">
        <v>1162</v>
      </c>
      <c r="B19" t="s">
        <v>145</v>
      </c>
      <c r="C19" t="s">
        <v>145</v>
      </c>
      <c r="D19" t="s">
        <v>118</v>
      </c>
      <c r="E19" t="s">
        <v>952</v>
      </c>
      <c r="F19" t="s">
        <v>1392</v>
      </c>
      <c r="G19" t="s">
        <v>931</v>
      </c>
      <c r="H19" t="s">
        <v>931</v>
      </c>
      <c r="I19" t="s">
        <v>1002</v>
      </c>
      <c r="J19" t="s">
        <v>1012</v>
      </c>
      <c r="K19" t="s">
        <v>931</v>
      </c>
      <c r="L19" t="s">
        <v>951</v>
      </c>
      <c r="M19" t="s">
        <v>1066</v>
      </c>
      <c r="N19" t="s">
        <v>1099</v>
      </c>
      <c r="O19" t="s">
        <v>1450</v>
      </c>
      <c r="P19" t="s">
        <v>992</v>
      </c>
    </row>
    <row r="20" spans="1:16" x14ac:dyDescent="0.2">
      <c r="A20" t="s">
        <v>1016</v>
      </c>
      <c r="B20" t="s">
        <v>160</v>
      </c>
      <c r="C20" t="s">
        <v>160</v>
      </c>
      <c r="D20" t="s">
        <v>102</v>
      </c>
      <c r="E20" t="s">
        <v>1023</v>
      </c>
      <c r="F20" t="s">
        <v>1392</v>
      </c>
      <c r="G20" t="s">
        <v>931</v>
      </c>
      <c r="H20" t="s">
        <v>931</v>
      </c>
      <c r="I20" t="s">
        <v>1002</v>
      </c>
      <c r="J20" t="s">
        <v>1451</v>
      </c>
      <c r="K20" t="s">
        <v>992</v>
      </c>
      <c r="L20" t="s">
        <v>951</v>
      </c>
      <c r="M20" t="s">
        <v>1028</v>
      </c>
      <c r="N20" t="s">
        <v>1452</v>
      </c>
      <c r="O20" t="s">
        <v>1453</v>
      </c>
      <c r="P20" t="s">
        <v>992</v>
      </c>
    </row>
    <row r="21" spans="1:16" x14ac:dyDescent="0.2">
      <c r="A21" t="s">
        <v>1032</v>
      </c>
      <c r="B21" t="s">
        <v>151</v>
      </c>
      <c r="C21" t="s">
        <v>151</v>
      </c>
      <c r="D21" t="s">
        <v>1040</v>
      </c>
      <c r="E21" t="s">
        <v>985</v>
      </c>
      <c r="F21" t="s">
        <v>1392</v>
      </c>
      <c r="G21" t="s">
        <v>931</v>
      </c>
      <c r="H21" t="s">
        <v>931</v>
      </c>
      <c r="I21" t="s">
        <v>1066</v>
      </c>
      <c r="J21" t="s">
        <v>1017</v>
      </c>
      <c r="K21" t="s">
        <v>992</v>
      </c>
      <c r="L21" t="s">
        <v>992</v>
      </c>
      <c r="M21" t="s">
        <v>1064</v>
      </c>
      <c r="N21" t="s">
        <v>1114</v>
      </c>
      <c r="O21" t="s">
        <v>1454</v>
      </c>
      <c r="P21" t="s">
        <v>992</v>
      </c>
    </row>
    <row r="22" spans="1:16" x14ac:dyDescent="0.2">
      <c r="A22" t="s">
        <v>965</v>
      </c>
      <c r="B22" t="s">
        <v>254</v>
      </c>
      <c r="C22" t="s">
        <v>254</v>
      </c>
      <c r="D22" t="s">
        <v>93</v>
      </c>
      <c r="E22" t="s">
        <v>965</v>
      </c>
      <c r="G22" t="s">
        <v>931</v>
      </c>
      <c r="H22" t="s">
        <v>992</v>
      </c>
      <c r="I22" t="s">
        <v>1066</v>
      </c>
      <c r="J22" t="s">
        <v>1443</v>
      </c>
      <c r="K22" t="s">
        <v>992</v>
      </c>
      <c r="L22" t="s">
        <v>931</v>
      </c>
      <c r="M22" t="s">
        <v>972</v>
      </c>
      <c r="N22" t="s">
        <v>1455</v>
      </c>
      <c r="O22" t="s">
        <v>1444</v>
      </c>
      <c r="P22" t="s">
        <v>992</v>
      </c>
    </row>
    <row r="23" spans="1:16" x14ac:dyDescent="0.2">
      <c r="A23" t="s">
        <v>985</v>
      </c>
      <c r="B23" t="s">
        <v>239</v>
      </c>
      <c r="C23" t="s">
        <v>239</v>
      </c>
      <c r="D23" t="s">
        <v>78</v>
      </c>
      <c r="E23" t="s">
        <v>1088</v>
      </c>
      <c r="F23" t="s">
        <v>1392</v>
      </c>
      <c r="G23" t="s">
        <v>931</v>
      </c>
      <c r="H23" t="s">
        <v>931</v>
      </c>
      <c r="I23" t="s">
        <v>972</v>
      </c>
      <c r="J23" t="s">
        <v>1456</v>
      </c>
      <c r="K23" t="s">
        <v>992</v>
      </c>
      <c r="L23" t="s">
        <v>951</v>
      </c>
      <c r="M23" t="s">
        <v>1144</v>
      </c>
      <c r="N23" t="s">
        <v>1015</v>
      </c>
      <c r="O23" t="s">
        <v>1457</v>
      </c>
      <c r="P23" t="s">
        <v>992</v>
      </c>
    </row>
    <row r="24" spans="1:16" x14ac:dyDescent="0.2">
      <c r="A24" t="s">
        <v>1028</v>
      </c>
      <c r="B24" t="s">
        <v>1213</v>
      </c>
      <c r="C24" t="s">
        <v>1213</v>
      </c>
      <c r="D24" t="s">
        <v>725</v>
      </c>
      <c r="E24" t="s">
        <v>1023</v>
      </c>
      <c r="F24" t="s">
        <v>935</v>
      </c>
      <c r="G24" t="s">
        <v>931</v>
      </c>
      <c r="H24" t="s">
        <v>931</v>
      </c>
      <c r="I24" t="s">
        <v>972</v>
      </c>
      <c r="J24" t="s">
        <v>1458</v>
      </c>
      <c r="K24" t="s">
        <v>992</v>
      </c>
      <c r="L24" t="s">
        <v>982</v>
      </c>
      <c r="M24" t="s">
        <v>957</v>
      </c>
      <c r="N24" t="s">
        <v>968</v>
      </c>
      <c r="O24" t="s">
        <v>1459</v>
      </c>
      <c r="P24" t="s">
        <v>951</v>
      </c>
    </row>
    <row r="25" spans="1:16" x14ac:dyDescent="0.2">
      <c r="A25" t="s">
        <v>1023</v>
      </c>
      <c r="B25" t="s">
        <v>1460</v>
      </c>
      <c r="C25" t="s">
        <v>1460</v>
      </c>
      <c r="D25" t="s">
        <v>729</v>
      </c>
      <c r="E25" t="s">
        <v>952</v>
      </c>
      <c r="F25" t="s">
        <v>1392</v>
      </c>
      <c r="G25" t="s">
        <v>931</v>
      </c>
      <c r="H25" t="s">
        <v>931</v>
      </c>
      <c r="I25" t="s">
        <v>1086</v>
      </c>
      <c r="J25" t="s">
        <v>996</v>
      </c>
      <c r="K25" t="s">
        <v>992</v>
      </c>
      <c r="L25" t="s">
        <v>941</v>
      </c>
      <c r="M25" t="s">
        <v>1048</v>
      </c>
      <c r="N25" t="s">
        <v>1311</v>
      </c>
      <c r="O25" t="s">
        <v>1461</v>
      </c>
      <c r="P25" t="s">
        <v>992</v>
      </c>
    </row>
    <row r="26" spans="1:16" x14ac:dyDescent="0.2">
      <c r="A26" t="s">
        <v>1088</v>
      </c>
      <c r="B26" t="s">
        <v>886</v>
      </c>
      <c r="C26" t="s">
        <v>886</v>
      </c>
      <c r="D26" t="s">
        <v>93</v>
      </c>
      <c r="E26" t="s">
        <v>957</v>
      </c>
      <c r="F26" t="s">
        <v>1392</v>
      </c>
      <c r="G26" t="s">
        <v>931</v>
      </c>
      <c r="H26" t="s">
        <v>931</v>
      </c>
      <c r="I26" t="s">
        <v>1086</v>
      </c>
      <c r="J26" t="s">
        <v>1462</v>
      </c>
      <c r="K26" t="s">
        <v>931</v>
      </c>
      <c r="L26" t="s">
        <v>941</v>
      </c>
      <c r="M26" t="s">
        <v>1445</v>
      </c>
      <c r="N26" t="s">
        <v>1463</v>
      </c>
      <c r="O26" t="s">
        <v>1464</v>
      </c>
      <c r="P26" t="s">
        <v>992</v>
      </c>
    </row>
    <row r="27" spans="1:16" x14ac:dyDescent="0.2">
      <c r="A27" t="s">
        <v>952</v>
      </c>
      <c r="B27" t="s">
        <v>1465</v>
      </c>
      <c r="C27" t="s">
        <v>1465</v>
      </c>
      <c r="D27" t="s">
        <v>1257</v>
      </c>
      <c r="E27" t="s">
        <v>1023</v>
      </c>
      <c r="G27" t="s">
        <v>931</v>
      </c>
      <c r="H27" t="s">
        <v>992</v>
      </c>
      <c r="I27" t="s">
        <v>1086</v>
      </c>
      <c r="J27" t="s">
        <v>979</v>
      </c>
      <c r="K27" t="s">
        <v>992</v>
      </c>
      <c r="L27" t="s">
        <v>941</v>
      </c>
      <c r="M27" t="s">
        <v>1064</v>
      </c>
      <c r="N27" t="s">
        <v>1429</v>
      </c>
      <c r="O27" t="s">
        <v>1291</v>
      </c>
      <c r="P27" t="s">
        <v>992</v>
      </c>
    </row>
    <row r="28" spans="1:16" x14ac:dyDescent="0.2">
      <c r="A28" t="s">
        <v>1010</v>
      </c>
      <c r="B28" t="s">
        <v>280</v>
      </c>
      <c r="C28" t="s">
        <v>280</v>
      </c>
      <c r="D28" t="s">
        <v>98</v>
      </c>
      <c r="E28" t="s">
        <v>1023</v>
      </c>
      <c r="G28" t="s">
        <v>931</v>
      </c>
      <c r="H28" t="s">
        <v>992</v>
      </c>
      <c r="I28" t="s">
        <v>1086</v>
      </c>
      <c r="J28" t="s">
        <v>1466</v>
      </c>
      <c r="K28" t="s">
        <v>992</v>
      </c>
      <c r="L28" t="s">
        <v>982</v>
      </c>
      <c r="M28" t="s">
        <v>1088</v>
      </c>
      <c r="N28" t="s">
        <v>1057</v>
      </c>
      <c r="O28" t="s">
        <v>1467</v>
      </c>
      <c r="P28" t="s">
        <v>941</v>
      </c>
    </row>
    <row r="29" spans="1:16" x14ac:dyDescent="0.2">
      <c r="A29" t="s">
        <v>957</v>
      </c>
      <c r="B29" t="s">
        <v>180</v>
      </c>
      <c r="C29" t="s">
        <v>180</v>
      </c>
      <c r="D29" t="s">
        <v>139</v>
      </c>
      <c r="E29" t="s">
        <v>985</v>
      </c>
      <c r="G29" t="s">
        <v>931</v>
      </c>
      <c r="H29" t="s">
        <v>992</v>
      </c>
      <c r="I29" t="s">
        <v>1086</v>
      </c>
      <c r="J29" t="s">
        <v>1124</v>
      </c>
      <c r="K29" t="s">
        <v>992</v>
      </c>
      <c r="L29" t="s">
        <v>941</v>
      </c>
      <c r="M29" t="s">
        <v>1144</v>
      </c>
      <c r="N29" t="s">
        <v>1468</v>
      </c>
      <c r="O29" t="s">
        <v>1469</v>
      </c>
      <c r="P29" t="s">
        <v>992</v>
      </c>
    </row>
    <row r="30" spans="1:16" x14ac:dyDescent="0.2">
      <c r="A30" t="s">
        <v>1123</v>
      </c>
      <c r="B30" t="s">
        <v>91</v>
      </c>
      <c r="C30" t="s">
        <v>91</v>
      </c>
      <c r="D30" t="s">
        <v>92</v>
      </c>
      <c r="E30" t="s">
        <v>1023</v>
      </c>
      <c r="F30" t="s">
        <v>1392</v>
      </c>
      <c r="G30" t="s">
        <v>931</v>
      </c>
      <c r="H30" t="s">
        <v>931</v>
      </c>
      <c r="I30" t="s">
        <v>1075</v>
      </c>
      <c r="J30" t="s">
        <v>952</v>
      </c>
      <c r="K30" t="s">
        <v>992</v>
      </c>
      <c r="L30" t="s">
        <v>931</v>
      </c>
      <c r="M30" t="s">
        <v>1009</v>
      </c>
      <c r="N30" t="s">
        <v>1127</v>
      </c>
      <c r="O30" t="s">
        <v>1470</v>
      </c>
      <c r="P30" t="s">
        <v>992</v>
      </c>
    </row>
    <row r="31" spans="1:16" x14ac:dyDescent="0.2">
      <c r="A31" t="s">
        <v>902</v>
      </c>
      <c r="B31" t="s">
        <v>903</v>
      </c>
      <c r="C31" t="s">
        <v>903</v>
      </c>
      <c r="D31" t="s">
        <v>1314</v>
      </c>
      <c r="E31" t="s">
        <v>905</v>
      </c>
      <c r="F31" t="s">
        <v>906</v>
      </c>
      <c r="G31" t="s">
        <v>1315</v>
      </c>
      <c r="H31" t="s">
        <v>1316</v>
      </c>
      <c r="I31" t="s">
        <v>1319</v>
      </c>
      <c r="J31" t="s">
        <v>799</v>
      </c>
      <c r="K31" t="s">
        <v>800</v>
      </c>
      <c r="L31" t="s">
        <v>1321</v>
      </c>
      <c r="M31" t="s">
        <v>917</v>
      </c>
      <c r="N31" t="s">
        <v>1322</v>
      </c>
      <c r="O31" t="s">
        <v>1325</v>
      </c>
      <c r="P31" t="s">
        <v>1416</v>
      </c>
    </row>
    <row r="32" spans="1:16" x14ac:dyDescent="0.2">
      <c r="A32" t="s">
        <v>934</v>
      </c>
      <c r="B32" t="s">
        <v>1471</v>
      </c>
      <c r="C32" t="s">
        <v>1471</v>
      </c>
      <c r="D32" t="s">
        <v>933</v>
      </c>
      <c r="E32" t="s">
        <v>1028</v>
      </c>
      <c r="F32" t="s">
        <v>1392</v>
      </c>
      <c r="G32" t="s">
        <v>931</v>
      </c>
      <c r="H32" t="s">
        <v>931</v>
      </c>
      <c r="I32" t="s">
        <v>1075</v>
      </c>
      <c r="J32" t="s">
        <v>937</v>
      </c>
      <c r="K32" t="s">
        <v>941</v>
      </c>
      <c r="L32" t="s">
        <v>982</v>
      </c>
      <c r="M32" t="s">
        <v>1002</v>
      </c>
      <c r="N32" t="s">
        <v>1277</v>
      </c>
      <c r="O32" t="s">
        <v>1472</v>
      </c>
      <c r="P32" t="s">
        <v>992</v>
      </c>
    </row>
    <row r="33" spans="1:16" x14ac:dyDescent="0.2">
      <c r="A33" t="s">
        <v>966</v>
      </c>
      <c r="B33" t="s">
        <v>1473</v>
      </c>
      <c r="C33" t="s">
        <v>1473</v>
      </c>
      <c r="D33" t="s">
        <v>725</v>
      </c>
      <c r="E33" t="s">
        <v>966</v>
      </c>
      <c r="G33" t="s">
        <v>931</v>
      </c>
      <c r="H33" t="s">
        <v>992</v>
      </c>
      <c r="I33" t="s">
        <v>1075</v>
      </c>
      <c r="J33" t="s">
        <v>957</v>
      </c>
      <c r="K33" t="s">
        <v>931</v>
      </c>
      <c r="L33" t="s">
        <v>931</v>
      </c>
      <c r="M33" t="s">
        <v>1051</v>
      </c>
      <c r="N33" t="s">
        <v>1143</v>
      </c>
      <c r="O33" t="s">
        <v>1474</v>
      </c>
      <c r="P33" t="s">
        <v>992</v>
      </c>
    </row>
    <row r="34" spans="1:16" x14ac:dyDescent="0.2">
      <c r="A34" t="s">
        <v>978</v>
      </c>
      <c r="B34" t="s">
        <v>97</v>
      </c>
      <c r="C34" t="s">
        <v>97</v>
      </c>
      <c r="D34" t="s">
        <v>98</v>
      </c>
      <c r="E34" t="s">
        <v>1088</v>
      </c>
      <c r="F34" t="s">
        <v>935</v>
      </c>
      <c r="G34" t="s">
        <v>931</v>
      </c>
      <c r="H34" t="s">
        <v>931</v>
      </c>
      <c r="I34" t="s">
        <v>1064</v>
      </c>
      <c r="J34" t="s">
        <v>977</v>
      </c>
      <c r="K34" t="s">
        <v>992</v>
      </c>
      <c r="L34" t="s">
        <v>982</v>
      </c>
      <c r="M34" t="s">
        <v>1086</v>
      </c>
      <c r="N34" t="s">
        <v>1452</v>
      </c>
      <c r="O34" t="s">
        <v>1475</v>
      </c>
      <c r="P34" t="s">
        <v>941</v>
      </c>
    </row>
    <row r="35" spans="1:16" x14ac:dyDescent="0.2">
      <c r="A35" t="s">
        <v>996</v>
      </c>
      <c r="B35" t="s">
        <v>274</v>
      </c>
      <c r="C35" t="s">
        <v>274</v>
      </c>
      <c r="D35" t="s">
        <v>71</v>
      </c>
      <c r="E35" t="s">
        <v>957</v>
      </c>
      <c r="F35" t="s">
        <v>1392</v>
      </c>
      <c r="G35" t="s">
        <v>931</v>
      </c>
      <c r="H35" t="s">
        <v>931</v>
      </c>
      <c r="I35" t="s">
        <v>1064</v>
      </c>
      <c r="J35" t="s">
        <v>1023</v>
      </c>
      <c r="K35" t="s">
        <v>992</v>
      </c>
      <c r="L35" t="s">
        <v>941</v>
      </c>
      <c r="M35" t="s">
        <v>1064</v>
      </c>
      <c r="N35" t="s">
        <v>1156</v>
      </c>
      <c r="O35" t="s">
        <v>1476</v>
      </c>
      <c r="P35" t="s">
        <v>992</v>
      </c>
    </row>
    <row r="36" spans="1:16" x14ac:dyDescent="0.2">
      <c r="A36" t="s">
        <v>937</v>
      </c>
      <c r="B36" t="s">
        <v>1477</v>
      </c>
      <c r="C36" t="s">
        <v>1477</v>
      </c>
      <c r="D36" t="s">
        <v>976</v>
      </c>
      <c r="E36" t="s">
        <v>952</v>
      </c>
      <c r="F36" t="s">
        <v>1392</v>
      </c>
      <c r="G36" t="s">
        <v>931</v>
      </c>
      <c r="H36" t="s">
        <v>931</v>
      </c>
      <c r="I36" t="s">
        <v>1064</v>
      </c>
      <c r="J36" t="s">
        <v>978</v>
      </c>
      <c r="K36" t="s">
        <v>992</v>
      </c>
      <c r="L36" t="s">
        <v>931</v>
      </c>
      <c r="M36" t="s">
        <v>1039</v>
      </c>
      <c r="N36" t="s">
        <v>942</v>
      </c>
      <c r="O36" t="s">
        <v>1478</v>
      </c>
      <c r="P36" t="s">
        <v>992</v>
      </c>
    </row>
    <row r="37" spans="1:16" x14ac:dyDescent="0.2">
      <c r="A37" t="s">
        <v>1134</v>
      </c>
      <c r="B37" t="s">
        <v>373</v>
      </c>
      <c r="C37" t="s">
        <v>373</v>
      </c>
      <c r="D37" t="s">
        <v>102</v>
      </c>
      <c r="E37" t="s">
        <v>985</v>
      </c>
      <c r="G37" t="s">
        <v>931</v>
      </c>
      <c r="H37" t="s">
        <v>992</v>
      </c>
      <c r="I37" t="s">
        <v>1064</v>
      </c>
      <c r="J37" t="s">
        <v>945</v>
      </c>
      <c r="K37" t="s">
        <v>931</v>
      </c>
      <c r="L37" t="s">
        <v>951</v>
      </c>
      <c r="M37" t="s">
        <v>1051</v>
      </c>
      <c r="N37" t="s">
        <v>1001</v>
      </c>
      <c r="O37" t="s">
        <v>1479</v>
      </c>
      <c r="P37" t="s">
        <v>992</v>
      </c>
    </row>
    <row r="38" spans="1:16" x14ac:dyDescent="0.2">
      <c r="A38" t="s">
        <v>997</v>
      </c>
      <c r="B38" t="s">
        <v>224</v>
      </c>
      <c r="C38" t="s">
        <v>224</v>
      </c>
      <c r="D38" t="s">
        <v>142</v>
      </c>
      <c r="E38" t="s">
        <v>1023</v>
      </c>
      <c r="F38" t="s">
        <v>1392</v>
      </c>
      <c r="G38" t="s">
        <v>931</v>
      </c>
      <c r="H38" t="s">
        <v>931</v>
      </c>
      <c r="I38" t="s">
        <v>1064</v>
      </c>
      <c r="J38" t="s">
        <v>998</v>
      </c>
      <c r="K38" t="s">
        <v>992</v>
      </c>
      <c r="L38" t="s">
        <v>941</v>
      </c>
      <c r="M38" t="s">
        <v>1002</v>
      </c>
      <c r="N38" t="s">
        <v>1189</v>
      </c>
      <c r="O38" t="s">
        <v>1449</v>
      </c>
      <c r="P38" t="s">
        <v>992</v>
      </c>
    </row>
    <row r="39" spans="1:16" x14ac:dyDescent="0.2">
      <c r="A39" t="s">
        <v>945</v>
      </c>
      <c r="B39" t="s">
        <v>268</v>
      </c>
      <c r="C39" t="s">
        <v>268</v>
      </c>
      <c r="D39" t="s">
        <v>107</v>
      </c>
      <c r="E39" t="s">
        <v>1088</v>
      </c>
      <c r="G39" t="s">
        <v>931</v>
      </c>
      <c r="H39" t="s">
        <v>992</v>
      </c>
      <c r="I39" t="s">
        <v>1064</v>
      </c>
      <c r="J39" t="s">
        <v>937</v>
      </c>
      <c r="K39" t="s">
        <v>992</v>
      </c>
      <c r="L39" t="s">
        <v>941</v>
      </c>
      <c r="M39" t="s">
        <v>1051</v>
      </c>
      <c r="N39" t="s">
        <v>1099</v>
      </c>
      <c r="O39" t="s">
        <v>1472</v>
      </c>
      <c r="P39" t="s">
        <v>992</v>
      </c>
    </row>
    <row r="40" spans="1:16" x14ac:dyDescent="0.2">
      <c r="A40" t="s">
        <v>1011</v>
      </c>
      <c r="B40" t="s">
        <v>361</v>
      </c>
      <c r="C40" t="s">
        <v>361</v>
      </c>
      <c r="D40" t="s">
        <v>1052</v>
      </c>
      <c r="E40" t="s">
        <v>966</v>
      </c>
      <c r="G40" t="s">
        <v>931</v>
      </c>
      <c r="H40" t="s">
        <v>992</v>
      </c>
      <c r="I40" t="s">
        <v>1064</v>
      </c>
      <c r="J40" t="s">
        <v>977</v>
      </c>
      <c r="K40" t="s">
        <v>992</v>
      </c>
      <c r="L40" t="s">
        <v>951</v>
      </c>
      <c r="M40" t="s">
        <v>1048</v>
      </c>
      <c r="N40" t="s">
        <v>1452</v>
      </c>
      <c r="O40" t="s">
        <v>1475</v>
      </c>
      <c r="P40" t="s">
        <v>992</v>
      </c>
    </row>
    <row r="41" spans="1:16" x14ac:dyDescent="0.2">
      <c r="A41" t="s">
        <v>1124</v>
      </c>
      <c r="B41" t="s">
        <v>336</v>
      </c>
      <c r="C41" t="s">
        <v>336</v>
      </c>
      <c r="D41" t="s">
        <v>139</v>
      </c>
      <c r="E41" t="s">
        <v>952</v>
      </c>
      <c r="F41" t="s">
        <v>1392</v>
      </c>
      <c r="G41" t="s">
        <v>931</v>
      </c>
      <c r="H41" t="s">
        <v>931</v>
      </c>
      <c r="I41" t="s">
        <v>1064</v>
      </c>
      <c r="J41" t="s">
        <v>1480</v>
      </c>
      <c r="K41" t="s">
        <v>931</v>
      </c>
      <c r="L41" t="s">
        <v>982</v>
      </c>
      <c r="M41" t="s">
        <v>1032</v>
      </c>
      <c r="N41" t="s">
        <v>1306</v>
      </c>
      <c r="O41" t="s">
        <v>1481</v>
      </c>
      <c r="P41" t="s">
        <v>992</v>
      </c>
    </row>
    <row r="42" spans="1:16" x14ac:dyDescent="0.2">
      <c r="A42" t="s">
        <v>1190</v>
      </c>
      <c r="B42" t="s">
        <v>1482</v>
      </c>
      <c r="C42" t="s">
        <v>1482</v>
      </c>
      <c r="D42" t="s">
        <v>725</v>
      </c>
      <c r="E42" t="s">
        <v>1088</v>
      </c>
      <c r="F42" t="s">
        <v>1392</v>
      </c>
      <c r="G42" t="s">
        <v>931</v>
      </c>
      <c r="H42" t="s">
        <v>931</v>
      </c>
      <c r="I42" t="s">
        <v>1064</v>
      </c>
      <c r="J42" t="s">
        <v>1483</v>
      </c>
      <c r="K42" t="s">
        <v>931</v>
      </c>
      <c r="L42" t="s">
        <v>941</v>
      </c>
      <c r="M42" t="s">
        <v>1134</v>
      </c>
      <c r="N42" t="s">
        <v>968</v>
      </c>
      <c r="O42" t="s">
        <v>1484</v>
      </c>
      <c r="P42" t="s">
        <v>992</v>
      </c>
    </row>
    <row r="43" spans="1:16" x14ac:dyDescent="0.2">
      <c r="A43" t="s">
        <v>1056</v>
      </c>
      <c r="B43" t="s">
        <v>120</v>
      </c>
      <c r="C43" t="s">
        <v>120</v>
      </c>
      <c r="D43" t="s">
        <v>102</v>
      </c>
      <c r="E43" t="s">
        <v>1028</v>
      </c>
      <c r="F43" t="s">
        <v>935</v>
      </c>
      <c r="G43" t="s">
        <v>931</v>
      </c>
      <c r="H43" t="s">
        <v>931</v>
      </c>
      <c r="I43" t="s">
        <v>1051</v>
      </c>
      <c r="J43" t="s">
        <v>1012</v>
      </c>
      <c r="K43" t="s">
        <v>992</v>
      </c>
      <c r="L43" t="s">
        <v>982</v>
      </c>
      <c r="M43" t="s">
        <v>1066</v>
      </c>
      <c r="N43" t="s">
        <v>1270</v>
      </c>
      <c r="O43" t="s">
        <v>1450</v>
      </c>
      <c r="P43" t="s">
        <v>931</v>
      </c>
    </row>
    <row r="44" spans="1:16" x14ac:dyDescent="0.2">
      <c r="A44" t="s">
        <v>959</v>
      </c>
      <c r="B44" t="s">
        <v>290</v>
      </c>
      <c r="C44" t="s">
        <v>290</v>
      </c>
      <c r="D44" t="s">
        <v>122</v>
      </c>
      <c r="E44" t="s">
        <v>1010</v>
      </c>
      <c r="G44" t="s">
        <v>931</v>
      </c>
      <c r="H44" t="s">
        <v>992</v>
      </c>
      <c r="I44" t="s">
        <v>1051</v>
      </c>
      <c r="J44" t="s">
        <v>1088</v>
      </c>
      <c r="K44" t="s">
        <v>931</v>
      </c>
      <c r="L44" t="s">
        <v>931</v>
      </c>
      <c r="M44" t="s">
        <v>1051</v>
      </c>
      <c r="N44" t="s">
        <v>1114</v>
      </c>
      <c r="O44" t="s">
        <v>1260</v>
      </c>
      <c r="P44" t="s">
        <v>992</v>
      </c>
    </row>
    <row r="45" spans="1:16" x14ac:dyDescent="0.2">
      <c r="A45" t="s">
        <v>1017</v>
      </c>
      <c r="B45" t="s">
        <v>1485</v>
      </c>
      <c r="C45" t="s">
        <v>1485</v>
      </c>
      <c r="D45" t="s">
        <v>118</v>
      </c>
      <c r="E45" t="s">
        <v>985</v>
      </c>
      <c r="G45" t="s">
        <v>931</v>
      </c>
      <c r="H45" t="s">
        <v>992</v>
      </c>
      <c r="I45" t="s">
        <v>1051</v>
      </c>
      <c r="J45" t="s">
        <v>1010</v>
      </c>
      <c r="K45" t="s">
        <v>992</v>
      </c>
      <c r="L45" t="s">
        <v>931</v>
      </c>
      <c r="M45" t="s">
        <v>1048</v>
      </c>
      <c r="N45" t="s">
        <v>1277</v>
      </c>
      <c r="O45" t="s">
        <v>1486</v>
      </c>
      <c r="P45" t="s">
        <v>992</v>
      </c>
    </row>
    <row r="46" spans="1:16" x14ac:dyDescent="0.2">
      <c r="A46" t="s">
        <v>977</v>
      </c>
      <c r="B46" t="s">
        <v>288</v>
      </c>
      <c r="C46" t="s">
        <v>288</v>
      </c>
      <c r="D46" t="s">
        <v>101</v>
      </c>
      <c r="E46" t="s">
        <v>934</v>
      </c>
      <c r="F46" t="s">
        <v>1392</v>
      </c>
      <c r="G46" t="s">
        <v>931</v>
      </c>
      <c r="H46" t="s">
        <v>931</v>
      </c>
      <c r="I46" t="s">
        <v>1039</v>
      </c>
      <c r="J46" t="s">
        <v>1480</v>
      </c>
      <c r="K46" t="s">
        <v>992</v>
      </c>
      <c r="L46" t="s">
        <v>982</v>
      </c>
      <c r="M46" t="s">
        <v>1066</v>
      </c>
      <c r="N46" t="s">
        <v>947</v>
      </c>
      <c r="O46" t="s">
        <v>1481</v>
      </c>
      <c r="P46" t="s">
        <v>992</v>
      </c>
    </row>
    <row r="47" spans="1:16" x14ac:dyDescent="0.2">
      <c r="A47" t="s">
        <v>1443</v>
      </c>
      <c r="B47" t="s">
        <v>1487</v>
      </c>
      <c r="C47" t="s">
        <v>1487</v>
      </c>
      <c r="D47" t="s">
        <v>933</v>
      </c>
      <c r="E47" t="s">
        <v>1010</v>
      </c>
      <c r="G47" t="s">
        <v>931</v>
      </c>
      <c r="H47" t="s">
        <v>992</v>
      </c>
      <c r="I47" t="s">
        <v>1027</v>
      </c>
      <c r="J47" t="s">
        <v>1086</v>
      </c>
      <c r="K47" t="s">
        <v>992</v>
      </c>
      <c r="L47" t="s">
        <v>931</v>
      </c>
      <c r="M47" t="s">
        <v>1027</v>
      </c>
      <c r="N47" t="s">
        <v>943</v>
      </c>
      <c r="O47" t="s">
        <v>1045</v>
      </c>
      <c r="P47" t="s">
        <v>992</v>
      </c>
    </row>
    <row r="48" spans="1:16" x14ac:dyDescent="0.2">
      <c r="A48" t="s">
        <v>1488</v>
      </c>
      <c r="B48" t="s">
        <v>213</v>
      </c>
      <c r="C48" t="s">
        <v>213</v>
      </c>
      <c r="D48" t="s">
        <v>82</v>
      </c>
      <c r="E48" t="s">
        <v>952</v>
      </c>
      <c r="G48" t="s">
        <v>931</v>
      </c>
      <c r="H48" t="s">
        <v>992</v>
      </c>
      <c r="I48" t="s">
        <v>1027</v>
      </c>
      <c r="J48" t="s">
        <v>996</v>
      </c>
      <c r="K48" t="s">
        <v>931</v>
      </c>
      <c r="L48" t="s">
        <v>941</v>
      </c>
      <c r="M48" t="s">
        <v>1002</v>
      </c>
      <c r="N48" t="s">
        <v>1435</v>
      </c>
      <c r="O48" t="s">
        <v>1461</v>
      </c>
      <c r="P48" t="s">
        <v>992</v>
      </c>
    </row>
    <row r="49" spans="1:16" x14ac:dyDescent="0.2">
      <c r="A49" t="s">
        <v>986</v>
      </c>
      <c r="B49" t="s">
        <v>154</v>
      </c>
      <c r="C49" t="s">
        <v>154</v>
      </c>
      <c r="D49" t="s">
        <v>92</v>
      </c>
      <c r="E49" t="s">
        <v>1023</v>
      </c>
      <c r="F49" t="s">
        <v>935</v>
      </c>
      <c r="G49" t="s">
        <v>931</v>
      </c>
      <c r="H49" t="s">
        <v>931</v>
      </c>
      <c r="I49" t="s">
        <v>1027</v>
      </c>
      <c r="J49" t="s">
        <v>1010</v>
      </c>
      <c r="K49" t="s">
        <v>931</v>
      </c>
      <c r="L49" t="s">
        <v>941</v>
      </c>
      <c r="M49" t="s">
        <v>1051</v>
      </c>
      <c r="N49" t="s">
        <v>1429</v>
      </c>
      <c r="O49" t="s">
        <v>1486</v>
      </c>
      <c r="P49" t="s">
        <v>931</v>
      </c>
    </row>
    <row r="50" spans="1:16" x14ac:dyDescent="0.2">
      <c r="A50" t="s">
        <v>1489</v>
      </c>
      <c r="B50" t="s">
        <v>1490</v>
      </c>
      <c r="C50" t="s">
        <v>1490</v>
      </c>
      <c r="D50" t="s">
        <v>727</v>
      </c>
      <c r="E50" t="s">
        <v>1123</v>
      </c>
      <c r="G50" t="s">
        <v>931</v>
      </c>
      <c r="H50" t="s">
        <v>992</v>
      </c>
      <c r="I50" t="s">
        <v>1027</v>
      </c>
      <c r="J50" t="s">
        <v>1002</v>
      </c>
      <c r="K50" t="s">
        <v>992</v>
      </c>
      <c r="L50" t="s">
        <v>941</v>
      </c>
      <c r="M50" t="s">
        <v>1027</v>
      </c>
      <c r="N50" t="s">
        <v>1133</v>
      </c>
      <c r="O50" t="s">
        <v>1491</v>
      </c>
      <c r="P50" t="s">
        <v>992</v>
      </c>
    </row>
    <row r="51" spans="1:16" x14ac:dyDescent="0.2">
      <c r="A51" t="s">
        <v>998</v>
      </c>
      <c r="B51" t="s">
        <v>155</v>
      </c>
      <c r="C51" t="s">
        <v>155</v>
      </c>
      <c r="D51" t="s">
        <v>1257</v>
      </c>
      <c r="E51" t="s">
        <v>1010</v>
      </c>
      <c r="F51" t="s">
        <v>935</v>
      </c>
      <c r="G51" t="s">
        <v>931</v>
      </c>
      <c r="H51" t="s">
        <v>931</v>
      </c>
      <c r="I51" t="s">
        <v>1027</v>
      </c>
      <c r="J51" t="s">
        <v>945</v>
      </c>
      <c r="K51" t="s">
        <v>992</v>
      </c>
      <c r="L51" t="s">
        <v>982</v>
      </c>
      <c r="M51" t="s">
        <v>1002</v>
      </c>
      <c r="N51" t="s">
        <v>1019</v>
      </c>
      <c r="O51" t="s">
        <v>1479</v>
      </c>
      <c r="P51" t="s">
        <v>992</v>
      </c>
    </row>
    <row r="52" spans="1:16" x14ac:dyDescent="0.2">
      <c r="A52" t="s">
        <v>979</v>
      </c>
      <c r="B52" t="s">
        <v>322</v>
      </c>
      <c r="C52" t="s">
        <v>322</v>
      </c>
      <c r="D52" t="s">
        <v>142</v>
      </c>
      <c r="E52" t="s">
        <v>957</v>
      </c>
      <c r="G52" t="s">
        <v>931</v>
      </c>
      <c r="H52" t="s">
        <v>992</v>
      </c>
      <c r="I52" t="s">
        <v>1009</v>
      </c>
      <c r="J52" t="s">
        <v>1144</v>
      </c>
      <c r="K52" t="s">
        <v>992</v>
      </c>
      <c r="L52" t="s">
        <v>941</v>
      </c>
      <c r="M52" t="s">
        <v>1009</v>
      </c>
      <c r="N52" t="s">
        <v>1455</v>
      </c>
      <c r="O52" t="s">
        <v>1492</v>
      </c>
      <c r="P52" t="s">
        <v>992</v>
      </c>
    </row>
    <row r="53" spans="1:16" x14ac:dyDescent="0.2">
      <c r="A53" t="s">
        <v>1053</v>
      </c>
      <c r="B53" t="s">
        <v>168</v>
      </c>
      <c r="C53" t="s">
        <v>168</v>
      </c>
      <c r="D53" t="s">
        <v>70</v>
      </c>
      <c r="E53" t="s">
        <v>1023</v>
      </c>
      <c r="F53" t="s">
        <v>935</v>
      </c>
      <c r="G53" t="s">
        <v>931</v>
      </c>
      <c r="H53" t="s">
        <v>931</v>
      </c>
      <c r="I53" t="s">
        <v>1009</v>
      </c>
      <c r="J53" t="s">
        <v>1493</v>
      </c>
      <c r="K53" t="s">
        <v>931</v>
      </c>
      <c r="L53" t="s">
        <v>931</v>
      </c>
      <c r="M53" t="s">
        <v>1009</v>
      </c>
      <c r="N53" t="s">
        <v>1494</v>
      </c>
      <c r="O53" t="s">
        <v>1495</v>
      </c>
      <c r="P53" t="s">
        <v>931</v>
      </c>
    </row>
    <row r="54" spans="1:16" x14ac:dyDescent="0.2">
      <c r="A54" t="s">
        <v>1103</v>
      </c>
      <c r="B54" t="s">
        <v>415</v>
      </c>
      <c r="C54" t="s">
        <v>415</v>
      </c>
      <c r="D54" t="s">
        <v>1267</v>
      </c>
      <c r="E54" t="s">
        <v>1028</v>
      </c>
      <c r="G54" t="s">
        <v>931</v>
      </c>
      <c r="H54" t="s">
        <v>992</v>
      </c>
      <c r="I54" t="s">
        <v>1009</v>
      </c>
      <c r="J54" t="s">
        <v>1066</v>
      </c>
      <c r="K54" t="s">
        <v>992</v>
      </c>
      <c r="L54" t="s">
        <v>931</v>
      </c>
      <c r="M54" t="s">
        <v>1051</v>
      </c>
      <c r="N54" t="s">
        <v>1143</v>
      </c>
      <c r="O54" t="s">
        <v>1197</v>
      </c>
      <c r="P54" t="s">
        <v>992</v>
      </c>
    </row>
    <row r="55" spans="1:16" x14ac:dyDescent="0.2">
      <c r="A55" t="s">
        <v>1441</v>
      </c>
      <c r="B55" t="s">
        <v>126</v>
      </c>
      <c r="C55" t="s">
        <v>126</v>
      </c>
      <c r="D55" t="s">
        <v>1267</v>
      </c>
      <c r="E55" t="s">
        <v>1010</v>
      </c>
      <c r="F55" t="s">
        <v>1392</v>
      </c>
      <c r="G55" t="s">
        <v>931</v>
      </c>
      <c r="H55" t="s">
        <v>931</v>
      </c>
      <c r="I55" t="s">
        <v>1009</v>
      </c>
      <c r="J55" t="s">
        <v>1064</v>
      </c>
      <c r="K55" t="s">
        <v>992</v>
      </c>
      <c r="L55" t="s">
        <v>992</v>
      </c>
      <c r="M55" t="s">
        <v>951</v>
      </c>
      <c r="N55" t="s">
        <v>943</v>
      </c>
      <c r="O55" t="s">
        <v>1115</v>
      </c>
      <c r="P55" t="s">
        <v>992</v>
      </c>
    </row>
    <row r="56" spans="1:16" x14ac:dyDescent="0.2">
      <c r="A56" t="s">
        <v>1480</v>
      </c>
      <c r="B56" t="s">
        <v>80</v>
      </c>
      <c r="C56" t="s">
        <v>80</v>
      </c>
      <c r="D56" t="s">
        <v>1040</v>
      </c>
      <c r="E56" t="s">
        <v>952</v>
      </c>
      <c r="F56" t="s">
        <v>935</v>
      </c>
      <c r="G56" t="s">
        <v>931</v>
      </c>
      <c r="H56" t="s">
        <v>931</v>
      </c>
      <c r="I56" t="s">
        <v>1009</v>
      </c>
      <c r="J56" t="s">
        <v>1162</v>
      </c>
      <c r="K56" t="s">
        <v>931</v>
      </c>
      <c r="L56" t="s">
        <v>941</v>
      </c>
      <c r="M56" t="s">
        <v>1051</v>
      </c>
      <c r="N56" t="s">
        <v>942</v>
      </c>
      <c r="O56" t="s">
        <v>1496</v>
      </c>
      <c r="P56" t="s">
        <v>992</v>
      </c>
    </row>
    <row r="57" spans="1:16" x14ac:dyDescent="0.2">
      <c r="A57" t="s">
        <v>1261</v>
      </c>
      <c r="B57" t="s">
        <v>95</v>
      </c>
      <c r="C57" t="s">
        <v>95</v>
      </c>
      <c r="D57" t="s">
        <v>78</v>
      </c>
      <c r="E57" t="s">
        <v>1023</v>
      </c>
      <c r="F57" t="s">
        <v>935</v>
      </c>
      <c r="G57" t="s">
        <v>931</v>
      </c>
      <c r="H57" t="s">
        <v>931</v>
      </c>
      <c r="I57" t="s">
        <v>1009</v>
      </c>
      <c r="J57" t="s">
        <v>1032</v>
      </c>
      <c r="K57" t="s">
        <v>931</v>
      </c>
      <c r="L57" t="s">
        <v>941</v>
      </c>
      <c r="M57" t="s">
        <v>1051</v>
      </c>
      <c r="N57" t="s">
        <v>984</v>
      </c>
      <c r="O57" t="s">
        <v>1497</v>
      </c>
      <c r="P57" t="s">
        <v>992</v>
      </c>
    </row>
    <row r="58" spans="1:16" x14ac:dyDescent="0.2">
      <c r="A58" t="s">
        <v>938</v>
      </c>
      <c r="B58" t="s">
        <v>341</v>
      </c>
      <c r="C58" t="s">
        <v>341</v>
      </c>
      <c r="D58" t="s">
        <v>74</v>
      </c>
      <c r="E58" t="s">
        <v>952</v>
      </c>
      <c r="G58" t="s">
        <v>931</v>
      </c>
      <c r="H58" t="s">
        <v>992</v>
      </c>
      <c r="I58" t="s">
        <v>1009</v>
      </c>
      <c r="J58" t="s">
        <v>985</v>
      </c>
      <c r="K58" t="s">
        <v>992</v>
      </c>
      <c r="L58" t="s">
        <v>992</v>
      </c>
      <c r="M58" t="s">
        <v>1048</v>
      </c>
      <c r="N58" t="s">
        <v>1418</v>
      </c>
      <c r="O58" t="s">
        <v>1498</v>
      </c>
      <c r="P58" t="s">
        <v>992</v>
      </c>
    </row>
    <row r="59" spans="1:16" x14ac:dyDescent="0.2">
      <c r="A59" t="s">
        <v>1012</v>
      </c>
      <c r="B59" t="s">
        <v>240</v>
      </c>
      <c r="C59" t="s">
        <v>240</v>
      </c>
      <c r="D59" t="s">
        <v>1052</v>
      </c>
      <c r="E59" t="s">
        <v>1028</v>
      </c>
      <c r="F59" t="s">
        <v>1392</v>
      </c>
      <c r="G59" t="s">
        <v>931</v>
      </c>
      <c r="H59" t="s">
        <v>931</v>
      </c>
      <c r="I59" t="s">
        <v>1009</v>
      </c>
      <c r="J59" t="s">
        <v>1088</v>
      </c>
      <c r="K59" t="s">
        <v>992</v>
      </c>
      <c r="L59" t="s">
        <v>941</v>
      </c>
      <c r="M59" t="s">
        <v>1039</v>
      </c>
      <c r="N59" t="s">
        <v>1026</v>
      </c>
      <c r="O59" t="s">
        <v>1260</v>
      </c>
      <c r="P59" t="s">
        <v>931</v>
      </c>
    </row>
    <row r="60" spans="1:16" x14ac:dyDescent="0.2">
      <c r="A60" t="s">
        <v>960</v>
      </c>
      <c r="B60" t="s">
        <v>1076</v>
      </c>
      <c r="C60" t="s">
        <v>1076</v>
      </c>
      <c r="D60" t="s">
        <v>730</v>
      </c>
      <c r="E60" t="s">
        <v>996</v>
      </c>
      <c r="F60" t="s">
        <v>935</v>
      </c>
      <c r="G60" t="s">
        <v>931</v>
      </c>
      <c r="H60" t="s">
        <v>931</v>
      </c>
      <c r="I60" t="s">
        <v>1009</v>
      </c>
      <c r="J60" t="s">
        <v>1499</v>
      </c>
      <c r="K60" t="s">
        <v>992</v>
      </c>
      <c r="L60" t="s">
        <v>992</v>
      </c>
      <c r="M60" t="s">
        <v>931</v>
      </c>
      <c r="N60" t="s">
        <v>1495</v>
      </c>
      <c r="O60" t="s">
        <v>1500</v>
      </c>
      <c r="P60" t="s">
        <v>992</v>
      </c>
    </row>
    <row r="61" spans="1:16" x14ac:dyDescent="0.2">
      <c r="A61" t="s">
        <v>1501</v>
      </c>
      <c r="B61" t="s">
        <v>111</v>
      </c>
      <c r="C61" t="s">
        <v>111</v>
      </c>
      <c r="D61" t="s">
        <v>108</v>
      </c>
      <c r="E61" t="s">
        <v>996</v>
      </c>
      <c r="F61" t="s">
        <v>935</v>
      </c>
      <c r="G61" t="s">
        <v>931</v>
      </c>
      <c r="H61" t="s">
        <v>931</v>
      </c>
      <c r="I61" t="s">
        <v>1009</v>
      </c>
      <c r="J61" t="s">
        <v>1064</v>
      </c>
      <c r="K61" t="s">
        <v>992</v>
      </c>
      <c r="L61" t="s">
        <v>941</v>
      </c>
      <c r="M61" t="s">
        <v>1086</v>
      </c>
      <c r="N61" t="s">
        <v>943</v>
      </c>
      <c r="O61" t="s">
        <v>1115</v>
      </c>
      <c r="P61" t="s">
        <v>992</v>
      </c>
    </row>
    <row r="62" spans="1:16" x14ac:dyDescent="0.2">
      <c r="A62" t="s">
        <v>902</v>
      </c>
      <c r="B62" t="s">
        <v>903</v>
      </c>
      <c r="C62" t="s">
        <v>903</v>
      </c>
      <c r="D62" t="s">
        <v>1314</v>
      </c>
      <c r="E62" t="s">
        <v>905</v>
      </c>
      <c r="F62" t="s">
        <v>906</v>
      </c>
      <c r="G62" t="s">
        <v>1315</v>
      </c>
      <c r="H62" t="s">
        <v>1316</v>
      </c>
      <c r="I62" t="s">
        <v>1319</v>
      </c>
      <c r="J62" t="s">
        <v>799</v>
      </c>
      <c r="K62" t="s">
        <v>800</v>
      </c>
      <c r="L62" t="s">
        <v>1321</v>
      </c>
      <c r="M62" t="s">
        <v>917</v>
      </c>
      <c r="N62" t="s">
        <v>1322</v>
      </c>
      <c r="O62" t="s">
        <v>1325</v>
      </c>
      <c r="P62" t="s">
        <v>1416</v>
      </c>
    </row>
    <row r="63" spans="1:16" x14ac:dyDescent="0.2">
      <c r="A63" t="s">
        <v>1502</v>
      </c>
      <c r="B63" t="s">
        <v>279</v>
      </c>
      <c r="C63" t="s">
        <v>279</v>
      </c>
      <c r="D63" t="s">
        <v>92</v>
      </c>
      <c r="E63" t="s">
        <v>1123</v>
      </c>
      <c r="G63" t="s">
        <v>931</v>
      </c>
      <c r="H63" t="s">
        <v>992</v>
      </c>
      <c r="I63" t="s">
        <v>982</v>
      </c>
      <c r="J63" t="s">
        <v>1039</v>
      </c>
      <c r="K63" t="s">
        <v>992</v>
      </c>
      <c r="L63" t="s">
        <v>992</v>
      </c>
      <c r="M63" t="s">
        <v>1027</v>
      </c>
      <c r="N63" t="s">
        <v>943</v>
      </c>
      <c r="O63" t="s">
        <v>1191</v>
      </c>
      <c r="P63" t="s">
        <v>992</v>
      </c>
    </row>
    <row r="64" spans="1:16" x14ac:dyDescent="0.2">
      <c r="A64" t="s">
        <v>1426</v>
      </c>
      <c r="B64" t="s">
        <v>327</v>
      </c>
      <c r="C64" t="s">
        <v>327</v>
      </c>
      <c r="D64" t="s">
        <v>98</v>
      </c>
      <c r="E64" t="s">
        <v>952</v>
      </c>
      <c r="G64" t="s">
        <v>931</v>
      </c>
      <c r="H64" t="s">
        <v>992</v>
      </c>
      <c r="I64" t="s">
        <v>982</v>
      </c>
      <c r="J64" t="s">
        <v>982</v>
      </c>
      <c r="K64" t="s">
        <v>992</v>
      </c>
      <c r="L64" t="s">
        <v>992</v>
      </c>
      <c r="M64" t="s">
        <v>1039</v>
      </c>
      <c r="N64" t="s">
        <v>1503</v>
      </c>
      <c r="O64" t="s">
        <v>984</v>
      </c>
      <c r="P64" t="s">
        <v>992</v>
      </c>
    </row>
    <row r="65" spans="1:16" x14ac:dyDescent="0.2">
      <c r="A65" t="s">
        <v>1504</v>
      </c>
      <c r="B65" t="s">
        <v>932</v>
      </c>
      <c r="C65" t="s">
        <v>932</v>
      </c>
      <c r="D65" t="s">
        <v>933</v>
      </c>
      <c r="E65" t="s">
        <v>934</v>
      </c>
      <c r="F65" t="s">
        <v>935</v>
      </c>
      <c r="G65" t="s">
        <v>931</v>
      </c>
      <c r="H65" t="s">
        <v>931</v>
      </c>
      <c r="I65" t="s">
        <v>982</v>
      </c>
      <c r="J65" t="s">
        <v>1027</v>
      </c>
      <c r="K65" t="s">
        <v>992</v>
      </c>
      <c r="L65" t="s">
        <v>992</v>
      </c>
      <c r="M65" t="s">
        <v>982</v>
      </c>
      <c r="N65" t="s">
        <v>1272</v>
      </c>
      <c r="O65" t="s">
        <v>1306</v>
      </c>
      <c r="P65" t="s">
        <v>931</v>
      </c>
    </row>
    <row r="66" spans="1:16" x14ac:dyDescent="0.2">
      <c r="A66" t="s">
        <v>1456</v>
      </c>
      <c r="B66" t="s">
        <v>283</v>
      </c>
      <c r="C66" t="s">
        <v>283</v>
      </c>
      <c r="D66" t="s">
        <v>71</v>
      </c>
      <c r="E66" t="s">
        <v>985</v>
      </c>
      <c r="G66" t="s">
        <v>931</v>
      </c>
      <c r="H66" t="s">
        <v>992</v>
      </c>
      <c r="I66" t="s">
        <v>982</v>
      </c>
      <c r="J66" t="s">
        <v>1027</v>
      </c>
      <c r="K66" t="s">
        <v>992</v>
      </c>
      <c r="L66" t="s">
        <v>931</v>
      </c>
      <c r="M66" t="s">
        <v>941</v>
      </c>
      <c r="N66" t="s">
        <v>1272</v>
      </c>
      <c r="O66" t="s">
        <v>1306</v>
      </c>
      <c r="P66" t="s">
        <v>992</v>
      </c>
    </row>
    <row r="67" spans="1:16" x14ac:dyDescent="0.2">
      <c r="A67" t="s">
        <v>1505</v>
      </c>
      <c r="B67" t="s">
        <v>315</v>
      </c>
      <c r="C67" t="s">
        <v>315</v>
      </c>
      <c r="D67" t="s">
        <v>1267</v>
      </c>
      <c r="E67" t="s">
        <v>1028</v>
      </c>
      <c r="G67" t="s">
        <v>931</v>
      </c>
      <c r="H67" t="s">
        <v>992</v>
      </c>
      <c r="I67" t="s">
        <v>982</v>
      </c>
      <c r="J67" t="s">
        <v>1016</v>
      </c>
      <c r="K67" t="s">
        <v>992</v>
      </c>
      <c r="L67" t="s">
        <v>931</v>
      </c>
      <c r="M67" t="s">
        <v>1027</v>
      </c>
      <c r="N67" t="s">
        <v>1271</v>
      </c>
      <c r="O67" t="s">
        <v>1506</v>
      </c>
      <c r="P67" t="s">
        <v>992</v>
      </c>
    </row>
    <row r="68" spans="1:16" x14ac:dyDescent="0.2">
      <c r="A68" t="s">
        <v>1483</v>
      </c>
      <c r="B68" t="s">
        <v>117</v>
      </c>
      <c r="C68" t="s">
        <v>117</v>
      </c>
      <c r="D68" t="s">
        <v>118</v>
      </c>
      <c r="E68" t="s">
        <v>1028</v>
      </c>
      <c r="F68" t="s">
        <v>935</v>
      </c>
      <c r="G68" t="s">
        <v>931</v>
      </c>
      <c r="H68" t="s">
        <v>931</v>
      </c>
      <c r="I68" t="s">
        <v>982</v>
      </c>
      <c r="J68" t="s">
        <v>1493</v>
      </c>
      <c r="K68" t="s">
        <v>992</v>
      </c>
      <c r="L68" t="s">
        <v>931</v>
      </c>
      <c r="M68" t="s">
        <v>941</v>
      </c>
      <c r="N68" t="s">
        <v>1507</v>
      </c>
      <c r="O68" t="s">
        <v>1495</v>
      </c>
      <c r="P68" t="s">
        <v>931</v>
      </c>
    </row>
    <row r="69" spans="1:16" x14ac:dyDescent="0.2">
      <c r="A69" t="s">
        <v>1508</v>
      </c>
      <c r="B69" t="s">
        <v>385</v>
      </c>
      <c r="C69" t="s">
        <v>385</v>
      </c>
      <c r="D69" t="s">
        <v>71</v>
      </c>
      <c r="E69" t="s">
        <v>1023</v>
      </c>
      <c r="G69" t="s">
        <v>931</v>
      </c>
      <c r="H69" t="s">
        <v>992</v>
      </c>
      <c r="I69" t="s">
        <v>982</v>
      </c>
      <c r="J69" t="s">
        <v>1002</v>
      </c>
      <c r="K69" t="s">
        <v>992</v>
      </c>
      <c r="L69" t="s">
        <v>931</v>
      </c>
      <c r="M69" t="s">
        <v>972</v>
      </c>
      <c r="N69" t="s">
        <v>1099</v>
      </c>
      <c r="O69" t="s">
        <v>1491</v>
      </c>
      <c r="P69" t="s">
        <v>992</v>
      </c>
    </row>
    <row r="70" spans="1:16" x14ac:dyDescent="0.2">
      <c r="A70" t="s">
        <v>1078</v>
      </c>
      <c r="B70" t="s">
        <v>1509</v>
      </c>
      <c r="C70" t="s">
        <v>1509</v>
      </c>
      <c r="D70" t="s">
        <v>976</v>
      </c>
      <c r="E70" t="s">
        <v>1023</v>
      </c>
      <c r="G70" t="s">
        <v>931</v>
      </c>
      <c r="H70" t="s">
        <v>992</v>
      </c>
      <c r="I70" t="s">
        <v>982</v>
      </c>
      <c r="J70" t="s">
        <v>1066</v>
      </c>
      <c r="K70" t="s">
        <v>992</v>
      </c>
      <c r="L70" t="s">
        <v>992</v>
      </c>
      <c r="M70" t="s">
        <v>1009</v>
      </c>
      <c r="N70" t="s">
        <v>1468</v>
      </c>
      <c r="O70" t="s">
        <v>1197</v>
      </c>
      <c r="P70" t="s">
        <v>931</v>
      </c>
    </row>
    <row r="71" spans="1:16" x14ac:dyDescent="0.2">
      <c r="A71" t="s">
        <v>1287</v>
      </c>
      <c r="B71" t="s">
        <v>956</v>
      </c>
      <c r="C71" t="s">
        <v>956</v>
      </c>
      <c r="D71" t="s">
        <v>729</v>
      </c>
      <c r="E71" t="s">
        <v>957</v>
      </c>
      <c r="F71" t="s">
        <v>935</v>
      </c>
      <c r="G71" t="s">
        <v>931</v>
      </c>
      <c r="H71" t="s">
        <v>931</v>
      </c>
      <c r="I71" t="s">
        <v>982</v>
      </c>
      <c r="J71" t="s">
        <v>1048</v>
      </c>
      <c r="K71" t="s">
        <v>992</v>
      </c>
      <c r="L71" t="s">
        <v>992</v>
      </c>
      <c r="M71" t="s">
        <v>1039</v>
      </c>
      <c r="N71" t="s">
        <v>1216</v>
      </c>
      <c r="O71" t="s">
        <v>1294</v>
      </c>
      <c r="P71" t="s">
        <v>931</v>
      </c>
    </row>
    <row r="72" spans="1:16" x14ac:dyDescent="0.2">
      <c r="A72" t="s">
        <v>1201</v>
      </c>
      <c r="B72" t="s">
        <v>133</v>
      </c>
      <c r="C72" t="s">
        <v>133</v>
      </c>
      <c r="D72" t="s">
        <v>99</v>
      </c>
      <c r="E72" t="s">
        <v>1124</v>
      </c>
      <c r="F72" t="s">
        <v>935</v>
      </c>
      <c r="G72" t="s">
        <v>931</v>
      </c>
      <c r="H72" t="s">
        <v>931</v>
      </c>
      <c r="I72" t="s">
        <v>982</v>
      </c>
      <c r="J72" t="s">
        <v>1009</v>
      </c>
      <c r="K72" t="s">
        <v>992</v>
      </c>
      <c r="L72" t="s">
        <v>992</v>
      </c>
      <c r="M72" t="s">
        <v>1051</v>
      </c>
      <c r="N72" t="s">
        <v>1510</v>
      </c>
      <c r="O72" t="s">
        <v>1026</v>
      </c>
      <c r="P72" t="s">
        <v>931</v>
      </c>
    </row>
    <row r="73" spans="1:16" x14ac:dyDescent="0.2">
      <c r="A73" t="s">
        <v>1445</v>
      </c>
      <c r="B73" t="s">
        <v>161</v>
      </c>
      <c r="C73" t="s">
        <v>161</v>
      </c>
      <c r="D73" t="s">
        <v>142</v>
      </c>
      <c r="E73" t="s">
        <v>1028</v>
      </c>
      <c r="F73" t="s">
        <v>935</v>
      </c>
      <c r="G73" t="s">
        <v>931</v>
      </c>
      <c r="H73" t="s">
        <v>931</v>
      </c>
      <c r="I73" t="s">
        <v>982</v>
      </c>
      <c r="J73" t="s">
        <v>931</v>
      </c>
      <c r="K73" t="s">
        <v>931</v>
      </c>
      <c r="L73" t="s">
        <v>931</v>
      </c>
      <c r="M73" t="s">
        <v>951</v>
      </c>
      <c r="N73" t="s">
        <v>1511</v>
      </c>
      <c r="O73" t="s">
        <v>1503</v>
      </c>
      <c r="P73" t="s">
        <v>992</v>
      </c>
    </row>
    <row r="74" spans="1:16" x14ac:dyDescent="0.2">
      <c r="A74" t="s">
        <v>1512</v>
      </c>
      <c r="B74" t="s">
        <v>149</v>
      </c>
      <c r="C74" t="s">
        <v>149</v>
      </c>
      <c r="D74" t="s">
        <v>122</v>
      </c>
      <c r="E74" t="s">
        <v>978</v>
      </c>
      <c r="F74" t="s">
        <v>935</v>
      </c>
      <c r="G74" t="s">
        <v>931</v>
      </c>
      <c r="H74" t="s">
        <v>931</v>
      </c>
      <c r="I74" t="s">
        <v>982</v>
      </c>
      <c r="J74" t="s">
        <v>1190</v>
      </c>
      <c r="K74" t="s">
        <v>992</v>
      </c>
      <c r="L74" t="s">
        <v>992</v>
      </c>
      <c r="M74" t="s">
        <v>1123</v>
      </c>
      <c r="N74" t="s">
        <v>1105</v>
      </c>
      <c r="O74" t="s">
        <v>1513</v>
      </c>
      <c r="P74" t="s">
        <v>931</v>
      </c>
    </row>
    <row r="75" spans="1:16" x14ac:dyDescent="0.2">
      <c r="A75" t="s">
        <v>1466</v>
      </c>
      <c r="B75" t="s">
        <v>172</v>
      </c>
      <c r="C75" t="s">
        <v>172</v>
      </c>
      <c r="D75" t="s">
        <v>107</v>
      </c>
      <c r="E75" t="s">
        <v>1123</v>
      </c>
      <c r="F75" t="s">
        <v>935</v>
      </c>
      <c r="G75" t="s">
        <v>931</v>
      </c>
      <c r="H75" t="s">
        <v>931</v>
      </c>
      <c r="I75" t="s">
        <v>982</v>
      </c>
      <c r="J75" t="s">
        <v>1028</v>
      </c>
      <c r="K75" t="s">
        <v>992</v>
      </c>
      <c r="L75" t="s">
        <v>992</v>
      </c>
      <c r="M75" t="s">
        <v>1051</v>
      </c>
      <c r="N75" t="s">
        <v>1008</v>
      </c>
      <c r="O75" t="s">
        <v>1514</v>
      </c>
      <c r="P75" t="s">
        <v>931</v>
      </c>
    </row>
    <row r="76" spans="1:16" x14ac:dyDescent="0.2">
      <c r="A76" t="s">
        <v>1515</v>
      </c>
      <c r="B76" t="s">
        <v>348</v>
      </c>
      <c r="C76" t="s">
        <v>348</v>
      </c>
      <c r="D76" t="s">
        <v>1122</v>
      </c>
      <c r="E76" t="s">
        <v>1123</v>
      </c>
      <c r="G76" t="s">
        <v>931</v>
      </c>
      <c r="H76" t="s">
        <v>992</v>
      </c>
      <c r="I76" t="s">
        <v>982</v>
      </c>
      <c r="J76" t="s">
        <v>972</v>
      </c>
      <c r="K76" t="s">
        <v>992</v>
      </c>
      <c r="L76" t="s">
        <v>941</v>
      </c>
      <c r="M76" t="s">
        <v>1075</v>
      </c>
      <c r="N76" t="s">
        <v>1311</v>
      </c>
      <c r="O76" t="s">
        <v>1516</v>
      </c>
      <c r="P76" t="s">
        <v>992</v>
      </c>
    </row>
    <row r="77" spans="1:16" x14ac:dyDescent="0.2">
      <c r="A77" t="s">
        <v>1451</v>
      </c>
      <c r="B77" t="s">
        <v>302</v>
      </c>
      <c r="C77" t="s">
        <v>302</v>
      </c>
      <c r="D77" t="s">
        <v>142</v>
      </c>
      <c r="E77" t="s">
        <v>1028</v>
      </c>
      <c r="G77" t="s">
        <v>931</v>
      </c>
      <c r="H77" t="s">
        <v>992</v>
      </c>
      <c r="I77" t="s">
        <v>951</v>
      </c>
      <c r="J77" t="s">
        <v>982</v>
      </c>
      <c r="K77" t="s">
        <v>992</v>
      </c>
      <c r="L77" t="s">
        <v>992</v>
      </c>
      <c r="M77" t="s">
        <v>1051</v>
      </c>
      <c r="N77" t="s">
        <v>1510</v>
      </c>
      <c r="O77" t="s">
        <v>984</v>
      </c>
      <c r="P77" t="s">
        <v>992</v>
      </c>
    </row>
    <row r="78" spans="1:16" x14ac:dyDescent="0.2">
      <c r="A78" t="s">
        <v>1043</v>
      </c>
      <c r="B78" t="s">
        <v>164</v>
      </c>
      <c r="C78" t="s">
        <v>164</v>
      </c>
      <c r="D78" t="s">
        <v>93</v>
      </c>
      <c r="E78" t="s">
        <v>1123</v>
      </c>
      <c r="F78" t="s">
        <v>935</v>
      </c>
      <c r="G78" t="s">
        <v>931</v>
      </c>
      <c r="H78" t="s">
        <v>931</v>
      </c>
      <c r="I78" t="s">
        <v>951</v>
      </c>
      <c r="J78" t="s">
        <v>1016</v>
      </c>
      <c r="K78" t="s">
        <v>992</v>
      </c>
      <c r="L78" t="s">
        <v>931</v>
      </c>
      <c r="M78" t="s">
        <v>1051</v>
      </c>
      <c r="N78" t="s">
        <v>1517</v>
      </c>
      <c r="O78" t="s">
        <v>1506</v>
      </c>
      <c r="P78" t="s">
        <v>992</v>
      </c>
    </row>
    <row r="79" spans="1:16" x14ac:dyDescent="0.2">
      <c r="A79" t="s">
        <v>1518</v>
      </c>
      <c r="B79" t="s">
        <v>148</v>
      </c>
      <c r="C79" t="s">
        <v>148</v>
      </c>
      <c r="D79" t="s">
        <v>1087</v>
      </c>
      <c r="E79" t="s">
        <v>934</v>
      </c>
      <c r="F79" t="s">
        <v>935</v>
      </c>
      <c r="G79" t="s">
        <v>931</v>
      </c>
      <c r="H79" t="s">
        <v>931</v>
      </c>
      <c r="I79" t="s">
        <v>951</v>
      </c>
      <c r="J79" t="s">
        <v>941</v>
      </c>
      <c r="K79" t="s">
        <v>992</v>
      </c>
      <c r="L79" t="s">
        <v>992</v>
      </c>
      <c r="M79" t="s">
        <v>951</v>
      </c>
      <c r="N79" t="s">
        <v>1519</v>
      </c>
      <c r="O79" t="s">
        <v>1147</v>
      </c>
      <c r="P79" t="s">
        <v>931</v>
      </c>
    </row>
    <row r="80" spans="1:16" x14ac:dyDescent="0.2">
      <c r="A80" t="s">
        <v>1520</v>
      </c>
      <c r="B80" t="s">
        <v>173</v>
      </c>
      <c r="C80" t="s">
        <v>173</v>
      </c>
      <c r="D80" t="s">
        <v>139</v>
      </c>
      <c r="E80" t="s">
        <v>1010</v>
      </c>
      <c r="F80" t="s">
        <v>935</v>
      </c>
      <c r="G80" t="s">
        <v>931</v>
      </c>
      <c r="H80" t="s">
        <v>931</v>
      </c>
      <c r="I80" t="s">
        <v>951</v>
      </c>
      <c r="J80" t="s">
        <v>1066</v>
      </c>
      <c r="K80" t="s">
        <v>992</v>
      </c>
      <c r="L80" t="s">
        <v>931</v>
      </c>
      <c r="M80" t="s">
        <v>1075</v>
      </c>
      <c r="N80" t="s">
        <v>1252</v>
      </c>
      <c r="O80" t="s">
        <v>1197</v>
      </c>
      <c r="P80" t="s">
        <v>992</v>
      </c>
    </row>
    <row r="81" spans="1:16" x14ac:dyDescent="0.2">
      <c r="A81" t="s">
        <v>1521</v>
      </c>
      <c r="B81" t="s">
        <v>167</v>
      </c>
      <c r="C81" t="s">
        <v>167</v>
      </c>
      <c r="D81" t="s">
        <v>119</v>
      </c>
      <c r="E81" t="s">
        <v>957</v>
      </c>
      <c r="G81" t="s">
        <v>931</v>
      </c>
      <c r="H81" t="s">
        <v>992</v>
      </c>
      <c r="I81" t="s">
        <v>951</v>
      </c>
      <c r="J81" t="s">
        <v>944</v>
      </c>
      <c r="K81" t="s">
        <v>992</v>
      </c>
      <c r="L81" t="s">
        <v>931</v>
      </c>
      <c r="M81" t="s">
        <v>1064</v>
      </c>
      <c r="N81" t="s">
        <v>1148</v>
      </c>
      <c r="O81" t="s">
        <v>1522</v>
      </c>
      <c r="P81" t="s">
        <v>992</v>
      </c>
    </row>
    <row r="82" spans="1:16" x14ac:dyDescent="0.2">
      <c r="A82" t="s">
        <v>1091</v>
      </c>
      <c r="B82" t="s">
        <v>249</v>
      </c>
      <c r="C82" t="s">
        <v>249</v>
      </c>
      <c r="D82" t="s">
        <v>122</v>
      </c>
      <c r="E82" t="s">
        <v>934</v>
      </c>
      <c r="G82" t="s">
        <v>931</v>
      </c>
      <c r="H82" t="s">
        <v>992</v>
      </c>
      <c r="I82" t="s">
        <v>951</v>
      </c>
      <c r="J82" t="s">
        <v>1075</v>
      </c>
      <c r="K82" t="s">
        <v>992</v>
      </c>
      <c r="L82" t="s">
        <v>931</v>
      </c>
      <c r="M82" t="s">
        <v>1009</v>
      </c>
      <c r="N82" t="s">
        <v>1216</v>
      </c>
      <c r="O82" t="s">
        <v>1105</v>
      </c>
      <c r="P82" t="s">
        <v>992</v>
      </c>
    </row>
    <row r="83" spans="1:16" x14ac:dyDescent="0.2">
      <c r="A83" t="s">
        <v>1523</v>
      </c>
      <c r="B83" t="s">
        <v>181</v>
      </c>
      <c r="C83" t="s">
        <v>181</v>
      </c>
      <c r="D83" t="s">
        <v>1087</v>
      </c>
      <c r="E83" t="s">
        <v>965</v>
      </c>
      <c r="G83" t="s">
        <v>931</v>
      </c>
      <c r="H83" t="s">
        <v>992</v>
      </c>
      <c r="I83" t="s">
        <v>951</v>
      </c>
      <c r="J83" t="s">
        <v>941</v>
      </c>
      <c r="K83" t="s">
        <v>992</v>
      </c>
      <c r="L83" t="s">
        <v>992</v>
      </c>
      <c r="M83" t="s">
        <v>941</v>
      </c>
      <c r="N83" t="s">
        <v>1519</v>
      </c>
      <c r="O83" t="s">
        <v>1147</v>
      </c>
      <c r="P83" t="s">
        <v>992</v>
      </c>
    </row>
    <row r="84" spans="1:16" x14ac:dyDescent="0.2">
      <c r="A84" t="s">
        <v>1524</v>
      </c>
      <c r="B84" t="s">
        <v>1525</v>
      </c>
      <c r="C84" t="s">
        <v>1525</v>
      </c>
      <c r="D84" t="s">
        <v>729</v>
      </c>
      <c r="E84" t="s">
        <v>1023</v>
      </c>
      <c r="G84" t="s">
        <v>931</v>
      </c>
      <c r="H84" t="s">
        <v>992</v>
      </c>
      <c r="I84" t="s">
        <v>951</v>
      </c>
      <c r="J84" t="s">
        <v>1066</v>
      </c>
      <c r="K84" t="s">
        <v>992</v>
      </c>
      <c r="L84" t="s">
        <v>941</v>
      </c>
      <c r="M84" t="s">
        <v>1086</v>
      </c>
      <c r="N84" t="s">
        <v>1252</v>
      </c>
      <c r="O84" t="s">
        <v>1197</v>
      </c>
      <c r="P84" t="s">
        <v>992</v>
      </c>
    </row>
    <row r="85" spans="1:16" x14ac:dyDescent="0.2">
      <c r="A85" t="s">
        <v>1526</v>
      </c>
      <c r="B85" t="s">
        <v>187</v>
      </c>
      <c r="C85" t="s">
        <v>187</v>
      </c>
      <c r="D85" t="s">
        <v>142</v>
      </c>
      <c r="E85" t="s">
        <v>1123</v>
      </c>
      <c r="G85" t="s">
        <v>931</v>
      </c>
      <c r="H85" t="s">
        <v>992</v>
      </c>
      <c r="I85" t="s">
        <v>941</v>
      </c>
      <c r="J85" t="s">
        <v>982</v>
      </c>
      <c r="K85" t="s">
        <v>992</v>
      </c>
      <c r="L85" t="s">
        <v>941</v>
      </c>
      <c r="M85" t="s">
        <v>941</v>
      </c>
      <c r="N85" t="s">
        <v>1147</v>
      </c>
      <c r="O85" t="s">
        <v>984</v>
      </c>
      <c r="P85" t="s">
        <v>992</v>
      </c>
    </row>
    <row r="86" spans="1:16" x14ac:dyDescent="0.2">
      <c r="A86" t="s">
        <v>1431</v>
      </c>
      <c r="B86" t="s">
        <v>1527</v>
      </c>
      <c r="C86" t="s">
        <v>1527</v>
      </c>
      <c r="D86" t="s">
        <v>725</v>
      </c>
      <c r="E86" t="s">
        <v>1010</v>
      </c>
      <c r="G86" t="s">
        <v>931</v>
      </c>
      <c r="H86" t="s">
        <v>992</v>
      </c>
      <c r="I86" t="s">
        <v>941</v>
      </c>
      <c r="J86" t="s">
        <v>1009</v>
      </c>
      <c r="K86" t="s">
        <v>992</v>
      </c>
      <c r="L86" t="s">
        <v>992</v>
      </c>
      <c r="M86" t="s">
        <v>951</v>
      </c>
      <c r="N86" t="s">
        <v>1133</v>
      </c>
      <c r="O86" t="s">
        <v>1026</v>
      </c>
      <c r="P86" t="s">
        <v>992</v>
      </c>
    </row>
    <row r="87" spans="1:16" x14ac:dyDescent="0.2">
      <c r="A87" t="s">
        <v>1528</v>
      </c>
      <c r="B87" t="s">
        <v>1230</v>
      </c>
      <c r="C87" t="s">
        <v>1230</v>
      </c>
      <c r="D87" t="s">
        <v>727</v>
      </c>
      <c r="E87" t="s">
        <v>937</v>
      </c>
      <c r="F87" t="s">
        <v>935</v>
      </c>
      <c r="G87" t="s">
        <v>931</v>
      </c>
      <c r="H87" t="s">
        <v>931</v>
      </c>
      <c r="I87" t="s">
        <v>941</v>
      </c>
      <c r="J87" t="s">
        <v>1048</v>
      </c>
      <c r="K87" t="s">
        <v>992</v>
      </c>
      <c r="L87" t="s">
        <v>931</v>
      </c>
      <c r="M87" t="s">
        <v>1064</v>
      </c>
      <c r="N87" t="s">
        <v>1057</v>
      </c>
      <c r="O87" t="s">
        <v>1294</v>
      </c>
      <c r="P87" t="s">
        <v>931</v>
      </c>
    </row>
    <row r="88" spans="1:16" x14ac:dyDescent="0.2">
      <c r="A88" t="s">
        <v>1421</v>
      </c>
      <c r="B88" t="s">
        <v>1529</v>
      </c>
      <c r="C88" t="s">
        <v>1529</v>
      </c>
      <c r="D88" t="s">
        <v>108</v>
      </c>
      <c r="E88" t="s">
        <v>1023</v>
      </c>
      <c r="G88" t="s">
        <v>931</v>
      </c>
      <c r="H88" t="s">
        <v>992</v>
      </c>
      <c r="I88" t="s">
        <v>941</v>
      </c>
      <c r="J88" t="s">
        <v>985</v>
      </c>
      <c r="K88" t="s">
        <v>992</v>
      </c>
      <c r="L88" t="s">
        <v>931</v>
      </c>
      <c r="M88" t="s">
        <v>1048</v>
      </c>
      <c r="N88" t="s">
        <v>1045</v>
      </c>
      <c r="O88" t="s">
        <v>1498</v>
      </c>
      <c r="P88" t="s">
        <v>992</v>
      </c>
    </row>
    <row r="89" spans="1:16" x14ac:dyDescent="0.2">
      <c r="A89" t="s">
        <v>1458</v>
      </c>
      <c r="B89" t="s">
        <v>156</v>
      </c>
      <c r="C89" t="s">
        <v>156</v>
      </c>
      <c r="D89" t="s">
        <v>1257</v>
      </c>
      <c r="E89" t="s">
        <v>966</v>
      </c>
      <c r="G89" t="s">
        <v>931</v>
      </c>
      <c r="H89" t="s">
        <v>992</v>
      </c>
      <c r="I89" t="s">
        <v>941</v>
      </c>
      <c r="J89" t="s">
        <v>931</v>
      </c>
      <c r="K89" t="s">
        <v>992</v>
      </c>
      <c r="L89" t="s">
        <v>931</v>
      </c>
      <c r="M89" t="s">
        <v>941</v>
      </c>
      <c r="N89" t="s">
        <v>1530</v>
      </c>
      <c r="O89" t="s">
        <v>1503</v>
      </c>
      <c r="P89" t="s">
        <v>992</v>
      </c>
    </row>
    <row r="90" spans="1:16" x14ac:dyDescent="0.2">
      <c r="A90" t="s">
        <v>1531</v>
      </c>
      <c r="B90" t="s">
        <v>1532</v>
      </c>
      <c r="C90" t="s">
        <v>1532</v>
      </c>
      <c r="D90" t="s">
        <v>102</v>
      </c>
      <c r="E90" t="s">
        <v>937</v>
      </c>
      <c r="F90" t="s">
        <v>1533</v>
      </c>
      <c r="G90" t="s">
        <v>931</v>
      </c>
      <c r="H90" t="s">
        <v>931</v>
      </c>
      <c r="I90" t="s">
        <v>941</v>
      </c>
      <c r="J90" t="s">
        <v>992</v>
      </c>
      <c r="K90" t="s">
        <v>992</v>
      </c>
      <c r="L90" t="s">
        <v>992</v>
      </c>
      <c r="M90" t="s">
        <v>992</v>
      </c>
      <c r="N90" t="s">
        <v>995</v>
      </c>
      <c r="O90" t="s">
        <v>995</v>
      </c>
      <c r="P90" t="s">
        <v>931</v>
      </c>
    </row>
    <row r="91" spans="1:16" x14ac:dyDescent="0.2">
      <c r="A91" t="s">
        <v>1534</v>
      </c>
      <c r="B91" t="s">
        <v>178</v>
      </c>
      <c r="C91" t="s">
        <v>178</v>
      </c>
      <c r="D91" t="s">
        <v>82</v>
      </c>
      <c r="E91" t="s">
        <v>1123</v>
      </c>
      <c r="F91" t="s">
        <v>1298</v>
      </c>
      <c r="G91" t="s">
        <v>931</v>
      </c>
      <c r="H91" t="s">
        <v>931</v>
      </c>
      <c r="I91" t="s">
        <v>941</v>
      </c>
      <c r="J91" t="s">
        <v>1048</v>
      </c>
      <c r="K91" t="s">
        <v>931</v>
      </c>
      <c r="L91" t="s">
        <v>941</v>
      </c>
      <c r="M91" t="s">
        <v>1051</v>
      </c>
      <c r="N91" t="s">
        <v>1057</v>
      </c>
      <c r="O91" t="s">
        <v>1294</v>
      </c>
      <c r="P91" t="s">
        <v>992</v>
      </c>
    </row>
    <row r="92" spans="1:16" x14ac:dyDescent="0.2">
      <c r="A92" t="s">
        <v>1535</v>
      </c>
      <c r="B92" t="s">
        <v>547</v>
      </c>
      <c r="C92" t="s">
        <v>547</v>
      </c>
      <c r="D92" t="s">
        <v>77</v>
      </c>
      <c r="E92" t="s">
        <v>952</v>
      </c>
      <c r="G92" t="s">
        <v>931</v>
      </c>
      <c r="H92" t="s">
        <v>992</v>
      </c>
      <c r="I92" t="s">
        <v>941</v>
      </c>
      <c r="J92" t="s">
        <v>1064</v>
      </c>
      <c r="K92" t="s">
        <v>992</v>
      </c>
      <c r="L92" t="s">
        <v>992</v>
      </c>
      <c r="M92" t="s">
        <v>1051</v>
      </c>
      <c r="N92" t="s">
        <v>1429</v>
      </c>
      <c r="O92" t="s">
        <v>1115</v>
      </c>
      <c r="P92" t="s">
        <v>992</v>
      </c>
    </row>
    <row r="93" spans="1:16" x14ac:dyDescent="0.2">
      <c r="A93" t="s">
        <v>902</v>
      </c>
      <c r="B93" t="s">
        <v>903</v>
      </c>
      <c r="C93" t="s">
        <v>903</v>
      </c>
      <c r="D93" t="s">
        <v>1314</v>
      </c>
      <c r="E93" t="s">
        <v>905</v>
      </c>
      <c r="F93" t="s">
        <v>906</v>
      </c>
      <c r="G93" t="s">
        <v>1315</v>
      </c>
      <c r="H93" t="s">
        <v>1316</v>
      </c>
      <c r="I93" t="s">
        <v>1319</v>
      </c>
      <c r="J93" t="s">
        <v>799</v>
      </c>
      <c r="K93" t="s">
        <v>800</v>
      </c>
      <c r="L93" t="s">
        <v>1321</v>
      </c>
      <c r="M93" t="s">
        <v>917</v>
      </c>
      <c r="N93" t="s">
        <v>1322</v>
      </c>
      <c r="O93" t="s">
        <v>1325</v>
      </c>
      <c r="P93" t="s">
        <v>1416</v>
      </c>
    </row>
    <row r="94" spans="1:16" x14ac:dyDescent="0.2">
      <c r="A94" t="s">
        <v>1428</v>
      </c>
      <c r="B94" t="s">
        <v>199</v>
      </c>
      <c r="C94" t="s">
        <v>199</v>
      </c>
      <c r="D94" t="s">
        <v>1087</v>
      </c>
      <c r="E94" t="s">
        <v>1123</v>
      </c>
      <c r="F94" t="s">
        <v>1392</v>
      </c>
      <c r="G94" t="s">
        <v>931</v>
      </c>
      <c r="H94" t="s">
        <v>931</v>
      </c>
      <c r="I94" t="s">
        <v>941</v>
      </c>
      <c r="J94" t="s">
        <v>1032</v>
      </c>
      <c r="K94" t="s">
        <v>992</v>
      </c>
      <c r="L94" t="s">
        <v>931</v>
      </c>
      <c r="M94" t="s">
        <v>1086</v>
      </c>
      <c r="N94" t="s">
        <v>1105</v>
      </c>
      <c r="O94" t="s">
        <v>1497</v>
      </c>
      <c r="P94" t="s">
        <v>992</v>
      </c>
    </row>
    <row r="95" spans="1:16" x14ac:dyDescent="0.2">
      <c r="A95" t="s">
        <v>1439</v>
      </c>
      <c r="B95" t="s">
        <v>472</v>
      </c>
      <c r="C95" t="s">
        <v>472</v>
      </c>
      <c r="D95" t="s">
        <v>119</v>
      </c>
      <c r="E95" t="s">
        <v>985</v>
      </c>
      <c r="G95" t="s">
        <v>931</v>
      </c>
      <c r="H95" t="s">
        <v>992</v>
      </c>
      <c r="I95" t="s">
        <v>941</v>
      </c>
      <c r="J95" t="s">
        <v>1064</v>
      </c>
      <c r="K95" t="s">
        <v>992</v>
      </c>
      <c r="L95" t="s">
        <v>992</v>
      </c>
      <c r="M95" t="s">
        <v>1009</v>
      </c>
      <c r="N95" t="s">
        <v>1429</v>
      </c>
      <c r="O95" t="s">
        <v>1115</v>
      </c>
      <c r="P95" t="s">
        <v>992</v>
      </c>
    </row>
    <row r="96" spans="1:16" x14ac:dyDescent="0.2">
      <c r="A96" t="s">
        <v>1536</v>
      </c>
      <c r="B96" t="s">
        <v>351</v>
      </c>
      <c r="C96" t="s">
        <v>351</v>
      </c>
      <c r="D96" t="s">
        <v>108</v>
      </c>
      <c r="E96" t="s">
        <v>1088</v>
      </c>
      <c r="G96" t="s">
        <v>931</v>
      </c>
      <c r="H96" t="s">
        <v>992</v>
      </c>
      <c r="I96" t="s">
        <v>941</v>
      </c>
      <c r="J96" t="s">
        <v>1051</v>
      </c>
      <c r="K96" t="s">
        <v>992</v>
      </c>
      <c r="L96" t="s">
        <v>992</v>
      </c>
      <c r="M96" t="s">
        <v>982</v>
      </c>
      <c r="N96" t="s">
        <v>984</v>
      </c>
      <c r="O96" t="s">
        <v>983</v>
      </c>
      <c r="P96" t="s">
        <v>992</v>
      </c>
    </row>
    <row r="97" spans="1:16" x14ac:dyDescent="0.2">
      <c r="A97" t="s">
        <v>1537</v>
      </c>
      <c r="B97" t="s">
        <v>128</v>
      </c>
      <c r="C97" t="s">
        <v>128</v>
      </c>
      <c r="D97" t="s">
        <v>101</v>
      </c>
      <c r="E97" t="s">
        <v>997</v>
      </c>
      <c r="F97" t="s">
        <v>935</v>
      </c>
      <c r="G97" t="s">
        <v>931</v>
      </c>
      <c r="H97" t="s">
        <v>931</v>
      </c>
      <c r="I97" t="s">
        <v>941</v>
      </c>
      <c r="J97" t="s">
        <v>1051</v>
      </c>
      <c r="K97" t="s">
        <v>992</v>
      </c>
      <c r="L97" t="s">
        <v>992</v>
      </c>
      <c r="M97" t="s">
        <v>1051</v>
      </c>
      <c r="N97" t="s">
        <v>984</v>
      </c>
      <c r="O97" t="s">
        <v>983</v>
      </c>
      <c r="P97" t="s">
        <v>931</v>
      </c>
    </row>
    <row r="98" spans="1:16" x14ac:dyDescent="0.2">
      <c r="A98" t="s">
        <v>1538</v>
      </c>
      <c r="B98" t="s">
        <v>508</v>
      </c>
      <c r="C98" t="s">
        <v>508</v>
      </c>
      <c r="D98" t="s">
        <v>101</v>
      </c>
      <c r="E98" t="s">
        <v>1123</v>
      </c>
      <c r="G98" t="s">
        <v>931</v>
      </c>
      <c r="H98" t="s">
        <v>992</v>
      </c>
      <c r="I98" t="s">
        <v>941</v>
      </c>
      <c r="J98" t="s">
        <v>1048</v>
      </c>
      <c r="K98" t="s">
        <v>992</v>
      </c>
      <c r="L98" t="s">
        <v>931</v>
      </c>
      <c r="M98" t="s">
        <v>1051</v>
      </c>
      <c r="N98" t="s">
        <v>1057</v>
      </c>
      <c r="O98" t="s">
        <v>1294</v>
      </c>
      <c r="P98" t="s">
        <v>992</v>
      </c>
    </row>
    <row r="99" spans="1:16" x14ac:dyDescent="0.2">
      <c r="A99" t="s">
        <v>1539</v>
      </c>
      <c r="B99" t="s">
        <v>116</v>
      </c>
      <c r="C99" t="s">
        <v>116</v>
      </c>
      <c r="D99" t="s">
        <v>77</v>
      </c>
      <c r="E99" t="s">
        <v>996</v>
      </c>
      <c r="F99" t="s">
        <v>935</v>
      </c>
      <c r="G99" t="s">
        <v>931</v>
      </c>
      <c r="H99" t="s">
        <v>931</v>
      </c>
      <c r="I99" t="s">
        <v>941</v>
      </c>
      <c r="J99" t="s">
        <v>944</v>
      </c>
      <c r="K99" t="s">
        <v>931</v>
      </c>
      <c r="L99" t="s">
        <v>941</v>
      </c>
      <c r="M99" t="s">
        <v>1144</v>
      </c>
      <c r="N99" t="s">
        <v>1137</v>
      </c>
      <c r="O99" t="s">
        <v>1522</v>
      </c>
      <c r="P99" t="s">
        <v>941</v>
      </c>
    </row>
    <row r="100" spans="1:16" x14ac:dyDescent="0.2">
      <c r="A100" t="s">
        <v>1540</v>
      </c>
      <c r="B100" t="s">
        <v>369</v>
      </c>
      <c r="C100" t="s">
        <v>369</v>
      </c>
      <c r="D100" t="s">
        <v>73</v>
      </c>
      <c r="E100" t="s">
        <v>957</v>
      </c>
      <c r="G100" t="s">
        <v>931</v>
      </c>
      <c r="H100" t="s">
        <v>992</v>
      </c>
      <c r="I100" t="s">
        <v>931</v>
      </c>
      <c r="J100" t="s">
        <v>982</v>
      </c>
      <c r="K100" t="s">
        <v>992</v>
      </c>
      <c r="L100" t="s">
        <v>992</v>
      </c>
      <c r="M100" t="s">
        <v>982</v>
      </c>
      <c r="N100" t="s">
        <v>984</v>
      </c>
      <c r="O100" t="s">
        <v>984</v>
      </c>
      <c r="P100" t="s">
        <v>992</v>
      </c>
    </row>
    <row r="101" spans="1:16" x14ac:dyDescent="0.2">
      <c r="A101" t="s">
        <v>1541</v>
      </c>
      <c r="B101" t="s">
        <v>648</v>
      </c>
      <c r="C101" t="s">
        <v>648</v>
      </c>
      <c r="D101" t="s">
        <v>1040</v>
      </c>
      <c r="E101" t="s">
        <v>934</v>
      </c>
      <c r="G101" t="s">
        <v>931</v>
      </c>
      <c r="H101" t="s">
        <v>992</v>
      </c>
      <c r="I101" t="s">
        <v>931</v>
      </c>
      <c r="J101" t="s">
        <v>941</v>
      </c>
      <c r="K101" t="s">
        <v>992</v>
      </c>
      <c r="L101" t="s">
        <v>931</v>
      </c>
      <c r="M101" t="s">
        <v>941</v>
      </c>
      <c r="N101" t="s">
        <v>1147</v>
      </c>
      <c r="O101" t="s">
        <v>1147</v>
      </c>
      <c r="P101" t="s">
        <v>992</v>
      </c>
    </row>
    <row r="102" spans="1:16" x14ac:dyDescent="0.2">
      <c r="A102" t="s">
        <v>1424</v>
      </c>
      <c r="B102" t="s">
        <v>456</v>
      </c>
      <c r="C102" t="s">
        <v>456</v>
      </c>
      <c r="D102" t="s">
        <v>1122</v>
      </c>
      <c r="E102" t="s">
        <v>966</v>
      </c>
      <c r="G102" t="s">
        <v>931</v>
      </c>
      <c r="H102" t="s">
        <v>992</v>
      </c>
      <c r="I102" t="s">
        <v>931</v>
      </c>
      <c r="J102" t="s">
        <v>1009</v>
      </c>
      <c r="K102" t="s">
        <v>992</v>
      </c>
      <c r="L102" t="s">
        <v>992</v>
      </c>
      <c r="M102" t="s">
        <v>1009</v>
      </c>
      <c r="N102" t="s">
        <v>1026</v>
      </c>
      <c r="O102" t="s">
        <v>1026</v>
      </c>
      <c r="P102" t="s">
        <v>992</v>
      </c>
    </row>
    <row r="103" spans="1:16" x14ac:dyDescent="0.2">
      <c r="A103" t="s">
        <v>1542</v>
      </c>
      <c r="B103" t="s">
        <v>1543</v>
      </c>
      <c r="C103" t="s">
        <v>1543</v>
      </c>
      <c r="D103" t="s">
        <v>976</v>
      </c>
      <c r="E103" t="s">
        <v>996</v>
      </c>
      <c r="F103" t="s">
        <v>1298</v>
      </c>
      <c r="G103" t="s">
        <v>931</v>
      </c>
      <c r="H103" t="s">
        <v>931</v>
      </c>
      <c r="I103" t="s">
        <v>931</v>
      </c>
      <c r="J103" t="s">
        <v>1027</v>
      </c>
      <c r="K103" t="s">
        <v>992</v>
      </c>
      <c r="L103" t="s">
        <v>992</v>
      </c>
      <c r="M103" t="s">
        <v>1027</v>
      </c>
      <c r="N103" t="s">
        <v>1306</v>
      </c>
      <c r="O103" t="s">
        <v>1306</v>
      </c>
      <c r="P103" t="s">
        <v>992</v>
      </c>
    </row>
    <row r="104" spans="1:16" x14ac:dyDescent="0.2">
      <c r="A104" t="s">
        <v>1423</v>
      </c>
      <c r="B104" t="s">
        <v>1544</v>
      </c>
      <c r="C104" t="s">
        <v>1544</v>
      </c>
      <c r="D104" t="s">
        <v>725</v>
      </c>
      <c r="E104" t="s">
        <v>1023</v>
      </c>
      <c r="F104" t="s">
        <v>1298</v>
      </c>
      <c r="G104" t="s">
        <v>931</v>
      </c>
      <c r="H104" t="s">
        <v>931</v>
      </c>
      <c r="I104" t="s">
        <v>931</v>
      </c>
      <c r="J104" t="s">
        <v>1009</v>
      </c>
      <c r="K104" t="s">
        <v>992</v>
      </c>
      <c r="L104" t="s">
        <v>931</v>
      </c>
      <c r="M104" t="s">
        <v>1009</v>
      </c>
      <c r="N104" t="s">
        <v>1026</v>
      </c>
      <c r="O104" t="s">
        <v>1026</v>
      </c>
      <c r="P104" t="s">
        <v>992</v>
      </c>
    </row>
    <row r="105" spans="1:16" x14ac:dyDescent="0.2">
      <c r="A105" t="s">
        <v>1462</v>
      </c>
      <c r="B105" t="s">
        <v>132</v>
      </c>
      <c r="C105" t="s">
        <v>132</v>
      </c>
      <c r="D105" t="s">
        <v>74</v>
      </c>
      <c r="E105" t="s">
        <v>1088</v>
      </c>
      <c r="F105" t="s">
        <v>935</v>
      </c>
      <c r="G105" t="s">
        <v>931</v>
      </c>
      <c r="H105" t="s">
        <v>931</v>
      </c>
      <c r="I105" t="s">
        <v>931</v>
      </c>
      <c r="J105" t="s">
        <v>941</v>
      </c>
      <c r="K105" t="s">
        <v>992</v>
      </c>
      <c r="L105" t="s">
        <v>931</v>
      </c>
      <c r="M105" t="s">
        <v>941</v>
      </c>
      <c r="N105" t="s">
        <v>1147</v>
      </c>
      <c r="O105" t="s">
        <v>1147</v>
      </c>
      <c r="P105" t="s">
        <v>992</v>
      </c>
    </row>
    <row r="106" spans="1:16" x14ac:dyDescent="0.2">
      <c r="A106" t="s">
        <v>1545</v>
      </c>
      <c r="B106" t="s">
        <v>564</v>
      </c>
      <c r="C106" t="s">
        <v>564</v>
      </c>
      <c r="D106" t="s">
        <v>1040</v>
      </c>
      <c r="E106" t="s">
        <v>1123</v>
      </c>
      <c r="G106" t="s">
        <v>931</v>
      </c>
      <c r="H106" t="s">
        <v>992</v>
      </c>
      <c r="I106" t="s">
        <v>931</v>
      </c>
      <c r="J106" t="s">
        <v>941</v>
      </c>
      <c r="K106" t="s">
        <v>992</v>
      </c>
      <c r="L106" t="s">
        <v>931</v>
      </c>
      <c r="M106" t="s">
        <v>941</v>
      </c>
      <c r="N106" t="s">
        <v>1147</v>
      </c>
      <c r="O106" t="s">
        <v>1147</v>
      </c>
      <c r="P106" t="s">
        <v>992</v>
      </c>
    </row>
    <row r="107" spans="1:16" x14ac:dyDescent="0.2">
      <c r="A107" t="s">
        <v>1546</v>
      </c>
      <c r="B107" t="s">
        <v>263</v>
      </c>
      <c r="C107" t="s">
        <v>263</v>
      </c>
      <c r="D107" t="s">
        <v>74</v>
      </c>
      <c r="E107" t="s">
        <v>965</v>
      </c>
      <c r="F107" t="s">
        <v>1298</v>
      </c>
      <c r="G107" t="s">
        <v>931</v>
      </c>
      <c r="H107" t="s">
        <v>931</v>
      </c>
      <c r="I107" t="s">
        <v>931</v>
      </c>
      <c r="J107" t="s">
        <v>1547</v>
      </c>
      <c r="K107" t="s">
        <v>992</v>
      </c>
      <c r="L107" t="s">
        <v>992</v>
      </c>
      <c r="M107" t="s">
        <v>1547</v>
      </c>
      <c r="N107" t="s">
        <v>1548</v>
      </c>
      <c r="O107" t="s">
        <v>1548</v>
      </c>
      <c r="P107" t="s">
        <v>992</v>
      </c>
    </row>
    <row r="108" spans="1:16" x14ac:dyDescent="0.2">
      <c r="A108" t="s">
        <v>1434</v>
      </c>
      <c r="B108" t="s">
        <v>222</v>
      </c>
      <c r="C108" t="s">
        <v>222</v>
      </c>
      <c r="D108" t="s">
        <v>99</v>
      </c>
      <c r="E108" t="s">
        <v>1028</v>
      </c>
      <c r="G108" t="s">
        <v>931</v>
      </c>
      <c r="H108" t="s">
        <v>992</v>
      </c>
      <c r="I108" t="s">
        <v>931</v>
      </c>
      <c r="J108" t="s">
        <v>1088</v>
      </c>
      <c r="K108" t="s">
        <v>992</v>
      </c>
      <c r="L108" t="s">
        <v>931</v>
      </c>
      <c r="M108" t="s">
        <v>1088</v>
      </c>
      <c r="N108" t="s">
        <v>1260</v>
      </c>
      <c r="O108" t="s">
        <v>1260</v>
      </c>
      <c r="P108" t="s">
        <v>992</v>
      </c>
    </row>
    <row r="109" spans="1:16" x14ac:dyDescent="0.2">
      <c r="A109" t="s">
        <v>1549</v>
      </c>
      <c r="B109" t="s">
        <v>277</v>
      </c>
      <c r="C109" t="s">
        <v>277</v>
      </c>
      <c r="D109" t="s">
        <v>1267</v>
      </c>
      <c r="E109" t="s">
        <v>966</v>
      </c>
      <c r="G109" t="s">
        <v>931</v>
      </c>
      <c r="H109" t="s">
        <v>992</v>
      </c>
      <c r="I109" t="s">
        <v>931</v>
      </c>
      <c r="J109" t="s">
        <v>931</v>
      </c>
      <c r="K109" t="s">
        <v>992</v>
      </c>
      <c r="L109" t="s">
        <v>992</v>
      </c>
      <c r="M109" t="s">
        <v>931</v>
      </c>
      <c r="N109" t="s">
        <v>1503</v>
      </c>
      <c r="O109" t="s">
        <v>1503</v>
      </c>
      <c r="P109" t="s">
        <v>992</v>
      </c>
    </row>
    <row r="110" spans="1:16" x14ac:dyDescent="0.2">
      <c r="A110" t="s">
        <v>1550</v>
      </c>
      <c r="B110" t="s">
        <v>428</v>
      </c>
      <c r="C110" t="s">
        <v>428</v>
      </c>
      <c r="D110" t="s">
        <v>108</v>
      </c>
      <c r="E110" t="s">
        <v>1028</v>
      </c>
      <c r="G110" t="s">
        <v>931</v>
      </c>
      <c r="H110" t="s">
        <v>992</v>
      </c>
      <c r="I110" t="s">
        <v>931</v>
      </c>
      <c r="J110" t="s">
        <v>1009</v>
      </c>
      <c r="K110" t="s">
        <v>992</v>
      </c>
      <c r="L110" t="s">
        <v>931</v>
      </c>
      <c r="M110" t="s">
        <v>1009</v>
      </c>
      <c r="N110" t="s">
        <v>1026</v>
      </c>
      <c r="O110" t="s">
        <v>1026</v>
      </c>
      <c r="P110" t="s">
        <v>992</v>
      </c>
    </row>
    <row r="111" spans="1:16" x14ac:dyDescent="0.2">
      <c r="A111" t="s">
        <v>1551</v>
      </c>
      <c r="B111" t="s">
        <v>1302</v>
      </c>
      <c r="C111" t="s">
        <v>1302</v>
      </c>
      <c r="D111" t="s">
        <v>727</v>
      </c>
      <c r="E111" t="s">
        <v>985</v>
      </c>
      <c r="G111" t="s">
        <v>931</v>
      </c>
      <c r="H111" t="s">
        <v>992</v>
      </c>
      <c r="I111" t="s">
        <v>931</v>
      </c>
      <c r="J111" t="s">
        <v>951</v>
      </c>
      <c r="K111" t="s">
        <v>931</v>
      </c>
      <c r="L111" t="s">
        <v>931</v>
      </c>
      <c r="M111" t="s">
        <v>951</v>
      </c>
      <c r="N111" t="s">
        <v>1311</v>
      </c>
      <c r="O111" t="s">
        <v>1311</v>
      </c>
      <c r="P111" t="s">
        <v>992</v>
      </c>
    </row>
    <row r="112" spans="1:16" x14ac:dyDescent="0.2">
      <c r="A112" t="s">
        <v>1447</v>
      </c>
      <c r="B112" t="s">
        <v>166</v>
      </c>
      <c r="C112" t="s">
        <v>166</v>
      </c>
      <c r="D112" t="s">
        <v>119</v>
      </c>
      <c r="E112" t="s">
        <v>1124</v>
      </c>
      <c r="F112" t="s">
        <v>935</v>
      </c>
      <c r="G112" t="s">
        <v>931</v>
      </c>
      <c r="H112" t="s">
        <v>931</v>
      </c>
      <c r="I112" t="s">
        <v>931</v>
      </c>
      <c r="J112" t="s">
        <v>941</v>
      </c>
      <c r="K112" t="s">
        <v>992</v>
      </c>
      <c r="L112" t="s">
        <v>992</v>
      </c>
      <c r="M112" t="s">
        <v>941</v>
      </c>
      <c r="N112" t="s">
        <v>1147</v>
      </c>
      <c r="O112" t="s">
        <v>1147</v>
      </c>
      <c r="P112" t="s">
        <v>931</v>
      </c>
    </row>
    <row r="113" spans="1:16" x14ac:dyDescent="0.2">
      <c r="A113" t="s">
        <v>1552</v>
      </c>
      <c r="B113" t="s">
        <v>1553</v>
      </c>
      <c r="C113" t="s">
        <v>1553</v>
      </c>
      <c r="D113" t="s">
        <v>82</v>
      </c>
      <c r="E113" t="s">
        <v>1023</v>
      </c>
      <c r="F113" t="s">
        <v>1399</v>
      </c>
      <c r="G113" t="s">
        <v>931</v>
      </c>
      <c r="H113" t="s">
        <v>992</v>
      </c>
      <c r="I113" t="s">
        <v>931</v>
      </c>
      <c r="J113" t="s">
        <v>992</v>
      </c>
      <c r="K113" t="s">
        <v>992</v>
      </c>
      <c r="L113" t="s">
        <v>992</v>
      </c>
      <c r="M113" t="s">
        <v>1554</v>
      </c>
      <c r="N113" t="s">
        <v>995</v>
      </c>
      <c r="O113" t="s">
        <v>995</v>
      </c>
      <c r="P113" t="s">
        <v>931</v>
      </c>
    </row>
    <row r="114" spans="1:16" x14ac:dyDescent="0.2">
      <c r="A114" t="s">
        <v>1555</v>
      </c>
      <c r="B114" t="s">
        <v>1556</v>
      </c>
      <c r="C114" t="s">
        <v>1556</v>
      </c>
      <c r="D114" t="s">
        <v>727</v>
      </c>
      <c r="E114" t="s">
        <v>966</v>
      </c>
      <c r="G114" t="s">
        <v>931</v>
      </c>
      <c r="H114" t="s">
        <v>992</v>
      </c>
      <c r="I114" t="s">
        <v>931</v>
      </c>
      <c r="J114" t="s">
        <v>1547</v>
      </c>
      <c r="K114" t="s">
        <v>992</v>
      </c>
      <c r="L114" t="s">
        <v>992</v>
      </c>
      <c r="M114" t="s">
        <v>1547</v>
      </c>
      <c r="N114" t="s">
        <v>1548</v>
      </c>
      <c r="O114" t="s">
        <v>1548</v>
      </c>
      <c r="P114" t="s">
        <v>992</v>
      </c>
    </row>
    <row r="115" spans="1:16" x14ac:dyDescent="0.2">
      <c r="A115" t="s">
        <v>1557</v>
      </c>
      <c r="B115" t="s">
        <v>1558</v>
      </c>
      <c r="C115" t="s">
        <v>1558</v>
      </c>
      <c r="D115" t="s">
        <v>1087</v>
      </c>
      <c r="E115" t="s">
        <v>1088</v>
      </c>
      <c r="G115" t="s">
        <v>931</v>
      </c>
      <c r="H115" t="s">
        <v>992</v>
      </c>
      <c r="I115" t="s">
        <v>931</v>
      </c>
      <c r="J115" t="s">
        <v>951</v>
      </c>
      <c r="K115" t="s">
        <v>931</v>
      </c>
      <c r="L115" t="s">
        <v>931</v>
      </c>
      <c r="M115" t="s">
        <v>951</v>
      </c>
      <c r="N115" t="s">
        <v>1311</v>
      </c>
      <c r="O115" t="s">
        <v>1311</v>
      </c>
      <c r="P115" t="s">
        <v>992</v>
      </c>
    </row>
    <row r="116" spans="1:16" x14ac:dyDescent="0.2">
      <c r="A116" t="s">
        <v>1559</v>
      </c>
      <c r="B116" t="s">
        <v>90</v>
      </c>
      <c r="C116" t="s">
        <v>90</v>
      </c>
      <c r="D116" t="s">
        <v>1040</v>
      </c>
      <c r="E116" t="s">
        <v>1010</v>
      </c>
      <c r="F116" t="s">
        <v>1298</v>
      </c>
      <c r="G116" t="s">
        <v>931</v>
      </c>
      <c r="H116" t="s">
        <v>931</v>
      </c>
      <c r="I116" t="s">
        <v>931</v>
      </c>
      <c r="J116" t="s">
        <v>982</v>
      </c>
      <c r="K116" t="s">
        <v>992</v>
      </c>
      <c r="L116" t="s">
        <v>992</v>
      </c>
      <c r="M116" t="s">
        <v>982</v>
      </c>
      <c r="N116" t="s">
        <v>984</v>
      </c>
      <c r="O116" t="s">
        <v>984</v>
      </c>
      <c r="P116" t="s">
        <v>992</v>
      </c>
    </row>
    <row r="117" spans="1:16" x14ac:dyDescent="0.2">
      <c r="A117" t="s">
        <v>1560</v>
      </c>
      <c r="B117" t="s">
        <v>362</v>
      </c>
      <c r="C117" t="s">
        <v>362</v>
      </c>
      <c r="D117" t="s">
        <v>118</v>
      </c>
      <c r="E117" t="s">
        <v>1088</v>
      </c>
      <c r="G117" t="s">
        <v>931</v>
      </c>
      <c r="H117" t="s">
        <v>992</v>
      </c>
      <c r="I117" t="s">
        <v>931</v>
      </c>
      <c r="J117" t="s">
        <v>1009</v>
      </c>
      <c r="K117" t="s">
        <v>992</v>
      </c>
      <c r="L117" t="s">
        <v>992</v>
      </c>
      <c r="M117" t="s">
        <v>1009</v>
      </c>
      <c r="N117" t="s">
        <v>1026</v>
      </c>
      <c r="O117" t="s">
        <v>1026</v>
      </c>
      <c r="P117" t="s">
        <v>992</v>
      </c>
    </row>
    <row r="118" spans="1:16" x14ac:dyDescent="0.2">
      <c r="A118" t="s">
        <v>1561</v>
      </c>
      <c r="B118" t="s">
        <v>152</v>
      </c>
      <c r="C118" t="s">
        <v>152</v>
      </c>
      <c r="D118" t="s">
        <v>1052</v>
      </c>
      <c r="E118" t="s">
        <v>985</v>
      </c>
      <c r="F118" t="s">
        <v>935</v>
      </c>
      <c r="G118" t="s">
        <v>931</v>
      </c>
      <c r="H118" t="s">
        <v>931</v>
      </c>
      <c r="I118" t="s">
        <v>931</v>
      </c>
      <c r="J118" t="s">
        <v>1547</v>
      </c>
      <c r="K118" t="s">
        <v>992</v>
      </c>
      <c r="L118" t="s">
        <v>992</v>
      </c>
      <c r="M118" t="s">
        <v>1547</v>
      </c>
      <c r="N118" t="s">
        <v>1548</v>
      </c>
      <c r="O118" t="s">
        <v>1548</v>
      </c>
      <c r="P118" t="s">
        <v>992</v>
      </c>
    </row>
    <row r="119" spans="1:16" x14ac:dyDescent="0.2">
      <c r="A119" t="s">
        <v>1562</v>
      </c>
      <c r="B119" t="s">
        <v>1383</v>
      </c>
      <c r="C119" t="s">
        <v>1383</v>
      </c>
      <c r="D119" t="s">
        <v>933</v>
      </c>
      <c r="E119" t="s">
        <v>957</v>
      </c>
      <c r="G119" t="s">
        <v>931</v>
      </c>
      <c r="H119" t="s">
        <v>992</v>
      </c>
      <c r="I119" t="s">
        <v>931</v>
      </c>
      <c r="J119" t="s">
        <v>966</v>
      </c>
      <c r="K119" t="s">
        <v>992</v>
      </c>
      <c r="L119" t="s">
        <v>931</v>
      </c>
      <c r="M119" t="s">
        <v>966</v>
      </c>
      <c r="N119" t="s">
        <v>1563</v>
      </c>
      <c r="O119" t="s">
        <v>1563</v>
      </c>
      <c r="P119" t="s">
        <v>992</v>
      </c>
    </row>
    <row r="120" spans="1:16" x14ac:dyDescent="0.2">
      <c r="A120" t="s">
        <v>1564</v>
      </c>
      <c r="B120" t="s">
        <v>356</v>
      </c>
      <c r="C120" t="s">
        <v>356</v>
      </c>
      <c r="D120" t="s">
        <v>73</v>
      </c>
      <c r="E120" t="s">
        <v>1028</v>
      </c>
      <c r="G120" t="s">
        <v>931</v>
      </c>
      <c r="H120" t="s">
        <v>992</v>
      </c>
      <c r="I120" t="s">
        <v>931</v>
      </c>
      <c r="J120" t="s">
        <v>941</v>
      </c>
      <c r="K120" t="s">
        <v>992</v>
      </c>
      <c r="L120" t="s">
        <v>992</v>
      </c>
      <c r="M120" t="s">
        <v>941</v>
      </c>
      <c r="N120" t="s">
        <v>1147</v>
      </c>
      <c r="O120" t="s">
        <v>1147</v>
      </c>
      <c r="P120" t="s">
        <v>992</v>
      </c>
    </row>
    <row r="121" spans="1:16" x14ac:dyDescent="0.2">
      <c r="A121" t="s">
        <v>1565</v>
      </c>
      <c r="B121" t="s">
        <v>134</v>
      </c>
      <c r="C121" t="s">
        <v>134</v>
      </c>
      <c r="D121" t="s">
        <v>82</v>
      </c>
      <c r="E121" t="s">
        <v>952</v>
      </c>
      <c r="F121" t="s">
        <v>935</v>
      </c>
      <c r="G121" t="s">
        <v>931</v>
      </c>
      <c r="H121" t="s">
        <v>931</v>
      </c>
      <c r="I121" t="s">
        <v>931</v>
      </c>
      <c r="J121" t="s">
        <v>1039</v>
      </c>
      <c r="K121" t="s">
        <v>992</v>
      </c>
      <c r="L121" t="s">
        <v>992</v>
      </c>
      <c r="M121" t="s">
        <v>1039</v>
      </c>
      <c r="N121" t="s">
        <v>1191</v>
      </c>
      <c r="O121" t="s">
        <v>1191</v>
      </c>
      <c r="P121" t="s">
        <v>992</v>
      </c>
    </row>
    <row r="122" spans="1:16" x14ac:dyDescent="0.2">
      <c r="A122" t="s">
        <v>1566</v>
      </c>
      <c r="B122" t="s">
        <v>402</v>
      </c>
      <c r="C122" t="s">
        <v>402</v>
      </c>
      <c r="D122" t="s">
        <v>98</v>
      </c>
      <c r="E122" t="s">
        <v>952</v>
      </c>
      <c r="F122" t="s">
        <v>1298</v>
      </c>
      <c r="G122" t="s">
        <v>931</v>
      </c>
      <c r="H122" t="s">
        <v>931</v>
      </c>
      <c r="I122" t="s">
        <v>931</v>
      </c>
      <c r="J122" t="s">
        <v>1567</v>
      </c>
      <c r="K122" t="s">
        <v>992</v>
      </c>
      <c r="L122" t="s">
        <v>992</v>
      </c>
      <c r="M122" t="s">
        <v>1567</v>
      </c>
      <c r="N122" t="s">
        <v>1568</v>
      </c>
      <c r="O122" t="s">
        <v>1568</v>
      </c>
      <c r="P122" t="s">
        <v>992</v>
      </c>
    </row>
    <row r="123" spans="1:16" x14ac:dyDescent="0.2">
      <c r="A123" t="s">
        <v>1569</v>
      </c>
      <c r="B123" t="s">
        <v>301</v>
      </c>
      <c r="C123" t="s">
        <v>301</v>
      </c>
      <c r="D123" t="s">
        <v>119</v>
      </c>
      <c r="E123" t="s">
        <v>957</v>
      </c>
      <c r="G123" t="s">
        <v>931</v>
      </c>
      <c r="H123" t="s">
        <v>992</v>
      </c>
      <c r="I123" t="s">
        <v>931</v>
      </c>
      <c r="J123" t="s">
        <v>1051</v>
      </c>
      <c r="K123" t="s">
        <v>992</v>
      </c>
      <c r="L123" t="s">
        <v>992</v>
      </c>
      <c r="M123" t="s">
        <v>1051</v>
      </c>
      <c r="N123" t="s">
        <v>983</v>
      </c>
      <c r="O123" t="s">
        <v>983</v>
      </c>
      <c r="P123" t="s">
        <v>992</v>
      </c>
    </row>
    <row r="124" spans="1:16" x14ac:dyDescent="0.2">
      <c r="A124" t="s">
        <v>902</v>
      </c>
      <c r="B124" t="s">
        <v>903</v>
      </c>
      <c r="C124" t="s">
        <v>903</v>
      </c>
      <c r="D124" t="s">
        <v>1314</v>
      </c>
      <c r="E124" t="s">
        <v>905</v>
      </c>
      <c r="F124" t="s">
        <v>906</v>
      </c>
      <c r="G124" t="s">
        <v>1315</v>
      </c>
      <c r="H124" t="s">
        <v>1316</v>
      </c>
      <c r="I124" t="s">
        <v>1319</v>
      </c>
      <c r="J124" t="s">
        <v>799</v>
      </c>
      <c r="K124" t="s">
        <v>800</v>
      </c>
      <c r="L124" t="s">
        <v>1321</v>
      </c>
      <c r="M124" t="s">
        <v>917</v>
      </c>
      <c r="N124" t="s">
        <v>1322</v>
      </c>
      <c r="O124" t="s">
        <v>1325</v>
      </c>
      <c r="P124" t="s">
        <v>1416</v>
      </c>
    </row>
    <row r="125" spans="1:16" x14ac:dyDescent="0.2">
      <c r="A125" t="s">
        <v>1570</v>
      </c>
      <c r="B125" t="s">
        <v>1571</v>
      </c>
      <c r="C125" t="s">
        <v>1571</v>
      </c>
      <c r="D125" t="s">
        <v>730</v>
      </c>
      <c r="E125" t="s">
        <v>952</v>
      </c>
      <c r="G125" t="s">
        <v>931</v>
      </c>
      <c r="H125" t="s">
        <v>992</v>
      </c>
      <c r="I125" t="s">
        <v>931</v>
      </c>
      <c r="J125" t="s">
        <v>941</v>
      </c>
      <c r="K125" t="s">
        <v>992</v>
      </c>
      <c r="L125" t="s">
        <v>992</v>
      </c>
      <c r="M125" t="s">
        <v>941</v>
      </c>
      <c r="N125" t="s">
        <v>1147</v>
      </c>
      <c r="O125" t="s">
        <v>1147</v>
      </c>
      <c r="P125" t="s">
        <v>992</v>
      </c>
    </row>
    <row r="126" spans="1:16" x14ac:dyDescent="0.2">
      <c r="A126" t="s">
        <v>1572</v>
      </c>
      <c r="B126" t="s">
        <v>882</v>
      </c>
      <c r="C126" t="s">
        <v>882</v>
      </c>
      <c r="D126" t="s">
        <v>70</v>
      </c>
      <c r="E126" t="s">
        <v>1023</v>
      </c>
      <c r="F126" t="s">
        <v>1298</v>
      </c>
      <c r="G126" t="s">
        <v>931</v>
      </c>
      <c r="H126" t="s">
        <v>931</v>
      </c>
      <c r="I126" t="s">
        <v>931</v>
      </c>
      <c r="J126" t="s">
        <v>1066</v>
      </c>
      <c r="K126" t="s">
        <v>992</v>
      </c>
      <c r="L126" t="s">
        <v>931</v>
      </c>
      <c r="M126" t="s">
        <v>1066</v>
      </c>
      <c r="N126" t="s">
        <v>1197</v>
      </c>
      <c r="O126" t="s">
        <v>1197</v>
      </c>
      <c r="P126" t="s">
        <v>992</v>
      </c>
    </row>
    <row r="127" spans="1:16" x14ac:dyDescent="0.2">
      <c r="A127" t="s">
        <v>1279</v>
      </c>
      <c r="B127" t="s">
        <v>485</v>
      </c>
      <c r="C127" t="s">
        <v>485</v>
      </c>
      <c r="D127" t="s">
        <v>118</v>
      </c>
      <c r="E127" t="s">
        <v>1023</v>
      </c>
      <c r="G127" t="s">
        <v>931</v>
      </c>
      <c r="H127" t="s">
        <v>992</v>
      </c>
      <c r="I127" t="s">
        <v>931</v>
      </c>
      <c r="J127" t="s">
        <v>941</v>
      </c>
      <c r="K127" t="s">
        <v>992</v>
      </c>
      <c r="L127" t="s">
        <v>931</v>
      </c>
      <c r="M127" t="s">
        <v>941</v>
      </c>
      <c r="N127" t="s">
        <v>1147</v>
      </c>
      <c r="O127" t="s">
        <v>1147</v>
      </c>
      <c r="P127" t="s">
        <v>992</v>
      </c>
    </row>
    <row r="128" spans="1:16" x14ac:dyDescent="0.2">
      <c r="A128" t="s">
        <v>1573</v>
      </c>
      <c r="B128" t="s">
        <v>493</v>
      </c>
      <c r="C128" t="s">
        <v>493</v>
      </c>
      <c r="D128" t="s">
        <v>139</v>
      </c>
      <c r="E128" t="s">
        <v>1010</v>
      </c>
      <c r="F128" t="s">
        <v>1298</v>
      </c>
      <c r="G128" t="s">
        <v>931</v>
      </c>
      <c r="H128" t="s">
        <v>931</v>
      </c>
      <c r="I128" t="s">
        <v>931</v>
      </c>
      <c r="J128" t="s">
        <v>1064</v>
      </c>
      <c r="K128" t="s">
        <v>992</v>
      </c>
      <c r="L128" t="s">
        <v>931</v>
      </c>
      <c r="M128" t="s">
        <v>1064</v>
      </c>
      <c r="N128" t="s">
        <v>1115</v>
      </c>
      <c r="O128" t="s">
        <v>1115</v>
      </c>
      <c r="P128" t="s">
        <v>992</v>
      </c>
    </row>
    <row r="129" spans="1:16" x14ac:dyDescent="0.2">
      <c r="A129" t="s">
        <v>1574</v>
      </c>
      <c r="B129" t="s">
        <v>441</v>
      </c>
      <c r="C129" t="s">
        <v>441</v>
      </c>
      <c r="D129" t="s">
        <v>77</v>
      </c>
      <c r="E129" t="s">
        <v>1023</v>
      </c>
      <c r="G129" t="s">
        <v>931</v>
      </c>
      <c r="H129" t="s">
        <v>992</v>
      </c>
      <c r="I129" t="s">
        <v>931</v>
      </c>
      <c r="J129" t="s">
        <v>941</v>
      </c>
      <c r="K129" t="s">
        <v>992</v>
      </c>
      <c r="L129" t="s">
        <v>931</v>
      </c>
      <c r="M129" t="s">
        <v>941</v>
      </c>
      <c r="N129" t="s">
        <v>1147</v>
      </c>
      <c r="O129" t="s">
        <v>1147</v>
      </c>
      <c r="P129" t="s">
        <v>992</v>
      </c>
    </row>
    <row r="130" spans="1:16" x14ac:dyDescent="0.2">
      <c r="A130" t="s">
        <v>1575</v>
      </c>
      <c r="B130" t="s">
        <v>423</v>
      </c>
      <c r="C130" t="s">
        <v>423</v>
      </c>
      <c r="D130" t="s">
        <v>82</v>
      </c>
      <c r="E130" t="s">
        <v>965</v>
      </c>
      <c r="G130" t="s">
        <v>931</v>
      </c>
      <c r="H130" t="s">
        <v>992</v>
      </c>
      <c r="I130" t="s">
        <v>931</v>
      </c>
      <c r="J130" t="s">
        <v>944</v>
      </c>
      <c r="K130" t="s">
        <v>992</v>
      </c>
      <c r="L130" t="s">
        <v>931</v>
      </c>
      <c r="M130" t="s">
        <v>944</v>
      </c>
      <c r="N130" t="s">
        <v>1522</v>
      </c>
      <c r="O130" t="s">
        <v>1522</v>
      </c>
      <c r="P130" t="s">
        <v>992</v>
      </c>
    </row>
    <row r="131" spans="1:16" x14ac:dyDescent="0.2">
      <c r="A131" t="s">
        <v>1576</v>
      </c>
      <c r="B131" t="s">
        <v>258</v>
      </c>
      <c r="C131" t="s">
        <v>258</v>
      </c>
      <c r="D131" t="s">
        <v>1052</v>
      </c>
      <c r="E131" t="s">
        <v>1028</v>
      </c>
      <c r="G131" t="s">
        <v>931</v>
      </c>
      <c r="H131" t="s">
        <v>992</v>
      </c>
      <c r="I131" t="s">
        <v>931</v>
      </c>
      <c r="J131" t="s">
        <v>1064</v>
      </c>
      <c r="K131" t="s">
        <v>992</v>
      </c>
      <c r="L131" t="s">
        <v>992</v>
      </c>
      <c r="M131" t="s">
        <v>1064</v>
      </c>
      <c r="N131" t="s">
        <v>1115</v>
      </c>
      <c r="O131" t="s">
        <v>1115</v>
      </c>
      <c r="P131" t="s">
        <v>992</v>
      </c>
    </row>
    <row r="132" spans="1:16" x14ac:dyDescent="0.2">
      <c r="A132" t="s">
        <v>1417</v>
      </c>
      <c r="B132" t="s">
        <v>339</v>
      </c>
      <c r="C132" t="s">
        <v>339</v>
      </c>
      <c r="D132" t="s">
        <v>1122</v>
      </c>
      <c r="E132" t="s">
        <v>952</v>
      </c>
      <c r="F132" t="s">
        <v>1577</v>
      </c>
      <c r="G132" t="s">
        <v>931</v>
      </c>
      <c r="H132" t="s">
        <v>931</v>
      </c>
      <c r="I132" t="s">
        <v>931</v>
      </c>
      <c r="J132" t="s">
        <v>1027</v>
      </c>
      <c r="K132" t="s">
        <v>992</v>
      </c>
      <c r="L132" t="s">
        <v>992</v>
      </c>
      <c r="M132" t="s">
        <v>1027</v>
      </c>
      <c r="N132" t="s">
        <v>1306</v>
      </c>
      <c r="O132" t="s">
        <v>1306</v>
      </c>
      <c r="P132" t="s">
        <v>931</v>
      </c>
    </row>
    <row r="133" spans="1:16" x14ac:dyDescent="0.2">
      <c r="A133" t="s">
        <v>1578</v>
      </c>
      <c r="B133" t="s">
        <v>409</v>
      </c>
      <c r="C133" t="s">
        <v>409</v>
      </c>
      <c r="D133" t="s">
        <v>1122</v>
      </c>
      <c r="E133" t="s">
        <v>1028</v>
      </c>
      <c r="G133" t="s">
        <v>931</v>
      </c>
      <c r="H133" t="s">
        <v>992</v>
      </c>
      <c r="I133" t="s">
        <v>931</v>
      </c>
      <c r="J133" t="s">
        <v>941</v>
      </c>
      <c r="K133" t="s">
        <v>992</v>
      </c>
      <c r="L133" t="s">
        <v>992</v>
      </c>
      <c r="M133" t="s">
        <v>941</v>
      </c>
      <c r="N133" t="s">
        <v>1147</v>
      </c>
      <c r="O133" t="s">
        <v>1147</v>
      </c>
      <c r="P133" t="s">
        <v>931</v>
      </c>
    </row>
    <row r="134" spans="1:16" x14ac:dyDescent="0.2">
      <c r="A134" t="s">
        <v>1579</v>
      </c>
      <c r="B134" t="s">
        <v>387</v>
      </c>
      <c r="C134" t="s">
        <v>387</v>
      </c>
      <c r="D134" t="s">
        <v>108</v>
      </c>
      <c r="E134" t="s">
        <v>1028</v>
      </c>
      <c r="G134" t="s">
        <v>931</v>
      </c>
      <c r="H134" t="s">
        <v>992</v>
      </c>
      <c r="I134" t="s">
        <v>931</v>
      </c>
      <c r="J134" t="s">
        <v>1009</v>
      </c>
      <c r="K134" t="s">
        <v>992</v>
      </c>
      <c r="L134" t="s">
        <v>992</v>
      </c>
      <c r="M134" t="s">
        <v>1009</v>
      </c>
      <c r="N134" t="s">
        <v>1026</v>
      </c>
      <c r="O134" t="s">
        <v>1026</v>
      </c>
      <c r="P134" t="s">
        <v>992</v>
      </c>
    </row>
    <row r="135" spans="1:16" x14ac:dyDescent="0.2">
      <c r="A135" t="s">
        <v>1580</v>
      </c>
      <c r="B135" t="s">
        <v>306</v>
      </c>
      <c r="C135" t="s">
        <v>306</v>
      </c>
      <c r="D135" t="s">
        <v>1040</v>
      </c>
      <c r="E135" t="s">
        <v>952</v>
      </c>
      <c r="G135" t="s">
        <v>931</v>
      </c>
      <c r="H135" t="s">
        <v>992</v>
      </c>
      <c r="I135" t="s">
        <v>931</v>
      </c>
      <c r="J135" t="s">
        <v>982</v>
      </c>
      <c r="K135" t="s">
        <v>992</v>
      </c>
      <c r="L135" t="s">
        <v>992</v>
      </c>
      <c r="M135" t="s">
        <v>982</v>
      </c>
      <c r="N135" t="s">
        <v>984</v>
      </c>
      <c r="O135" t="s">
        <v>984</v>
      </c>
      <c r="P135" t="s">
        <v>992</v>
      </c>
    </row>
    <row r="136" spans="1:16" x14ac:dyDescent="0.2">
      <c r="A136" t="s">
        <v>1581</v>
      </c>
      <c r="B136" t="s">
        <v>1582</v>
      </c>
      <c r="C136" t="s">
        <v>1582</v>
      </c>
      <c r="D136" t="s">
        <v>730</v>
      </c>
      <c r="E136" t="s">
        <v>1123</v>
      </c>
      <c r="F136" t="s">
        <v>1298</v>
      </c>
      <c r="G136" t="s">
        <v>931</v>
      </c>
      <c r="H136" t="s">
        <v>931</v>
      </c>
      <c r="I136" t="s">
        <v>931</v>
      </c>
      <c r="J136" t="s">
        <v>1039</v>
      </c>
      <c r="K136" t="s">
        <v>992</v>
      </c>
      <c r="L136" t="s">
        <v>992</v>
      </c>
      <c r="M136" t="s">
        <v>1039</v>
      </c>
      <c r="N136" t="s">
        <v>1191</v>
      </c>
      <c r="O136" t="s">
        <v>1191</v>
      </c>
      <c r="P136" t="s">
        <v>992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80A41-E678-E542-98CB-AF99129B15F3}">
  <sheetPr codeName="Sheet12"/>
  <dimension ref="A1:O386"/>
  <sheetViews>
    <sheetView workbookViewId="0">
      <selection activeCell="M10" sqref="M10"/>
    </sheetView>
  </sheetViews>
  <sheetFormatPr baseColWidth="10" defaultRowHeight="15" x14ac:dyDescent="0.2"/>
  <cols>
    <col min="1" max="1" width="4.1640625" bestFit="1" customWidth="1"/>
    <col min="2" max="2" width="19.1640625" bestFit="1" customWidth="1"/>
    <col min="3" max="3" width="4.83203125" bestFit="1" customWidth="1"/>
    <col min="4" max="4" width="4.6640625" bestFit="1" customWidth="1"/>
    <col min="5" max="5" width="4.5" bestFit="1" customWidth="1"/>
    <col min="6" max="6" width="3.1640625" customWidth="1"/>
    <col min="7" max="7" width="3.6640625" customWidth="1"/>
    <col min="8" max="8" width="4.1640625" bestFit="1" customWidth="1"/>
    <col min="9" max="9" width="5.1640625" bestFit="1" customWidth="1"/>
    <col min="10" max="10" width="3.6640625" bestFit="1" customWidth="1"/>
    <col min="11" max="11" width="4.1640625" bestFit="1" customWidth="1"/>
    <col min="12" max="12" width="4.6640625" bestFit="1" customWidth="1"/>
    <col min="13" max="13" width="5.1640625" bestFit="1" customWidth="1"/>
    <col min="14" max="14" width="6.1640625" bestFit="1" customWidth="1"/>
    <col min="15" max="15" width="5.1640625" bestFit="1" customWidth="1"/>
  </cols>
  <sheetData>
    <row r="1" spans="1:15" ht="18" x14ac:dyDescent="0.2">
      <c r="A1" s="93" t="s">
        <v>2307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</row>
    <row r="2" spans="1:15" ht="15" customHeight="1" x14ac:dyDescent="0.2">
      <c r="A2" s="95"/>
      <c r="B2" s="95"/>
      <c r="C2" s="95"/>
      <c r="D2" s="95"/>
      <c r="E2" s="95"/>
      <c r="F2" s="95" t="s">
        <v>907</v>
      </c>
      <c r="G2" s="95"/>
      <c r="H2" s="95" t="s">
        <v>2308</v>
      </c>
      <c r="I2" s="95"/>
      <c r="J2" s="95"/>
      <c r="K2" s="95"/>
      <c r="L2" s="95"/>
      <c r="M2" s="95"/>
      <c r="N2" s="95"/>
      <c r="O2" s="89"/>
    </row>
    <row r="3" spans="1:15" x14ac:dyDescent="0.2">
      <c r="A3" s="89" t="s">
        <v>902</v>
      </c>
      <c r="B3" s="89" t="s">
        <v>903</v>
      </c>
      <c r="C3" s="89" t="s">
        <v>1314</v>
      </c>
      <c r="D3" s="89" t="s">
        <v>905</v>
      </c>
      <c r="E3" s="89" t="s">
        <v>906</v>
      </c>
      <c r="F3" s="89" t="s">
        <v>1315</v>
      </c>
      <c r="G3" s="89" t="s">
        <v>1316</v>
      </c>
      <c r="H3" s="89" t="s">
        <v>1319</v>
      </c>
      <c r="I3" s="89" t="s">
        <v>799</v>
      </c>
      <c r="J3" s="89" t="s">
        <v>800</v>
      </c>
      <c r="K3" s="89" t="s">
        <v>1321</v>
      </c>
      <c r="L3" s="89" t="s">
        <v>917</v>
      </c>
      <c r="M3" s="89" t="s">
        <v>1322</v>
      </c>
      <c r="N3" s="89" t="s">
        <v>1325</v>
      </c>
      <c r="O3" s="89" t="s">
        <v>1416</v>
      </c>
    </row>
    <row r="4" spans="1:15" ht="16" x14ac:dyDescent="0.2">
      <c r="A4" s="89">
        <v>1</v>
      </c>
      <c r="B4" s="84" t="s">
        <v>3088</v>
      </c>
      <c r="C4" s="84" t="s">
        <v>107</v>
      </c>
      <c r="D4" s="83">
        <v>22</v>
      </c>
      <c r="E4" s="83" t="s">
        <v>68</v>
      </c>
      <c r="F4" s="83">
        <v>17</v>
      </c>
      <c r="G4" s="83">
        <v>17</v>
      </c>
      <c r="H4" s="83">
        <v>332</v>
      </c>
      <c r="I4" s="83">
        <v>1811</v>
      </c>
      <c r="J4" s="83">
        <v>18</v>
      </c>
      <c r="K4" s="83">
        <v>107</v>
      </c>
      <c r="L4" s="83">
        <v>83</v>
      </c>
      <c r="M4" s="83">
        <v>5.5</v>
      </c>
      <c r="N4" s="83">
        <v>106.5</v>
      </c>
      <c r="O4" s="83">
        <v>4</v>
      </c>
    </row>
    <row r="5" spans="1:15" ht="16" x14ac:dyDescent="0.2">
      <c r="A5" s="89">
        <v>2</v>
      </c>
      <c r="B5" s="84" t="s">
        <v>3095</v>
      </c>
      <c r="C5" s="84" t="s">
        <v>99</v>
      </c>
      <c r="D5" s="83">
        <v>23</v>
      </c>
      <c r="E5" s="83" t="s">
        <v>68</v>
      </c>
      <c r="F5" s="83">
        <v>17</v>
      </c>
      <c r="G5" s="83">
        <v>17</v>
      </c>
      <c r="H5" s="83">
        <v>307</v>
      </c>
      <c r="I5" s="83">
        <v>1200</v>
      </c>
      <c r="J5" s="83">
        <v>7</v>
      </c>
      <c r="K5" s="83">
        <v>62</v>
      </c>
      <c r="L5" s="83">
        <v>37</v>
      </c>
      <c r="M5" s="83">
        <v>3.9</v>
      </c>
      <c r="N5" s="83">
        <v>70.599999999999994</v>
      </c>
      <c r="O5" s="83">
        <v>0</v>
      </c>
    </row>
    <row r="6" spans="1:15" ht="16" x14ac:dyDescent="0.2">
      <c r="A6" s="89">
        <v>3</v>
      </c>
      <c r="B6" s="84" t="s">
        <v>2644</v>
      </c>
      <c r="C6" s="84" t="s">
        <v>74</v>
      </c>
      <c r="D6" s="83">
        <v>25</v>
      </c>
      <c r="E6" s="83" t="s">
        <v>68</v>
      </c>
      <c r="F6" s="83">
        <v>16</v>
      </c>
      <c r="G6" s="83">
        <v>16</v>
      </c>
      <c r="H6" s="83">
        <v>292</v>
      </c>
      <c r="I6" s="83">
        <v>1205</v>
      </c>
      <c r="J6" s="83">
        <v>13</v>
      </c>
      <c r="K6" s="83">
        <v>60</v>
      </c>
      <c r="L6" s="83">
        <v>32</v>
      </c>
      <c r="M6" s="83">
        <v>4.0999999999999996</v>
      </c>
      <c r="N6" s="83">
        <v>75.3</v>
      </c>
      <c r="O6" s="83">
        <v>2</v>
      </c>
    </row>
    <row r="7" spans="1:15" ht="16" x14ac:dyDescent="0.2">
      <c r="A7" s="89">
        <v>4</v>
      </c>
      <c r="B7" s="84" t="s">
        <v>136</v>
      </c>
      <c r="C7" s="84" t="s">
        <v>119</v>
      </c>
      <c r="D7" s="83">
        <v>23</v>
      </c>
      <c r="E7" s="83" t="s">
        <v>68</v>
      </c>
      <c r="F7" s="83">
        <v>16</v>
      </c>
      <c r="G7" s="83">
        <v>14</v>
      </c>
      <c r="H7" s="83">
        <v>258</v>
      </c>
      <c r="I7" s="83">
        <v>1037</v>
      </c>
      <c r="J7" s="83">
        <v>7</v>
      </c>
      <c r="K7" s="83">
        <v>65</v>
      </c>
      <c r="L7" s="83">
        <v>27</v>
      </c>
      <c r="M7" s="83">
        <v>4</v>
      </c>
      <c r="N7" s="83">
        <v>64.8</v>
      </c>
      <c r="O7" s="83">
        <v>6</v>
      </c>
    </row>
    <row r="8" spans="1:15" ht="16" x14ac:dyDescent="0.2">
      <c r="A8" s="89">
        <v>5</v>
      </c>
      <c r="B8" s="84" t="s">
        <v>1587</v>
      </c>
      <c r="C8" s="84" t="s">
        <v>73</v>
      </c>
      <c r="D8" s="83">
        <v>26</v>
      </c>
      <c r="E8" s="83" t="s">
        <v>68</v>
      </c>
      <c r="F8" s="83">
        <v>13</v>
      </c>
      <c r="G8" s="83">
        <v>13</v>
      </c>
      <c r="H8" s="83">
        <v>249</v>
      </c>
      <c r="I8" s="83">
        <v>1159</v>
      </c>
      <c r="J8" s="83">
        <v>6</v>
      </c>
      <c r="K8" s="83">
        <v>57</v>
      </c>
      <c r="L8" s="83">
        <v>66</v>
      </c>
      <c r="M8" s="83">
        <v>4.7</v>
      </c>
      <c r="N8" s="83">
        <v>89.2</v>
      </c>
      <c r="O8" s="83">
        <v>3</v>
      </c>
    </row>
    <row r="9" spans="1:15" ht="16" x14ac:dyDescent="0.2">
      <c r="A9" s="89">
        <v>6</v>
      </c>
      <c r="B9" s="84" t="s">
        <v>1635</v>
      </c>
      <c r="C9" s="84" t="s">
        <v>1257</v>
      </c>
      <c r="D9" s="83">
        <v>26</v>
      </c>
      <c r="E9" s="83" t="s">
        <v>68</v>
      </c>
      <c r="F9" s="83">
        <v>13</v>
      </c>
      <c r="G9" s="83">
        <v>10</v>
      </c>
      <c r="H9" s="83">
        <v>240</v>
      </c>
      <c r="I9" s="83">
        <v>898</v>
      </c>
      <c r="J9" s="83">
        <v>4</v>
      </c>
      <c r="K9" s="83">
        <v>42</v>
      </c>
      <c r="L9" s="83">
        <v>30</v>
      </c>
      <c r="M9" s="83">
        <v>3.7</v>
      </c>
      <c r="N9" s="83">
        <v>69.099999999999994</v>
      </c>
      <c r="O9" s="83">
        <v>0</v>
      </c>
    </row>
    <row r="10" spans="1:15" ht="16" x14ac:dyDescent="0.2">
      <c r="A10" s="89">
        <v>7</v>
      </c>
      <c r="B10" s="84" t="s">
        <v>1460</v>
      </c>
      <c r="C10" s="84" t="s">
        <v>729</v>
      </c>
      <c r="D10" s="83">
        <v>26</v>
      </c>
      <c r="E10" s="83" t="s">
        <v>68</v>
      </c>
      <c r="F10" s="83">
        <v>17</v>
      </c>
      <c r="G10" s="83">
        <v>17</v>
      </c>
      <c r="H10" s="83">
        <v>237</v>
      </c>
      <c r="I10" s="83">
        <v>1002</v>
      </c>
      <c r="J10" s="83">
        <v>10</v>
      </c>
      <c r="K10" s="83">
        <v>55</v>
      </c>
      <c r="L10" s="83">
        <v>47</v>
      </c>
      <c r="M10" s="83">
        <v>4.2</v>
      </c>
      <c r="N10" s="83">
        <v>58.9</v>
      </c>
      <c r="O10" s="83">
        <v>1</v>
      </c>
    </row>
    <row r="11" spans="1:15" ht="16" x14ac:dyDescent="0.2">
      <c r="A11" s="89">
        <v>8</v>
      </c>
      <c r="B11" s="84" t="s">
        <v>1627</v>
      </c>
      <c r="C11" s="84" t="s">
        <v>82</v>
      </c>
      <c r="D11" s="83">
        <v>26</v>
      </c>
      <c r="E11" s="83" t="s">
        <v>68</v>
      </c>
      <c r="F11" s="83">
        <v>14</v>
      </c>
      <c r="G11" s="83">
        <v>14</v>
      </c>
      <c r="H11" s="83">
        <v>228</v>
      </c>
      <c r="I11" s="83">
        <v>1259</v>
      </c>
      <c r="J11" s="83">
        <v>8</v>
      </c>
      <c r="K11" s="83">
        <v>61</v>
      </c>
      <c r="L11" s="83">
        <v>70</v>
      </c>
      <c r="M11" s="83">
        <v>5.5</v>
      </c>
      <c r="N11" s="83">
        <v>89.9</v>
      </c>
      <c r="O11" s="83">
        <v>2</v>
      </c>
    </row>
    <row r="12" spans="1:15" ht="16" x14ac:dyDescent="0.2">
      <c r="A12" s="89">
        <v>9</v>
      </c>
      <c r="B12" s="84" t="s">
        <v>1446</v>
      </c>
      <c r="C12" s="84" t="s">
        <v>727</v>
      </c>
      <c r="D12" s="83">
        <v>24</v>
      </c>
      <c r="E12" s="83" t="s">
        <v>68</v>
      </c>
      <c r="F12" s="83">
        <v>13</v>
      </c>
      <c r="G12" s="83">
        <v>13</v>
      </c>
      <c r="H12" s="83">
        <v>225</v>
      </c>
      <c r="I12" s="83">
        <v>849</v>
      </c>
      <c r="J12" s="83">
        <v>7</v>
      </c>
      <c r="K12" s="83">
        <v>55</v>
      </c>
      <c r="L12" s="83">
        <v>41</v>
      </c>
      <c r="M12" s="83">
        <v>3.8</v>
      </c>
      <c r="N12" s="83">
        <v>65.3</v>
      </c>
      <c r="O12" s="83">
        <v>1</v>
      </c>
    </row>
    <row r="13" spans="1:15" ht="16" x14ac:dyDescent="0.2">
      <c r="A13" s="89">
        <v>10</v>
      </c>
      <c r="B13" s="84" t="s">
        <v>76</v>
      </c>
      <c r="C13" s="84" t="s">
        <v>77</v>
      </c>
      <c r="D13" s="83">
        <v>27</v>
      </c>
      <c r="E13" s="83" t="s">
        <v>68</v>
      </c>
      <c r="F13" s="83">
        <v>8</v>
      </c>
      <c r="G13" s="83">
        <v>8</v>
      </c>
      <c r="H13" s="83">
        <v>219</v>
      </c>
      <c r="I13" s="83">
        <v>937</v>
      </c>
      <c r="J13" s="83">
        <v>10</v>
      </c>
      <c r="K13" s="83">
        <v>49</v>
      </c>
      <c r="L13" s="83">
        <v>76</v>
      </c>
      <c r="M13" s="83">
        <v>4.3</v>
      </c>
      <c r="N13" s="83">
        <v>117.1</v>
      </c>
      <c r="O13" s="83">
        <v>1</v>
      </c>
    </row>
    <row r="14" spans="1:15" ht="16" x14ac:dyDescent="0.2">
      <c r="A14" s="89">
        <v>11</v>
      </c>
      <c r="B14" s="84" t="s">
        <v>1471</v>
      </c>
      <c r="C14" s="84" t="s">
        <v>933</v>
      </c>
      <c r="D14" s="83">
        <v>23</v>
      </c>
      <c r="E14" s="83" t="s">
        <v>68</v>
      </c>
      <c r="F14" s="83">
        <v>15</v>
      </c>
      <c r="G14" s="83">
        <v>14</v>
      </c>
      <c r="H14" s="83">
        <v>217</v>
      </c>
      <c r="I14" s="83">
        <v>872</v>
      </c>
      <c r="J14" s="83">
        <v>9</v>
      </c>
      <c r="K14" s="83">
        <v>45</v>
      </c>
      <c r="L14" s="83">
        <v>28</v>
      </c>
      <c r="M14" s="83">
        <v>4</v>
      </c>
      <c r="N14" s="83">
        <v>58.1</v>
      </c>
      <c r="O14" s="83">
        <v>2</v>
      </c>
    </row>
    <row r="15" spans="1:15" ht="16" x14ac:dyDescent="0.2">
      <c r="A15" s="89">
        <v>12</v>
      </c>
      <c r="B15" s="84" t="s">
        <v>1571</v>
      </c>
      <c r="C15" s="84" t="s">
        <v>730</v>
      </c>
      <c r="D15" s="83">
        <v>26</v>
      </c>
      <c r="E15" s="83" t="s">
        <v>68</v>
      </c>
      <c r="F15" s="83">
        <v>17</v>
      </c>
      <c r="G15" s="83">
        <v>7</v>
      </c>
      <c r="H15" s="83">
        <v>208</v>
      </c>
      <c r="I15" s="83">
        <v>845</v>
      </c>
      <c r="J15" s="83">
        <v>4</v>
      </c>
      <c r="K15" s="83">
        <v>49</v>
      </c>
      <c r="L15" s="83">
        <v>39</v>
      </c>
      <c r="M15" s="83">
        <v>4.0999999999999996</v>
      </c>
      <c r="N15" s="83">
        <v>49.7</v>
      </c>
      <c r="O15" s="83">
        <v>1</v>
      </c>
    </row>
    <row r="16" spans="1:15" ht="16" x14ac:dyDescent="0.2">
      <c r="A16" s="89">
        <v>13</v>
      </c>
      <c r="B16" s="84" t="s">
        <v>1433</v>
      </c>
      <c r="C16" s="84" t="s">
        <v>1087</v>
      </c>
      <c r="D16" s="83">
        <v>23</v>
      </c>
      <c r="E16" s="83" t="s">
        <v>68</v>
      </c>
      <c r="F16" s="83">
        <v>11</v>
      </c>
      <c r="G16" s="83">
        <v>10</v>
      </c>
      <c r="H16" s="83">
        <v>207</v>
      </c>
      <c r="I16" s="83">
        <v>963</v>
      </c>
      <c r="J16" s="83">
        <v>5</v>
      </c>
      <c r="K16" s="83">
        <v>47</v>
      </c>
      <c r="L16" s="83">
        <v>39</v>
      </c>
      <c r="M16" s="83">
        <v>4.7</v>
      </c>
      <c r="N16" s="83">
        <v>87.5</v>
      </c>
      <c r="O16" s="83">
        <v>0</v>
      </c>
    </row>
    <row r="17" spans="1:15" ht="16" x14ac:dyDescent="0.2">
      <c r="A17" s="89">
        <v>14</v>
      </c>
      <c r="B17" s="84" t="s">
        <v>145</v>
      </c>
      <c r="C17" s="84" t="s">
        <v>118</v>
      </c>
      <c r="D17" s="83">
        <v>26</v>
      </c>
      <c r="E17" s="83" t="s">
        <v>68</v>
      </c>
      <c r="F17" s="83">
        <v>16</v>
      </c>
      <c r="G17" s="83">
        <v>16</v>
      </c>
      <c r="H17" s="83">
        <v>206</v>
      </c>
      <c r="I17" s="83">
        <v>911</v>
      </c>
      <c r="J17" s="83">
        <v>12</v>
      </c>
      <c r="K17" s="83">
        <v>53</v>
      </c>
      <c r="L17" s="83">
        <v>28</v>
      </c>
      <c r="M17" s="83">
        <v>4.4000000000000004</v>
      </c>
      <c r="N17" s="83">
        <v>56.9</v>
      </c>
      <c r="O17" s="83">
        <v>4</v>
      </c>
    </row>
    <row r="18" spans="1:15" ht="16" x14ac:dyDescent="0.2">
      <c r="A18" s="89">
        <v>15</v>
      </c>
      <c r="B18" s="84" t="s">
        <v>886</v>
      </c>
      <c r="C18" s="84" t="s">
        <v>93</v>
      </c>
      <c r="D18" s="83">
        <v>28</v>
      </c>
      <c r="E18" s="83" t="s">
        <v>68</v>
      </c>
      <c r="F18" s="83">
        <v>16</v>
      </c>
      <c r="G18" s="83">
        <v>16</v>
      </c>
      <c r="H18" s="83">
        <v>203</v>
      </c>
      <c r="I18" s="83">
        <v>918</v>
      </c>
      <c r="J18" s="83">
        <v>8</v>
      </c>
      <c r="K18" s="83">
        <v>48</v>
      </c>
      <c r="L18" s="83">
        <v>70</v>
      </c>
      <c r="M18" s="83">
        <v>4.5</v>
      </c>
      <c r="N18" s="83">
        <v>57.4</v>
      </c>
      <c r="O18" s="83">
        <v>3</v>
      </c>
    </row>
    <row r="19" spans="1:15" ht="16" x14ac:dyDescent="0.2">
      <c r="A19" s="89">
        <v>16</v>
      </c>
      <c r="B19" s="84" t="s">
        <v>254</v>
      </c>
      <c r="C19" s="84" t="s">
        <v>93</v>
      </c>
      <c r="D19" s="83">
        <v>21</v>
      </c>
      <c r="E19" s="83" t="s">
        <v>68</v>
      </c>
      <c r="F19" s="83">
        <v>17</v>
      </c>
      <c r="G19" s="83">
        <v>1</v>
      </c>
      <c r="H19" s="83">
        <v>203</v>
      </c>
      <c r="I19" s="83">
        <v>903</v>
      </c>
      <c r="J19" s="83">
        <v>4</v>
      </c>
      <c r="K19" s="83">
        <v>52</v>
      </c>
      <c r="L19" s="83">
        <v>49</v>
      </c>
      <c r="M19" s="83">
        <v>4.4000000000000004</v>
      </c>
      <c r="N19" s="83">
        <v>53.1</v>
      </c>
      <c r="O19" s="83">
        <v>2</v>
      </c>
    </row>
    <row r="20" spans="1:15" ht="16" x14ac:dyDescent="0.2">
      <c r="A20" s="89">
        <v>17</v>
      </c>
      <c r="B20" s="84" t="s">
        <v>2645</v>
      </c>
      <c r="C20" s="84" t="s">
        <v>78</v>
      </c>
      <c r="D20" s="83">
        <v>26</v>
      </c>
      <c r="E20" s="83" t="s">
        <v>68</v>
      </c>
      <c r="F20" s="83">
        <v>15</v>
      </c>
      <c r="G20" s="83">
        <v>6</v>
      </c>
      <c r="H20" s="83">
        <v>202</v>
      </c>
      <c r="I20" s="83">
        <v>752</v>
      </c>
      <c r="J20" s="83">
        <v>15</v>
      </c>
      <c r="K20" s="83">
        <v>53</v>
      </c>
      <c r="L20" s="83">
        <v>35</v>
      </c>
      <c r="M20" s="83">
        <v>3.7</v>
      </c>
      <c r="N20" s="83">
        <v>50.1</v>
      </c>
      <c r="O20" s="83">
        <v>2</v>
      </c>
    </row>
    <row r="21" spans="1:15" ht="16" x14ac:dyDescent="0.2">
      <c r="A21" s="89">
        <v>18</v>
      </c>
      <c r="B21" s="84" t="s">
        <v>244</v>
      </c>
      <c r="C21" s="84" t="s">
        <v>1122</v>
      </c>
      <c r="D21" s="83">
        <v>24</v>
      </c>
      <c r="E21" s="83" t="s">
        <v>68</v>
      </c>
      <c r="F21" s="83">
        <v>15</v>
      </c>
      <c r="G21" s="83">
        <v>15</v>
      </c>
      <c r="H21" s="83">
        <v>202</v>
      </c>
      <c r="I21" s="83">
        <v>929</v>
      </c>
      <c r="J21" s="83">
        <v>15</v>
      </c>
      <c r="K21" s="83">
        <v>55</v>
      </c>
      <c r="L21" s="83">
        <v>64</v>
      </c>
      <c r="M21" s="83">
        <v>4.5999999999999996</v>
      </c>
      <c r="N21" s="83">
        <v>61.9</v>
      </c>
      <c r="O21" s="83">
        <v>2</v>
      </c>
    </row>
    <row r="22" spans="1:15" ht="16" x14ac:dyDescent="0.2">
      <c r="A22" s="89">
        <v>19</v>
      </c>
      <c r="B22" s="84" t="s">
        <v>280</v>
      </c>
      <c r="C22" s="84" t="s">
        <v>98</v>
      </c>
      <c r="D22" s="83">
        <v>24</v>
      </c>
      <c r="E22" s="83" t="s">
        <v>68</v>
      </c>
      <c r="F22" s="83">
        <v>17</v>
      </c>
      <c r="G22" s="83">
        <v>16</v>
      </c>
      <c r="H22" s="83">
        <v>188</v>
      </c>
      <c r="I22" s="83">
        <v>870</v>
      </c>
      <c r="J22" s="83">
        <v>7</v>
      </c>
      <c r="K22" s="83">
        <v>44</v>
      </c>
      <c r="L22" s="83">
        <v>46</v>
      </c>
      <c r="M22" s="83">
        <v>4.5999999999999996</v>
      </c>
      <c r="N22" s="83">
        <v>51.2</v>
      </c>
      <c r="O22" s="83">
        <v>5</v>
      </c>
    </row>
    <row r="23" spans="1:15" ht="16" x14ac:dyDescent="0.2">
      <c r="A23" s="89">
        <v>20</v>
      </c>
      <c r="B23" s="84" t="s">
        <v>315</v>
      </c>
      <c r="C23" s="84" t="s">
        <v>1267</v>
      </c>
      <c r="D23" s="83">
        <v>23</v>
      </c>
      <c r="E23" s="83" t="s">
        <v>68</v>
      </c>
      <c r="F23" s="83">
        <v>17</v>
      </c>
      <c r="G23" s="83">
        <v>2</v>
      </c>
      <c r="H23" s="83">
        <v>187</v>
      </c>
      <c r="I23" s="83">
        <v>803</v>
      </c>
      <c r="J23" s="83">
        <v>5</v>
      </c>
      <c r="K23" s="83">
        <v>50</v>
      </c>
      <c r="L23" s="83">
        <v>36</v>
      </c>
      <c r="M23" s="83">
        <v>4.3</v>
      </c>
      <c r="N23" s="83">
        <v>47.2</v>
      </c>
      <c r="O23" s="83">
        <v>2</v>
      </c>
    </row>
    <row r="24" spans="1:15" ht="16" x14ac:dyDescent="0.2">
      <c r="A24" s="89">
        <v>21</v>
      </c>
      <c r="B24" s="84" t="s">
        <v>1477</v>
      </c>
      <c r="C24" s="84" t="s">
        <v>976</v>
      </c>
      <c r="D24" s="83">
        <v>26</v>
      </c>
      <c r="E24" s="83" t="s">
        <v>68</v>
      </c>
      <c r="F24" s="83">
        <v>14</v>
      </c>
      <c r="G24" s="83">
        <v>13</v>
      </c>
      <c r="H24" s="83">
        <v>180</v>
      </c>
      <c r="I24" s="83">
        <v>812</v>
      </c>
      <c r="J24" s="83">
        <v>8</v>
      </c>
      <c r="K24" s="83">
        <v>45</v>
      </c>
      <c r="L24" s="83">
        <v>47</v>
      </c>
      <c r="M24" s="83">
        <v>4.5</v>
      </c>
      <c r="N24" s="83">
        <v>58</v>
      </c>
      <c r="O24" s="83">
        <v>1</v>
      </c>
    </row>
    <row r="25" spans="1:15" ht="16" x14ac:dyDescent="0.2">
      <c r="A25" s="89">
        <v>22</v>
      </c>
      <c r="B25" s="84" t="s">
        <v>224</v>
      </c>
      <c r="C25" s="84" t="s">
        <v>142</v>
      </c>
      <c r="D25" s="83">
        <v>24</v>
      </c>
      <c r="E25" s="83" t="s">
        <v>68</v>
      </c>
      <c r="F25" s="83">
        <v>17</v>
      </c>
      <c r="G25" s="83">
        <v>10</v>
      </c>
      <c r="H25" s="83">
        <v>173</v>
      </c>
      <c r="I25" s="83">
        <v>612</v>
      </c>
      <c r="J25" s="83">
        <v>3</v>
      </c>
      <c r="K25" s="83">
        <v>25</v>
      </c>
      <c r="L25" s="83">
        <v>30</v>
      </c>
      <c r="M25" s="83">
        <v>3.5</v>
      </c>
      <c r="N25" s="83">
        <v>36</v>
      </c>
      <c r="O25" s="83">
        <v>2</v>
      </c>
    </row>
    <row r="26" spans="1:15" ht="16" x14ac:dyDescent="0.2">
      <c r="A26" s="89">
        <v>23</v>
      </c>
      <c r="B26" s="84" t="s">
        <v>381</v>
      </c>
      <c r="C26" s="84" t="s">
        <v>70</v>
      </c>
      <c r="D26" s="83">
        <v>22</v>
      </c>
      <c r="E26" s="83" t="s">
        <v>68</v>
      </c>
      <c r="F26" s="83">
        <v>17</v>
      </c>
      <c r="G26" s="83">
        <v>10</v>
      </c>
      <c r="H26" s="83">
        <v>172</v>
      </c>
      <c r="I26" s="83">
        <v>612</v>
      </c>
      <c r="J26" s="83">
        <v>5</v>
      </c>
      <c r="K26" s="83">
        <v>36</v>
      </c>
      <c r="L26" s="83">
        <v>26</v>
      </c>
      <c r="M26" s="83">
        <v>3.6</v>
      </c>
      <c r="N26" s="83">
        <v>36</v>
      </c>
      <c r="O26" s="83">
        <v>1</v>
      </c>
    </row>
    <row r="27" spans="1:15" ht="16" x14ac:dyDescent="0.2">
      <c r="A27" s="89">
        <v>24</v>
      </c>
      <c r="B27" s="84" t="s">
        <v>126</v>
      </c>
      <c r="C27" s="84" t="s">
        <v>1267</v>
      </c>
      <c r="D27" s="83">
        <v>27</v>
      </c>
      <c r="E27" s="83" t="s">
        <v>68</v>
      </c>
      <c r="F27" s="83">
        <v>15</v>
      </c>
      <c r="G27" s="83">
        <v>15</v>
      </c>
      <c r="H27" s="83">
        <v>171</v>
      </c>
      <c r="I27" s="83">
        <v>799</v>
      </c>
      <c r="J27" s="83">
        <v>4</v>
      </c>
      <c r="K27" s="83">
        <v>37</v>
      </c>
      <c r="L27" s="83">
        <v>57</v>
      </c>
      <c r="M27" s="83">
        <v>4.7</v>
      </c>
      <c r="N27" s="83">
        <v>53.3</v>
      </c>
      <c r="O27" s="83">
        <v>2</v>
      </c>
    </row>
    <row r="28" spans="1:15" ht="16" x14ac:dyDescent="0.2">
      <c r="A28" s="89">
        <v>25</v>
      </c>
      <c r="B28" s="84" t="s">
        <v>240</v>
      </c>
      <c r="C28" s="84" t="s">
        <v>1052</v>
      </c>
      <c r="D28" s="83">
        <v>23</v>
      </c>
      <c r="E28" s="83" t="s">
        <v>68</v>
      </c>
      <c r="F28" s="83">
        <v>14</v>
      </c>
      <c r="G28" s="83">
        <v>13</v>
      </c>
      <c r="H28" s="83">
        <v>164</v>
      </c>
      <c r="I28" s="83">
        <v>767</v>
      </c>
      <c r="J28" s="83">
        <v>8</v>
      </c>
      <c r="K28" s="83">
        <v>41</v>
      </c>
      <c r="L28" s="83">
        <v>58</v>
      </c>
      <c r="M28" s="83">
        <v>4.7</v>
      </c>
      <c r="N28" s="83">
        <v>54.8</v>
      </c>
      <c r="O28" s="83">
        <v>4</v>
      </c>
    </row>
    <row r="29" spans="1:15" ht="16" x14ac:dyDescent="0.2">
      <c r="A29" s="89">
        <v>26</v>
      </c>
      <c r="B29" s="84" t="s">
        <v>91</v>
      </c>
      <c r="C29" s="84" t="s">
        <v>92</v>
      </c>
      <c r="D29" s="83">
        <v>24</v>
      </c>
      <c r="E29" s="83" t="s">
        <v>68</v>
      </c>
      <c r="F29" s="83">
        <v>13</v>
      </c>
      <c r="G29" s="83">
        <v>13</v>
      </c>
      <c r="H29" s="83">
        <v>162</v>
      </c>
      <c r="I29" s="83">
        <v>593</v>
      </c>
      <c r="J29" s="83">
        <v>2</v>
      </c>
      <c r="K29" s="83">
        <v>27</v>
      </c>
      <c r="L29" s="83">
        <v>41</v>
      </c>
      <c r="M29" s="83">
        <v>3.7</v>
      </c>
      <c r="N29" s="83">
        <v>45.6</v>
      </c>
      <c r="O29" s="83">
        <v>2</v>
      </c>
    </row>
    <row r="30" spans="1:15" ht="16" x14ac:dyDescent="0.2">
      <c r="A30" s="89">
        <v>27</v>
      </c>
      <c r="B30" s="84" t="s">
        <v>1420</v>
      </c>
      <c r="C30" s="83" t="s">
        <v>1726</v>
      </c>
      <c r="D30" s="83">
        <v>32</v>
      </c>
      <c r="E30" s="83" t="s">
        <v>68</v>
      </c>
      <c r="F30" s="83">
        <v>14</v>
      </c>
      <c r="G30" s="83">
        <v>10</v>
      </c>
      <c r="H30" s="83">
        <v>160</v>
      </c>
      <c r="I30" s="83">
        <v>554</v>
      </c>
      <c r="J30" s="83">
        <v>2</v>
      </c>
      <c r="K30" s="83">
        <v>23</v>
      </c>
      <c r="L30" s="83">
        <v>28</v>
      </c>
      <c r="M30" s="83">
        <v>3.5</v>
      </c>
      <c r="N30" s="83">
        <v>39.6</v>
      </c>
      <c r="O30" s="83">
        <v>1</v>
      </c>
    </row>
    <row r="31" spans="1:15" ht="16" x14ac:dyDescent="0.2">
      <c r="A31" s="89">
        <v>28</v>
      </c>
      <c r="B31" s="84" t="s">
        <v>288</v>
      </c>
      <c r="C31" s="84" t="s">
        <v>101</v>
      </c>
      <c r="D31" s="83">
        <v>30</v>
      </c>
      <c r="E31" s="83" t="s">
        <v>68</v>
      </c>
      <c r="F31" s="83">
        <v>16</v>
      </c>
      <c r="G31" s="83">
        <v>13</v>
      </c>
      <c r="H31" s="83">
        <v>153</v>
      </c>
      <c r="I31" s="83">
        <v>618</v>
      </c>
      <c r="J31" s="83">
        <v>6</v>
      </c>
      <c r="K31" s="83">
        <v>29</v>
      </c>
      <c r="L31" s="83">
        <v>39</v>
      </c>
      <c r="M31" s="83">
        <v>4</v>
      </c>
      <c r="N31" s="83">
        <v>38.6</v>
      </c>
      <c r="O31" s="83">
        <v>2</v>
      </c>
    </row>
    <row r="32" spans="1:15" ht="16" x14ac:dyDescent="0.2">
      <c r="A32" s="89">
        <v>29</v>
      </c>
      <c r="B32" s="84" t="s">
        <v>336</v>
      </c>
      <c r="C32" s="84" t="s">
        <v>139</v>
      </c>
      <c r="D32" s="83">
        <v>26</v>
      </c>
      <c r="E32" s="83" t="s">
        <v>68</v>
      </c>
      <c r="F32" s="83">
        <v>13</v>
      </c>
      <c r="G32" s="83">
        <v>11</v>
      </c>
      <c r="H32" s="83">
        <v>153</v>
      </c>
      <c r="I32" s="83">
        <v>601</v>
      </c>
      <c r="J32" s="83">
        <v>3</v>
      </c>
      <c r="K32" s="83">
        <v>42</v>
      </c>
      <c r="L32" s="83">
        <v>20</v>
      </c>
      <c r="M32" s="83">
        <v>3.9</v>
      </c>
      <c r="N32" s="83">
        <v>46.2</v>
      </c>
      <c r="O32" s="83">
        <v>1</v>
      </c>
    </row>
    <row r="33" spans="1:15" x14ac:dyDescent="0.2">
      <c r="A33" s="89" t="s">
        <v>902</v>
      </c>
      <c r="B33" s="89" t="s">
        <v>903</v>
      </c>
      <c r="C33" s="89" t="s">
        <v>1314</v>
      </c>
      <c r="D33" s="89" t="s">
        <v>905</v>
      </c>
      <c r="E33" s="89" t="s">
        <v>906</v>
      </c>
      <c r="F33" s="89" t="s">
        <v>1315</v>
      </c>
      <c r="G33" s="89" t="s">
        <v>1316</v>
      </c>
      <c r="H33" s="89" t="s">
        <v>1319</v>
      </c>
      <c r="I33" s="89" t="s">
        <v>799</v>
      </c>
      <c r="J33" s="89" t="s">
        <v>800</v>
      </c>
      <c r="K33" s="89" t="s">
        <v>1321</v>
      </c>
      <c r="L33" s="89" t="s">
        <v>917</v>
      </c>
      <c r="M33" s="89" t="s">
        <v>1322</v>
      </c>
      <c r="N33" s="89" t="s">
        <v>1325</v>
      </c>
      <c r="O33" s="89" t="s">
        <v>1416</v>
      </c>
    </row>
    <row r="34" spans="1:15" ht="16" x14ac:dyDescent="0.2">
      <c r="A34" s="89">
        <v>30</v>
      </c>
      <c r="B34" s="84" t="s">
        <v>180</v>
      </c>
      <c r="C34" s="84" t="s">
        <v>139</v>
      </c>
      <c r="D34" s="83">
        <v>22</v>
      </c>
      <c r="E34" s="83" t="s">
        <v>68</v>
      </c>
      <c r="F34" s="83">
        <v>13</v>
      </c>
      <c r="G34" s="83">
        <v>4</v>
      </c>
      <c r="H34" s="83">
        <v>151</v>
      </c>
      <c r="I34" s="83">
        <v>617</v>
      </c>
      <c r="J34" s="83">
        <v>5</v>
      </c>
      <c r="K34" s="83">
        <v>28</v>
      </c>
      <c r="L34" s="83">
        <v>57</v>
      </c>
      <c r="M34" s="83">
        <v>4.0999999999999996</v>
      </c>
      <c r="N34" s="83">
        <v>47.5</v>
      </c>
      <c r="O34" s="83">
        <v>2</v>
      </c>
    </row>
    <row r="35" spans="1:15" ht="16" x14ac:dyDescent="0.2">
      <c r="A35" s="89">
        <v>31</v>
      </c>
      <c r="B35" s="84" t="s">
        <v>888</v>
      </c>
      <c r="C35" s="84" t="s">
        <v>730</v>
      </c>
      <c r="D35" s="83">
        <v>24</v>
      </c>
      <c r="E35" s="83" t="s">
        <v>68</v>
      </c>
      <c r="F35" s="83">
        <v>12</v>
      </c>
      <c r="G35" s="83">
        <v>10</v>
      </c>
      <c r="H35" s="83">
        <v>149</v>
      </c>
      <c r="I35" s="83">
        <v>688</v>
      </c>
      <c r="J35" s="83">
        <v>5</v>
      </c>
      <c r="K35" s="83">
        <v>39</v>
      </c>
      <c r="L35" s="83">
        <v>29</v>
      </c>
      <c r="M35" s="83">
        <v>4.5999999999999996</v>
      </c>
      <c r="N35" s="83">
        <v>57.3</v>
      </c>
      <c r="O35" s="83">
        <v>0</v>
      </c>
    </row>
    <row r="36" spans="1:15" ht="16" x14ac:dyDescent="0.2">
      <c r="A36" s="89">
        <v>32</v>
      </c>
      <c r="B36" s="84" t="s">
        <v>283</v>
      </c>
      <c r="C36" s="84" t="s">
        <v>71</v>
      </c>
      <c r="D36" s="83">
        <v>22</v>
      </c>
      <c r="E36" s="83" t="s">
        <v>68</v>
      </c>
      <c r="F36" s="83">
        <v>14</v>
      </c>
      <c r="G36" s="83">
        <v>11</v>
      </c>
      <c r="H36" s="83">
        <v>147</v>
      </c>
      <c r="I36" s="83">
        <v>639</v>
      </c>
      <c r="J36" s="83">
        <v>4</v>
      </c>
      <c r="K36" s="83">
        <v>29</v>
      </c>
      <c r="L36" s="83">
        <v>55</v>
      </c>
      <c r="M36" s="83">
        <v>4.3</v>
      </c>
      <c r="N36" s="83">
        <v>45.6</v>
      </c>
      <c r="O36" s="83">
        <v>1</v>
      </c>
    </row>
    <row r="37" spans="1:15" ht="16" x14ac:dyDescent="0.2">
      <c r="A37" s="89">
        <v>33</v>
      </c>
      <c r="B37" s="84" t="s">
        <v>279</v>
      </c>
      <c r="C37" s="84" t="s">
        <v>92</v>
      </c>
      <c r="D37" s="83">
        <v>29</v>
      </c>
      <c r="E37" s="83" t="s">
        <v>68</v>
      </c>
      <c r="F37" s="83">
        <v>16</v>
      </c>
      <c r="G37" s="83">
        <v>4</v>
      </c>
      <c r="H37" s="83">
        <v>145</v>
      </c>
      <c r="I37" s="83">
        <v>593</v>
      </c>
      <c r="J37" s="83">
        <v>2</v>
      </c>
      <c r="K37" s="83">
        <v>31</v>
      </c>
      <c r="L37" s="83">
        <v>31</v>
      </c>
      <c r="M37" s="83">
        <v>4.0999999999999996</v>
      </c>
      <c r="N37" s="83">
        <v>37.1</v>
      </c>
      <c r="O37" s="83">
        <v>0</v>
      </c>
    </row>
    <row r="38" spans="1:15" ht="16" x14ac:dyDescent="0.2">
      <c r="A38" s="89">
        <v>34</v>
      </c>
      <c r="B38" s="84" t="s">
        <v>306</v>
      </c>
      <c r="C38" s="84" t="s">
        <v>1040</v>
      </c>
      <c r="D38" s="83">
        <v>26</v>
      </c>
      <c r="E38" s="83" t="s">
        <v>68</v>
      </c>
      <c r="F38" s="83">
        <v>17</v>
      </c>
      <c r="G38" s="83">
        <v>7</v>
      </c>
      <c r="H38" s="83">
        <v>144</v>
      </c>
      <c r="I38" s="83">
        <v>558</v>
      </c>
      <c r="J38" s="83">
        <v>6</v>
      </c>
      <c r="K38" s="83">
        <v>40</v>
      </c>
      <c r="L38" s="83">
        <v>21</v>
      </c>
      <c r="M38" s="83">
        <v>3.9</v>
      </c>
      <c r="N38" s="83">
        <v>32.799999999999997</v>
      </c>
      <c r="O38" s="83">
        <v>0</v>
      </c>
    </row>
    <row r="39" spans="1:15" ht="16" x14ac:dyDescent="0.2">
      <c r="A39" s="89">
        <v>35</v>
      </c>
      <c r="B39" s="84" t="s">
        <v>120</v>
      </c>
      <c r="C39" s="84" t="s">
        <v>102</v>
      </c>
      <c r="D39" s="83">
        <v>23</v>
      </c>
      <c r="E39" s="83" t="s">
        <v>79</v>
      </c>
      <c r="F39" s="83">
        <v>15</v>
      </c>
      <c r="G39" s="83">
        <v>15</v>
      </c>
      <c r="H39" s="83">
        <v>139</v>
      </c>
      <c r="I39" s="83">
        <v>784</v>
      </c>
      <c r="J39" s="83">
        <v>10</v>
      </c>
      <c r="K39" s="83">
        <v>56</v>
      </c>
      <c r="L39" s="83">
        <v>31</v>
      </c>
      <c r="M39" s="83">
        <v>5.6</v>
      </c>
      <c r="N39" s="83">
        <v>52.3</v>
      </c>
      <c r="O39" s="83">
        <v>9</v>
      </c>
    </row>
    <row r="40" spans="1:15" ht="16" x14ac:dyDescent="0.2">
      <c r="A40" s="89">
        <v>36</v>
      </c>
      <c r="B40" s="84" t="s">
        <v>198</v>
      </c>
      <c r="C40" s="84" t="s">
        <v>101</v>
      </c>
      <c r="D40" s="83">
        <v>28</v>
      </c>
      <c r="E40" s="83" t="s">
        <v>68</v>
      </c>
      <c r="F40" s="83">
        <v>17</v>
      </c>
      <c r="G40" s="83">
        <v>8</v>
      </c>
      <c r="H40" s="83">
        <v>138</v>
      </c>
      <c r="I40" s="83">
        <v>503</v>
      </c>
      <c r="J40" s="83">
        <v>3</v>
      </c>
      <c r="K40" s="83">
        <v>21</v>
      </c>
      <c r="L40" s="83">
        <v>18</v>
      </c>
      <c r="M40" s="83">
        <v>3.6</v>
      </c>
      <c r="N40" s="83">
        <v>29.6</v>
      </c>
      <c r="O40" s="83">
        <v>4</v>
      </c>
    </row>
    <row r="41" spans="1:15" ht="16" x14ac:dyDescent="0.2">
      <c r="A41" s="89">
        <v>37</v>
      </c>
      <c r="B41" s="84" t="s">
        <v>160</v>
      </c>
      <c r="C41" s="84" t="s">
        <v>102</v>
      </c>
      <c r="D41" s="83">
        <v>24</v>
      </c>
      <c r="E41" s="83" t="s">
        <v>68</v>
      </c>
      <c r="F41" s="83">
        <v>12</v>
      </c>
      <c r="G41" s="83">
        <v>12</v>
      </c>
      <c r="H41" s="83">
        <v>137</v>
      </c>
      <c r="I41" s="83">
        <v>754</v>
      </c>
      <c r="J41" s="83">
        <v>0</v>
      </c>
      <c r="K41" s="83">
        <v>33</v>
      </c>
      <c r="L41" s="83">
        <v>38</v>
      </c>
      <c r="M41" s="83">
        <v>5.5</v>
      </c>
      <c r="N41" s="83">
        <v>62.8</v>
      </c>
      <c r="O41" s="83">
        <v>1</v>
      </c>
    </row>
    <row r="42" spans="1:15" ht="16" x14ac:dyDescent="0.2">
      <c r="A42" s="89">
        <v>38</v>
      </c>
      <c r="B42" s="84" t="s">
        <v>356</v>
      </c>
      <c r="C42" s="84" t="s">
        <v>73</v>
      </c>
      <c r="D42" s="83">
        <v>23</v>
      </c>
      <c r="E42" s="83" t="s">
        <v>68</v>
      </c>
      <c r="F42" s="83">
        <v>16</v>
      </c>
      <c r="G42" s="83">
        <v>4</v>
      </c>
      <c r="H42" s="83">
        <v>134</v>
      </c>
      <c r="I42" s="83">
        <v>491</v>
      </c>
      <c r="J42" s="83">
        <v>3</v>
      </c>
      <c r="K42" s="83">
        <v>28</v>
      </c>
      <c r="L42" s="83">
        <v>48</v>
      </c>
      <c r="M42" s="83">
        <v>3.7</v>
      </c>
      <c r="N42" s="83">
        <v>30.7</v>
      </c>
      <c r="O42" s="83">
        <v>1</v>
      </c>
    </row>
    <row r="43" spans="1:15" ht="16" x14ac:dyDescent="0.2">
      <c r="A43" s="89">
        <v>39</v>
      </c>
      <c r="B43" s="84" t="s">
        <v>1808</v>
      </c>
      <c r="C43" s="84" t="s">
        <v>77</v>
      </c>
      <c r="D43" s="83">
        <v>25</v>
      </c>
      <c r="E43" s="83" t="s">
        <v>68</v>
      </c>
      <c r="F43" s="83">
        <v>9</v>
      </c>
      <c r="G43" s="83">
        <v>3</v>
      </c>
      <c r="H43" s="83">
        <v>133</v>
      </c>
      <c r="I43" s="83">
        <v>566</v>
      </c>
      <c r="J43" s="83">
        <v>3</v>
      </c>
      <c r="K43" s="83">
        <v>22</v>
      </c>
      <c r="L43" s="83">
        <v>35</v>
      </c>
      <c r="M43" s="83">
        <v>4.3</v>
      </c>
      <c r="N43" s="83">
        <v>62.9</v>
      </c>
      <c r="O43" s="83">
        <v>2</v>
      </c>
    </row>
    <row r="44" spans="1:15" ht="16" x14ac:dyDescent="0.2">
      <c r="A44" s="89">
        <v>40</v>
      </c>
      <c r="B44" s="84" t="s">
        <v>1772</v>
      </c>
      <c r="C44" s="84" t="s">
        <v>725</v>
      </c>
      <c r="D44" s="83">
        <v>29</v>
      </c>
      <c r="E44" s="83" t="s">
        <v>68</v>
      </c>
      <c r="F44" s="83">
        <v>16</v>
      </c>
      <c r="G44" s="83">
        <v>8</v>
      </c>
      <c r="H44" s="83">
        <v>133</v>
      </c>
      <c r="I44" s="83">
        <v>576</v>
      </c>
      <c r="J44" s="83">
        <v>5</v>
      </c>
      <c r="K44" s="83">
        <v>31</v>
      </c>
      <c r="L44" s="83">
        <v>32</v>
      </c>
      <c r="M44" s="83">
        <v>4.3</v>
      </c>
      <c r="N44" s="83">
        <v>36</v>
      </c>
      <c r="O44" s="83">
        <v>0</v>
      </c>
    </row>
    <row r="45" spans="1:15" ht="16" x14ac:dyDescent="0.2">
      <c r="A45" s="89">
        <v>41</v>
      </c>
      <c r="B45" s="84" t="s">
        <v>2642</v>
      </c>
      <c r="C45" s="84" t="s">
        <v>725</v>
      </c>
      <c r="D45" s="83">
        <v>24</v>
      </c>
      <c r="E45" s="83" t="s">
        <v>79</v>
      </c>
      <c r="F45" s="83">
        <v>12</v>
      </c>
      <c r="G45" s="83">
        <v>12</v>
      </c>
      <c r="H45" s="83">
        <v>133</v>
      </c>
      <c r="I45" s="83">
        <v>767</v>
      </c>
      <c r="J45" s="83">
        <v>2</v>
      </c>
      <c r="K45" s="83">
        <v>48</v>
      </c>
      <c r="L45" s="83">
        <v>31</v>
      </c>
      <c r="M45" s="83">
        <v>5.8</v>
      </c>
      <c r="N45" s="83">
        <v>63.9</v>
      </c>
      <c r="O45" s="83">
        <v>6</v>
      </c>
    </row>
    <row r="46" spans="1:15" ht="16" x14ac:dyDescent="0.2">
      <c r="A46" s="89">
        <v>42</v>
      </c>
      <c r="B46" s="84" t="s">
        <v>409</v>
      </c>
      <c r="C46" s="84" t="s">
        <v>1122</v>
      </c>
      <c r="D46" s="83">
        <v>23</v>
      </c>
      <c r="E46" s="83" t="s">
        <v>68</v>
      </c>
      <c r="F46" s="83">
        <v>12</v>
      </c>
      <c r="G46" s="83">
        <v>2</v>
      </c>
      <c r="H46" s="83">
        <v>133</v>
      </c>
      <c r="I46" s="83">
        <v>606</v>
      </c>
      <c r="J46" s="83">
        <v>5</v>
      </c>
      <c r="K46" s="83">
        <v>33</v>
      </c>
      <c r="L46" s="83">
        <v>21</v>
      </c>
      <c r="M46" s="83">
        <v>4.5999999999999996</v>
      </c>
      <c r="N46" s="83">
        <v>50.5</v>
      </c>
      <c r="O46" s="83">
        <v>2</v>
      </c>
    </row>
    <row r="47" spans="1:15" ht="16" x14ac:dyDescent="0.2">
      <c r="A47" s="89">
        <v>43</v>
      </c>
      <c r="B47" s="84" t="s">
        <v>1525</v>
      </c>
      <c r="C47" s="84" t="s">
        <v>729</v>
      </c>
      <c r="D47" s="83">
        <v>24</v>
      </c>
      <c r="E47" s="83" t="s">
        <v>68</v>
      </c>
      <c r="F47" s="83">
        <v>15</v>
      </c>
      <c r="G47" s="83">
        <v>0</v>
      </c>
      <c r="H47" s="83">
        <v>130</v>
      </c>
      <c r="I47" s="83">
        <v>719</v>
      </c>
      <c r="J47" s="83">
        <v>2</v>
      </c>
      <c r="K47" s="83">
        <v>35</v>
      </c>
      <c r="L47" s="83">
        <v>58</v>
      </c>
      <c r="M47" s="83">
        <v>5.5</v>
      </c>
      <c r="N47" s="83">
        <v>47.9</v>
      </c>
      <c r="O47" s="83">
        <v>2</v>
      </c>
    </row>
    <row r="48" spans="1:15" ht="16" x14ac:dyDescent="0.2">
      <c r="A48" s="89">
        <v>44</v>
      </c>
      <c r="B48" s="84" t="s">
        <v>97</v>
      </c>
      <c r="C48" s="84" t="s">
        <v>98</v>
      </c>
      <c r="D48" s="83">
        <v>25</v>
      </c>
      <c r="E48" s="83" t="s">
        <v>79</v>
      </c>
      <c r="F48" s="83">
        <v>17</v>
      </c>
      <c r="G48" s="83">
        <v>17</v>
      </c>
      <c r="H48" s="83">
        <v>122</v>
      </c>
      <c r="I48" s="83">
        <v>763</v>
      </c>
      <c r="J48" s="83">
        <v>6</v>
      </c>
      <c r="K48" s="83">
        <v>54</v>
      </c>
      <c r="L48" s="83">
        <v>34</v>
      </c>
      <c r="M48" s="83">
        <v>6.3</v>
      </c>
      <c r="N48" s="83">
        <v>44.9</v>
      </c>
      <c r="O48" s="83">
        <v>8</v>
      </c>
    </row>
    <row r="49" spans="1:15" ht="16" x14ac:dyDescent="0.2">
      <c r="A49" s="89">
        <v>45</v>
      </c>
      <c r="B49" s="84" t="s">
        <v>371</v>
      </c>
      <c r="C49" s="84" t="s">
        <v>122</v>
      </c>
      <c r="D49" s="83">
        <v>31</v>
      </c>
      <c r="E49" s="83" t="s">
        <v>68</v>
      </c>
      <c r="F49" s="83">
        <v>16</v>
      </c>
      <c r="G49" s="83">
        <v>5</v>
      </c>
      <c r="H49" s="83">
        <v>122</v>
      </c>
      <c r="I49" s="83">
        <v>427</v>
      </c>
      <c r="J49" s="83">
        <v>3</v>
      </c>
      <c r="K49" s="83">
        <v>30</v>
      </c>
      <c r="L49" s="83">
        <v>36</v>
      </c>
      <c r="M49" s="83">
        <v>3.5</v>
      </c>
      <c r="N49" s="83">
        <v>26.7</v>
      </c>
      <c r="O49" s="83">
        <v>1</v>
      </c>
    </row>
    <row r="50" spans="1:15" ht="16" x14ac:dyDescent="0.2">
      <c r="A50" s="89">
        <v>46</v>
      </c>
      <c r="B50" s="84" t="s">
        <v>151</v>
      </c>
      <c r="C50" s="84" t="s">
        <v>1040</v>
      </c>
      <c r="D50" s="83">
        <v>22</v>
      </c>
      <c r="E50" s="83" t="s">
        <v>68</v>
      </c>
      <c r="F50" s="83">
        <v>10</v>
      </c>
      <c r="G50" s="83">
        <v>10</v>
      </c>
      <c r="H50" s="83">
        <v>119</v>
      </c>
      <c r="I50" s="83">
        <v>517</v>
      </c>
      <c r="J50" s="83">
        <v>4</v>
      </c>
      <c r="K50" s="83">
        <v>21</v>
      </c>
      <c r="L50" s="83">
        <v>17</v>
      </c>
      <c r="M50" s="83">
        <v>4.3</v>
      </c>
      <c r="N50" s="83">
        <v>51.7</v>
      </c>
      <c r="O50" s="83">
        <v>2</v>
      </c>
    </row>
    <row r="51" spans="1:15" ht="16" x14ac:dyDescent="0.2">
      <c r="A51" s="89">
        <v>47</v>
      </c>
      <c r="B51" s="84" t="s">
        <v>1473</v>
      </c>
      <c r="C51" s="84" t="s">
        <v>725</v>
      </c>
      <c r="D51" s="83">
        <v>31</v>
      </c>
      <c r="E51" s="83" t="s">
        <v>68</v>
      </c>
      <c r="F51" s="83">
        <v>14</v>
      </c>
      <c r="G51" s="83">
        <v>6</v>
      </c>
      <c r="H51" s="83">
        <v>119</v>
      </c>
      <c r="I51" s="83">
        <v>501</v>
      </c>
      <c r="J51" s="83">
        <v>6</v>
      </c>
      <c r="K51" s="83">
        <v>36</v>
      </c>
      <c r="L51" s="83">
        <v>46</v>
      </c>
      <c r="M51" s="83">
        <v>4.2</v>
      </c>
      <c r="N51" s="83">
        <v>35.799999999999997</v>
      </c>
      <c r="O51" s="83">
        <v>0</v>
      </c>
    </row>
    <row r="52" spans="1:15" ht="16" x14ac:dyDescent="0.2">
      <c r="A52" s="89">
        <v>48</v>
      </c>
      <c r="B52" s="84" t="s">
        <v>351</v>
      </c>
      <c r="C52" s="84" t="s">
        <v>108</v>
      </c>
      <c r="D52" s="83">
        <v>25</v>
      </c>
      <c r="E52" s="83" t="s">
        <v>68</v>
      </c>
      <c r="F52" s="83">
        <v>10</v>
      </c>
      <c r="G52" s="83">
        <v>6</v>
      </c>
      <c r="H52" s="83">
        <v>119</v>
      </c>
      <c r="I52" s="83">
        <v>749</v>
      </c>
      <c r="J52" s="83">
        <v>6</v>
      </c>
      <c r="K52" s="83">
        <v>28</v>
      </c>
      <c r="L52" s="83">
        <v>62</v>
      </c>
      <c r="M52" s="83">
        <v>6.3</v>
      </c>
      <c r="N52" s="83">
        <v>74.900000000000006</v>
      </c>
      <c r="O52" s="83">
        <v>0</v>
      </c>
    </row>
    <row r="53" spans="1:15" ht="16" x14ac:dyDescent="0.2">
      <c r="A53" s="89">
        <v>49</v>
      </c>
      <c r="B53" s="84" t="s">
        <v>239</v>
      </c>
      <c r="C53" s="84" t="s">
        <v>78</v>
      </c>
      <c r="D53" s="83">
        <v>25</v>
      </c>
      <c r="E53" s="83" t="s">
        <v>68</v>
      </c>
      <c r="F53" s="83">
        <v>12</v>
      </c>
      <c r="G53" s="83">
        <v>11</v>
      </c>
      <c r="H53" s="83">
        <v>116</v>
      </c>
      <c r="I53" s="83">
        <v>592</v>
      </c>
      <c r="J53" s="83">
        <v>2</v>
      </c>
      <c r="K53" s="83">
        <v>32</v>
      </c>
      <c r="L53" s="83">
        <v>54</v>
      </c>
      <c r="M53" s="83">
        <v>5.0999999999999996</v>
      </c>
      <c r="N53" s="83">
        <v>49.3</v>
      </c>
      <c r="O53" s="83">
        <v>1</v>
      </c>
    </row>
    <row r="54" spans="1:15" ht="16" x14ac:dyDescent="0.2">
      <c r="A54" s="89">
        <v>50</v>
      </c>
      <c r="B54" s="84" t="s">
        <v>601</v>
      </c>
      <c r="C54" s="84" t="s">
        <v>108</v>
      </c>
      <c r="D54" s="83">
        <v>27</v>
      </c>
      <c r="E54" s="83" t="s">
        <v>68</v>
      </c>
      <c r="F54" s="83">
        <v>11</v>
      </c>
      <c r="G54" s="83">
        <v>6</v>
      </c>
      <c r="H54" s="83">
        <v>108</v>
      </c>
      <c r="I54" s="83">
        <v>411</v>
      </c>
      <c r="J54" s="83">
        <v>2</v>
      </c>
      <c r="K54" s="83">
        <v>22</v>
      </c>
      <c r="L54" s="83">
        <v>25</v>
      </c>
      <c r="M54" s="83">
        <v>3.8</v>
      </c>
      <c r="N54" s="83">
        <v>37.4</v>
      </c>
      <c r="O54" s="83">
        <v>1</v>
      </c>
    </row>
    <row r="55" spans="1:15" ht="16" x14ac:dyDescent="0.2">
      <c r="A55" s="89">
        <v>51</v>
      </c>
      <c r="B55" s="84" t="s">
        <v>2256</v>
      </c>
      <c r="C55" s="84" t="s">
        <v>727</v>
      </c>
      <c r="D55" s="83">
        <v>23</v>
      </c>
      <c r="E55" s="83" t="s">
        <v>68</v>
      </c>
      <c r="F55" s="83">
        <v>17</v>
      </c>
      <c r="G55" s="83">
        <v>2</v>
      </c>
      <c r="H55" s="83">
        <v>103</v>
      </c>
      <c r="I55" s="83">
        <v>433</v>
      </c>
      <c r="J55" s="83">
        <v>2</v>
      </c>
      <c r="K55" s="83">
        <v>24</v>
      </c>
      <c r="L55" s="83">
        <v>29</v>
      </c>
      <c r="M55" s="83">
        <v>4.2</v>
      </c>
      <c r="N55" s="83">
        <v>25.5</v>
      </c>
      <c r="O55" s="83">
        <v>1</v>
      </c>
    </row>
    <row r="56" spans="1:15" ht="16" x14ac:dyDescent="0.2">
      <c r="A56" s="89">
        <v>52</v>
      </c>
      <c r="B56" s="84" t="s">
        <v>1509</v>
      </c>
      <c r="C56" s="84" t="s">
        <v>976</v>
      </c>
      <c r="D56" s="83">
        <v>24</v>
      </c>
      <c r="E56" s="83" t="s">
        <v>68</v>
      </c>
      <c r="F56" s="83">
        <v>16</v>
      </c>
      <c r="G56" s="83">
        <v>3</v>
      </c>
      <c r="H56" s="83">
        <v>101</v>
      </c>
      <c r="I56" s="83">
        <v>428</v>
      </c>
      <c r="J56" s="83">
        <v>4</v>
      </c>
      <c r="K56" s="83">
        <v>25</v>
      </c>
      <c r="L56" s="83">
        <v>30</v>
      </c>
      <c r="M56" s="83">
        <v>4.2</v>
      </c>
      <c r="N56" s="83">
        <v>26.8</v>
      </c>
      <c r="O56" s="83">
        <v>2</v>
      </c>
    </row>
    <row r="57" spans="1:15" ht="16" x14ac:dyDescent="0.2">
      <c r="A57" s="89">
        <v>53</v>
      </c>
      <c r="B57" s="84" t="s">
        <v>398</v>
      </c>
      <c r="C57" s="84" t="s">
        <v>82</v>
      </c>
      <c r="D57" s="83">
        <v>25</v>
      </c>
      <c r="E57" s="83" t="s">
        <v>68</v>
      </c>
      <c r="F57" s="83">
        <v>17</v>
      </c>
      <c r="G57" s="83">
        <v>2</v>
      </c>
      <c r="H57" s="83">
        <v>100</v>
      </c>
      <c r="I57" s="83">
        <v>534</v>
      </c>
      <c r="J57" s="83">
        <v>3</v>
      </c>
      <c r="K57" s="83">
        <v>24</v>
      </c>
      <c r="L57" s="83">
        <v>30</v>
      </c>
      <c r="M57" s="83">
        <v>5.3</v>
      </c>
      <c r="N57" s="83">
        <v>31.4</v>
      </c>
      <c r="O57" s="83">
        <v>1</v>
      </c>
    </row>
    <row r="58" spans="1:15" ht="16" x14ac:dyDescent="0.2">
      <c r="A58" s="89">
        <v>54</v>
      </c>
      <c r="B58" s="84" t="s">
        <v>69</v>
      </c>
      <c r="C58" s="84" t="s">
        <v>70</v>
      </c>
      <c r="D58" s="83">
        <v>25</v>
      </c>
      <c r="E58" s="83" t="s">
        <v>68</v>
      </c>
      <c r="F58" s="83">
        <v>7</v>
      </c>
      <c r="G58" s="83">
        <v>7</v>
      </c>
      <c r="H58" s="83">
        <v>99</v>
      </c>
      <c r="I58" s="83">
        <v>442</v>
      </c>
      <c r="J58" s="83">
        <v>1</v>
      </c>
      <c r="K58" s="83">
        <v>20</v>
      </c>
      <c r="L58" s="83">
        <v>18</v>
      </c>
      <c r="M58" s="83">
        <v>4.5</v>
      </c>
      <c r="N58" s="83">
        <v>63.1</v>
      </c>
      <c r="O58" s="83">
        <v>1</v>
      </c>
    </row>
    <row r="59" spans="1:15" ht="16" x14ac:dyDescent="0.2">
      <c r="A59" s="89">
        <v>55</v>
      </c>
      <c r="B59" s="84" t="s">
        <v>270</v>
      </c>
      <c r="C59" s="84" t="s">
        <v>98</v>
      </c>
      <c r="D59" s="83">
        <v>24</v>
      </c>
      <c r="E59" s="83" t="s">
        <v>68</v>
      </c>
      <c r="F59" s="83">
        <v>13</v>
      </c>
      <c r="G59" s="83">
        <v>0</v>
      </c>
      <c r="H59" s="83">
        <v>96</v>
      </c>
      <c r="I59" s="83">
        <v>345</v>
      </c>
      <c r="J59" s="83">
        <v>4</v>
      </c>
      <c r="K59" s="83">
        <v>22</v>
      </c>
      <c r="L59" s="83">
        <v>17</v>
      </c>
      <c r="M59" s="83">
        <v>3.6</v>
      </c>
      <c r="N59" s="83">
        <v>26.5</v>
      </c>
      <c r="O59" s="83">
        <v>2</v>
      </c>
    </row>
    <row r="60" spans="1:15" ht="16" x14ac:dyDescent="0.2">
      <c r="A60" s="89">
        <v>56</v>
      </c>
      <c r="B60" s="84" t="s">
        <v>290</v>
      </c>
      <c r="C60" s="83" t="s">
        <v>1726</v>
      </c>
      <c r="D60" s="83">
        <v>27</v>
      </c>
      <c r="E60" s="83" t="s">
        <v>68</v>
      </c>
      <c r="F60" s="83">
        <v>14</v>
      </c>
      <c r="G60" s="83">
        <v>1</v>
      </c>
      <c r="H60" s="83">
        <v>88</v>
      </c>
      <c r="I60" s="83">
        <v>249</v>
      </c>
      <c r="J60" s="83">
        <v>1</v>
      </c>
      <c r="K60" s="83">
        <v>11</v>
      </c>
      <c r="L60" s="83">
        <v>35</v>
      </c>
      <c r="M60" s="83">
        <v>2.8</v>
      </c>
      <c r="N60" s="83">
        <v>17.8</v>
      </c>
      <c r="O60" s="83">
        <v>0</v>
      </c>
    </row>
    <row r="61" spans="1:15" ht="16" x14ac:dyDescent="0.2">
      <c r="A61" s="89">
        <v>57</v>
      </c>
      <c r="B61" s="84" t="s">
        <v>1339</v>
      </c>
      <c r="C61" s="84" t="s">
        <v>78</v>
      </c>
      <c r="D61" s="83">
        <v>24</v>
      </c>
      <c r="E61" s="83" t="s">
        <v>79</v>
      </c>
      <c r="F61" s="83">
        <v>14</v>
      </c>
      <c r="G61" s="83">
        <v>14</v>
      </c>
      <c r="H61" s="83">
        <v>88</v>
      </c>
      <c r="I61" s="83">
        <v>423</v>
      </c>
      <c r="J61" s="83">
        <v>5</v>
      </c>
      <c r="K61" s="83">
        <v>25</v>
      </c>
      <c r="L61" s="83">
        <v>57</v>
      </c>
      <c r="M61" s="83">
        <v>4.8</v>
      </c>
      <c r="N61" s="83">
        <v>30.2</v>
      </c>
      <c r="O61" s="83">
        <v>13</v>
      </c>
    </row>
    <row r="62" spans="1:15" ht="16" x14ac:dyDescent="0.2">
      <c r="A62" s="89">
        <v>58</v>
      </c>
      <c r="B62" s="84" t="s">
        <v>404</v>
      </c>
      <c r="C62" s="84" t="s">
        <v>102</v>
      </c>
      <c r="D62" s="83">
        <v>26</v>
      </c>
      <c r="E62" s="83" t="s">
        <v>68</v>
      </c>
      <c r="F62" s="83">
        <v>16</v>
      </c>
      <c r="G62" s="83">
        <v>4</v>
      </c>
      <c r="H62" s="83">
        <v>87</v>
      </c>
      <c r="I62" s="83">
        <v>373</v>
      </c>
      <c r="J62" s="83">
        <v>7</v>
      </c>
      <c r="K62" s="83">
        <v>24</v>
      </c>
      <c r="L62" s="83">
        <v>23</v>
      </c>
      <c r="M62" s="83">
        <v>4.3</v>
      </c>
      <c r="N62" s="83">
        <v>23.3</v>
      </c>
      <c r="O62" s="83">
        <v>1</v>
      </c>
    </row>
    <row r="63" spans="1:15" ht="16" x14ac:dyDescent="0.2">
      <c r="A63" s="89">
        <v>59</v>
      </c>
      <c r="B63" s="84" t="s">
        <v>526</v>
      </c>
      <c r="C63" s="84" t="s">
        <v>102</v>
      </c>
      <c r="D63" s="83">
        <v>27</v>
      </c>
      <c r="E63" s="83" t="s">
        <v>68</v>
      </c>
      <c r="F63" s="83">
        <v>7</v>
      </c>
      <c r="G63" s="83">
        <v>0</v>
      </c>
      <c r="H63" s="83">
        <v>86</v>
      </c>
      <c r="I63" s="83">
        <v>406</v>
      </c>
      <c r="J63" s="83">
        <v>3</v>
      </c>
      <c r="K63" s="83">
        <v>24</v>
      </c>
      <c r="L63" s="83">
        <v>25</v>
      </c>
      <c r="M63" s="83">
        <v>4.7</v>
      </c>
      <c r="N63" s="83">
        <v>58</v>
      </c>
      <c r="O63" s="83">
        <v>0</v>
      </c>
    </row>
    <row r="64" spans="1:15" x14ac:dyDescent="0.2">
      <c r="A64" s="89" t="s">
        <v>902</v>
      </c>
      <c r="B64" s="89" t="s">
        <v>903</v>
      </c>
      <c r="C64" s="89" t="s">
        <v>1314</v>
      </c>
      <c r="D64" s="89" t="s">
        <v>905</v>
      </c>
      <c r="E64" s="89" t="s">
        <v>906</v>
      </c>
      <c r="F64" s="89" t="s">
        <v>1315</v>
      </c>
      <c r="G64" s="89" t="s">
        <v>1316</v>
      </c>
      <c r="H64" s="89" t="s">
        <v>1319</v>
      </c>
      <c r="I64" s="89" t="s">
        <v>799</v>
      </c>
      <c r="J64" s="89" t="s">
        <v>800</v>
      </c>
      <c r="K64" s="89" t="s">
        <v>1321</v>
      </c>
      <c r="L64" s="89" t="s">
        <v>917</v>
      </c>
      <c r="M64" s="89" t="s">
        <v>1322</v>
      </c>
      <c r="N64" s="89" t="s">
        <v>1325</v>
      </c>
      <c r="O64" s="89" t="s">
        <v>1416</v>
      </c>
    </row>
    <row r="65" spans="1:15" ht="16" x14ac:dyDescent="0.2">
      <c r="A65" s="89">
        <v>60</v>
      </c>
      <c r="B65" s="84" t="s">
        <v>274</v>
      </c>
      <c r="C65" s="84" t="s">
        <v>71</v>
      </c>
      <c r="D65" s="83">
        <v>28</v>
      </c>
      <c r="E65" s="83" t="s">
        <v>68</v>
      </c>
      <c r="F65" s="83">
        <v>11</v>
      </c>
      <c r="G65" s="83">
        <v>5</v>
      </c>
      <c r="H65" s="83">
        <v>84</v>
      </c>
      <c r="I65" s="83">
        <v>356</v>
      </c>
      <c r="J65" s="83">
        <v>0</v>
      </c>
      <c r="K65" s="83">
        <v>19</v>
      </c>
      <c r="L65" s="83">
        <v>20</v>
      </c>
      <c r="M65" s="83">
        <v>4.2</v>
      </c>
      <c r="N65" s="83">
        <v>32.4</v>
      </c>
      <c r="O65" s="83">
        <v>0</v>
      </c>
    </row>
    <row r="66" spans="1:15" ht="16" x14ac:dyDescent="0.2">
      <c r="A66" s="89">
        <v>61</v>
      </c>
      <c r="B66" s="84" t="s">
        <v>900</v>
      </c>
      <c r="C66" s="84" t="s">
        <v>1087</v>
      </c>
      <c r="D66" s="83">
        <v>26</v>
      </c>
      <c r="E66" s="83" t="s">
        <v>68</v>
      </c>
      <c r="F66" s="83">
        <v>9</v>
      </c>
      <c r="G66" s="83">
        <v>4</v>
      </c>
      <c r="H66" s="83">
        <v>79</v>
      </c>
      <c r="I66" s="83">
        <v>294</v>
      </c>
      <c r="J66" s="83">
        <v>2</v>
      </c>
      <c r="K66" s="83">
        <v>19</v>
      </c>
      <c r="L66" s="83">
        <v>17</v>
      </c>
      <c r="M66" s="83">
        <v>3.7</v>
      </c>
      <c r="N66" s="83">
        <v>32.700000000000003</v>
      </c>
      <c r="O66" s="83">
        <v>1</v>
      </c>
    </row>
    <row r="67" spans="1:15" ht="16" x14ac:dyDescent="0.2">
      <c r="A67" s="89">
        <v>62</v>
      </c>
      <c r="B67" s="84" t="s">
        <v>213</v>
      </c>
      <c r="C67" s="84" t="s">
        <v>82</v>
      </c>
      <c r="D67" s="83">
        <v>26</v>
      </c>
      <c r="E67" s="83" t="s">
        <v>68</v>
      </c>
      <c r="F67" s="83">
        <v>8</v>
      </c>
      <c r="G67" s="83">
        <v>1</v>
      </c>
      <c r="H67" s="83">
        <v>78</v>
      </c>
      <c r="I67" s="83">
        <v>386</v>
      </c>
      <c r="J67" s="83">
        <v>5</v>
      </c>
      <c r="K67" s="83">
        <v>22</v>
      </c>
      <c r="L67" s="83">
        <v>33</v>
      </c>
      <c r="M67" s="83">
        <v>4.9000000000000004</v>
      </c>
      <c r="N67" s="83">
        <v>48.3</v>
      </c>
      <c r="O67" s="83">
        <v>0</v>
      </c>
    </row>
    <row r="68" spans="1:15" ht="16" x14ac:dyDescent="0.2">
      <c r="A68" s="89">
        <v>63</v>
      </c>
      <c r="B68" s="84" t="s">
        <v>152</v>
      </c>
      <c r="C68" s="84" t="s">
        <v>1052</v>
      </c>
      <c r="D68" s="83">
        <v>22</v>
      </c>
      <c r="E68" s="83" t="s">
        <v>79</v>
      </c>
      <c r="F68" s="83">
        <v>17</v>
      </c>
      <c r="G68" s="83">
        <v>17</v>
      </c>
      <c r="H68" s="83">
        <v>73</v>
      </c>
      <c r="I68" s="83">
        <v>334</v>
      </c>
      <c r="J68" s="83">
        <v>2</v>
      </c>
      <c r="K68" s="83">
        <v>22</v>
      </c>
      <c r="L68" s="83">
        <v>26</v>
      </c>
      <c r="M68" s="83">
        <v>4.5999999999999996</v>
      </c>
      <c r="N68" s="83">
        <v>19.600000000000001</v>
      </c>
      <c r="O68" s="83">
        <v>9</v>
      </c>
    </row>
    <row r="69" spans="1:15" ht="16" x14ac:dyDescent="0.2">
      <c r="A69" s="89">
        <v>64</v>
      </c>
      <c r="B69" s="84" t="s">
        <v>1302</v>
      </c>
      <c r="C69" s="84" t="s">
        <v>727</v>
      </c>
      <c r="D69" s="83">
        <v>22</v>
      </c>
      <c r="E69" s="83" t="s">
        <v>79</v>
      </c>
      <c r="F69" s="83">
        <v>12</v>
      </c>
      <c r="G69" s="83">
        <v>10</v>
      </c>
      <c r="H69" s="83">
        <v>72</v>
      </c>
      <c r="I69" s="83">
        <v>420</v>
      </c>
      <c r="J69" s="83">
        <v>2</v>
      </c>
      <c r="K69" s="83">
        <v>22</v>
      </c>
      <c r="L69" s="83">
        <v>23</v>
      </c>
      <c r="M69" s="83">
        <v>5.8</v>
      </c>
      <c r="N69" s="83">
        <v>35</v>
      </c>
      <c r="O69" s="83">
        <v>12</v>
      </c>
    </row>
    <row r="70" spans="1:15" ht="16" x14ac:dyDescent="0.2">
      <c r="A70" s="89">
        <v>65</v>
      </c>
      <c r="B70" s="84" t="s">
        <v>361</v>
      </c>
      <c r="C70" s="84" t="s">
        <v>1052</v>
      </c>
      <c r="D70" s="83">
        <v>31</v>
      </c>
      <c r="E70" s="83" t="s">
        <v>68</v>
      </c>
      <c r="F70" s="83">
        <v>12</v>
      </c>
      <c r="G70" s="83">
        <v>2</v>
      </c>
      <c r="H70" s="83">
        <v>72</v>
      </c>
      <c r="I70" s="83">
        <v>253</v>
      </c>
      <c r="J70" s="83">
        <v>1</v>
      </c>
      <c r="K70" s="83">
        <v>14</v>
      </c>
      <c r="L70" s="83">
        <v>18</v>
      </c>
      <c r="M70" s="83">
        <v>3.5</v>
      </c>
      <c r="N70" s="83">
        <v>21.1</v>
      </c>
      <c r="O70" s="83">
        <v>2</v>
      </c>
    </row>
    <row r="71" spans="1:15" ht="16" x14ac:dyDescent="0.2">
      <c r="A71" s="89">
        <v>66</v>
      </c>
      <c r="B71" s="84" t="s">
        <v>1752</v>
      </c>
      <c r="C71" s="84" t="s">
        <v>142</v>
      </c>
      <c r="D71" s="83">
        <v>28</v>
      </c>
      <c r="E71" s="83" t="s">
        <v>68</v>
      </c>
      <c r="F71" s="83">
        <v>5</v>
      </c>
      <c r="G71" s="83">
        <v>4</v>
      </c>
      <c r="H71" s="83">
        <v>71</v>
      </c>
      <c r="I71" s="83">
        <v>330</v>
      </c>
      <c r="J71" s="83">
        <v>3</v>
      </c>
      <c r="K71" s="83">
        <v>18</v>
      </c>
      <c r="L71" s="83">
        <v>27</v>
      </c>
      <c r="M71" s="83">
        <v>4.5999999999999996</v>
      </c>
      <c r="N71" s="83">
        <v>66</v>
      </c>
      <c r="O71" s="83">
        <v>0</v>
      </c>
    </row>
    <row r="72" spans="1:15" ht="16" x14ac:dyDescent="0.2">
      <c r="A72" s="89">
        <v>67</v>
      </c>
      <c r="B72" s="84" t="s">
        <v>156</v>
      </c>
      <c r="C72" s="84" t="s">
        <v>1257</v>
      </c>
      <c r="D72" s="83">
        <v>31</v>
      </c>
      <c r="E72" s="83" t="s">
        <v>79</v>
      </c>
      <c r="F72" s="83">
        <v>12</v>
      </c>
      <c r="G72" s="83">
        <v>9</v>
      </c>
      <c r="H72" s="83">
        <v>70</v>
      </c>
      <c r="I72" s="83">
        <v>374</v>
      </c>
      <c r="J72" s="83">
        <v>5</v>
      </c>
      <c r="K72" s="83">
        <v>26</v>
      </c>
      <c r="L72" s="83">
        <v>44</v>
      </c>
      <c r="M72" s="83">
        <v>5.3</v>
      </c>
      <c r="N72" s="83">
        <v>31.2</v>
      </c>
      <c r="O72" s="83">
        <v>2</v>
      </c>
    </row>
    <row r="73" spans="1:15" ht="16" x14ac:dyDescent="0.2">
      <c r="A73" s="89">
        <v>68</v>
      </c>
      <c r="B73" s="84" t="s">
        <v>373</v>
      </c>
      <c r="C73" s="84" t="s">
        <v>102</v>
      </c>
      <c r="D73" s="83">
        <v>22</v>
      </c>
      <c r="E73" s="83" t="s">
        <v>68</v>
      </c>
      <c r="F73" s="83">
        <v>16</v>
      </c>
      <c r="G73" s="83">
        <v>1</v>
      </c>
      <c r="H73" s="83">
        <v>68</v>
      </c>
      <c r="I73" s="83">
        <v>291</v>
      </c>
      <c r="J73" s="83">
        <v>5</v>
      </c>
      <c r="K73" s="83">
        <v>19</v>
      </c>
      <c r="L73" s="83">
        <v>18</v>
      </c>
      <c r="M73" s="83">
        <v>4.3</v>
      </c>
      <c r="N73" s="83">
        <v>18.2</v>
      </c>
      <c r="O73" s="83">
        <v>2</v>
      </c>
    </row>
    <row r="74" spans="1:15" ht="16" x14ac:dyDescent="0.2">
      <c r="A74" s="89">
        <v>69</v>
      </c>
      <c r="B74" s="84" t="s">
        <v>362</v>
      </c>
      <c r="C74" s="84" t="s">
        <v>118</v>
      </c>
      <c r="D74" s="83">
        <v>25</v>
      </c>
      <c r="E74" s="83" t="s">
        <v>68</v>
      </c>
      <c r="F74" s="83">
        <v>14</v>
      </c>
      <c r="G74" s="83">
        <v>2</v>
      </c>
      <c r="H74" s="83">
        <v>68</v>
      </c>
      <c r="I74" s="83">
        <v>364</v>
      </c>
      <c r="J74" s="83">
        <v>2</v>
      </c>
      <c r="K74" s="83">
        <v>18</v>
      </c>
      <c r="L74" s="83">
        <v>75</v>
      </c>
      <c r="M74" s="83">
        <v>5.4</v>
      </c>
      <c r="N74" s="83">
        <v>26</v>
      </c>
      <c r="O74" s="83">
        <v>1</v>
      </c>
    </row>
    <row r="75" spans="1:15" ht="16" x14ac:dyDescent="0.2">
      <c r="A75" s="89">
        <v>70</v>
      </c>
      <c r="B75" s="84" t="s">
        <v>472</v>
      </c>
      <c r="C75" s="84" t="s">
        <v>119</v>
      </c>
      <c r="D75" s="83">
        <v>22</v>
      </c>
      <c r="E75" s="83" t="s">
        <v>68</v>
      </c>
      <c r="F75" s="83">
        <v>17</v>
      </c>
      <c r="G75" s="83">
        <v>1</v>
      </c>
      <c r="H75" s="83">
        <v>68</v>
      </c>
      <c r="I75" s="83">
        <v>266</v>
      </c>
      <c r="J75" s="83">
        <v>2</v>
      </c>
      <c r="K75" s="83">
        <v>15</v>
      </c>
      <c r="L75" s="83">
        <v>13</v>
      </c>
      <c r="M75" s="83">
        <v>3.9</v>
      </c>
      <c r="N75" s="83">
        <v>15.6</v>
      </c>
      <c r="O75" s="83">
        <v>1</v>
      </c>
    </row>
    <row r="76" spans="1:15" ht="16" x14ac:dyDescent="0.2">
      <c r="A76" s="89">
        <v>71</v>
      </c>
      <c r="B76" s="84" t="s">
        <v>249</v>
      </c>
      <c r="C76" s="84" t="s">
        <v>122</v>
      </c>
      <c r="D76" s="83">
        <v>30</v>
      </c>
      <c r="E76" s="83" t="s">
        <v>68</v>
      </c>
      <c r="F76" s="83">
        <v>13</v>
      </c>
      <c r="G76" s="83">
        <v>4</v>
      </c>
      <c r="H76" s="83">
        <v>67</v>
      </c>
      <c r="I76" s="83">
        <v>228</v>
      </c>
      <c r="J76" s="83">
        <v>0</v>
      </c>
      <c r="K76" s="83">
        <v>7</v>
      </c>
      <c r="L76" s="83">
        <v>15</v>
      </c>
      <c r="M76" s="83">
        <v>3.4</v>
      </c>
      <c r="N76" s="83">
        <v>17.5</v>
      </c>
      <c r="O76" s="83">
        <v>1</v>
      </c>
    </row>
    <row r="77" spans="1:15" ht="16" x14ac:dyDescent="0.2">
      <c r="A77" s="89">
        <v>72</v>
      </c>
      <c r="B77" s="84" t="s">
        <v>1335</v>
      </c>
      <c r="C77" s="84" t="s">
        <v>1040</v>
      </c>
      <c r="D77" s="83">
        <v>26</v>
      </c>
      <c r="E77" s="83" t="s">
        <v>79</v>
      </c>
      <c r="F77" s="83">
        <v>17</v>
      </c>
      <c r="G77" s="83">
        <v>17</v>
      </c>
      <c r="H77" s="83">
        <v>66</v>
      </c>
      <c r="I77" s="83">
        <v>381</v>
      </c>
      <c r="J77" s="83">
        <v>2</v>
      </c>
      <c r="K77" s="83">
        <v>25</v>
      </c>
      <c r="L77" s="83">
        <v>32</v>
      </c>
      <c r="M77" s="83">
        <v>5.8</v>
      </c>
      <c r="N77" s="83">
        <v>22.4</v>
      </c>
      <c r="O77" s="83">
        <v>9</v>
      </c>
    </row>
    <row r="78" spans="1:15" ht="16" x14ac:dyDescent="0.2">
      <c r="A78" s="89">
        <v>73</v>
      </c>
      <c r="B78" s="84" t="s">
        <v>1487</v>
      </c>
      <c r="C78" s="84" t="s">
        <v>933</v>
      </c>
      <c r="D78" s="83">
        <v>27</v>
      </c>
      <c r="E78" s="83" t="s">
        <v>68</v>
      </c>
      <c r="F78" s="83">
        <v>12</v>
      </c>
      <c r="G78" s="83">
        <v>2</v>
      </c>
      <c r="H78" s="83">
        <v>63</v>
      </c>
      <c r="I78" s="83">
        <v>254</v>
      </c>
      <c r="J78" s="83">
        <v>2</v>
      </c>
      <c r="K78" s="83">
        <v>15</v>
      </c>
      <c r="L78" s="83">
        <v>21</v>
      </c>
      <c r="M78" s="83">
        <v>4</v>
      </c>
      <c r="N78" s="83">
        <v>21.2</v>
      </c>
      <c r="O78" s="83">
        <v>1</v>
      </c>
    </row>
    <row r="79" spans="1:15" ht="16" x14ac:dyDescent="0.2">
      <c r="A79" s="89">
        <v>74</v>
      </c>
      <c r="B79" s="84" t="s">
        <v>2641</v>
      </c>
      <c r="C79" s="84" t="s">
        <v>118</v>
      </c>
      <c r="D79" s="83">
        <v>23</v>
      </c>
      <c r="E79" s="83" t="s">
        <v>79</v>
      </c>
      <c r="F79" s="83">
        <v>17</v>
      </c>
      <c r="G79" s="83">
        <v>17</v>
      </c>
      <c r="H79" s="83">
        <v>63</v>
      </c>
      <c r="I79" s="83">
        <v>302</v>
      </c>
      <c r="J79" s="83">
        <v>3</v>
      </c>
      <c r="K79" s="83">
        <v>28</v>
      </c>
      <c r="L79" s="83">
        <v>36</v>
      </c>
      <c r="M79" s="83">
        <v>4.8</v>
      </c>
      <c r="N79" s="83">
        <v>17.8</v>
      </c>
      <c r="O79" s="83">
        <v>1</v>
      </c>
    </row>
    <row r="80" spans="1:15" ht="16" x14ac:dyDescent="0.2">
      <c r="A80" s="89">
        <v>75</v>
      </c>
      <c r="B80" s="84" t="s">
        <v>154</v>
      </c>
      <c r="C80" s="84" t="s">
        <v>92</v>
      </c>
      <c r="D80" s="83">
        <v>24</v>
      </c>
      <c r="E80" s="83" t="s">
        <v>79</v>
      </c>
      <c r="F80" s="83">
        <v>11</v>
      </c>
      <c r="G80" s="83">
        <v>11</v>
      </c>
      <c r="H80" s="83">
        <v>62</v>
      </c>
      <c r="I80" s="83">
        <v>298</v>
      </c>
      <c r="J80" s="83">
        <v>2</v>
      </c>
      <c r="K80" s="83">
        <v>16</v>
      </c>
      <c r="L80" s="83">
        <v>46</v>
      </c>
      <c r="M80" s="83">
        <v>4.8</v>
      </c>
      <c r="N80" s="83">
        <v>27.1</v>
      </c>
      <c r="O80" s="83">
        <v>7</v>
      </c>
    </row>
    <row r="81" spans="1:15" ht="16" x14ac:dyDescent="0.2">
      <c r="A81" s="89">
        <v>76</v>
      </c>
      <c r="B81" s="84" t="s">
        <v>385</v>
      </c>
      <c r="C81" s="84" t="s">
        <v>71</v>
      </c>
      <c r="D81" s="83">
        <v>24</v>
      </c>
      <c r="E81" s="83" t="s">
        <v>68</v>
      </c>
      <c r="F81" s="83">
        <v>16</v>
      </c>
      <c r="G81" s="83">
        <v>3</v>
      </c>
      <c r="H81" s="83">
        <v>61</v>
      </c>
      <c r="I81" s="83">
        <v>238</v>
      </c>
      <c r="J81" s="83">
        <v>2</v>
      </c>
      <c r="K81" s="83">
        <v>13</v>
      </c>
      <c r="L81" s="83">
        <v>24</v>
      </c>
      <c r="M81" s="83">
        <v>3.9</v>
      </c>
      <c r="N81" s="83">
        <v>14.9</v>
      </c>
      <c r="O81" s="83">
        <v>2</v>
      </c>
    </row>
    <row r="82" spans="1:15" ht="16" x14ac:dyDescent="0.2">
      <c r="A82" s="89">
        <v>77</v>
      </c>
      <c r="B82" s="84" t="s">
        <v>167</v>
      </c>
      <c r="C82" s="84" t="s">
        <v>119</v>
      </c>
      <c r="D82" s="83">
        <v>28</v>
      </c>
      <c r="E82" s="83" t="s">
        <v>79</v>
      </c>
      <c r="F82" s="83">
        <v>16</v>
      </c>
      <c r="G82" s="83">
        <v>15</v>
      </c>
      <c r="H82" s="83">
        <v>60</v>
      </c>
      <c r="I82" s="83">
        <v>313</v>
      </c>
      <c r="J82" s="83">
        <v>1</v>
      </c>
      <c r="K82" s="83">
        <v>20</v>
      </c>
      <c r="L82" s="83">
        <v>38</v>
      </c>
      <c r="M82" s="83">
        <v>5.2</v>
      </c>
      <c r="N82" s="83">
        <v>19.600000000000001</v>
      </c>
      <c r="O82" s="83">
        <v>7</v>
      </c>
    </row>
    <row r="83" spans="1:15" ht="16" x14ac:dyDescent="0.2">
      <c r="A83" s="89">
        <v>78</v>
      </c>
      <c r="B83" s="84" t="s">
        <v>3086</v>
      </c>
      <c r="C83" s="84" t="s">
        <v>1087</v>
      </c>
      <c r="D83" s="83">
        <v>25</v>
      </c>
      <c r="E83" s="83" t="s">
        <v>83</v>
      </c>
      <c r="F83" s="83">
        <v>16</v>
      </c>
      <c r="G83" s="83">
        <v>15</v>
      </c>
      <c r="H83" s="83">
        <v>59</v>
      </c>
      <c r="I83" s="83">
        <v>365</v>
      </c>
      <c r="J83" s="83">
        <v>8</v>
      </c>
      <c r="K83" s="83">
        <v>21</v>
      </c>
      <c r="L83" s="83">
        <v>49</v>
      </c>
      <c r="M83" s="83">
        <v>6.2</v>
      </c>
      <c r="N83" s="83">
        <v>22.8</v>
      </c>
      <c r="O83" s="83">
        <v>4</v>
      </c>
    </row>
    <row r="84" spans="1:15" ht="16" x14ac:dyDescent="0.2">
      <c r="A84" s="89">
        <v>79</v>
      </c>
      <c r="B84" s="84" t="s">
        <v>172</v>
      </c>
      <c r="C84" s="84" t="s">
        <v>107</v>
      </c>
      <c r="D84" s="83">
        <v>29</v>
      </c>
      <c r="E84" s="83" t="s">
        <v>79</v>
      </c>
      <c r="F84" s="83">
        <v>17</v>
      </c>
      <c r="G84" s="83">
        <v>17</v>
      </c>
      <c r="H84" s="83">
        <v>57</v>
      </c>
      <c r="I84" s="83">
        <v>215</v>
      </c>
      <c r="J84" s="83">
        <v>1</v>
      </c>
      <c r="K84" s="83">
        <v>21</v>
      </c>
      <c r="L84" s="83">
        <v>18</v>
      </c>
      <c r="M84" s="83">
        <v>3.8</v>
      </c>
      <c r="N84" s="83">
        <v>12.6</v>
      </c>
      <c r="O84" s="83">
        <v>8</v>
      </c>
    </row>
    <row r="85" spans="1:15" ht="16" x14ac:dyDescent="0.2">
      <c r="A85" s="89">
        <v>80</v>
      </c>
      <c r="B85" s="84" t="s">
        <v>370</v>
      </c>
      <c r="C85" s="83" t="s">
        <v>1726</v>
      </c>
      <c r="D85" s="83">
        <v>25</v>
      </c>
      <c r="E85" s="83" t="s">
        <v>68</v>
      </c>
      <c r="F85" s="83">
        <v>15</v>
      </c>
      <c r="G85" s="83">
        <v>0</v>
      </c>
      <c r="H85" s="83">
        <v>56</v>
      </c>
      <c r="I85" s="83">
        <v>169</v>
      </c>
      <c r="J85" s="83">
        <v>0</v>
      </c>
      <c r="K85" s="83">
        <v>8</v>
      </c>
      <c r="L85" s="83">
        <v>13</v>
      </c>
      <c r="M85" s="83">
        <v>3</v>
      </c>
      <c r="N85" s="83">
        <v>11.3</v>
      </c>
      <c r="O85" s="83">
        <v>0</v>
      </c>
    </row>
    <row r="86" spans="1:15" ht="16" x14ac:dyDescent="0.2">
      <c r="A86" s="89">
        <v>81</v>
      </c>
      <c r="B86" s="84" t="s">
        <v>576</v>
      </c>
      <c r="C86" s="84" t="s">
        <v>77</v>
      </c>
      <c r="D86" s="83">
        <v>26</v>
      </c>
      <c r="E86" s="83" t="s">
        <v>68</v>
      </c>
      <c r="F86" s="83">
        <v>8</v>
      </c>
      <c r="G86" s="83">
        <v>5</v>
      </c>
      <c r="H86" s="83">
        <v>56</v>
      </c>
      <c r="I86" s="83">
        <v>350</v>
      </c>
      <c r="J86" s="83">
        <v>2</v>
      </c>
      <c r="K86" s="83">
        <v>15</v>
      </c>
      <c r="L86" s="83">
        <v>68</v>
      </c>
      <c r="M86" s="83">
        <v>6.3</v>
      </c>
      <c r="N86" s="83">
        <v>43.8</v>
      </c>
      <c r="O86" s="83">
        <v>2</v>
      </c>
    </row>
    <row r="87" spans="1:15" ht="16" x14ac:dyDescent="0.2">
      <c r="A87" s="89">
        <v>82</v>
      </c>
      <c r="B87" s="84" t="s">
        <v>268</v>
      </c>
      <c r="C87" s="84" t="s">
        <v>107</v>
      </c>
      <c r="D87" s="83">
        <v>25</v>
      </c>
      <c r="E87" s="83" t="s">
        <v>68</v>
      </c>
      <c r="F87" s="83">
        <v>17</v>
      </c>
      <c r="G87" s="83">
        <v>4</v>
      </c>
      <c r="H87" s="83">
        <v>56</v>
      </c>
      <c r="I87" s="83">
        <v>276</v>
      </c>
      <c r="J87" s="83">
        <v>2</v>
      </c>
      <c r="K87" s="83">
        <v>15</v>
      </c>
      <c r="L87" s="83">
        <v>34</v>
      </c>
      <c r="M87" s="83">
        <v>4.9000000000000004</v>
      </c>
      <c r="N87" s="83">
        <v>16.2</v>
      </c>
      <c r="O87" s="83">
        <v>3</v>
      </c>
    </row>
    <row r="88" spans="1:15" ht="16" x14ac:dyDescent="0.2">
      <c r="A88" s="89">
        <v>83</v>
      </c>
      <c r="B88" s="84" t="s">
        <v>1723</v>
      </c>
      <c r="C88" s="84" t="s">
        <v>933</v>
      </c>
      <c r="D88" s="83">
        <v>27</v>
      </c>
      <c r="E88" s="83" t="s">
        <v>68</v>
      </c>
      <c r="F88" s="83">
        <v>10</v>
      </c>
      <c r="G88" s="83">
        <v>1</v>
      </c>
      <c r="H88" s="83">
        <v>55</v>
      </c>
      <c r="I88" s="83">
        <v>212</v>
      </c>
      <c r="J88" s="83">
        <v>2</v>
      </c>
      <c r="K88" s="83">
        <v>12</v>
      </c>
      <c r="L88" s="83">
        <v>27</v>
      </c>
      <c r="M88" s="83">
        <v>3.9</v>
      </c>
      <c r="N88" s="83">
        <v>21.2</v>
      </c>
      <c r="O88" s="83">
        <v>2</v>
      </c>
    </row>
    <row r="89" spans="1:15" ht="16" x14ac:dyDescent="0.2">
      <c r="A89" s="89">
        <v>84</v>
      </c>
      <c r="B89" s="84" t="s">
        <v>341</v>
      </c>
      <c r="C89" s="84" t="s">
        <v>74</v>
      </c>
      <c r="D89" s="83">
        <v>26</v>
      </c>
      <c r="E89" s="83" t="s">
        <v>68</v>
      </c>
      <c r="F89" s="83">
        <v>16</v>
      </c>
      <c r="G89" s="83">
        <v>0</v>
      </c>
      <c r="H89" s="83">
        <v>55</v>
      </c>
      <c r="I89" s="83">
        <v>246</v>
      </c>
      <c r="J89" s="83">
        <v>1</v>
      </c>
      <c r="K89" s="83">
        <v>11</v>
      </c>
      <c r="L89" s="83">
        <v>46</v>
      </c>
      <c r="M89" s="83">
        <v>4.5</v>
      </c>
      <c r="N89" s="83">
        <v>15.4</v>
      </c>
      <c r="O89" s="83">
        <v>0</v>
      </c>
    </row>
    <row r="90" spans="1:15" ht="16" x14ac:dyDescent="0.2">
      <c r="A90" s="89">
        <v>85</v>
      </c>
      <c r="B90" s="84" t="s">
        <v>2064</v>
      </c>
      <c r="C90" s="84" t="s">
        <v>139</v>
      </c>
      <c r="D90" s="83">
        <v>25</v>
      </c>
      <c r="E90" s="83" t="s">
        <v>68</v>
      </c>
      <c r="F90" s="83">
        <v>5</v>
      </c>
      <c r="G90" s="83">
        <v>2</v>
      </c>
      <c r="H90" s="83">
        <v>55</v>
      </c>
      <c r="I90" s="83">
        <v>230</v>
      </c>
      <c r="J90" s="83">
        <v>0</v>
      </c>
      <c r="K90" s="83">
        <v>11</v>
      </c>
      <c r="L90" s="83">
        <v>35</v>
      </c>
      <c r="M90" s="83">
        <v>4.2</v>
      </c>
      <c r="N90" s="83">
        <v>46</v>
      </c>
      <c r="O90" s="83">
        <v>0</v>
      </c>
    </row>
    <row r="91" spans="1:15" ht="16" x14ac:dyDescent="0.2">
      <c r="A91" s="89">
        <v>86</v>
      </c>
      <c r="B91" s="84" t="s">
        <v>116</v>
      </c>
      <c r="C91" s="84" t="s">
        <v>77</v>
      </c>
      <c r="D91" s="83">
        <v>33</v>
      </c>
      <c r="E91" s="83" t="s">
        <v>79</v>
      </c>
      <c r="F91" s="83">
        <v>17</v>
      </c>
      <c r="G91" s="83">
        <v>17</v>
      </c>
      <c r="H91" s="83">
        <v>55</v>
      </c>
      <c r="I91" s="83">
        <v>270</v>
      </c>
      <c r="J91" s="83">
        <v>7</v>
      </c>
      <c r="K91" s="83">
        <v>33</v>
      </c>
      <c r="L91" s="83">
        <v>28</v>
      </c>
      <c r="M91" s="83">
        <v>4.9000000000000004</v>
      </c>
      <c r="N91" s="83">
        <v>15.9</v>
      </c>
      <c r="O91" s="83">
        <v>10</v>
      </c>
    </row>
    <row r="92" spans="1:15" ht="16" x14ac:dyDescent="0.2">
      <c r="A92" s="89">
        <v>87</v>
      </c>
      <c r="B92" s="84" t="s">
        <v>302</v>
      </c>
      <c r="C92" s="84" t="s">
        <v>142</v>
      </c>
      <c r="D92" s="83">
        <v>23</v>
      </c>
      <c r="E92" s="83" t="s">
        <v>68</v>
      </c>
      <c r="F92" s="83">
        <v>12</v>
      </c>
      <c r="G92" s="83">
        <v>0</v>
      </c>
      <c r="H92" s="83">
        <v>54</v>
      </c>
      <c r="I92" s="83">
        <v>149</v>
      </c>
      <c r="J92" s="83">
        <v>0</v>
      </c>
      <c r="K92" s="83">
        <v>8</v>
      </c>
      <c r="L92" s="83">
        <v>16</v>
      </c>
      <c r="M92" s="83">
        <v>2.8</v>
      </c>
      <c r="N92" s="83">
        <v>12.4</v>
      </c>
      <c r="O92" s="83">
        <v>0</v>
      </c>
    </row>
    <row r="93" spans="1:15" ht="16" x14ac:dyDescent="0.2">
      <c r="A93" s="89">
        <v>88</v>
      </c>
      <c r="B93" s="84" t="s">
        <v>158</v>
      </c>
      <c r="C93" s="84" t="s">
        <v>108</v>
      </c>
      <c r="D93" s="83">
        <v>27</v>
      </c>
      <c r="E93" s="83" t="s">
        <v>68</v>
      </c>
      <c r="F93" s="83">
        <v>4</v>
      </c>
      <c r="G93" s="83">
        <v>4</v>
      </c>
      <c r="H93" s="83">
        <v>54</v>
      </c>
      <c r="I93" s="83">
        <v>232</v>
      </c>
      <c r="J93" s="83">
        <v>3</v>
      </c>
      <c r="K93" s="83">
        <v>11</v>
      </c>
      <c r="L93" s="83">
        <v>33</v>
      </c>
      <c r="M93" s="83">
        <v>4.3</v>
      </c>
      <c r="N93" s="83">
        <v>58</v>
      </c>
      <c r="O93" s="83">
        <v>1</v>
      </c>
    </row>
    <row r="94" spans="1:15" ht="16" x14ac:dyDescent="0.2">
      <c r="A94" s="89">
        <v>89</v>
      </c>
      <c r="B94" s="84" t="s">
        <v>1465</v>
      </c>
      <c r="C94" s="84" t="s">
        <v>1257</v>
      </c>
      <c r="D94" s="83">
        <v>24</v>
      </c>
      <c r="E94" s="83" t="s">
        <v>68</v>
      </c>
      <c r="F94" s="83">
        <v>11</v>
      </c>
      <c r="G94" s="83">
        <v>4</v>
      </c>
      <c r="H94" s="83">
        <v>54</v>
      </c>
      <c r="I94" s="83">
        <v>142</v>
      </c>
      <c r="J94" s="83">
        <v>0</v>
      </c>
      <c r="K94" s="83">
        <v>7</v>
      </c>
      <c r="L94" s="83">
        <v>11</v>
      </c>
      <c r="M94" s="83">
        <v>2.6</v>
      </c>
      <c r="N94" s="83">
        <v>12.9</v>
      </c>
      <c r="O94" s="83">
        <v>0</v>
      </c>
    </row>
    <row r="95" spans="1:15" x14ac:dyDescent="0.2">
      <c r="A95" s="89" t="s">
        <v>902</v>
      </c>
      <c r="B95" s="89" t="s">
        <v>903</v>
      </c>
      <c r="C95" s="89" t="s">
        <v>1314</v>
      </c>
      <c r="D95" s="89" t="s">
        <v>905</v>
      </c>
      <c r="E95" s="89" t="s">
        <v>906</v>
      </c>
      <c r="F95" s="89" t="s">
        <v>1315</v>
      </c>
      <c r="G95" s="89" t="s">
        <v>1316</v>
      </c>
      <c r="H95" s="89" t="s">
        <v>1319</v>
      </c>
      <c r="I95" s="89" t="s">
        <v>799</v>
      </c>
      <c r="J95" s="89" t="s">
        <v>800</v>
      </c>
      <c r="K95" s="89" t="s">
        <v>1321</v>
      </c>
      <c r="L95" s="89" t="s">
        <v>917</v>
      </c>
      <c r="M95" s="89" t="s">
        <v>1322</v>
      </c>
      <c r="N95" s="89" t="s">
        <v>1325</v>
      </c>
      <c r="O95" s="89" t="s">
        <v>1416</v>
      </c>
    </row>
    <row r="96" spans="1:15" ht="16" x14ac:dyDescent="0.2">
      <c r="A96" s="89">
        <v>90</v>
      </c>
      <c r="B96" s="84" t="s">
        <v>369</v>
      </c>
      <c r="C96" s="83" t="s">
        <v>1726</v>
      </c>
      <c r="D96" s="83">
        <v>28</v>
      </c>
      <c r="E96" s="83" t="s">
        <v>68</v>
      </c>
      <c r="F96" s="83">
        <v>17</v>
      </c>
      <c r="G96" s="83">
        <v>1</v>
      </c>
      <c r="H96" s="83">
        <v>51</v>
      </c>
      <c r="I96" s="83">
        <v>166</v>
      </c>
      <c r="J96" s="83">
        <v>0</v>
      </c>
      <c r="K96" s="83">
        <v>8</v>
      </c>
      <c r="L96" s="83">
        <v>15</v>
      </c>
      <c r="M96" s="83">
        <v>3.3</v>
      </c>
      <c r="N96" s="83">
        <v>9.8000000000000007</v>
      </c>
      <c r="O96" s="83">
        <v>0</v>
      </c>
    </row>
    <row r="97" spans="1:15" ht="16" x14ac:dyDescent="0.2">
      <c r="A97" s="89">
        <v>91</v>
      </c>
      <c r="B97" s="84" t="s">
        <v>2411</v>
      </c>
      <c r="C97" s="84" t="s">
        <v>1040</v>
      </c>
      <c r="D97" s="83">
        <v>27</v>
      </c>
      <c r="E97" s="83" t="s">
        <v>68</v>
      </c>
      <c r="F97" s="83">
        <v>11</v>
      </c>
      <c r="G97" s="83">
        <v>0</v>
      </c>
      <c r="H97" s="83">
        <v>51</v>
      </c>
      <c r="I97" s="83">
        <v>256</v>
      </c>
      <c r="J97" s="83">
        <v>2</v>
      </c>
      <c r="K97" s="83">
        <v>12</v>
      </c>
      <c r="L97" s="83">
        <v>51</v>
      </c>
      <c r="M97" s="83">
        <v>5</v>
      </c>
      <c r="N97" s="83">
        <v>23.3</v>
      </c>
      <c r="O97" s="83">
        <v>0</v>
      </c>
    </row>
    <row r="98" spans="1:15" ht="16" x14ac:dyDescent="0.2">
      <c r="A98" s="89">
        <v>92</v>
      </c>
      <c r="B98" s="84" t="s">
        <v>168</v>
      </c>
      <c r="C98" s="84" t="s">
        <v>70</v>
      </c>
      <c r="D98" s="83">
        <v>24</v>
      </c>
      <c r="E98" s="83" t="s">
        <v>79</v>
      </c>
      <c r="F98" s="83">
        <v>12</v>
      </c>
      <c r="G98" s="83">
        <v>11</v>
      </c>
      <c r="H98" s="83">
        <v>48</v>
      </c>
      <c r="I98" s="83">
        <v>222</v>
      </c>
      <c r="J98" s="83">
        <v>5</v>
      </c>
      <c r="K98" s="83">
        <v>20</v>
      </c>
      <c r="L98" s="83">
        <v>30</v>
      </c>
      <c r="M98" s="83">
        <v>4.5999999999999996</v>
      </c>
      <c r="N98" s="83">
        <v>18.5</v>
      </c>
      <c r="O98" s="83">
        <v>9</v>
      </c>
    </row>
    <row r="99" spans="1:15" ht="16" x14ac:dyDescent="0.2">
      <c r="A99" s="89">
        <v>93</v>
      </c>
      <c r="B99" s="84" t="s">
        <v>301</v>
      </c>
      <c r="C99" s="84" t="s">
        <v>119</v>
      </c>
      <c r="D99" s="83">
        <v>28</v>
      </c>
      <c r="E99" s="83" t="s">
        <v>83</v>
      </c>
      <c r="F99" s="83">
        <v>11</v>
      </c>
      <c r="G99" s="83">
        <v>3</v>
      </c>
      <c r="H99" s="83">
        <v>48</v>
      </c>
      <c r="I99" s="83">
        <v>212</v>
      </c>
      <c r="J99" s="83">
        <v>2</v>
      </c>
      <c r="K99" s="83">
        <v>14</v>
      </c>
      <c r="L99" s="83">
        <v>15</v>
      </c>
      <c r="M99" s="83">
        <v>4.4000000000000004</v>
      </c>
      <c r="N99" s="83">
        <v>19.3</v>
      </c>
      <c r="O99" s="83">
        <v>0</v>
      </c>
    </row>
    <row r="100" spans="1:15" ht="16" x14ac:dyDescent="0.2">
      <c r="A100" s="89">
        <v>94</v>
      </c>
      <c r="B100" s="84" t="s">
        <v>956</v>
      </c>
      <c r="C100" s="84" t="s">
        <v>729</v>
      </c>
      <c r="D100" s="83">
        <v>28</v>
      </c>
      <c r="E100" s="83" t="s">
        <v>79</v>
      </c>
      <c r="F100" s="83">
        <v>16</v>
      </c>
      <c r="G100" s="83">
        <v>16</v>
      </c>
      <c r="H100" s="83">
        <v>48</v>
      </c>
      <c r="I100" s="83">
        <v>146</v>
      </c>
      <c r="J100" s="83">
        <v>1</v>
      </c>
      <c r="K100" s="83">
        <v>7</v>
      </c>
      <c r="L100" s="83">
        <v>21</v>
      </c>
      <c r="M100" s="83">
        <v>3</v>
      </c>
      <c r="N100" s="83">
        <v>9.1</v>
      </c>
      <c r="O100" s="83">
        <v>14</v>
      </c>
    </row>
    <row r="101" spans="1:15" ht="16" x14ac:dyDescent="0.2">
      <c r="A101" s="89">
        <v>95</v>
      </c>
      <c r="B101" s="84" t="s">
        <v>1390</v>
      </c>
      <c r="C101" s="84" t="s">
        <v>725</v>
      </c>
      <c r="D101" s="83">
        <v>23</v>
      </c>
      <c r="E101" s="83" t="s">
        <v>79</v>
      </c>
      <c r="F101" s="83">
        <v>7</v>
      </c>
      <c r="G101" s="83">
        <v>4</v>
      </c>
      <c r="H101" s="83">
        <v>47</v>
      </c>
      <c r="I101" s="83">
        <v>294</v>
      </c>
      <c r="J101" s="83">
        <v>2</v>
      </c>
      <c r="K101" s="83">
        <v>22</v>
      </c>
      <c r="L101" s="83">
        <v>21</v>
      </c>
      <c r="M101" s="83">
        <v>6.3</v>
      </c>
      <c r="N101" s="83">
        <v>42</v>
      </c>
      <c r="O101" s="83">
        <v>4</v>
      </c>
    </row>
    <row r="102" spans="1:15" ht="16" x14ac:dyDescent="0.2">
      <c r="A102" s="89">
        <v>96</v>
      </c>
      <c r="B102" s="84" t="s">
        <v>140</v>
      </c>
      <c r="C102" s="84" t="s">
        <v>70</v>
      </c>
      <c r="D102" s="83">
        <v>32</v>
      </c>
      <c r="E102" s="83" t="s">
        <v>79</v>
      </c>
      <c r="F102" s="83">
        <v>8</v>
      </c>
      <c r="G102" s="83">
        <v>5</v>
      </c>
      <c r="H102" s="83">
        <v>47</v>
      </c>
      <c r="I102" s="83">
        <v>230</v>
      </c>
      <c r="J102" s="83">
        <v>5</v>
      </c>
      <c r="K102" s="83">
        <v>20</v>
      </c>
      <c r="L102" s="83">
        <v>33</v>
      </c>
      <c r="M102" s="83">
        <v>4.9000000000000004</v>
      </c>
      <c r="N102" s="83">
        <v>28.8</v>
      </c>
      <c r="O102" s="83">
        <v>4</v>
      </c>
    </row>
    <row r="103" spans="1:15" ht="16" x14ac:dyDescent="0.2">
      <c r="A103" s="89">
        <v>97</v>
      </c>
      <c r="B103" s="84" t="s">
        <v>456</v>
      </c>
      <c r="C103" s="84" t="s">
        <v>1122</v>
      </c>
      <c r="D103" s="83">
        <v>31</v>
      </c>
      <c r="E103" s="83" t="s">
        <v>68</v>
      </c>
      <c r="F103" s="83">
        <v>17</v>
      </c>
      <c r="G103" s="83">
        <v>1</v>
      </c>
      <c r="H103" s="83">
        <v>44</v>
      </c>
      <c r="I103" s="83">
        <v>226</v>
      </c>
      <c r="J103" s="83">
        <v>1</v>
      </c>
      <c r="K103" s="83">
        <v>12</v>
      </c>
      <c r="L103" s="83">
        <v>24</v>
      </c>
      <c r="M103" s="83">
        <v>5.0999999999999996</v>
      </c>
      <c r="N103" s="83">
        <v>13.3</v>
      </c>
      <c r="O103" s="83">
        <v>1</v>
      </c>
    </row>
    <row r="104" spans="1:15" ht="16" x14ac:dyDescent="0.2">
      <c r="A104" s="89">
        <v>98</v>
      </c>
      <c r="B104" s="84" t="s">
        <v>3094</v>
      </c>
      <c r="C104" s="84" t="s">
        <v>1122</v>
      </c>
      <c r="D104" s="83">
        <v>23</v>
      </c>
      <c r="E104" s="83" t="s">
        <v>79</v>
      </c>
      <c r="F104" s="83">
        <v>17</v>
      </c>
      <c r="G104" s="83">
        <v>17</v>
      </c>
      <c r="H104" s="83">
        <v>44</v>
      </c>
      <c r="I104" s="83">
        <v>129</v>
      </c>
      <c r="J104" s="83">
        <v>0</v>
      </c>
      <c r="K104" s="83">
        <v>22</v>
      </c>
      <c r="L104" s="83">
        <v>13</v>
      </c>
      <c r="M104" s="83">
        <v>2.9</v>
      </c>
      <c r="N104" s="83">
        <v>7.6</v>
      </c>
      <c r="O104" s="83">
        <v>7</v>
      </c>
    </row>
    <row r="105" spans="1:15" ht="16" x14ac:dyDescent="0.2">
      <c r="A105" s="89">
        <v>99</v>
      </c>
      <c r="B105" s="84" t="s">
        <v>440</v>
      </c>
      <c r="C105" s="84" t="s">
        <v>1052</v>
      </c>
      <c r="D105" s="83">
        <v>27</v>
      </c>
      <c r="E105" s="83" t="s">
        <v>68</v>
      </c>
      <c r="F105" s="83">
        <v>17</v>
      </c>
      <c r="G105" s="83">
        <v>2</v>
      </c>
      <c r="H105" s="83">
        <v>43</v>
      </c>
      <c r="I105" s="83">
        <v>137</v>
      </c>
      <c r="J105" s="83">
        <v>1</v>
      </c>
      <c r="K105" s="83">
        <v>5</v>
      </c>
      <c r="L105" s="83">
        <v>12</v>
      </c>
      <c r="M105" s="83">
        <v>3.2</v>
      </c>
      <c r="N105" s="83">
        <v>8.1</v>
      </c>
      <c r="O105" s="83">
        <v>0</v>
      </c>
    </row>
    <row r="106" spans="1:15" ht="16" x14ac:dyDescent="0.2">
      <c r="A106" s="89">
        <v>100</v>
      </c>
      <c r="B106" s="84" t="s">
        <v>1341</v>
      </c>
      <c r="C106" s="84" t="s">
        <v>108</v>
      </c>
      <c r="D106" s="83">
        <v>33</v>
      </c>
      <c r="E106" s="83" t="s">
        <v>79</v>
      </c>
      <c r="F106" s="83">
        <v>14</v>
      </c>
      <c r="G106" s="83">
        <v>14</v>
      </c>
      <c r="H106" s="83">
        <v>43</v>
      </c>
      <c r="I106" s="83">
        <v>183</v>
      </c>
      <c r="J106" s="83">
        <v>2</v>
      </c>
      <c r="K106" s="83">
        <v>17</v>
      </c>
      <c r="L106" s="83">
        <v>17</v>
      </c>
      <c r="M106" s="83">
        <v>4.3</v>
      </c>
      <c r="N106" s="83">
        <v>13.1</v>
      </c>
      <c r="O106" s="83">
        <v>6</v>
      </c>
    </row>
    <row r="107" spans="1:15" ht="16" x14ac:dyDescent="0.2">
      <c r="A107" s="89">
        <v>101</v>
      </c>
      <c r="B107" s="84" t="s">
        <v>161</v>
      </c>
      <c r="C107" s="84" t="s">
        <v>142</v>
      </c>
      <c r="D107" s="83">
        <v>23</v>
      </c>
      <c r="E107" s="83" t="s">
        <v>79</v>
      </c>
      <c r="F107" s="83">
        <v>13</v>
      </c>
      <c r="G107" s="83">
        <v>12</v>
      </c>
      <c r="H107" s="83">
        <v>42</v>
      </c>
      <c r="I107" s="83">
        <v>128</v>
      </c>
      <c r="J107" s="83">
        <v>3</v>
      </c>
      <c r="K107" s="83">
        <v>13</v>
      </c>
      <c r="L107" s="83">
        <v>23</v>
      </c>
      <c r="M107" s="83">
        <v>3</v>
      </c>
      <c r="N107" s="83">
        <v>9.8000000000000007</v>
      </c>
      <c r="O107" s="83">
        <v>9</v>
      </c>
    </row>
    <row r="108" spans="1:15" ht="16" x14ac:dyDescent="0.2">
      <c r="A108" s="89">
        <v>102</v>
      </c>
      <c r="B108" s="84" t="s">
        <v>547</v>
      </c>
      <c r="C108" s="84" t="s">
        <v>77</v>
      </c>
      <c r="D108" s="83">
        <v>26</v>
      </c>
      <c r="E108" s="83" t="s">
        <v>68</v>
      </c>
      <c r="F108" s="83">
        <v>14</v>
      </c>
      <c r="G108" s="83">
        <v>0</v>
      </c>
      <c r="H108" s="83">
        <v>41</v>
      </c>
      <c r="I108" s="83">
        <v>156</v>
      </c>
      <c r="J108" s="83">
        <v>0</v>
      </c>
      <c r="K108" s="83">
        <v>6</v>
      </c>
      <c r="L108" s="83">
        <v>14</v>
      </c>
      <c r="M108" s="83">
        <v>3.8</v>
      </c>
      <c r="N108" s="83">
        <v>11.1</v>
      </c>
      <c r="O108" s="83">
        <v>0</v>
      </c>
    </row>
    <row r="109" spans="1:15" ht="16" x14ac:dyDescent="0.2">
      <c r="A109" s="89">
        <v>103</v>
      </c>
      <c r="B109" s="84" t="s">
        <v>291</v>
      </c>
      <c r="C109" s="84" t="s">
        <v>1087</v>
      </c>
      <c r="D109" s="83">
        <v>22</v>
      </c>
      <c r="E109" s="83" t="s">
        <v>68</v>
      </c>
      <c r="F109" s="83">
        <v>9</v>
      </c>
      <c r="G109" s="83">
        <v>2</v>
      </c>
      <c r="H109" s="83">
        <v>41</v>
      </c>
      <c r="I109" s="83">
        <v>167</v>
      </c>
      <c r="J109" s="83">
        <v>1</v>
      </c>
      <c r="K109" s="83">
        <v>9</v>
      </c>
      <c r="L109" s="83">
        <v>16</v>
      </c>
      <c r="M109" s="83">
        <v>4.0999999999999996</v>
      </c>
      <c r="N109" s="83">
        <v>18.600000000000001</v>
      </c>
      <c r="O109" s="83">
        <v>0</v>
      </c>
    </row>
    <row r="110" spans="1:15" ht="16" x14ac:dyDescent="0.2">
      <c r="A110" s="89">
        <v>104</v>
      </c>
      <c r="B110" s="84" t="s">
        <v>132</v>
      </c>
      <c r="C110" s="84" t="s">
        <v>74</v>
      </c>
      <c r="D110" s="83">
        <v>25</v>
      </c>
      <c r="E110" s="83" t="s">
        <v>79</v>
      </c>
      <c r="F110" s="83">
        <v>16</v>
      </c>
      <c r="G110" s="83">
        <v>16</v>
      </c>
      <c r="H110" s="83">
        <v>40</v>
      </c>
      <c r="I110" s="83">
        <v>118</v>
      </c>
      <c r="J110" s="83">
        <v>2</v>
      </c>
      <c r="K110" s="83">
        <v>14</v>
      </c>
      <c r="L110" s="83">
        <v>12</v>
      </c>
      <c r="M110" s="83">
        <v>3</v>
      </c>
      <c r="N110" s="83">
        <v>7.4</v>
      </c>
      <c r="O110" s="83">
        <v>5</v>
      </c>
    </row>
    <row r="111" spans="1:15" ht="16" x14ac:dyDescent="0.2">
      <c r="A111" s="89">
        <v>105</v>
      </c>
      <c r="B111" s="84" t="s">
        <v>932</v>
      </c>
      <c r="C111" s="84" t="s">
        <v>933</v>
      </c>
      <c r="D111" s="83">
        <v>30</v>
      </c>
      <c r="E111" s="83" t="s">
        <v>79</v>
      </c>
      <c r="F111" s="83">
        <v>17</v>
      </c>
      <c r="G111" s="83">
        <v>17</v>
      </c>
      <c r="H111" s="83">
        <v>40</v>
      </c>
      <c r="I111" s="83">
        <v>108</v>
      </c>
      <c r="J111" s="83">
        <v>0</v>
      </c>
      <c r="K111" s="83">
        <v>9</v>
      </c>
      <c r="L111" s="83">
        <v>22</v>
      </c>
      <c r="M111" s="83">
        <v>2.7</v>
      </c>
      <c r="N111" s="83">
        <v>6.4</v>
      </c>
      <c r="O111" s="83">
        <v>13</v>
      </c>
    </row>
    <row r="112" spans="1:15" ht="16" x14ac:dyDescent="0.2">
      <c r="A112" s="89">
        <v>106</v>
      </c>
      <c r="B112" s="84" t="s">
        <v>128</v>
      </c>
      <c r="C112" s="84" t="s">
        <v>101</v>
      </c>
      <c r="D112" s="83">
        <v>36</v>
      </c>
      <c r="E112" s="83" t="s">
        <v>79</v>
      </c>
      <c r="F112" s="83">
        <v>17</v>
      </c>
      <c r="G112" s="83">
        <v>17</v>
      </c>
      <c r="H112" s="83">
        <v>40</v>
      </c>
      <c r="I112" s="83">
        <v>82</v>
      </c>
      <c r="J112" s="83">
        <v>1</v>
      </c>
      <c r="K112" s="83">
        <v>9</v>
      </c>
      <c r="L112" s="83">
        <v>17</v>
      </c>
      <c r="M112" s="83">
        <v>2.1</v>
      </c>
      <c r="N112" s="83">
        <v>4.8</v>
      </c>
      <c r="O112" s="83">
        <v>11</v>
      </c>
    </row>
    <row r="113" spans="1:15" ht="16" x14ac:dyDescent="0.2">
      <c r="A113" s="89">
        <v>107</v>
      </c>
      <c r="B113" s="84" t="s">
        <v>1490</v>
      </c>
      <c r="C113" s="84" t="s">
        <v>727</v>
      </c>
      <c r="D113" s="83">
        <v>29</v>
      </c>
      <c r="E113" s="83" t="s">
        <v>68</v>
      </c>
      <c r="F113" s="83">
        <v>12</v>
      </c>
      <c r="G113" s="83">
        <v>2</v>
      </c>
      <c r="H113" s="83">
        <v>40</v>
      </c>
      <c r="I113" s="83">
        <v>164</v>
      </c>
      <c r="J113" s="83">
        <v>2</v>
      </c>
      <c r="K113" s="83">
        <v>11</v>
      </c>
      <c r="L113" s="83">
        <v>23</v>
      </c>
      <c r="M113" s="83">
        <v>4.0999999999999996</v>
      </c>
      <c r="N113" s="83">
        <v>13.7</v>
      </c>
      <c r="O113" s="83">
        <v>0</v>
      </c>
    </row>
    <row r="114" spans="1:15" ht="16" x14ac:dyDescent="0.2">
      <c r="A114" s="89">
        <v>108</v>
      </c>
      <c r="B114" s="84" t="s">
        <v>1741</v>
      </c>
      <c r="C114" s="83" t="s">
        <v>1726</v>
      </c>
      <c r="D114" s="83">
        <v>29</v>
      </c>
      <c r="E114" s="83" t="s">
        <v>68</v>
      </c>
      <c r="F114" s="83">
        <v>8</v>
      </c>
      <c r="G114" s="83">
        <v>0</v>
      </c>
      <c r="H114" s="83">
        <v>39</v>
      </c>
      <c r="I114" s="83">
        <v>101</v>
      </c>
      <c r="J114" s="83">
        <v>2</v>
      </c>
      <c r="K114" s="83">
        <v>9</v>
      </c>
      <c r="L114" s="83">
        <v>12</v>
      </c>
      <c r="M114" s="83">
        <v>2.6</v>
      </c>
      <c r="N114" s="83">
        <v>12.6</v>
      </c>
      <c r="O114" s="83">
        <v>0</v>
      </c>
    </row>
    <row r="115" spans="1:15" ht="16" x14ac:dyDescent="0.2">
      <c r="A115" s="89">
        <v>109</v>
      </c>
      <c r="B115" s="84" t="s">
        <v>148</v>
      </c>
      <c r="C115" s="84" t="s">
        <v>1087</v>
      </c>
      <c r="D115" s="83">
        <v>30</v>
      </c>
      <c r="E115" s="83" t="s">
        <v>79</v>
      </c>
      <c r="F115" s="83">
        <v>15</v>
      </c>
      <c r="G115" s="83">
        <v>15</v>
      </c>
      <c r="H115" s="83">
        <v>38</v>
      </c>
      <c r="I115" s="83">
        <v>51</v>
      </c>
      <c r="J115" s="83">
        <v>3</v>
      </c>
      <c r="K115" s="83">
        <v>15</v>
      </c>
      <c r="L115" s="83">
        <v>7</v>
      </c>
      <c r="M115" s="83">
        <v>1.3</v>
      </c>
      <c r="N115" s="83">
        <v>3.4</v>
      </c>
      <c r="O115" s="83">
        <v>8</v>
      </c>
    </row>
    <row r="116" spans="1:15" ht="16" x14ac:dyDescent="0.2">
      <c r="A116" s="89">
        <v>110</v>
      </c>
      <c r="B116" s="84" t="s">
        <v>181</v>
      </c>
      <c r="C116" s="84" t="s">
        <v>1087</v>
      </c>
      <c r="D116" s="83">
        <v>21</v>
      </c>
      <c r="E116" s="83" t="s">
        <v>79</v>
      </c>
      <c r="F116" s="83">
        <v>6</v>
      </c>
      <c r="G116" s="83">
        <v>2</v>
      </c>
      <c r="H116" s="83">
        <v>38</v>
      </c>
      <c r="I116" s="83">
        <v>168</v>
      </c>
      <c r="J116" s="83">
        <v>1</v>
      </c>
      <c r="K116" s="83">
        <v>8</v>
      </c>
      <c r="L116" s="83">
        <v>15</v>
      </c>
      <c r="M116" s="83">
        <v>4.4000000000000004</v>
      </c>
      <c r="N116" s="83">
        <v>28</v>
      </c>
      <c r="O116" s="83">
        <v>0</v>
      </c>
    </row>
    <row r="117" spans="1:15" ht="16" x14ac:dyDescent="0.2">
      <c r="A117" s="89">
        <v>111</v>
      </c>
      <c r="B117" s="84" t="s">
        <v>1655</v>
      </c>
      <c r="C117" s="83" t="s">
        <v>1726</v>
      </c>
      <c r="D117" s="83">
        <v>36</v>
      </c>
      <c r="E117" s="83" t="s">
        <v>68</v>
      </c>
      <c r="F117" s="83">
        <v>4</v>
      </c>
      <c r="G117" s="83">
        <v>3</v>
      </c>
      <c r="H117" s="83">
        <v>38</v>
      </c>
      <c r="I117" s="83">
        <v>98</v>
      </c>
      <c r="J117" s="83">
        <v>2</v>
      </c>
      <c r="K117" s="83">
        <v>6</v>
      </c>
      <c r="L117" s="83">
        <v>16</v>
      </c>
      <c r="M117" s="83">
        <v>2.6</v>
      </c>
      <c r="N117" s="83">
        <v>24.5</v>
      </c>
      <c r="O117" s="83">
        <v>1</v>
      </c>
    </row>
    <row r="118" spans="1:15" ht="16" x14ac:dyDescent="0.2">
      <c r="A118" s="89">
        <v>112</v>
      </c>
      <c r="B118" s="84" t="s">
        <v>134</v>
      </c>
      <c r="C118" s="84" t="s">
        <v>82</v>
      </c>
      <c r="D118" s="83">
        <v>26</v>
      </c>
      <c r="E118" s="83" t="s">
        <v>79</v>
      </c>
      <c r="F118" s="83">
        <v>14</v>
      </c>
      <c r="G118" s="83">
        <v>14</v>
      </c>
      <c r="H118" s="83">
        <v>37</v>
      </c>
      <c r="I118" s="83">
        <v>134</v>
      </c>
      <c r="J118" s="83">
        <v>1</v>
      </c>
      <c r="K118" s="83">
        <v>12</v>
      </c>
      <c r="L118" s="83">
        <v>14</v>
      </c>
      <c r="M118" s="83">
        <v>3.6</v>
      </c>
      <c r="N118" s="83">
        <v>9.6</v>
      </c>
      <c r="O118" s="83">
        <v>6</v>
      </c>
    </row>
    <row r="119" spans="1:15" ht="16" x14ac:dyDescent="0.2">
      <c r="A119" s="89">
        <v>113</v>
      </c>
      <c r="B119" s="84" t="s">
        <v>1485</v>
      </c>
      <c r="C119" s="84" t="s">
        <v>118</v>
      </c>
      <c r="D119" s="83">
        <v>22</v>
      </c>
      <c r="E119" s="83" t="s">
        <v>68</v>
      </c>
      <c r="F119" s="83">
        <v>12</v>
      </c>
      <c r="G119" s="83">
        <v>0</v>
      </c>
      <c r="H119" s="83">
        <v>36</v>
      </c>
      <c r="I119" s="83">
        <v>87</v>
      </c>
      <c r="J119" s="83">
        <v>1</v>
      </c>
      <c r="K119" s="83">
        <v>5</v>
      </c>
      <c r="L119" s="83">
        <v>13</v>
      </c>
      <c r="M119" s="83">
        <v>2.4</v>
      </c>
      <c r="N119" s="83">
        <v>7.3</v>
      </c>
      <c r="O119" s="83">
        <v>0</v>
      </c>
    </row>
    <row r="120" spans="1:15" ht="16" x14ac:dyDescent="0.2">
      <c r="A120" s="89">
        <v>114</v>
      </c>
      <c r="B120" s="84" t="s">
        <v>358</v>
      </c>
      <c r="C120" s="84" t="s">
        <v>99</v>
      </c>
      <c r="D120" s="83">
        <v>23</v>
      </c>
      <c r="E120" s="83" t="s">
        <v>68</v>
      </c>
      <c r="F120" s="83">
        <v>17</v>
      </c>
      <c r="G120" s="83">
        <v>0</v>
      </c>
      <c r="H120" s="83">
        <v>36</v>
      </c>
      <c r="I120" s="83">
        <v>98</v>
      </c>
      <c r="J120" s="83">
        <v>0</v>
      </c>
      <c r="K120" s="83">
        <v>3</v>
      </c>
      <c r="L120" s="83">
        <v>9</v>
      </c>
      <c r="M120" s="83">
        <v>2.7</v>
      </c>
      <c r="N120" s="83">
        <v>5.8</v>
      </c>
      <c r="O120" s="83">
        <v>0</v>
      </c>
    </row>
    <row r="121" spans="1:15" ht="16" x14ac:dyDescent="0.2">
      <c r="A121" s="89">
        <v>115</v>
      </c>
      <c r="B121" s="84" t="s">
        <v>1804</v>
      </c>
      <c r="C121" s="84" t="s">
        <v>976</v>
      </c>
      <c r="D121" s="83">
        <v>24</v>
      </c>
      <c r="E121" s="83" t="s">
        <v>68</v>
      </c>
      <c r="F121" s="83">
        <v>12</v>
      </c>
      <c r="G121" s="83">
        <v>1</v>
      </c>
      <c r="H121" s="83">
        <v>36</v>
      </c>
      <c r="I121" s="83">
        <v>180</v>
      </c>
      <c r="J121" s="83">
        <v>2</v>
      </c>
      <c r="K121" s="83">
        <v>9</v>
      </c>
      <c r="L121" s="83">
        <v>55</v>
      </c>
      <c r="M121" s="83">
        <v>5</v>
      </c>
      <c r="N121" s="83">
        <v>15</v>
      </c>
      <c r="O121" s="83">
        <v>0</v>
      </c>
    </row>
    <row r="122" spans="1:15" ht="16" x14ac:dyDescent="0.2">
      <c r="A122" s="89">
        <v>116</v>
      </c>
      <c r="B122" s="84" t="s">
        <v>1482</v>
      </c>
      <c r="C122" s="84" t="s">
        <v>725</v>
      </c>
      <c r="D122" s="83">
        <v>25</v>
      </c>
      <c r="E122" s="83" t="s">
        <v>68</v>
      </c>
      <c r="F122" s="83">
        <v>13</v>
      </c>
      <c r="G122" s="83">
        <v>3</v>
      </c>
      <c r="H122" s="83">
        <v>35</v>
      </c>
      <c r="I122" s="83">
        <v>185</v>
      </c>
      <c r="J122" s="83">
        <v>1</v>
      </c>
      <c r="K122" s="83">
        <v>7</v>
      </c>
      <c r="L122" s="83">
        <v>35</v>
      </c>
      <c r="M122" s="83">
        <v>5.3</v>
      </c>
      <c r="N122" s="83">
        <v>14.2</v>
      </c>
      <c r="O122" s="83">
        <v>1</v>
      </c>
    </row>
    <row r="123" spans="1:15" ht="16" x14ac:dyDescent="0.2">
      <c r="A123" s="89">
        <v>117</v>
      </c>
      <c r="B123" s="84" t="s">
        <v>2292</v>
      </c>
      <c r="C123" s="84" t="s">
        <v>78</v>
      </c>
      <c r="D123" s="83">
        <v>22</v>
      </c>
      <c r="E123" s="83" t="s">
        <v>68</v>
      </c>
      <c r="F123" s="83">
        <v>9</v>
      </c>
      <c r="G123" s="83">
        <v>0</v>
      </c>
      <c r="H123" s="83">
        <v>34</v>
      </c>
      <c r="I123" s="83">
        <v>118</v>
      </c>
      <c r="J123" s="83">
        <v>1</v>
      </c>
      <c r="K123" s="83">
        <v>4</v>
      </c>
      <c r="L123" s="83">
        <v>21</v>
      </c>
      <c r="M123" s="83">
        <v>3.5</v>
      </c>
      <c r="N123" s="83">
        <v>13.1</v>
      </c>
      <c r="O123" s="83">
        <v>0</v>
      </c>
    </row>
    <row r="124" spans="1:15" ht="16" x14ac:dyDescent="0.2">
      <c r="A124" s="89">
        <v>118</v>
      </c>
      <c r="B124" s="84" t="s">
        <v>322</v>
      </c>
      <c r="C124" s="84" t="s">
        <v>142</v>
      </c>
      <c r="D124" s="83">
        <v>28</v>
      </c>
      <c r="E124" s="83" t="s">
        <v>68</v>
      </c>
      <c r="F124" s="83">
        <v>7</v>
      </c>
      <c r="G124" s="83">
        <v>3</v>
      </c>
      <c r="H124" s="83">
        <v>33</v>
      </c>
      <c r="I124" s="83">
        <v>125</v>
      </c>
      <c r="J124" s="83">
        <v>1</v>
      </c>
      <c r="K124" s="83">
        <v>6</v>
      </c>
      <c r="L124" s="83">
        <v>24</v>
      </c>
      <c r="M124" s="83">
        <v>3.8</v>
      </c>
      <c r="N124" s="83">
        <v>17.899999999999999</v>
      </c>
      <c r="O124" s="83">
        <v>0</v>
      </c>
    </row>
    <row r="125" spans="1:15" ht="16" x14ac:dyDescent="0.2">
      <c r="A125" s="89">
        <v>119</v>
      </c>
      <c r="B125" s="84" t="s">
        <v>1812</v>
      </c>
      <c r="C125" s="84" t="s">
        <v>729</v>
      </c>
      <c r="D125" s="83">
        <v>27</v>
      </c>
      <c r="E125" s="83" t="s">
        <v>68</v>
      </c>
      <c r="F125" s="83">
        <v>17</v>
      </c>
      <c r="G125" s="83">
        <v>0</v>
      </c>
      <c r="H125" s="83">
        <v>33</v>
      </c>
      <c r="I125" s="83">
        <v>140</v>
      </c>
      <c r="J125" s="83">
        <v>0</v>
      </c>
      <c r="K125" s="83">
        <v>7</v>
      </c>
      <c r="L125" s="83">
        <v>38</v>
      </c>
      <c r="M125" s="83">
        <v>4.2</v>
      </c>
      <c r="N125" s="83">
        <v>8.1999999999999993</v>
      </c>
      <c r="O125" s="83">
        <v>0</v>
      </c>
    </row>
    <row r="126" spans="1:15" x14ac:dyDescent="0.2">
      <c r="A126" s="89" t="s">
        <v>902</v>
      </c>
      <c r="B126" s="89" t="s">
        <v>903</v>
      </c>
      <c r="C126" s="89" t="s">
        <v>1314</v>
      </c>
      <c r="D126" s="89" t="s">
        <v>905</v>
      </c>
      <c r="E126" s="89" t="s">
        <v>906</v>
      </c>
      <c r="F126" s="89" t="s">
        <v>1315</v>
      </c>
      <c r="G126" s="89" t="s">
        <v>1316</v>
      </c>
      <c r="H126" s="89" t="s">
        <v>1319</v>
      </c>
      <c r="I126" s="89" t="s">
        <v>799</v>
      </c>
      <c r="J126" s="89" t="s">
        <v>800</v>
      </c>
      <c r="K126" s="89" t="s">
        <v>1321</v>
      </c>
      <c r="L126" s="89" t="s">
        <v>917</v>
      </c>
      <c r="M126" s="89" t="s">
        <v>1322</v>
      </c>
      <c r="N126" s="89" t="s">
        <v>1325</v>
      </c>
      <c r="O126" s="89" t="s">
        <v>1416</v>
      </c>
    </row>
    <row r="127" spans="1:15" ht="16" x14ac:dyDescent="0.2">
      <c r="A127" s="89">
        <v>120</v>
      </c>
      <c r="B127" s="84" t="s">
        <v>428</v>
      </c>
      <c r="C127" s="84" t="s">
        <v>108</v>
      </c>
      <c r="D127" s="83">
        <v>23</v>
      </c>
      <c r="E127" s="83" t="s">
        <v>68</v>
      </c>
      <c r="F127" s="83">
        <v>17</v>
      </c>
      <c r="G127" s="83">
        <v>0</v>
      </c>
      <c r="H127" s="83">
        <v>33</v>
      </c>
      <c r="I127" s="83">
        <v>138</v>
      </c>
      <c r="J127" s="83">
        <v>2</v>
      </c>
      <c r="K127" s="83">
        <v>10</v>
      </c>
      <c r="L127" s="83">
        <v>15</v>
      </c>
      <c r="M127" s="83">
        <v>4.2</v>
      </c>
      <c r="N127" s="83">
        <v>8.1</v>
      </c>
      <c r="O127" s="83">
        <v>1</v>
      </c>
    </row>
    <row r="128" spans="1:15" ht="16" x14ac:dyDescent="0.2">
      <c r="A128" s="89">
        <v>121</v>
      </c>
      <c r="B128" s="84" t="s">
        <v>285</v>
      </c>
      <c r="C128" s="84" t="s">
        <v>118</v>
      </c>
      <c r="D128" s="83">
        <v>24</v>
      </c>
      <c r="E128" s="83" t="s">
        <v>68</v>
      </c>
      <c r="F128" s="83">
        <v>10</v>
      </c>
      <c r="G128" s="83">
        <v>0</v>
      </c>
      <c r="H128" s="83">
        <v>33</v>
      </c>
      <c r="I128" s="83">
        <v>102</v>
      </c>
      <c r="J128" s="83">
        <v>0</v>
      </c>
      <c r="K128" s="83">
        <v>5</v>
      </c>
      <c r="L128" s="83">
        <v>14</v>
      </c>
      <c r="M128" s="83">
        <v>3.1</v>
      </c>
      <c r="N128" s="83">
        <v>10.199999999999999</v>
      </c>
      <c r="O128" s="83">
        <v>1</v>
      </c>
    </row>
    <row r="129" spans="1:15" ht="16" x14ac:dyDescent="0.2">
      <c r="A129" s="89">
        <v>122</v>
      </c>
      <c r="B129" s="84" t="s">
        <v>1347</v>
      </c>
      <c r="C129" s="84" t="s">
        <v>1267</v>
      </c>
      <c r="D129" s="83">
        <v>38</v>
      </c>
      <c r="E129" s="83" t="s">
        <v>79</v>
      </c>
      <c r="F129" s="83">
        <v>16</v>
      </c>
      <c r="G129" s="83">
        <v>16</v>
      </c>
      <c r="H129" s="83">
        <v>33</v>
      </c>
      <c r="I129" s="83">
        <v>101</v>
      </c>
      <c r="J129" s="83">
        <v>3</v>
      </c>
      <c r="K129" s="83">
        <v>10</v>
      </c>
      <c r="L129" s="83">
        <v>18</v>
      </c>
      <c r="M129" s="83">
        <v>3.1</v>
      </c>
      <c r="N129" s="83">
        <v>6.3</v>
      </c>
      <c r="O129" s="83">
        <v>3</v>
      </c>
    </row>
    <row r="130" spans="1:15" ht="16" x14ac:dyDescent="0.2">
      <c r="A130" s="89">
        <v>123</v>
      </c>
      <c r="B130" s="84" t="s">
        <v>1076</v>
      </c>
      <c r="C130" s="84" t="s">
        <v>730</v>
      </c>
      <c r="D130" s="83">
        <v>33</v>
      </c>
      <c r="E130" s="83" t="s">
        <v>79</v>
      </c>
      <c r="F130" s="83">
        <v>17</v>
      </c>
      <c r="G130" s="83">
        <v>17</v>
      </c>
      <c r="H130" s="83">
        <v>32</v>
      </c>
      <c r="I130" s="83">
        <v>43</v>
      </c>
      <c r="J130" s="83">
        <v>0</v>
      </c>
      <c r="K130" s="83">
        <v>8</v>
      </c>
      <c r="L130" s="83">
        <v>12</v>
      </c>
      <c r="M130" s="83">
        <v>1.3</v>
      </c>
      <c r="N130" s="83">
        <v>2.5</v>
      </c>
      <c r="O130" s="83">
        <v>5</v>
      </c>
    </row>
    <row r="131" spans="1:15" ht="16" x14ac:dyDescent="0.2">
      <c r="A131" s="89">
        <v>124</v>
      </c>
      <c r="B131" s="84" t="s">
        <v>155</v>
      </c>
      <c r="C131" s="84" t="s">
        <v>1257</v>
      </c>
      <c r="D131" s="83">
        <v>27</v>
      </c>
      <c r="E131" s="83" t="s">
        <v>79</v>
      </c>
      <c r="F131" s="83">
        <v>7</v>
      </c>
      <c r="G131" s="83">
        <v>7</v>
      </c>
      <c r="H131" s="83">
        <v>32</v>
      </c>
      <c r="I131" s="83">
        <v>166</v>
      </c>
      <c r="J131" s="83">
        <v>1</v>
      </c>
      <c r="K131" s="83">
        <v>17</v>
      </c>
      <c r="L131" s="83">
        <v>20</v>
      </c>
      <c r="M131" s="83">
        <v>5.2</v>
      </c>
      <c r="N131" s="83">
        <v>23.7</v>
      </c>
      <c r="O131" s="83">
        <v>2</v>
      </c>
    </row>
    <row r="132" spans="1:15" ht="16" x14ac:dyDescent="0.2">
      <c r="A132" s="89">
        <v>125</v>
      </c>
      <c r="B132" s="84" t="s">
        <v>164</v>
      </c>
      <c r="C132" s="84" t="s">
        <v>93</v>
      </c>
      <c r="D132" s="83">
        <v>29</v>
      </c>
      <c r="E132" s="83" t="s">
        <v>79</v>
      </c>
      <c r="F132" s="83">
        <v>14</v>
      </c>
      <c r="G132" s="83">
        <v>14</v>
      </c>
      <c r="H132" s="83">
        <v>30</v>
      </c>
      <c r="I132" s="83">
        <v>106</v>
      </c>
      <c r="J132" s="83">
        <v>2</v>
      </c>
      <c r="K132" s="83">
        <v>16</v>
      </c>
      <c r="L132" s="83">
        <v>13</v>
      </c>
      <c r="M132" s="83">
        <v>3.5</v>
      </c>
      <c r="N132" s="83">
        <v>7.6</v>
      </c>
      <c r="O132" s="83">
        <v>1</v>
      </c>
    </row>
    <row r="133" spans="1:15" ht="16" x14ac:dyDescent="0.2">
      <c r="A133" s="89">
        <v>126</v>
      </c>
      <c r="B133" s="84" t="s">
        <v>3093</v>
      </c>
      <c r="C133" s="84" t="s">
        <v>73</v>
      </c>
      <c r="D133" s="83">
        <v>33</v>
      </c>
      <c r="E133" s="83" t="s">
        <v>79</v>
      </c>
      <c r="F133" s="83">
        <v>16</v>
      </c>
      <c r="G133" s="83">
        <v>16</v>
      </c>
      <c r="H133" s="83">
        <v>29</v>
      </c>
      <c r="I133" s="83">
        <v>115</v>
      </c>
      <c r="J133" s="83">
        <v>1</v>
      </c>
      <c r="K133" s="83">
        <v>8</v>
      </c>
      <c r="L133" s="83">
        <v>29</v>
      </c>
      <c r="M133" s="83">
        <v>4</v>
      </c>
      <c r="N133" s="83">
        <v>7.2</v>
      </c>
      <c r="O133" s="83">
        <v>12</v>
      </c>
    </row>
    <row r="134" spans="1:15" ht="16" x14ac:dyDescent="0.2">
      <c r="A134" s="89">
        <v>127</v>
      </c>
      <c r="B134" s="84" t="s">
        <v>169</v>
      </c>
      <c r="C134" s="84" t="s">
        <v>71</v>
      </c>
      <c r="D134" s="83">
        <v>22</v>
      </c>
      <c r="E134" s="83" t="s">
        <v>79</v>
      </c>
      <c r="F134" s="83">
        <v>13</v>
      </c>
      <c r="G134" s="83">
        <v>13</v>
      </c>
      <c r="H134" s="83">
        <v>29</v>
      </c>
      <c r="I134" s="83">
        <v>185</v>
      </c>
      <c r="J134" s="83">
        <v>4</v>
      </c>
      <c r="K134" s="83">
        <v>10</v>
      </c>
      <c r="L134" s="83">
        <v>52</v>
      </c>
      <c r="M134" s="83">
        <v>6.4</v>
      </c>
      <c r="N134" s="83">
        <v>14.2</v>
      </c>
      <c r="O134" s="83">
        <v>5</v>
      </c>
    </row>
    <row r="135" spans="1:15" ht="16" x14ac:dyDescent="0.2">
      <c r="A135" s="89">
        <v>128</v>
      </c>
      <c r="B135" s="84" t="s">
        <v>2640</v>
      </c>
      <c r="C135" s="84" t="s">
        <v>976</v>
      </c>
      <c r="D135" s="83">
        <v>44</v>
      </c>
      <c r="E135" s="83" t="s">
        <v>79</v>
      </c>
      <c r="F135" s="83">
        <v>17</v>
      </c>
      <c r="G135" s="83">
        <v>17</v>
      </c>
      <c r="H135" s="83">
        <v>28</v>
      </c>
      <c r="I135" s="83">
        <v>81</v>
      </c>
      <c r="J135" s="83">
        <v>2</v>
      </c>
      <c r="K135" s="83">
        <v>14</v>
      </c>
      <c r="L135" s="83">
        <v>13</v>
      </c>
      <c r="M135" s="83">
        <v>2.9</v>
      </c>
      <c r="N135" s="83">
        <v>4.8</v>
      </c>
      <c r="O135" s="83">
        <v>4</v>
      </c>
    </row>
    <row r="136" spans="1:15" ht="16" x14ac:dyDescent="0.2">
      <c r="A136" s="89">
        <v>129</v>
      </c>
      <c r="B136" s="84" t="s">
        <v>894</v>
      </c>
      <c r="C136" s="83" t="s">
        <v>1726</v>
      </c>
      <c r="D136" s="83">
        <v>27</v>
      </c>
      <c r="E136" s="83" t="s">
        <v>68</v>
      </c>
      <c r="F136" s="83">
        <v>8</v>
      </c>
      <c r="G136" s="83">
        <v>0</v>
      </c>
      <c r="H136" s="83">
        <v>28</v>
      </c>
      <c r="I136" s="83">
        <v>104</v>
      </c>
      <c r="J136" s="83">
        <v>0</v>
      </c>
      <c r="K136" s="83">
        <v>5</v>
      </c>
      <c r="L136" s="83">
        <v>17</v>
      </c>
      <c r="M136" s="83">
        <v>3.7</v>
      </c>
      <c r="N136" s="83">
        <v>13</v>
      </c>
      <c r="O136" s="83">
        <v>0</v>
      </c>
    </row>
    <row r="137" spans="1:15" ht="16" x14ac:dyDescent="0.2">
      <c r="A137" s="89">
        <v>130</v>
      </c>
      <c r="B137" s="84" t="s">
        <v>352</v>
      </c>
      <c r="C137" s="84" t="s">
        <v>107</v>
      </c>
      <c r="D137" s="83">
        <v>25</v>
      </c>
      <c r="E137" s="83" t="s">
        <v>68</v>
      </c>
      <c r="F137" s="83">
        <v>6</v>
      </c>
      <c r="G137" s="83">
        <v>0</v>
      </c>
      <c r="H137" s="83">
        <v>28</v>
      </c>
      <c r="I137" s="83">
        <v>101</v>
      </c>
      <c r="J137" s="83">
        <v>0</v>
      </c>
      <c r="K137" s="83">
        <v>6</v>
      </c>
      <c r="L137" s="83">
        <v>22</v>
      </c>
      <c r="M137" s="83">
        <v>3.6</v>
      </c>
      <c r="N137" s="83">
        <v>16.8</v>
      </c>
      <c r="O137" s="83">
        <v>0</v>
      </c>
    </row>
    <row r="138" spans="1:15" ht="16" x14ac:dyDescent="0.2">
      <c r="A138" s="89">
        <v>131</v>
      </c>
      <c r="B138" s="84" t="s">
        <v>327</v>
      </c>
      <c r="C138" s="84" t="s">
        <v>98</v>
      </c>
      <c r="D138" s="83">
        <v>26</v>
      </c>
      <c r="E138" s="83" t="s">
        <v>68</v>
      </c>
      <c r="F138" s="83">
        <v>9</v>
      </c>
      <c r="G138" s="83">
        <v>0</v>
      </c>
      <c r="H138" s="83">
        <v>26</v>
      </c>
      <c r="I138" s="83">
        <v>125</v>
      </c>
      <c r="J138" s="83">
        <v>1</v>
      </c>
      <c r="K138" s="83">
        <v>5</v>
      </c>
      <c r="L138" s="83">
        <v>28</v>
      </c>
      <c r="M138" s="83">
        <v>4.8</v>
      </c>
      <c r="N138" s="83">
        <v>13.9</v>
      </c>
      <c r="O138" s="83">
        <v>1</v>
      </c>
    </row>
    <row r="139" spans="1:15" ht="16" x14ac:dyDescent="0.2">
      <c r="A139" s="89">
        <v>132</v>
      </c>
      <c r="B139" s="84" t="s">
        <v>446</v>
      </c>
      <c r="C139" s="84" t="s">
        <v>71</v>
      </c>
      <c r="D139" s="83">
        <v>25</v>
      </c>
      <c r="E139" s="83" t="s">
        <v>68</v>
      </c>
      <c r="F139" s="83">
        <v>4</v>
      </c>
      <c r="G139" s="83">
        <v>0</v>
      </c>
      <c r="H139" s="83">
        <v>26</v>
      </c>
      <c r="I139" s="83">
        <v>101</v>
      </c>
      <c r="J139" s="83">
        <v>1</v>
      </c>
      <c r="K139" s="83">
        <v>5</v>
      </c>
      <c r="L139" s="83">
        <v>14</v>
      </c>
      <c r="M139" s="83">
        <v>3.9</v>
      </c>
      <c r="N139" s="83">
        <v>25.3</v>
      </c>
      <c r="O139" s="83">
        <v>0</v>
      </c>
    </row>
    <row r="140" spans="1:15" ht="16" x14ac:dyDescent="0.2">
      <c r="A140" s="89">
        <v>133</v>
      </c>
      <c r="B140" s="84" t="s">
        <v>1901</v>
      </c>
      <c r="C140" s="84" t="s">
        <v>92</v>
      </c>
      <c r="D140" s="83">
        <v>28</v>
      </c>
      <c r="E140" s="83" t="s">
        <v>68</v>
      </c>
      <c r="F140" s="83">
        <v>17</v>
      </c>
      <c r="G140" s="83">
        <v>3</v>
      </c>
      <c r="H140" s="83">
        <v>24</v>
      </c>
      <c r="I140" s="83">
        <v>99</v>
      </c>
      <c r="J140" s="83">
        <v>1</v>
      </c>
      <c r="K140" s="83">
        <v>9</v>
      </c>
      <c r="L140" s="83">
        <v>12</v>
      </c>
      <c r="M140" s="83">
        <v>4.0999999999999996</v>
      </c>
      <c r="N140" s="83">
        <v>5.8</v>
      </c>
      <c r="O140" s="83">
        <v>0</v>
      </c>
    </row>
    <row r="141" spans="1:15" ht="16" x14ac:dyDescent="0.2">
      <c r="A141" s="89">
        <v>134</v>
      </c>
      <c r="B141" s="84" t="s">
        <v>2465</v>
      </c>
      <c r="C141" s="84" t="s">
        <v>1267</v>
      </c>
      <c r="D141" s="83">
        <v>23</v>
      </c>
      <c r="E141" s="83" t="s">
        <v>68</v>
      </c>
      <c r="F141" s="83">
        <v>9</v>
      </c>
      <c r="G141" s="83">
        <v>0</v>
      </c>
      <c r="H141" s="83">
        <v>23</v>
      </c>
      <c r="I141" s="83">
        <v>89</v>
      </c>
      <c r="J141" s="83">
        <v>1</v>
      </c>
      <c r="K141" s="83">
        <v>5</v>
      </c>
      <c r="L141" s="83">
        <v>12</v>
      </c>
      <c r="M141" s="83">
        <v>3.9</v>
      </c>
      <c r="N141" s="83">
        <v>9.9</v>
      </c>
      <c r="O141" s="83">
        <v>0</v>
      </c>
    </row>
    <row r="142" spans="1:15" ht="16" x14ac:dyDescent="0.2">
      <c r="A142" s="89">
        <v>135</v>
      </c>
      <c r="B142" s="84" t="s">
        <v>218</v>
      </c>
      <c r="C142" s="84" t="s">
        <v>78</v>
      </c>
      <c r="D142" s="83">
        <v>35</v>
      </c>
      <c r="E142" s="83" t="s">
        <v>79</v>
      </c>
      <c r="F142" s="83">
        <v>8</v>
      </c>
      <c r="G142" s="83">
        <v>3</v>
      </c>
      <c r="H142" s="83">
        <v>22</v>
      </c>
      <c r="I142" s="83">
        <v>37</v>
      </c>
      <c r="J142" s="83">
        <v>0</v>
      </c>
      <c r="K142" s="83">
        <v>6</v>
      </c>
      <c r="L142" s="83">
        <v>11</v>
      </c>
      <c r="M142" s="83">
        <v>1.7</v>
      </c>
      <c r="N142" s="83">
        <v>4.5999999999999996</v>
      </c>
      <c r="O142" s="83">
        <v>4</v>
      </c>
    </row>
    <row r="143" spans="1:15" ht="16" x14ac:dyDescent="0.2">
      <c r="A143" s="89">
        <v>136</v>
      </c>
      <c r="B143" s="84" t="s">
        <v>389</v>
      </c>
      <c r="C143" s="84" t="s">
        <v>108</v>
      </c>
      <c r="D143" s="83">
        <v>23</v>
      </c>
      <c r="E143" s="83" t="s">
        <v>68</v>
      </c>
      <c r="F143" s="83">
        <v>14</v>
      </c>
      <c r="G143" s="83">
        <v>0</v>
      </c>
      <c r="H143" s="83">
        <v>21</v>
      </c>
      <c r="I143" s="83">
        <v>177</v>
      </c>
      <c r="J143" s="83">
        <v>1</v>
      </c>
      <c r="K143" s="83">
        <v>7</v>
      </c>
      <c r="L143" s="83">
        <v>73</v>
      </c>
      <c r="M143" s="83">
        <v>8.4</v>
      </c>
      <c r="N143" s="83">
        <v>12.6</v>
      </c>
      <c r="O143" s="83">
        <v>0</v>
      </c>
    </row>
    <row r="144" spans="1:15" ht="16" x14ac:dyDescent="0.2">
      <c r="A144" s="89">
        <v>137</v>
      </c>
      <c r="B144" s="84" t="s">
        <v>395</v>
      </c>
      <c r="C144" s="84" t="s">
        <v>101</v>
      </c>
      <c r="D144" s="83">
        <v>25</v>
      </c>
      <c r="E144" s="83" t="s">
        <v>68</v>
      </c>
      <c r="F144" s="83">
        <v>8</v>
      </c>
      <c r="G144" s="83">
        <v>0</v>
      </c>
      <c r="H144" s="83">
        <v>21</v>
      </c>
      <c r="I144" s="83">
        <v>105</v>
      </c>
      <c r="J144" s="83">
        <v>1</v>
      </c>
      <c r="K144" s="83">
        <v>7</v>
      </c>
      <c r="L144" s="83">
        <v>19</v>
      </c>
      <c r="M144" s="83">
        <v>5</v>
      </c>
      <c r="N144" s="83">
        <v>13.1</v>
      </c>
      <c r="O144" s="83">
        <v>1</v>
      </c>
    </row>
    <row r="145" spans="1:15" ht="16" x14ac:dyDescent="0.2">
      <c r="A145" s="89">
        <v>138</v>
      </c>
      <c r="B145" s="84" t="s">
        <v>133</v>
      </c>
      <c r="C145" s="84" t="s">
        <v>99</v>
      </c>
      <c r="D145" s="83">
        <v>39</v>
      </c>
      <c r="E145" s="83" t="s">
        <v>79</v>
      </c>
      <c r="F145" s="83">
        <v>16</v>
      </c>
      <c r="G145" s="83">
        <v>16</v>
      </c>
      <c r="H145" s="83">
        <v>20</v>
      </c>
      <c r="I145" s="83">
        <v>5</v>
      </c>
      <c r="J145" s="83">
        <v>1</v>
      </c>
      <c r="K145" s="83">
        <v>3</v>
      </c>
      <c r="L145" s="83">
        <v>8</v>
      </c>
      <c r="M145" s="83">
        <v>0.3</v>
      </c>
      <c r="N145" s="83">
        <v>0.3</v>
      </c>
      <c r="O145" s="83">
        <v>11</v>
      </c>
    </row>
    <row r="146" spans="1:15" ht="16" x14ac:dyDescent="0.2">
      <c r="A146" s="89">
        <v>139</v>
      </c>
      <c r="B146" s="84" t="s">
        <v>187</v>
      </c>
      <c r="C146" s="84" t="s">
        <v>142</v>
      </c>
      <c r="D146" s="83">
        <v>29</v>
      </c>
      <c r="E146" s="83" t="s">
        <v>79</v>
      </c>
      <c r="F146" s="83">
        <v>11</v>
      </c>
      <c r="G146" s="83">
        <v>5</v>
      </c>
      <c r="H146" s="83">
        <v>19</v>
      </c>
      <c r="I146" s="83">
        <v>70</v>
      </c>
      <c r="J146" s="83">
        <v>1</v>
      </c>
      <c r="K146" s="83">
        <v>9</v>
      </c>
      <c r="L146" s="83">
        <v>19</v>
      </c>
      <c r="M146" s="83">
        <v>3.7</v>
      </c>
      <c r="N146" s="83">
        <v>6.4</v>
      </c>
      <c r="O146" s="83">
        <v>6</v>
      </c>
    </row>
    <row r="147" spans="1:15" ht="16" x14ac:dyDescent="0.2">
      <c r="A147" s="89">
        <v>140</v>
      </c>
      <c r="B147" s="84" t="s">
        <v>484</v>
      </c>
      <c r="C147" s="84" t="s">
        <v>1122</v>
      </c>
      <c r="D147" s="83">
        <v>23</v>
      </c>
      <c r="E147" s="83" t="s">
        <v>68</v>
      </c>
      <c r="F147" s="83">
        <v>5</v>
      </c>
      <c r="G147" s="83">
        <v>0</v>
      </c>
      <c r="H147" s="83">
        <v>19</v>
      </c>
      <c r="I147" s="83">
        <v>37</v>
      </c>
      <c r="J147" s="83">
        <v>2</v>
      </c>
      <c r="K147" s="83">
        <v>3</v>
      </c>
      <c r="L147" s="83">
        <v>15</v>
      </c>
      <c r="M147" s="83">
        <v>1.9</v>
      </c>
      <c r="N147" s="83">
        <v>7.4</v>
      </c>
      <c r="O147" s="83">
        <v>1</v>
      </c>
    </row>
    <row r="148" spans="1:15" ht="16" x14ac:dyDescent="0.2">
      <c r="A148" s="89">
        <v>141</v>
      </c>
      <c r="B148" s="84" t="s">
        <v>149</v>
      </c>
      <c r="C148" s="84" t="s">
        <v>122</v>
      </c>
      <c r="D148" s="83">
        <v>32</v>
      </c>
      <c r="E148" s="83" t="s">
        <v>79</v>
      </c>
      <c r="F148" s="83">
        <v>6</v>
      </c>
      <c r="G148" s="83">
        <v>6</v>
      </c>
      <c r="H148" s="83">
        <v>19</v>
      </c>
      <c r="I148" s="83">
        <v>151</v>
      </c>
      <c r="J148" s="83">
        <v>3</v>
      </c>
      <c r="K148" s="83">
        <v>6</v>
      </c>
      <c r="L148" s="83">
        <v>30</v>
      </c>
      <c r="M148" s="83">
        <v>7.9</v>
      </c>
      <c r="N148" s="83">
        <v>25.2</v>
      </c>
      <c r="O148" s="83">
        <v>3</v>
      </c>
    </row>
    <row r="149" spans="1:15" ht="16" x14ac:dyDescent="0.2">
      <c r="A149" s="89">
        <v>142</v>
      </c>
      <c r="B149" s="84" t="s">
        <v>2491</v>
      </c>
      <c r="C149" s="84" t="s">
        <v>139</v>
      </c>
      <c r="D149" s="83">
        <v>27</v>
      </c>
      <c r="E149" s="83" t="s">
        <v>3106</v>
      </c>
      <c r="F149" s="83">
        <v>17</v>
      </c>
      <c r="G149" s="83">
        <v>1</v>
      </c>
      <c r="H149" s="83">
        <v>18</v>
      </c>
      <c r="I149" s="83">
        <v>118</v>
      </c>
      <c r="J149" s="83">
        <v>1</v>
      </c>
      <c r="K149" s="83">
        <v>7</v>
      </c>
      <c r="L149" s="83">
        <v>42</v>
      </c>
      <c r="M149" s="83">
        <v>6.6</v>
      </c>
      <c r="N149" s="83">
        <v>6.9</v>
      </c>
      <c r="O149" s="83">
        <v>2</v>
      </c>
    </row>
    <row r="150" spans="1:15" ht="16" x14ac:dyDescent="0.2">
      <c r="A150" s="89">
        <v>143</v>
      </c>
      <c r="B150" s="84" t="s">
        <v>2240</v>
      </c>
      <c r="C150" s="84" t="s">
        <v>122</v>
      </c>
      <c r="D150" s="83">
        <v>23</v>
      </c>
      <c r="E150" s="83" t="s">
        <v>79</v>
      </c>
      <c r="F150" s="83">
        <v>13</v>
      </c>
      <c r="G150" s="83">
        <v>11</v>
      </c>
      <c r="H150" s="83">
        <v>18</v>
      </c>
      <c r="I150" s="83">
        <v>44</v>
      </c>
      <c r="J150" s="83">
        <v>0</v>
      </c>
      <c r="K150" s="83">
        <v>5</v>
      </c>
      <c r="L150" s="83">
        <v>11</v>
      </c>
      <c r="M150" s="83">
        <v>2.4</v>
      </c>
      <c r="N150" s="83">
        <v>3.4</v>
      </c>
      <c r="O150" s="83">
        <v>5</v>
      </c>
    </row>
    <row r="151" spans="1:15" ht="16" x14ac:dyDescent="0.2">
      <c r="A151" s="89">
        <v>144</v>
      </c>
      <c r="B151" s="84" t="s">
        <v>340</v>
      </c>
      <c r="C151" s="84" t="s">
        <v>78</v>
      </c>
      <c r="D151" s="83">
        <v>21</v>
      </c>
      <c r="E151" s="83" t="s">
        <v>83</v>
      </c>
      <c r="F151" s="83">
        <v>14</v>
      </c>
      <c r="G151" s="83">
        <v>7</v>
      </c>
      <c r="H151" s="83">
        <v>18</v>
      </c>
      <c r="I151" s="83">
        <v>76</v>
      </c>
      <c r="J151" s="83">
        <v>0</v>
      </c>
      <c r="K151" s="83">
        <v>2</v>
      </c>
      <c r="L151" s="83">
        <v>26</v>
      </c>
      <c r="M151" s="83">
        <v>4.2</v>
      </c>
      <c r="N151" s="83">
        <v>5.4</v>
      </c>
      <c r="O151" s="83">
        <v>3</v>
      </c>
    </row>
    <row r="152" spans="1:15" ht="16" x14ac:dyDescent="0.2">
      <c r="A152" s="89">
        <v>145</v>
      </c>
      <c r="B152" s="84" t="s">
        <v>2289</v>
      </c>
      <c r="C152" s="84" t="s">
        <v>74</v>
      </c>
      <c r="D152" s="83">
        <v>24</v>
      </c>
      <c r="E152" s="83" t="s">
        <v>68</v>
      </c>
      <c r="F152" s="83">
        <v>14</v>
      </c>
      <c r="G152" s="83">
        <v>1</v>
      </c>
      <c r="H152" s="83">
        <v>17</v>
      </c>
      <c r="I152" s="83">
        <v>77</v>
      </c>
      <c r="J152" s="83">
        <v>0</v>
      </c>
      <c r="K152" s="83">
        <v>3</v>
      </c>
      <c r="L152" s="83">
        <v>13</v>
      </c>
      <c r="M152" s="83">
        <v>4.5</v>
      </c>
      <c r="N152" s="83">
        <v>5.5</v>
      </c>
      <c r="O152" s="83">
        <v>0</v>
      </c>
    </row>
    <row r="153" spans="1:15" ht="16" x14ac:dyDescent="0.2">
      <c r="A153" s="89">
        <v>146</v>
      </c>
      <c r="B153" s="84" t="s">
        <v>173</v>
      </c>
      <c r="C153" s="84" t="s">
        <v>139</v>
      </c>
      <c r="D153" s="83">
        <v>27</v>
      </c>
      <c r="E153" s="83" t="s">
        <v>79</v>
      </c>
      <c r="F153" s="83">
        <v>14</v>
      </c>
      <c r="G153" s="83">
        <v>14</v>
      </c>
      <c r="H153" s="83">
        <v>17</v>
      </c>
      <c r="I153" s="83">
        <v>87</v>
      </c>
      <c r="J153" s="83">
        <v>0</v>
      </c>
      <c r="K153" s="83">
        <v>4</v>
      </c>
      <c r="L153" s="83">
        <v>26</v>
      </c>
      <c r="M153" s="83">
        <v>5.0999999999999996</v>
      </c>
      <c r="N153" s="83">
        <v>6.2</v>
      </c>
      <c r="O153" s="83">
        <v>9</v>
      </c>
    </row>
    <row r="154" spans="1:15" ht="16" x14ac:dyDescent="0.2">
      <c r="A154" s="89">
        <v>147</v>
      </c>
      <c r="B154" s="84" t="s">
        <v>465</v>
      </c>
      <c r="C154" s="84" t="s">
        <v>119</v>
      </c>
      <c r="D154" s="83">
        <v>27</v>
      </c>
      <c r="E154" s="83" t="s">
        <v>68</v>
      </c>
      <c r="F154" s="83">
        <v>5</v>
      </c>
      <c r="G154" s="83">
        <v>0</v>
      </c>
      <c r="H154" s="83">
        <v>17</v>
      </c>
      <c r="I154" s="83">
        <v>79</v>
      </c>
      <c r="J154" s="83">
        <v>1</v>
      </c>
      <c r="K154" s="83">
        <v>7</v>
      </c>
      <c r="L154" s="83">
        <v>23</v>
      </c>
      <c r="M154" s="83">
        <v>4.5999999999999996</v>
      </c>
      <c r="N154" s="83">
        <v>15.8</v>
      </c>
      <c r="O154" s="83">
        <v>0</v>
      </c>
    </row>
    <row r="155" spans="1:15" ht="16" x14ac:dyDescent="0.2">
      <c r="A155" s="89">
        <v>148</v>
      </c>
      <c r="B155" s="84" t="s">
        <v>1230</v>
      </c>
      <c r="C155" s="84" t="s">
        <v>727</v>
      </c>
      <c r="D155" s="83">
        <v>34</v>
      </c>
      <c r="E155" s="83" t="s">
        <v>79</v>
      </c>
      <c r="F155" s="83">
        <v>8</v>
      </c>
      <c r="G155" s="83">
        <v>6</v>
      </c>
      <c r="H155" s="83">
        <v>16</v>
      </c>
      <c r="I155" s="83">
        <v>76</v>
      </c>
      <c r="J155" s="83">
        <v>0</v>
      </c>
      <c r="K155" s="83">
        <v>2</v>
      </c>
      <c r="L155" s="83">
        <v>14</v>
      </c>
      <c r="M155" s="83">
        <v>4.8</v>
      </c>
      <c r="N155" s="83">
        <v>9.5</v>
      </c>
      <c r="O155" s="83">
        <v>1</v>
      </c>
    </row>
    <row r="156" spans="1:15" ht="16" x14ac:dyDescent="0.2">
      <c r="A156" s="89">
        <v>149</v>
      </c>
      <c r="B156" s="84" t="s">
        <v>1558</v>
      </c>
      <c r="C156" s="84" t="s">
        <v>1087</v>
      </c>
      <c r="D156" s="83">
        <v>25</v>
      </c>
      <c r="E156" s="83" t="s">
        <v>68</v>
      </c>
      <c r="F156" s="83">
        <v>11</v>
      </c>
      <c r="G156" s="83">
        <v>0</v>
      </c>
      <c r="H156" s="83">
        <v>16</v>
      </c>
      <c r="I156" s="83">
        <v>68</v>
      </c>
      <c r="J156" s="83">
        <v>1</v>
      </c>
      <c r="K156" s="83">
        <v>6</v>
      </c>
      <c r="L156" s="83">
        <v>21</v>
      </c>
      <c r="M156" s="83">
        <v>4.3</v>
      </c>
      <c r="N156" s="83">
        <v>6.2</v>
      </c>
      <c r="O156" s="83">
        <v>2</v>
      </c>
    </row>
    <row r="157" spans="1:15" x14ac:dyDescent="0.2">
      <c r="A157" s="89" t="s">
        <v>902</v>
      </c>
      <c r="B157" s="89" t="s">
        <v>903</v>
      </c>
      <c r="C157" s="89" t="s">
        <v>1314</v>
      </c>
      <c r="D157" s="89" t="s">
        <v>905</v>
      </c>
      <c r="E157" s="89" t="s">
        <v>906</v>
      </c>
      <c r="F157" s="89" t="s">
        <v>1315</v>
      </c>
      <c r="G157" s="89" t="s">
        <v>1316</v>
      </c>
      <c r="H157" s="89" t="s">
        <v>1319</v>
      </c>
      <c r="I157" s="89" t="s">
        <v>799</v>
      </c>
      <c r="J157" s="89" t="s">
        <v>800</v>
      </c>
      <c r="K157" s="89" t="s">
        <v>1321</v>
      </c>
      <c r="L157" s="89" t="s">
        <v>917</v>
      </c>
      <c r="M157" s="89" t="s">
        <v>1322</v>
      </c>
      <c r="N157" s="89" t="s">
        <v>1325</v>
      </c>
      <c r="O157" s="89" t="s">
        <v>1416</v>
      </c>
    </row>
    <row r="158" spans="1:15" ht="16" x14ac:dyDescent="0.2">
      <c r="A158" s="89">
        <v>150</v>
      </c>
      <c r="B158" s="84" t="s">
        <v>2662</v>
      </c>
      <c r="C158" s="84" t="s">
        <v>1052</v>
      </c>
      <c r="D158" s="83">
        <v>25</v>
      </c>
      <c r="E158" s="83" t="s">
        <v>68</v>
      </c>
      <c r="F158" s="83">
        <v>2</v>
      </c>
      <c r="G158" s="83">
        <v>0</v>
      </c>
      <c r="H158" s="83">
        <v>15</v>
      </c>
      <c r="I158" s="83">
        <v>80</v>
      </c>
      <c r="J158" s="83">
        <v>0</v>
      </c>
      <c r="K158" s="83">
        <v>3</v>
      </c>
      <c r="L158" s="83">
        <v>26</v>
      </c>
      <c r="M158" s="83">
        <v>5.3</v>
      </c>
      <c r="N158" s="83">
        <v>40</v>
      </c>
      <c r="O158" s="83">
        <v>0</v>
      </c>
    </row>
    <row r="159" spans="1:15" ht="16" x14ac:dyDescent="0.2">
      <c r="A159" s="89">
        <v>151</v>
      </c>
      <c r="B159" s="84" t="s">
        <v>2344</v>
      </c>
      <c r="C159" s="84" t="s">
        <v>139</v>
      </c>
      <c r="D159" s="83">
        <v>21</v>
      </c>
      <c r="E159" s="83" t="s">
        <v>68</v>
      </c>
      <c r="F159" s="83">
        <v>7</v>
      </c>
      <c r="G159" s="83">
        <v>0</v>
      </c>
      <c r="H159" s="83">
        <v>15</v>
      </c>
      <c r="I159" s="83">
        <v>74</v>
      </c>
      <c r="J159" s="83">
        <v>2</v>
      </c>
      <c r="K159" s="83">
        <v>4</v>
      </c>
      <c r="L159" s="83">
        <v>28</v>
      </c>
      <c r="M159" s="83">
        <v>4.9000000000000004</v>
      </c>
      <c r="N159" s="83">
        <v>10.6</v>
      </c>
      <c r="O159" s="83">
        <v>0</v>
      </c>
    </row>
    <row r="160" spans="1:15" ht="16" x14ac:dyDescent="0.2">
      <c r="A160" s="89">
        <v>152</v>
      </c>
      <c r="B160" s="84" t="s">
        <v>411</v>
      </c>
      <c r="C160" s="84" t="s">
        <v>1257</v>
      </c>
      <c r="D160" s="83">
        <v>28</v>
      </c>
      <c r="E160" s="83" t="s">
        <v>83</v>
      </c>
      <c r="F160" s="83">
        <v>14</v>
      </c>
      <c r="G160" s="83">
        <v>3</v>
      </c>
      <c r="H160" s="83">
        <v>15</v>
      </c>
      <c r="I160" s="83">
        <v>44</v>
      </c>
      <c r="J160" s="83">
        <v>0</v>
      </c>
      <c r="K160" s="83">
        <v>2</v>
      </c>
      <c r="L160" s="83">
        <v>9</v>
      </c>
      <c r="M160" s="83">
        <v>2.9</v>
      </c>
      <c r="N160" s="83">
        <v>3.1</v>
      </c>
      <c r="O160" s="83">
        <v>0</v>
      </c>
    </row>
    <row r="161" spans="1:15" ht="16" x14ac:dyDescent="0.2">
      <c r="A161" s="89">
        <v>153</v>
      </c>
      <c r="B161" s="84" t="s">
        <v>399</v>
      </c>
      <c r="C161" s="84" t="s">
        <v>74</v>
      </c>
      <c r="D161" s="83">
        <v>24</v>
      </c>
      <c r="E161" s="83" t="s">
        <v>68</v>
      </c>
      <c r="F161" s="83">
        <v>5</v>
      </c>
      <c r="G161" s="83">
        <v>0</v>
      </c>
      <c r="H161" s="83">
        <v>15</v>
      </c>
      <c r="I161" s="83">
        <v>51</v>
      </c>
      <c r="J161" s="83">
        <v>0</v>
      </c>
      <c r="K161" s="83">
        <v>4</v>
      </c>
      <c r="L161" s="83">
        <v>10</v>
      </c>
      <c r="M161" s="83">
        <v>3.4</v>
      </c>
      <c r="N161" s="83">
        <v>10.199999999999999</v>
      </c>
      <c r="O161" s="83">
        <v>0</v>
      </c>
    </row>
    <row r="162" spans="1:15" ht="16" x14ac:dyDescent="0.2">
      <c r="A162" s="89">
        <v>154</v>
      </c>
      <c r="B162" s="84" t="s">
        <v>222</v>
      </c>
      <c r="C162" s="84" t="s">
        <v>99</v>
      </c>
      <c r="D162" s="83">
        <v>23</v>
      </c>
      <c r="E162" s="83" t="s">
        <v>83</v>
      </c>
      <c r="F162" s="83">
        <v>15</v>
      </c>
      <c r="G162" s="83">
        <v>13</v>
      </c>
      <c r="H162" s="83">
        <v>14</v>
      </c>
      <c r="I162" s="83">
        <v>96</v>
      </c>
      <c r="J162" s="83">
        <v>0</v>
      </c>
      <c r="K162" s="83">
        <v>7</v>
      </c>
      <c r="L162" s="83">
        <v>25</v>
      </c>
      <c r="M162" s="83">
        <v>6.9</v>
      </c>
      <c r="N162" s="83">
        <v>6.4</v>
      </c>
      <c r="O162" s="83">
        <v>0</v>
      </c>
    </row>
    <row r="163" spans="1:15" ht="16" x14ac:dyDescent="0.2">
      <c r="A163" s="89">
        <v>155</v>
      </c>
      <c r="B163" s="84" t="s">
        <v>470</v>
      </c>
      <c r="C163" s="84" t="s">
        <v>102</v>
      </c>
      <c r="D163" s="83">
        <v>23</v>
      </c>
      <c r="E163" s="83" t="s">
        <v>68</v>
      </c>
      <c r="F163" s="83">
        <v>1</v>
      </c>
      <c r="G163" s="83">
        <v>0</v>
      </c>
      <c r="H163" s="83">
        <v>13</v>
      </c>
      <c r="I163" s="83">
        <v>51</v>
      </c>
      <c r="J163" s="83">
        <v>0</v>
      </c>
      <c r="K163" s="83">
        <v>2</v>
      </c>
      <c r="L163" s="83">
        <v>18</v>
      </c>
      <c r="M163" s="83">
        <v>3.9</v>
      </c>
      <c r="N163" s="83">
        <v>51</v>
      </c>
      <c r="O163" s="83">
        <v>0</v>
      </c>
    </row>
    <row r="164" spans="1:15" ht="16" x14ac:dyDescent="0.2">
      <c r="A164" s="89">
        <v>156</v>
      </c>
      <c r="B164" s="84" t="s">
        <v>2496</v>
      </c>
      <c r="C164" s="84" t="s">
        <v>107</v>
      </c>
      <c r="D164" s="83">
        <v>22</v>
      </c>
      <c r="E164" s="83" t="s">
        <v>68</v>
      </c>
      <c r="F164" s="83">
        <v>9</v>
      </c>
      <c r="G164" s="83">
        <v>0</v>
      </c>
      <c r="H164" s="83">
        <v>13</v>
      </c>
      <c r="I164" s="83">
        <v>31</v>
      </c>
      <c r="J164" s="83">
        <v>1</v>
      </c>
      <c r="K164" s="83">
        <v>2</v>
      </c>
      <c r="L164" s="83">
        <v>10</v>
      </c>
      <c r="M164" s="83">
        <v>2.4</v>
      </c>
      <c r="N164" s="83">
        <v>3.4</v>
      </c>
      <c r="O164" s="83">
        <v>0</v>
      </c>
    </row>
    <row r="165" spans="1:15" ht="16" x14ac:dyDescent="0.2">
      <c r="A165" s="89">
        <v>157</v>
      </c>
      <c r="B165" s="84" t="s">
        <v>1383</v>
      </c>
      <c r="C165" s="84" t="s">
        <v>933</v>
      </c>
      <c r="D165" s="83">
        <v>28</v>
      </c>
      <c r="E165" s="83" t="s">
        <v>79</v>
      </c>
      <c r="F165" s="83">
        <v>10</v>
      </c>
      <c r="G165" s="83">
        <v>0</v>
      </c>
      <c r="H165" s="83">
        <v>13</v>
      </c>
      <c r="I165" s="83">
        <v>87</v>
      </c>
      <c r="J165" s="83">
        <v>1</v>
      </c>
      <c r="K165" s="83">
        <v>6</v>
      </c>
      <c r="L165" s="83">
        <v>31</v>
      </c>
      <c r="M165" s="83">
        <v>6.7</v>
      </c>
      <c r="N165" s="83">
        <v>8.6999999999999993</v>
      </c>
      <c r="O165" s="83">
        <v>1</v>
      </c>
    </row>
    <row r="166" spans="1:15" ht="16" x14ac:dyDescent="0.2">
      <c r="A166" s="89">
        <v>158</v>
      </c>
      <c r="B166" s="84" t="s">
        <v>2460</v>
      </c>
      <c r="C166" s="84" t="s">
        <v>73</v>
      </c>
      <c r="D166" s="83">
        <v>23</v>
      </c>
      <c r="E166" s="83" t="s">
        <v>68</v>
      </c>
      <c r="F166" s="83">
        <v>11</v>
      </c>
      <c r="G166" s="83">
        <v>0</v>
      </c>
      <c r="H166" s="83">
        <v>13</v>
      </c>
      <c r="I166" s="83">
        <v>61</v>
      </c>
      <c r="J166" s="83">
        <v>0</v>
      </c>
      <c r="K166" s="83">
        <v>3</v>
      </c>
      <c r="L166" s="83">
        <v>19</v>
      </c>
      <c r="M166" s="83">
        <v>4.7</v>
      </c>
      <c r="N166" s="83">
        <v>5.5</v>
      </c>
      <c r="O166" s="83">
        <v>0</v>
      </c>
    </row>
    <row r="167" spans="1:15" ht="16" x14ac:dyDescent="0.2">
      <c r="A167" s="89">
        <v>159</v>
      </c>
      <c r="B167" s="84" t="s">
        <v>188</v>
      </c>
      <c r="C167" s="84" t="s">
        <v>98</v>
      </c>
      <c r="D167" s="83">
        <v>27</v>
      </c>
      <c r="E167" s="83" t="s">
        <v>79</v>
      </c>
      <c r="F167" s="83">
        <v>6</v>
      </c>
      <c r="G167" s="83">
        <v>0</v>
      </c>
      <c r="H167" s="83">
        <v>13</v>
      </c>
      <c r="I167" s="83">
        <v>24</v>
      </c>
      <c r="J167" s="83">
        <v>1</v>
      </c>
      <c r="K167" s="83">
        <v>3</v>
      </c>
      <c r="L167" s="83">
        <v>22</v>
      </c>
      <c r="M167" s="83">
        <v>1.8</v>
      </c>
      <c r="N167" s="83">
        <v>4</v>
      </c>
      <c r="O167" s="83">
        <v>0</v>
      </c>
    </row>
    <row r="168" spans="1:15" ht="16" x14ac:dyDescent="0.2">
      <c r="A168" s="89">
        <v>160</v>
      </c>
      <c r="B168" s="84" t="s">
        <v>525</v>
      </c>
      <c r="C168" s="84" t="s">
        <v>99</v>
      </c>
      <c r="D168" s="83">
        <v>26</v>
      </c>
      <c r="E168" s="83" t="s">
        <v>68</v>
      </c>
      <c r="F168" s="83">
        <v>17</v>
      </c>
      <c r="G168" s="83">
        <v>0</v>
      </c>
      <c r="H168" s="83">
        <v>12</v>
      </c>
      <c r="I168" s="83">
        <v>36</v>
      </c>
      <c r="J168" s="83">
        <v>0</v>
      </c>
      <c r="K168" s="83">
        <v>2</v>
      </c>
      <c r="L168" s="83">
        <v>13</v>
      </c>
      <c r="M168" s="83">
        <v>3</v>
      </c>
      <c r="N168" s="83">
        <v>2.1</v>
      </c>
      <c r="O168" s="83">
        <v>0</v>
      </c>
    </row>
    <row r="169" spans="1:15" ht="16" x14ac:dyDescent="0.2">
      <c r="A169" s="89">
        <v>161</v>
      </c>
      <c r="B169" s="84" t="s">
        <v>333</v>
      </c>
      <c r="C169" s="84" t="s">
        <v>1122</v>
      </c>
      <c r="D169" s="83">
        <v>26</v>
      </c>
      <c r="E169" s="83" t="s">
        <v>83</v>
      </c>
      <c r="F169" s="83">
        <v>17</v>
      </c>
      <c r="G169" s="83">
        <v>5</v>
      </c>
      <c r="H169" s="83">
        <v>12</v>
      </c>
      <c r="I169" s="83">
        <v>125</v>
      </c>
      <c r="J169" s="83">
        <v>0</v>
      </c>
      <c r="K169" s="83">
        <v>7</v>
      </c>
      <c r="L169" s="83">
        <v>18</v>
      </c>
      <c r="M169" s="83">
        <v>10.4</v>
      </c>
      <c r="N169" s="83">
        <v>7.4</v>
      </c>
      <c r="O169" s="83">
        <v>1</v>
      </c>
    </row>
    <row r="170" spans="1:15" ht="16" x14ac:dyDescent="0.2">
      <c r="A170" s="89">
        <v>162</v>
      </c>
      <c r="B170" s="84" t="s">
        <v>191</v>
      </c>
      <c r="C170" s="84" t="s">
        <v>82</v>
      </c>
      <c r="D170" s="83">
        <v>33</v>
      </c>
      <c r="E170" s="83" t="s">
        <v>79</v>
      </c>
      <c r="F170" s="83">
        <v>7</v>
      </c>
      <c r="G170" s="83">
        <v>2</v>
      </c>
      <c r="H170" s="83">
        <v>12</v>
      </c>
      <c r="I170" s="83">
        <v>22</v>
      </c>
      <c r="J170" s="83">
        <v>0</v>
      </c>
      <c r="K170" s="83">
        <v>6</v>
      </c>
      <c r="L170" s="83">
        <v>10</v>
      </c>
      <c r="M170" s="83">
        <v>1.8</v>
      </c>
      <c r="N170" s="83">
        <v>3.1</v>
      </c>
      <c r="O170" s="83">
        <v>1</v>
      </c>
    </row>
    <row r="171" spans="1:15" ht="16" x14ac:dyDescent="0.2">
      <c r="A171" s="89">
        <v>163</v>
      </c>
      <c r="B171" s="84" t="s">
        <v>195</v>
      </c>
      <c r="C171" s="84" t="s">
        <v>1267</v>
      </c>
      <c r="D171" s="83">
        <v>23</v>
      </c>
      <c r="E171" s="83" t="s">
        <v>79</v>
      </c>
      <c r="F171" s="83">
        <v>6</v>
      </c>
      <c r="G171" s="83">
        <v>1</v>
      </c>
      <c r="H171" s="83">
        <v>12</v>
      </c>
      <c r="I171" s="83">
        <v>27</v>
      </c>
      <c r="J171" s="83">
        <v>0</v>
      </c>
      <c r="K171" s="83">
        <v>1</v>
      </c>
      <c r="L171" s="83">
        <v>10</v>
      </c>
      <c r="M171" s="83">
        <v>2.2999999999999998</v>
      </c>
      <c r="N171" s="83">
        <v>4.5</v>
      </c>
      <c r="O171" s="83">
        <v>3</v>
      </c>
    </row>
    <row r="172" spans="1:15" ht="32" customHeight="1" x14ac:dyDescent="0.2">
      <c r="A172" s="89">
        <v>164</v>
      </c>
      <c r="B172" s="84" t="s">
        <v>378</v>
      </c>
      <c r="C172" s="84" t="s">
        <v>1040</v>
      </c>
      <c r="D172" s="83">
        <v>29</v>
      </c>
      <c r="E172" s="83" t="s">
        <v>68</v>
      </c>
      <c r="F172" s="83">
        <v>13</v>
      </c>
      <c r="G172" s="83">
        <v>0</v>
      </c>
      <c r="H172" s="83">
        <v>12</v>
      </c>
      <c r="I172" s="83">
        <v>62</v>
      </c>
      <c r="J172" s="83">
        <v>0</v>
      </c>
      <c r="K172" s="83">
        <v>2</v>
      </c>
      <c r="L172" s="83">
        <v>18</v>
      </c>
      <c r="M172" s="83">
        <v>5.2</v>
      </c>
      <c r="N172" s="83">
        <v>4.8</v>
      </c>
      <c r="O172" s="83">
        <v>0</v>
      </c>
    </row>
    <row r="173" spans="1:15" ht="16" x14ac:dyDescent="0.2">
      <c r="A173" s="89">
        <v>165</v>
      </c>
      <c r="B173" s="84" t="s">
        <v>231</v>
      </c>
      <c r="C173" s="84" t="s">
        <v>1122</v>
      </c>
      <c r="D173" s="83">
        <v>36</v>
      </c>
      <c r="E173" s="83" t="s">
        <v>79</v>
      </c>
      <c r="F173" s="83">
        <v>5</v>
      </c>
      <c r="G173" s="83">
        <v>0</v>
      </c>
      <c r="H173" s="83">
        <v>11</v>
      </c>
      <c r="I173" s="83">
        <v>-8</v>
      </c>
      <c r="J173" s="83">
        <v>0</v>
      </c>
      <c r="K173" s="83">
        <v>1</v>
      </c>
      <c r="L173" s="83">
        <v>2</v>
      </c>
      <c r="M173" s="83">
        <v>-0.7</v>
      </c>
      <c r="N173" s="83">
        <v>-1.6</v>
      </c>
      <c r="O173" s="83">
        <v>0</v>
      </c>
    </row>
    <row r="174" spans="1:15" ht="16" x14ac:dyDescent="0.2">
      <c r="A174" s="89">
        <v>166</v>
      </c>
      <c r="B174" s="84" t="s">
        <v>258</v>
      </c>
      <c r="C174" s="84" t="s">
        <v>1052</v>
      </c>
      <c r="D174" s="83">
        <v>23</v>
      </c>
      <c r="E174" s="83" t="s">
        <v>83</v>
      </c>
      <c r="F174" s="83">
        <v>16</v>
      </c>
      <c r="G174" s="83">
        <v>10</v>
      </c>
      <c r="H174" s="83">
        <v>11</v>
      </c>
      <c r="I174" s="83">
        <v>41</v>
      </c>
      <c r="J174" s="83">
        <v>0</v>
      </c>
      <c r="K174" s="83">
        <v>2</v>
      </c>
      <c r="L174" s="83">
        <v>11</v>
      </c>
      <c r="M174" s="83">
        <v>3.7</v>
      </c>
      <c r="N174" s="83">
        <v>2.6</v>
      </c>
      <c r="O174" s="83">
        <v>1</v>
      </c>
    </row>
    <row r="175" spans="1:15" ht="16" x14ac:dyDescent="0.2">
      <c r="A175" s="89">
        <v>167</v>
      </c>
      <c r="B175" s="84" t="s">
        <v>528</v>
      </c>
      <c r="C175" s="84" t="s">
        <v>119</v>
      </c>
      <c r="D175" s="83">
        <v>28</v>
      </c>
      <c r="E175" s="83" t="s">
        <v>83</v>
      </c>
      <c r="F175" s="83">
        <v>17</v>
      </c>
      <c r="G175" s="83">
        <v>6</v>
      </c>
      <c r="H175" s="83">
        <v>10</v>
      </c>
      <c r="I175" s="83">
        <v>89</v>
      </c>
      <c r="J175" s="83">
        <v>0</v>
      </c>
      <c r="K175" s="83">
        <v>4</v>
      </c>
      <c r="L175" s="83">
        <v>27</v>
      </c>
      <c r="M175" s="83">
        <v>8.9</v>
      </c>
      <c r="N175" s="83">
        <v>5.2</v>
      </c>
      <c r="O175" s="83">
        <v>3</v>
      </c>
    </row>
    <row r="176" spans="1:15" ht="16" x14ac:dyDescent="0.2">
      <c r="A176" s="89">
        <v>168</v>
      </c>
      <c r="B176" s="84" t="s">
        <v>415</v>
      </c>
      <c r="C176" s="84" t="s">
        <v>1267</v>
      </c>
      <c r="D176" s="83">
        <v>23</v>
      </c>
      <c r="E176" s="83" t="s">
        <v>68</v>
      </c>
      <c r="F176" s="83">
        <v>8</v>
      </c>
      <c r="G176" s="83">
        <v>0</v>
      </c>
      <c r="H176" s="83">
        <v>10</v>
      </c>
      <c r="I176" s="83">
        <v>24</v>
      </c>
      <c r="J176" s="83">
        <v>0</v>
      </c>
      <c r="K176" s="83">
        <v>1</v>
      </c>
      <c r="L176" s="83">
        <v>8</v>
      </c>
      <c r="M176" s="83">
        <v>2.4</v>
      </c>
      <c r="N176" s="83">
        <v>3</v>
      </c>
      <c r="O176" s="83">
        <v>0</v>
      </c>
    </row>
    <row r="177" spans="1:15" ht="16" x14ac:dyDescent="0.2">
      <c r="A177" s="89">
        <v>169</v>
      </c>
      <c r="B177" s="84" t="s">
        <v>165</v>
      </c>
      <c r="C177" s="84" t="s">
        <v>93</v>
      </c>
      <c r="D177" s="83">
        <v>25</v>
      </c>
      <c r="E177" s="83" t="s">
        <v>79</v>
      </c>
      <c r="F177" s="83">
        <v>6</v>
      </c>
      <c r="G177" s="83">
        <v>3</v>
      </c>
      <c r="H177" s="83">
        <v>10</v>
      </c>
      <c r="I177" s="83">
        <v>53</v>
      </c>
      <c r="J177" s="83">
        <v>2</v>
      </c>
      <c r="K177" s="83">
        <v>5</v>
      </c>
      <c r="L177" s="83">
        <v>23</v>
      </c>
      <c r="M177" s="83">
        <v>5.3</v>
      </c>
      <c r="N177" s="83">
        <v>8.8000000000000007</v>
      </c>
      <c r="O177" s="83">
        <v>2</v>
      </c>
    </row>
    <row r="178" spans="1:15" ht="16" x14ac:dyDescent="0.2">
      <c r="A178" s="89">
        <v>170</v>
      </c>
      <c r="B178" s="84" t="s">
        <v>271</v>
      </c>
      <c r="C178" s="84" t="s">
        <v>102</v>
      </c>
      <c r="D178" s="83">
        <v>22</v>
      </c>
      <c r="E178" s="83" t="s">
        <v>83</v>
      </c>
      <c r="F178" s="83">
        <v>17</v>
      </c>
      <c r="G178" s="83">
        <v>13</v>
      </c>
      <c r="H178" s="83">
        <v>10</v>
      </c>
      <c r="I178" s="83">
        <v>32</v>
      </c>
      <c r="J178" s="83">
        <v>0</v>
      </c>
      <c r="K178" s="83">
        <v>3</v>
      </c>
      <c r="L178" s="83">
        <v>12</v>
      </c>
      <c r="M178" s="83">
        <v>3.2</v>
      </c>
      <c r="N178" s="83">
        <v>1.9</v>
      </c>
      <c r="O178" s="83">
        <v>2</v>
      </c>
    </row>
    <row r="179" spans="1:15" ht="16" x14ac:dyDescent="0.2">
      <c r="A179" s="89">
        <v>171</v>
      </c>
      <c r="B179" s="84" t="s">
        <v>348</v>
      </c>
      <c r="C179" s="84" t="s">
        <v>1122</v>
      </c>
      <c r="D179" s="83">
        <v>29</v>
      </c>
      <c r="E179" s="83" t="s">
        <v>68</v>
      </c>
      <c r="F179" s="83">
        <v>3</v>
      </c>
      <c r="G179" s="83">
        <v>0</v>
      </c>
      <c r="H179" s="83">
        <v>10</v>
      </c>
      <c r="I179" s="83">
        <v>38</v>
      </c>
      <c r="J179" s="83">
        <v>1</v>
      </c>
      <c r="K179" s="83">
        <v>4</v>
      </c>
      <c r="L179" s="83">
        <v>10</v>
      </c>
      <c r="M179" s="83">
        <v>3.8</v>
      </c>
      <c r="N179" s="83">
        <v>12.7</v>
      </c>
      <c r="O179" s="83">
        <v>0</v>
      </c>
    </row>
    <row r="180" spans="1:15" ht="16" x14ac:dyDescent="0.2">
      <c r="A180" s="89">
        <v>172</v>
      </c>
      <c r="B180" s="84" t="s">
        <v>1385</v>
      </c>
      <c r="C180" s="84" t="s">
        <v>976</v>
      </c>
      <c r="D180" s="83">
        <v>32</v>
      </c>
      <c r="E180" s="83" t="s">
        <v>79</v>
      </c>
      <c r="F180" s="83">
        <v>6</v>
      </c>
      <c r="G180" s="83">
        <v>0</v>
      </c>
      <c r="H180" s="83">
        <v>9</v>
      </c>
      <c r="I180" s="83">
        <v>-7</v>
      </c>
      <c r="J180" s="83">
        <v>0</v>
      </c>
      <c r="K180" s="83">
        <v>0</v>
      </c>
      <c r="L180" s="83">
        <v>0</v>
      </c>
      <c r="M180" s="83">
        <v>-0.8</v>
      </c>
      <c r="N180" s="83">
        <v>-1.2</v>
      </c>
      <c r="O180" s="83">
        <v>0</v>
      </c>
    </row>
    <row r="181" spans="1:15" ht="16" x14ac:dyDescent="0.2">
      <c r="A181" s="89">
        <v>173</v>
      </c>
      <c r="B181" s="84" t="s">
        <v>2646</v>
      </c>
      <c r="C181" s="84" t="s">
        <v>1040</v>
      </c>
      <c r="D181" s="83">
        <v>27</v>
      </c>
      <c r="E181" s="83" t="s">
        <v>83</v>
      </c>
      <c r="F181" s="83">
        <v>17</v>
      </c>
      <c r="G181" s="83">
        <v>16</v>
      </c>
      <c r="H181" s="83">
        <v>9</v>
      </c>
      <c r="I181" s="83">
        <v>96</v>
      </c>
      <c r="J181" s="83">
        <v>0</v>
      </c>
      <c r="K181" s="83">
        <v>4</v>
      </c>
      <c r="L181" s="83">
        <v>33</v>
      </c>
      <c r="M181" s="83">
        <v>10.7</v>
      </c>
      <c r="N181" s="83">
        <v>5.6</v>
      </c>
      <c r="O181" s="83">
        <v>2</v>
      </c>
    </row>
    <row r="182" spans="1:15" ht="16" x14ac:dyDescent="0.2">
      <c r="A182" s="89">
        <v>174</v>
      </c>
      <c r="B182" s="84" t="s">
        <v>2422</v>
      </c>
      <c r="C182" s="83" t="s">
        <v>1726</v>
      </c>
      <c r="D182" s="83">
        <v>35</v>
      </c>
      <c r="E182" s="83" t="s">
        <v>79</v>
      </c>
      <c r="F182" s="83">
        <v>4</v>
      </c>
      <c r="G182" s="83">
        <v>1</v>
      </c>
      <c r="H182" s="83">
        <v>9</v>
      </c>
      <c r="I182" s="83">
        <v>28</v>
      </c>
      <c r="J182" s="83">
        <v>0</v>
      </c>
      <c r="K182" s="83">
        <v>1</v>
      </c>
      <c r="L182" s="83">
        <v>11</v>
      </c>
      <c r="M182" s="83">
        <v>3.1</v>
      </c>
      <c r="N182" s="83">
        <v>7</v>
      </c>
      <c r="O182" s="83">
        <v>2</v>
      </c>
    </row>
    <row r="183" spans="1:15" ht="16" x14ac:dyDescent="0.2">
      <c r="A183" s="89">
        <v>175</v>
      </c>
      <c r="B183" s="84" t="s">
        <v>3096</v>
      </c>
      <c r="C183" s="84" t="s">
        <v>729</v>
      </c>
      <c r="D183" s="83">
        <v>22</v>
      </c>
      <c r="E183" s="83" t="s">
        <v>83</v>
      </c>
      <c r="F183" s="83">
        <v>16</v>
      </c>
      <c r="G183" s="83">
        <v>13</v>
      </c>
      <c r="H183" s="83">
        <v>9</v>
      </c>
      <c r="I183" s="83">
        <v>76</v>
      </c>
      <c r="J183" s="83">
        <v>0</v>
      </c>
      <c r="K183" s="83">
        <v>4</v>
      </c>
      <c r="L183" s="83">
        <v>33</v>
      </c>
      <c r="M183" s="83">
        <v>8.4</v>
      </c>
      <c r="N183" s="83">
        <v>4.8</v>
      </c>
      <c r="O183" s="83">
        <v>0</v>
      </c>
    </row>
    <row r="184" spans="1:15" ht="16" x14ac:dyDescent="0.2">
      <c r="A184" s="89">
        <v>176</v>
      </c>
      <c r="B184" s="84" t="s">
        <v>402</v>
      </c>
      <c r="C184" s="84" t="s">
        <v>98</v>
      </c>
      <c r="D184" s="83">
        <v>26</v>
      </c>
      <c r="E184" s="83" t="s">
        <v>83</v>
      </c>
      <c r="F184" s="83">
        <v>15</v>
      </c>
      <c r="G184" s="83">
        <v>2</v>
      </c>
      <c r="H184" s="83">
        <v>9</v>
      </c>
      <c r="I184" s="83">
        <v>47</v>
      </c>
      <c r="J184" s="83">
        <v>1</v>
      </c>
      <c r="K184" s="83">
        <v>4</v>
      </c>
      <c r="L184" s="83">
        <v>10</v>
      </c>
      <c r="M184" s="83">
        <v>5.2</v>
      </c>
      <c r="N184" s="83">
        <v>3.1</v>
      </c>
      <c r="O184" s="83">
        <v>2</v>
      </c>
    </row>
    <row r="185" spans="1:15" ht="16" x14ac:dyDescent="0.2">
      <c r="A185" s="89">
        <v>177</v>
      </c>
      <c r="B185" s="84" t="s">
        <v>190</v>
      </c>
      <c r="C185" s="84" t="s">
        <v>102</v>
      </c>
      <c r="D185" s="83">
        <v>25</v>
      </c>
      <c r="E185" s="83" t="s">
        <v>79</v>
      </c>
      <c r="F185" s="83">
        <v>4</v>
      </c>
      <c r="G185" s="83">
        <v>2</v>
      </c>
      <c r="H185" s="83">
        <v>9</v>
      </c>
      <c r="I185" s="83">
        <v>21</v>
      </c>
      <c r="J185" s="83">
        <v>0</v>
      </c>
      <c r="K185" s="83">
        <v>2</v>
      </c>
      <c r="L185" s="83">
        <v>9</v>
      </c>
      <c r="M185" s="83">
        <v>2.2999999999999998</v>
      </c>
      <c r="N185" s="83">
        <v>5.3</v>
      </c>
      <c r="O185" s="83">
        <v>1</v>
      </c>
    </row>
    <row r="186" spans="1:15" ht="16" x14ac:dyDescent="0.2">
      <c r="A186" s="89">
        <v>178</v>
      </c>
      <c r="B186" s="84" t="s">
        <v>1811</v>
      </c>
      <c r="C186" s="84" t="s">
        <v>933</v>
      </c>
      <c r="D186" s="83">
        <v>28</v>
      </c>
      <c r="E186" s="83" t="s">
        <v>68</v>
      </c>
      <c r="F186" s="83">
        <v>10</v>
      </c>
      <c r="G186" s="83">
        <v>0</v>
      </c>
      <c r="H186" s="83">
        <v>9</v>
      </c>
      <c r="I186" s="83">
        <v>40</v>
      </c>
      <c r="J186" s="83">
        <v>0</v>
      </c>
      <c r="K186" s="83">
        <v>3</v>
      </c>
      <c r="L186" s="83">
        <v>23</v>
      </c>
      <c r="M186" s="83">
        <v>4.4000000000000004</v>
      </c>
      <c r="N186" s="83">
        <v>4</v>
      </c>
      <c r="O186" s="83">
        <v>0</v>
      </c>
    </row>
    <row r="187" spans="1:15" ht="16" x14ac:dyDescent="0.2">
      <c r="A187" s="89">
        <v>179</v>
      </c>
      <c r="B187" s="84" t="s">
        <v>2446</v>
      </c>
      <c r="C187" s="84" t="s">
        <v>729</v>
      </c>
      <c r="D187" s="83">
        <v>28</v>
      </c>
      <c r="E187" s="83" t="s">
        <v>79</v>
      </c>
      <c r="F187" s="83">
        <v>5</v>
      </c>
      <c r="G187" s="83">
        <v>1</v>
      </c>
      <c r="H187" s="83">
        <v>9</v>
      </c>
      <c r="I187" s="83">
        <v>-8</v>
      </c>
      <c r="J187" s="83">
        <v>0</v>
      </c>
      <c r="K187" s="83">
        <v>0</v>
      </c>
      <c r="L187" s="83">
        <v>2</v>
      </c>
      <c r="M187" s="83">
        <v>-0.9</v>
      </c>
      <c r="N187" s="83">
        <v>-1.6</v>
      </c>
      <c r="O187" s="83">
        <v>1</v>
      </c>
    </row>
    <row r="188" spans="1:15" x14ac:dyDescent="0.2">
      <c r="A188" s="89" t="s">
        <v>902</v>
      </c>
      <c r="B188" s="89" t="s">
        <v>903</v>
      </c>
      <c r="C188" s="89" t="s">
        <v>1314</v>
      </c>
      <c r="D188" s="89" t="s">
        <v>905</v>
      </c>
      <c r="E188" s="89" t="s">
        <v>906</v>
      </c>
      <c r="F188" s="89" t="s">
        <v>1315</v>
      </c>
      <c r="G188" s="89" t="s">
        <v>1316</v>
      </c>
      <c r="H188" s="89" t="s">
        <v>1319</v>
      </c>
      <c r="I188" s="89" t="s">
        <v>799</v>
      </c>
      <c r="J188" s="89" t="s">
        <v>800</v>
      </c>
      <c r="K188" s="89" t="s">
        <v>1321</v>
      </c>
      <c r="L188" s="89" t="s">
        <v>917</v>
      </c>
      <c r="M188" s="89" t="s">
        <v>1322</v>
      </c>
      <c r="N188" s="89" t="s">
        <v>1325</v>
      </c>
      <c r="O188" s="89" t="s">
        <v>1416</v>
      </c>
    </row>
    <row r="189" spans="1:15" ht="16" x14ac:dyDescent="0.2">
      <c r="A189" s="89">
        <v>180</v>
      </c>
      <c r="B189" s="84" t="s">
        <v>2417</v>
      </c>
      <c r="C189" s="84" t="s">
        <v>1257</v>
      </c>
      <c r="D189" s="83">
        <v>30</v>
      </c>
      <c r="E189" s="83" t="s">
        <v>79</v>
      </c>
      <c r="F189" s="83">
        <v>6</v>
      </c>
      <c r="G189" s="83">
        <v>4</v>
      </c>
      <c r="H189" s="83">
        <v>9</v>
      </c>
      <c r="I189" s="83">
        <v>20</v>
      </c>
      <c r="J189" s="83">
        <v>1</v>
      </c>
      <c r="K189" s="83">
        <v>2</v>
      </c>
      <c r="L189" s="83">
        <v>17</v>
      </c>
      <c r="M189" s="83">
        <v>2.2000000000000002</v>
      </c>
      <c r="N189" s="83">
        <v>3.3</v>
      </c>
      <c r="O189" s="83">
        <v>3</v>
      </c>
    </row>
    <row r="190" spans="1:15" ht="16" x14ac:dyDescent="0.2">
      <c r="A190" s="89">
        <v>181</v>
      </c>
      <c r="B190" s="84" t="s">
        <v>208</v>
      </c>
      <c r="C190" s="84" t="s">
        <v>108</v>
      </c>
      <c r="D190" s="83">
        <v>31</v>
      </c>
      <c r="E190" s="83" t="s">
        <v>79</v>
      </c>
      <c r="F190" s="83">
        <v>4</v>
      </c>
      <c r="G190" s="83">
        <v>3</v>
      </c>
      <c r="H190" s="83">
        <v>9</v>
      </c>
      <c r="I190" s="83">
        <v>42</v>
      </c>
      <c r="J190" s="83">
        <v>1</v>
      </c>
      <c r="K190" s="83">
        <v>3</v>
      </c>
      <c r="L190" s="83">
        <v>12</v>
      </c>
      <c r="M190" s="83">
        <v>4.7</v>
      </c>
      <c r="N190" s="83">
        <v>10.5</v>
      </c>
      <c r="O190" s="83">
        <v>1</v>
      </c>
    </row>
    <row r="191" spans="1:15" ht="16" x14ac:dyDescent="0.2">
      <c r="A191" s="89">
        <v>182</v>
      </c>
      <c r="B191" s="84" t="s">
        <v>339</v>
      </c>
      <c r="C191" s="84" t="s">
        <v>1122</v>
      </c>
      <c r="D191" s="83">
        <v>26</v>
      </c>
      <c r="E191" s="83" t="s">
        <v>88</v>
      </c>
      <c r="F191" s="83">
        <v>16</v>
      </c>
      <c r="G191" s="83">
        <v>11</v>
      </c>
      <c r="H191" s="83">
        <v>9</v>
      </c>
      <c r="I191" s="83">
        <v>40</v>
      </c>
      <c r="J191" s="83">
        <v>0</v>
      </c>
      <c r="K191" s="83">
        <v>2</v>
      </c>
      <c r="L191" s="83">
        <v>9</v>
      </c>
      <c r="M191" s="83">
        <v>4.4000000000000004</v>
      </c>
      <c r="N191" s="83">
        <v>2.5</v>
      </c>
      <c r="O191" s="83">
        <v>1</v>
      </c>
    </row>
    <row r="192" spans="1:15" ht="16" x14ac:dyDescent="0.2">
      <c r="A192" s="89">
        <v>183</v>
      </c>
      <c r="B192" s="84" t="s">
        <v>508</v>
      </c>
      <c r="C192" s="84" t="s">
        <v>101</v>
      </c>
      <c r="D192" s="83">
        <v>29</v>
      </c>
      <c r="E192" s="83" t="s">
        <v>1824</v>
      </c>
      <c r="F192" s="83">
        <v>17</v>
      </c>
      <c r="G192" s="83">
        <v>8</v>
      </c>
      <c r="H192" s="83">
        <v>9</v>
      </c>
      <c r="I192" s="83">
        <v>31</v>
      </c>
      <c r="J192" s="83">
        <v>0</v>
      </c>
      <c r="K192" s="83">
        <v>3</v>
      </c>
      <c r="L192" s="83">
        <v>8</v>
      </c>
      <c r="M192" s="83">
        <v>3.4</v>
      </c>
      <c r="N192" s="83">
        <v>1.8</v>
      </c>
      <c r="O192" s="83">
        <v>0</v>
      </c>
    </row>
    <row r="193" spans="1:15" ht="16" x14ac:dyDescent="0.2">
      <c r="A193" s="89">
        <v>184</v>
      </c>
      <c r="B193" s="84" t="s">
        <v>566</v>
      </c>
      <c r="C193" s="84" t="s">
        <v>78</v>
      </c>
      <c r="D193" s="83">
        <v>24</v>
      </c>
      <c r="E193" s="83" t="s">
        <v>68</v>
      </c>
      <c r="F193" s="83">
        <v>13</v>
      </c>
      <c r="G193" s="83">
        <v>0</v>
      </c>
      <c r="H193" s="83">
        <v>9</v>
      </c>
      <c r="I193" s="83">
        <v>33</v>
      </c>
      <c r="J193" s="83">
        <v>0</v>
      </c>
      <c r="K193" s="83">
        <v>3</v>
      </c>
      <c r="L193" s="83">
        <v>7</v>
      </c>
      <c r="M193" s="83">
        <v>3.7</v>
      </c>
      <c r="N193" s="83">
        <v>2.5</v>
      </c>
      <c r="O193" s="83">
        <v>0</v>
      </c>
    </row>
    <row r="194" spans="1:15" ht="16" x14ac:dyDescent="0.2">
      <c r="A194" s="89">
        <v>185</v>
      </c>
      <c r="B194" s="84" t="s">
        <v>1696</v>
      </c>
      <c r="C194" s="84" t="s">
        <v>976</v>
      </c>
      <c r="D194" s="83">
        <v>30</v>
      </c>
      <c r="E194" s="83" t="s">
        <v>68</v>
      </c>
      <c r="F194" s="83">
        <v>12</v>
      </c>
      <c r="G194" s="83">
        <v>0</v>
      </c>
      <c r="H194" s="83">
        <v>8</v>
      </c>
      <c r="I194" s="83">
        <v>58</v>
      </c>
      <c r="J194" s="83">
        <v>0</v>
      </c>
      <c r="K194" s="83">
        <v>3</v>
      </c>
      <c r="L194" s="83">
        <v>24</v>
      </c>
      <c r="M194" s="83">
        <v>7.3</v>
      </c>
      <c r="N194" s="83">
        <v>4.8</v>
      </c>
      <c r="O194" s="83">
        <v>1</v>
      </c>
    </row>
    <row r="195" spans="1:15" ht="16" x14ac:dyDescent="0.2">
      <c r="A195" s="89">
        <v>186</v>
      </c>
      <c r="B195" s="84" t="s">
        <v>564</v>
      </c>
      <c r="C195" s="84" t="s">
        <v>1040</v>
      </c>
      <c r="D195" s="83">
        <v>29</v>
      </c>
      <c r="E195" s="83" t="s">
        <v>68</v>
      </c>
      <c r="F195" s="83">
        <v>16</v>
      </c>
      <c r="G195" s="83">
        <v>0</v>
      </c>
      <c r="H195" s="83">
        <v>8</v>
      </c>
      <c r="I195" s="83">
        <v>26</v>
      </c>
      <c r="J195" s="83">
        <v>1</v>
      </c>
      <c r="K195" s="83">
        <v>8</v>
      </c>
      <c r="L195" s="83">
        <v>7</v>
      </c>
      <c r="M195" s="83">
        <v>3.3</v>
      </c>
      <c r="N195" s="83">
        <v>1.6</v>
      </c>
      <c r="O195" s="83">
        <v>0</v>
      </c>
    </row>
    <row r="196" spans="1:15" ht="16" x14ac:dyDescent="0.2">
      <c r="A196" s="89">
        <v>187</v>
      </c>
      <c r="B196" s="84" t="s">
        <v>2525</v>
      </c>
      <c r="C196" s="84" t="s">
        <v>92</v>
      </c>
      <c r="D196" s="83">
        <v>23</v>
      </c>
      <c r="E196" s="83" t="s">
        <v>79</v>
      </c>
      <c r="F196" s="83">
        <v>3</v>
      </c>
      <c r="G196" s="83">
        <v>2</v>
      </c>
      <c r="H196" s="83">
        <v>8</v>
      </c>
      <c r="I196" s="83">
        <v>65</v>
      </c>
      <c r="J196" s="83">
        <v>0</v>
      </c>
      <c r="K196" s="83">
        <v>4</v>
      </c>
      <c r="L196" s="83">
        <v>27</v>
      </c>
      <c r="M196" s="83">
        <v>8.1</v>
      </c>
      <c r="N196" s="83">
        <v>21.7</v>
      </c>
      <c r="O196" s="83">
        <v>2</v>
      </c>
    </row>
    <row r="197" spans="1:15" ht="16" x14ac:dyDescent="0.2">
      <c r="A197" s="89">
        <v>188</v>
      </c>
      <c r="B197" s="84" t="s">
        <v>275</v>
      </c>
      <c r="C197" s="84" t="s">
        <v>1040</v>
      </c>
      <c r="D197" s="83">
        <v>23</v>
      </c>
      <c r="E197" s="83" t="s">
        <v>83</v>
      </c>
      <c r="F197" s="83">
        <v>17</v>
      </c>
      <c r="G197" s="83">
        <v>8</v>
      </c>
      <c r="H197" s="83">
        <v>8</v>
      </c>
      <c r="I197" s="83">
        <v>46</v>
      </c>
      <c r="J197" s="83">
        <v>0</v>
      </c>
      <c r="K197" s="83">
        <v>2</v>
      </c>
      <c r="L197" s="83">
        <v>24</v>
      </c>
      <c r="M197" s="83">
        <v>5.8</v>
      </c>
      <c r="N197" s="83">
        <v>2.7</v>
      </c>
      <c r="O197" s="83">
        <v>3</v>
      </c>
    </row>
    <row r="198" spans="1:15" ht="16" x14ac:dyDescent="0.2">
      <c r="A198" s="89">
        <v>189</v>
      </c>
      <c r="B198" s="84" t="s">
        <v>229</v>
      </c>
      <c r="C198" s="84" t="s">
        <v>1040</v>
      </c>
      <c r="D198" s="83">
        <v>36</v>
      </c>
      <c r="E198" s="83" t="s">
        <v>79</v>
      </c>
      <c r="F198" s="83">
        <v>4</v>
      </c>
      <c r="G198" s="83">
        <v>0</v>
      </c>
      <c r="H198" s="83">
        <v>8</v>
      </c>
      <c r="I198" s="83">
        <v>0</v>
      </c>
      <c r="J198" s="83">
        <v>0</v>
      </c>
      <c r="K198" s="83">
        <v>0</v>
      </c>
      <c r="L198" s="83">
        <v>4</v>
      </c>
      <c r="M198" s="83">
        <v>0</v>
      </c>
      <c r="N198" s="83">
        <v>0</v>
      </c>
      <c r="O198" s="83">
        <v>2</v>
      </c>
    </row>
    <row r="199" spans="1:15" ht="16" x14ac:dyDescent="0.2">
      <c r="A199" s="89">
        <v>190</v>
      </c>
      <c r="B199" s="84" t="s">
        <v>1823</v>
      </c>
      <c r="C199" s="84" t="s">
        <v>1087</v>
      </c>
      <c r="D199" s="83">
        <v>30</v>
      </c>
      <c r="E199" s="83" t="s">
        <v>1824</v>
      </c>
      <c r="F199" s="83">
        <v>17</v>
      </c>
      <c r="G199" s="83">
        <v>16</v>
      </c>
      <c r="H199" s="83">
        <v>8</v>
      </c>
      <c r="I199" s="83">
        <v>22</v>
      </c>
      <c r="J199" s="83">
        <v>1</v>
      </c>
      <c r="K199" s="83">
        <v>3</v>
      </c>
      <c r="L199" s="83">
        <v>6</v>
      </c>
      <c r="M199" s="83">
        <v>2.8</v>
      </c>
      <c r="N199" s="83">
        <v>1.3</v>
      </c>
      <c r="O199" s="83">
        <v>0</v>
      </c>
    </row>
    <row r="200" spans="1:15" ht="16" x14ac:dyDescent="0.2">
      <c r="A200" s="89">
        <v>191</v>
      </c>
      <c r="B200" s="84" t="s">
        <v>882</v>
      </c>
      <c r="C200" s="84" t="s">
        <v>70</v>
      </c>
      <c r="D200" s="83">
        <v>24</v>
      </c>
      <c r="E200" s="83" t="s">
        <v>83</v>
      </c>
      <c r="F200" s="83">
        <v>17</v>
      </c>
      <c r="G200" s="83">
        <v>17</v>
      </c>
      <c r="H200" s="83">
        <v>8</v>
      </c>
      <c r="I200" s="83">
        <v>48</v>
      </c>
      <c r="J200" s="83">
        <v>0</v>
      </c>
      <c r="K200" s="83">
        <v>4</v>
      </c>
      <c r="L200" s="83">
        <v>14</v>
      </c>
      <c r="M200" s="83">
        <v>6</v>
      </c>
      <c r="N200" s="83">
        <v>2.8</v>
      </c>
      <c r="O200" s="83">
        <v>1</v>
      </c>
    </row>
    <row r="201" spans="1:15" ht="16" x14ac:dyDescent="0.2">
      <c r="A201" s="89">
        <v>192</v>
      </c>
      <c r="B201" s="84" t="s">
        <v>388</v>
      </c>
      <c r="C201" s="84" t="s">
        <v>71</v>
      </c>
      <c r="D201" s="83">
        <v>23</v>
      </c>
      <c r="E201" s="83" t="s">
        <v>68</v>
      </c>
      <c r="F201" s="83">
        <v>4</v>
      </c>
      <c r="G201" s="83">
        <v>0</v>
      </c>
      <c r="H201" s="83">
        <v>8</v>
      </c>
      <c r="I201" s="83">
        <v>31</v>
      </c>
      <c r="J201" s="83">
        <v>0</v>
      </c>
      <c r="K201" s="83">
        <v>1</v>
      </c>
      <c r="L201" s="83">
        <v>14</v>
      </c>
      <c r="M201" s="83">
        <v>3.9</v>
      </c>
      <c r="N201" s="83">
        <v>7.8</v>
      </c>
      <c r="O201" s="83">
        <v>0</v>
      </c>
    </row>
    <row r="202" spans="1:15" ht="16" x14ac:dyDescent="0.2">
      <c r="A202" s="89">
        <v>193</v>
      </c>
      <c r="B202" s="84" t="s">
        <v>1582</v>
      </c>
      <c r="C202" s="84" t="s">
        <v>730</v>
      </c>
      <c r="D202" s="83">
        <v>29</v>
      </c>
      <c r="E202" s="83" t="s">
        <v>83</v>
      </c>
      <c r="F202" s="83">
        <v>9</v>
      </c>
      <c r="G202" s="83">
        <v>9</v>
      </c>
      <c r="H202" s="83">
        <v>8</v>
      </c>
      <c r="I202" s="83">
        <v>46</v>
      </c>
      <c r="J202" s="83">
        <v>1</v>
      </c>
      <c r="K202" s="83">
        <v>1</v>
      </c>
      <c r="L202" s="83">
        <v>16</v>
      </c>
      <c r="M202" s="83">
        <v>5.8</v>
      </c>
      <c r="N202" s="83">
        <v>5.0999999999999996</v>
      </c>
      <c r="O202" s="83">
        <v>0</v>
      </c>
    </row>
    <row r="203" spans="1:15" ht="16" x14ac:dyDescent="0.2">
      <c r="A203" s="89">
        <v>194</v>
      </c>
      <c r="B203" s="84" t="s">
        <v>434</v>
      </c>
      <c r="C203" s="84" t="s">
        <v>1052</v>
      </c>
      <c r="D203" s="83">
        <v>26</v>
      </c>
      <c r="E203" s="83" t="s">
        <v>83</v>
      </c>
      <c r="F203" s="83">
        <v>10</v>
      </c>
      <c r="G203" s="83">
        <v>2</v>
      </c>
      <c r="H203" s="83">
        <v>7</v>
      </c>
      <c r="I203" s="83">
        <v>111</v>
      </c>
      <c r="J203" s="83">
        <v>1</v>
      </c>
      <c r="K203" s="83">
        <v>3</v>
      </c>
      <c r="L203" s="83">
        <v>66</v>
      </c>
      <c r="M203" s="83">
        <v>15.9</v>
      </c>
      <c r="N203" s="83">
        <v>11.1</v>
      </c>
      <c r="O203" s="83">
        <v>1</v>
      </c>
    </row>
    <row r="204" spans="1:15" ht="16" x14ac:dyDescent="0.2">
      <c r="A204" s="89">
        <v>195</v>
      </c>
      <c r="B204" s="84" t="s">
        <v>184</v>
      </c>
      <c r="C204" s="84" t="s">
        <v>74</v>
      </c>
      <c r="D204" s="83">
        <v>29</v>
      </c>
      <c r="E204" s="83" t="s">
        <v>79</v>
      </c>
      <c r="F204" s="83">
        <v>6</v>
      </c>
      <c r="G204" s="83">
        <v>1</v>
      </c>
      <c r="H204" s="83">
        <v>7</v>
      </c>
      <c r="I204" s="83">
        <v>-1</v>
      </c>
      <c r="J204" s="83">
        <v>0</v>
      </c>
      <c r="K204" s="83">
        <v>1</v>
      </c>
      <c r="L204" s="83">
        <v>3</v>
      </c>
      <c r="M204" s="83">
        <v>-0.1</v>
      </c>
      <c r="N204" s="83">
        <v>-0.2</v>
      </c>
      <c r="O204" s="83">
        <v>1</v>
      </c>
    </row>
    <row r="205" spans="1:15" ht="16" x14ac:dyDescent="0.2">
      <c r="A205" s="89">
        <v>196</v>
      </c>
      <c r="B205" s="84" t="s">
        <v>3089</v>
      </c>
      <c r="C205" s="84" t="s">
        <v>71</v>
      </c>
      <c r="D205" s="83">
        <v>26</v>
      </c>
      <c r="E205" s="83" t="s">
        <v>83</v>
      </c>
      <c r="F205" s="83">
        <v>16</v>
      </c>
      <c r="G205" s="83">
        <v>1</v>
      </c>
      <c r="H205" s="83">
        <v>7</v>
      </c>
      <c r="I205" s="83">
        <v>40</v>
      </c>
      <c r="J205" s="83">
        <v>2</v>
      </c>
      <c r="K205" s="83">
        <v>3</v>
      </c>
      <c r="L205" s="83">
        <v>11</v>
      </c>
      <c r="M205" s="83">
        <v>5.7</v>
      </c>
      <c r="N205" s="83">
        <v>2.5</v>
      </c>
      <c r="O205" s="83">
        <v>1</v>
      </c>
    </row>
    <row r="206" spans="1:15" ht="16" x14ac:dyDescent="0.2">
      <c r="A206" s="89">
        <v>197</v>
      </c>
      <c r="B206" s="84" t="s">
        <v>2647</v>
      </c>
      <c r="C206" s="84" t="s">
        <v>74</v>
      </c>
      <c r="D206" s="83">
        <v>21</v>
      </c>
      <c r="E206" s="83" t="s">
        <v>83</v>
      </c>
      <c r="F206" s="83">
        <v>17</v>
      </c>
      <c r="G206" s="83">
        <v>17</v>
      </c>
      <c r="H206" s="83">
        <v>7</v>
      </c>
      <c r="I206" s="83">
        <v>21</v>
      </c>
      <c r="J206" s="83">
        <v>0</v>
      </c>
      <c r="K206" s="83">
        <v>2</v>
      </c>
      <c r="L206" s="83">
        <v>10</v>
      </c>
      <c r="M206" s="83">
        <v>3</v>
      </c>
      <c r="N206" s="83">
        <v>1.2</v>
      </c>
      <c r="O206" s="83">
        <v>2</v>
      </c>
    </row>
    <row r="207" spans="1:15" ht="16" x14ac:dyDescent="0.2">
      <c r="A207" s="89">
        <v>198</v>
      </c>
      <c r="B207" s="84" t="s">
        <v>3090</v>
      </c>
      <c r="C207" s="84" t="s">
        <v>725</v>
      </c>
      <c r="D207" s="83">
        <v>24</v>
      </c>
      <c r="E207" s="83" t="s">
        <v>83</v>
      </c>
      <c r="F207" s="83">
        <v>16</v>
      </c>
      <c r="G207" s="83">
        <v>7</v>
      </c>
      <c r="H207" s="83">
        <v>7</v>
      </c>
      <c r="I207" s="83">
        <v>50</v>
      </c>
      <c r="J207" s="83">
        <v>0</v>
      </c>
      <c r="K207" s="83">
        <v>4</v>
      </c>
      <c r="L207" s="83">
        <v>19</v>
      </c>
      <c r="M207" s="83">
        <v>7.1</v>
      </c>
      <c r="N207" s="83">
        <v>3.1</v>
      </c>
      <c r="O207" s="83">
        <v>1</v>
      </c>
    </row>
    <row r="208" spans="1:15" ht="16" x14ac:dyDescent="0.2">
      <c r="A208" s="89">
        <v>199</v>
      </c>
      <c r="B208" s="84" t="s">
        <v>2277</v>
      </c>
      <c r="C208" s="84" t="s">
        <v>82</v>
      </c>
      <c r="D208" s="83">
        <v>23</v>
      </c>
      <c r="E208" s="83" t="s">
        <v>83</v>
      </c>
      <c r="F208" s="83">
        <v>16</v>
      </c>
      <c r="G208" s="83">
        <v>2</v>
      </c>
      <c r="H208" s="83">
        <v>7</v>
      </c>
      <c r="I208" s="83">
        <v>24</v>
      </c>
      <c r="J208" s="83">
        <v>0</v>
      </c>
      <c r="K208" s="83">
        <v>0</v>
      </c>
      <c r="L208" s="83">
        <v>12</v>
      </c>
      <c r="M208" s="83">
        <v>3.4</v>
      </c>
      <c r="N208" s="83">
        <v>1.5</v>
      </c>
      <c r="O208" s="83">
        <v>4</v>
      </c>
    </row>
    <row r="209" spans="1:15" ht="16" x14ac:dyDescent="0.2">
      <c r="A209" s="89">
        <v>200</v>
      </c>
      <c r="B209" s="84" t="s">
        <v>204</v>
      </c>
      <c r="C209" s="84" t="s">
        <v>92</v>
      </c>
      <c r="D209" s="83">
        <v>32</v>
      </c>
      <c r="E209" s="83" t="s">
        <v>79</v>
      </c>
      <c r="F209" s="83">
        <v>6</v>
      </c>
      <c r="G209" s="83">
        <v>4</v>
      </c>
      <c r="H209" s="83">
        <v>7</v>
      </c>
      <c r="I209" s="83">
        <v>33</v>
      </c>
      <c r="J209" s="83">
        <v>1</v>
      </c>
      <c r="K209" s="83">
        <v>2</v>
      </c>
      <c r="L209" s="83">
        <v>13</v>
      </c>
      <c r="M209" s="83">
        <v>4.7</v>
      </c>
      <c r="N209" s="83">
        <v>5.5</v>
      </c>
      <c r="O209" s="83">
        <v>6</v>
      </c>
    </row>
    <row r="210" spans="1:15" ht="16" x14ac:dyDescent="0.2">
      <c r="A210" s="89">
        <v>201</v>
      </c>
      <c r="B210" s="84" t="s">
        <v>305</v>
      </c>
      <c r="C210" s="84" t="s">
        <v>118</v>
      </c>
      <c r="D210" s="83">
        <v>24</v>
      </c>
      <c r="E210" s="83" t="s">
        <v>83</v>
      </c>
      <c r="F210" s="83">
        <v>16</v>
      </c>
      <c r="G210" s="83">
        <v>2</v>
      </c>
      <c r="H210" s="83">
        <v>7</v>
      </c>
      <c r="I210" s="83">
        <v>34</v>
      </c>
      <c r="J210" s="83">
        <v>0</v>
      </c>
      <c r="K210" s="83">
        <v>2</v>
      </c>
      <c r="L210" s="83">
        <v>21</v>
      </c>
      <c r="M210" s="83">
        <v>4.9000000000000004</v>
      </c>
      <c r="N210" s="83">
        <v>2.1</v>
      </c>
      <c r="O210" s="83">
        <v>1</v>
      </c>
    </row>
    <row r="211" spans="1:15" ht="16" x14ac:dyDescent="0.2">
      <c r="A211" s="89">
        <v>202</v>
      </c>
      <c r="B211" s="84" t="s">
        <v>500</v>
      </c>
      <c r="C211" s="84" t="s">
        <v>73</v>
      </c>
      <c r="D211" s="83">
        <v>28</v>
      </c>
      <c r="E211" s="83" t="s">
        <v>1824</v>
      </c>
      <c r="F211" s="83">
        <v>17</v>
      </c>
      <c r="G211" s="83">
        <v>8</v>
      </c>
      <c r="H211" s="83">
        <v>7</v>
      </c>
      <c r="I211" s="83">
        <v>34</v>
      </c>
      <c r="J211" s="83">
        <v>0</v>
      </c>
      <c r="K211" s="83">
        <v>3</v>
      </c>
      <c r="L211" s="83">
        <v>30</v>
      </c>
      <c r="M211" s="83">
        <v>4.9000000000000004</v>
      </c>
      <c r="N211" s="83">
        <v>2</v>
      </c>
      <c r="O211" s="83">
        <v>0</v>
      </c>
    </row>
    <row r="212" spans="1:15" ht="16" x14ac:dyDescent="0.2">
      <c r="A212" s="89">
        <v>203</v>
      </c>
      <c r="B212" s="84" t="s">
        <v>317</v>
      </c>
      <c r="C212" s="84" t="s">
        <v>139</v>
      </c>
      <c r="D212" s="83">
        <v>22</v>
      </c>
      <c r="E212" s="83" t="s">
        <v>83</v>
      </c>
      <c r="F212" s="83">
        <v>17</v>
      </c>
      <c r="G212" s="83">
        <v>9</v>
      </c>
      <c r="H212" s="83">
        <v>7</v>
      </c>
      <c r="I212" s="83">
        <v>61</v>
      </c>
      <c r="J212" s="83">
        <v>1</v>
      </c>
      <c r="K212" s="83">
        <v>2</v>
      </c>
      <c r="L212" s="83">
        <v>26</v>
      </c>
      <c r="M212" s="83">
        <v>8.6999999999999993</v>
      </c>
      <c r="N212" s="83">
        <v>3.6</v>
      </c>
      <c r="O212" s="83">
        <v>0</v>
      </c>
    </row>
    <row r="213" spans="1:15" ht="16" x14ac:dyDescent="0.2">
      <c r="A213" s="89">
        <v>204</v>
      </c>
      <c r="B213" s="84" t="s">
        <v>193</v>
      </c>
      <c r="C213" s="84" t="s">
        <v>70</v>
      </c>
      <c r="D213" s="83">
        <v>26</v>
      </c>
      <c r="E213" s="83" t="s">
        <v>79</v>
      </c>
      <c r="F213" s="83">
        <v>5</v>
      </c>
      <c r="G213" s="83">
        <v>1</v>
      </c>
      <c r="H213" s="83">
        <v>7</v>
      </c>
      <c r="I213" s="83">
        <v>13</v>
      </c>
      <c r="J213" s="83">
        <v>0</v>
      </c>
      <c r="K213" s="83">
        <v>2</v>
      </c>
      <c r="L213" s="83">
        <v>13</v>
      </c>
      <c r="M213" s="83">
        <v>1.9</v>
      </c>
      <c r="N213" s="83">
        <v>2.6</v>
      </c>
      <c r="O213" s="83">
        <v>3</v>
      </c>
    </row>
    <row r="214" spans="1:15" ht="16" x14ac:dyDescent="0.2">
      <c r="A214" s="89">
        <v>205</v>
      </c>
      <c r="B214" s="84" t="s">
        <v>2033</v>
      </c>
      <c r="C214" s="84" t="s">
        <v>73</v>
      </c>
      <c r="D214" s="83">
        <v>22</v>
      </c>
      <c r="E214" s="83" t="s">
        <v>83</v>
      </c>
      <c r="F214" s="83">
        <v>17</v>
      </c>
      <c r="G214" s="83">
        <v>17</v>
      </c>
      <c r="H214" s="83">
        <v>6</v>
      </c>
      <c r="I214" s="83">
        <v>14</v>
      </c>
      <c r="J214" s="83">
        <v>0</v>
      </c>
      <c r="K214" s="83">
        <v>1</v>
      </c>
      <c r="L214" s="83">
        <v>11</v>
      </c>
      <c r="M214" s="83">
        <v>2.2999999999999998</v>
      </c>
      <c r="N214" s="83">
        <v>0.8</v>
      </c>
      <c r="O214" s="83">
        <v>1</v>
      </c>
    </row>
    <row r="215" spans="1:15" ht="16" x14ac:dyDescent="0.2">
      <c r="A215" s="89">
        <v>206</v>
      </c>
      <c r="B215" s="84" t="s">
        <v>178</v>
      </c>
      <c r="C215" s="84" t="s">
        <v>82</v>
      </c>
      <c r="D215" s="83">
        <v>29</v>
      </c>
      <c r="E215" s="83" t="s">
        <v>83</v>
      </c>
      <c r="F215" s="83">
        <v>12</v>
      </c>
      <c r="G215" s="83">
        <v>12</v>
      </c>
      <c r="H215" s="83">
        <v>6</v>
      </c>
      <c r="I215" s="83">
        <v>40</v>
      </c>
      <c r="J215" s="83">
        <v>2</v>
      </c>
      <c r="K215" s="83">
        <v>4</v>
      </c>
      <c r="L215" s="83">
        <v>16</v>
      </c>
      <c r="M215" s="83">
        <v>6.7</v>
      </c>
      <c r="N215" s="83">
        <v>3.3</v>
      </c>
      <c r="O215" s="83">
        <v>3</v>
      </c>
    </row>
    <row r="216" spans="1:15" ht="16" x14ac:dyDescent="0.2">
      <c r="A216" s="89">
        <v>207</v>
      </c>
      <c r="B216" s="84" t="s">
        <v>1934</v>
      </c>
      <c r="C216" s="84" t="s">
        <v>727</v>
      </c>
      <c r="D216" s="83">
        <v>24</v>
      </c>
      <c r="E216" s="83" t="s">
        <v>83</v>
      </c>
      <c r="F216" s="83">
        <v>17</v>
      </c>
      <c r="G216" s="83">
        <v>14</v>
      </c>
      <c r="H216" s="83">
        <v>6</v>
      </c>
      <c r="I216" s="83">
        <v>32</v>
      </c>
      <c r="J216" s="83">
        <v>1</v>
      </c>
      <c r="K216" s="83">
        <v>2</v>
      </c>
      <c r="L216" s="83">
        <v>15</v>
      </c>
      <c r="M216" s="83">
        <v>5.3</v>
      </c>
      <c r="N216" s="83">
        <v>1.9</v>
      </c>
      <c r="O216" s="83">
        <v>0</v>
      </c>
    </row>
    <row r="217" spans="1:15" ht="16" x14ac:dyDescent="0.2">
      <c r="A217" s="89">
        <v>208</v>
      </c>
      <c r="B217" s="84" t="s">
        <v>469</v>
      </c>
      <c r="C217" s="84" t="s">
        <v>122</v>
      </c>
      <c r="D217" s="83">
        <v>24</v>
      </c>
      <c r="E217" s="83" t="s">
        <v>68</v>
      </c>
      <c r="F217" s="83">
        <v>3</v>
      </c>
      <c r="G217" s="83">
        <v>0</v>
      </c>
      <c r="H217" s="83">
        <v>6</v>
      </c>
      <c r="I217" s="83">
        <v>13</v>
      </c>
      <c r="J217" s="83">
        <v>0</v>
      </c>
      <c r="K217" s="83">
        <v>1</v>
      </c>
      <c r="L217" s="83">
        <v>4</v>
      </c>
      <c r="M217" s="83">
        <v>2.2000000000000002</v>
      </c>
      <c r="N217" s="83">
        <v>4.3</v>
      </c>
      <c r="O217" s="83">
        <v>0</v>
      </c>
    </row>
    <row r="218" spans="1:15" ht="16" x14ac:dyDescent="0.2">
      <c r="A218" s="89">
        <v>209</v>
      </c>
      <c r="B218" s="84" t="s">
        <v>423</v>
      </c>
      <c r="C218" s="84" t="s">
        <v>82</v>
      </c>
      <c r="D218" s="83">
        <v>21</v>
      </c>
      <c r="E218" s="83" t="s">
        <v>83</v>
      </c>
      <c r="F218" s="83">
        <v>14</v>
      </c>
      <c r="G218" s="83">
        <v>2</v>
      </c>
      <c r="H218" s="83">
        <v>6</v>
      </c>
      <c r="I218" s="83">
        <v>39</v>
      </c>
      <c r="J218" s="83">
        <v>0</v>
      </c>
      <c r="K218" s="83">
        <v>4</v>
      </c>
      <c r="L218" s="83">
        <v>17</v>
      </c>
      <c r="M218" s="83">
        <v>6.5</v>
      </c>
      <c r="N218" s="83">
        <v>2.8</v>
      </c>
      <c r="O218" s="83">
        <v>0</v>
      </c>
    </row>
    <row r="219" spans="1:15" x14ac:dyDescent="0.2">
      <c r="A219" s="89" t="s">
        <v>902</v>
      </c>
      <c r="B219" s="89" t="s">
        <v>903</v>
      </c>
      <c r="C219" s="89" t="s">
        <v>1314</v>
      </c>
      <c r="D219" s="89" t="s">
        <v>905</v>
      </c>
      <c r="E219" s="89" t="s">
        <v>906</v>
      </c>
      <c r="F219" s="89" t="s">
        <v>1315</v>
      </c>
      <c r="G219" s="89" t="s">
        <v>1316</v>
      </c>
      <c r="H219" s="89" t="s">
        <v>1319</v>
      </c>
      <c r="I219" s="89" t="s">
        <v>799</v>
      </c>
      <c r="J219" s="89" t="s">
        <v>800</v>
      </c>
      <c r="K219" s="89" t="s">
        <v>1321</v>
      </c>
      <c r="L219" s="89" t="s">
        <v>917</v>
      </c>
      <c r="M219" s="89" t="s">
        <v>1322</v>
      </c>
      <c r="N219" s="89" t="s">
        <v>1325</v>
      </c>
      <c r="O219" s="89" t="s">
        <v>1416</v>
      </c>
    </row>
    <row r="220" spans="1:15" ht="16" x14ac:dyDescent="0.2">
      <c r="A220" s="89">
        <v>210</v>
      </c>
      <c r="B220" s="84" t="s">
        <v>214</v>
      </c>
      <c r="C220" s="84" t="s">
        <v>77</v>
      </c>
      <c r="D220" s="83">
        <v>26</v>
      </c>
      <c r="E220" s="83" t="s">
        <v>79</v>
      </c>
      <c r="F220" s="83">
        <v>5</v>
      </c>
      <c r="G220" s="83">
        <v>0</v>
      </c>
      <c r="H220" s="83">
        <v>6</v>
      </c>
      <c r="I220" s="83">
        <v>-6</v>
      </c>
      <c r="J220" s="83">
        <v>0</v>
      </c>
      <c r="K220" s="83">
        <v>0</v>
      </c>
      <c r="L220" s="83">
        <v>-1</v>
      </c>
      <c r="M220" s="83">
        <v>-1</v>
      </c>
      <c r="N220" s="83">
        <v>-1.2</v>
      </c>
      <c r="O220" s="83">
        <v>0</v>
      </c>
    </row>
    <row r="221" spans="1:15" ht="16" x14ac:dyDescent="0.2">
      <c r="A221" s="89">
        <v>211</v>
      </c>
      <c r="B221" s="84" t="s">
        <v>174</v>
      </c>
      <c r="C221" s="84" t="s">
        <v>1087</v>
      </c>
      <c r="D221" s="83">
        <v>23</v>
      </c>
      <c r="E221" s="83" t="s">
        <v>83</v>
      </c>
      <c r="F221" s="83">
        <v>17</v>
      </c>
      <c r="G221" s="83">
        <v>16</v>
      </c>
      <c r="H221" s="83">
        <v>5</v>
      </c>
      <c r="I221" s="83">
        <v>17</v>
      </c>
      <c r="J221" s="83">
        <v>0</v>
      </c>
      <c r="K221" s="83">
        <v>0</v>
      </c>
      <c r="L221" s="83">
        <v>8</v>
      </c>
      <c r="M221" s="83">
        <v>3.4</v>
      </c>
      <c r="N221" s="83">
        <v>1</v>
      </c>
      <c r="O221" s="83">
        <v>2</v>
      </c>
    </row>
    <row r="222" spans="1:15" ht="16" x14ac:dyDescent="0.2">
      <c r="A222" s="89">
        <v>212</v>
      </c>
      <c r="B222" s="84" t="s">
        <v>1670</v>
      </c>
      <c r="C222" s="84" t="s">
        <v>730</v>
      </c>
      <c r="D222" s="83">
        <v>22</v>
      </c>
      <c r="E222" s="83" t="s">
        <v>68</v>
      </c>
      <c r="F222" s="83">
        <v>1</v>
      </c>
      <c r="G222" s="83">
        <v>0</v>
      </c>
      <c r="H222" s="83">
        <v>5</v>
      </c>
      <c r="I222" s="83">
        <v>3</v>
      </c>
      <c r="J222" s="83">
        <v>0</v>
      </c>
      <c r="K222" s="83">
        <v>0</v>
      </c>
      <c r="L222" s="83">
        <v>2</v>
      </c>
      <c r="M222" s="83">
        <v>0.6</v>
      </c>
      <c r="N222" s="83">
        <v>3</v>
      </c>
      <c r="O222" s="83">
        <v>0</v>
      </c>
    </row>
    <row r="223" spans="1:15" ht="16" x14ac:dyDescent="0.2">
      <c r="A223" s="89">
        <v>213</v>
      </c>
      <c r="B223" s="84" t="s">
        <v>435</v>
      </c>
      <c r="C223" s="83" t="s">
        <v>1726</v>
      </c>
      <c r="D223" s="83">
        <v>27</v>
      </c>
      <c r="E223" s="83" t="s">
        <v>1824</v>
      </c>
      <c r="F223" s="83">
        <v>11</v>
      </c>
      <c r="G223" s="83">
        <v>2</v>
      </c>
      <c r="H223" s="83">
        <v>5</v>
      </c>
      <c r="I223" s="83">
        <v>21</v>
      </c>
      <c r="J223" s="83">
        <v>0</v>
      </c>
      <c r="K223" s="83">
        <v>4</v>
      </c>
      <c r="L223" s="83">
        <v>9</v>
      </c>
      <c r="M223" s="83">
        <v>4.2</v>
      </c>
      <c r="N223" s="83">
        <v>1.9</v>
      </c>
      <c r="O223" s="83">
        <v>0</v>
      </c>
    </row>
    <row r="224" spans="1:15" ht="16" x14ac:dyDescent="0.2">
      <c r="A224" s="89">
        <v>214</v>
      </c>
      <c r="B224" s="84" t="s">
        <v>2648</v>
      </c>
      <c r="C224" s="83" t="s">
        <v>1726</v>
      </c>
      <c r="D224" s="83">
        <v>29</v>
      </c>
      <c r="E224" s="83" t="s">
        <v>83</v>
      </c>
      <c r="F224" s="83">
        <v>15</v>
      </c>
      <c r="G224" s="83">
        <v>0</v>
      </c>
      <c r="H224" s="83">
        <v>5</v>
      </c>
      <c r="I224" s="83">
        <v>33</v>
      </c>
      <c r="J224" s="83">
        <v>0</v>
      </c>
      <c r="K224" s="83">
        <v>2</v>
      </c>
      <c r="L224" s="83">
        <v>13</v>
      </c>
      <c r="M224" s="83">
        <v>6.6</v>
      </c>
      <c r="N224" s="83">
        <v>2.2000000000000002</v>
      </c>
      <c r="O224" s="83">
        <v>3</v>
      </c>
    </row>
    <row r="225" spans="1:15" ht="16" x14ac:dyDescent="0.2">
      <c r="A225" s="89">
        <v>215</v>
      </c>
      <c r="B225" s="84" t="s">
        <v>3097</v>
      </c>
      <c r="C225" s="84" t="s">
        <v>1257</v>
      </c>
      <c r="D225" s="83">
        <v>24</v>
      </c>
      <c r="E225" s="83" t="s">
        <v>83</v>
      </c>
      <c r="F225" s="83">
        <v>13</v>
      </c>
      <c r="G225" s="83">
        <v>1</v>
      </c>
      <c r="H225" s="83">
        <v>5</v>
      </c>
      <c r="I225" s="83">
        <v>41</v>
      </c>
      <c r="J225" s="83">
        <v>0</v>
      </c>
      <c r="K225" s="83">
        <v>1</v>
      </c>
      <c r="L225" s="83">
        <v>22</v>
      </c>
      <c r="M225" s="83">
        <v>8.1999999999999993</v>
      </c>
      <c r="N225" s="83">
        <v>3.2</v>
      </c>
      <c r="O225" s="83">
        <v>2</v>
      </c>
    </row>
    <row r="226" spans="1:15" ht="16" x14ac:dyDescent="0.2">
      <c r="A226" s="89">
        <v>216</v>
      </c>
      <c r="B226" s="84" t="s">
        <v>1826</v>
      </c>
      <c r="C226" s="84" t="s">
        <v>730</v>
      </c>
      <c r="D226" s="83">
        <v>25</v>
      </c>
      <c r="E226" s="83" t="s">
        <v>68</v>
      </c>
      <c r="F226" s="83">
        <v>10</v>
      </c>
      <c r="G226" s="83">
        <v>0</v>
      </c>
      <c r="H226" s="83">
        <v>5</v>
      </c>
      <c r="I226" s="83">
        <v>11</v>
      </c>
      <c r="J226" s="83">
        <v>0</v>
      </c>
      <c r="K226" s="83">
        <v>0</v>
      </c>
      <c r="L226" s="83">
        <v>4</v>
      </c>
      <c r="M226" s="83">
        <v>2.2000000000000002</v>
      </c>
      <c r="N226" s="83">
        <v>1.1000000000000001</v>
      </c>
      <c r="O226" s="83">
        <v>0</v>
      </c>
    </row>
    <row r="227" spans="1:15" ht="16" x14ac:dyDescent="0.2">
      <c r="A227" s="89">
        <v>217</v>
      </c>
      <c r="B227" s="84" t="s">
        <v>3098</v>
      </c>
      <c r="C227" s="84" t="s">
        <v>99</v>
      </c>
      <c r="D227" s="83">
        <v>25</v>
      </c>
      <c r="E227" s="83" t="s">
        <v>83</v>
      </c>
      <c r="F227" s="83">
        <v>16</v>
      </c>
      <c r="G227" s="83">
        <v>14</v>
      </c>
      <c r="H227" s="83">
        <v>5</v>
      </c>
      <c r="I227" s="83">
        <v>53</v>
      </c>
      <c r="J227" s="83">
        <v>0</v>
      </c>
      <c r="K227" s="83">
        <v>2</v>
      </c>
      <c r="L227" s="83">
        <v>25</v>
      </c>
      <c r="M227" s="83">
        <v>10.6</v>
      </c>
      <c r="N227" s="83">
        <v>3.3</v>
      </c>
      <c r="O227" s="83">
        <v>2</v>
      </c>
    </row>
    <row r="228" spans="1:15" ht="16" x14ac:dyDescent="0.2">
      <c r="A228" s="89">
        <v>218</v>
      </c>
      <c r="B228" s="84" t="s">
        <v>311</v>
      </c>
      <c r="C228" s="84" t="s">
        <v>71</v>
      </c>
      <c r="D228" s="83">
        <v>21</v>
      </c>
      <c r="E228" s="83" t="s">
        <v>83</v>
      </c>
      <c r="F228" s="83">
        <v>11</v>
      </c>
      <c r="G228" s="83">
        <v>6</v>
      </c>
      <c r="H228" s="83">
        <v>5</v>
      </c>
      <c r="I228" s="83">
        <v>54</v>
      </c>
      <c r="J228" s="83">
        <v>1</v>
      </c>
      <c r="K228" s="83">
        <v>3</v>
      </c>
      <c r="L228" s="83">
        <v>19</v>
      </c>
      <c r="M228" s="83">
        <v>10.8</v>
      </c>
      <c r="N228" s="83">
        <v>4.9000000000000004</v>
      </c>
      <c r="O228" s="83">
        <v>0</v>
      </c>
    </row>
    <row r="229" spans="1:15" ht="16" x14ac:dyDescent="0.2">
      <c r="A229" s="89">
        <v>219</v>
      </c>
      <c r="B229" s="84" t="s">
        <v>284</v>
      </c>
      <c r="C229" s="84" t="s">
        <v>107</v>
      </c>
      <c r="D229" s="83">
        <v>24</v>
      </c>
      <c r="E229" s="83" t="s">
        <v>83</v>
      </c>
      <c r="F229" s="83">
        <v>17</v>
      </c>
      <c r="G229" s="83">
        <v>17</v>
      </c>
      <c r="H229" s="83">
        <v>5</v>
      </c>
      <c r="I229" s="83">
        <v>44</v>
      </c>
      <c r="J229" s="83">
        <v>0</v>
      </c>
      <c r="K229" s="83">
        <v>1</v>
      </c>
      <c r="L229" s="83">
        <v>25</v>
      </c>
      <c r="M229" s="83">
        <v>8.8000000000000007</v>
      </c>
      <c r="N229" s="83">
        <v>2.6</v>
      </c>
      <c r="O229" s="83">
        <v>1</v>
      </c>
    </row>
    <row r="230" spans="1:15" ht="16" x14ac:dyDescent="0.2">
      <c r="A230" s="89">
        <v>220</v>
      </c>
      <c r="B230" s="84" t="s">
        <v>200</v>
      </c>
      <c r="C230" s="84" t="s">
        <v>99</v>
      </c>
      <c r="D230" s="83">
        <v>26</v>
      </c>
      <c r="E230" s="83" t="s">
        <v>79</v>
      </c>
      <c r="F230" s="83">
        <v>2</v>
      </c>
      <c r="G230" s="83">
        <v>1</v>
      </c>
      <c r="H230" s="83">
        <v>5</v>
      </c>
      <c r="I230" s="83">
        <v>53</v>
      </c>
      <c r="J230" s="83">
        <v>0</v>
      </c>
      <c r="K230" s="83">
        <v>3</v>
      </c>
      <c r="L230" s="83">
        <v>26</v>
      </c>
      <c r="M230" s="83">
        <v>10.6</v>
      </c>
      <c r="N230" s="83">
        <v>26.5</v>
      </c>
      <c r="O230" s="83">
        <v>1</v>
      </c>
    </row>
    <row r="231" spans="1:15" ht="16" x14ac:dyDescent="0.2">
      <c r="A231" s="89">
        <v>221</v>
      </c>
      <c r="B231" s="84" t="s">
        <v>391</v>
      </c>
      <c r="C231" s="84" t="s">
        <v>122</v>
      </c>
      <c r="D231" s="83">
        <v>25</v>
      </c>
      <c r="E231" s="83" t="s">
        <v>68</v>
      </c>
      <c r="F231" s="83">
        <v>3</v>
      </c>
      <c r="G231" s="83">
        <v>0</v>
      </c>
      <c r="H231" s="83">
        <v>5</v>
      </c>
      <c r="I231" s="83">
        <v>9</v>
      </c>
      <c r="J231" s="83">
        <v>0</v>
      </c>
      <c r="K231" s="83">
        <v>0</v>
      </c>
      <c r="L231" s="83">
        <v>3</v>
      </c>
      <c r="M231" s="83">
        <v>1.8</v>
      </c>
      <c r="N231" s="83">
        <v>3</v>
      </c>
      <c r="O231" s="83">
        <v>0</v>
      </c>
    </row>
    <row r="232" spans="1:15" ht="16" x14ac:dyDescent="0.2">
      <c r="A232" s="89">
        <v>222</v>
      </c>
      <c r="B232" s="84" t="s">
        <v>441</v>
      </c>
      <c r="C232" s="83" t="s">
        <v>2530</v>
      </c>
      <c r="D232" s="83">
        <v>24</v>
      </c>
      <c r="E232" s="83" t="s">
        <v>68</v>
      </c>
      <c r="F232" s="83">
        <v>7</v>
      </c>
      <c r="G232" s="83">
        <v>0</v>
      </c>
      <c r="H232" s="83">
        <v>5</v>
      </c>
      <c r="I232" s="83">
        <v>11</v>
      </c>
      <c r="J232" s="83">
        <v>0</v>
      </c>
      <c r="K232" s="83">
        <v>1</v>
      </c>
      <c r="L232" s="83">
        <v>3</v>
      </c>
      <c r="M232" s="83">
        <v>2.2000000000000002</v>
      </c>
      <c r="N232" s="83">
        <v>1.6</v>
      </c>
      <c r="O232" s="83">
        <v>0</v>
      </c>
    </row>
    <row r="233" spans="1:15" ht="16" x14ac:dyDescent="0.2">
      <c r="A233" s="89">
        <v>223</v>
      </c>
      <c r="B233" s="84" t="s">
        <v>2520</v>
      </c>
      <c r="C233" s="84" t="s">
        <v>119</v>
      </c>
      <c r="D233" s="83">
        <v>27</v>
      </c>
      <c r="E233" s="83" t="s">
        <v>68</v>
      </c>
      <c r="F233" s="83">
        <v>3</v>
      </c>
      <c r="G233" s="83">
        <v>0</v>
      </c>
      <c r="H233" s="83">
        <v>5</v>
      </c>
      <c r="I233" s="83">
        <v>25</v>
      </c>
      <c r="J233" s="83">
        <v>0</v>
      </c>
      <c r="K233" s="83">
        <v>2</v>
      </c>
      <c r="L233" s="83">
        <v>13</v>
      </c>
      <c r="M233" s="83">
        <v>5</v>
      </c>
      <c r="N233" s="83">
        <v>8.3000000000000007</v>
      </c>
      <c r="O233" s="83">
        <v>0</v>
      </c>
    </row>
    <row r="234" spans="1:15" ht="16" x14ac:dyDescent="0.2">
      <c r="A234" s="89">
        <v>224</v>
      </c>
      <c r="B234" s="84" t="s">
        <v>387</v>
      </c>
      <c r="C234" s="84" t="s">
        <v>108</v>
      </c>
      <c r="D234" s="83">
        <v>23</v>
      </c>
      <c r="E234" s="83" t="s">
        <v>83</v>
      </c>
      <c r="F234" s="83">
        <v>17</v>
      </c>
      <c r="G234" s="83">
        <v>8</v>
      </c>
      <c r="H234" s="83">
        <v>5</v>
      </c>
      <c r="I234" s="83">
        <v>32</v>
      </c>
      <c r="J234" s="83">
        <v>0</v>
      </c>
      <c r="K234" s="83">
        <v>2</v>
      </c>
      <c r="L234" s="83">
        <v>11</v>
      </c>
      <c r="M234" s="83">
        <v>6.4</v>
      </c>
      <c r="N234" s="83">
        <v>1.9</v>
      </c>
      <c r="O234" s="83">
        <v>1</v>
      </c>
    </row>
    <row r="235" spans="1:15" ht="16" x14ac:dyDescent="0.2">
      <c r="A235" s="89">
        <v>225</v>
      </c>
      <c r="B235" s="84" t="s">
        <v>2409</v>
      </c>
      <c r="C235" s="84" t="s">
        <v>71</v>
      </c>
      <c r="D235" s="83">
        <v>26</v>
      </c>
      <c r="E235" s="83" t="s">
        <v>79</v>
      </c>
      <c r="F235" s="83">
        <v>4</v>
      </c>
      <c r="G235" s="83">
        <v>3</v>
      </c>
      <c r="H235" s="83">
        <v>5</v>
      </c>
      <c r="I235" s="83">
        <v>-1</v>
      </c>
      <c r="J235" s="83">
        <v>0</v>
      </c>
      <c r="K235" s="83">
        <v>2</v>
      </c>
      <c r="L235" s="83">
        <v>2</v>
      </c>
      <c r="M235" s="83">
        <v>-0.2</v>
      </c>
      <c r="N235" s="83">
        <v>-0.3</v>
      </c>
      <c r="O235" s="83">
        <v>0</v>
      </c>
    </row>
    <row r="236" spans="1:15" ht="16" x14ac:dyDescent="0.2">
      <c r="A236" s="89">
        <v>226</v>
      </c>
      <c r="B236" s="84" t="s">
        <v>2620</v>
      </c>
      <c r="C236" s="84" t="s">
        <v>976</v>
      </c>
      <c r="D236" s="83">
        <v>32</v>
      </c>
      <c r="E236" s="83" t="s">
        <v>68</v>
      </c>
      <c r="F236" s="83">
        <v>3</v>
      </c>
      <c r="G236" s="83">
        <v>0</v>
      </c>
      <c r="H236" s="83">
        <v>4</v>
      </c>
      <c r="I236" s="83">
        <v>0</v>
      </c>
      <c r="J236" s="83">
        <v>0</v>
      </c>
      <c r="K236" s="83">
        <v>0</v>
      </c>
      <c r="L236" s="83">
        <v>1</v>
      </c>
      <c r="M236" s="83">
        <v>0</v>
      </c>
      <c r="N236" s="83">
        <v>0</v>
      </c>
      <c r="O236" s="83">
        <v>0</v>
      </c>
    </row>
    <row r="237" spans="1:15" ht="16" x14ac:dyDescent="0.2">
      <c r="A237" s="89">
        <v>227</v>
      </c>
      <c r="B237" s="84" t="s">
        <v>648</v>
      </c>
      <c r="C237" s="84" t="s">
        <v>1040</v>
      </c>
      <c r="D237" s="83">
        <v>30</v>
      </c>
      <c r="E237" s="83" t="s">
        <v>88</v>
      </c>
      <c r="F237" s="83">
        <v>16</v>
      </c>
      <c r="G237" s="83">
        <v>5</v>
      </c>
      <c r="H237" s="83">
        <v>4</v>
      </c>
      <c r="I237" s="83">
        <v>10</v>
      </c>
      <c r="J237" s="83">
        <v>0</v>
      </c>
      <c r="K237" s="83">
        <v>4</v>
      </c>
      <c r="L237" s="83">
        <v>3</v>
      </c>
      <c r="M237" s="83">
        <v>2.5</v>
      </c>
      <c r="N237" s="83">
        <v>0.6</v>
      </c>
      <c r="O237" s="83">
        <v>0</v>
      </c>
    </row>
    <row r="238" spans="1:15" ht="16" x14ac:dyDescent="0.2">
      <c r="A238" s="89">
        <v>228</v>
      </c>
      <c r="B238" s="84" t="s">
        <v>407</v>
      </c>
      <c r="C238" s="84" t="s">
        <v>93</v>
      </c>
      <c r="D238" s="83">
        <v>26</v>
      </c>
      <c r="E238" s="83" t="s">
        <v>68</v>
      </c>
      <c r="F238" s="83">
        <v>8</v>
      </c>
      <c r="G238" s="83">
        <v>0</v>
      </c>
      <c r="H238" s="83">
        <v>4</v>
      </c>
      <c r="I238" s="83">
        <v>35</v>
      </c>
      <c r="J238" s="83">
        <v>0</v>
      </c>
      <c r="K238" s="83">
        <v>2</v>
      </c>
      <c r="L238" s="83">
        <v>16</v>
      </c>
      <c r="M238" s="83">
        <v>8.8000000000000007</v>
      </c>
      <c r="N238" s="83">
        <v>4.4000000000000004</v>
      </c>
      <c r="O238" s="83">
        <v>0</v>
      </c>
    </row>
    <row r="239" spans="1:15" ht="16" x14ac:dyDescent="0.2">
      <c r="A239" s="89">
        <v>229</v>
      </c>
      <c r="B239" s="84" t="s">
        <v>1529</v>
      </c>
      <c r="C239" s="84" t="s">
        <v>108</v>
      </c>
      <c r="D239" s="83">
        <v>24</v>
      </c>
      <c r="E239" s="83" t="s">
        <v>83</v>
      </c>
      <c r="F239" s="83">
        <v>10</v>
      </c>
      <c r="G239" s="83">
        <v>0</v>
      </c>
      <c r="H239" s="83">
        <v>4</v>
      </c>
      <c r="I239" s="83">
        <v>59</v>
      </c>
      <c r="J239" s="83">
        <v>0</v>
      </c>
      <c r="K239" s="83">
        <v>2</v>
      </c>
      <c r="L239" s="83">
        <v>30</v>
      </c>
      <c r="M239" s="83">
        <v>14.8</v>
      </c>
      <c r="N239" s="83">
        <v>5.9</v>
      </c>
      <c r="O239" s="83">
        <v>0</v>
      </c>
    </row>
    <row r="240" spans="1:15" ht="16" x14ac:dyDescent="0.2">
      <c r="A240" s="89">
        <v>230</v>
      </c>
      <c r="B240" s="84" t="s">
        <v>1362</v>
      </c>
      <c r="C240" s="84" t="s">
        <v>727</v>
      </c>
      <c r="D240" s="83">
        <v>32</v>
      </c>
      <c r="E240" s="83" t="s">
        <v>79</v>
      </c>
      <c r="F240" s="83">
        <v>1</v>
      </c>
      <c r="G240" s="83">
        <v>1</v>
      </c>
      <c r="H240" s="83">
        <v>4</v>
      </c>
      <c r="I240" s="83">
        <v>8</v>
      </c>
      <c r="J240" s="83">
        <v>0</v>
      </c>
      <c r="K240" s="83">
        <v>1</v>
      </c>
      <c r="L240" s="83">
        <v>8</v>
      </c>
      <c r="M240" s="83">
        <v>2</v>
      </c>
      <c r="N240" s="83">
        <v>8</v>
      </c>
      <c r="O240" s="83">
        <v>1</v>
      </c>
    </row>
    <row r="241" spans="1:15" ht="16" x14ac:dyDescent="0.2">
      <c r="A241" s="89">
        <v>231</v>
      </c>
      <c r="B241" s="84" t="s">
        <v>812</v>
      </c>
      <c r="C241" s="84" t="s">
        <v>976</v>
      </c>
      <c r="D241" s="83">
        <v>25</v>
      </c>
      <c r="E241" s="83" t="s">
        <v>83</v>
      </c>
      <c r="F241" s="83">
        <v>14</v>
      </c>
      <c r="G241" s="83">
        <v>14</v>
      </c>
      <c r="H241" s="83">
        <v>4</v>
      </c>
      <c r="I241" s="83">
        <v>21</v>
      </c>
      <c r="J241" s="83">
        <v>1</v>
      </c>
      <c r="K241" s="83">
        <v>4</v>
      </c>
      <c r="L241" s="83">
        <v>9</v>
      </c>
      <c r="M241" s="83">
        <v>5.3</v>
      </c>
      <c r="N241" s="83">
        <v>1.5</v>
      </c>
      <c r="O241" s="83">
        <v>2</v>
      </c>
    </row>
    <row r="242" spans="1:15" ht="16" x14ac:dyDescent="0.2">
      <c r="A242" s="89">
        <v>232</v>
      </c>
      <c r="B242" s="84" t="s">
        <v>2527</v>
      </c>
      <c r="C242" s="84" t="s">
        <v>729</v>
      </c>
      <c r="D242" s="83">
        <v>24</v>
      </c>
      <c r="E242" s="83" t="s">
        <v>68</v>
      </c>
      <c r="F242" s="83">
        <v>3</v>
      </c>
      <c r="G242" s="83">
        <v>0</v>
      </c>
      <c r="H242" s="83">
        <v>4</v>
      </c>
      <c r="I242" s="83">
        <v>29</v>
      </c>
      <c r="J242" s="83">
        <v>1</v>
      </c>
      <c r="K242" s="83">
        <v>1</v>
      </c>
      <c r="L242" s="83">
        <v>22</v>
      </c>
      <c r="M242" s="83">
        <v>7.3</v>
      </c>
      <c r="N242" s="83">
        <v>9.6999999999999993</v>
      </c>
      <c r="O242" s="83">
        <v>0</v>
      </c>
    </row>
    <row r="243" spans="1:15" ht="16" x14ac:dyDescent="0.2">
      <c r="A243" s="89">
        <v>233</v>
      </c>
      <c r="B243" s="84" t="s">
        <v>3087</v>
      </c>
      <c r="C243" s="84" t="s">
        <v>730</v>
      </c>
      <c r="D243" s="83">
        <v>28</v>
      </c>
      <c r="E243" s="83" t="s">
        <v>83</v>
      </c>
      <c r="F243" s="83">
        <v>17</v>
      </c>
      <c r="G243" s="83">
        <v>17</v>
      </c>
      <c r="H243" s="83">
        <v>4</v>
      </c>
      <c r="I243" s="83">
        <v>18</v>
      </c>
      <c r="J243" s="83">
        <v>0</v>
      </c>
      <c r="K243" s="83">
        <v>1</v>
      </c>
      <c r="L243" s="83">
        <v>18</v>
      </c>
      <c r="M243" s="83">
        <v>4.5</v>
      </c>
      <c r="N243" s="83">
        <v>1.1000000000000001</v>
      </c>
      <c r="O243" s="83">
        <v>0</v>
      </c>
    </row>
    <row r="244" spans="1:15" ht="16" x14ac:dyDescent="0.2">
      <c r="A244" s="89">
        <v>234</v>
      </c>
      <c r="B244" s="84" t="s">
        <v>493</v>
      </c>
      <c r="C244" s="84" t="s">
        <v>139</v>
      </c>
      <c r="D244" s="83">
        <v>27</v>
      </c>
      <c r="E244" s="83" t="s">
        <v>83</v>
      </c>
      <c r="F244" s="83">
        <v>16</v>
      </c>
      <c r="G244" s="83">
        <v>14</v>
      </c>
      <c r="H244" s="83">
        <v>4</v>
      </c>
      <c r="I244" s="83">
        <v>28</v>
      </c>
      <c r="J244" s="83">
        <v>0</v>
      </c>
      <c r="K244" s="83">
        <v>2</v>
      </c>
      <c r="L244" s="83">
        <v>13</v>
      </c>
      <c r="M244" s="83">
        <v>7</v>
      </c>
      <c r="N244" s="83">
        <v>1.8</v>
      </c>
      <c r="O244" s="83">
        <v>0</v>
      </c>
    </row>
    <row r="245" spans="1:15" ht="16" x14ac:dyDescent="0.2">
      <c r="A245" s="89">
        <v>235</v>
      </c>
      <c r="B245" s="84" t="s">
        <v>262</v>
      </c>
      <c r="C245" s="84" t="s">
        <v>119</v>
      </c>
      <c r="D245" s="83">
        <v>25</v>
      </c>
      <c r="E245" s="83" t="s">
        <v>83</v>
      </c>
      <c r="F245" s="83">
        <v>5</v>
      </c>
      <c r="G245" s="83">
        <v>1</v>
      </c>
      <c r="H245" s="83">
        <v>4</v>
      </c>
      <c r="I245" s="83">
        <v>11</v>
      </c>
      <c r="J245" s="83">
        <v>0</v>
      </c>
      <c r="K245" s="83">
        <v>0</v>
      </c>
      <c r="L245" s="83">
        <v>8</v>
      </c>
      <c r="M245" s="83">
        <v>2.8</v>
      </c>
      <c r="N245" s="83">
        <v>2.2000000000000002</v>
      </c>
      <c r="O245" s="83">
        <v>0</v>
      </c>
    </row>
    <row r="246" spans="1:15" ht="16" x14ac:dyDescent="0.2">
      <c r="A246" s="89">
        <v>236</v>
      </c>
      <c r="B246" s="84" t="s">
        <v>605</v>
      </c>
      <c r="C246" s="84" t="s">
        <v>1257</v>
      </c>
      <c r="D246" s="83">
        <v>27</v>
      </c>
      <c r="E246" s="83" t="s">
        <v>68</v>
      </c>
      <c r="F246" s="83">
        <v>14</v>
      </c>
      <c r="G246" s="83">
        <v>0</v>
      </c>
      <c r="H246" s="83">
        <v>4</v>
      </c>
      <c r="I246" s="83">
        <v>16</v>
      </c>
      <c r="J246" s="83">
        <v>0</v>
      </c>
      <c r="K246" s="83">
        <v>0</v>
      </c>
      <c r="L246" s="83">
        <v>5</v>
      </c>
      <c r="M246" s="83">
        <v>4</v>
      </c>
      <c r="N246" s="83">
        <v>1.1000000000000001</v>
      </c>
      <c r="O246" s="83">
        <v>0</v>
      </c>
    </row>
    <row r="247" spans="1:15" ht="16" x14ac:dyDescent="0.2">
      <c r="A247" s="89">
        <v>237</v>
      </c>
      <c r="B247" s="84" t="s">
        <v>534</v>
      </c>
      <c r="C247" s="84" t="s">
        <v>142</v>
      </c>
      <c r="D247" s="83">
        <v>29</v>
      </c>
      <c r="E247" s="83" t="s">
        <v>83</v>
      </c>
      <c r="F247" s="83">
        <v>14</v>
      </c>
      <c r="G247" s="83">
        <v>5</v>
      </c>
      <c r="H247" s="83">
        <v>4</v>
      </c>
      <c r="I247" s="83">
        <v>17</v>
      </c>
      <c r="J247" s="83">
        <v>0</v>
      </c>
      <c r="K247" s="83">
        <v>1</v>
      </c>
      <c r="L247" s="83">
        <v>14</v>
      </c>
      <c r="M247" s="83">
        <v>4.3</v>
      </c>
      <c r="N247" s="83">
        <v>1.2</v>
      </c>
      <c r="O247" s="83">
        <v>0</v>
      </c>
    </row>
    <row r="248" spans="1:15" ht="16" x14ac:dyDescent="0.2">
      <c r="A248" s="89">
        <v>238</v>
      </c>
      <c r="B248" s="84" t="s">
        <v>253</v>
      </c>
      <c r="C248" s="84" t="s">
        <v>1122</v>
      </c>
      <c r="D248" s="83">
        <v>28</v>
      </c>
      <c r="E248" s="83" t="s">
        <v>83</v>
      </c>
      <c r="F248" s="83">
        <v>15</v>
      </c>
      <c r="G248" s="83">
        <v>13</v>
      </c>
      <c r="H248" s="83">
        <v>3</v>
      </c>
      <c r="I248" s="83">
        <v>11</v>
      </c>
      <c r="J248" s="83">
        <v>0</v>
      </c>
      <c r="K248" s="83">
        <v>0</v>
      </c>
      <c r="L248" s="83">
        <v>6</v>
      </c>
      <c r="M248" s="83">
        <v>3.7</v>
      </c>
      <c r="N248" s="83">
        <v>0.7</v>
      </c>
      <c r="O248" s="83">
        <v>0</v>
      </c>
    </row>
    <row r="249" spans="1:15" ht="16" x14ac:dyDescent="0.2">
      <c r="A249" s="89">
        <v>239</v>
      </c>
      <c r="B249" s="84" t="s">
        <v>3109</v>
      </c>
      <c r="C249" s="84" t="s">
        <v>70</v>
      </c>
      <c r="D249" s="83">
        <v>28</v>
      </c>
      <c r="E249" s="83" t="s">
        <v>83</v>
      </c>
      <c r="F249" s="83">
        <v>17</v>
      </c>
      <c r="G249" s="83">
        <v>16</v>
      </c>
      <c r="H249" s="83">
        <v>3</v>
      </c>
      <c r="I249" s="83">
        <v>36</v>
      </c>
      <c r="J249" s="83">
        <v>0</v>
      </c>
      <c r="K249" s="83">
        <v>1</v>
      </c>
      <c r="L249" s="83">
        <v>30</v>
      </c>
      <c r="M249" s="83">
        <v>12</v>
      </c>
      <c r="N249" s="83">
        <v>2.1</v>
      </c>
      <c r="O249" s="83">
        <v>0</v>
      </c>
    </row>
    <row r="250" spans="1:15" x14ac:dyDescent="0.2">
      <c r="A250" s="89" t="s">
        <v>902</v>
      </c>
      <c r="B250" s="89" t="s">
        <v>903</v>
      </c>
      <c r="C250" s="89" t="s">
        <v>1314</v>
      </c>
      <c r="D250" s="89" t="s">
        <v>905</v>
      </c>
      <c r="E250" s="89" t="s">
        <v>906</v>
      </c>
      <c r="F250" s="89" t="s">
        <v>1315</v>
      </c>
      <c r="G250" s="89" t="s">
        <v>1316</v>
      </c>
      <c r="H250" s="89" t="s">
        <v>1319</v>
      </c>
      <c r="I250" s="89" t="s">
        <v>799</v>
      </c>
      <c r="J250" s="89" t="s">
        <v>800</v>
      </c>
      <c r="K250" s="89" t="s">
        <v>1321</v>
      </c>
      <c r="L250" s="89" t="s">
        <v>917</v>
      </c>
      <c r="M250" s="89" t="s">
        <v>1322</v>
      </c>
      <c r="N250" s="89" t="s">
        <v>1325</v>
      </c>
      <c r="O250" s="89" t="s">
        <v>1416</v>
      </c>
    </row>
    <row r="251" spans="1:15" ht="16" x14ac:dyDescent="0.2">
      <c r="A251" s="89">
        <v>240</v>
      </c>
      <c r="B251" s="84" t="s">
        <v>2137</v>
      </c>
      <c r="C251" s="84" t="s">
        <v>1052</v>
      </c>
      <c r="D251" s="83">
        <v>31</v>
      </c>
      <c r="E251" s="83" t="s">
        <v>83</v>
      </c>
      <c r="F251" s="83">
        <v>13</v>
      </c>
      <c r="G251" s="83">
        <v>3</v>
      </c>
      <c r="H251" s="83">
        <v>3</v>
      </c>
      <c r="I251" s="83">
        <v>21</v>
      </c>
      <c r="J251" s="83">
        <v>0</v>
      </c>
      <c r="K251" s="83">
        <v>1</v>
      </c>
      <c r="L251" s="83">
        <v>8</v>
      </c>
      <c r="M251" s="83">
        <v>7</v>
      </c>
      <c r="N251" s="83">
        <v>1.6</v>
      </c>
      <c r="O251" s="83">
        <v>1</v>
      </c>
    </row>
    <row r="252" spans="1:15" ht="16" x14ac:dyDescent="0.2">
      <c r="A252" s="89">
        <v>241</v>
      </c>
      <c r="B252" s="84" t="s">
        <v>489</v>
      </c>
      <c r="C252" s="84" t="s">
        <v>77</v>
      </c>
      <c r="D252" s="83">
        <v>25</v>
      </c>
      <c r="E252" s="83" t="s">
        <v>68</v>
      </c>
      <c r="F252" s="83">
        <v>11</v>
      </c>
      <c r="G252" s="83">
        <v>3</v>
      </c>
      <c r="H252" s="83">
        <v>3</v>
      </c>
      <c r="I252" s="83">
        <v>6</v>
      </c>
      <c r="J252" s="83">
        <v>0</v>
      </c>
      <c r="K252" s="83">
        <v>1</v>
      </c>
      <c r="L252" s="83">
        <v>3</v>
      </c>
      <c r="M252" s="83">
        <v>2</v>
      </c>
      <c r="N252" s="83">
        <v>0.5</v>
      </c>
      <c r="O252" s="83">
        <v>1</v>
      </c>
    </row>
    <row r="253" spans="1:15" ht="16" x14ac:dyDescent="0.2">
      <c r="A253" s="89">
        <v>242</v>
      </c>
      <c r="B253" s="84" t="s">
        <v>2643</v>
      </c>
      <c r="C253" s="84" t="s">
        <v>1257</v>
      </c>
      <c r="D253" s="83">
        <v>23</v>
      </c>
      <c r="E253" s="83" t="s">
        <v>79</v>
      </c>
      <c r="F253" s="83">
        <v>1</v>
      </c>
      <c r="G253" s="83">
        <v>1</v>
      </c>
      <c r="H253" s="83">
        <v>3</v>
      </c>
      <c r="I253" s="83">
        <v>6</v>
      </c>
      <c r="J253" s="83">
        <v>0</v>
      </c>
      <c r="K253" s="83">
        <v>1</v>
      </c>
      <c r="L253" s="83">
        <v>3</v>
      </c>
      <c r="M253" s="83">
        <v>2</v>
      </c>
      <c r="N253" s="83">
        <v>6</v>
      </c>
      <c r="O253" s="83">
        <v>0</v>
      </c>
    </row>
    <row r="254" spans="1:15" ht="16" x14ac:dyDescent="0.2">
      <c r="A254" s="89">
        <v>243</v>
      </c>
      <c r="B254" s="84" t="s">
        <v>2005</v>
      </c>
      <c r="C254" s="84" t="s">
        <v>139</v>
      </c>
      <c r="D254" s="83">
        <v>25</v>
      </c>
      <c r="E254" s="83" t="s">
        <v>3110</v>
      </c>
      <c r="F254" s="83">
        <v>14</v>
      </c>
      <c r="G254" s="83">
        <v>4</v>
      </c>
      <c r="H254" s="83">
        <v>3</v>
      </c>
      <c r="I254" s="83">
        <v>23</v>
      </c>
      <c r="J254" s="83">
        <v>0</v>
      </c>
      <c r="K254" s="83">
        <v>2</v>
      </c>
      <c r="L254" s="83">
        <v>21</v>
      </c>
      <c r="M254" s="83">
        <v>7.7</v>
      </c>
      <c r="N254" s="83">
        <v>1.6</v>
      </c>
      <c r="O254" s="83">
        <v>0</v>
      </c>
    </row>
    <row r="255" spans="1:15" ht="16" x14ac:dyDescent="0.2">
      <c r="A255" s="89">
        <v>244</v>
      </c>
      <c r="B255" s="84" t="s">
        <v>1527</v>
      </c>
      <c r="C255" s="83" t="s">
        <v>1726</v>
      </c>
      <c r="D255" s="83">
        <v>27</v>
      </c>
      <c r="E255" s="83" t="s">
        <v>68</v>
      </c>
      <c r="F255" s="83">
        <v>12</v>
      </c>
      <c r="G255" s="83">
        <v>0</v>
      </c>
      <c r="H255" s="83">
        <v>3</v>
      </c>
      <c r="I255" s="83">
        <v>4</v>
      </c>
      <c r="J255" s="83">
        <v>0</v>
      </c>
      <c r="K255" s="83">
        <v>0</v>
      </c>
      <c r="L255" s="83">
        <v>3</v>
      </c>
      <c r="M255" s="83">
        <v>1.3</v>
      </c>
      <c r="N255" s="83">
        <v>0.3</v>
      </c>
      <c r="O255" s="83">
        <v>1</v>
      </c>
    </row>
    <row r="256" spans="1:15" ht="16" x14ac:dyDescent="0.2">
      <c r="A256" s="89">
        <v>245</v>
      </c>
      <c r="B256" s="84" t="s">
        <v>2284</v>
      </c>
      <c r="C256" s="84" t="s">
        <v>93</v>
      </c>
      <c r="D256" s="83">
        <v>24</v>
      </c>
      <c r="E256" s="83" t="s">
        <v>68</v>
      </c>
      <c r="F256" s="83">
        <v>12</v>
      </c>
      <c r="G256" s="83">
        <v>0</v>
      </c>
      <c r="H256" s="83">
        <v>3</v>
      </c>
      <c r="I256" s="83">
        <v>7</v>
      </c>
      <c r="J256" s="83">
        <v>0</v>
      </c>
      <c r="K256" s="83">
        <v>0</v>
      </c>
      <c r="L256" s="83">
        <v>6</v>
      </c>
      <c r="M256" s="83">
        <v>2.2999999999999998</v>
      </c>
      <c r="N256" s="83">
        <v>0.6</v>
      </c>
      <c r="O256" s="83">
        <v>0</v>
      </c>
    </row>
    <row r="257" spans="1:15" ht="16" x14ac:dyDescent="0.2">
      <c r="A257" s="89">
        <v>246</v>
      </c>
      <c r="B257" s="84" t="s">
        <v>577</v>
      </c>
      <c r="C257" s="84" t="s">
        <v>107</v>
      </c>
      <c r="D257" s="83">
        <v>24</v>
      </c>
      <c r="E257" s="83" t="s">
        <v>83</v>
      </c>
      <c r="F257" s="83">
        <v>17</v>
      </c>
      <c r="G257" s="83">
        <v>1</v>
      </c>
      <c r="H257" s="83">
        <v>3</v>
      </c>
      <c r="I257" s="83">
        <v>32</v>
      </c>
      <c r="J257" s="83">
        <v>0</v>
      </c>
      <c r="K257" s="83">
        <v>1</v>
      </c>
      <c r="L257" s="83">
        <v>37</v>
      </c>
      <c r="M257" s="83">
        <v>10.7</v>
      </c>
      <c r="N257" s="83">
        <v>1.9</v>
      </c>
      <c r="O257" s="83">
        <v>0</v>
      </c>
    </row>
    <row r="258" spans="1:15" ht="16" x14ac:dyDescent="0.2">
      <c r="A258" s="89">
        <v>247</v>
      </c>
      <c r="B258" s="84" t="s">
        <v>2414</v>
      </c>
      <c r="C258" s="84" t="s">
        <v>107</v>
      </c>
      <c r="D258" s="83">
        <v>23</v>
      </c>
      <c r="E258" s="83" t="s">
        <v>79</v>
      </c>
      <c r="F258" s="83">
        <v>3</v>
      </c>
      <c r="G258" s="83">
        <v>0</v>
      </c>
      <c r="H258" s="83">
        <v>3</v>
      </c>
      <c r="I258" s="83">
        <v>9</v>
      </c>
      <c r="J258" s="83">
        <v>0</v>
      </c>
      <c r="K258" s="83">
        <v>1</v>
      </c>
      <c r="L258" s="83">
        <v>9</v>
      </c>
      <c r="M258" s="83">
        <v>3</v>
      </c>
      <c r="N258" s="83">
        <v>3</v>
      </c>
      <c r="O258" s="83">
        <v>0</v>
      </c>
    </row>
    <row r="259" spans="1:15" ht="16" x14ac:dyDescent="0.2">
      <c r="A259" s="89">
        <v>248</v>
      </c>
      <c r="B259" s="84" t="s">
        <v>363</v>
      </c>
      <c r="C259" s="84" t="s">
        <v>108</v>
      </c>
      <c r="D259" s="83">
        <v>27</v>
      </c>
      <c r="E259" s="83" t="s">
        <v>88</v>
      </c>
      <c r="F259" s="83">
        <v>15</v>
      </c>
      <c r="G259" s="83">
        <v>12</v>
      </c>
      <c r="H259" s="83">
        <v>3</v>
      </c>
      <c r="I259" s="83">
        <v>20</v>
      </c>
      <c r="J259" s="83">
        <v>0</v>
      </c>
      <c r="K259" s="83">
        <v>2</v>
      </c>
      <c r="L259" s="83">
        <v>13</v>
      </c>
      <c r="M259" s="83">
        <v>6.7</v>
      </c>
      <c r="N259" s="83">
        <v>1.3</v>
      </c>
      <c r="O259" s="83">
        <v>2</v>
      </c>
    </row>
    <row r="260" spans="1:15" ht="16" x14ac:dyDescent="0.2">
      <c r="A260" s="89">
        <v>249</v>
      </c>
      <c r="B260" s="84" t="s">
        <v>2242</v>
      </c>
      <c r="C260" s="84" t="s">
        <v>101</v>
      </c>
      <c r="D260" s="83">
        <v>24</v>
      </c>
      <c r="E260" s="83" t="s">
        <v>79</v>
      </c>
      <c r="F260" s="83">
        <v>9</v>
      </c>
      <c r="G260" s="83">
        <v>0</v>
      </c>
      <c r="H260" s="83">
        <v>3</v>
      </c>
      <c r="I260" s="83">
        <v>6</v>
      </c>
      <c r="J260" s="83">
        <v>0</v>
      </c>
      <c r="K260" s="83">
        <v>0</v>
      </c>
      <c r="L260" s="83">
        <v>4</v>
      </c>
      <c r="M260" s="83">
        <v>2</v>
      </c>
      <c r="N260" s="83">
        <v>0.7</v>
      </c>
      <c r="O260" s="83">
        <v>0</v>
      </c>
    </row>
    <row r="261" spans="1:15" ht="16" x14ac:dyDescent="0.2">
      <c r="A261" s="89">
        <v>250</v>
      </c>
      <c r="B261" s="84" t="s">
        <v>671</v>
      </c>
      <c r="C261" s="84" t="s">
        <v>98</v>
      </c>
      <c r="D261" s="83">
        <v>24</v>
      </c>
      <c r="E261" s="83" t="s">
        <v>1824</v>
      </c>
      <c r="F261" s="83">
        <v>16</v>
      </c>
      <c r="G261" s="83">
        <v>5</v>
      </c>
      <c r="H261" s="83">
        <v>3</v>
      </c>
      <c r="I261" s="83">
        <v>3</v>
      </c>
      <c r="J261" s="83">
        <v>0</v>
      </c>
      <c r="K261" s="83">
        <v>0</v>
      </c>
      <c r="L261" s="83">
        <v>2</v>
      </c>
      <c r="M261" s="83">
        <v>1</v>
      </c>
      <c r="N261" s="83">
        <v>0.2</v>
      </c>
      <c r="O261" s="83">
        <v>0</v>
      </c>
    </row>
    <row r="262" spans="1:15" ht="32" customHeight="1" x14ac:dyDescent="0.2">
      <c r="A262" s="89">
        <v>251</v>
      </c>
      <c r="B262" s="84" t="s">
        <v>2649</v>
      </c>
      <c r="C262" s="84" t="s">
        <v>1087</v>
      </c>
      <c r="D262" s="83">
        <v>28</v>
      </c>
      <c r="E262" s="83" t="s">
        <v>88</v>
      </c>
      <c r="F262" s="83">
        <v>14</v>
      </c>
      <c r="G262" s="83">
        <v>14</v>
      </c>
      <c r="H262" s="83">
        <v>3</v>
      </c>
      <c r="I262" s="83">
        <v>20</v>
      </c>
      <c r="J262" s="83">
        <v>0</v>
      </c>
      <c r="K262" s="83">
        <v>0</v>
      </c>
      <c r="L262" s="83">
        <v>9</v>
      </c>
      <c r="M262" s="83">
        <v>6.7</v>
      </c>
      <c r="N262" s="83">
        <v>1.4</v>
      </c>
      <c r="O262" s="83">
        <v>2</v>
      </c>
    </row>
    <row r="263" spans="1:15" ht="16" x14ac:dyDescent="0.2">
      <c r="A263" s="89">
        <v>252</v>
      </c>
      <c r="B263" s="84" t="s">
        <v>255</v>
      </c>
      <c r="C263" s="84" t="s">
        <v>1267</v>
      </c>
      <c r="D263" s="83">
        <v>26</v>
      </c>
      <c r="E263" s="83" t="s">
        <v>83</v>
      </c>
      <c r="F263" s="83">
        <v>15</v>
      </c>
      <c r="G263" s="83">
        <v>13</v>
      </c>
      <c r="H263" s="83">
        <v>3</v>
      </c>
      <c r="I263" s="83">
        <v>32</v>
      </c>
      <c r="J263" s="83">
        <v>0</v>
      </c>
      <c r="K263" s="83">
        <v>2</v>
      </c>
      <c r="L263" s="83">
        <v>14</v>
      </c>
      <c r="M263" s="83">
        <v>10.7</v>
      </c>
      <c r="N263" s="83">
        <v>2.1</v>
      </c>
      <c r="O263" s="83">
        <v>0</v>
      </c>
    </row>
    <row r="264" spans="1:15" ht="16" x14ac:dyDescent="0.2">
      <c r="A264" s="89">
        <v>253</v>
      </c>
      <c r="B264" s="84" t="s">
        <v>445</v>
      </c>
      <c r="C264" s="84" t="s">
        <v>99</v>
      </c>
      <c r="D264" s="83">
        <v>22</v>
      </c>
      <c r="E264" s="83" t="s">
        <v>68</v>
      </c>
      <c r="F264" s="83">
        <v>2</v>
      </c>
      <c r="G264" s="83">
        <v>0</v>
      </c>
      <c r="H264" s="83">
        <v>3</v>
      </c>
      <c r="I264" s="83">
        <v>3</v>
      </c>
      <c r="J264" s="83">
        <v>0</v>
      </c>
      <c r="K264" s="83">
        <v>0</v>
      </c>
      <c r="L264" s="83">
        <v>3</v>
      </c>
      <c r="M264" s="83">
        <v>1</v>
      </c>
      <c r="N264" s="83">
        <v>1.5</v>
      </c>
      <c r="O264" s="83">
        <v>0</v>
      </c>
    </row>
    <row r="265" spans="1:15" ht="16" x14ac:dyDescent="0.2">
      <c r="A265" s="89">
        <v>254</v>
      </c>
      <c r="B265" s="84" t="s">
        <v>485</v>
      </c>
      <c r="C265" s="84" t="s">
        <v>118</v>
      </c>
      <c r="D265" s="83">
        <v>24</v>
      </c>
      <c r="E265" s="83" t="s">
        <v>1824</v>
      </c>
      <c r="F265" s="83">
        <v>10</v>
      </c>
      <c r="G265" s="83">
        <v>1</v>
      </c>
      <c r="H265" s="83">
        <v>3</v>
      </c>
      <c r="I265" s="83">
        <v>8</v>
      </c>
      <c r="J265" s="83">
        <v>0</v>
      </c>
      <c r="K265" s="83">
        <v>1</v>
      </c>
      <c r="L265" s="83">
        <v>4</v>
      </c>
      <c r="M265" s="83">
        <v>2.7</v>
      </c>
      <c r="N265" s="83">
        <v>0.8</v>
      </c>
      <c r="O265" s="83">
        <v>0</v>
      </c>
    </row>
    <row r="266" spans="1:15" ht="16" x14ac:dyDescent="0.2">
      <c r="A266" s="89">
        <v>255</v>
      </c>
      <c r="B266" s="84" t="s">
        <v>2429</v>
      </c>
      <c r="C266" s="84" t="s">
        <v>1257</v>
      </c>
      <c r="D266" s="83">
        <v>24</v>
      </c>
      <c r="E266" s="83" t="s">
        <v>1824</v>
      </c>
      <c r="F266" s="83">
        <v>7</v>
      </c>
      <c r="G266" s="83">
        <v>3</v>
      </c>
      <c r="H266" s="83">
        <v>3</v>
      </c>
      <c r="I266" s="83">
        <v>5</v>
      </c>
      <c r="J266" s="83">
        <v>0</v>
      </c>
      <c r="K266" s="83">
        <v>2</v>
      </c>
      <c r="L266" s="83">
        <v>2</v>
      </c>
      <c r="M266" s="83">
        <v>1.7</v>
      </c>
      <c r="N266" s="83">
        <v>0.7</v>
      </c>
      <c r="O266" s="83">
        <v>0</v>
      </c>
    </row>
    <row r="267" spans="1:15" ht="32" customHeight="1" x14ac:dyDescent="0.2">
      <c r="A267" s="89">
        <v>256</v>
      </c>
      <c r="B267" s="84" t="s">
        <v>3099</v>
      </c>
      <c r="C267" s="84" t="s">
        <v>933</v>
      </c>
      <c r="D267" s="83">
        <v>26</v>
      </c>
      <c r="E267" s="83" t="s">
        <v>83</v>
      </c>
      <c r="F267" s="83">
        <v>17</v>
      </c>
      <c r="G267" s="83">
        <v>9</v>
      </c>
      <c r="H267" s="83">
        <v>3</v>
      </c>
      <c r="I267" s="83">
        <v>3</v>
      </c>
      <c r="J267" s="83">
        <v>0</v>
      </c>
      <c r="K267" s="83">
        <v>0</v>
      </c>
      <c r="L267" s="83">
        <v>5</v>
      </c>
      <c r="M267" s="83">
        <v>1</v>
      </c>
      <c r="N267" s="83">
        <v>0.2</v>
      </c>
      <c r="O267" s="83">
        <v>5</v>
      </c>
    </row>
    <row r="268" spans="1:15" ht="16" x14ac:dyDescent="0.2">
      <c r="A268" s="89">
        <v>257</v>
      </c>
      <c r="B268" s="84" t="s">
        <v>536</v>
      </c>
      <c r="C268" s="83" t="s">
        <v>1726</v>
      </c>
      <c r="D268" s="83">
        <v>33</v>
      </c>
      <c r="E268" s="83" t="s">
        <v>83</v>
      </c>
      <c r="F268" s="83">
        <v>16</v>
      </c>
      <c r="G268" s="83">
        <v>0</v>
      </c>
      <c r="H268" s="83">
        <v>3</v>
      </c>
      <c r="I268" s="83">
        <v>19</v>
      </c>
      <c r="J268" s="83">
        <v>0</v>
      </c>
      <c r="K268" s="83">
        <v>0</v>
      </c>
      <c r="L268" s="83">
        <v>9</v>
      </c>
      <c r="M268" s="83">
        <v>6.3</v>
      </c>
      <c r="N268" s="83">
        <v>1.2</v>
      </c>
      <c r="O268" s="83">
        <v>3</v>
      </c>
    </row>
    <row r="269" spans="1:15" ht="16" x14ac:dyDescent="0.2">
      <c r="A269" s="89">
        <v>258</v>
      </c>
      <c r="B269" s="84" t="s">
        <v>1869</v>
      </c>
      <c r="C269" s="84" t="s">
        <v>933</v>
      </c>
      <c r="D269" s="83">
        <v>22</v>
      </c>
      <c r="E269" s="83" t="s">
        <v>83</v>
      </c>
      <c r="F269" s="83">
        <v>7</v>
      </c>
      <c r="G269" s="83">
        <v>7</v>
      </c>
      <c r="H269" s="83">
        <v>3</v>
      </c>
      <c r="I269" s="83">
        <v>16</v>
      </c>
      <c r="J269" s="83">
        <v>0</v>
      </c>
      <c r="K269" s="83">
        <v>0</v>
      </c>
      <c r="L269" s="83">
        <v>7</v>
      </c>
      <c r="M269" s="83">
        <v>5.3</v>
      </c>
      <c r="N269" s="83">
        <v>2.2999999999999998</v>
      </c>
      <c r="O269" s="83">
        <v>0</v>
      </c>
    </row>
    <row r="270" spans="1:15" ht="16" x14ac:dyDescent="0.2">
      <c r="A270" s="89">
        <v>259</v>
      </c>
      <c r="B270" s="84" t="s">
        <v>179</v>
      </c>
      <c r="C270" s="84" t="s">
        <v>99</v>
      </c>
      <c r="D270" s="83">
        <v>25</v>
      </c>
      <c r="E270" s="83" t="s">
        <v>83</v>
      </c>
      <c r="F270" s="83">
        <v>5</v>
      </c>
      <c r="G270" s="83">
        <v>5</v>
      </c>
      <c r="H270" s="83">
        <v>3</v>
      </c>
      <c r="I270" s="83">
        <v>9</v>
      </c>
      <c r="J270" s="83">
        <v>1</v>
      </c>
      <c r="K270" s="83">
        <v>1</v>
      </c>
      <c r="L270" s="83">
        <v>3</v>
      </c>
      <c r="M270" s="83">
        <v>3</v>
      </c>
      <c r="N270" s="83">
        <v>1.8</v>
      </c>
      <c r="O270" s="83">
        <v>0</v>
      </c>
    </row>
    <row r="271" spans="1:15" ht="32" customHeight="1" x14ac:dyDescent="0.2">
      <c r="A271" s="89">
        <v>260</v>
      </c>
      <c r="B271" s="84" t="s">
        <v>377</v>
      </c>
      <c r="C271" s="84" t="s">
        <v>1267</v>
      </c>
      <c r="D271" s="83">
        <v>25</v>
      </c>
      <c r="E271" s="83" t="s">
        <v>83</v>
      </c>
      <c r="F271" s="83">
        <v>13</v>
      </c>
      <c r="G271" s="83">
        <v>2</v>
      </c>
      <c r="H271" s="83">
        <v>3</v>
      </c>
      <c r="I271" s="83">
        <v>14</v>
      </c>
      <c r="J271" s="83">
        <v>0</v>
      </c>
      <c r="K271" s="83">
        <v>2</v>
      </c>
      <c r="L271" s="83">
        <v>13</v>
      </c>
      <c r="M271" s="83">
        <v>4.7</v>
      </c>
      <c r="N271" s="83">
        <v>1.1000000000000001</v>
      </c>
      <c r="O271" s="83">
        <v>0</v>
      </c>
    </row>
    <row r="272" spans="1:15" ht="16" x14ac:dyDescent="0.2">
      <c r="A272" s="89">
        <v>261</v>
      </c>
      <c r="B272" s="84" t="s">
        <v>2381</v>
      </c>
      <c r="C272" s="84" t="s">
        <v>82</v>
      </c>
      <c r="D272" s="83">
        <v>27</v>
      </c>
      <c r="E272" s="83" t="s">
        <v>68</v>
      </c>
      <c r="F272" s="83">
        <v>4</v>
      </c>
      <c r="G272" s="83">
        <v>0</v>
      </c>
      <c r="H272" s="83">
        <v>3</v>
      </c>
      <c r="I272" s="83">
        <v>5</v>
      </c>
      <c r="J272" s="83">
        <v>0</v>
      </c>
      <c r="K272" s="83">
        <v>2</v>
      </c>
      <c r="L272" s="83">
        <v>3</v>
      </c>
      <c r="M272" s="83">
        <v>1.7</v>
      </c>
      <c r="N272" s="83">
        <v>1.3</v>
      </c>
      <c r="O272" s="83">
        <v>0</v>
      </c>
    </row>
    <row r="273" spans="1:15" ht="16" x14ac:dyDescent="0.2">
      <c r="A273" s="89">
        <v>262</v>
      </c>
      <c r="B273" s="84" t="s">
        <v>207</v>
      </c>
      <c r="C273" s="84" t="s">
        <v>78</v>
      </c>
      <c r="D273" s="83">
        <v>26</v>
      </c>
      <c r="E273" s="83" t="s">
        <v>79</v>
      </c>
      <c r="F273" s="83">
        <v>2</v>
      </c>
      <c r="G273" s="83">
        <v>0</v>
      </c>
      <c r="H273" s="83">
        <v>3</v>
      </c>
      <c r="I273" s="83">
        <v>6</v>
      </c>
      <c r="J273" s="83">
        <v>0</v>
      </c>
      <c r="K273" s="83">
        <v>0</v>
      </c>
      <c r="L273" s="83">
        <v>4</v>
      </c>
      <c r="M273" s="83">
        <v>2</v>
      </c>
      <c r="N273" s="83">
        <v>3</v>
      </c>
      <c r="O273" s="83">
        <v>1</v>
      </c>
    </row>
    <row r="274" spans="1:15" ht="16" x14ac:dyDescent="0.2">
      <c r="A274" s="89">
        <v>263</v>
      </c>
      <c r="B274" s="84" t="s">
        <v>326</v>
      </c>
      <c r="C274" s="84" t="s">
        <v>92</v>
      </c>
      <c r="D274" s="83">
        <v>22</v>
      </c>
      <c r="E274" s="83" t="s">
        <v>83</v>
      </c>
      <c r="F274" s="83">
        <v>10</v>
      </c>
      <c r="G274" s="83">
        <v>4</v>
      </c>
      <c r="H274" s="83">
        <v>3</v>
      </c>
      <c r="I274" s="83">
        <v>6</v>
      </c>
      <c r="J274" s="83">
        <v>0</v>
      </c>
      <c r="K274" s="83">
        <v>0</v>
      </c>
      <c r="L274" s="83">
        <v>7</v>
      </c>
      <c r="M274" s="83">
        <v>2</v>
      </c>
      <c r="N274" s="83">
        <v>0.6</v>
      </c>
      <c r="O274" s="83">
        <v>0</v>
      </c>
    </row>
    <row r="275" spans="1:15" ht="16" x14ac:dyDescent="0.2">
      <c r="A275" s="89">
        <v>264</v>
      </c>
      <c r="B275" s="84" t="s">
        <v>650</v>
      </c>
      <c r="C275" s="84" t="s">
        <v>70</v>
      </c>
      <c r="D275" s="83">
        <v>21</v>
      </c>
      <c r="E275" s="83" t="s">
        <v>88</v>
      </c>
      <c r="F275" s="83">
        <v>16</v>
      </c>
      <c r="G275" s="83">
        <v>11</v>
      </c>
      <c r="H275" s="83">
        <v>3</v>
      </c>
      <c r="I275" s="83">
        <v>11</v>
      </c>
      <c r="J275" s="83">
        <v>1</v>
      </c>
      <c r="K275" s="83">
        <v>1</v>
      </c>
      <c r="L275" s="83">
        <v>7</v>
      </c>
      <c r="M275" s="83">
        <v>3.7</v>
      </c>
      <c r="N275" s="83">
        <v>0.7</v>
      </c>
      <c r="O275" s="83">
        <v>0</v>
      </c>
    </row>
    <row r="276" spans="1:15" ht="16" x14ac:dyDescent="0.2">
      <c r="A276" s="89">
        <v>265</v>
      </c>
      <c r="B276" s="84" t="s">
        <v>234</v>
      </c>
      <c r="C276" s="84" t="s">
        <v>119</v>
      </c>
      <c r="D276" s="83">
        <v>25</v>
      </c>
      <c r="E276" s="83" t="s">
        <v>79</v>
      </c>
      <c r="F276" s="83">
        <v>2</v>
      </c>
      <c r="G276" s="83">
        <v>0</v>
      </c>
      <c r="H276" s="83">
        <v>2</v>
      </c>
      <c r="I276" s="83">
        <v>11</v>
      </c>
      <c r="J276" s="83">
        <v>0</v>
      </c>
      <c r="K276" s="83">
        <v>1</v>
      </c>
      <c r="L276" s="83">
        <v>11</v>
      </c>
      <c r="M276" s="83">
        <v>5.5</v>
      </c>
      <c r="N276" s="83">
        <v>5.5</v>
      </c>
      <c r="O276" s="83">
        <v>1</v>
      </c>
    </row>
    <row r="277" spans="1:15" ht="16" x14ac:dyDescent="0.2">
      <c r="A277" s="89">
        <v>266</v>
      </c>
      <c r="B277" s="84" t="s">
        <v>365</v>
      </c>
      <c r="C277" s="84" t="s">
        <v>77</v>
      </c>
      <c r="D277" s="83">
        <v>26</v>
      </c>
      <c r="E277" s="83" t="s">
        <v>83</v>
      </c>
      <c r="F277" s="83">
        <v>4</v>
      </c>
      <c r="G277" s="83">
        <v>0</v>
      </c>
      <c r="H277" s="83">
        <v>2</v>
      </c>
      <c r="I277" s="83">
        <v>15</v>
      </c>
      <c r="J277" s="83">
        <v>0</v>
      </c>
      <c r="K277" s="83">
        <v>1</v>
      </c>
      <c r="L277" s="83">
        <v>11</v>
      </c>
      <c r="M277" s="83">
        <v>7.5</v>
      </c>
      <c r="N277" s="83">
        <v>3.8</v>
      </c>
      <c r="O277" s="83">
        <v>0</v>
      </c>
    </row>
    <row r="278" spans="1:15" ht="16" x14ac:dyDescent="0.2">
      <c r="A278" s="89">
        <v>267</v>
      </c>
      <c r="B278" s="84" t="s">
        <v>171</v>
      </c>
      <c r="C278" s="83" t="s">
        <v>1726</v>
      </c>
      <c r="D278" s="83">
        <v>29</v>
      </c>
      <c r="E278" s="83" t="s">
        <v>83</v>
      </c>
      <c r="F278" s="83">
        <v>14</v>
      </c>
      <c r="G278" s="83">
        <v>13</v>
      </c>
      <c r="H278" s="83">
        <v>2</v>
      </c>
      <c r="I278" s="83">
        <v>14</v>
      </c>
      <c r="J278" s="83">
        <v>0</v>
      </c>
      <c r="K278" s="83">
        <v>1</v>
      </c>
      <c r="L278" s="83">
        <v>10</v>
      </c>
      <c r="M278" s="83">
        <v>7</v>
      </c>
      <c r="N278" s="83">
        <v>1</v>
      </c>
      <c r="O278" s="83">
        <v>0</v>
      </c>
    </row>
    <row r="279" spans="1:15" ht="16" x14ac:dyDescent="0.2">
      <c r="A279" s="89">
        <v>268</v>
      </c>
      <c r="B279" s="84" t="s">
        <v>2529</v>
      </c>
      <c r="C279" s="84" t="s">
        <v>1267</v>
      </c>
      <c r="D279" s="83">
        <v>26</v>
      </c>
      <c r="E279" s="83" t="s">
        <v>79</v>
      </c>
      <c r="F279" s="83">
        <v>1</v>
      </c>
      <c r="G279" s="83">
        <v>0</v>
      </c>
      <c r="H279" s="83">
        <v>2</v>
      </c>
      <c r="I279" s="83">
        <v>-1</v>
      </c>
      <c r="J279" s="83">
        <v>0</v>
      </c>
      <c r="K279" s="83">
        <v>0</v>
      </c>
      <c r="L279" s="83">
        <v>0</v>
      </c>
      <c r="M279" s="83">
        <v>-0.5</v>
      </c>
      <c r="N279" s="83">
        <v>-1</v>
      </c>
      <c r="O279" s="83">
        <v>0</v>
      </c>
    </row>
    <row r="280" spans="1:15" ht="16" x14ac:dyDescent="0.2">
      <c r="A280" s="89">
        <v>269</v>
      </c>
      <c r="B280" s="84" t="s">
        <v>241</v>
      </c>
      <c r="C280" s="84" t="s">
        <v>74</v>
      </c>
      <c r="D280" s="83">
        <v>27</v>
      </c>
      <c r="E280" s="83" t="s">
        <v>83</v>
      </c>
      <c r="F280" s="83">
        <v>16</v>
      </c>
      <c r="G280" s="83">
        <v>10</v>
      </c>
      <c r="H280" s="83">
        <v>2</v>
      </c>
      <c r="I280" s="83">
        <v>22</v>
      </c>
      <c r="J280" s="83">
        <v>0</v>
      </c>
      <c r="K280" s="83">
        <v>1</v>
      </c>
      <c r="L280" s="83">
        <v>14</v>
      </c>
      <c r="M280" s="83">
        <v>11</v>
      </c>
      <c r="N280" s="83">
        <v>1.4</v>
      </c>
      <c r="O280" s="83">
        <v>1</v>
      </c>
    </row>
    <row r="281" spans="1:15" x14ac:dyDescent="0.2">
      <c r="A281" s="89" t="s">
        <v>902</v>
      </c>
      <c r="B281" s="89" t="s">
        <v>903</v>
      </c>
      <c r="C281" s="89" t="s">
        <v>1314</v>
      </c>
      <c r="D281" s="89" t="s">
        <v>905</v>
      </c>
      <c r="E281" s="89" t="s">
        <v>906</v>
      </c>
      <c r="F281" s="89" t="s">
        <v>1315</v>
      </c>
      <c r="G281" s="89" t="s">
        <v>1316</v>
      </c>
      <c r="H281" s="89" t="s">
        <v>1319</v>
      </c>
      <c r="I281" s="89" t="s">
        <v>799</v>
      </c>
      <c r="J281" s="89" t="s">
        <v>800</v>
      </c>
      <c r="K281" s="89" t="s">
        <v>1321</v>
      </c>
      <c r="L281" s="89" t="s">
        <v>917</v>
      </c>
      <c r="M281" s="89" t="s">
        <v>1322</v>
      </c>
      <c r="N281" s="89" t="s">
        <v>1325</v>
      </c>
      <c r="O281" s="89" t="s">
        <v>1416</v>
      </c>
    </row>
    <row r="282" spans="1:15" ht="16" x14ac:dyDescent="0.2">
      <c r="A282" s="89">
        <v>270</v>
      </c>
      <c r="B282" s="84" t="s">
        <v>226</v>
      </c>
      <c r="C282" s="84" t="s">
        <v>139</v>
      </c>
      <c r="D282" s="83">
        <v>27</v>
      </c>
      <c r="E282" s="83" t="s">
        <v>79</v>
      </c>
      <c r="F282" s="83">
        <v>5</v>
      </c>
      <c r="G282" s="83">
        <v>3</v>
      </c>
      <c r="H282" s="83">
        <v>2</v>
      </c>
      <c r="I282" s="83">
        <v>13</v>
      </c>
      <c r="J282" s="83">
        <v>0</v>
      </c>
      <c r="K282" s="83">
        <v>1</v>
      </c>
      <c r="L282" s="83">
        <v>14</v>
      </c>
      <c r="M282" s="83">
        <v>6.5</v>
      </c>
      <c r="N282" s="83">
        <v>2.6</v>
      </c>
      <c r="O282" s="83">
        <v>1</v>
      </c>
    </row>
    <row r="283" spans="1:15" ht="16" x14ac:dyDescent="0.2">
      <c r="A283" s="89">
        <v>271</v>
      </c>
      <c r="B283" s="84" t="s">
        <v>109</v>
      </c>
      <c r="C283" s="84" t="s">
        <v>77</v>
      </c>
      <c r="D283" s="83">
        <v>24</v>
      </c>
      <c r="E283" s="83" t="s">
        <v>83</v>
      </c>
      <c r="F283" s="83">
        <v>13</v>
      </c>
      <c r="G283" s="83">
        <v>13</v>
      </c>
      <c r="H283" s="83">
        <v>2</v>
      </c>
      <c r="I283" s="83">
        <v>10</v>
      </c>
      <c r="J283" s="83">
        <v>0</v>
      </c>
      <c r="K283" s="83">
        <v>1</v>
      </c>
      <c r="L283" s="83">
        <v>7</v>
      </c>
      <c r="M283" s="83">
        <v>5</v>
      </c>
      <c r="N283" s="83">
        <v>0.8</v>
      </c>
      <c r="O283" s="83">
        <v>0</v>
      </c>
    </row>
    <row r="284" spans="1:15" ht="16" customHeight="1" x14ac:dyDescent="0.2">
      <c r="A284" s="89">
        <v>272</v>
      </c>
      <c r="B284" s="84" t="s">
        <v>186</v>
      </c>
      <c r="C284" s="84" t="s">
        <v>122</v>
      </c>
      <c r="D284" s="83">
        <v>28</v>
      </c>
      <c r="E284" s="83" t="s">
        <v>83</v>
      </c>
      <c r="F284" s="83">
        <v>16</v>
      </c>
      <c r="G284" s="83">
        <v>16</v>
      </c>
      <c r="H284" s="83">
        <v>2</v>
      </c>
      <c r="I284" s="83">
        <v>21</v>
      </c>
      <c r="J284" s="83">
        <v>0</v>
      </c>
      <c r="K284" s="83">
        <v>1</v>
      </c>
      <c r="L284" s="83">
        <v>16</v>
      </c>
      <c r="M284" s="83">
        <v>10.5</v>
      </c>
      <c r="N284" s="83">
        <v>1.3</v>
      </c>
      <c r="O284" s="83">
        <v>0</v>
      </c>
    </row>
    <row r="285" spans="1:15" ht="16" x14ac:dyDescent="0.2">
      <c r="A285" s="89">
        <v>273</v>
      </c>
      <c r="B285" s="84" t="s">
        <v>203</v>
      </c>
      <c r="C285" s="84" t="s">
        <v>118</v>
      </c>
      <c r="D285" s="83">
        <v>35</v>
      </c>
      <c r="E285" s="83" t="s">
        <v>79</v>
      </c>
      <c r="F285" s="83">
        <v>1</v>
      </c>
      <c r="G285" s="83">
        <v>0</v>
      </c>
      <c r="H285" s="83">
        <v>2</v>
      </c>
      <c r="I285" s="83">
        <v>-2</v>
      </c>
      <c r="J285" s="83">
        <v>0</v>
      </c>
      <c r="K285" s="83">
        <v>0</v>
      </c>
      <c r="L285" s="83">
        <v>-1</v>
      </c>
      <c r="M285" s="83">
        <v>-1</v>
      </c>
      <c r="N285" s="83">
        <v>-2</v>
      </c>
      <c r="O285" s="83">
        <v>0</v>
      </c>
    </row>
    <row r="286" spans="1:15" ht="16" x14ac:dyDescent="0.2">
      <c r="A286" s="89">
        <v>274</v>
      </c>
      <c r="B286" s="84" t="s">
        <v>337</v>
      </c>
      <c r="C286" s="84" t="s">
        <v>77</v>
      </c>
      <c r="D286" s="83">
        <v>23</v>
      </c>
      <c r="E286" s="83" t="s">
        <v>68</v>
      </c>
      <c r="F286" s="83">
        <v>1</v>
      </c>
      <c r="G286" s="83">
        <v>0</v>
      </c>
      <c r="H286" s="83">
        <v>2</v>
      </c>
      <c r="I286" s="83">
        <v>7</v>
      </c>
      <c r="J286" s="83">
        <v>0</v>
      </c>
      <c r="K286" s="83">
        <v>0</v>
      </c>
      <c r="L286" s="83">
        <v>5</v>
      </c>
      <c r="M286" s="83">
        <v>3.5</v>
      </c>
      <c r="N286" s="83">
        <v>7</v>
      </c>
      <c r="O286" s="83">
        <v>0</v>
      </c>
    </row>
    <row r="287" spans="1:15" ht="16" x14ac:dyDescent="0.2">
      <c r="A287" s="89">
        <v>275</v>
      </c>
      <c r="B287" s="84" t="s">
        <v>177</v>
      </c>
      <c r="C287" s="84" t="s">
        <v>71</v>
      </c>
      <c r="D287" s="83">
        <v>36</v>
      </c>
      <c r="E287" s="83" t="s">
        <v>79</v>
      </c>
      <c r="F287" s="83">
        <v>2</v>
      </c>
      <c r="G287" s="83">
        <v>1</v>
      </c>
      <c r="H287" s="83">
        <v>2</v>
      </c>
      <c r="I287" s="83">
        <v>3</v>
      </c>
      <c r="J287" s="83">
        <v>0</v>
      </c>
      <c r="K287" s="83">
        <v>1</v>
      </c>
      <c r="L287" s="83">
        <v>2</v>
      </c>
      <c r="M287" s="83">
        <v>1.5</v>
      </c>
      <c r="N287" s="83">
        <v>1.5</v>
      </c>
      <c r="O287" s="83">
        <v>1</v>
      </c>
    </row>
    <row r="288" spans="1:15" ht="16" x14ac:dyDescent="0.2">
      <c r="A288" s="89">
        <v>276</v>
      </c>
      <c r="B288" s="84" t="s">
        <v>2250</v>
      </c>
      <c r="C288" s="84" t="s">
        <v>730</v>
      </c>
      <c r="D288" s="83">
        <v>23</v>
      </c>
      <c r="E288" s="83" t="s">
        <v>68</v>
      </c>
      <c r="F288" s="83">
        <v>10</v>
      </c>
      <c r="G288" s="83">
        <v>0</v>
      </c>
      <c r="H288" s="83">
        <v>2</v>
      </c>
      <c r="I288" s="83">
        <v>5</v>
      </c>
      <c r="J288" s="83">
        <v>0</v>
      </c>
      <c r="K288" s="83">
        <v>0</v>
      </c>
      <c r="L288" s="83">
        <v>6</v>
      </c>
      <c r="M288" s="83">
        <v>2.5</v>
      </c>
      <c r="N288" s="83">
        <v>0.5</v>
      </c>
      <c r="O288" s="83">
        <v>0</v>
      </c>
    </row>
    <row r="289" spans="1:15" ht="16" x14ac:dyDescent="0.2">
      <c r="A289" s="89">
        <v>277</v>
      </c>
      <c r="B289" s="84" t="s">
        <v>1556</v>
      </c>
      <c r="C289" s="84" t="s">
        <v>727</v>
      </c>
      <c r="D289" s="83">
        <v>31</v>
      </c>
      <c r="E289" s="83" t="s">
        <v>83</v>
      </c>
      <c r="F289" s="83">
        <v>14</v>
      </c>
      <c r="G289" s="83">
        <v>2</v>
      </c>
      <c r="H289" s="83">
        <v>2</v>
      </c>
      <c r="I289" s="83">
        <v>-1</v>
      </c>
      <c r="J289" s="83">
        <v>0</v>
      </c>
      <c r="K289" s="83">
        <v>0</v>
      </c>
      <c r="L289" s="83">
        <v>1</v>
      </c>
      <c r="M289" s="83">
        <v>-0.5</v>
      </c>
      <c r="N289" s="83">
        <v>-0.1</v>
      </c>
      <c r="O289" s="83">
        <v>1</v>
      </c>
    </row>
    <row r="290" spans="1:15" ht="16" x14ac:dyDescent="0.2">
      <c r="A290" s="89">
        <v>278</v>
      </c>
      <c r="B290" s="84" t="s">
        <v>1940</v>
      </c>
      <c r="C290" s="84" t="s">
        <v>933</v>
      </c>
      <c r="D290" s="83">
        <v>25</v>
      </c>
      <c r="E290" s="83" t="s">
        <v>1824</v>
      </c>
      <c r="F290" s="83">
        <v>9</v>
      </c>
      <c r="G290" s="83">
        <v>3</v>
      </c>
      <c r="H290" s="83">
        <v>2</v>
      </c>
      <c r="I290" s="83">
        <v>1</v>
      </c>
      <c r="J290" s="83">
        <v>0</v>
      </c>
      <c r="K290" s="83">
        <v>1</v>
      </c>
      <c r="L290" s="83">
        <v>1</v>
      </c>
      <c r="M290" s="83">
        <v>0.5</v>
      </c>
      <c r="N290" s="83">
        <v>0.1</v>
      </c>
      <c r="O290" s="83">
        <v>0</v>
      </c>
    </row>
    <row r="291" spans="1:15" ht="16" x14ac:dyDescent="0.2">
      <c r="A291" s="89">
        <v>279</v>
      </c>
      <c r="B291" s="84" t="s">
        <v>476</v>
      </c>
      <c r="C291" s="84" t="s">
        <v>82</v>
      </c>
      <c r="D291" s="83">
        <v>28</v>
      </c>
      <c r="E291" s="83" t="s">
        <v>68</v>
      </c>
      <c r="F291" s="83">
        <v>13</v>
      </c>
      <c r="G291" s="83">
        <v>3</v>
      </c>
      <c r="H291" s="83">
        <v>2</v>
      </c>
      <c r="I291" s="83">
        <v>0</v>
      </c>
      <c r="J291" s="83">
        <v>1</v>
      </c>
      <c r="K291" s="83">
        <v>1</v>
      </c>
      <c r="L291" s="83">
        <v>1</v>
      </c>
      <c r="M291" s="83">
        <v>0</v>
      </c>
      <c r="N291" s="83">
        <v>0</v>
      </c>
      <c r="O291" s="83">
        <v>0</v>
      </c>
    </row>
    <row r="292" spans="1:15" ht="16" x14ac:dyDescent="0.2">
      <c r="A292" s="89">
        <v>280</v>
      </c>
      <c r="B292" s="84" t="s">
        <v>896</v>
      </c>
      <c r="C292" s="84" t="s">
        <v>730</v>
      </c>
      <c r="D292" s="83">
        <v>25</v>
      </c>
      <c r="E292" s="83" t="s">
        <v>83</v>
      </c>
      <c r="F292" s="83">
        <v>17</v>
      </c>
      <c r="G292" s="83">
        <v>17</v>
      </c>
      <c r="H292" s="83">
        <v>2</v>
      </c>
      <c r="I292" s="83">
        <v>20</v>
      </c>
      <c r="J292" s="83">
        <v>0</v>
      </c>
      <c r="K292" s="83">
        <v>1</v>
      </c>
      <c r="L292" s="83">
        <v>10</v>
      </c>
      <c r="M292" s="83">
        <v>10</v>
      </c>
      <c r="N292" s="83">
        <v>1.2</v>
      </c>
      <c r="O292" s="83">
        <v>0</v>
      </c>
    </row>
    <row r="293" spans="1:15" ht="16" x14ac:dyDescent="0.2">
      <c r="A293" s="89">
        <v>281</v>
      </c>
      <c r="B293" s="84" t="s">
        <v>259</v>
      </c>
      <c r="C293" s="84" t="s">
        <v>93</v>
      </c>
      <c r="D293" s="83">
        <v>22</v>
      </c>
      <c r="E293" s="83" t="s">
        <v>83</v>
      </c>
      <c r="F293" s="83">
        <v>10</v>
      </c>
      <c r="G293" s="83">
        <v>5</v>
      </c>
      <c r="H293" s="83">
        <v>2</v>
      </c>
      <c r="I293" s="83">
        <v>3</v>
      </c>
      <c r="J293" s="83">
        <v>0</v>
      </c>
      <c r="K293" s="83">
        <v>0</v>
      </c>
      <c r="L293" s="83">
        <v>3</v>
      </c>
      <c r="M293" s="83">
        <v>1.5</v>
      </c>
      <c r="N293" s="83">
        <v>0.3</v>
      </c>
      <c r="O293" s="83">
        <v>1</v>
      </c>
    </row>
    <row r="294" spans="1:15" ht="16" x14ac:dyDescent="0.2">
      <c r="A294" s="89">
        <v>282</v>
      </c>
      <c r="B294" s="84" t="s">
        <v>571</v>
      </c>
      <c r="C294" s="84" t="s">
        <v>77</v>
      </c>
      <c r="D294" s="83">
        <v>27</v>
      </c>
      <c r="E294" s="83" t="s">
        <v>83</v>
      </c>
      <c r="F294" s="83">
        <v>7</v>
      </c>
      <c r="G294" s="83">
        <v>3</v>
      </c>
      <c r="H294" s="83">
        <v>2</v>
      </c>
      <c r="I294" s="83">
        <v>-2</v>
      </c>
      <c r="J294" s="83">
        <v>0</v>
      </c>
      <c r="K294" s="83">
        <v>1</v>
      </c>
      <c r="L294" s="83">
        <v>5</v>
      </c>
      <c r="M294" s="83">
        <v>-1</v>
      </c>
      <c r="N294" s="83">
        <v>-0.3</v>
      </c>
      <c r="O294" s="83">
        <v>0</v>
      </c>
    </row>
    <row r="295" spans="1:15" ht="16" x14ac:dyDescent="0.2">
      <c r="A295" s="89">
        <v>283</v>
      </c>
      <c r="B295" s="84" t="s">
        <v>1403</v>
      </c>
      <c r="C295" s="84" t="s">
        <v>933</v>
      </c>
      <c r="D295" s="83">
        <v>26</v>
      </c>
      <c r="E295" s="83" t="s">
        <v>83</v>
      </c>
      <c r="F295" s="83">
        <v>17</v>
      </c>
      <c r="G295" s="83">
        <v>9</v>
      </c>
      <c r="H295" s="83">
        <v>2</v>
      </c>
      <c r="I295" s="83">
        <v>3</v>
      </c>
      <c r="J295" s="83">
        <v>0</v>
      </c>
      <c r="K295" s="83">
        <v>0</v>
      </c>
      <c r="L295" s="83">
        <v>4</v>
      </c>
      <c r="M295" s="83">
        <v>1.5</v>
      </c>
      <c r="N295" s="83">
        <v>0.2</v>
      </c>
      <c r="O295" s="83">
        <v>1</v>
      </c>
    </row>
    <row r="296" spans="1:15" ht="16" x14ac:dyDescent="0.2">
      <c r="A296" s="89">
        <v>284</v>
      </c>
      <c r="B296" s="84" t="s">
        <v>2650</v>
      </c>
      <c r="C296" s="84" t="s">
        <v>1040</v>
      </c>
      <c r="D296" s="83">
        <v>32</v>
      </c>
      <c r="E296" s="83" t="s">
        <v>88</v>
      </c>
      <c r="F296" s="83">
        <v>16</v>
      </c>
      <c r="G296" s="83">
        <v>16</v>
      </c>
      <c r="H296" s="83">
        <v>2</v>
      </c>
      <c r="I296" s="83">
        <v>3</v>
      </c>
      <c r="J296" s="83">
        <v>1</v>
      </c>
      <c r="K296" s="83">
        <v>1</v>
      </c>
      <c r="L296" s="83">
        <v>4</v>
      </c>
      <c r="M296" s="83">
        <v>1.5</v>
      </c>
      <c r="N296" s="83">
        <v>0.2</v>
      </c>
      <c r="O296" s="83">
        <v>1</v>
      </c>
    </row>
    <row r="297" spans="1:15" ht="16" x14ac:dyDescent="0.2">
      <c r="A297" s="89">
        <v>285</v>
      </c>
      <c r="B297" s="84" t="s">
        <v>2298</v>
      </c>
      <c r="C297" s="84" t="s">
        <v>82</v>
      </c>
      <c r="D297" s="83">
        <v>25</v>
      </c>
      <c r="E297" s="83" t="s">
        <v>68</v>
      </c>
      <c r="F297" s="83">
        <v>4</v>
      </c>
      <c r="G297" s="83">
        <v>0</v>
      </c>
      <c r="H297" s="83">
        <v>2</v>
      </c>
      <c r="I297" s="83">
        <v>13</v>
      </c>
      <c r="J297" s="83">
        <v>0</v>
      </c>
      <c r="K297" s="83">
        <v>1</v>
      </c>
      <c r="L297" s="83">
        <v>11</v>
      </c>
      <c r="M297" s="83">
        <v>6.5</v>
      </c>
      <c r="N297" s="83">
        <v>3.3</v>
      </c>
      <c r="O297" s="83">
        <v>0</v>
      </c>
    </row>
    <row r="298" spans="1:15" ht="16" x14ac:dyDescent="0.2">
      <c r="A298" s="89">
        <v>286</v>
      </c>
      <c r="B298" s="84" t="s">
        <v>2531</v>
      </c>
      <c r="C298" s="84" t="s">
        <v>933</v>
      </c>
      <c r="D298" s="83">
        <v>27</v>
      </c>
      <c r="E298" s="83" t="s">
        <v>3106</v>
      </c>
      <c r="F298" s="83">
        <v>16</v>
      </c>
      <c r="G298" s="83">
        <v>1</v>
      </c>
      <c r="H298" s="83">
        <v>2</v>
      </c>
      <c r="I298" s="83">
        <v>6</v>
      </c>
      <c r="J298" s="83">
        <v>0</v>
      </c>
      <c r="K298" s="83">
        <v>2</v>
      </c>
      <c r="L298" s="83">
        <v>4</v>
      </c>
      <c r="M298" s="83">
        <v>3</v>
      </c>
      <c r="N298" s="83">
        <v>0.4</v>
      </c>
      <c r="O298" s="83">
        <v>0</v>
      </c>
    </row>
    <row r="299" spans="1:15" ht="16" x14ac:dyDescent="0.2">
      <c r="A299" s="89">
        <v>287</v>
      </c>
      <c r="B299" s="84" t="s">
        <v>150</v>
      </c>
      <c r="C299" s="84" t="s">
        <v>108</v>
      </c>
      <c r="D299" s="83">
        <v>29</v>
      </c>
      <c r="E299" s="83" t="s">
        <v>83</v>
      </c>
      <c r="F299" s="83">
        <v>16</v>
      </c>
      <c r="G299" s="83">
        <v>16</v>
      </c>
      <c r="H299" s="83">
        <v>2</v>
      </c>
      <c r="I299" s="83">
        <v>9</v>
      </c>
      <c r="J299" s="83">
        <v>0</v>
      </c>
      <c r="K299" s="83">
        <v>0</v>
      </c>
      <c r="L299" s="83">
        <v>7</v>
      </c>
      <c r="M299" s="83">
        <v>4.5</v>
      </c>
      <c r="N299" s="83">
        <v>0.6</v>
      </c>
      <c r="O299" s="83">
        <v>0</v>
      </c>
    </row>
    <row r="300" spans="1:15" ht="16" x14ac:dyDescent="0.2">
      <c r="A300" s="89">
        <v>288</v>
      </c>
      <c r="B300" s="84" t="s">
        <v>2597</v>
      </c>
      <c r="C300" s="84" t="s">
        <v>73</v>
      </c>
      <c r="D300" s="83">
        <v>29</v>
      </c>
      <c r="E300" s="83" t="s">
        <v>79</v>
      </c>
      <c r="F300" s="83">
        <v>1</v>
      </c>
      <c r="G300" s="83">
        <v>1</v>
      </c>
      <c r="H300" s="83">
        <v>2</v>
      </c>
      <c r="I300" s="83">
        <v>14</v>
      </c>
      <c r="J300" s="83">
        <v>0</v>
      </c>
      <c r="K300" s="83">
        <v>2</v>
      </c>
      <c r="L300" s="83">
        <v>11</v>
      </c>
      <c r="M300" s="83">
        <v>7</v>
      </c>
      <c r="N300" s="83">
        <v>14</v>
      </c>
      <c r="O300" s="83">
        <v>0</v>
      </c>
    </row>
    <row r="301" spans="1:15" ht="16" x14ac:dyDescent="0.2">
      <c r="A301" s="89">
        <v>289</v>
      </c>
      <c r="B301" s="84" t="s">
        <v>1931</v>
      </c>
      <c r="C301" s="84" t="s">
        <v>99</v>
      </c>
      <c r="D301" s="83">
        <v>25</v>
      </c>
      <c r="E301" s="83" t="s">
        <v>83</v>
      </c>
      <c r="F301" s="83">
        <v>16</v>
      </c>
      <c r="G301" s="83">
        <v>5</v>
      </c>
      <c r="H301" s="83">
        <v>2</v>
      </c>
      <c r="I301" s="83">
        <v>15</v>
      </c>
      <c r="J301" s="83">
        <v>0</v>
      </c>
      <c r="K301" s="83">
        <v>0</v>
      </c>
      <c r="L301" s="83">
        <v>10</v>
      </c>
      <c r="M301" s="83">
        <v>7.5</v>
      </c>
      <c r="N301" s="83">
        <v>0.9</v>
      </c>
      <c r="O301" s="83">
        <v>4</v>
      </c>
    </row>
    <row r="302" spans="1:15" ht="16" x14ac:dyDescent="0.2">
      <c r="A302" s="89">
        <v>290</v>
      </c>
      <c r="B302" s="84" t="s">
        <v>898</v>
      </c>
      <c r="C302" s="84" t="s">
        <v>976</v>
      </c>
      <c r="D302" s="83">
        <v>24</v>
      </c>
      <c r="E302" s="83" t="s">
        <v>83</v>
      </c>
      <c r="F302" s="83">
        <v>9</v>
      </c>
      <c r="G302" s="83">
        <v>0</v>
      </c>
      <c r="H302" s="83">
        <v>2</v>
      </c>
      <c r="I302" s="83">
        <v>43</v>
      </c>
      <c r="J302" s="83">
        <v>1</v>
      </c>
      <c r="K302" s="83">
        <v>2</v>
      </c>
      <c r="L302" s="83">
        <v>33</v>
      </c>
      <c r="M302" s="83">
        <v>21.5</v>
      </c>
      <c r="N302" s="83">
        <v>4.8</v>
      </c>
      <c r="O302" s="83">
        <v>0</v>
      </c>
    </row>
    <row r="303" spans="1:15" ht="16" x14ac:dyDescent="0.2">
      <c r="A303" s="89">
        <v>291</v>
      </c>
      <c r="B303" s="84" t="s">
        <v>199</v>
      </c>
      <c r="C303" s="84" t="s">
        <v>1087</v>
      </c>
      <c r="D303" s="83">
        <v>29</v>
      </c>
      <c r="E303" s="83" t="s">
        <v>68</v>
      </c>
      <c r="F303" s="83">
        <v>1</v>
      </c>
      <c r="G303" s="83">
        <v>1</v>
      </c>
      <c r="H303" s="83">
        <v>2</v>
      </c>
      <c r="I303" s="83">
        <v>20</v>
      </c>
      <c r="J303" s="83">
        <v>0</v>
      </c>
      <c r="K303" s="83">
        <v>1</v>
      </c>
      <c r="L303" s="83">
        <v>11</v>
      </c>
      <c r="M303" s="83">
        <v>10</v>
      </c>
      <c r="N303" s="83">
        <v>20</v>
      </c>
      <c r="O303" s="83">
        <v>0</v>
      </c>
    </row>
    <row r="304" spans="1:15" ht="16" x14ac:dyDescent="0.2">
      <c r="A304" s="89">
        <v>292</v>
      </c>
      <c r="B304" s="84" t="s">
        <v>329</v>
      </c>
      <c r="C304" s="84" t="s">
        <v>107</v>
      </c>
      <c r="D304" s="83">
        <v>27</v>
      </c>
      <c r="E304" s="83" t="s">
        <v>83</v>
      </c>
      <c r="F304" s="83">
        <v>16</v>
      </c>
      <c r="G304" s="83">
        <v>13</v>
      </c>
      <c r="H304" s="83">
        <v>2</v>
      </c>
      <c r="I304" s="83">
        <v>21</v>
      </c>
      <c r="J304" s="83">
        <v>0</v>
      </c>
      <c r="K304" s="83">
        <v>0</v>
      </c>
      <c r="L304" s="83">
        <v>12</v>
      </c>
      <c r="M304" s="83">
        <v>10.5</v>
      </c>
      <c r="N304" s="83">
        <v>1.3</v>
      </c>
      <c r="O304" s="83">
        <v>1</v>
      </c>
    </row>
    <row r="305" spans="1:15" ht="16" x14ac:dyDescent="0.2">
      <c r="A305" s="89">
        <v>293</v>
      </c>
      <c r="B305" s="84" t="s">
        <v>2362</v>
      </c>
      <c r="C305" s="84" t="s">
        <v>1087</v>
      </c>
      <c r="D305" s="83">
        <v>24</v>
      </c>
      <c r="E305" s="83" t="s">
        <v>68</v>
      </c>
      <c r="F305" s="83">
        <v>2</v>
      </c>
      <c r="G305" s="83">
        <v>0</v>
      </c>
      <c r="H305" s="83">
        <v>2</v>
      </c>
      <c r="I305" s="83">
        <v>12</v>
      </c>
      <c r="J305" s="83">
        <v>0</v>
      </c>
      <c r="K305" s="83">
        <v>1</v>
      </c>
      <c r="L305" s="83">
        <v>8</v>
      </c>
      <c r="M305" s="83">
        <v>6</v>
      </c>
      <c r="N305" s="83">
        <v>6</v>
      </c>
      <c r="O305" s="83">
        <v>0</v>
      </c>
    </row>
    <row r="306" spans="1:15" ht="16" x14ac:dyDescent="0.2">
      <c r="A306" s="89">
        <v>294</v>
      </c>
      <c r="B306" s="84" t="s">
        <v>1391</v>
      </c>
      <c r="C306" s="84" t="s">
        <v>933</v>
      </c>
      <c r="D306" s="83">
        <v>27</v>
      </c>
      <c r="E306" s="83" t="s">
        <v>79</v>
      </c>
      <c r="F306" s="83">
        <v>1</v>
      </c>
      <c r="G306" s="83">
        <v>0</v>
      </c>
      <c r="H306" s="83">
        <v>2</v>
      </c>
      <c r="I306" s="83">
        <v>2</v>
      </c>
      <c r="J306" s="83">
        <v>0</v>
      </c>
      <c r="K306" s="83">
        <v>1</v>
      </c>
      <c r="L306" s="83">
        <v>1</v>
      </c>
      <c r="M306" s="83">
        <v>1</v>
      </c>
      <c r="N306" s="83">
        <v>2</v>
      </c>
      <c r="O306" s="83">
        <v>0</v>
      </c>
    </row>
    <row r="307" spans="1:15" ht="16" x14ac:dyDescent="0.2">
      <c r="A307" s="89">
        <v>295</v>
      </c>
      <c r="B307" s="84" t="s">
        <v>2067</v>
      </c>
      <c r="C307" s="84" t="s">
        <v>725</v>
      </c>
      <c r="D307" s="83">
        <v>27</v>
      </c>
      <c r="E307" s="83" t="s">
        <v>1824</v>
      </c>
      <c r="F307" s="83">
        <v>13</v>
      </c>
      <c r="G307" s="83">
        <v>11</v>
      </c>
      <c r="H307" s="83">
        <v>2</v>
      </c>
      <c r="I307" s="83">
        <v>4</v>
      </c>
      <c r="J307" s="83">
        <v>0</v>
      </c>
      <c r="K307" s="83">
        <v>2</v>
      </c>
      <c r="L307" s="83">
        <v>2</v>
      </c>
      <c r="M307" s="83">
        <v>2</v>
      </c>
      <c r="N307" s="83">
        <v>0.3</v>
      </c>
      <c r="O307" s="83">
        <v>0</v>
      </c>
    </row>
    <row r="308" spans="1:15" ht="16" x14ac:dyDescent="0.2">
      <c r="A308" s="89">
        <v>296</v>
      </c>
      <c r="B308" s="84" t="s">
        <v>282</v>
      </c>
      <c r="C308" s="84" t="s">
        <v>98</v>
      </c>
      <c r="D308" s="83">
        <v>34</v>
      </c>
      <c r="E308" s="83" t="s">
        <v>83</v>
      </c>
      <c r="F308" s="83">
        <v>14</v>
      </c>
      <c r="G308" s="83">
        <v>13</v>
      </c>
      <c r="H308" s="83">
        <v>2</v>
      </c>
      <c r="I308" s="83">
        <v>31</v>
      </c>
      <c r="J308" s="83">
        <v>0</v>
      </c>
      <c r="K308" s="83">
        <v>2</v>
      </c>
      <c r="L308" s="83">
        <v>24</v>
      </c>
      <c r="M308" s="83">
        <v>15.5</v>
      </c>
      <c r="N308" s="83">
        <v>2.2000000000000002</v>
      </c>
      <c r="O308" s="83">
        <v>0</v>
      </c>
    </row>
    <row r="309" spans="1:15" ht="16" x14ac:dyDescent="0.2">
      <c r="A309" s="89">
        <v>297</v>
      </c>
      <c r="B309" s="84" t="s">
        <v>413</v>
      </c>
      <c r="C309" s="84" t="s">
        <v>142</v>
      </c>
      <c r="D309" s="83">
        <v>26</v>
      </c>
      <c r="E309" s="83" t="s">
        <v>88</v>
      </c>
      <c r="F309" s="83">
        <v>17</v>
      </c>
      <c r="G309" s="83">
        <v>12</v>
      </c>
      <c r="H309" s="83">
        <v>2</v>
      </c>
      <c r="I309" s="83">
        <v>3</v>
      </c>
      <c r="J309" s="83">
        <v>0</v>
      </c>
      <c r="K309" s="83">
        <v>2</v>
      </c>
      <c r="L309" s="83">
        <v>2</v>
      </c>
      <c r="M309" s="83">
        <v>1.5</v>
      </c>
      <c r="N309" s="83">
        <v>0.2</v>
      </c>
      <c r="O309" s="83">
        <v>0</v>
      </c>
    </row>
    <row r="310" spans="1:15" ht="16" x14ac:dyDescent="0.2">
      <c r="A310" s="89">
        <v>298</v>
      </c>
      <c r="B310" s="84" t="s">
        <v>289</v>
      </c>
      <c r="C310" s="84" t="s">
        <v>142</v>
      </c>
      <c r="D310" s="83">
        <v>23</v>
      </c>
      <c r="E310" s="83" t="s">
        <v>83</v>
      </c>
      <c r="F310" s="83">
        <v>16</v>
      </c>
      <c r="G310" s="83">
        <v>16</v>
      </c>
      <c r="H310" s="83">
        <v>2</v>
      </c>
      <c r="I310" s="83">
        <v>3</v>
      </c>
      <c r="J310" s="83">
        <v>1</v>
      </c>
      <c r="K310" s="83">
        <v>1</v>
      </c>
      <c r="L310" s="83">
        <v>2</v>
      </c>
      <c r="M310" s="83">
        <v>1.5</v>
      </c>
      <c r="N310" s="83">
        <v>0.2</v>
      </c>
      <c r="O310" s="83">
        <v>2</v>
      </c>
    </row>
    <row r="311" spans="1:15" ht="16" x14ac:dyDescent="0.2">
      <c r="A311" s="89">
        <v>299</v>
      </c>
      <c r="B311" s="84" t="s">
        <v>334</v>
      </c>
      <c r="C311" s="84" t="s">
        <v>99</v>
      </c>
      <c r="D311" s="83">
        <v>25</v>
      </c>
      <c r="E311" s="83" t="s">
        <v>83</v>
      </c>
      <c r="F311" s="83">
        <v>15</v>
      </c>
      <c r="G311" s="83">
        <v>2</v>
      </c>
      <c r="H311" s="83">
        <v>2</v>
      </c>
      <c r="I311" s="83">
        <v>13</v>
      </c>
      <c r="J311" s="83">
        <v>0</v>
      </c>
      <c r="K311" s="83">
        <v>0</v>
      </c>
      <c r="L311" s="83">
        <v>12</v>
      </c>
      <c r="M311" s="83">
        <v>6.5</v>
      </c>
      <c r="N311" s="83">
        <v>0.9</v>
      </c>
      <c r="O311" s="83">
        <v>0</v>
      </c>
    </row>
    <row r="312" spans="1:15" x14ac:dyDescent="0.2">
      <c r="A312" s="89" t="s">
        <v>902</v>
      </c>
      <c r="B312" s="89" t="s">
        <v>903</v>
      </c>
      <c r="C312" s="89" t="s">
        <v>1314</v>
      </c>
      <c r="D312" s="89" t="s">
        <v>905</v>
      </c>
      <c r="E312" s="89" t="s">
        <v>906</v>
      </c>
      <c r="F312" s="89" t="s">
        <v>1315</v>
      </c>
      <c r="G312" s="89" t="s">
        <v>1316</v>
      </c>
      <c r="H312" s="89" t="s">
        <v>1319</v>
      </c>
      <c r="I312" s="89" t="s">
        <v>799</v>
      </c>
      <c r="J312" s="89" t="s">
        <v>800</v>
      </c>
      <c r="K312" s="89" t="s">
        <v>1321</v>
      </c>
      <c r="L312" s="89" t="s">
        <v>917</v>
      </c>
      <c r="M312" s="89" t="s">
        <v>1322</v>
      </c>
      <c r="N312" s="89" t="s">
        <v>1325</v>
      </c>
      <c r="O312" s="89" t="s">
        <v>1416</v>
      </c>
    </row>
    <row r="313" spans="1:15" ht="16" x14ac:dyDescent="0.2">
      <c r="A313" s="89">
        <v>300</v>
      </c>
      <c r="B313" s="84" t="s">
        <v>2415</v>
      </c>
      <c r="C313" s="84" t="s">
        <v>98</v>
      </c>
      <c r="D313" s="83">
        <v>26</v>
      </c>
      <c r="E313" s="83" t="s">
        <v>79</v>
      </c>
      <c r="F313" s="83">
        <v>1</v>
      </c>
      <c r="G313" s="83">
        <v>0</v>
      </c>
      <c r="H313" s="83">
        <v>2</v>
      </c>
      <c r="I313" s="83">
        <v>-3</v>
      </c>
      <c r="J313" s="83">
        <v>0</v>
      </c>
      <c r="K313" s="83">
        <v>0</v>
      </c>
      <c r="L313" s="83">
        <v>-1</v>
      </c>
      <c r="M313" s="83">
        <v>-1.5</v>
      </c>
      <c r="N313" s="83">
        <v>-3</v>
      </c>
      <c r="O313" s="83">
        <v>0</v>
      </c>
    </row>
    <row r="314" spans="1:15" ht="16" x14ac:dyDescent="0.2">
      <c r="A314" s="89">
        <v>301</v>
      </c>
      <c r="B314" s="84" t="s">
        <v>1396</v>
      </c>
      <c r="C314" s="84" t="s">
        <v>729</v>
      </c>
      <c r="D314" s="83">
        <v>26</v>
      </c>
      <c r="E314" s="83" t="s">
        <v>83</v>
      </c>
      <c r="F314" s="83">
        <v>16</v>
      </c>
      <c r="G314" s="83">
        <v>4</v>
      </c>
      <c r="H314" s="83">
        <v>2</v>
      </c>
      <c r="I314" s="83">
        <v>11</v>
      </c>
      <c r="J314" s="83">
        <v>0</v>
      </c>
      <c r="K314" s="83">
        <v>1</v>
      </c>
      <c r="L314" s="83">
        <v>6</v>
      </c>
      <c r="M314" s="83">
        <v>5.5</v>
      </c>
      <c r="N314" s="83">
        <v>0.7</v>
      </c>
      <c r="O314" s="83">
        <v>3</v>
      </c>
    </row>
    <row r="315" spans="1:15" ht="16" x14ac:dyDescent="0.2">
      <c r="A315" s="89">
        <v>302</v>
      </c>
      <c r="B315" s="84" t="s">
        <v>1381</v>
      </c>
      <c r="C315" s="84" t="s">
        <v>730</v>
      </c>
      <c r="D315" s="83">
        <v>26</v>
      </c>
      <c r="E315" s="83" t="s">
        <v>79</v>
      </c>
      <c r="F315" s="83">
        <v>3</v>
      </c>
      <c r="G315" s="83">
        <v>0</v>
      </c>
      <c r="H315" s="83">
        <v>2</v>
      </c>
      <c r="I315" s="83">
        <v>-1</v>
      </c>
      <c r="J315" s="83">
        <v>0</v>
      </c>
      <c r="K315" s="83">
        <v>0</v>
      </c>
      <c r="L315" s="83">
        <v>0</v>
      </c>
      <c r="M315" s="83">
        <v>-0.5</v>
      </c>
      <c r="N315" s="83">
        <v>-0.3</v>
      </c>
      <c r="O315" s="83">
        <v>0</v>
      </c>
    </row>
    <row r="316" spans="1:15" ht="16" x14ac:dyDescent="0.2">
      <c r="A316" s="89">
        <v>303</v>
      </c>
      <c r="B316" s="84" t="s">
        <v>364</v>
      </c>
      <c r="C316" s="84" t="s">
        <v>122</v>
      </c>
      <c r="D316" s="83">
        <v>29</v>
      </c>
      <c r="E316" s="83" t="s">
        <v>88</v>
      </c>
      <c r="F316" s="83">
        <v>13</v>
      </c>
      <c r="G316" s="83">
        <v>3</v>
      </c>
      <c r="H316" s="83">
        <v>1</v>
      </c>
      <c r="I316" s="83">
        <v>3</v>
      </c>
      <c r="J316" s="83">
        <v>0</v>
      </c>
      <c r="K316" s="83">
        <v>1</v>
      </c>
      <c r="L316" s="83">
        <v>3</v>
      </c>
      <c r="M316" s="83">
        <v>3</v>
      </c>
      <c r="N316" s="83">
        <v>0.2</v>
      </c>
      <c r="O316" s="83">
        <v>2</v>
      </c>
    </row>
    <row r="317" spans="1:15" ht="16" x14ac:dyDescent="0.2">
      <c r="A317" s="89">
        <v>304</v>
      </c>
      <c r="B317" s="84" t="s">
        <v>3091</v>
      </c>
      <c r="C317" s="84" t="s">
        <v>725</v>
      </c>
      <c r="D317" s="83">
        <v>26</v>
      </c>
      <c r="E317" s="83" t="s">
        <v>88</v>
      </c>
      <c r="F317" s="83">
        <v>17</v>
      </c>
      <c r="G317" s="83">
        <v>9</v>
      </c>
      <c r="H317" s="83">
        <v>1</v>
      </c>
      <c r="I317" s="83">
        <v>0</v>
      </c>
      <c r="J317" s="83">
        <v>0</v>
      </c>
      <c r="K317" s="83">
        <v>0</v>
      </c>
      <c r="L317" s="83">
        <v>0</v>
      </c>
      <c r="M317" s="83">
        <v>0</v>
      </c>
      <c r="N317" s="83">
        <v>0</v>
      </c>
      <c r="O317" s="83">
        <v>1</v>
      </c>
    </row>
    <row r="318" spans="1:15" ht="16" x14ac:dyDescent="0.2">
      <c r="A318" s="89">
        <v>305</v>
      </c>
      <c r="B318" s="84" t="s">
        <v>2345</v>
      </c>
      <c r="C318" s="84" t="s">
        <v>92</v>
      </c>
      <c r="D318" s="83">
        <v>25</v>
      </c>
      <c r="E318" s="83" t="s">
        <v>83</v>
      </c>
      <c r="F318" s="83">
        <v>3</v>
      </c>
      <c r="G318" s="83">
        <v>0</v>
      </c>
      <c r="H318" s="83">
        <v>1</v>
      </c>
      <c r="I318" s="83">
        <v>-3</v>
      </c>
      <c r="J318" s="83">
        <v>0</v>
      </c>
      <c r="K318" s="83">
        <v>0</v>
      </c>
      <c r="L318" s="83">
        <v>-3</v>
      </c>
      <c r="M318" s="83">
        <v>-3</v>
      </c>
      <c r="N318" s="83">
        <v>-1</v>
      </c>
      <c r="O318" s="83">
        <v>0</v>
      </c>
    </row>
    <row r="319" spans="1:15" ht="16" x14ac:dyDescent="0.2">
      <c r="A319" s="89">
        <v>306</v>
      </c>
      <c r="B319" s="84" t="s">
        <v>220</v>
      </c>
      <c r="C319" s="84" t="s">
        <v>1052</v>
      </c>
      <c r="D319" s="83">
        <v>28</v>
      </c>
      <c r="E319" s="83" t="s">
        <v>79</v>
      </c>
      <c r="F319" s="83">
        <v>2</v>
      </c>
      <c r="G319" s="83">
        <v>0</v>
      </c>
      <c r="H319" s="83">
        <v>1</v>
      </c>
      <c r="I319" s="83">
        <v>2</v>
      </c>
      <c r="J319" s="83">
        <v>0</v>
      </c>
      <c r="K319" s="83">
        <v>0</v>
      </c>
      <c r="L319" s="83">
        <v>2</v>
      </c>
      <c r="M319" s="83">
        <v>2</v>
      </c>
      <c r="N319" s="83">
        <v>1</v>
      </c>
      <c r="O319" s="83">
        <v>0</v>
      </c>
    </row>
    <row r="320" spans="1:15" ht="16" x14ac:dyDescent="0.2">
      <c r="A320" s="89">
        <v>307</v>
      </c>
      <c r="B320" s="84" t="s">
        <v>205</v>
      </c>
      <c r="C320" s="84" t="s">
        <v>139</v>
      </c>
      <c r="D320" s="83">
        <v>26</v>
      </c>
      <c r="E320" s="83" t="s">
        <v>79</v>
      </c>
      <c r="F320" s="83">
        <v>1</v>
      </c>
      <c r="G320" s="83">
        <v>0</v>
      </c>
      <c r="H320" s="83">
        <v>1</v>
      </c>
      <c r="I320" s="83">
        <v>6</v>
      </c>
      <c r="J320" s="83">
        <v>0</v>
      </c>
      <c r="K320" s="83">
        <v>0</v>
      </c>
      <c r="L320" s="83">
        <v>6</v>
      </c>
      <c r="M320" s="83">
        <v>6</v>
      </c>
      <c r="N320" s="83">
        <v>6</v>
      </c>
      <c r="O320" s="83">
        <v>1</v>
      </c>
    </row>
    <row r="321" spans="1:15" ht="16" x14ac:dyDescent="0.2">
      <c r="A321" s="89">
        <v>308</v>
      </c>
      <c r="B321" s="84" t="s">
        <v>459</v>
      </c>
      <c r="C321" s="84" t="s">
        <v>92</v>
      </c>
      <c r="D321" s="83">
        <v>28</v>
      </c>
      <c r="E321" s="83" t="s">
        <v>83</v>
      </c>
      <c r="F321" s="83">
        <v>6</v>
      </c>
      <c r="G321" s="83">
        <v>1</v>
      </c>
      <c r="H321" s="83">
        <v>1</v>
      </c>
      <c r="I321" s="83">
        <v>6</v>
      </c>
      <c r="J321" s="83">
        <v>0</v>
      </c>
      <c r="K321" s="83">
        <v>0</v>
      </c>
      <c r="L321" s="83">
        <v>6</v>
      </c>
      <c r="M321" s="83">
        <v>6</v>
      </c>
      <c r="N321" s="83">
        <v>1</v>
      </c>
      <c r="O321" s="83">
        <v>0</v>
      </c>
    </row>
    <row r="322" spans="1:15" ht="16" x14ac:dyDescent="0.2">
      <c r="A322" s="89">
        <v>309</v>
      </c>
      <c r="B322" s="84" t="s">
        <v>607</v>
      </c>
      <c r="C322" s="84" t="s">
        <v>70</v>
      </c>
      <c r="D322" s="83">
        <v>25</v>
      </c>
      <c r="E322" s="83" t="s">
        <v>68</v>
      </c>
      <c r="F322" s="83">
        <v>4</v>
      </c>
      <c r="G322" s="83">
        <v>0</v>
      </c>
      <c r="H322" s="83">
        <v>1</v>
      </c>
      <c r="I322" s="83">
        <v>4</v>
      </c>
      <c r="J322" s="83">
        <v>0</v>
      </c>
      <c r="K322" s="83">
        <v>0</v>
      </c>
      <c r="L322" s="83">
        <v>4</v>
      </c>
      <c r="M322" s="83">
        <v>4</v>
      </c>
      <c r="N322" s="83">
        <v>1</v>
      </c>
      <c r="O322" s="83">
        <v>0</v>
      </c>
    </row>
    <row r="323" spans="1:15" ht="16" x14ac:dyDescent="0.2">
      <c r="A323" s="89">
        <v>310</v>
      </c>
      <c r="B323" s="84" t="s">
        <v>393</v>
      </c>
      <c r="C323" s="84" t="s">
        <v>92</v>
      </c>
      <c r="D323" s="83">
        <v>22</v>
      </c>
      <c r="E323" s="83" t="s">
        <v>68</v>
      </c>
      <c r="F323" s="83">
        <v>13</v>
      </c>
      <c r="G323" s="83">
        <v>0</v>
      </c>
      <c r="H323" s="83">
        <v>1</v>
      </c>
      <c r="I323" s="83">
        <v>4</v>
      </c>
      <c r="J323" s="83">
        <v>0</v>
      </c>
      <c r="K323" s="83">
        <v>0</v>
      </c>
      <c r="L323" s="83">
        <v>4</v>
      </c>
      <c r="M323" s="83">
        <v>4</v>
      </c>
      <c r="N323" s="83">
        <v>0.3</v>
      </c>
      <c r="O323" s="83">
        <v>0</v>
      </c>
    </row>
    <row r="324" spans="1:15" ht="16" x14ac:dyDescent="0.2">
      <c r="A324" s="89">
        <v>311</v>
      </c>
      <c r="B324" s="84" t="s">
        <v>1543</v>
      </c>
      <c r="C324" s="84" t="s">
        <v>976</v>
      </c>
      <c r="D324" s="83">
        <v>33</v>
      </c>
      <c r="E324" s="83" t="s">
        <v>83</v>
      </c>
      <c r="F324" s="83">
        <v>7</v>
      </c>
      <c r="G324" s="83">
        <v>3</v>
      </c>
      <c r="H324" s="83">
        <v>1</v>
      </c>
      <c r="I324" s="83">
        <v>6</v>
      </c>
      <c r="J324" s="83">
        <v>0</v>
      </c>
      <c r="K324" s="83">
        <v>0</v>
      </c>
      <c r="L324" s="83">
        <v>6</v>
      </c>
      <c r="M324" s="83">
        <v>6</v>
      </c>
      <c r="N324" s="83">
        <v>0.9</v>
      </c>
      <c r="O324" s="83">
        <v>0</v>
      </c>
    </row>
    <row r="325" spans="1:15" ht="16" x14ac:dyDescent="0.2">
      <c r="A325" s="89">
        <v>312</v>
      </c>
      <c r="B325" s="84" t="s">
        <v>379</v>
      </c>
      <c r="C325" s="84" t="s">
        <v>119</v>
      </c>
      <c r="D325" s="83">
        <v>22</v>
      </c>
      <c r="E325" s="83" t="s">
        <v>83</v>
      </c>
      <c r="F325" s="83">
        <v>15</v>
      </c>
      <c r="G325" s="83">
        <v>6</v>
      </c>
      <c r="H325" s="83">
        <v>1</v>
      </c>
      <c r="I325" s="83">
        <v>-4</v>
      </c>
      <c r="J325" s="83">
        <v>0</v>
      </c>
      <c r="K325" s="83">
        <v>0</v>
      </c>
      <c r="L325" s="83">
        <v>-4</v>
      </c>
      <c r="M325" s="83">
        <v>-4</v>
      </c>
      <c r="N325" s="83">
        <v>-0.3</v>
      </c>
      <c r="O325" s="83">
        <v>0</v>
      </c>
    </row>
    <row r="326" spans="1:15" ht="16" x14ac:dyDescent="0.2">
      <c r="A326" s="89">
        <v>313</v>
      </c>
      <c r="B326" s="84" t="s">
        <v>1544</v>
      </c>
      <c r="C326" s="84" t="s">
        <v>725</v>
      </c>
      <c r="D326" s="83">
        <v>24</v>
      </c>
      <c r="E326" s="83" t="s">
        <v>83</v>
      </c>
      <c r="F326" s="83">
        <v>16</v>
      </c>
      <c r="G326" s="83">
        <v>16</v>
      </c>
      <c r="H326" s="83">
        <v>1</v>
      </c>
      <c r="I326" s="83">
        <v>5</v>
      </c>
      <c r="J326" s="83">
        <v>0</v>
      </c>
      <c r="K326" s="83">
        <v>1</v>
      </c>
      <c r="L326" s="83">
        <v>5</v>
      </c>
      <c r="M326" s="83">
        <v>5</v>
      </c>
      <c r="N326" s="83">
        <v>0.3</v>
      </c>
      <c r="O326" s="83">
        <v>3</v>
      </c>
    </row>
    <row r="327" spans="1:15" ht="16" x14ac:dyDescent="0.2">
      <c r="A327" s="89">
        <v>314</v>
      </c>
      <c r="B327" s="84" t="s">
        <v>2523</v>
      </c>
      <c r="C327" s="84" t="s">
        <v>70</v>
      </c>
      <c r="D327" s="83">
        <v>25</v>
      </c>
      <c r="E327" s="83" t="s">
        <v>3100</v>
      </c>
      <c r="F327" s="83">
        <v>15</v>
      </c>
      <c r="G327" s="83">
        <v>7</v>
      </c>
      <c r="H327" s="83">
        <v>1</v>
      </c>
      <c r="I327" s="83">
        <v>14</v>
      </c>
      <c r="J327" s="83">
        <v>0</v>
      </c>
      <c r="K327" s="83">
        <v>1</v>
      </c>
      <c r="L327" s="83">
        <v>14</v>
      </c>
      <c r="M327" s="83">
        <v>14</v>
      </c>
      <c r="N327" s="83">
        <v>0.9</v>
      </c>
      <c r="O327" s="83">
        <v>0</v>
      </c>
    </row>
    <row r="328" spans="1:15" ht="16" x14ac:dyDescent="0.2">
      <c r="A328" s="89">
        <v>315</v>
      </c>
      <c r="B328" s="84" t="s">
        <v>277</v>
      </c>
      <c r="C328" s="84" t="s">
        <v>1267</v>
      </c>
      <c r="D328" s="83">
        <v>31</v>
      </c>
      <c r="E328" s="83" t="s">
        <v>83</v>
      </c>
      <c r="F328" s="83">
        <v>12</v>
      </c>
      <c r="G328" s="83">
        <v>3</v>
      </c>
      <c r="H328" s="83">
        <v>1</v>
      </c>
      <c r="I328" s="83">
        <v>1</v>
      </c>
      <c r="J328" s="83">
        <v>0</v>
      </c>
      <c r="K328" s="83">
        <v>0</v>
      </c>
      <c r="L328" s="83">
        <v>1</v>
      </c>
      <c r="M328" s="83">
        <v>1</v>
      </c>
      <c r="N328" s="83">
        <v>0.1</v>
      </c>
      <c r="O328" s="83">
        <v>1</v>
      </c>
    </row>
    <row r="329" spans="1:15" ht="16" x14ac:dyDescent="0.2">
      <c r="A329" s="89">
        <v>316</v>
      </c>
      <c r="B329" s="84" t="s">
        <v>307</v>
      </c>
      <c r="C329" s="84" t="s">
        <v>122</v>
      </c>
      <c r="D329" s="83">
        <v>29</v>
      </c>
      <c r="E329" s="83" t="s">
        <v>83</v>
      </c>
      <c r="F329" s="83">
        <v>16</v>
      </c>
      <c r="G329" s="83">
        <v>10</v>
      </c>
      <c r="H329" s="83">
        <v>1</v>
      </c>
      <c r="I329" s="83">
        <v>3</v>
      </c>
      <c r="J329" s="83">
        <v>0</v>
      </c>
      <c r="K329" s="83">
        <v>1</v>
      </c>
      <c r="L329" s="83">
        <v>3</v>
      </c>
      <c r="M329" s="83">
        <v>3</v>
      </c>
      <c r="N329" s="83">
        <v>0.2</v>
      </c>
      <c r="O329" s="83">
        <v>1</v>
      </c>
    </row>
    <row r="330" spans="1:15" ht="16" x14ac:dyDescent="0.2">
      <c r="A330" s="89">
        <v>317</v>
      </c>
      <c r="B330" s="84" t="s">
        <v>610</v>
      </c>
      <c r="C330" s="84" t="s">
        <v>92</v>
      </c>
      <c r="D330" s="83">
        <v>26</v>
      </c>
      <c r="E330" s="83" t="s">
        <v>83</v>
      </c>
      <c r="F330" s="83">
        <v>8</v>
      </c>
      <c r="G330" s="83">
        <v>0</v>
      </c>
      <c r="H330" s="83">
        <v>1</v>
      </c>
      <c r="I330" s="83">
        <v>3</v>
      </c>
      <c r="J330" s="83">
        <v>0</v>
      </c>
      <c r="K330" s="83">
        <v>0</v>
      </c>
      <c r="L330" s="83">
        <v>3</v>
      </c>
      <c r="M330" s="83">
        <v>3</v>
      </c>
      <c r="N330" s="83">
        <v>0.4</v>
      </c>
      <c r="O330" s="83">
        <v>0</v>
      </c>
    </row>
    <row r="331" spans="1:15" ht="16" x14ac:dyDescent="0.2">
      <c r="A331" s="89">
        <v>318</v>
      </c>
      <c r="B331" s="84" t="s">
        <v>2427</v>
      </c>
      <c r="C331" s="84" t="s">
        <v>1052</v>
      </c>
      <c r="D331" s="83">
        <v>25</v>
      </c>
      <c r="E331" s="83" t="s">
        <v>68</v>
      </c>
      <c r="F331" s="83">
        <v>4</v>
      </c>
      <c r="G331" s="83">
        <v>0</v>
      </c>
      <c r="H331" s="83">
        <v>1</v>
      </c>
      <c r="I331" s="83">
        <v>3</v>
      </c>
      <c r="J331" s="83">
        <v>0</v>
      </c>
      <c r="K331" s="83">
        <v>0</v>
      </c>
      <c r="L331" s="83">
        <v>3</v>
      </c>
      <c r="M331" s="83">
        <v>3</v>
      </c>
      <c r="N331" s="83">
        <v>0.8</v>
      </c>
      <c r="O331" s="83">
        <v>0</v>
      </c>
    </row>
    <row r="332" spans="1:15" ht="16" x14ac:dyDescent="0.2">
      <c r="A332" s="89">
        <v>319</v>
      </c>
      <c r="B332" s="84" t="s">
        <v>2295</v>
      </c>
      <c r="C332" s="84" t="s">
        <v>976</v>
      </c>
      <c r="D332" s="83">
        <v>22</v>
      </c>
      <c r="E332" s="83" t="s">
        <v>83</v>
      </c>
      <c r="F332" s="83">
        <v>9</v>
      </c>
      <c r="G332" s="83">
        <v>0</v>
      </c>
      <c r="H332" s="83">
        <v>1</v>
      </c>
      <c r="I332" s="83">
        <v>11</v>
      </c>
      <c r="J332" s="83">
        <v>0</v>
      </c>
      <c r="K332" s="83">
        <v>1</v>
      </c>
      <c r="L332" s="83">
        <v>11</v>
      </c>
      <c r="M332" s="83">
        <v>11</v>
      </c>
      <c r="N332" s="83">
        <v>1.2</v>
      </c>
      <c r="O332" s="83">
        <v>0</v>
      </c>
    </row>
    <row r="333" spans="1:15" ht="16" x14ac:dyDescent="0.2">
      <c r="A333" s="89">
        <v>320</v>
      </c>
      <c r="B333" s="84" t="s">
        <v>2382</v>
      </c>
      <c r="C333" s="83" t="s">
        <v>2530</v>
      </c>
      <c r="D333" s="83">
        <v>28</v>
      </c>
      <c r="E333" s="83" t="s">
        <v>83</v>
      </c>
      <c r="F333" s="83">
        <v>6</v>
      </c>
      <c r="G333" s="83">
        <v>0</v>
      </c>
      <c r="H333" s="83">
        <v>1</v>
      </c>
      <c r="I333" s="83">
        <v>0</v>
      </c>
      <c r="J333" s="83">
        <v>0</v>
      </c>
      <c r="K333" s="83">
        <v>0</v>
      </c>
      <c r="L333" s="83">
        <v>0</v>
      </c>
      <c r="M333" s="83">
        <v>0</v>
      </c>
      <c r="N333" s="83">
        <v>0</v>
      </c>
      <c r="O333" s="83">
        <v>0</v>
      </c>
    </row>
    <row r="334" spans="1:15" ht="16" x14ac:dyDescent="0.2">
      <c r="A334" s="89">
        <v>321</v>
      </c>
      <c r="B334" s="84" t="s">
        <v>606</v>
      </c>
      <c r="C334" s="84" t="s">
        <v>78</v>
      </c>
      <c r="D334" s="83">
        <v>23</v>
      </c>
      <c r="E334" s="83" t="s">
        <v>83</v>
      </c>
      <c r="F334" s="83">
        <v>5</v>
      </c>
      <c r="G334" s="83">
        <v>2</v>
      </c>
      <c r="H334" s="83">
        <v>1</v>
      </c>
      <c r="I334" s="83">
        <v>24</v>
      </c>
      <c r="J334" s="83">
        <v>0</v>
      </c>
      <c r="K334" s="83">
        <v>1</v>
      </c>
      <c r="L334" s="83">
        <v>24</v>
      </c>
      <c r="M334" s="83">
        <v>24</v>
      </c>
      <c r="N334" s="83">
        <v>4.8</v>
      </c>
      <c r="O334" s="83">
        <v>0</v>
      </c>
    </row>
    <row r="335" spans="1:15" ht="16" x14ac:dyDescent="0.2">
      <c r="A335" s="89">
        <v>322</v>
      </c>
      <c r="B335" s="84" t="s">
        <v>292</v>
      </c>
      <c r="C335" s="84" t="s">
        <v>99</v>
      </c>
      <c r="D335" s="83">
        <v>28</v>
      </c>
      <c r="E335" s="83" t="s">
        <v>88</v>
      </c>
      <c r="F335" s="83">
        <v>8</v>
      </c>
      <c r="G335" s="83">
        <v>3</v>
      </c>
      <c r="H335" s="83">
        <v>1</v>
      </c>
      <c r="I335" s="83">
        <v>1</v>
      </c>
      <c r="J335" s="83">
        <v>1</v>
      </c>
      <c r="K335" s="83">
        <v>1</v>
      </c>
      <c r="L335" s="83">
        <v>1</v>
      </c>
      <c r="M335" s="83">
        <v>1</v>
      </c>
      <c r="N335" s="83">
        <v>0.1</v>
      </c>
      <c r="O335" s="83">
        <v>0</v>
      </c>
    </row>
    <row r="336" spans="1:15" ht="16" x14ac:dyDescent="0.2">
      <c r="A336" s="89">
        <v>323</v>
      </c>
      <c r="B336" s="84" t="s">
        <v>2102</v>
      </c>
      <c r="C336" s="84" t="s">
        <v>933</v>
      </c>
      <c r="D336" s="83">
        <v>23</v>
      </c>
      <c r="E336" s="83" t="s">
        <v>83</v>
      </c>
      <c r="F336" s="83">
        <v>16</v>
      </c>
      <c r="G336" s="83">
        <v>12</v>
      </c>
      <c r="H336" s="83">
        <v>1</v>
      </c>
      <c r="I336" s="83">
        <v>0</v>
      </c>
      <c r="J336" s="83">
        <v>0</v>
      </c>
      <c r="K336" s="83">
        <v>0</v>
      </c>
      <c r="L336" s="83">
        <v>0</v>
      </c>
      <c r="M336" s="83">
        <v>0</v>
      </c>
      <c r="N336" s="83">
        <v>0</v>
      </c>
      <c r="O336" s="83">
        <v>1</v>
      </c>
    </row>
    <row r="337" spans="1:15" ht="16" x14ac:dyDescent="0.2">
      <c r="A337" s="89">
        <v>324</v>
      </c>
      <c r="B337" s="84" t="s">
        <v>303</v>
      </c>
      <c r="C337" s="84" t="s">
        <v>92</v>
      </c>
      <c r="D337" s="83">
        <v>27</v>
      </c>
      <c r="E337" s="83" t="s">
        <v>88</v>
      </c>
      <c r="F337" s="83">
        <v>15</v>
      </c>
      <c r="G337" s="83">
        <v>12</v>
      </c>
      <c r="H337" s="83">
        <v>1</v>
      </c>
      <c r="I337" s="83">
        <v>-3</v>
      </c>
      <c r="J337" s="83">
        <v>0</v>
      </c>
      <c r="K337" s="83">
        <v>0</v>
      </c>
      <c r="L337" s="83">
        <v>-3</v>
      </c>
      <c r="M337" s="83">
        <v>-3</v>
      </c>
      <c r="N337" s="83">
        <v>-0.2</v>
      </c>
      <c r="O337" s="83">
        <v>1</v>
      </c>
    </row>
    <row r="338" spans="1:15" ht="16" x14ac:dyDescent="0.2">
      <c r="A338" s="89">
        <v>325</v>
      </c>
      <c r="B338" s="84" t="s">
        <v>320</v>
      </c>
      <c r="C338" s="83" t="s">
        <v>1726</v>
      </c>
      <c r="D338" s="83">
        <v>31</v>
      </c>
      <c r="E338" s="83" t="s">
        <v>88</v>
      </c>
      <c r="F338" s="83">
        <v>17</v>
      </c>
      <c r="G338" s="83">
        <v>14</v>
      </c>
      <c r="H338" s="83">
        <v>1</v>
      </c>
      <c r="I338" s="83">
        <v>4</v>
      </c>
      <c r="J338" s="83">
        <v>0</v>
      </c>
      <c r="K338" s="83">
        <v>0</v>
      </c>
      <c r="L338" s="83">
        <v>4</v>
      </c>
      <c r="M338" s="83">
        <v>4</v>
      </c>
      <c r="N338" s="83">
        <v>0.2</v>
      </c>
      <c r="O338" s="83">
        <v>0</v>
      </c>
    </row>
    <row r="339" spans="1:15" ht="16" x14ac:dyDescent="0.2">
      <c r="A339" s="89">
        <v>326</v>
      </c>
      <c r="B339" s="84" t="s">
        <v>3101</v>
      </c>
      <c r="C339" s="84" t="s">
        <v>976</v>
      </c>
      <c r="D339" s="83">
        <v>28</v>
      </c>
      <c r="E339" s="83" t="s">
        <v>83</v>
      </c>
      <c r="F339" s="83">
        <v>16</v>
      </c>
      <c r="G339" s="83">
        <v>16</v>
      </c>
      <c r="H339" s="83">
        <v>1</v>
      </c>
      <c r="I339" s="83">
        <v>10</v>
      </c>
      <c r="J339" s="83">
        <v>0</v>
      </c>
      <c r="K339" s="83">
        <v>1</v>
      </c>
      <c r="L339" s="83">
        <v>10</v>
      </c>
      <c r="M339" s="83">
        <v>10</v>
      </c>
      <c r="N339" s="83">
        <v>0.6</v>
      </c>
      <c r="O339" s="83">
        <v>0</v>
      </c>
    </row>
    <row r="340" spans="1:15" ht="16" x14ac:dyDescent="0.2">
      <c r="A340" s="89">
        <v>327</v>
      </c>
      <c r="B340" s="84" t="s">
        <v>1969</v>
      </c>
      <c r="C340" s="84" t="s">
        <v>142</v>
      </c>
      <c r="D340" s="83">
        <v>28</v>
      </c>
      <c r="E340" s="83" t="s">
        <v>3106</v>
      </c>
      <c r="F340" s="83">
        <v>17</v>
      </c>
      <c r="G340" s="83">
        <v>0</v>
      </c>
      <c r="H340" s="83">
        <v>1</v>
      </c>
      <c r="I340" s="83">
        <v>0</v>
      </c>
      <c r="J340" s="83">
        <v>0</v>
      </c>
      <c r="K340" s="83">
        <v>0</v>
      </c>
      <c r="L340" s="83">
        <v>0</v>
      </c>
      <c r="M340" s="83">
        <v>0</v>
      </c>
      <c r="N340" s="83">
        <v>0</v>
      </c>
      <c r="O340" s="83">
        <v>1</v>
      </c>
    </row>
    <row r="341" spans="1:15" ht="16" x14ac:dyDescent="0.2">
      <c r="A341" s="89">
        <v>328</v>
      </c>
      <c r="B341" s="84" t="s">
        <v>2355</v>
      </c>
      <c r="C341" s="84" t="s">
        <v>118</v>
      </c>
      <c r="D341" s="83">
        <v>23</v>
      </c>
      <c r="E341" s="83" t="s">
        <v>83</v>
      </c>
      <c r="F341" s="83">
        <v>3</v>
      </c>
      <c r="G341" s="83">
        <v>0</v>
      </c>
      <c r="H341" s="83">
        <v>1</v>
      </c>
      <c r="I341" s="83">
        <v>3</v>
      </c>
      <c r="J341" s="83">
        <v>0</v>
      </c>
      <c r="K341" s="83">
        <v>0</v>
      </c>
      <c r="L341" s="83">
        <v>3</v>
      </c>
      <c r="M341" s="83">
        <v>3</v>
      </c>
      <c r="N341" s="83">
        <v>1</v>
      </c>
      <c r="O341" s="83">
        <v>0</v>
      </c>
    </row>
    <row r="342" spans="1:15" ht="16" x14ac:dyDescent="0.2">
      <c r="A342" s="89">
        <v>329</v>
      </c>
      <c r="B342" s="84" t="s">
        <v>166</v>
      </c>
      <c r="C342" s="84" t="s">
        <v>119</v>
      </c>
      <c r="D342" s="83">
        <v>39</v>
      </c>
      <c r="E342" s="83" t="s">
        <v>79</v>
      </c>
      <c r="F342" s="83">
        <v>1</v>
      </c>
      <c r="G342" s="83">
        <v>1</v>
      </c>
      <c r="H342" s="83">
        <v>1</v>
      </c>
      <c r="I342" s="83">
        <v>2</v>
      </c>
      <c r="J342" s="83">
        <v>0</v>
      </c>
      <c r="K342" s="83">
        <v>0</v>
      </c>
      <c r="L342" s="83">
        <v>2</v>
      </c>
      <c r="M342" s="83">
        <v>2</v>
      </c>
      <c r="N342" s="83">
        <v>2</v>
      </c>
      <c r="O342" s="83">
        <v>1</v>
      </c>
    </row>
    <row r="343" spans="1:15" x14ac:dyDescent="0.2">
      <c r="A343" s="89" t="s">
        <v>902</v>
      </c>
      <c r="B343" s="89" t="s">
        <v>903</v>
      </c>
      <c r="C343" s="89" t="s">
        <v>1314</v>
      </c>
      <c r="D343" s="89" t="s">
        <v>905</v>
      </c>
      <c r="E343" s="89" t="s">
        <v>906</v>
      </c>
      <c r="F343" s="89" t="s">
        <v>1315</v>
      </c>
      <c r="G343" s="89" t="s">
        <v>1316</v>
      </c>
      <c r="H343" s="89" t="s">
        <v>1319</v>
      </c>
      <c r="I343" s="89" t="s">
        <v>799</v>
      </c>
      <c r="J343" s="89" t="s">
        <v>800</v>
      </c>
      <c r="K343" s="89" t="s">
        <v>1321</v>
      </c>
      <c r="L343" s="89" t="s">
        <v>917</v>
      </c>
      <c r="M343" s="89" t="s">
        <v>1322</v>
      </c>
      <c r="N343" s="89" t="s">
        <v>1325</v>
      </c>
      <c r="O343" s="89" t="s">
        <v>1416</v>
      </c>
    </row>
    <row r="344" spans="1:15" ht="16" x14ac:dyDescent="0.2">
      <c r="A344" s="89">
        <v>330</v>
      </c>
      <c r="B344" s="84" t="s">
        <v>1553</v>
      </c>
      <c r="C344" s="84" t="s">
        <v>82</v>
      </c>
      <c r="D344" s="83">
        <v>24</v>
      </c>
      <c r="E344" s="83" t="s">
        <v>3105</v>
      </c>
      <c r="F344" s="83">
        <v>12</v>
      </c>
      <c r="G344" s="83">
        <v>0</v>
      </c>
      <c r="H344" s="83">
        <v>1</v>
      </c>
      <c r="I344" s="83">
        <v>0</v>
      </c>
      <c r="J344" s="83">
        <v>0</v>
      </c>
      <c r="K344" s="83">
        <v>0</v>
      </c>
      <c r="L344" s="83">
        <v>-8</v>
      </c>
      <c r="M344" s="83">
        <v>0</v>
      </c>
      <c r="N344" s="83">
        <v>0</v>
      </c>
      <c r="O344" s="83">
        <v>1</v>
      </c>
    </row>
    <row r="345" spans="1:15" ht="16" x14ac:dyDescent="0.2">
      <c r="A345" s="89">
        <v>331</v>
      </c>
      <c r="B345" s="84" t="s">
        <v>2492</v>
      </c>
      <c r="C345" s="84" t="s">
        <v>976</v>
      </c>
      <c r="D345" s="83">
        <v>28</v>
      </c>
      <c r="E345" s="83" t="s">
        <v>83</v>
      </c>
      <c r="F345" s="83">
        <v>5</v>
      </c>
      <c r="G345" s="83">
        <v>3</v>
      </c>
      <c r="H345" s="83">
        <v>1</v>
      </c>
      <c r="I345" s="83">
        <v>14</v>
      </c>
      <c r="J345" s="83">
        <v>0</v>
      </c>
      <c r="K345" s="83">
        <v>1</v>
      </c>
      <c r="L345" s="83">
        <v>14</v>
      </c>
      <c r="M345" s="83">
        <v>14</v>
      </c>
      <c r="N345" s="83">
        <v>2.8</v>
      </c>
      <c r="O345" s="83">
        <v>0</v>
      </c>
    </row>
    <row r="346" spans="1:15" ht="16" x14ac:dyDescent="0.2">
      <c r="A346" s="89">
        <v>332</v>
      </c>
      <c r="B346" s="84" t="s">
        <v>2312</v>
      </c>
      <c r="C346" s="84" t="s">
        <v>730</v>
      </c>
      <c r="D346" s="83">
        <v>31</v>
      </c>
      <c r="E346" s="83" t="s">
        <v>3105</v>
      </c>
      <c r="F346" s="83">
        <v>17</v>
      </c>
      <c r="G346" s="83">
        <v>0</v>
      </c>
      <c r="H346" s="83">
        <v>1</v>
      </c>
      <c r="I346" s="83">
        <v>0</v>
      </c>
      <c r="J346" s="83">
        <v>0</v>
      </c>
      <c r="K346" s="83">
        <v>0</v>
      </c>
      <c r="L346" s="83">
        <v>0</v>
      </c>
      <c r="M346" s="83">
        <v>0</v>
      </c>
      <c r="N346" s="83">
        <v>0</v>
      </c>
      <c r="O346" s="83">
        <v>1</v>
      </c>
    </row>
    <row r="347" spans="1:15" ht="16" x14ac:dyDescent="0.2">
      <c r="A347" s="89">
        <v>333</v>
      </c>
      <c r="B347" s="84" t="s">
        <v>2031</v>
      </c>
      <c r="C347" s="83" t="s">
        <v>1726</v>
      </c>
      <c r="D347" s="83">
        <v>35</v>
      </c>
      <c r="E347" s="83" t="s">
        <v>83</v>
      </c>
      <c r="F347" s="83">
        <v>16</v>
      </c>
      <c r="G347" s="83">
        <v>4</v>
      </c>
      <c r="H347" s="83">
        <v>1</v>
      </c>
      <c r="I347" s="83">
        <v>4</v>
      </c>
      <c r="J347" s="83">
        <v>0</v>
      </c>
      <c r="K347" s="83">
        <v>0</v>
      </c>
      <c r="L347" s="83">
        <v>4</v>
      </c>
      <c r="M347" s="83">
        <v>4</v>
      </c>
      <c r="N347" s="83">
        <v>0.3</v>
      </c>
      <c r="O347" s="83">
        <v>1</v>
      </c>
    </row>
    <row r="348" spans="1:15" ht="16" x14ac:dyDescent="0.2">
      <c r="A348" s="89">
        <v>334</v>
      </c>
      <c r="B348" s="84" t="s">
        <v>295</v>
      </c>
      <c r="C348" s="84" t="s">
        <v>78</v>
      </c>
      <c r="D348" s="83">
        <v>25</v>
      </c>
      <c r="E348" s="83" t="s">
        <v>83</v>
      </c>
      <c r="F348" s="83">
        <v>17</v>
      </c>
      <c r="G348" s="83">
        <v>11</v>
      </c>
      <c r="H348" s="83">
        <v>1</v>
      </c>
      <c r="I348" s="83">
        <v>11</v>
      </c>
      <c r="J348" s="83">
        <v>0</v>
      </c>
      <c r="K348" s="83">
        <v>1</v>
      </c>
      <c r="L348" s="83">
        <v>11</v>
      </c>
      <c r="M348" s="83">
        <v>11</v>
      </c>
      <c r="N348" s="83">
        <v>0.6</v>
      </c>
      <c r="O348" s="83">
        <v>0</v>
      </c>
    </row>
    <row r="349" spans="1:15" ht="16" x14ac:dyDescent="0.2">
      <c r="A349" s="89">
        <v>335</v>
      </c>
      <c r="B349" s="84" t="s">
        <v>2038</v>
      </c>
      <c r="C349" s="84" t="s">
        <v>727</v>
      </c>
      <c r="D349" s="83">
        <v>22</v>
      </c>
      <c r="E349" s="83" t="s">
        <v>88</v>
      </c>
      <c r="F349" s="83">
        <v>17</v>
      </c>
      <c r="G349" s="83">
        <v>17</v>
      </c>
      <c r="H349" s="83">
        <v>1</v>
      </c>
      <c r="I349" s="83">
        <v>0</v>
      </c>
      <c r="J349" s="83">
        <v>0</v>
      </c>
      <c r="K349" s="83">
        <v>0</v>
      </c>
      <c r="L349" s="83">
        <v>0</v>
      </c>
      <c r="M349" s="83">
        <v>0</v>
      </c>
      <c r="N349" s="83">
        <v>0</v>
      </c>
      <c r="O349" s="83">
        <v>0</v>
      </c>
    </row>
    <row r="350" spans="1:15" ht="16" x14ac:dyDescent="0.2">
      <c r="A350" s="89">
        <v>336</v>
      </c>
      <c r="B350" s="84" t="s">
        <v>475</v>
      </c>
      <c r="C350" s="84" t="s">
        <v>142</v>
      </c>
      <c r="D350" s="83">
        <v>26</v>
      </c>
      <c r="E350" s="83" t="s">
        <v>68</v>
      </c>
      <c r="F350" s="83">
        <v>6</v>
      </c>
      <c r="G350" s="83">
        <v>0</v>
      </c>
      <c r="H350" s="83">
        <v>1</v>
      </c>
      <c r="I350" s="83">
        <v>4</v>
      </c>
      <c r="J350" s="83">
        <v>0</v>
      </c>
      <c r="K350" s="83">
        <v>0</v>
      </c>
      <c r="L350" s="83">
        <v>4</v>
      </c>
      <c r="M350" s="83">
        <v>4</v>
      </c>
      <c r="N350" s="83">
        <v>0.7</v>
      </c>
      <c r="O350" s="83">
        <v>0</v>
      </c>
    </row>
    <row r="351" spans="1:15" ht="16" x14ac:dyDescent="0.2">
      <c r="A351" s="89">
        <v>337</v>
      </c>
      <c r="B351" s="84" t="s">
        <v>1406</v>
      </c>
      <c r="C351" s="84" t="s">
        <v>78</v>
      </c>
      <c r="D351" s="83">
        <v>39</v>
      </c>
      <c r="E351" s="83" t="s">
        <v>3105</v>
      </c>
      <c r="F351" s="83">
        <v>16</v>
      </c>
      <c r="G351" s="83">
        <v>0</v>
      </c>
      <c r="H351" s="83">
        <v>1</v>
      </c>
      <c r="I351" s="83">
        <v>0</v>
      </c>
      <c r="J351" s="83">
        <v>0</v>
      </c>
      <c r="K351" s="83">
        <v>0</v>
      </c>
      <c r="L351" s="83">
        <v>0</v>
      </c>
      <c r="M351" s="83">
        <v>0</v>
      </c>
      <c r="N351" s="83">
        <v>0</v>
      </c>
      <c r="O351" s="83">
        <v>3</v>
      </c>
    </row>
    <row r="352" spans="1:15" ht="16" x14ac:dyDescent="0.2">
      <c r="A352" s="89">
        <v>338</v>
      </c>
      <c r="B352" s="84" t="s">
        <v>2651</v>
      </c>
      <c r="C352" s="84" t="s">
        <v>71</v>
      </c>
      <c r="D352" s="83">
        <v>24</v>
      </c>
      <c r="E352" s="83" t="s">
        <v>3105</v>
      </c>
      <c r="F352" s="83">
        <v>10</v>
      </c>
      <c r="G352" s="83">
        <v>0</v>
      </c>
      <c r="H352" s="83">
        <v>1</v>
      </c>
      <c r="I352" s="83">
        <v>4</v>
      </c>
      <c r="J352" s="83">
        <v>0</v>
      </c>
      <c r="K352" s="83">
        <v>0</v>
      </c>
      <c r="L352" s="83">
        <v>4</v>
      </c>
      <c r="M352" s="83">
        <v>4</v>
      </c>
      <c r="N352" s="83">
        <v>0.4</v>
      </c>
      <c r="O352" s="83">
        <v>0</v>
      </c>
    </row>
    <row r="353" spans="1:15" ht="16" x14ac:dyDescent="0.2">
      <c r="A353" s="89">
        <v>339</v>
      </c>
      <c r="B353" s="84" t="s">
        <v>2514</v>
      </c>
      <c r="C353" s="84" t="s">
        <v>725</v>
      </c>
      <c r="D353" s="83">
        <v>22</v>
      </c>
      <c r="E353" s="83" t="s">
        <v>68</v>
      </c>
      <c r="F353" s="83">
        <v>1</v>
      </c>
      <c r="G353" s="83">
        <v>0</v>
      </c>
      <c r="H353" s="83">
        <v>1</v>
      </c>
      <c r="I353" s="83">
        <v>-1</v>
      </c>
      <c r="J353" s="83">
        <v>0</v>
      </c>
      <c r="K353" s="83">
        <v>0</v>
      </c>
      <c r="L353" s="83">
        <v>-1</v>
      </c>
      <c r="M353" s="83">
        <v>-1</v>
      </c>
      <c r="N353" s="83">
        <v>-1</v>
      </c>
      <c r="O353" s="83">
        <v>0</v>
      </c>
    </row>
    <row r="354" spans="1:15" ht="16" x14ac:dyDescent="0.2">
      <c r="A354" s="89">
        <v>340</v>
      </c>
      <c r="B354" s="84" t="s">
        <v>147</v>
      </c>
      <c r="C354" s="84" t="s">
        <v>119</v>
      </c>
      <c r="D354" s="83">
        <v>26</v>
      </c>
      <c r="E354" s="83" t="s">
        <v>83</v>
      </c>
      <c r="F354" s="83">
        <v>17</v>
      </c>
      <c r="G354" s="83">
        <v>17</v>
      </c>
      <c r="H354" s="83">
        <v>1</v>
      </c>
      <c r="I354" s="83">
        <v>12</v>
      </c>
      <c r="J354" s="83">
        <v>0</v>
      </c>
      <c r="K354" s="83">
        <v>1</v>
      </c>
      <c r="L354" s="83">
        <v>12</v>
      </c>
      <c r="M354" s="83">
        <v>12</v>
      </c>
      <c r="N354" s="83">
        <v>0.7</v>
      </c>
      <c r="O354" s="83">
        <v>0</v>
      </c>
    </row>
    <row r="355" spans="1:15" ht="16" x14ac:dyDescent="0.2">
      <c r="A355" s="89">
        <v>341</v>
      </c>
      <c r="B355" s="84" t="s">
        <v>885</v>
      </c>
      <c r="C355" s="84" t="s">
        <v>108</v>
      </c>
      <c r="D355" s="83">
        <v>24</v>
      </c>
      <c r="E355" s="83" t="s">
        <v>83</v>
      </c>
      <c r="F355" s="83">
        <v>17</v>
      </c>
      <c r="G355" s="83">
        <v>17</v>
      </c>
      <c r="H355" s="83">
        <v>1</v>
      </c>
      <c r="I355" s="83">
        <v>6</v>
      </c>
      <c r="J355" s="83">
        <v>0</v>
      </c>
      <c r="K355" s="83">
        <v>0</v>
      </c>
      <c r="L355" s="83">
        <v>6</v>
      </c>
      <c r="M355" s="83">
        <v>6</v>
      </c>
      <c r="N355" s="83">
        <v>0.4</v>
      </c>
      <c r="O355" s="83">
        <v>1</v>
      </c>
    </row>
    <row r="356" spans="1:15" ht="16" x14ac:dyDescent="0.2">
      <c r="A356" s="89">
        <v>342</v>
      </c>
      <c r="B356" s="84" t="s">
        <v>269</v>
      </c>
      <c r="C356" s="84" t="s">
        <v>1122</v>
      </c>
      <c r="D356" s="83">
        <v>25</v>
      </c>
      <c r="E356" s="83" t="s">
        <v>83</v>
      </c>
      <c r="F356" s="83">
        <v>17</v>
      </c>
      <c r="G356" s="83">
        <v>16</v>
      </c>
      <c r="H356" s="83">
        <v>1</v>
      </c>
      <c r="I356" s="83">
        <v>9</v>
      </c>
      <c r="J356" s="83">
        <v>0</v>
      </c>
      <c r="K356" s="83">
        <v>0</v>
      </c>
      <c r="L356" s="83">
        <v>9</v>
      </c>
      <c r="M356" s="83">
        <v>9</v>
      </c>
      <c r="N356" s="83">
        <v>0.5</v>
      </c>
      <c r="O356" s="83">
        <v>1</v>
      </c>
    </row>
    <row r="357" spans="1:15" ht="16" x14ac:dyDescent="0.2">
      <c r="A357" s="89">
        <v>343</v>
      </c>
      <c r="B357" s="84" t="s">
        <v>2340</v>
      </c>
      <c r="C357" s="84" t="s">
        <v>119</v>
      </c>
      <c r="D357" s="83">
        <v>22</v>
      </c>
      <c r="E357" s="83" t="s">
        <v>83</v>
      </c>
      <c r="F357" s="83">
        <v>13</v>
      </c>
      <c r="G357" s="83">
        <v>1</v>
      </c>
      <c r="H357" s="83">
        <v>1</v>
      </c>
      <c r="I357" s="83">
        <v>1</v>
      </c>
      <c r="J357" s="83">
        <v>0</v>
      </c>
      <c r="K357" s="83">
        <v>0</v>
      </c>
      <c r="L357" s="83">
        <v>1</v>
      </c>
      <c r="M357" s="83">
        <v>1</v>
      </c>
      <c r="N357" s="83">
        <v>0.1</v>
      </c>
      <c r="O357" s="83">
        <v>1</v>
      </c>
    </row>
    <row r="358" spans="1:15" ht="16" x14ac:dyDescent="0.2">
      <c r="A358" s="89">
        <v>344</v>
      </c>
      <c r="B358" s="84" t="s">
        <v>2051</v>
      </c>
      <c r="C358" s="84" t="s">
        <v>139</v>
      </c>
      <c r="D358" s="83">
        <v>26</v>
      </c>
      <c r="E358" s="83" t="s">
        <v>3106</v>
      </c>
      <c r="F358" s="83">
        <v>17</v>
      </c>
      <c r="G358" s="83">
        <v>1</v>
      </c>
      <c r="H358" s="83">
        <v>1</v>
      </c>
      <c r="I358" s="83">
        <v>28</v>
      </c>
      <c r="J358" s="83">
        <v>0</v>
      </c>
      <c r="K358" s="83">
        <v>1</v>
      </c>
      <c r="L358" s="83">
        <v>28</v>
      </c>
      <c r="M358" s="83">
        <v>28</v>
      </c>
      <c r="N358" s="83">
        <v>1.6</v>
      </c>
      <c r="O358" s="83">
        <v>0</v>
      </c>
    </row>
    <row r="359" spans="1:15" ht="16" x14ac:dyDescent="0.2">
      <c r="A359" s="89">
        <v>345</v>
      </c>
      <c r="B359" s="84" t="s">
        <v>2501</v>
      </c>
      <c r="C359" s="84" t="s">
        <v>74</v>
      </c>
      <c r="D359" s="83">
        <v>25</v>
      </c>
      <c r="E359" s="83" t="s">
        <v>83</v>
      </c>
      <c r="F359" s="83">
        <v>17</v>
      </c>
      <c r="G359" s="83">
        <v>1</v>
      </c>
      <c r="H359" s="83">
        <v>1</v>
      </c>
      <c r="I359" s="83">
        <v>3</v>
      </c>
      <c r="J359" s="83">
        <v>0</v>
      </c>
      <c r="K359" s="83">
        <v>0</v>
      </c>
      <c r="L359" s="83">
        <v>3</v>
      </c>
      <c r="M359" s="83">
        <v>3</v>
      </c>
      <c r="N359" s="83">
        <v>0.2</v>
      </c>
      <c r="O359" s="83">
        <v>0</v>
      </c>
    </row>
    <row r="360" spans="1:15" ht="16" x14ac:dyDescent="0.2">
      <c r="A360" s="89">
        <v>346</v>
      </c>
      <c r="B360" s="84" t="s">
        <v>1946</v>
      </c>
      <c r="C360" s="84" t="s">
        <v>727</v>
      </c>
      <c r="D360" s="83">
        <v>26</v>
      </c>
      <c r="E360" s="83" t="s">
        <v>68</v>
      </c>
      <c r="F360" s="83">
        <v>9</v>
      </c>
      <c r="G360" s="83">
        <v>0</v>
      </c>
      <c r="H360" s="83">
        <v>1</v>
      </c>
      <c r="I360" s="83">
        <v>4</v>
      </c>
      <c r="J360" s="83">
        <v>0</v>
      </c>
      <c r="K360" s="83">
        <v>0</v>
      </c>
      <c r="L360" s="83">
        <v>4</v>
      </c>
      <c r="M360" s="83">
        <v>4</v>
      </c>
      <c r="N360" s="83">
        <v>0.4</v>
      </c>
      <c r="O360" s="83">
        <v>0</v>
      </c>
    </row>
    <row r="361" spans="1:15" ht="16" x14ac:dyDescent="0.2">
      <c r="A361" s="89">
        <v>347</v>
      </c>
      <c r="B361" s="84" t="s">
        <v>392</v>
      </c>
      <c r="C361" s="84" t="s">
        <v>82</v>
      </c>
      <c r="D361" s="83">
        <v>25</v>
      </c>
      <c r="E361" s="83" t="s">
        <v>88</v>
      </c>
      <c r="F361" s="83">
        <v>16</v>
      </c>
      <c r="G361" s="83">
        <v>11</v>
      </c>
      <c r="H361" s="83">
        <v>1</v>
      </c>
      <c r="I361" s="83">
        <v>1</v>
      </c>
      <c r="J361" s="83">
        <v>0</v>
      </c>
      <c r="K361" s="83">
        <v>0</v>
      </c>
      <c r="L361" s="83">
        <v>1</v>
      </c>
      <c r="M361" s="83">
        <v>1</v>
      </c>
      <c r="N361" s="83">
        <v>0.1</v>
      </c>
      <c r="O361" s="83">
        <v>0</v>
      </c>
    </row>
    <row r="362" spans="1:15" ht="16" x14ac:dyDescent="0.2">
      <c r="A362" s="89">
        <v>348</v>
      </c>
      <c r="B362" s="84" t="s">
        <v>397</v>
      </c>
      <c r="C362" s="84" t="s">
        <v>1122</v>
      </c>
      <c r="D362" s="83">
        <v>25</v>
      </c>
      <c r="E362" s="83" t="s">
        <v>83</v>
      </c>
      <c r="F362" s="83">
        <v>16</v>
      </c>
      <c r="G362" s="83">
        <v>0</v>
      </c>
      <c r="H362" s="83">
        <v>1</v>
      </c>
      <c r="I362" s="83">
        <v>9</v>
      </c>
      <c r="J362" s="83">
        <v>0</v>
      </c>
      <c r="K362" s="83">
        <v>0</v>
      </c>
      <c r="L362" s="83">
        <v>9</v>
      </c>
      <c r="M362" s="83">
        <v>9</v>
      </c>
      <c r="N362" s="83">
        <v>0.6</v>
      </c>
      <c r="O362" s="83">
        <v>3</v>
      </c>
    </row>
    <row r="363" spans="1:15" ht="16" x14ac:dyDescent="0.2">
      <c r="A363" s="89">
        <v>349</v>
      </c>
      <c r="B363" s="84" t="s">
        <v>455</v>
      </c>
      <c r="C363" s="84" t="s">
        <v>73</v>
      </c>
      <c r="D363" s="83">
        <v>24</v>
      </c>
      <c r="E363" s="83" t="s">
        <v>83</v>
      </c>
      <c r="F363" s="83">
        <v>17</v>
      </c>
      <c r="G363" s="83">
        <v>9</v>
      </c>
      <c r="H363" s="83">
        <v>1</v>
      </c>
      <c r="I363" s="83">
        <v>10</v>
      </c>
      <c r="J363" s="83">
        <v>0</v>
      </c>
      <c r="K363" s="83">
        <v>1</v>
      </c>
      <c r="L363" s="83">
        <v>10</v>
      </c>
      <c r="M363" s="83">
        <v>10</v>
      </c>
      <c r="N363" s="83">
        <v>0.6</v>
      </c>
      <c r="O363" s="83">
        <v>0</v>
      </c>
    </row>
    <row r="364" spans="1:15" ht="16" x14ac:dyDescent="0.2">
      <c r="A364" s="89">
        <v>350</v>
      </c>
      <c r="B364" s="84" t="s">
        <v>424</v>
      </c>
      <c r="C364" s="83" t="s">
        <v>1726</v>
      </c>
      <c r="D364" s="83">
        <v>25</v>
      </c>
      <c r="E364" s="83" t="s">
        <v>68</v>
      </c>
      <c r="F364" s="83">
        <v>3</v>
      </c>
      <c r="G364" s="83">
        <v>0</v>
      </c>
      <c r="H364" s="83">
        <v>1</v>
      </c>
      <c r="I364" s="83">
        <v>-3</v>
      </c>
      <c r="J364" s="83">
        <v>0</v>
      </c>
      <c r="K364" s="83">
        <v>0</v>
      </c>
      <c r="L364" s="83">
        <v>0</v>
      </c>
      <c r="M364" s="83">
        <v>-3</v>
      </c>
      <c r="N364" s="83">
        <v>-1</v>
      </c>
      <c r="O364" s="83">
        <v>0</v>
      </c>
    </row>
    <row r="365" spans="1:15" ht="16" x14ac:dyDescent="0.2">
      <c r="A365" s="89">
        <v>351</v>
      </c>
      <c r="B365" s="84" t="s">
        <v>3092</v>
      </c>
      <c r="C365" s="84" t="s">
        <v>142</v>
      </c>
      <c r="D365" s="83">
        <v>29</v>
      </c>
      <c r="E365" s="83" t="s">
        <v>3105</v>
      </c>
      <c r="F365" s="83">
        <v>17</v>
      </c>
      <c r="G365" s="83">
        <v>0</v>
      </c>
      <c r="H365" s="83">
        <v>1</v>
      </c>
      <c r="I365" s="83">
        <v>1</v>
      </c>
      <c r="J365" s="83">
        <v>0</v>
      </c>
      <c r="K365" s="83">
        <v>0</v>
      </c>
      <c r="L365" s="83">
        <v>1</v>
      </c>
      <c r="M365" s="83">
        <v>1</v>
      </c>
      <c r="N365" s="83">
        <v>0.1</v>
      </c>
      <c r="O365" s="83">
        <v>0</v>
      </c>
    </row>
    <row r="366" spans="1:15" ht="16" x14ac:dyDescent="0.2">
      <c r="A366" s="89">
        <v>352</v>
      </c>
      <c r="B366" s="84" t="s">
        <v>2108</v>
      </c>
      <c r="C366" s="84" t="s">
        <v>118</v>
      </c>
      <c r="D366" s="83">
        <v>23</v>
      </c>
      <c r="E366" s="83" t="s">
        <v>83</v>
      </c>
      <c r="F366" s="83">
        <v>17</v>
      </c>
      <c r="G366" s="83">
        <v>5</v>
      </c>
      <c r="H366" s="83">
        <v>1</v>
      </c>
      <c r="I366" s="83">
        <v>6</v>
      </c>
      <c r="J366" s="83">
        <v>0</v>
      </c>
      <c r="K366" s="83">
        <v>0</v>
      </c>
      <c r="L366" s="83">
        <v>6</v>
      </c>
      <c r="M366" s="83">
        <v>6</v>
      </c>
      <c r="N366" s="83">
        <v>0.4</v>
      </c>
      <c r="O366" s="83">
        <v>0</v>
      </c>
    </row>
    <row r="367" spans="1:15" ht="16" x14ac:dyDescent="0.2">
      <c r="A367" s="89">
        <v>353</v>
      </c>
      <c r="B367" s="84" t="s">
        <v>2060</v>
      </c>
      <c r="C367" s="84" t="s">
        <v>976</v>
      </c>
      <c r="D367" s="83">
        <v>28</v>
      </c>
      <c r="E367" s="83" t="s">
        <v>83</v>
      </c>
      <c r="F367" s="83">
        <v>6</v>
      </c>
      <c r="G367" s="83">
        <v>0</v>
      </c>
      <c r="H367" s="83">
        <v>1</v>
      </c>
      <c r="I367" s="83">
        <v>-3</v>
      </c>
      <c r="J367" s="83">
        <v>0</v>
      </c>
      <c r="K367" s="83">
        <v>0</v>
      </c>
      <c r="L367" s="83">
        <v>-3</v>
      </c>
      <c r="M367" s="83">
        <v>-3</v>
      </c>
      <c r="N367" s="83">
        <v>-0.5</v>
      </c>
      <c r="O367" s="83">
        <v>0</v>
      </c>
    </row>
    <row r="368" spans="1:15" ht="16" x14ac:dyDescent="0.2">
      <c r="A368" s="89">
        <v>354</v>
      </c>
      <c r="B368" s="84" t="s">
        <v>2517</v>
      </c>
      <c r="C368" s="84" t="s">
        <v>933</v>
      </c>
      <c r="D368" s="83">
        <v>25</v>
      </c>
      <c r="E368" s="83" t="s">
        <v>68</v>
      </c>
      <c r="F368" s="83">
        <v>1</v>
      </c>
      <c r="G368" s="83">
        <v>0</v>
      </c>
      <c r="H368" s="83">
        <v>1</v>
      </c>
      <c r="I368" s="83">
        <v>9</v>
      </c>
      <c r="J368" s="83">
        <v>0</v>
      </c>
      <c r="K368" s="83">
        <v>1</v>
      </c>
      <c r="L368" s="83">
        <v>9</v>
      </c>
      <c r="M368" s="83">
        <v>9</v>
      </c>
      <c r="N368" s="83">
        <v>9</v>
      </c>
      <c r="O368" s="83">
        <v>0</v>
      </c>
    </row>
    <row r="369" spans="1:15" ht="16" x14ac:dyDescent="0.2">
      <c r="A369" s="89">
        <v>355</v>
      </c>
      <c r="B369" s="84" t="s">
        <v>599</v>
      </c>
      <c r="C369" s="84" t="s">
        <v>1267</v>
      </c>
      <c r="D369" s="83">
        <v>22</v>
      </c>
      <c r="E369" s="83" t="s">
        <v>83</v>
      </c>
      <c r="F369" s="83">
        <v>16</v>
      </c>
      <c r="G369" s="83">
        <v>1</v>
      </c>
      <c r="H369" s="83">
        <v>1</v>
      </c>
      <c r="I369" s="83">
        <v>11</v>
      </c>
      <c r="J369" s="83">
        <v>0</v>
      </c>
      <c r="K369" s="83">
        <v>1</v>
      </c>
      <c r="L369" s="83">
        <v>11</v>
      </c>
      <c r="M369" s="83">
        <v>11</v>
      </c>
      <c r="N369" s="83">
        <v>0.7</v>
      </c>
      <c r="O369" s="83">
        <v>2</v>
      </c>
    </row>
    <row r="370" spans="1:15" ht="16" x14ac:dyDescent="0.2">
      <c r="A370" s="89">
        <v>356</v>
      </c>
      <c r="B370" s="84" t="s">
        <v>488</v>
      </c>
      <c r="C370" s="84" t="s">
        <v>77</v>
      </c>
      <c r="D370" s="83">
        <v>27</v>
      </c>
      <c r="E370" s="83" t="s">
        <v>83</v>
      </c>
      <c r="F370" s="83">
        <v>16</v>
      </c>
      <c r="G370" s="83">
        <v>2</v>
      </c>
      <c r="H370" s="83">
        <v>1</v>
      </c>
      <c r="I370" s="83">
        <v>9</v>
      </c>
      <c r="J370" s="83">
        <v>0</v>
      </c>
      <c r="K370" s="83">
        <v>0</v>
      </c>
      <c r="L370" s="83">
        <v>9</v>
      </c>
      <c r="M370" s="83">
        <v>9</v>
      </c>
      <c r="N370" s="83">
        <v>0.6</v>
      </c>
      <c r="O370" s="83">
        <v>4</v>
      </c>
    </row>
    <row r="371" spans="1:15" ht="16" x14ac:dyDescent="0.2">
      <c r="A371" s="89">
        <v>357</v>
      </c>
      <c r="B371" s="84" t="s">
        <v>2149</v>
      </c>
      <c r="C371" s="84" t="s">
        <v>92</v>
      </c>
      <c r="D371" s="83">
        <v>26</v>
      </c>
      <c r="E371" s="83" t="s">
        <v>83</v>
      </c>
      <c r="F371" s="83">
        <v>10</v>
      </c>
      <c r="G371" s="83">
        <v>1</v>
      </c>
      <c r="H371" s="83">
        <v>1</v>
      </c>
      <c r="I371" s="83">
        <v>16</v>
      </c>
      <c r="J371" s="83">
        <v>0</v>
      </c>
      <c r="K371" s="83">
        <v>1</v>
      </c>
      <c r="L371" s="83">
        <v>16</v>
      </c>
      <c r="M371" s="83">
        <v>16</v>
      </c>
      <c r="N371" s="83">
        <v>1.6</v>
      </c>
      <c r="O371" s="83">
        <v>1</v>
      </c>
    </row>
    <row r="372" spans="1:15" ht="16" x14ac:dyDescent="0.2">
      <c r="A372" s="89">
        <v>358</v>
      </c>
      <c r="B372" s="84" t="s">
        <v>260</v>
      </c>
      <c r="C372" s="84" t="s">
        <v>92</v>
      </c>
      <c r="D372" s="83">
        <v>28</v>
      </c>
      <c r="E372" s="83" t="s">
        <v>83</v>
      </c>
      <c r="F372" s="83">
        <v>7</v>
      </c>
      <c r="G372" s="83">
        <v>6</v>
      </c>
      <c r="H372" s="83">
        <v>1</v>
      </c>
      <c r="I372" s="83">
        <v>-9</v>
      </c>
      <c r="J372" s="83">
        <v>0</v>
      </c>
      <c r="K372" s="83">
        <v>0</v>
      </c>
      <c r="L372" s="83">
        <v>-9</v>
      </c>
      <c r="M372" s="83">
        <v>-9</v>
      </c>
      <c r="N372" s="83">
        <v>-1.3</v>
      </c>
      <c r="O372" s="83">
        <v>0</v>
      </c>
    </row>
    <row r="373" spans="1:15" ht="16" x14ac:dyDescent="0.2">
      <c r="A373" s="89">
        <v>359</v>
      </c>
      <c r="B373" s="84" t="s">
        <v>531</v>
      </c>
      <c r="C373" s="84" t="s">
        <v>119</v>
      </c>
      <c r="D373" s="83">
        <v>25</v>
      </c>
      <c r="E373" s="83" t="s">
        <v>83</v>
      </c>
      <c r="F373" s="83">
        <v>14</v>
      </c>
      <c r="G373" s="83">
        <v>3</v>
      </c>
      <c r="H373" s="83">
        <v>1</v>
      </c>
      <c r="I373" s="83">
        <v>7</v>
      </c>
      <c r="J373" s="83">
        <v>0</v>
      </c>
      <c r="K373" s="83">
        <v>0</v>
      </c>
      <c r="L373" s="83">
        <v>7</v>
      </c>
      <c r="M373" s="83">
        <v>7</v>
      </c>
      <c r="N373" s="83">
        <v>0.5</v>
      </c>
      <c r="O373" s="83">
        <v>0</v>
      </c>
    </row>
    <row r="374" spans="1:15" x14ac:dyDescent="0.2">
      <c r="A374" s="89" t="s">
        <v>902</v>
      </c>
      <c r="B374" s="89" t="s">
        <v>903</v>
      </c>
      <c r="C374" s="89" t="s">
        <v>1314</v>
      </c>
      <c r="D374" s="89" t="s">
        <v>905</v>
      </c>
      <c r="E374" s="89" t="s">
        <v>906</v>
      </c>
      <c r="F374" s="89" t="s">
        <v>1315</v>
      </c>
      <c r="G374" s="89" t="s">
        <v>1316</v>
      </c>
      <c r="H374" s="89" t="s">
        <v>1319</v>
      </c>
      <c r="I374" s="89" t="s">
        <v>799</v>
      </c>
      <c r="J374" s="89" t="s">
        <v>800</v>
      </c>
      <c r="K374" s="89" t="s">
        <v>1321</v>
      </c>
      <c r="L374" s="89" t="s">
        <v>917</v>
      </c>
      <c r="M374" s="89" t="s">
        <v>1322</v>
      </c>
      <c r="N374" s="89" t="s">
        <v>1325</v>
      </c>
      <c r="O374" s="89" t="s">
        <v>1416</v>
      </c>
    </row>
    <row r="375" spans="1:15" ht="16" x14ac:dyDescent="0.2">
      <c r="A375" s="89">
        <v>360</v>
      </c>
      <c r="B375" s="84" t="s">
        <v>310</v>
      </c>
      <c r="C375" s="84" t="s">
        <v>92</v>
      </c>
      <c r="D375" s="83">
        <v>24</v>
      </c>
      <c r="E375" s="83" t="s">
        <v>83</v>
      </c>
      <c r="F375" s="83">
        <v>13</v>
      </c>
      <c r="G375" s="83">
        <v>5</v>
      </c>
      <c r="H375" s="83">
        <v>1</v>
      </c>
      <c r="I375" s="83">
        <v>-13</v>
      </c>
      <c r="J375" s="83">
        <v>0</v>
      </c>
      <c r="K375" s="83">
        <v>0</v>
      </c>
      <c r="L375" s="83">
        <v>-13</v>
      </c>
      <c r="M375" s="83">
        <v>-13</v>
      </c>
      <c r="N375" s="83">
        <v>-1</v>
      </c>
      <c r="O375" s="83">
        <v>1</v>
      </c>
    </row>
    <row r="376" spans="1:15" ht="16" x14ac:dyDescent="0.2">
      <c r="A376" s="89">
        <v>361</v>
      </c>
      <c r="B376" s="84" t="s">
        <v>1764</v>
      </c>
      <c r="C376" s="84" t="s">
        <v>729</v>
      </c>
      <c r="D376" s="83">
        <v>26</v>
      </c>
      <c r="E376" s="83" t="s">
        <v>68</v>
      </c>
      <c r="F376" s="83">
        <v>1</v>
      </c>
      <c r="G376" s="83">
        <v>0</v>
      </c>
      <c r="H376" s="83">
        <v>1</v>
      </c>
      <c r="I376" s="83">
        <v>4</v>
      </c>
      <c r="J376" s="83">
        <v>1</v>
      </c>
      <c r="K376" s="83">
        <v>1</v>
      </c>
      <c r="L376" s="83">
        <v>4</v>
      </c>
      <c r="M376" s="83">
        <v>4</v>
      </c>
      <c r="N376" s="83">
        <v>4</v>
      </c>
      <c r="O376" s="83">
        <v>0</v>
      </c>
    </row>
    <row r="377" spans="1:15" ht="16" x14ac:dyDescent="0.2">
      <c r="A377" s="89">
        <v>362</v>
      </c>
      <c r="B377" s="84" t="s">
        <v>499</v>
      </c>
      <c r="C377" s="84" t="s">
        <v>71</v>
      </c>
      <c r="D377" s="83">
        <v>24</v>
      </c>
      <c r="E377" s="83" t="s">
        <v>83</v>
      </c>
      <c r="F377" s="83">
        <v>12</v>
      </c>
      <c r="G377" s="83">
        <v>3</v>
      </c>
      <c r="H377" s="83">
        <v>1</v>
      </c>
      <c r="I377" s="83">
        <v>-1</v>
      </c>
      <c r="J377" s="83">
        <v>0</v>
      </c>
      <c r="K377" s="83">
        <v>0</v>
      </c>
      <c r="L377" s="83">
        <v>-1</v>
      </c>
      <c r="M377" s="83">
        <v>-1</v>
      </c>
      <c r="N377" s="83">
        <v>-0.1</v>
      </c>
      <c r="O377" s="83">
        <v>0</v>
      </c>
    </row>
    <row r="378" spans="1:15" ht="16" x14ac:dyDescent="0.2">
      <c r="A378" s="89">
        <v>363</v>
      </c>
      <c r="B378" s="84" t="s">
        <v>421</v>
      </c>
      <c r="C378" s="84" t="s">
        <v>70</v>
      </c>
      <c r="D378" s="83">
        <v>23</v>
      </c>
      <c r="E378" s="83" t="s">
        <v>83</v>
      </c>
      <c r="F378" s="83">
        <v>6</v>
      </c>
      <c r="G378" s="83">
        <v>0</v>
      </c>
      <c r="H378" s="83">
        <v>1</v>
      </c>
      <c r="I378" s="83">
        <v>-3</v>
      </c>
      <c r="J378" s="83">
        <v>0</v>
      </c>
      <c r="K378" s="83">
        <v>0</v>
      </c>
      <c r="L378" s="83">
        <v>-3</v>
      </c>
      <c r="M378" s="83">
        <v>-3</v>
      </c>
      <c r="N378" s="83">
        <v>-0.5</v>
      </c>
      <c r="O378" s="83">
        <v>0</v>
      </c>
    </row>
    <row r="379" spans="1:15" ht="16" x14ac:dyDescent="0.2">
      <c r="A379" s="89">
        <v>364</v>
      </c>
      <c r="B379" s="84" t="s">
        <v>2652</v>
      </c>
      <c r="C379" s="84" t="s">
        <v>122</v>
      </c>
      <c r="D379" s="83">
        <v>25</v>
      </c>
      <c r="E379" s="83" t="s">
        <v>3106</v>
      </c>
      <c r="F379" s="83">
        <v>17</v>
      </c>
      <c r="G379" s="83">
        <v>2</v>
      </c>
      <c r="H379" s="83">
        <v>1</v>
      </c>
      <c r="I379" s="83">
        <v>7</v>
      </c>
      <c r="J379" s="83">
        <v>0</v>
      </c>
      <c r="K379" s="83">
        <v>0</v>
      </c>
      <c r="L379" s="83">
        <v>7</v>
      </c>
      <c r="M379" s="83">
        <v>7</v>
      </c>
      <c r="N379" s="83">
        <v>0.4</v>
      </c>
      <c r="O379" s="83">
        <v>0</v>
      </c>
    </row>
    <row r="380" spans="1:15" ht="16" x14ac:dyDescent="0.2">
      <c r="A380" s="89">
        <v>365</v>
      </c>
      <c r="B380" s="84" t="s">
        <v>2128</v>
      </c>
      <c r="C380" s="84" t="s">
        <v>1257</v>
      </c>
      <c r="D380" s="83">
        <v>29</v>
      </c>
      <c r="E380" s="83" t="s">
        <v>83</v>
      </c>
      <c r="F380" s="83">
        <v>13</v>
      </c>
      <c r="G380" s="83">
        <v>4</v>
      </c>
      <c r="H380" s="83">
        <v>1</v>
      </c>
      <c r="I380" s="83">
        <v>1</v>
      </c>
      <c r="J380" s="83">
        <v>0</v>
      </c>
      <c r="K380" s="83">
        <v>0</v>
      </c>
      <c r="L380" s="83">
        <v>1</v>
      </c>
      <c r="M380" s="83">
        <v>1</v>
      </c>
      <c r="N380" s="83">
        <v>0.1</v>
      </c>
      <c r="O380" s="83">
        <v>0</v>
      </c>
    </row>
    <row r="381" spans="1:15" ht="16" x14ac:dyDescent="0.2">
      <c r="A381" s="89">
        <v>366</v>
      </c>
      <c r="B381" s="84" t="s">
        <v>129</v>
      </c>
      <c r="C381" s="84" t="s">
        <v>73</v>
      </c>
      <c r="D381" s="83">
        <v>31</v>
      </c>
      <c r="E381" s="83" t="s">
        <v>83</v>
      </c>
      <c r="F381" s="83">
        <v>13</v>
      </c>
      <c r="G381" s="83">
        <v>13</v>
      </c>
      <c r="H381" s="83">
        <v>1</v>
      </c>
      <c r="I381" s="83">
        <v>2</v>
      </c>
      <c r="J381" s="83">
        <v>0</v>
      </c>
      <c r="K381" s="83">
        <v>0</v>
      </c>
      <c r="L381" s="83">
        <v>2</v>
      </c>
      <c r="M381" s="83">
        <v>2</v>
      </c>
      <c r="N381" s="83">
        <v>0.2</v>
      </c>
      <c r="O381" s="83">
        <v>1</v>
      </c>
    </row>
    <row r="382" spans="1:15" ht="16" x14ac:dyDescent="0.2">
      <c r="A382" s="89">
        <v>367</v>
      </c>
      <c r="B382" s="84" t="s">
        <v>429</v>
      </c>
      <c r="C382" s="84" t="s">
        <v>102</v>
      </c>
      <c r="D382" s="83">
        <v>23</v>
      </c>
      <c r="E382" s="83" t="s">
        <v>83</v>
      </c>
      <c r="F382" s="83">
        <v>17</v>
      </c>
      <c r="G382" s="83">
        <v>12</v>
      </c>
      <c r="H382" s="83">
        <v>1</v>
      </c>
      <c r="I382" s="83">
        <v>3</v>
      </c>
      <c r="J382" s="83">
        <v>0</v>
      </c>
      <c r="K382" s="83">
        <v>0</v>
      </c>
      <c r="L382" s="83">
        <v>3</v>
      </c>
      <c r="M382" s="83">
        <v>3</v>
      </c>
      <c r="N382" s="83">
        <v>0.2</v>
      </c>
      <c r="O382" s="83">
        <v>0</v>
      </c>
    </row>
    <row r="383" spans="1:15" ht="16" x14ac:dyDescent="0.2">
      <c r="A383" s="89">
        <v>368</v>
      </c>
      <c r="B383" s="84" t="s">
        <v>2269</v>
      </c>
      <c r="C383" s="84" t="s">
        <v>99</v>
      </c>
      <c r="D383" s="83">
        <v>29</v>
      </c>
      <c r="E383" s="83" t="s">
        <v>68</v>
      </c>
      <c r="F383" s="83">
        <v>17</v>
      </c>
      <c r="G383" s="83">
        <v>4</v>
      </c>
      <c r="H383" s="83">
        <v>1</v>
      </c>
      <c r="I383" s="83">
        <v>1</v>
      </c>
      <c r="J383" s="83">
        <v>0</v>
      </c>
      <c r="K383" s="83">
        <v>1</v>
      </c>
      <c r="L383" s="83">
        <v>1</v>
      </c>
      <c r="M383" s="83">
        <v>1</v>
      </c>
      <c r="N383" s="83">
        <v>0.1</v>
      </c>
      <c r="O383" s="83">
        <v>0</v>
      </c>
    </row>
    <row r="384" spans="1:15" ht="16" x14ac:dyDescent="0.2">
      <c r="A384" s="89">
        <v>369</v>
      </c>
      <c r="B384" s="84" t="s">
        <v>324</v>
      </c>
      <c r="C384" s="84" t="s">
        <v>142</v>
      </c>
      <c r="D384" s="83">
        <v>24</v>
      </c>
      <c r="E384" s="83" t="s">
        <v>83</v>
      </c>
      <c r="F384" s="83">
        <v>8</v>
      </c>
      <c r="G384" s="83">
        <v>3</v>
      </c>
      <c r="H384" s="83">
        <v>1</v>
      </c>
      <c r="I384" s="83">
        <v>7</v>
      </c>
      <c r="J384" s="83">
        <v>0</v>
      </c>
      <c r="K384" s="83">
        <v>0</v>
      </c>
      <c r="L384" s="83">
        <v>7</v>
      </c>
      <c r="M384" s="83">
        <v>7</v>
      </c>
      <c r="N384" s="83">
        <v>0.9</v>
      </c>
      <c r="O384" s="83">
        <v>0</v>
      </c>
    </row>
    <row r="385" spans="1:15" ht="16" x14ac:dyDescent="0.2">
      <c r="A385" s="89">
        <v>370</v>
      </c>
      <c r="B385" s="84" t="s">
        <v>2653</v>
      </c>
      <c r="C385" s="84" t="s">
        <v>1052</v>
      </c>
      <c r="D385" s="83">
        <v>25</v>
      </c>
      <c r="E385" s="83" t="s">
        <v>3100</v>
      </c>
      <c r="F385" s="83">
        <v>15</v>
      </c>
      <c r="G385" s="83">
        <v>15</v>
      </c>
      <c r="H385" s="83">
        <v>1</v>
      </c>
      <c r="I385" s="83">
        <v>4</v>
      </c>
      <c r="J385" s="83">
        <v>0</v>
      </c>
      <c r="K385" s="83">
        <v>1</v>
      </c>
      <c r="L385" s="83">
        <v>4</v>
      </c>
      <c r="M385" s="83">
        <v>4</v>
      </c>
      <c r="N385" s="83">
        <v>0.3</v>
      </c>
      <c r="O385" s="83">
        <v>0</v>
      </c>
    </row>
    <row r="386" spans="1:15" ht="16" x14ac:dyDescent="0.2">
      <c r="A386" s="89">
        <v>371</v>
      </c>
      <c r="B386" s="84" t="s">
        <v>318</v>
      </c>
      <c r="C386" s="84" t="s">
        <v>101</v>
      </c>
      <c r="D386" s="83">
        <v>24</v>
      </c>
      <c r="E386" s="83" t="s">
        <v>83</v>
      </c>
      <c r="F386" s="83">
        <v>17</v>
      </c>
      <c r="G386" s="83">
        <v>8</v>
      </c>
      <c r="H386" s="83">
        <v>1</v>
      </c>
      <c r="I386" s="83">
        <v>2</v>
      </c>
      <c r="J386" s="83">
        <v>0</v>
      </c>
      <c r="K386" s="83">
        <v>1</v>
      </c>
      <c r="L386" s="83">
        <v>2</v>
      </c>
      <c r="M386" s="83">
        <v>2</v>
      </c>
      <c r="N386" s="83">
        <v>0.1</v>
      </c>
      <c r="O386" s="83">
        <v>0</v>
      </c>
    </row>
  </sheetData>
  <mergeCells count="4">
    <mergeCell ref="A1:O1"/>
    <mergeCell ref="A2:E2"/>
    <mergeCell ref="F2:G2"/>
    <mergeCell ref="H2:N2"/>
  </mergeCells>
  <hyperlinks>
    <hyperlink ref="B4" r:id="rId1" display="file:///players/T/TaylJo02.htm" xr:uid="{63EE2FD6-A26B-E248-AB8D-808F85626717}"/>
    <hyperlink ref="C4" r:id="rId2" tooltip="Indianapolis Colts" display="file:///teams/clt/2021.htm" xr:uid="{571D07B4-A36E-5B40-BD61-3003FFE85AB3}"/>
    <hyperlink ref="B5" r:id="rId3" display="file:///players/H/HarrNa00.htm" xr:uid="{B83BF4FB-5FF8-9B4A-AC84-7160A4A76C7B}"/>
    <hyperlink ref="C5" r:id="rId4" tooltip="Pittsburgh Steelers" display="file:///teams/pit/2021.htm" xr:uid="{92E10DF8-D507-E747-9D76-808724176163}"/>
    <hyperlink ref="B6" r:id="rId5" display="file:///players/M/MixoJo00.htm" xr:uid="{C453A629-99C8-4B4C-A990-81FFA019EA4F}"/>
    <hyperlink ref="C6" r:id="rId6" tooltip="Cincinnati Bengals" display="file:///teams/cin/2021.htm" xr:uid="{417E58D0-C366-5141-B981-12455A3088E4}"/>
    <hyperlink ref="B7" r:id="rId7" display="file:///players/G/GibsAn00.htm" xr:uid="{EA35F017-9FE4-5541-8537-B18993FDB0F4}"/>
    <hyperlink ref="C7" r:id="rId8" tooltip="Washington Football Team" display="file:///teams/was/2021.htm" xr:uid="{E1680B59-B1D6-3543-B4A5-A20078582669}"/>
    <hyperlink ref="B8" r:id="rId9" display="file:///players/C/CookDa01.htm" xr:uid="{1B539B5A-E547-D146-A25E-BBC06870EE58}"/>
    <hyperlink ref="C8" r:id="rId10" tooltip="Minnesota Vikings" display="file:///teams/min/2021.htm" xr:uid="{B395682B-A62F-E240-A052-112A413891FF}"/>
    <hyperlink ref="B9" r:id="rId11" display="file:///players/K/KamaAl00.htm" xr:uid="{480105CB-1E76-0348-BB00-DB7FBA9BD0D4}"/>
    <hyperlink ref="C9" r:id="rId12" tooltip="New Orleans Saints" display="file:///teams/nor/2021.htm" xr:uid="{EDEC5CB7-648D-1447-9B37-7DCA78DB883E}"/>
    <hyperlink ref="B10" r:id="rId13" display="file:///players/E/ElliEz00.htm" xr:uid="{3B3CBFAD-5DE9-9644-9123-2BD7013E88D4}"/>
    <hyperlink ref="C10" r:id="rId14" tooltip="Dallas Cowboys" display="file:///teams/dal/2021.htm" xr:uid="{43508694-4898-6B40-8D76-0F042F403121}"/>
    <hyperlink ref="B11" r:id="rId15" display="file:///players/C/ChubNi00.htm" xr:uid="{8E065497-2A9E-2249-9277-16804DBFD8CB}"/>
    <hyperlink ref="C11" r:id="rId16" tooltip="Cleveland Browns" display="file:///teams/cle/2021.htm" xr:uid="{83C657E1-E814-B848-BBF5-08B70E122EAC}"/>
    <hyperlink ref="B12" r:id="rId17" display="file:///players/M/MontDa01.htm" xr:uid="{E28C2730-4DBB-6C4F-938D-2AA5E6F63503}"/>
    <hyperlink ref="C12" r:id="rId18" tooltip="Chicago Bears" display="file:///teams/chi/2021.htm" xr:uid="{0AD96532-7A4B-1844-8D59-7CEBC01A0F7A}"/>
    <hyperlink ref="B13" r:id="rId19" display="file:///players/H/HenrDe00.htm" xr:uid="{FB43C1CC-E9DE-1B4E-A558-68D4D569CCE0}"/>
    <hyperlink ref="C13" r:id="rId20" tooltip="Tennessee Titans" display="file:///teams/oti/2021.htm" xr:uid="{EA3D3218-52DB-1E4C-B122-8A42C83931CA}"/>
    <hyperlink ref="B14" r:id="rId21" display="file:///players/J/JacoJo01.htm" xr:uid="{C959EC22-D9A6-C340-828B-EA5CCEE7C529}"/>
    <hyperlink ref="C14" r:id="rId22" tooltip="Las Vegas Raiders" display="file:///teams/rai/2021.htm" xr:uid="{747FF749-2FF4-DD40-8D6C-395851710AF8}"/>
    <hyperlink ref="B15" r:id="rId23" display="file:///players/M/MichSo00.htm" xr:uid="{1473EB3C-1002-2E44-A652-0C289D3B965D}"/>
    <hyperlink ref="C15" r:id="rId24" tooltip="Los Angeles Rams" display="file:///teams/ram/2021.htm" xr:uid="{3CB22A68-29F6-894B-8E61-8E990865E09D}"/>
    <hyperlink ref="B16" r:id="rId25" display="file:///players/M/MitcEl00.htm" xr:uid="{4B49C3D5-BF18-8846-9C7B-2D8933E29D8E}"/>
    <hyperlink ref="C16" r:id="rId26" tooltip="San Francisco 49ers" display="file:///teams/sfo/2021.htm" xr:uid="{CB7F40B8-7F53-C143-9568-6DCF227E4ADC}"/>
    <hyperlink ref="B17" r:id="rId27" display="file:///players/E/EkelAu00.htm" xr:uid="{D9E6ABF9-B8EC-4E47-BEF0-251ECAABB9ED}"/>
    <hyperlink ref="C17" r:id="rId28" tooltip="Los Angeles Chargers" display="file:///teams/sdg/2021.htm" xr:uid="{70A02A27-4ABE-7E45-808B-0E2C259138F2}"/>
    <hyperlink ref="B18" r:id="rId29" display="file:///players/G/GordMe00.htm" xr:uid="{FBD4BD20-24AC-054B-8FA6-EEEBC61DAB9C}"/>
    <hyperlink ref="C18" r:id="rId30" tooltip="Denver Broncos" display="file:///teams/den/2021.htm" xr:uid="{0EC5FBED-327B-D049-BE83-61ED57C2F79C}"/>
    <hyperlink ref="B19" r:id="rId31" display="file:///players/W/WillJa10.htm" xr:uid="{982B4CD3-E635-2F4A-9C0C-D8DC794D22FC}"/>
    <hyperlink ref="C19" r:id="rId32" tooltip="Denver Broncos" display="file:///teams/den/2021.htm" xr:uid="{E3A8AAD2-75EF-4D42-A735-AA4BA81A2249}"/>
    <hyperlink ref="B20" r:id="rId33" display="file:///players/C/ConnJa00.htm" xr:uid="{1E7E0239-B0E1-E442-AED2-1356728874FB}"/>
    <hyperlink ref="C20" r:id="rId34" tooltip="Arizona Cardinals" display="file:///teams/crd/2021.htm" xr:uid="{559054DB-B7FD-CE41-B9D8-1699A58DA4C4}"/>
    <hyperlink ref="B21" r:id="rId35" display="file:///players/H/HarrDa06.htm" xr:uid="{CD20771E-3A86-3E4C-8CA7-A0B35E96127A}"/>
    <hyperlink ref="C21" r:id="rId36" tooltip="New England Patriots" display="file:///teams/nwe/2021.htm" xr:uid="{7BD5F9BA-CA21-0743-AB6F-822F94B00A1E}"/>
    <hyperlink ref="B22" r:id="rId37" display="file:///players/S/SingDe00.htm" xr:uid="{9B8B7F17-4706-294E-933A-F399BCD8F73D}"/>
    <hyperlink ref="C22" r:id="rId38" tooltip="Buffalo Bills" display="file:///teams/buf/2021.htm" xr:uid="{F72C6002-80B0-5548-82D7-67B6E79028F4}"/>
    <hyperlink ref="B23" r:id="rId39" display="file:///players/D/DillAJ00.htm" xr:uid="{F9365A23-0B17-DF4E-9D71-40C962B5BFB7}"/>
    <hyperlink ref="C23" r:id="rId40" tooltip="Green Bay Packers" display="file:///teams/gnb/2021.htm" xr:uid="{FA37411F-70D4-1244-955B-C84376BA5BAA}"/>
    <hyperlink ref="B24" r:id="rId41" display="file:///players/F/FourLe00.htm" xr:uid="{2114A27C-40F4-F742-86D0-A317E563899E}"/>
    <hyperlink ref="C24" r:id="rId42" tooltip="Tampa Bay Buccaneers" display="file:///teams/tam/2021.htm" xr:uid="{B8C13817-E645-4E41-BCDB-544DF38E8D4E}"/>
    <hyperlink ref="B25" r:id="rId43" display="file:///players/G/GaskMy00.htm" xr:uid="{6EFC4863-8EA7-F143-B54C-4A5A197D46C4}"/>
    <hyperlink ref="C25" r:id="rId44" tooltip="Miami Dolphins" display="file:///teams/mia/2021.htm" xr:uid="{E0F80FC0-1FEC-104A-94A9-B715DD3AEE89}"/>
    <hyperlink ref="B26" r:id="rId45" display="file:///players/H/HubbCh01.htm" xr:uid="{4A46F86B-18EA-5342-A62A-E00ED1FC89CC}"/>
    <hyperlink ref="C26" r:id="rId46" tooltip="Carolina Panthers" display="file:///teams/car/2021.htm" xr:uid="{E2B63E39-A42F-6642-97DF-3F3657E898EF}"/>
    <hyperlink ref="B27" r:id="rId47" display="file:///players/J/JoneAa00.htm" xr:uid="{8F4A9F72-BFFA-0B42-A09D-C5ACED7E97B8}"/>
    <hyperlink ref="C27" r:id="rId48" tooltip="Green Bay Packers" display="file:///teams/gnb/2021.htm" xr:uid="{17D9A3D2-4BEA-924A-9088-57E67F389137}"/>
    <hyperlink ref="B28" r:id="rId49" display="file:///players/R/RobiJa00.htm" xr:uid="{C92F8440-BB16-0943-B13B-AEDBFC8CB5F6}"/>
    <hyperlink ref="C28" r:id="rId50" tooltip="Jacksonville Jaguars" display="file:///teams/jax/2021.htm" xr:uid="{B29F9E46-E7E0-7B47-BC87-84DADC4B7282}"/>
    <hyperlink ref="B29" r:id="rId51" display="file:///players/B/BarkSa00.htm" xr:uid="{D7AFF146-07D6-F243-A26C-014B727070C9}"/>
    <hyperlink ref="C29" r:id="rId52" tooltip="New York Giants" display="file:///teams/nyg/2021.htm" xr:uid="{26BCD746-22CD-F340-A0AC-1FB9CA06A207}"/>
    <hyperlink ref="B30" r:id="rId53" display="file:///players/I/IngrMa01.htm" xr:uid="{320F7CB7-0ED6-C94E-AB53-37F1B521376A}"/>
    <hyperlink ref="B31" r:id="rId54" display="file:///players/P/PattCo00.htm" xr:uid="{83B3B54D-8201-FA49-87D2-4060350CABBD}"/>
    <hyperlink ref="C31" r:id="rId55" tooltip="Atlanta Falcons" display="file:///teams/atl/2021.htm" xr:uid="{21584678-DD43-3F4C-89F7-D5B3E6ECB350}"/>
    <hyperlink ref="B32" r:id="rId56" display="file:///players/W/WillJa06.htm" xr:uid="{0A000E54-088F-4C4A-B144-5903B520C225}"/>
    <hyperlink ref="C32" r:id="rId57" tooltip="Detroit Lions" display="file:///teams/det/2021.htm" xr:uid="{178FCC3E-1956-F648-9339-937F337FE5E0}"/>
    <hyperlink ref="B34" r:id="rId58" display="file:///players/S/SwifDA00.htm" xr:uid="{7093E87E-CFC9-1742-ACCA-3D4D044BFC74}"/>
    <hyperlink ref="C34" r:id="rId59" tooltip="Detroit Lions" display="file:///teams/det/2021.htm" xr:uid="{327916B9-5A7E-8F42-B779-490220B316B0}"/>
    <hyperlink ref="B35" r:id="rId60" display="file:///players/H/HendDa00.htm" xr:uid="{04DD6AE3-F939-5440-B214-C75B30D56E4D}"/>
    <hyperlink ref="C35" r:id="rId61" tooltip="Los Angeles Rams" display="file:///teams/ram/2021.htm" xr:uid="{079B255A-662C-1E4F-B656-E9B58D59A5EA}"/>
    <hyperlink ref="B36" r:id="rId62" display="file:///players/C/CartMi03.htm" xr:uid="{13255589-BBEA-1B45-B24C-A0FF8C3F3609}"/>
    <hyperlink ref="C36" r:id="rId63" tooltip="New York Jets" display="file:///teams/nyj/2021.htm" xr:uid="{809FE8C0-8DFC-D345-9328-F764A0E02F87}"/>
    <hyperlink ref="B37" r:id="rId64" display="file:///players/B/BookDe00.htm" xr:uid="{E8367F01-7EAB-2245-B330-1A88B1B369E4}"/>
    <hyperlink ref="C37" r:id="rId65" tooltip="New York Giants" display="file:///teams/nyg/2021.htm" xr:uid="{3F4C58D6-4724-164C-B474-D708DBBE5EB7}"/>
    <hyperlink ref="B38" r:id="rId66" display="file:///players/W/WillDa10.htm" xr:uid="{F693BE79-0C49-B448-A36C-E4B044EAAFE0}"/>
    <hyperlink ref="C38" r:id="rId67" tooltip="Kansas City Chiefs" display="file:///teams/kan/2021.htm" xr:uid="{074E0B2E-75AC-D741-B198-AA84B3559474}"/>
    <hyperlink ref="B39" r:id="rId68" display="file:///players/H/HurtJa00.htm" xr:uid="{27CF16C1-35CE-014C-B97F-68D306183D32}"/>
    <hyperlink ref="C39" r:id="rId69" tooltip="Philadelphia Eagles" display="file:///teams/phi/2021.htm" xr:uid="{28EB7803-420B-EC48-B8E0-E2162F2D4897}"/>
    <hyperlink ref="B40" r:id="rId70" display="file:///players/D/DaviMi01.htm" xr:uid="{5752B8D3-738A-F742-984D-45E1694F942E}"/>
    <hyperlink ref="C40" r:id="rId71" tooltip="Atlanta Falcons" display="file:///teams/atl/2021.htm" xr:uid="{0D2012AA-CA7B-2348-8BCE-5DD002272E39}"/>
    <hyperlink ref="B41" r:id="rId72" display="file:///players/S/SandMi01.htm" xr:uid="{C7C60A03-61EA-0D41-9746-7DACE62D39D1}"/>
    <hyperlink ref="C41" r:id="rId73" tooltip="Philadelphia Eagles" display="file:///teams/phi/2021.htm" xr:uid="{5404B272-104E-3045-B9F0-B0A16D81809D}"/>
    <hyperlink ref="B42" r:id="rId74" display="file:///players/M/MattAl01.htm" xr:uid="{6D85E17C-DA8B-0F46-8AE9-08609431CA9F}"/>
    <hyperlink ref="C42" r:id="rId75" tooltip="Minnesota Vikings" display="file:///teams/min/2021.htm" xr:uid="{4F2276C8-578F-FF41-BA3C-798FB38740B1}"/>
    <hyperlink ref="B43" r:id="rId76" display="file:///players/F/ForeDO00.htm" xr:uid="{B29EC503-9EB8-B740-9575-269E4CBBE818}"/>
    <hyperlink ref="C43" r:id="rId77" tooltip="Tennessee Titans" display="file:///teams/oti/2021.htm" xr:uid="{8CE83A04-A935-C04D-B29B-365CB218E59D}"/>
    <hyperlink ref="B44" r:id="rId78" display="file:///players/F/FreeDe00.htm" xr:uid="{24C129F9-8649-BD4B-BBD0-D5AB6E94AFEC}"/>
    <hyperlink ref="C44" r:id="rId79" tooltip="Baltimore Ravens" display="file:///teams/rav/2021.htm" xr:uid="{F6963DE1-591D-1845-84E6-540B177BE84C}"/>
    <hyperlink ref="B45" r:id="rId80" display="file:///players/J/JackLa00.htm" xr:uid="{4DBEAEA2-691A-3543-8D46-C5A5E8876CF6}"/>
    <hyperlink ref="C45" r:id="rId81" tooltip="Baltimore Ravens" display="file:///teams/rav/2021.htm" xr:uid="{5DDC252C-E36F-5F41-9A6D-C3FFA9DAD6B1}"/>
    <hyperlink ref="B46" r:id="rId82" display="file:///players/S/StevRh00.htm" xr:uid="{4FE117EA-34A8-6240-A9A2-8A7AA16DB483}"/>
    <hyperlink ref="C46" r:id="rId83" tooltip="New England Patriots" display="file:///teams/nwe/2021.htm" xr:uid="{543B1CD0-32D3-CA47-9D2B-8DE12EDAA848}"/>
    <hyperlink ref="B47" r:id="rId84" display="file:///players/P/PollTo00.htm" xr:uid="{5CE45E15-993B-6A4C-AB07-C88EC1742095}"/>
    <hyperlink ref="C47" r:id="rId85" tooltip="Dallas Cowboys" display="file:///teams/dal/2021.htm" xr:uid="{A707AB72-EA6B-284B-953B-22C27D5E9C19}"/>
    <hyperlink ref="B48" r:id="rId86" display="file:///players/A/AlleJo02.htm" xr:uid="{145228F0-5F58-3A4F-8A0C-8584954ED37D}"/>
    <hyperlink ref="C48" r:id="rId87" tooltip="Buffalo Bills" display="file:///teams/buf/2021.htm" xr:uid="{F7638617-63CE-094B-9D62-57FACE999E21}"/>
    <hyperlink ref="B49" r:id="rId88" display="file:///players/B/BurkRe00.htm" xr:uid="{931A5C0C-536F-D145-ACEF-F98348A83BF8}"/>
    <hyperlink ref="C49" r:id="rId89" tooltip="Houston Texans" display="file:///teams/htx/2021.htm" xr:uid="{F845A202-BB4F-4B4F-8E5C-2C343EC7BA84}"/>
    <hyperlink ref="B50" r:id="rId90" display="file:///players/E/EdwaCl00.htm" xr:uid="{D0C38E68-E8E4-794D-B5FF-71DA6531E0D3}"/>
    <hyperlink ref="C50" r:id="rId91" tooltip="Kansas City Chiefs" display="file:///teams/kan/2021.htm" xr:uid="{37ABCF73-C060-B646-88B2-AF1AEC9248AE}"/>
    <hyperlink ref="B51" r:id="rId92" display="file:///players/M/MurrLa00.htm" xr:uid="{A45FB771-BC4E-6A4E-8B3A-8A77F25101A0}"/>
    <hyperlink ref="C51" r:id="rId93" tooltip="Baltimore Ravens" display="file:///teams/rav/2021.htm" xr:uid="{AFF846F9-C0F7-5A4B-9CAC-45C99CC37CDB}"/>
    <hyperlink ref="B52" r:id="rId94" display="file:///players/P/PennRa00.htm" xr:uid="{17E3CF3E-F58D-7F4F-A329-D3F62722EA39}"/>
    <hyperlink ref="C52" r:id="rId95" tooltip="Seattle Seahawks" display="file:///teams/sea/2021.htm" xr:uid="{DC46D225-270B-514E-ACDD-2339FE76D337}"/>
    <hyperlink ref="B53" r:id="rId96" display="file:///players/E/EdmoCh00.htm" xr:uid="{96534007-FA94-2A4E-9C21-4E2D1B235139}"/>
    <hyperlink ref="C53" r:id="rId97" tooltip="Arizona Cardinals" display="file:///teams/crd/2021.htm" xr:uid="{10000765-407E-9444-9265-E74F3644427F}"/>
    <hyperlink ref="B54" r:id="rId98" display="file:///players/C/CollAl00.htm" xr:uid="{1D29B466-332A-0743-937C-7FDAD6B1A04A}"/>
    <hyperlink ref="C54" r:id="rId99" tooltip="Seattle Seahawks" display="file:///teams/sea/2021.htm" xr:uid="{E2AAA972-A1BC-C34D-94AF-B9399DA0D1F4}"/>
    <hyperlink ref="B55" r:id="rId100" display="file:///players/H/HerbKh00.htm" xr:uid="{037AC849-1E5E-9C4F-BBEA-D0BE789531AE}"/>
    <hyperlink ref="C55" r:id="rId101" tooltip="Chicago Bears" display="file:///teams/chi/2021.htm" xr:uid="{D12F2861-81DD-5342-B59C-98A9A4B06CA2}"/>
    <hyperlink ref="B56" r:id="rId102" display="file:///players/J/JoneRo01.htm" xr:uid="{F95A6BDA-C3E3-3440-A901-B40CAB412EE6}"/>
    <hyperlink ref="C56" r:id="rId103" tooltip="Tampa Bay Buccaneers" display="file:///teams/tam/2021.htm" xr:uid="{D4993230-DB54-6F49-99DF-EF562ED70748}"/>
    <hyperlink ref="B57" r:id="rId104" display="file:///players/J/JohnDE04.htm" xr:uid="{365780DA-34D3-934D-9932-2854CBBEA8CF}"/>
    <hyperlink ref="C57" r:id="rId105" tooltip="Cleveland Browns" display="file:///teams/cle/2021.htm" xr:uid="{762131CF-9411-E143-9B18-B5BCB49B366D}"/>
    <hyperlink ref="B58" r:id="rId106" display="file:///players/M/McCaCh01.htm" xr:uid="{FAF14B96-7010-3343-93B9-E08FB8705DBB}"/>
    <hyperlink ref="C58" r:id="rId107" tooltip="Carolina Panthers" display="file:///teams/car/2021.htm" xr:uid="{BBF207F4-EFD3-A342-B0A4-2E629D93ADFA}"/>
    <hyperlink ref="B59" r:id="rId108" display="file:///players/M/MossZa00.htm" xr:uid="{870168BD-D6D4-9E43-8C3C-2C60D594906A}"/>
    <hyperlink ref="C59" r:id="rId109" tooltip="Buffalo Bills" display="file:///teams/buf/2021.htm" xr:uid="{57913097-4BC9-BE4E-9CAF-5EF8720280F5}"/>
    <hyperlink ref="B60" r:id="rId110" display="file:///players/L/LindPh00.htm" xr:uid="{F224A271-59CF-0B4A-AF04-28CF3E2D0542}"/>
    <hyperlink ref="B61" r:id="rId111" display="file:///players/M/MurrKy00.htm" xr:uid="{6D3772B7-F60F-A744-A59F-E6A8C3ECF7E4}"/>
    <hyperlink ref="C61" r:id="rId112" tooltip="Arizona Cardinals" display="file:///teams/crd/2021.htm" xr:uid="{3D389183-1022-404C-88C4-E625173FCFD8}"/>
    <hyperlink ref="B62" r:id="rId113" display="file:///players/S/ScotBo02.htm" xr:uid="{AC3322AF-E980-7648-86F9-20C10C898188}"/>
    <hyperlink ref="C62" r:id="rId114" tooltip="Philadelphia Eagles" display="file:///teams/phi/2021.htm" xr:uid="{CE8FE06C-6A1B-624F-8325-6D9103EE1F45}"/>
    <hyperlink ref="B63" r:id="rId115" display="file:///players/H/HowaJo00.htm" xr:uid="{8D5D9F86-98E2-2E44-AEF1-9A298075D154}"/>
    <hyperlink ref="C63" r:id="rId116" tooltip="Philadelphia Eagles" display="file:///teams/phi/2021.htm" xr:uid="{51D0DE42-2906-6A4F-9C60-907B57ADB8FD}"/>
    <hyperlink ref="B65" r:id="rId117" display="file:///players/C/ColeTe01.htm" xr:uid="{A46C6A4C-717D-B649-B56A-FDBF5DF2C7BB}"/>
    <hyperlink ref="C65" r:id="rId118" tooltip="New York Jets" display="file:///teams/nyj/2021.htm" xr:uid="{2C5E3504-3DBA-E342-B9A8-91B0DC9CFB37}"/>
    <hyperlink ref="B66" r:id="rId119" display="file:///players/W/WilsJe01.htm" xr:uid="{3ABFBB9E-47E1-FC41-86C7-26BCDD22C84A}"/>
    <hyperlink ref="C66" r:id="rId120" tooltip="San Francisco 49ers" display="file:///teams/sfo/2021.htm" xr:uid="{48A8B481-9A00-994D-BD33-82CD1546B287}"/>
    <hyperlink ref="B67" r:id="rId121" display="file:///players/H/HuntKa00.htm" xr:uid="{6A29159F-B5A2-FE40-99DD-615D63D400A2}"/>
    <hyperlink ref="C67" r:id="rId122" tooltip="Cleveland Browns" display="file:///teams/cle/2021.htm" xr:uid="{9A50C579-482A-1D40-8ACA-7DD2757DD9A2}"/>
    <hyperlink ref="B68" r:id="rId123" display="file:///players/L/LawrTr00.htm" xr:uid="{38971396-09D6-2D4A-A762-105AE34477B4}"/>
    <hyperlink ref="C68" r:id="rId124" tooltip="Jacksonville Jaguars" display="file:///teams/jax/2021.htm" xr:uid="{C27D15AD-107E-6B49-B7EF-FFE012411EA3}"/>
    <hyperlink ref="B69" r:id="rId125" display="file:///players/F/FielJu00.htm" xr:uid="{8C762BBA-96E0-B04B-AEBC-E67E476F1254}"/>
    <hyperlink ref="C69" r:id="rId126" tooltip="Chicago Bears" display="file:///teams/chi/2021.htm" xr:uid="{F3E2A5B1-2388-964E-8E3A-A3AFE9EA33F6}"/>
    <hyperlink ref="B70" r:id="rId127" display="file:///players/H/HydeCa00.htm" xr:uid="{20ECCD88-EF25-E148-BD78-EF6284A12734}"/>
    <hyperlink ref="C70" r:id="rId128" tooltip="Jacksonville Jaguars" display="file:///teams/jax/2021.htm" xr:uid="{155C7C08-F409-0442-979A-6C1B8B8CA095}"/>
    <hyperlink ref="B71" r:id="rId129" display="file:///players/J/JohnDu00.htm" xr:uid="{DA4945CC-640C-A343-B63E-B63AFE008747}"/>
    <hyperlink ref="C71" r:id="rId130" tooltip="Miami Dolphins" display="file:///teams/mia/2021.htm" xr:uid="{E216C435-0D42-FA4E-B473-659D6D988004}"/>
    <hyperlink ref="B72" r:id="rId131" display="file:///players/H/HillTa00.htm" xr:uid="{75DFB58B-2EDE-B142-A319-6F0BB7A9E814}"/>
    <hyperlink ref="C72" r:id="rId132" tooltip="New Orleans Saints" display="file:///teams/nor/2021.htm" xr:uid="{FE5F3509-9608-B549-9B1E-3ADD34E0C891}"/>
    <hyperlink ref="B73" r:id="rId133" display="file:///players/G/GainKe00.htm" xr:uid="{D07EEDB3-A069-E64C-BBD5-4D8A847C7BD0}"/>
    <hyperlink ref="C73" r:id="rId134" tooltip="Philadelphia Eagles" display="file:///teams/phi/2021.htm" xr:uid="{D205FA6A-FC1C-1D4D-B699-122B215212EE}"/>
    <hyperlink ref="B74" r:id="rId135" display="file:///players/J/JackJu01.htm" xr:uid="{B9E90FE4-B136-5C4F-858C-DF219CB11519}"/>
    <hyperlink ref="C74" r:id="rId136" tooltip="Los Angeles Chargers" display="file:///teams/sdg/2021.htm" xr:uid="{50E68F53-B9EA-EC48-8606-900C85E6479C}"/>
    <hyperlink ref="B75" r:id="rId137" display="file:///players/P/PattJa01.htm" xr:uid="{9A23BBF0-C092-4E4D-A38F-627063CA7456}"/>
    <hyperlink ref="C75" r:id="rId138" tooltip="Washington Football Team" display="file:///teams/was/2021.htm" xr:uid="{97C4DEDA-DCE9-CE41-BB6C-98D30B812583}"/>
    <hyperlink ref="B76" r:id="rId139" display="file:///players/J/JohnDa08.htm" xr:uid="{17AFA769-D8BB-0740-AACD-5A5E32CE71F2}"/>
    <hyperlink ref="C76" r:id="rId140" tooltip="Houston Texans" display="file:///teams/htx/2021.htm" xr:uid="{7DCE3A4D-A385-8B4D-8A09-B6D635D19F33}"/>
    <hyperlink ref="B77" r:id="rId141" display="file:///players/M/MahoPa00.htm" xr:uid="{27EBFDE3-F15B-ED49-9C93-639776BE88E9}"/>
    <hyperlink ref="C77" r:id="rId142" tooltip="Kansas City Chiefs" display="file:///teams/kan/2021.htm" xr:uid="{3C060062-4CCD-3B45-8521-A07030CDCDD7}"/>
    <hyperlink ref="B78" r:id="rId143" display="file:///players/D/DrakKe00.htm" xr:uid="{852720DA-B9A1-8344-8848-D7238016979A}"/>
    <hyperlink ref="C78" r:id="rId144" tooltip="Las Vegas Raiders" display="file:///teams/rai/2021.htm" xr:uid="{CF29B086-2528-754F-8C20-6581F4285D31}"/>
    <hyperlink ref="B79" r:id="rId145" display="file:///players/H/HerbJu00.htm" xr:uid="{63DA7713-820F-8E45-A23E-C323169A0D66}"/>
    <hyperlink ref="C79" r:id="rId146" tooltip="Los Angeles Chargers" display="file:///teams/sdg/2021.htm" xr:uid="{E4D054AA-1AD3-5545-B943-3191FF67827E}"/>
    <hyperlink ref="B80" r:id="rId147" display="file:///players/J/JoneDa05.htm" xr:uid="{384A3F90-9902-8548-A10C-B9B42C3D486A}"/>
    <hyperlink ref="C80" r:id="rId148" tooltip="New York Giants" display="file:///teams/nyg/2021.htm" xr:uid="{F72CA736-F3EF-8049-B480-350D61D56DDB}"/>
    <hyperlink ref="B81" r:id="rId149" display="file:///players/J/JohnTy02.htm" xr:uid="{54F5AA0F-2632-0D4C-8425-00EC0C016ABD}"/>
    <hyperlink ref="C81" r:id="rId150" tooltip="New York Jets" display="file:///teams/nyj/2021.htm" xr:uid="{C16106A5-B182-F447-BD48-A06018CC154F}"/>
    <hyperlink ref="B82" r:id="rId151" display="file:///players/H/HeinTa00.htm" xr:uid="{B446429A-51AA-B94A-88A2-F64CA1815CD3}"/>
    <hyperlink ref="C82" r:id="rId152" tooltip="Washington Football Team" display="file:///teams/was/2021.htm" xr:uid="{2A20CA68-C190-3440-92D5-EAE53203D85A}"/>
    <hyperlink ref="B83" r:id="rId153" display="file:///players/S/SamuDe00.htm" xr:uid="{A6E488ED-29B9-6340-8231-B6D871B1AC0C}"/>
    <hyperlink ref="C83" r:id="rId154" tooltip="San Francisco 49ers" display="file:///teams/sfo/2021.htm" xr:uid="{41B1B904-ABD1-B740-B01B-8D88F4928069}"/>
    <hyperlink ref="B84" r:id="rId155" display="file:///players/W/WentCa00.htm" xr:uid="{0B392257-DBEF-2545-846F-35303FE9F8A6}"/>
    <hyperlink ref="C84" r:id="rId156" tooltip="Indianapolis Colts" display="file:///teams/clt/2021.htm" xr:uid="{C1847F91-BC02-D941-AF69-CA4038EA0F47}"/>
    <hyperlink ref="B85" r:id="rId157" display="file:///players/F/FreeRo00.htm" xr:uid="{0293757C-69F8-7C4F-B239-917934F0A593}"/>
    <hyperlink ref="B86" r:id="rId158" display="file:///players/H/HillDo00.htm" xr:uid="{4C69BEE3-13CB-D545-94D4-355C2861D044}"/>
    <hyperlink ref="C86" r:id="rId159" tooltip="Tennessee Titans" display="file:///teams/oti/2021.htm" xr:uid="{41DA5918-E291-8140-BA03-55A01539E079}"/>
    <hyperlink ref="B87" r:id="rId160" display="file:///players/H/HineNy00.htm" xr:uid="{EC2DF89D-7BF2-6B4B-8A1C-7E14060B71F6}"/>
    <hyperlink ref="C87" r:id="rId161" tooltip="Indianapolis Colts" display="file:///teams/clt/2021.htm" xr:uid="{B5A31D55-DFB0-284E-88D1-1A45730E65AD}"/>
    <hyperlink ref="B88" r:id="rId162" display="file:///players/B/BarbPe01.htm" xr:uid="{18C42F5D-9CF8-174E-9B02-0B4C4B17979E}"/>
    <hyperlink ref="C88" r:id="rId163" tooltip="Las Vegas Raiders" display="file:///teams/rai/2021.htm" xr:uid="{C9248663-4A50-6F4A-95DB-05BBE5BB827E}"/>
    <hyperlink ref="B89" r:id="rId164" display="file:///players/P/PeriSa00.htm" xr:uid="{3B9BC539-9DCF-D043-A8C2-1B726F52B409}"/>
    <hyperlink ref="C89" r:id="rId165" tooltip="Cincinnati Bengals" display="file:///teams/cin/2021.htm" xr:uid="{BE0380F6-C13E-8D45-B8CB-C1ADFCDAA696}"/>
    <hyperlink ref="B90" r:id="rId166" display="file:///players/R/ReynCr00.htm" xr:uid="{C77FB1E5-4CBD-DC47-B3C6-5A21585A1BAA}"/>
    <hyperlink ref="C90" r:id="rId167" tooltip="Detroit Lions" display="file:///teams/det/2021.htm" xr:uid="{622BD3C7-0042-214A-891D-A6D89B4BE153}"/>
    <hyperlink ref="B91" r:id="rId168" display="file:///players/T/TannRy00.htm" xr:uid="{C19787EE-1FE5-524B-8CBF-D6111C8FDE8E}"/>
    <hyperlink ref="C91" r:id="rId169" tooltip="Tennessee Titans" display="file:///teams/oti/2021.htm" xr:uid="{8A227962-5C46-F842-AE1B-DBA7E4EC1B08}"/>
    <hyperlink ref="B92" r:id="rId170" display="file:///players/A/AhmeSa01.htm" xr:uid="{33B0CC86-C142-9647-AA34-50C9A92DCADD}"/>
    <hyperlink ref="C92" r:id="rId171" tooltip="Miami Dolphins" display="file:///teams/mia/2021.htm" xr:uid="{666E8491-9AF5-D64C-93EE-78BD712D628E}"/>
    <hyperlink ref="B93" r:id="rId172" display="file:///players/C/CarsCh00.htm" xr:uid="{CDA88488-E3F2-F64F-A66B-ACAD9412321C}"/>
    <hyperlink ref="C93" r:id="rId173" tooltip="Seattle Seahawks" display="file:///teams/sea/2021.htm" xr:uid="{2B9052DB-D2F3-8545-B316-874C6A2E32EC}"/>
    <hyperlink ref="B94" r:id="rId174" display="file:///players/J/JoneTo04.htm" xr:uid="{7890669A-22D0-C948-93BA-EB3788BE3885}"/>
    <hyperlink ref="C94" r:id="rId175" tooltip="New Orleans Saints" display="file:///teams/nor/2021.htm" xr:uid="{24293BC6-F508-874D-9AC1-07C919A8E49B}"/>
    <hyperlink ref="B96" r:id="rId176" display="file:///players/A/AbduAm00.htm" xr:uid="{1A25F085-8DF4-414A-B968-B7319D79EBCE}"/>
    <hyperlink ref="B97" r:id="rId177" display="file:///players/G/GoreDe00.htm" xr:uid="{0245F6F9-36D7-AE4B-B32B-FC92098CB804}"/>
    <hyperlink ref="C97" r:id="rId178" tooltip="Kansas City Chiefs" display="file:///teams/kan/2021.htm" xr:uid="{DF7BB837-E169-D34A-8D9E-A2C3907CE830}"/>
    <hyperlink ref="B98" r:id="rId179" display="file:///players/D/DarnSa00.htm" xr:uid="{F8A249B8-61CE-BC44-B9AD-1D6251EB0D6E}"/>
    <hyperlink ref="C98" r:id="rId180" tooltip="Carolina Panthers" display="file:///teams/car/2021.htm" xr:uid="{65AC614C-379C-7746-B8B2-778422195F83}"/>
    <hyperlink ref="B99" r:id="rId181" display="file:///players/M/McKiJ.00.htm" xr:uid="{DB20B546-0670-7446-995E-E61F161F8A91}"/>
    <hyperlink ref="C99" r:id="rId182" tooltip="Washington Football Team" display="file:///teams/was/2021.htm" xr:uid="{226861A1-AB48-7642-AB89-A959ED49FF55}"/>
    <hyperlink ref="B100" r:id="rId183" display="file:///players/P/PresDa01.htm" xr:uid="{06DF0FD6-BBE4-5745-977F-2A5916764C1E}"/>
    <hyperlink ref="C100" r:id="rId184" tooltip="Dallas Cowboys" display="file:///teams/dal/2021.htm" xr:uid="{2B43C00A-1544-1945-8DEB-8E9617884985}"/>
    <hyperlink ref="B101" r:id="rId185" display="file:///players/H/HuntTy01.htm" xr:uid="{0628E2E1-AC6C-1E47-B323-7E74537E6148}"/>
    <hyperlink ref="C101" r:id="rId186" tooltip="Baltimore Ravens" display="file:///teams/rav/2021.htm" xr:uid="{0D419537-113C-6749-9BED-BC55BFB44A9F}"/>
    <hyperlink ref="B102" r:id="rId187" display="file:///players/N/NewtCa00.htm" xr:uid="{21F8D15B-D6CF-9645-AED3-A6F958773A2A}"/>
    <hyperlink ref="C102" r:id="rId188" tooltip="Carolina Panthers" display="file:///teams/car/2021.htm" xr:uid="{75148CB0-E5D6-8B45-8746-8C05BFC0653E}"/>
    <hyperlink ref="B103" r:id="rId189" display="file:///players/B/BoldBr00.htm" xr:uid="{BE073F55-04F2-8442-9CF2-9D57F2CAB6AA}"/>
    <hyperlink ref="C103" r:id="rId190" tooltip="New England Patriots" display="file:///teams/nwe/2021.htm" xr:uid="{26347142-39B8-CD49-ABDE-180DA88D4642}"/>
    <hyperlink ref="B104" r:id="rId191" display="file:///players/J/JoneMa05.htm" xr:uid="{1A5ACF2A-2DD3-A440-833A-3EDC7BD1E72E}"/>
    <hyperlink ref="C104" r:id="rId192" tooltip="New England Patriots" display="file:///teams/nwe/2021.htm" xr:uid="{57889610-031D-0648-B6B2-5D73112A4A04}"/>
    <hyperlink ref="B105" r:id="rId193" display="file:///players/O/OgunDa00.htm" xr:uid="{6457F728-1AEC-EB42-B024-32F692C1769F}"/>
    <hyperlink ref="C105" r:id="rId194" tooltip="Jacksonville Jaguars" display="file:///teams/jax/2021.htm" xr:uid="{8DFC940A-6B27-364F-B4D3-E6D2FD6AC3CC}"/>
    <hyperlink ref="B106" r:id="rId195" display="file:///players/W/WilsRu00.htm" xr:uid="{D7022D46-5AD5-8C49-9875-6385116F7A3C}"/>
    <hyperlink ref="C106" r:id="rId196" tooltip="Seattle Seahawks" display="file:///teams/sea/2021.htm" xr:uid="{62C458DD-9DCD-A24A-95FD-671DD125D46A}"/>
    <hyperlink ref="B107" r:id="rId197" display="file:///players/T/TagoTu00.htm" xr:uid="{B7727C16-16EB-6748-B091-08955429857C}"/>
    <hyperlink ref="C107" r:id="rId198" tooltip="Miami Dolphins" display="file:///teams/mia/2021.htm" xr:uid="{412A4C74-0882-1B4A-9B3D-AC70F5547E40}"/>
    <hyperlink ref="B108" r:id="rId199" display="file:///players/M/McNiJe00.htm" xr:uid="{DBD0DB65-36FC-7D42-B7DF-83C5CEFD7D2B}"/>
    <hyperlink ref="C108" r:id="rId200" tooltip="Tennessee Titans" display="file:///teams/oti/2021.htm" xr:uid="{252FA9CE-CE08-1643-96B3-1E0238A1CA28}"/>
    <hyperlink ref="B109" r:id="rId201" display="file:///players/S/SermTr00.htm" xr:uid="{B726EF23-2250-0642-B36C-F22D33AC9842}"/>
    <hyperlink ref="C109" r:id="rId202" tooltip="San Francisco 49ers" display="file:///teams/sfo/2021.htm" xr:uid="{15673BAC-F847-1843-BCAF-1EFD0B79DE6A}"/>
    <hyperlink ref="B110" r:id="rId203" display="file:///players/B/BurrJo01.htm" xr:uid="{2BBD23BE-6625-4E42-8DE0-BE21B8EF807A}"/>
    <hyperlink ref="C110" r:id="rId204" tooltip="Cincinnati Bengals" display="file:///teams/cin/2021.htm" xr:uid="{A3914D5E-788F-064E-8992-2A886A76A754}"/>
    <hyperlink ref="B111" r:id="rId205" display="file:///players/C/CarrDe02.htm" xr:uid="{15B1EF68-EB70-B64B-8C7D-A3FC173F5EFD}"/>
    <hyperlink ref="C111" r:id="rId206" tooltip="Las Vegas Raiders" display="file:///teams/rai/2021.htm" xr:uid="{972EF35F-31CD-DD41-A445-23BEDDA8411A}"/>
    <hyperlink ref="B112" r:id="rId207" display="file:///players/R/RyanMa00.htm" xr:uid="{445C460E-D74C-9142-ADBF-E699A758B5BB}"/>
    <hyperlink ref="C112" r:id="rId208" tooltip="Atlanta Falcons" display="file:///teams/atl/2021.htm" xr:uid="{7EE854AF-D194-574A-A13B-D42B87215062}"/>
    <hyperlink ref="B113" r:id="rId209" display="file:///players/W/WillDa05.htm" xr:uid="{7E8F30C9-C489-C640-992A-BC5D166B00C6}"/>
    <hyperlink ref="C113" r:id="rId210" tooltip="Chicago Bears" display="file:///teams/chi/2021.htm" xr:uid="{DCB5C0E7-61FA-CE42-A28A-710F30952674}"/>
    <hyperlink ref="B114" r:id="rId211" display="file:///players/B/BellLe00.htm" xr:uid="{108E4DB9-3D46-A241-840A-122B26E6CC0C}"/>
    <hyperlink ref="B115" r:id="rId212" display="file:///players/G/GaroJi00.htm" xr:uid="{28EABFD9-75F4-A942-9674-DC43ADF49F1B}"/>
    <hyperlink ref="C115" r:id="rId213" tooltip="San Francisco 49ers" display="file:///teams/sfo/2021.htm" xr:uid="{2DBEE494-492A-164F-9E3B-D6E54F6CD8A7}"/>
    <hyperlink ref="B116" r:id="rId214" display="file:///players/L/LancTr00.htm" xr:uid="{B959FF6E-865F-0A43-9AB9-9F396FB1BB78}"/>
    <hyperlink ref="C116" r:id="rId215" tooltip="San Francisco 49ers" display="file:///teams/sfo/2021.htm" xr:uid="{769F24A9-2513-9A42-A3F8-985D8AE985B0}"/>
    <hyperlink ref="B117" r:id="rId216" display="file:///players/P/PeteAd01.htm" xr:uid="{9153EAE2-412E-ED48-9297-B9361A7453C3}"/>
    <hyperlink ref="B118" r:id="rId217" display="file:///players/M/MayfBa00.htm" xr:uid="{CEAEA21F-53AE-DA4D-9C38-B6E4E9F17698}"/>
    <hyperlink ref="C118" r:id="rId218" tooltip="Cleveland Browns" display="file:///teams/cle/2021.htm" xr:uid="{6A42B09D-3EAD-3F46-8A94-07A18D63774A}"/>
    <hyperlink ref="B119" r:id="rId219" display="file:///players/R/RounLa00.htm" xr:uid="{3DBBDA73-62A4-EF4F-B25C-AF5E2279DA87}"/>
    <hyperlink ref="C119" r:id="rId220" tooltip="Los Angeles Chargers" display="file:///teams/sdg/2021.htm" xr:uid="{BAB2B60E-BE6D-9248-B848-265047ACB6C5}"/>
    <hyperlink ref="B120" r:id="rId221" display="file:///players/S/SnelBe00.htm" xr:uid="{25052724-62E8-CA49-9B60-9C5BCFF48DD3}"/>
    <hyperlink ref="C120" r:id="rId222" tooltip="Pittsburgh Steelers" display="file:///teams/pit/2021.htm" xr:uid="{7D1B8D9A-7D16-9C4F-AA88-AAE632466414}"/>
    <hyperlink ref="B121" r:id="rId223" display="file:///players/V/VaugKe00.htm" xr:uid="{5D917E93-8E4A-DF46-9448-B8ACDBFCFE5E}"/>
    <hyperlink ref="C121" r:id="rId224" tooltip="Tampa Bay Buccaneers" display="file:///teams/tam/2021.htm" xr:uid="{99B3A1AF-A2E5-0745-9C48-5FCA131C73C2}"/>
    <hyperlink ref="B122" r:id="rId225" display="file:///players/W/WillTy01.htm" xr:uid="{A88336D9-836B-A742-8A23-7386531942D9}"/>
    <hyperlink ref="C122" r:id="rId226" tooltip="Baltimore Ravens" display="file:///teams/rav/2021.htm" xr:uid="{AAFEC950-9F33-534E-9DC8-94318539F8C1}"/>
    <hyperlink ref="B123" r:id="rId227" display="file:///players/B/BenjEn00.htm" xr:uid="{7EE6268C-7030-B241-94B6-105C18573311}"/>
    <hyperlink ref="C123" r:id="rId228" tooltip="Arizona Cardinals" display="file:///teams/crd/2021.htm" xr:uid="{CA076B01-B612-3E44-98AE-EE381E2EBF01}"/>
    <hyperlink ref="B124" r:id="rId229" display="file:///players/B/BrowMa03.htm" xr:uid="{A2506A1F-E31D-E64D-9234-B434154840BF}"/>
    <hyperlink ref="C124" r:id="rId230" tooltip="Miami Dolphins" display="file:///teams/mia/2021.htm" xr:uid="{2D4B6E23-E958-124B-816B-B654299ECC90}"/>
    <hyperlink ref="B125" r:id="rId231" display="file:///players/C/ClemCo00.htm" xr:uid="{27B9690F-E5FC-F740-8107-F9F0836F02DE}"/>
    <hyperlink ref="C125" r:id="rId232" tooltip="Dallas Cowboys" display="file:///teams/dal/2021.htm" xr:uid="{6BBEBE7D-EB05-8443-AEBE-2C15BE2B314D}"/>
    <hyperlink ref="B127" r:id="rId233" display="file:///players/D/DallDe00.htm" xr:uid="{C594A7F8-D789-5940-BB84-8D71BE132ADC}"/>
    <hyperlink ref="C127" r:id="rId234" tooltip="Seattle Seahawks" display="file:///teams/sea/2021.htm" xr:uid="{69D371B6-22F5-5541-B8F1-1E909BA2E12B}"/>
    <hyperlink ref="B128" r:id="rId235" display="file:///players/K/KellJo01.htm" xr:uid="{34ED88DC-06BC-F94B-BFF8-4A35DC2151A8}"/>
    <hyperlink ref="C128" r:id="rId236" tooltip="Los Angeles Chargers" display="file:///teams/sdg/2021.htm" xr:uid="{F2AAA1CB-B467-9745-B909-C515BE7B5DDE}"/>
    <hyperlink ref="B129" r:id="rId237" display="file:///players/R/RodgAa00.htm" xr:uid="{FF2A7DD0-A4E7-F942-AB10-A6B090EB3F6F}"/>
    <hyperlink ref="C129" r:id="rId238" tooltip="Green Bay Packers" display="file:///teams/gnb/2021.htm" xr:uid="{CC4FA715-13DA-1343-ABE7-6513D8B93B88}"/>
    <hyperlink ref="B130" r:id="rId239" display="file:///players/S/StafMa00.htm" xr:uid="{AEC234E0-577D-6A45-B46C-315098720243}"/>
    <hyperlink ref="C130" r:id="rId240" tooltip="Los Angeles Rams" display="file:///teams/ram/2021.htm" xr:uid="{A9F72C37-4CD9-4A42-9AD1-68C3DF04531C}"/>
    <hyperlink ref="B131" r:id="rId241" display="file:///players/W/WinsJa00.htm" xr:uid="{847FABEE-F431-A14E-9195-296B41F1B380}"/>
    <hyperlink ref="C131" r:id="rId242" tooltip="New Orleans Saints" display="file:///teams/nor/2021.htm" xr:uid="{2513FC02-F539-FB45-B738-C2F8B96CE49F}"/>
    <hyperlink ref="B132" r:id="rId243" display="file:///players/B/BridTe00.htm" xr:uid="{4EFC1221-BA7A-B147-A0C8-F90DBA89BA92}"/>
    <hyperlink ref="C132" r:id="rId244" tooltip="Denver Broncos" display="file:///teams/den/2021.htm" xr:uid="{787B7B7C-D173-4640-BC7F-0E9C4EA9A391}"/>
    <hyperlink ref="B133" r:id="rId245" display="file:///players/C/CousKi00.htm" xr:uid="{D8026D54-4781-2849-9D05-16AB8683E67A}"/>
    <hyperlink ref="C133" r:id="rId246" tooltip="Minnesota Vikings" display="file:///teams/min/2021.htm" xr:uid="{E94E4ACB-62E3-D94C-A18C-895026CC8249}"/>
    <hyperlink ref="B134" r:id="rId247" display="file:///players/W/WilsZa00.htm" xr:uid="{67DA8FEA-19CD-9747-901C-6C676EBB874D}"/>
    <hyperlink ref="C134" r:id="rId248" tooltip="New York Jets" display="file:///teams/nyj/2021.htm" xr:uid="{023B3AAE-1415-4E47-A847-928511211AF7}"/>
    <hyperlink ref="B135" r:id="rId249" display="file:///players/B/BradTo00.htm" xr:uid="{EB5600FF-C4C7-824D-8F11-1EBEC13AC4D8}"/>
    <hyperlink ref="C135" r:id="rId250" tooltip="Tampa Bay Buccaneers" display="file:///teams/tam/2021.htm" xr:uid="{0971900F-A3C4-0542-A802-F66DAABBD957}"/>
    <hyperlink ref="B136" r:id="rId251" display="file:///players/G/GallWa00.htm" xr:uid="{F2540CC5-5446-154B-8C03-ACE25171FE71}"/>
    <hyperlink ref="B137" r:id="rId252" display="file:///players/M/MackMa00.htm" xr:uid="{410ED56D-87E2-7C44-93B1-924FCE1FA6AB}"/>
    <hyperlink ref="C137" r:id="rId253" tooltip="Indianapolis Colts" display="file:///teams/clt/2021.htm" xr:uid="{7F9ACF9A-2B36-AE41-8071-EF738817D188}"/>
    <hyperlink ref="B138" r:id="rId254" display="file:///players/B/BreiMa00.htm" xr:uid="{59D1BD4A-56A0-C544-AB1E-BD9EDFD2084D}"/>
    <hyperlink ref="C138" r:id="rId255" tooltip="Buffalo Bills" display="file:///teams/buf/2021.htm" xr:uid="{28FD40F4-A1EF-034C-9F46-4F71CFFB60DE}"/>
    <hyperlink ref="B139" r:id="rId256" display="file:///players/W/WaltAu00.htm" xr:uid="{698F52A2-FE1B-7441-B3B0-58FAB583FA5D}"/>
    <hyperlink ref="C139" r:id="rId257" tooltip="New York Jets" display="file:///teams/nyj/2021.htm" xr:uid="{69840B8B-BA20-7644-8FCC-43C4A111B8A2}"/>
    <hyperlink ref="B140" r:id="rId258" display="file:///players/P/PennEl00.htm" xr:uid="{0C5C1BE6-D8F8-7B46-9644-146F5DF9DE39}"/>
    <hyperlink ref="C140" r:id="rId259" tooltip="New York Giants" display="file:///teams/nyg/2021.htm" xr:uid="{E79608D1-BFB2-874B-9E73-DE769B60BDCD}"/>
    <hyperlink ref="B141" r:id="rId260" display="file:///players/T/TaylPa01.htm" xr:uid="{FC9DA9FE-AB3E-5441-AC74-04C962A848C8}"/>
    <hyperlink ref="C141" r:id="rId261" tooltip="Green Bay Packers" display="file:///teams/gnb/2021.htm" xr:uid="{71909F43-3B0C-CB41-BE5F-1B9705A14498}"/>
    <hyperlink ref="B142" r:id="rId262" display="file:///players/M/McCoCo00.htm" xr:uid="{87D74C0F-FBE6-EE48-8AFA-F33AEF63AF9C}"/>
    <hyperlink ref="C142" r:id="rId263" tooltip="Arizona Cardinals" display="file:///teams/crd/2021.htm" xr:uid="{89B6DA4D-675A-234E-855B-0D35DFA9A40E}"/>
    <hyperlink ref="B143" r:id="rId264" display="file:///players/H/HomeTr00.htm" xr:uid="{05DD2171-EAC4-384B-9290-CC7463BE1CC4}"/>
    <hyperlink ref="C143" r:id="rId265" tooltip="Seattle Seahawks" display="file:///teams/sea/2021.htm" xr:uid="{AE24D06B-22DB-E74E-A0BB-C445959D57EA}"/>
    <hyperlink ref="B144" r:id="rId266" display="file:///players/O/OlliQa00.htm" xr:uid="{DDCD1A05-FCA1-1344-B0E4-649D4C7A484E}"/>
    <hyperlink ref="C144" r:id="rId267" tooltip="Atlanta Falcons" display="file:///teams/atl/2021.htm" xr:uid="{3BF78E82-D2CF-824C-96A7-CE02F8DB22E5}"/>
    <hyperlink ref="B145" r:id="rId268" display="file:///players/R/RoetBe00.htm" xr:uid="{E19B9979-EAEC-EE45-8D04-87DF9675D0AC}"/>
    <hyperlink ref="C145" r:id="rId269" tooltip="Pittsburgh Steelers" display="file:///teams/pit/2021.htm" xr:uid="{0C63FAAD-C304-E144-A499-E0F3ED7C79FA}"/>
    <hyperlink ref="B146" r:id="rId270" display="file:///players/B/BrisJa00.htm" xr:uid="{63F94896-A2DF-1547-9EA4-0814EE7A250B}"/>
    <hyperlink ref="C146" r:id="rId271" tooltip="Miami Dolphins" display="file:///teams/mia/2021.htm" xr:uid="{63579C6E-8E1A-844D-8951-43654A8AF076}"/>
    <hyperlink ref="B147" r:id="rId272" display="file:///players/T/TaylJJ01.htm" xr:uid="{4B08EBFC-5AE0-C94B-B62C-90EC1180C390}"/>
    <hyperlink ref="C147" r:id="rId273" tooltip="New England Patriots" display="file:///teams/nwe/2021.htm" xr:uid="{C1F9F2A9-A5D2-7749-9236-7F1F852EB3F1}"/>
    <hyperlink ref="B148" r:id="rId274" display="file:///players/T/TaylTy00.htm" xr:uid="{EF878405-6AE5-0049-8C73-A954976ACE62}"/>
    <hyperlink ref="C148" r:id="rId275" tooltip="Houston Texans" display="file:///teams/htx/2021.htm" xr:uid="{7D21ED79-2BA6-CE4C-8C79-40F108DFC056}"/>
    <hyperlink ref="B149" r:id="rId276" display="file:///players/I/IgweGo00.htm" xr:uid="{37EFBB82-B6BB-4043-BFB1-4C92A425E6A6}"/>
    <hyperlink ref="C149" r:id="rId277" tooltip="Detroit Lions" display="file:///teams/det/2021.htm" xr:uid="{8BF97B0A-2B2A-684D-BB09-7E268CC27449}"/>
    <hyperlink ref="B150" r:id="rId278" display="file:///players/M/MillDa02.htm" xr:uid="{F4250212-68B5-4D4F-90B5-0CB236096B84}"/>
    <hyperlink ref="C150" r:id="rId279" tooltip="Houston Texans" display="file:///teams/htx/2021.htm" xr:uid="{E91F4DB6-1558-8D49-BDFB-15FCDB148243}"/>
    <hyperlink ref="B151" r:id="rId280" display="file:///players/M/MoorRo02.htm" xr:uid="{4C3B38D1-073B-7544-A720-F0275EC4EACF}"/>
    <hyperlink ref="C151" r:id="rId281" tooltip="Arizona Cardinals" display="file:///teams/crd/2021.htm" xr:uid="{D137A62D-FBA4-5349-AF58-A705271E69DA}"/>
    <hyperlink ref="B152" r:id="rId282" display="file:///players/E/EvanCh02.htm" xr:uid="{BB3684E9-0844-F341-B72F-15792ED4E160}"/>
    <hyperlink ref="C152" r:id="rId283" tooltip="Cincinnati Bengals" display="file:///teams/cin/2021.htm" xr:uid="{7F4F9A1B-98CC-1646-AEEE-AA06C158540C}"/>
    <hyperlink ref="B153" r:id="rId284" display="file:///players/G/GoffJa00.htm" xr:uid="{6C85E85D-9516-6F4E-B6DC-C8691751F0E4}"/>
    <hyperlink ref="C153" r:id="rId285" tooltip="Detroit Lions" display="file:///teams/det/2021.htm" xr:uid="{8B3A8D67-7D06-1E47-9A26-A99779513014}"/>
    <hyperlink ref="B154" r:id="rId286" display="file:///players/W/WillJo07.htm" xr:uid="{CC257A44-2B8C-0846-8EE2-7AE134238C8B}"/>
    <hyperlink ref="C154" r:id="rId287" tooltip="Washington Football Team" display="file:///teams/was/2021.htm" xr:uid="{4E90F0BD-5133-BC47-8F5B-5063B09CDAF9}"/>
    <hyperlink ref="B155" r:id="rId288" display="file:///players/D/DaltAn00.htm" xr:uid="{D2828794-DB75-AF42-A47F-4E03D06A9C45}"/>
    <hyperlink ref="C155" r:id="rId289" tooltip="Chicago Bears" display="file:///teams/chi/2021.htm" xr:uid="{3D8EFC9A-346E-4546-AFF9-5EC4506EB82B}"/>
    <hyperlink ref="B156" r:id="rId290" display="file:///players/H/HastJa02.htm" xr:uid="{20A7D133-3977-9242-965B-D58D7BE4EB57}"/>
    <hyperlink ref="C156" r:id="rId291" tooltip="San Francisco 49ers" display="file:///teams/sfo/2021.htm" xr:uid="{E443FC27-5C4E-7945-B551-8226BDEA067B}"/>
    <hyperlink ref="B158" r:id="rId292" display="file:///players/A/ArmsRy00.htm" xr:uid="{752806C5-5BC9-114B-9877-20CBD8B6CAA4}"/>
    <hyperlink ref="C158" r:id="rId293" tooltip="Jacksonville Jaguars" display="file:///teams/jax/2021.htm" xr:uid="{B6D16172-0FE9-5247-A671-717B1FDD8AC6}"/>
    <hyperlink ref="B159" r:id="rId294" display="file:///players/J/JeffJe00.htm" xr:uid="{0C4F370D-2EE0-2C4A-BFCC-504DFAC7C9A0}"/>
    <hyperlink ref="C159" r:id="rId295" tooltip="Detroit Lions" display="file:///teams/det/2021.htm" xr:uid="{944101AE-7BAE-0D49-A1C8-5DC015A00CFD}"/>
    <hyperlink ref="B160" r:id="rId296" display="file:///players/M/MontTy01.htm" xr:uid="{39C277F5-6AC6-C144-BD91-0C07F7BDF2E1}"/>
    <hyperlink ref="C160" r:id="rId297" tooltip="New Orleans Saints" display="file:///teams/nor/2021.htm" xr:uid="{9F69F20D-D4F7-A64E-9C63-E6E9C222F65D}"/>
    <hyperlink ref="B161" r:id="rId298" display="file:///players/W/WillTr06.htm" xr:uid="{0BC634EE-236E-E446-9F12-9AC6D09D3975}"/>
    <hyperlink ref="C161" r:id="rId299" tooltip="Cincinnati Bengals" display="file:///teams/cin/2021.htm" xr:uid="{650631AC-558F-AE44-85BA-2025D4C8B78E}"/>
    <hyperlink ref="B162" r:id="rId300" display="file:///players/C/ClayCh01.htm" xr:uid="{9273D8C0-2666-A64B-8B0A-EFEBB1F61B46}"/>
    <hyperlink ref="C162" r:id="rId301" tooltip="Pittsburgh Steelers" display="file:///teams/pit/2021.htm" xr:uid="{28651377-275A-4448-94FA-EF2EE2EBF13E}"/>
    <hyperlink ref="B163" r:id="rId302" display="file:///players/H/HuntJa01.htm" xr:uid="{F04E8333-D67F-844A-8BD8-290DF76BCF41}"/>
    <hyperlink ref="C163" r:id="rId303" tooltip="Philadelphia Eagles" display="file:///teams/phi/2021.htm" xr:uid="{0C58AB9C-D821-3C49-9381-2CD06D8E10A4}"/>
    <hyperlink ref="B164" r:id="rId304" display="file:///players/J/JackDe02.htm" xr:uid="{24DECCF4-B518-394A-A00D-535D10963716}"/>
    <hyperlink ref="C164" r:id="rId305" tooltip="Indianapolis Colts" display="file:///teams/clt/2021.htm" xr:uid="{32C37898-E43E-F244-9EF1-914C15B17A06}"/>
    <hyperlink ref="B165" r:id="rId306" display="file:///players/M/MariMa01.htm" xr:uid="{4851F155-F604-D045-9D1B-77C2F7BB7DDA}"/>
    <hyperlink ref="C165" r:id="rId307" tooltip="Las Vegas Raiders" display="file:///teams/rai/2021.htm" xr:uid="{ACFB7430-AAC1-E543-B0CC-CA39E9988CC5}"/>
    <hyperlink ref="B166" r:id="rId308" display="file:///players/N/NwanKe00.htm" xr:uid="{D3B4AEF5-8D35-E543-B2B1-532C0623321A}"/>
    <hyperlink ref="C166" r:id="rId309" tooltip="Minnesota Vikings" display="file:///teams/min/2021.htm" xr:uid="{4B5ACAEF-A48A-C44F-9D36-F1F12FF9F280}"/>
    <hyperlink ref="B167" r:id="rId310" display="file:///players/T/TrubMi00.htm" xr:uid="{4A04105A-CF6F-9148-9B58-0ED292981B89}"/>
    <hyperlink ref="C167" r:id="rId311" tooltip="Buffalo Bills" display="file:///teams/buf/2021.htm" xr:uid="{3EB54D33-7FE8-0744-9CAE-B8E16475FB42}"/>
    <hyperlink ref="B168" r:id="rId312" display="file:///players/B/BallKa00.htm" xr:uid="{0BA3169D-FF25-6E4B-8FD3-A4C14E919A19}"/>
    <hyperlink ref="C168" r:id="rId313" tooltip="Pittsburgh Steelers" display="file:///teams/pit/2021.htm" xr:uid="{5440A37F-6F7F-7741-9679-370038A635C8}"/>
    <hyperlink ref="B169" r:id="rId314" display="file:///players/B/BourKe00.htm" xr:uid="{159E70FC-C6AC-5F4F-BF2F-EC41C9945D36}"/>
    <hyperlink ref="C169" r:id="rId315" tooltip="New England Patriots" display="file:///teams/nwe/2021.htm" xr:uid="{DC6935A1-7814-C540-8487-CC977FB668CF}"/>
    <hyperlink ref="B170" r:id="rId316" display="file:///players/K/KeenCa00.htm" xr:uid="{FCDE6ACC-64A0-BF4F-9782-5AC920B56C6D}"/>
    <hyperlink ref="C170" r:id="rId317" tooltip="Cleveland Browns" display="file:///teams/cle/2021.htm" xr:uid="{FD2594EA-0B21-064F-B4D2-C50514CF96DC}"/>
    <hyperlink ref="B171" r:id="rId318" display="file:///players/L/LoveJo03.htm" xr:uid="{68C1C4F1-7208-494C-B85A-B6A0DDD847EA}"/>
    <hyperlink ref="C171" r:id="rId319" tooltip="Green Bay Packers" display="file:///teams/gnb/2021.htm" xr:uid="{C7DF6739-DCE2-884C-880A-91EE17E7F0D0}"/>
    <hyperlink ref="B172" r:id="rId320" display="file:///players/M/McKiJe00.htm" xr:uid="{D45DD39A-2CBD-F646-9E54-FF5E0DC52394}"/>
    <hyperlink ref="C172" r:id="rId321" tooltip="Kansas City Chiefs" display="file:///teams/kan/2021.htm" xr:uid="{FAA1E340-0716-9F43-A4C1-562D46D89544}"/>
    <hyperlink ref="B173" r:id="rId322" display="file:///players/H/HoyeBr00.htm" xr:uid="{1068458C-0982-8845-B36A-98C1BFDE4652}"/>
    <hyperlink ref="C173" r:id="rId323" tooltip="New England Patriots" display="file:///teams/nwe/2021.htm" xr:uid="{EEF6B269-12D7-EE4E-A97C-EE652BB17B65}"/>
    <hyperlink ref="B174" r:id="rId324" display="file:///players/S/ShenLa00.htm" xr:uid="{A5AD40A3-69A1-3345-A67B-07CBAD0856A9}"/>
    <hyperlink ref="C174" r:id="rId325" tooltip="Jacksonville Jaguars" display="file:///teams/jax/2021.htm" xr:uid="{5CA18BE0-5C61-2D41-BB70-2597961C5A11}"/>
    <hyperlink ref="B175" r:id="rId326" display="file:///players/C/CartDe02.htm" xr:uid="{364ACD88-A6AF-AF48-80E1-C91067DA9517}"/>
    <hyperlink ref="C175" r:id="rId327" tooltip="Washington Football Team" display="file:///teams/was/2021.htm" xr:uid="{F2120ED9-7DFE-2E4D-AAA8-4DD38CA353C7}"/>
    <hyperlink ref="B176" r:id="rId328" display="file:///players/H/HillKy00.htm" xr:uid="{229BBE13-C141-DA4D-B259-C35E929F3770}"/>
    <hyperlink ref="C176" r:id="rId329" tooltip="Green Bay Packers" display="file:///teams/gnb/2021.htm" xr:uid="{D7016937-B2E7-344E-84C4-42C7DAA401AE}"/>
    <hyperlink ref="B177" r:id="rId330" display="file:///players/L/LockDr00.htm" xr:uid="{F53CFF9D-C0D6-CB42-A643-C8C424816BCC}"/>
    <hyperlink ref="C177" r:id="rId331" tooltip="Denver Broncos" display="file:///teams/den/2021.htm" xr:uid="{CCDDF91A-1400-534D-B7DC-065945253ECB}"/>
    <hyperlink ref="B178" r:id="rId332" display="file:///players/R/ReagJa00.htm" xr:uid="{18F2D292-D683-5943-84AA-8E1FD28FF0C1}"/>
    <hyperlink ref="C178" r:id="rId333" tooltip="Philadelphia Eagles" display="file:///teams/phi/2021.htm" xr:uid="{2D12EDDC-35E5-1A44-A249-AC7057451522}"/>
    <hyperlink ref="B179" r:id="rId334" display="file:///players/W/WhitJa02.htm" xr:uid="{567C1CAC-F1E9-5E48-A3AF-AC29D20F736F}"/>
    <hyperlink ref="C179" r:id="rId335" tooltip="New England Patriots" display="file:///teams/nwe/2021.htm" xr:uid="{828025C2-847D-9140-B306-54C2E9A0814C}"/>
    <hyperlink ref="B180" r:id="rId336" display="file:///players/G/GabbBl00.htm" xr:uid="{FB454F11-55A0-CC4C-A273-F15C7F57B3D0}"/>
    <hyperlink ref="C180" r:id="rId337" tooltip="Tampa Bay Buccaneers" display="file:///teams/tam/2021.htm" xr:uid="{D5AAD32E-ACF9-9540-9A86-0DDBE6AB55D6}"/>
    <hyperlink ref="B181" r:id="rId338" display="file:///players/H/HillTy00.htm" xr:uid="{EC2031F5-025F-0949-B464-0CD4DDCAC524}"/>
    <hyperlink ref="C181" r:id="rId339" tooltip="Kansas City Chiefs" display="file:///teams/kan/2021.htm" xr:uid="{1F279CDD-63E2-874A-9AED-A0BF7777403E}"/>
    <hyperlink ref="B182" r:id="rId340" display="file:///players/J/JohnJo05.htm" xr:uid="{269A95E1-F37A-8C4C-8BDB-D3372792496F}"/>
    <hyperlink ref="B183" r:id="rId341" display="file:///players/L/LambCe00.htm" xr:uid="{D79B3C9E-2C0A-374E-92B6-C3A8C7C86423}"/>
    <hyperlink ref="C183" r:id="rId342" tooltip="Dallas Cowboys" display="file:///teams/dal/2021.htm" xr:uid="{980A4D3F-4CD3-614D-B95C-478CD2CA2941}"/>
    <hyperlink ref="B184" r:id="rId343" display="file:///players/M/McKeIs00.htm" xr:uid="{2E45A47D-063F-5744-A7A1-5839090376CA}"/>
    <hyperlink ref="C184" r:id="rId344" tooltip="Buffalo Bills" display="file:///teams/buf/2021.htm" xr:uid="{D1E9A85A-5106-1C41-8495-E3B7D472DE18}"/>
    <hyperlink ref="B185" r:id="rId345" display="file:///players/M/MinsGa00.htm" xr:uid="{E6AC7DF1-6EBC-734E-81FD-EF79DD89285A}"/>
    <hyperlink ref="C185" r:id="rId346" tooltip="Philadelphia Eagles" display="file:///teams/phi/2021.htm" xr:uid="{A138676E-AC87-D04C-994C-3FF6447B6DA3}"/>
    <hyperlink ref="B186" r:id="rId347" display="file:///players/R/RichJa01.htm" xr:uid="{213C97CF-C677-934B-8756-C923765B4DB7}"/>
    <hyperlink ref="C186" r:id="rId348" tooltip="Las Vegas Raiders" display="file:///teams/rai/2021.htm" xr:uid="{112AF6AC-1E22-2E48-B2D4-3EB87D00087F}"/>
    <hyperlink ref="B187" r:id="rId349" display="file:///players/R/RushCo00.htm" xr:uid="{45499B5A-E940-264F-B8F4-B6E8660DA626}"/>
    <hyperlink ref="C187" r:id="rId350" tooltip="Dallas Cowboys" display="file:///teams/dal/2021.htm" xr:uid="{BF12A701-953F-5443-94A9-EF8BFAFA4B13}"/>
    <hyperlink ref="B189" r:id="rId351" display="file:///players/S/SiemTr00.htm" xr:uid="{4B8816C8-A46C-CA4C-A040-4871F4B6E92B}"/>
    <hyperlink ref="C189" r:id="rId352" tooltip="New Orleans Saints" display="file:///teams/nor/2021.htm" xr:uid="{B3BCDD74-A03E-6942-9C64-3BA7512EC2A2}"/>
    <hyperlink ref="B190" r:id="rId353" display="file:///players/S/SmitGe00.htm" xr:uid="{E967681D-7674-B94B-A617-A05D6C9537D9}"/>
    <hyperlink ref="C190" r:id="rId354" tooltip="Seattle Seahawks" display="file:///teams/sea/2021.htm" xr:uid="{C2C53F10-1C1A-5D4E-8D82-6A567650D2CD}"/>
    <hyperlink ref="B191" r:id="rId355" display="file:///players/S/SmitJo01.htm" xr:uid="{8ABC5777-1AC2-6C4E-975A-F240163EB22F}"/>
    <hyperlink ref="C191" r:id="rId356" tooltip="New England Patriots" display="file:///teams/nwe/2021.htm" xr:uid="{4FA43C02-502F-8B4B-92FC-DF6C52B5C7EE}"/>
    <hyperlink ref="B192" r:id="rId357" display="file:///players/S/SmitKe03.htm" xr:uid="{3D4E4D11-E259-0847-B5CA-9441034F9B82}"/>
    <hyperlink ref="C192" r:id="rId358" tooltip="Atlanta Falcons" display="file:///teams/atl/2021.htm" xr:uid="{AEA39C22-0EDB-3840-82CF-A95FA1B4EA9A}"/>
    <hyperlink ref="B193" r:id="rId359" display="file:///players/W/WardJo00.htm" xr:uid="{635AFB86-0E49-E74C-A61A-BC9E429205C1}"/>
    <hyperlink ref="C193" r:id="rId360" tooltip="Arizona Cardinals" display="file:///teams/crd/2021.htm" xr:uid="{1E1EEC64-91CF-2547-8D90-7F46B33A14B4}"/>
    <hyperlink ref="B194" r:id="rId361" display="file:///players/B/BernGi00.htm" xr:uid="{9EB100D7-732B-1F4E-A0E4-3E12865A93E2}"/>
    <hyperlink ref="C194" r:id="rId362" tooltip="Tampa Bay Buccaneers" display="file:///teams/tam/2021.htm" xr:uid="{B544D32B-C420-AC4D-98DE-E548C04E7B6F}"/>
    <hyperlink ref="B195" r:id="rId363" display="file:///players/B/BurtMi00.htm" xr:uid="{FBAB7B5A-3E17-C040-8814-F2F91F53572E}"/>
    <hyperlink ref="C195" r:id="rId364" tooltip="Kansas City Chiefs" display="file:///teams/kan/2021.htm" xr:uid="{C2BBD1AF-9D80-9947-BF3F-CCFBA5CF0EE4}"/>
    <hyperlink ref="B196" r:id="rId365" display="file:///players/F/FromJa00.htm" xr:uid="{7A8FD8EB-7513-7A40-BD3B-D3CDC188889B}"/>
    <hyperlink ref="C196" r:id="rId366" tooltip="New York Giants" display="file:///teams/nyg/2021.htm" xr:uid="{41D9CE98-CD36-1141-A0E5-9CB534AC582B}"/>
    <hyperlink ref="B197" r:id="rId367" display="file:///players/H/HardMe00.htm" xr:uid="{F50C5F0F-47EA-F143-A327-8CBD8AD534CA}"/>
    <hyperlink ref="C197" r:id="rId368" tooltip="Kansas City Chiefs" display="file:///teams/kan/2021.htm" xr:uid="{2446AADA-58DD-AB46-AE63-F799EAE24AEF}"/>
    <hyperlink ref="B198" r:id="rId369" display="file:///players/H/HennCh01.htm" xr:uid="{352EC0E5-57A0-0A4B-B627-DE86A648B4C9}"/>
    <hyperlink ref="C198" r:id="rId370" tooltip="Kansas City Chiefs" display="file:///teams/kan/2021.htm" xr:uid="{AF2D06A5-82D2-EA4E-A1FE-F5A453EDCF83}"/>
    <hyperlink ref="B199" r:id="rId371" display="file:///players/J/JuszKy00.htm" xr:uid="{FBA12357-005B-D640-990C-BD99EFB7781C}"/>
    <hyperlink ref="C199" r:id="rId372" tooltip="San Francisco 49ers" display="file:///teams/sfo/2021.htm" xr:uid="{1ED9A762-B7AE-F043-9118-AEE75ED91929}"/>
    <hyperlink ref="B200" r:id="rId373" display="file:///players/M/MoorD.00.htm" xr:uid="{8613729E-FD50-B849-91CE-1DC31528B279}"/>
    <hyperlink ref="C200" r:id="rId374" tooltip="Carolina Panthers" display="file:///teams/car/2021.htm" xr:uid="{6A40084D-38B0-FC4B-8E1D-DCE73DCA94F1}"/>
    <hyperlink ref="B201" r:id="rId375" display="file:///players/P/PeriLa00.htm" xr:uid="{5CBBC2C5-071C-E54A-B48C-9C64F2C989C7}"/>
    <hyperlink ref="C201" r:id="rId376" tooltip="New York Jets" display="file:///teams/nyj/2021.htm" xr:uid="{B1D44538-9728-4C47-84DE-A4F0EC73467F}"/>
    <hyperlink ref="B202" r:id="rId377" display="file:///players/W/WoodRo02.htm" xr:uid="{04A55802-0A12-4145-B484-C0347E4E0DAC}"/>
    <hyperlink ref="C202" r:id="rId378" tooltip="Los Angeles Rams" display="file:///teams/ram/2021.htm" xr:uid="{2AA51562-339C-6E49-A386-15276573E1EE}"/>
    <hyperlink ref="B203" r:id="rId379" display="file:///players/A/AgneJa00.htm" xr:uid="{2968CF72-0AF4-184A-BCFC-DC76F9443FE7}"/>
    <hyperlink ref="C203" r:id="rId380" tooltip="Jacksonville Jaguars" display="file:///teams/jax/2021.htm" xr:uid="{B9C6BBDC-BBD4-2E45-8795-DE02A26BCA94}"/>
    <hyperlink ref="B204" r:id="rId381" display="file:///players/A/AlleBr00.htm" xr:uid="{E794E284-86ED-C34C-840D-F9CE27E57FE5}"/>
    <hyperlink ref="C204" r:id="rId382" tooltip="Cincinnati Bengals" display="file:///teams/cin/2021.htm" xr:uid="{123BDD5C-8EA9-7C4F-89AF-4361D7E6DEBD}"/>
    <hyperlink ref="B205" r:id="rId383" display="file:///players/B/BerrBr00.htm" xr:uid="{F722B1E9-4993-294E-A396-9514EB7D1BCB}"/>
    <hyperlink ref="C205" r:id="rId384" tooltip="New York Jets" display="file:///teams/nyj/2021.htm" xr:uid="{1ECBD1DB-73B7-2D40-A0DD-525AB7E3BD7A}"/>
    <hyperlink ref="B206" r:id="rId385" display="file:///players/C/ChasJa00.htm" xr:uid="{1E30ABE1-F40B-044F-BA99-BF83D9F13C33}"/>
    <hyperlink ref="C206" r:id="rId386" tooltip="Cincinnati Bengals" display="file:///teams/cin/2021.htm" xr:uid="{50D5DF11-1A55-004C-BD62-CCAE29058E36}"/>
    <hyperlink ref="B207" r:id="rId387" display="file:///players/D/DuveDe00.htm" xr:uid="{98C0F13C-8C44-984E-AD34-ED80F6A1A131}"/>
    <hyperlink ref="C207" r:id="rId388" tooltip="Baltimore Ravens" display="file:///teams/rav/2021.htm" xr:uid="{8EBAD74F-9DED-2B43-A8C4-E25C3760EA34}"/>
    <hyperlink ref="B208" r:id="rId389" display="file:///players/F/FeltDe00.htm" xr:uid="{BCDC7964-8E25-5249-871F-7A830F0FBDAC}"/>
    <hyperlink ref="C208" r:id="rId390" tooltip="Cleveland Browns" display="file:///teams/cle/2021.htm" xr:uid="{85ABB695-93E7-C04A-B340-2E33F1597E56}"/>
    <hyperlink ref="B209" r:id="rId391" display="file:///players/G/GlenMi00.htm" xr:uid="{C27000D2-0741-1C44-BC60-F0CB43E79D6D}"/>
    <hyperlink ref="C209" r:id="rId392" tooltip="New York Giants" display="file:///teams/nyg/2021.htm" xr:uid="{A4094BFB-D185-694C-8710-5A531DCEC880}"/>
    <hyperlink ref="B210" r:id="rId393" display="file:///players/G/GuytJa01.htm" xr:uid="{FD47DA02-0E36-594B-A9E0-9572F871E899}"/>
    <hyperlink ref="C210" r:id="rId394" tooltip="Los Angeles Chargers" display="file:///teams/sdg/2021.htm" xr:uid="{2F667044-1983-7E49-97AC-0CAEF2C507BA}"/>
    <hyperlink ref="B211" r:id="rId395" display="file:///players/H/HamxC.00.htm" xr:uid="{46E5EE5A-3361-F74A-B7EB-2317B9D055CB}"/>
    <hyperlink ref="C211" r:id="rId396" tooltip="Minnesota Vikings" display="file:///teams/min/2021.htm" xr:uid="{2D302389-5945-3441-8C84-41E1D439C46E}"/>
    <hyperlink ref="B212" r:id="rId397" display="file:///players/S/StxxAm00.htm" xr:uid="{CEA85741-1A43-214D-8DD4-C271B8AF71FC}"/>
    <hyperlink ref="C212" r:id="rId398" tooltip="Detroit Lions" display="file:///teams/det/2021.htm" xr:uid="{CFDC7E6D-1D6A-0044-B367-4434CE1B3B8E}"/>
    <hyperlink ref="B213" r:id="rId399" display="file:///players/W/WalkPh00.htm" xr:uid="{72A76BB8-FAFE-A64C-ADF7-5FEF0232DDF0}"/>
    <hyperlink ref="C213" r:id="rId400" tooltip="Carolina Panthers" display="file:///teams/car/2021.htm" xr:uid="{7224EB57-02CA-1C4D-8C15-38DE3CDF81B6}"/>
    <hyperlink ref="B214" r:id="rId401" display="file:///players/J/JeffJu00.htm" xr:uid="{A4915A2E-610D-5740-9B11-F5B3FB437B85}"/>
    <hyperlink ref="C214" r:id="rId402" tooltip="Minnesota Vikings" display="file:///teams/min/2021.htm" xr:uid="{30179403-229A-EC4C-B52B-0EA89AF5934F}"/>
    <hyperlink ref="B215" r:id="rId403" display="file:///players/L/LandJa00.htm" xr:uid="{E7CCE41C-DA01-1645-A45E-0735C600C978}"/>
    <hyperlink ref="C215" r:id="rId404" tooltip="Cleveland Browns" display="file:///teams/cle/2021.htm" xr:uid="{A4769B1D-ECA1-7A49-ACCA-0A2F5BE838D4}"/>
    <hyperlink ref="B216" r:id="rId405" display="file:///players/M/MoonDa00.htm" xr:uid="{F6EE4178-A4CE-B547-8DFA-6209B4187214}"/>
    <hyperlink ref="C216" r:id="rId406" tooltip="Chicago Bears" display="file:///teams/chi/2021.htm" xr:uid="{722D4B6F-26F4-B449-A3BB-B387FD75BD09}"/>
    <hyperlink ref="B217" r:id="rId407" display="file:///players/P/PhilSc01.htm" xr:uid="{AA98ED58-D43C-0A40-A600-DEF1C83FD7EE}"/>
    <hyperlink ref="C217" r:id="rId408" tooltip="Houston Texans" display="file:///teams/htx/2021.htm" xr:uid="{2A519349-E2A4-4344-8A11-05F9D3C674CE}"/>
    <hyperlink ref="B218" r:id="rId409" display="file:///players/S/SchwAn00.htm" xr:uid="{43959BAF-2591-CD46-BC57-5BB2773BD306}"/>
    <hyperlink ref="C218" r:id="rId410" tooltip="Cleveland Browns" display="file:///teams/cle/2021.htm" xr:uid="{1AB85741-9373-3746-A632-9FEF126C8470}"/>
    <hyperlink ref="B220" r:id="rId411" display="file:///players/W/WoodLo00.htm" xr:uid="{5FCAC336-3252-8948-AD38-F0CF6C783BD6}"/>
    <hyperlink ref="C220" r:id="rId412" tooltip="Tennessee Titans" display="file:///teams/oti/2021.htm" xr:uid="{CD83021D-5D39-2A41-A902-54858B84B16D}"/>
    <hyperlink ref="B221" r:id="rId413" display="file:///players/A/AiyuBr00.htm" xr:uid="{E1E2C3CD-D1B4-5043-8BE3-C1607B6E9F65}"/>
    <hyperlink ref="C221" r:id="rId414" tooltip="San Francisco 49ers" display="file:///teams/sfo/2021.htm" xr:uid="{B57762E6-31F9-8147-B099-0902E0D2E891}"/>
    <hyperlink ref="B222" r:id="rId415" display="file:///players/A/AkerCa00.htm" xr:uid="{8F6713CF-02D3-624B-9864-820DA1C8BD2B}"/>
    <hyperlink ref="C222" r:id="rId416" tooltip="Los Angeles Rams" display="file:///teams/ram/2021.htm" xr:uid="{85971398-7CE3-224C-82D2-BACDEFBED954}"/>
    <hyperlink ref="B223" r:id="rId417" display="file:///players/A/ArmaAl00.htm" xr:uid="{A4357F89-48DF-E544-8579-D4239E667CF6}"/>
    <hyperlink ref="B224" r:id="rId418" display="file:///players/G/GranJa00.htm" xr:uid="{937EC8AF-5AB9-754D-A087-2F65D8CA6DA0}"/>
    <hyperlink ref="B225" r:id="rId419" display="file:///players/H/HarrDe07.htm" xr:uid="{49996C16-0BF4-A14A-A290-A99EF4D27770}"/>
    <hyperlink ref="C225" r:id="rId420" tooltip="New Orleans Saints" display="file:///teams/nor/2021.htm" xr:uid="{BBC1525C-38DD-BF40-A169-33615C9ED40E}"/>
    <hyperlink ref="B226" r:id="rId421" display="file:///players/H/HoweGr00.htm" xr:uid="{40936A58-1188-2A4A-A209-7B8ACEAE9F25}"/>
    <hyperlink ref="C226" r:id="rId422" tooltip="Los Angeles Rams" display="file:///teams/ram/2021.htm" xr:uid="{173FA687-4C86-854A-AB5C-D8DEB17A217B}"/>
    <hyperlink ref="B227" r:id="rId423" display="file:///players/J/JohnDi01.htm" xr:uid="{349888E4-6619-9346-8C2A-480DED3EA95B}"/>
    <hyperlink ref="C227" r:id="rId424" tooltip="Pittsburgh Steelers" display="file:///teams/pit/2021.htm" xr:uid="{5F403CB3-667C-F543-A2B0-3C444EDAF7B0}"/>
    <hyperlink ref="B228" r:id="rId425" display="file:///players/M/MoorEl00.htm" xr:uid="{391303A9-277B-6948-BFAE-8DDF926E0B78}"/>
    <hyperlink ref="C228" r:id="rId426" tooltip="New York Jets" display="file:///teams/nyj/2021.htm" xr:uid="{48453D47-28DB-BD47-90C8-A8B9BEBEBADF}"/>
    <hyperlink ref="B229" r:id="rId427" display="file:///players/P/PittMi01.htm" xr:uid="{998558CF-C5F5-054F-A305-DC221DA87DB2}"/>
    <hyperlink ref="C229" r:id="rId428" tooltip="Indianapolis Colts" display="file:///teams/clt/2021.htm" xr:uid="{13BDB961-0CAD-354D-A6FB-169F0AF52AF9}"/>
    <hyperlink ref="B230" r:id="rId429" display="file:///players/R/RudoMa00.htm" xr:uid="{1B71C5E9-9A4A-9C49-B93A-54C5E5DAC2F2}"/>
    <hyperlink ref="C230" r:id="rId430" tooltip="Pittsburgh Steelers" display="file:///teams/pit/2021.htm" xr:uid="{E4634729-3B5B-CF4E-82AD-8618A0BF8678}"/>
    <hyperlink ref="B231" r:id="rId431" display="file:///players/S/SamuJa00.htm" xr:uid="{93D54EB0-27DA-F842-B521-E5A5E7788A30}"/>
    <hyperlink ref="C231" r:id="rId432" tooltip="Houston Texans" display="file:///teams/htx/2021.htm" xr:uid="{776444BC-1E78-6A4D-83D4-5ACCD3E16B6B}"/>
    <hyperlink ref="B232" r:id="rId433" display="file:///players/S/SargMe00.htm" xr:uid="{F3329B4E-B2A2-884A-AA13-34859C66180B}"/>
    <hyperlink ref="B233" r:id="rId434" display="file:///players/S/SmalWe00.htm" xr:uid="{3F7D5B0A-9698-AF48-B29A-81EE839CD8DB}"/>
    <hyperlink ref="C233" r:id="rId435" tooltip="Washington Football Team" display="file:///teams/was/2021.htm" xr:uid="{D3D23ED4-DCFA-F44C-B721-82B1D6614798}"/>
    <hyperlink ref="B234" r:id="rId436" display="file:///players/S/SwaiFr00.htm" xr:uid="{DB5E7DCE-78AB-C64A-BA37-56F999F6C6EC}"/>
    <hyperlink ref="C234" r:id="rId437" tooltip="Seattle Seahawks" display="file:///teams/sea/2021.htm" xr:uid="{23349572-98DF-7C48-94BE-60C5549E6EB9}"/>
    <hyperlink ref="B235" r:id="rId438" display="file:///players/W/WhitMi01.htm" xr:uid="{422AFA8E-E3A8-C64F-97E8-C4C606BCC842}"/>
    <hyperlink ref="C235" r:id="rId439" tooltip="New York Jets" display="file:///teams/nyj/2021.htm" xr:uid="{BED73330-22E4-F44C-8F16-4BDA49000E38}"/>
    <hyperlink ref="B236" r:id="rId440" display="file:///players/B/BarnKe00.htm" xr:uid="{0E775BF3-131D-0540-B008-A5FBDD05E990}"/>
    <hyperlink ref="C236" r:id="rId441" tooltip="Tampa Bay Buccaneers" display="file:///teams/tam/2021.htm" xr:uid="{76BE1868-6A9B-884F-BE59-9BC5410936D1}"/>
    <hyperlink ref="B237" r:id="rId442" display="file:///players/B/BellBl00.htm" xr:uid="{4CB7B03E-4400-A141-A93E-533491B9145D}"/>
    <hyperlink ref="C237" r:id="rId443" tooltip="Kansas City Chiefs" display="file:///teams/kan/2021.htm" xr:uid="{7021B469-4184-744F-800A-C43D1512E682}"/>
    <hyperlink ref="B238" r:id="rId444" display="file:///players/B/BoonMi00.htm" xr:uid="{2A06D903-DA4A-B14D-A175-7A0AA16A8B50}"/>
    <hyperlink ref="C238" r:id="rId445" tooltip="Denver Broncos" display="file:///teams/den/2021.htm" xr:uid="{488CF141-D2B1-8347-AFBF-5C42FA545468}"/>
    <hyperlink ref="B239" r:id="rId446" display="file:///players/E/EskrDW00.htm" xr:uid="{8E1E8F19-317C-F441-88EC-E9D945C545FE}"/>
    <hyperlink ref="C239" r:id="rId447" tooltip="Seattle Seahawks" display="file:///teams/sea/2021.htm" xr:uid="{B4299AB8-3F3B-B04E-85F3-462C20862F1D}"/>
    <hyperlink ref="B240" r:id="rId448" display="file:///players/F/FoleNi00.htm" xr:uid="{0306B7ED-4D63-4749-863E-3B9A38258BD9}"/>
    <hyperlink ref="C240" r:id="rId449" tooltip="Chicago Bears" display="file:///teams/chi/2021.htm" xr:uid="{251B3F36-67E2-D349-BDE5-503D3443CF41}"/>
    <hyperlink ref="B241" r:id="rId450" display="file:///players/G/GodwCh00.htm" xr:uid="{7A137C7E-5C99-514A-AC77-FD2867710C9B}"/>
    <hyperlink ref="C241" r:id="rId451" tooltip="Tampa Bay Buccaneers" display="file:///teams/tam/2021.htm" xr:uid="{BC4E3659-5FEE-DC4F-84E5-26B20513A660}"/>
    <hyperlink ref="B242" r:id="rId452" display="file:///players/H/HardJa01.htm" xr:uid="{F3AD8B40-E177-6443-BAF3-6C670C423CE4}"/>
    <hyperlink ref="C242" r:id="rId453" tooltip="Dallas Cowboys" display="file:///teams/dal/2021.htm" xr:uid="{23C6E257-51F6-FF47-9AA8-4D8ABB53C657}"/>
    <hyperlink ref="B243" r:id="rId454" display="file:///players/K/KuppCo00.htm" xr:uid="{A1F62136-5CD4-EF41-950E-9D56D0144401}"/>
    <hyperlink ref="C243" r:id="rId455" tooltip="Los Angeles Rams" display="file:///teams/ram/2021.htm" xr:uid="{10DE18F3-4A75-0847-B7DE-CDE252D9988E}"/>
    <hyperlink ref="B244" r:id="rId456" display="file:///players/R/RaymKa00.htm" xr:uid="{7584C705-B484-A04A-8DE0-D761A04C1B24}"/>
    <hyperlink ref="C244" r:id="rId457" tooltip="Detroit Lions" display="file:///teams/det/2021.htm" xr:uid="{8D9C1177-B6BE-BE4C-9B2E-054CDE811B5B}"/>
    <hyperlink ref="B245" r:id="rId458" display="file:///players/S/SamuCu00.htm" xr:uid="{01CBECD8-BA94-5E42-A2B6-9F76482B1758}"/>
    <hyperlink ref="C245" r:id="rId459" tooltip="Washington Football Team" display="file:///teams/was/2021.htm" xr:uid="{BEBB3299-D1F2-F44C-A80E-A7AE373C284D}"/>
    <hyperlink ref="B246" r:id="rId460" display="file:///players/W/WashDw00.htm" xr:uid="{E9D9ADC3-1BA9-C14E-8402-79DCB94085F2}"/>
    <hyperlink ref="C246" r:id="rId461" tooltip="New Orleans Saints" display="file:///teams/nor/2021.htm" xr:uid="{C7618FA2-657F-F54E-9541-89BBBABE585B}"/>
    <hyperlink ref="B247" r:id="rId462" display="file:///players/W/WilsAl02.htm" xr:uid="{94FD3E53-917B-714F-B846-E22A83DF9A42}"/>
    <hyperlink ref="C247" r:id="rId463" tooltip="Miami Dolphins" display="file:///teams/mia/2021.htm" xr:uid="{5250F7C3-DD37-1240-B7A0-C92CB22B9554}"/>
    <hyperlink ref="B248" r:id="rId464" display="file:///players/A/AghoNe00.htm" xr:uid="{A3154622-6F75-3942-9636-3DFC26E38204}"/>
    <hyperlink ref="C248" r:id="rId465" tooltip="New England Patriots" display="file:///teams/nwe/2021.htm" xr:uid="{ACA28C2F-BE63-5244-8E31-2B5A69530B1E}"/>
    <hyperlink ref="B249" r:id="rId466" display="file:///players/A/AndeRo04.htm" xr:uid="{A123A895-25A2-6441-86FD-D392065735E2}"/>
    <hyperlink ref="C249" r:id="rId467" tooltip="Carolina Panthers" display="file:///teams/car/2021.htm" xr:uid="{03A3586D-0DEE-B344-9F41-F97742239FA4}"/>
    <hyperlink ref="B251" r:id="rId468" display="file:///players/A/AustTa00.htm" xr:uid="{68A6C22C-A780-8F41-BF45-C35F34740B54}"/>
    <hyperlink ref="C251" r:id="rId469" tooltip="Jacksonville Jaguars" display="file:///teams/jax/2021.htm" xr:uid="{CB7DF12E-8394-1743-83D1-2FA67ECEB79C}"/>
    <hyperlink ref="B252" r:id="rId470" display="file:///players/B/BlasKh00.htm" xr:uid="{46B0A31A-91BC-8540-B938-813DA292EA4F}"/>
    <hyperlink ref="C252" r:id="rId471" tooltip="Tennessee Titans" display="file:///teams/oti/2021.htm" xr:uid="{13029C3F-66BC-F542-AB47-14C1F57BE8ED}"/>
    <hyperlink ref="B253" r:id="rId472" display="file:///players/B/BookIa00.htm" xr:uid="{596E0A8B-6ED4-924B-93E6-D69BEA1D2034}"/>
    <hyperlink ref="C253" r:id="rId473" tooltip="New Orleans Saints" display="file:///teams/nor/2021.htm" xr:uid="{ED998603-94DE-CF4A-881A-7088DAE6E00A}"/>
    <hyperlink ref="B254" r:id="rId474" display="file:///players/C/CabiJa00.htm" xr:uid="{4424A734-1EF0-E24F-ABB0-E137E44B95D8}"/>
    <hyperlink ref="C254" r:id="rId475" tooltip="Detroit Lions" display="file:///teams/det/2021.htm" xr:uid="{60869E93-85D4-BD46-B864-283915A07055}"/>
    <hyperlink ref="B255" r:id="rId476" display="file:///players/C/CannTr00.htm" xr:uid="{119FAED6-7268-9042-8D08-8E450286508E}"/>
    <hyperlink ref="B256" r:id="rId477" display="file:///players/C/CrocDa01.htm" xr:uid="{6802AC13-C66E-064C-86C4-491C827AABDF}"/>
    <hyperlink ref="C256" r:id="rId478" tooltip="Denver Broncos" display="file:///teams/den/2021.htm" xr:uid="{A8E053FC-E323-DD4E-8557-6BA1AD0184DD}"/>
    <hyperlink ref="B257" r:id="rId479" display="file:///players/D/DuliAs00.htm" xr:uid="{4CE27BD9-3220-8F42-B8FE-223B0A2E6559}"/>
    <hyperlink ref="C257" r:id="rId480" tooltip="Indianapolis Colts" display="file:///teams/clt/2021.htm" xr:uid="{AA18BEE1-17AC-CD43-9D05-E673C1705C94}"/>
    <hyperlink ref="B258" r:id="rId481" display="file:///players/E/EhliSa00.htm" xr:uid="{3E53B100-7CE7-2B43-9C5C-532DEBA881CC}"/>
    <hyperlink ref="C258" r:id="rId482" tooltip="Indianapolis Colts" display="file:///teams/clt/2021.htm" xr:uid="{593BB47F-E37F-D043-8733-583D9918D3D9}"/>
    <hyperlink ref="B259" r:id="rId483" display="file:///players/E/EverGe00.htm" xr:uid="{5E46DEC2-C516-8441-84FB-C3B3696A8B6B}"/>
    <hyperlink ref="C259" r:id="rId484" tooltip="Seattle Seahawks" display="file:///teams/sea/2021.htm" xr:uid="{9DFC2BC7-20CC-7F44-BB98-A005D3C07D76}"/>
    <hyperlink ref="B260" r:id="rId485" display="file:///players/F/FranFe00.htm" xr:uid="{A66246A5-C251-394A-8FB1-85B6C908B829}"/>
    <hyperlink ref="C260" r:id="rId486" tooltip="Atlanta Falcons" display="file:///teams/atl/2021.htm" xr:uid="{057F0454-B411-1945-9150-22D6DB0E388B}"/>
    <hyperlink ref="B261" r:id="rId487" display="file:///players/G/GillRe00.htm" xr:uid="{FBF0C027-E180-3E4E-A0FD-95F8BDF08B16}"/>
    <hyperlink ref="C261" r:id="rId488" tooltip="Buffalo Bills" display="file:///teams/buf/2021.htm" xr:uid="{8A463EB3-A630-C94B-B7BA-B64CB6B16AE8}"/>
    <hyperlink ref="B262" r:id="rId489" display="file:///players/K/KittGe00.htm" xr:uid="{712600F2-5067-B243-A0E9-9228ECBBB521}"/>
    <hyperlink ref="C262" r:id="rId490" tooltip="San Francisco 49ers" display="file:///teams/sfo/2021.htm" xr:uid="{F8EBF48C-202D-8E4F-B0ED-1139F3EE814C}"/>
    <hyperlink ref="B263" r:id="rId491" display="file:///players/L/LazaAl00.htm" xr:uid="{74814379-C736-E141-909A-AD28CEE7F2BC}"/>
    <hyperlink ref="C263" r:id="rId492" tooltip="Green Bay Packers" display="file:///teams/gnb/2021.htm" xr:uid="{AD3146BE-AF36-C448-81FF-D8A8ABE2A90B}"/>
    <hyperlink ref="B264" r:id="rId493" display="file:///players/M/McFaAn00.htm" xr:uid="{172A082A-C32B-6448-9ADF-086975D78B61}"/>
    <hyperlink ref="C264" r:id="rId494" tooltip="Pittsburgh Steelers" display="file:///teams/pit/2021.htm" xr:uid="{5AEAC01E-C218-8E43-939E-496F70CBF5AB}"/>
    <hyperlink ref="B265" r:id="rId495" display="file:///players/N/NabeGa00.htm" xr:uid="{CEE3562D-390E-8B43-90D0-B7317858FFBE}"/>
    <hyperlink ref="C265" r:id="rId496" tooltip="Los Angeles Chargers" display="file:///teams/sdg/2021.htm" xr:uid="{F8BA2553-1471-7440-9515-CEC2C4C5F562}"/>
    <hyperlink ref="B266" r:id="rId497" display="file:///players/P/PrenAd00.htm" xr:uid="{D2B09BE2-931E-A746-A12A-3850A1182143}"/>
    <hyperlink ref="C266" r:id="rId498" tooltip="New Orleans Saints" display="file:///teams/nor/2021.htm" xr:uid="{9D36E8EB-B69E-604E-AF1E-F4D0B0D91D2C}"/>
    <hyperlink ref="B267" r:id="rId499" display="file:///players/R/RenfHu00.htm" xr:uid="{5F44D98D-8552-F749-A2E1-935B966330FF}"/>
    <hyperlink ref="C267" r:id="rId500" tooltip="Las Vegas Raiders" display="file:///teams/rai/2021.htm" xr:uid="{886BF574-475B-E948-967C-449191C0F09F}"/>
    <hyperlink ref="B268" r:id="rId501" display="file:///players/R/RobeAn00.htm" xr:uid="{C0BA080D-D297-9940-A14A-93B3901B8A69}"/>
    <hyperlink ref="B269" r:id="rId502" display="file:///players/R/RuggHe00.htm" xr:uid="{9DCBDFE3-E178-564F-A427-B5EBE32444E7}"/>
    <hyperlink ref="C269" r:id="rId503" tooltip="Las Vegas Raiders" display="file:///teams/rai/2021.htm" xr:uid="{DDCB93FF-0512-E249-AD56-D57A4849C5D1}"/>
    <hyperlink ref="B270" r:id="rId504" display="file:///players/S/SmitJu00.htm" xr:uid="{5170E733-87DD-FA46-8B2C-824A58805901}"/>
    <hyperlink ref="C270" r:id="rId505" tooltip="Pittsburgh Steelers" display="file:///teams/pit/2021.htm" xr:uid="{7D98EB00-358C-0E48-BF57-C0F0D9970C8C}"/>
    <hyperlink ref="B271" r:id="rId506" display="file:///players/S/St.BEq00.htm" xr:uid="{5AA86DA9-B7A7-EC43-8548-859870656A39}"/>
    <hyperlink ref="C271" r:id="rId507" tooltip="Green Bay Packers" display="file:///teams/gnb/2021.htm" xr:uid="{7717A4A1-9D61-F640-AA4A-6E210FA5600F}"/>
    <hyperlink ref="B272" r:id="rId508" display="file:///players/S/StanJo02.htm" xr:uid="{B574AE8A-5864-474E-8D27-388B4F85BD5C}"/>
    <hyperlink ref="C272" r:id="rId509" tooltip="Cleveland Browns" display="file:///teams/cle/2021.htm" xr:uid="{720198EF-01D2-8A40-AEC9-A936580064C4}"/>
    <hyperlink ref="B273" r:id="rId510" display="file:///players/S/StreCh00.htm" xr:uid="{DCEAF6A2-AD1C-DB4A-90DB-2FE51E18B6AE}"/>
    <hyperlink ref="C273" r:id="rId511" tooltip="Arizona Cardinals" display="file:///teams/crd/2021.htm" xr:uid="{8830E6A1-630A-5547-BF3B-E25985532EB7}"/>
    <hyperlink ref="B274" r:id="rId512" display="file:///players/T/ToneKa00.htm" xr:uid="{A7771459-1CF9-764C-8D78-B8599398C942}"/>
    <hyperlink ref="C274" r:id="rId513" tooltip="New York Giants" display="file:///teams/nyg/2021.htm" xr:uid="{958C3091-9B07-D346-B474-96B75B9E9828}"/>
    <hyperlink ref="B275" r:id="rId514" display="file:///players/T/TremTo00.htm" xr:uid="{D61F6254-2F35-D645-AE40-5D34BE7DEEA5}"/>
    <hyperlink ref="C275" r:id="rId515" tooltip="Carolina Panthers" display="file:///teams/car/2021.htm" xr:uid="{2EABD5B1-14FF-9743-A908-A039CDDE4D4F}"/>
    <hyperlink ref="B276" r:id="rId516" display="file:///players/A/AlleKy00.htm" xr:uid="{74ACFE5B-295D-E74C-944F-224A55CF4223}"/>
    <hyperlink ref="C276" r:id="rId517" tooltip="Washington Football Team" display="file:///teams/was/2021.htm" xr:uid="{D73975BB-60A5-D549-8AD6-D09FD119062A}"/>
    <hyperlink ref="B277" r:id="rId518" display="file:///players/B/BatsCa00.htm" xr:uid="{659E5560-5B60-3C49-9A92-BA27D5B6348C}"/>
    <hyperlink ref="C277" r:id="rId519" tooltip="Tennessee Titans" display="file:///teams/oti/2021.htm" xr:uid="{DA4E52C6-66E9-5E47-892F-B3A10B097142}"/>
    <hyperlink ref="B278" r:id="rId520" display="file:///players/B/BeckOd00.htm" xr:uid="{A9443033-FDCF-7E41-B797-BF729ACF4727}"/>
    <hyperlink ref="B279" r:id="rId521" display="file:///players/B/BenkKu01.htm" xr:uid="{D962C9AD-ECE4-D748-9646-801D83AEDA45}"/>
    <hyperlink ref="C279" r:id="rId522" tooltip="Green Bay Packers" display="file:///teams/gnb/2021.htm" xr:uid="{5390671B-D193-9C48-912F-09EF30E47151}"/>
    <hyperlink ref="B280" r:id="rId523" display="file:///players/B/BoydTy00.htm" xr:uid="{A8B44EC0-D7A3-6F45-9822-A7C9A7D0AD21}"/>
    <hyperlink ref="C280" r:id="rId524" tooltip="Cincinnati Bengals" display="file:///teams/cin/2021.htm" xr:uid="{0BCD56E5-ADE6-3F4F-8B86-CF9D0A80BD81}"/>
    <hyperlink ref="B282" r:id="rId525" display="file:///players/B/BoylTi00.htm" xr:uid="{5778BE40-E5A0-4847-A93D-ADCF9B3CDFE8}"/>
    <hyperlink ref="C282" r:id="rId526" tooltip="Detroit Lions" display="file:///teams/det/2021.htm" xr:uid="{7F681BB1-7674-DE4F-B64F-782B90ECB1D1}"/>
    <hyperlink ref="B283" r:id="rId527" display="file:///players/B/BrowAJ00.htm" xr:uid="{F905B53E-59D4-B948-B043-013FEE32C37E}"/>
    <hyperlink ref="C283" r:id="rId528" tooltip="Tennessee Titans" display="file:///teams/oti/2021.htm" xr:uid="{611591B0-7E71-8343-9804-94F7FCA78636}"/>
    <hyperlink ref="B284" r:id="rId529" display="file:///players/C/CookBr00.htm" xr:uid="{5EB8A3D1-D11E-6B43-9F5B-2FFFC5158903}"/>
    <hyperlink ref="C284" r:id="rId530" tooltip="Houston Texans" display="file:///teams/htx/2021.htm" xr:uid="{F02761BD-AFCB-B844-83C2-C34E6FFF8502}"/>
    <hyperlink ref="B285" r:id="rId531" display="file:///players/D/DaniCh00.htm" xr:uid="{D5BE8A60-4DD9-3347-8656-5E55BCA21A96}"/>
    <hyperlink ref="C285" r:id="rId532" tooltip="Los Angeles Chargers" display="file:///teams/sdg/2021.htm" xr:uid="{A5730BA3-B183-604B-BFE6-CD3633912B65}"/>
    <hyperlink ref="B286" r:id="rId533" display="file:///players/E/EvanDa02.htm" xr:uid="{1E8E2D01-928D-1E43-A7CC-D811071080B3}"/>
    <hyperlink ref="C286" r:id="rId534" tooltip="Tennessee Titans" display="file:///teams/oti/2021.htm" xr:uid="{0D52B2DE-FD1F-3145-A987-FAC27E42DD56}"/>
    <hyperlink ref="B287" r:id="rId535" display="file:///players/F/FlacJo00.htm" xr:uid="{A7445E41-8939-674C-B4F8-57AEBEE278F3}"/>
    <hyperlink ref="C287" r:id="rId536" tooltip="New York Jets" display="file:///teams/nyj/2021.htm" xr:uid="{1F07C322-F401-F44A-812E-0CF80DE173B5}"/>
    <hyperlink ref="B288" r:id="rId537" display="file:///players/F/FunkJa00.htm" xr:uid="{E267B44C-9C10-2248-B744-5F1E7AB2490F}"/>
    <hyperlink ref="C288" r:id="rId538" tooltip="Los Angeles Rams" display="file:///teams/ram/2021.htm" xr:uid="{0DCF396B-1C97-AD42-AE0C-D01519075A4E}"/>
    <hyperlink ref="B289" r:id="rId539" display="file:///players/G/GoodMa00.htm" xr:uid="{8061EB38-4E14-864A-AF3D-8A37FF892E0C}"/>
    <hyperlink ref="C289" r:id="rId540" tooltip="Chicago Bears" display="file:///teams/chi/2021.htm" xr:uid="{E649B26C-BBD7-EE4D-825D-FF94BA4B77E8}"/>
    <hyperlink ref="B290" r:id="rId541" display="file:///players/I/IngoAl01.htm" xr:uid="{9E0DF7F7-A3FF-684A-9699-5C8CEFD60D1F}"/>
    <hyperlink ref="C290" r:id="rId542" tooltip="Las Vegas Raiders" display="file:///teams/rai/2021.htm" xr:uid="{31BDE367-8C75-E841-B4F4-E31B4A80588E}"/>
    <hyperlink ref="B291" r:id="rId543" display="file:///players/J/JanoAn00.htm" xr:uid="{145C8FE0-B1C8-4C4F-898C-2C36A19A315C}"/>
    <hyperlink ref="C291" r:id="rId544" tooltip="Cleveland Browns" display="file:///teams/cle/2021.htm" xr:uid="{81FF791B-20F1-C044-BA0E-710ABAE2D328}"/>
    <hyperlink ref="B292" r:id="rId545" display="file:///players/J/JeffVa00.htm" xr:uid="{1822AF30-56AE-E849-A616-99DB89564A44}"/>
    <hyperlink ref="C292" r:id="rId546" tooltip="Los Angeles Rams" display="file:///teams/ram/2021.htm" xr:uid="{70B97C05-B68D-B647-B7AA-FD26517312F6}"/>
    <hyperlink ref="B293" r:id="rId547" display="file:///players/J/JeudJe00.htm" xr:uid="{D81C8666-6558-CD4E-8523-80A5D82D961D}"/>
    <hyperlink ref="C293" r:id="rId548" tooltip="Denver Broncos" display="file:///teams/den/2021.htm" xr:uid="{C496E006-626E-F042-B8BF-8F5378EADBAE}"/>
    <hyperlink ref="B294" r:id="rId549" display="file:///players/J/JohnMa07.htm" xr:uid="{41DAD09B-1615-7342-82CC-40FF433AB18F}"/>
    <hyperlink ref="C294" r:id="rId550" tooltip="Tennessee Titans" display="file:///teams/oti/2021.htm" xr:uid="{1A0EEAA5-EC0D-474A-98B8-02C919459C8C}"/>
    <hyperlink ref="B295" r:id="rId551" display="file:///players/J/JoneZa00.htm" xr:uid="{481AC7E6-D5A0-5644-8335-F796E8233EC0}"/>
    <hyperlink ref="C295" r:id="rId552" tooltip="Las Vegas Raiders" display="file:///teams/rai/2021.htm" xr:uid="{FCE0ABB2-D549-8342-A2AA-728435DB0A7C}"/>
    <hyperlink ref="B296" r:id="rId553" display="file:///players/K/KelcTr00.htm" xr:uid="{94C5E1F5-B0E4-7946-8AC5-153A7EF2D522}"/>
    <hyperlink ref="C296" r:id="rId554" tooltip="Kansas City Chiefs" display="file:///teams/kan/2021.htm" xr:uid="{C561AECB-C2B2-534A-8694-A63AB54A2C28}"/>
    <hyperlink ref="B297" r:id="rId555" display="file:///players/K/KellJo00.htm" xr:uid="{E58F587D-8D0A-C64C-9022-773FD9422DCD}"/>
    <hyperlink ref="C297" r:id="rId556" tooltip="Cleveland Browns" display="file:///teams/cle/2021.htm" xr:uid="{201F6DF5-BFFD-604C-9470-C00F3B4AF584}"/>
    <hyperlink ref="B298" r:id="rId557" display="file:///players/L/LeavDa00.htm" xr:uid="{8ED389A5-73CB-2F4B-BA32-02BF750ACA95}"/>
    <hyperlink ref="C298" r:id="rId558" tooltip="Las Vegas Raiders" display="file:///teams/rai/2021.htm" xr:uid="{A7345750-6A9E-084B-B3FA-69B4D6BC890D}"/>
    <hyperlink ref="B299" r:id="rId559" display="file:///players/L/LockTy00.htm" xr:uid="{BD99D4F4-1D52-0741-A65B-0B670DC55669}"/>
    <hyperlink ref="C299" r:id="rId560" tooltip="Seattle Seahawks" display="file:///teams/sea/2021.htm" xr:uid="{04E2C977-9AE2-D347-9759-C1A2180CD3A5}"/>
    <hyperlink ref="B300" r:id="rId561" display="file:///players/M/MannSe00.htm" xr:uid="{8131FDA3-5793-FE49-BF81-0796D2F5AFCC}"/>
    <hyperlink ref="C300" r:id="rId562" tooltip="Minnesota Vikings" display="file:///teams/min/2021.htm" xr:uid="{093FD06F-5BF2-A64D-8132-DA20BA4D9309}"/>
    <hyperlink ref="B301" r:id="rId563" display="file:///players/M/McClRa00.htm" xr:uid="{0CA58020-504E-8F45-A330-1947F7555A1D}"/>
    <hyperlink ref="C301" r:id="rId564" tooltip="Pittsburgh Steelers" display="file:///teams/pit/2021.htm" xr:uid="{985DBF48-6098-BE44-8090-4F9BBE686CC4}"/>
    <hyperlink ref="B302" r:id="rId565" display="file:///players/M/MillSc01.htm" xr:uid="{1F7403CE-2149-1A44-A9E4-DC127C8E7E8C}"/>
    <hyperlink ref="C302" r:id="rId566" tooltip="Tampa Bay Buccaneers" display="file:///teams/tam/2021.htm" xr:uid="{FBBAAA35-ABF8-E84A-9BF9-1F69F29E4014}"/>
    <hyperlink ref="B303" r:id="rId567" display="file:///players/M/MostRa00.htm" xr:uid="{28F8C594-C45D-B346-8F54-3DBDE7BA113F}"/>
    <hyperlink ref="C303" r:id="rId568" tooltip="San Francisco 49ers" display="file:///teams/sfo/2021.htm" xr:uid="{A18D7450-1997-2F4E-A814-3C37CB28987E}"/>
    <hyperlink ref="B304" r:id="rId569" display="file:///players/P/PascZa00.htm" xr:uid="{B1636226-B7D8-ED4F-894B-DE9213E612E6}"/>
    <hyperlink ref="C304" r:id="rId570" tooltip="Indianapolis Colts" display="file:///teams/clt/2021.htm" xr:uid="{9304C558-BC38-2548-AC6C-201589F4C188}"/>
    <hyperlink ref="B305" r:id="rId571" display="file:///players/P/PatrJa01.htm" xr:uid="{8775442B-E94B-7B43-A16A-D81A4F9E7424}"/>
    <hyperlink ref="C305" r:id="rId572" tooltip="San Francisco 49ers" display="file:///teams/sfo/2021.htm" xr:uid="{203B3BB4-5163-EB48-B594-99E6A0A2ED9D}"/>
    <hyperlink ref="B306" r:id="rId573" display="file:///players/P/PeteNa00.htm" xr:uid="{49E166A8-6CFD-184B-8F78-8A139057B50C}"/>
    <hyperlink ref="C306" r:id="rId574" tooltip="Las Vegas Raiders" display="file:///teams/rai/2021.htm" xr:uid="{06299EFD-F41D-6842-94F3-D1C03F46DC68}"/>
    <hyperlink ref="B307" r:id="rId575" display="file:///players/R/RicaPa00.htm" xr:uid="{41DBD91C-FE27-264D-8036-2A5F66AF1289}"/>
    <hyperlink ref="C307" r:id="rId576" tooltip="Baltimore Ravens" display="file:///teams/rav/2021.htm" xr:uid="{E6B42C89-A2E1-DA49-AEE2-70CA446C505C}"/>
    <hyperlink ref="B308" r:id="rId577" display="file:///players/S/SandEm00.htm" xr:uid="{E12E8FD2-6A39-5445-884E-A9208C2F829B}"/>
    <hyperlink ref="C308" r:id="rId578" tooltip="Buffalo Bills" display="file:///teams/buf/2021.htm" xr:uid="{5C6521A8-6694-6743-9075-1D1096C0B959}"/>
    <hyperlink ref="B309" r:id="rId579" display="file:///players/S/SmytDu00.htm" xr:uid="{CD0337E8-909C-DD45-A569-D50E06F7C028}"/>
    <hyperlink ref="C309" r:id="rId580" tooltip="Miami Dolphins" display="file:///teams/mia/2021.htm" xr:uid="{D13BE14B-D7B8-B844-AD72-FA07D34D14F6}"/>
    <hyperlink ref="B310" r:id="rId581" display="file:///players/W/WaddJa00.htm" xr:uid="{3C680370-20D8-6C44-8266-69AD00CF6575}"/>
    <hyperlink ref="C310" r:id="rId582" tooltip="Miami Dolphins" display="file:///teams/mia/2021.htm" xr:uid="{E2920C2E-AB61-0D42-A86D-9C710C58A647}"/>
    <hyperlink ref="B311" r:id="rId583" display="file:///players/W/WashJa00.htm" xr:uid="{5287CA9B-7D56-314C-90AA-E4F5EBEFCCD9}"/>
    <hyperlink ref="C311" r:id="rId584" tooltip="Pittsburgh Steelers" display="file:///teams/pit/2021.htm" xr:uid="{5F1CE975-0854-884B-B914-FE83714D4F9C}"/>
    <hyperlink ref="B313" r:id="rId585" display="file:///players/W/WebbDa00.htm" xr:uid="{90B8540F-16C2-3C41-AB83-F688B5DFB8E5}"/>
    <hyperlink ref="C313" r:id="rId586" tooltip="Buffalo Bills" display="file:///teams/buf/2021.htm" xr:uid="{1B876064-3370-F94D-9F4C-777106759A98}"/>
    <hyperlink ref="B314" r:id="rId587" display="file:///players/W/WilsCe01.htm" xr:uid="{BD58A8DA-D140-EA40-B2BE-D0151C0F2402}"/>
    <hyperlink ref="C314" r:id="rId588" tooltip="Dallas Cowboys" display="file:///teams/dal/2021.htm" xr:uid="{BD8C2198-50CC-8141-9005-175DDA546093}"/>
    <hyperlink ref="B315" r:id="rId589" display="file:///players/W/WolfJo00.htm" xr:uid="{3288FE19-0AB2-E944-8224-2059D552D581}"/>
    <hyperlink ref="C315" r:id="rId590" tooltip="Los Angeles Rams" display="file:///teams/ram/2021.htm" xr:uid="{743D8CF9-73AC-B648-A482-4A40C0A27173}"/>
    <hyperlink ref="B316" r:id="rId591" display="file:///players/A/AkinJo00.htm" xr:uid="{CDAD9299-CA2C-C548-A872-218D3D7FBC1E}"/>
    <hyperlink ref="C316" r:id="rId592" tooltip="Houston Texans" display="file:///teams/htx/2021.htm" xr:uid="{B4928C97-A285-1F4B-853F-BBD0671C5EB2}"/>
    <hyperlink ref="B317" r:id="rId593" display="file:///players/A/AndrMa00.htm" xr:uid="{416AE791-1DFE-1F4A-9877-92810EA12CE1}"/>
    <hyperlink ref="C317" r:id="rId594" tooltip="Baltimore Ravens" display="file:///teams/rav/2021.htm" xr:uid="{8F55B439-A28E-EB40-BD88-3FA3C3D5E6FA}"/>
    <hyperlink ref="B318" r:id="rId595" display="file:///players/B/BachAl00.htm" xr:uid="{85130794-9C3B-364F-B62E-9BB91DFE684C}"/>
    <hyperlink ref="C318" r:id="rId596" tooltip="New York Giants" display="file:///teams/nyg/2021.htm" xr:uid="{7FD2EC4E-1541-CD42-9E69-9FE2905AE762}"/>
    <hyperlink ref="B319" r:id="rId597" display="file:///players/B/BeatC.00.htm" xr:uid="{6022050A-E920-194F-A9B0-D4EB551EA819}"/>
    <hyperlink ref="C319" r:id="rId598" tooltip="Jacksonville Jaguars" display="file:///teams/jax/2021.htm" xr:uid="{80BC6269-43D2-8345-A3D0-DE0B4255241E}"/>
    <hyperlink ref="B320" r:id="rId599" display="file:///players/B/BlouDa00.htm" xr:uid="{6276AC49-AABF-E040-B340-BEA752D2986B}"/>
    <hyperlink ref="C320" r:id="rId600" tooltip="Detroit Lions" display="file:///teams/det/2021.htm" xr:uid="{467BA539-6FC5-2941-BB3F-520EC18AC6F4}"/>
    <hyperlink ref="B321" r:id="rId601" display="file:///players/B/BoarC.00.htm" xr:uid="{26CD170D-C996-F449-AF13-2B468BDDA487}"/>
    <hyperlink ref="C321" r:id="rId602" tooltip="New York Giants" display="file:///teams/nyg/2021.htm" xr:uid="{3F3AF077-F36A-0948-B12C-DFA97C9BA322}"/>
    <hyperlink ref="B322" r:id="rId603" display="file:///players/B/BonnRe00.htm" xr:uid="{038079A9-B101-9F47-AEA0-873D237E018E}"/>
    <hyperlink ref="C322" r:id="rId604" tooltip="Carolina Panthers" display="file:///teams/car/2021.htm" xr:uid="{B0A71765-8C73-FA4D-816F-17D3B611C3A6}"/>
    <hyperlink ref="B323" r:id="rId605" display="file:///players/B/BrigGa00.htm" xr:uid="{5C0144D2-4147-8846-A965-09EE777EE189}"/>
    <hyperlink ref="C323" r:id="rId606" tooltip="New York Giants" display="file:///teams/nyg/2021.htm" xr:uid="{1CCF51CA-19F1-194F-AF94-9D9D7B8E5A8B}"/>
    <hyperlink ref="B324" r:id="rId607" display="file:///players/B/BrowAn04.htm" xr:uid="{038BE199-254C-F240-8E38-231362D70F17}"/>
    <hyperlink ref="C324" r:id="rId608" tooltip="Tampa Bay Buccaneers" display="file:///teams/tam/2021.htm" xr:uid="{608A8548-45F8-664C-B400-B8A1B821A1F2}"/>
    <hyperlink ref="B325" r:id="rId609" display="file:///players/B/BrowDy00.htm" xr:uid="{ADB309CA-9D2C-8A44-A4F7-0EB2199FAF97}"/>
    <hyperlink ref="C325" r:id="rId610" tooltip="Washington Football Team" display="file:///teams/was/2021.htm" xr:uid="{E8BC48A0-EB10-5F4F-A741-C46702DBF49C}"/>
    <hyperlink ref="B326" r:id="rId611" display="file:///players/B/BrowMa04.htm" xr:uid="{87FC2F43-59C3-574F-89F9-CAC953D652A3}"/>
    <hyperlink ref="C326" r:id="rId612" tooltip="Baltimore Ravens" display="file:///teams/rav/2021.htm" xr:uid="{C1F00EBA-4601-224F-972B-AB88F59125E3}"/>
    <hyperlink ref="B327" r:id="rId613" display="file:///players/C/ChanSe00.htm" xr:uid="{5596F010-78F3-284A-9B1E-AF243A93630F}"/>
    <hyperlink ref="C327" r:id="rId614" tooltip="Carolina Panthers" display="file:///teams/car/2021.htm" xr:uid="{3AE1A487-892C-CB4F-84CD-E2BAC26E7980}"/>
    <hyperlink ref="B328" r:id="rId615" display="file:///players/C/CobbRa00.htm" xr:uid="{B17EC8FB-1413-DD4A-BA5B-99A108F89491}"/>
    <hyperlink ref="C328" r:id="rId616" tooltip="Green Bay Packers" display="file:///teams/gnb/2021.htm" xr:uid="{92C46535-4BFD-564D-9B3F-31E19895BEA5}"/>
    <hyperlink ref="B329" r:id="rId617" display="file:///players/C/ConlCh00.htm" xr:uid="{F2C5104C-F23E-5E48-B405-6073D141CFB7}"/>
    <hyperlink ref="C329" r:id="rId618" tooltip="Houston Texans" display="file:///teams/htx/2021.htm" xr:uid="{33BA69A4-5521-DC4A-A0A2-25D77BF6B192}"/>
    <hyperlink ref="B330" r:id="rId619" display="file:///players/C/CoopPh00.htm" xr:uid="{D332F95D-5E98-3C4A-9715-E6B04D953A25}"/>
    <hyperlink ref="C330" r:id="rId620" tooltip="New York Giants" display="file:///teams/nyg/2021.htm" xr:uid="{5FCEF051-79E3-BB40-9E71-5330DC34E4EC}"/>
    <hyperlink ref="B331" r:id="rId621" display="file:///players/C/CottNa00.htm" xr:uid="{31F609F7-A335-6043-96E5-8DA797BECB37}"/>
    <hyperlink ref="C331" r:id="rId622" tooltip="Jacksonville Jaguars" display="file:///teams/jax/2021.htm" xr:uid="{957C7660-F0A4-904A-811A-99AF83678848}"/>
    <hyperlink ref="B332" r:id="rId623" display="file:///players/D/DardJa00.htm" xr:uid="{AC3B5A13-1A30-B941-9EBD-1B701F20BF5E}"/>
    <hyperlink ref="C332" r:id="rId624" tooltip="Tampa Bay Buccaneers" display="file:///teams/tam/2021.htm" xr:uid="{952E140A-E204-7540-8990-0857D2D254EB}"/>
    <hyperlink ref="B333" r:id="rId625" display="file:///players/D/DorsPh00.htm" xr:uid="{5B2773A0-DD3E-404C-84C3-ACC58D6A73A7}"/>
    <hyperlink ref="B334" r:id="rId626" display="file:///players/D/DortGr01.htm" xr:uid="{0EB4D553-0C04-D54B-AB1D-C6F0ED5BE9A6}"/>
    <hyperlink ref="C334" r:id="rId627" tooltip="Arizona Cardinals" display="file:///teams/crd/2021.htm" xr:uid="{538836ED-74AD-FB41-9536-938EB3F50866}"/>
    <hyperlink ref="B335" r:id="rId628" display="file:///players/E/EbroEr00.htm" xr:uid="{0D3E5066-306B-4241-B1F8-EF5A9AE6402A}"/>
    <hyperlink ref="C335" r:id="rId629" tooltip="Pittsburgh Steelers" display="file:///teams/pit/2021.htm" xr:uid="{89F9D2ED-C2F6-6D4E-A32E-D9B2E43D3A11}"/>
    <hyperlink ref="B336" r:id="rId630" display="file:///players/E/EdwaBr01.htm" xr:uid="{AC97BD56-5855-4F43-998C-ABE61BE3E83D}"/>
    <hyperlink ref="C336" r:id="rId631" tooltip="Las Vegas Raiders" display="file:///teams/rai/2021.htm" xr:uid="{AA91BDFB-76D9-8247-B3E2-8A16C373A2D7}"/>
    <hyperlink ref="B337" r:id="rId632" display="file:///players/E/EngrEv00.htm" xr:uid="{604E6669-5884-F74F-B331-DA6EB5F6BC84}"/>
    <hyperlink ref="C337" r:id="rId633" tooltip="New York Giants" display="file:///teams/nyg/2021.htm" xr:uid="{C5AFB036-97AC-B84C-8D24-F288B70D303C}"/>
    <hyperlink ref="B338" r:id="rId634" display="file:///players/E/ErtzZa00.htm" xr:uid="{FF916741-E1B3-7C4D-B712-BC0F2E16B4D0}"/>
    <hyperlink ref="B339" r:id="rId635" display="file:///players/E/EvanMi00.htm" xr:uid="{23BBB297-7474-DE42-8E04-83F28AF428EE}"/>
    <hyperlink ref="C339" r:id="rId636" tooltip="Tampa Bay Buccaneers" display="file:///teams/tam/2021.htm" xr:uid="{5EC6C060-B1EF-6844-8FED-3A91AC85A5AD}"/>
    <hyperlink ref="B340" r:id="rId637" display="file:///players/F/FejeCl00.htm" xr:uid="{09D99CA9-F1EF-2C45-9B2D-FC62CFFAE9E7}"/>
    <hyperlink ref="C340" r:id="rId638" tooltip="Miami Dolphins" display="file:///teams/mia/2021.htm" xr:uid="{F6CA5A3D-8C10-B14E-842E-39C1BDA06CB4}"/>
    <hyperlink ref="B341" r:id="rId639" display="file:///players/F/FfreMa00.htm" xr:uid="{FC09E320-A2D9-8B4C-A732-EA5E14AF4A45}"/>
    <hyperlink ref="C341" r:id="rId640" tooltip="Los Angeles Chargers" display="file:///teams/sdg/2021.htm" xr:uid="{3C16C8F9-2145-B449-86CA-161E8E6F9A67}"/>
    <hyperlink ref="B342" r:id="rId641" display="file:///players/F/FitzRy00.htm" xr:uid="{D98D0DA9-7811-9D49-AE6A-B5F1B5F392B3}"/>
    <hyperlink ref="C342" r:id="rId642" tooltip="Washington Football Team" display="file:///teams/was/2021.htm" xr:uid="{2775FFC3-7888-3441-94F2-64B124FA4797}"/>
    <hyperlink ref="B344" r:id="rId643" display="file:///players/G/GillJa00.htm" xr:uid="{B44BF81F-2C1D-D54F-9105-2ABFF41A5B5C}"/>
    <hyperlink ref="C344" r:id="rId644" tooltip="Cleveland Browns" display="file:///teams/cle/2021.htm" xr:uid="{E519ECA4-7E96-C545-BACE-13A2D56BF2EE}"/>
    <hyperlink ref="B345" r:id="rId645" display="file:///players/G/GrayCy01.htm" xr:uid="{69FABF9C-B435-494A-BD42-371C070F1E9B}"/>
    <hyperlink ref="C345" r:id="rId646" tooltip="Tampa Bay Buccaneers" display="file:///teams/tam/2021.htm" xr:uid="{A8BA1726-D6E1-7849-AEAF-9989BAAAA397}"/>
    <hyperlink ref="B346" r:id="rId647" display="file:///players/H/HekkJo00.htm" xr:uid="{61C8FD61-91B0-F441-B306-F7572007CE77}"/>
    <hyperlink ref="C346" r:id="rId648" tooltip="Los Angeles Rams" display="file:///teams/ram/2021.htm" xr:uid="{E42257C4-6B81-FD46-A2EB-FDFED09D6548}"/>
    <hyperlink ref="B347" r:id="rId649" display="file:///players/J/JackDe00.htm" xr:uid="{25A4E5AB-80A3-1441-A7D5-4786FA5B6DE8}"/>
    <hyperlink ref="B348" r:id="rId650" display="file:///players/K/KirkCh01.htm" xr:uid="{57EA0B8E-CEB1-F54F-B6FC-ADD28250CDE9}"/>
    <hyperlink ref="C348" r:id="rId651" tooltip="Arizona Cardinals" display="file:///teams/crd/2021.htm" xr:uid="{877F7803-2E48-BC46-9085-5398B72921DA}"/>
    <hyperlink ref="B349" r:id="rId652" display="file:///players/K/KmetCo00.htm" xr:uid="{7291A139-A91E-BC4B-AB9C-7096BDAF44D8}"/>
    <hyperlink ref="C349" r:id="rId653" tooltip="Chicago Bears" display="file:///teams/chi/2021.htm" xr:uid="{A31F7B33-CE15-834C-B691-2DF11CA92E14}"/>
    <hyperlink ref="B350" r:id="rId654" display="file:///players/L/LairPa00.htm" xr:uid="{0DA37435-85F1-D94E-9A4F-EF75684AE78C}"/>
    <hyperlink ref="C350" r:id="rId655" tooltip="Miami Dolphins" display="file:///teams/mia/2021.htm" xr:uid="{D193C994-FFD0-1749-AB60-367E3F2861C5}"/>
    <hyperlink ref="B351" r:id="rId656" display="file:///players/L/LeexAn20.htm" xr:uid="{454D7AA2-5215-0544-8D7A-CB4999930213}"/>
    <hyperlink ref="C351" r:id="rId657" tooltip="Arizona Cardinals" display="file:///teams/crd/2021.htm" xr:uid="{91F3423C-8BF8-A941-AD9A-1E49E787A7A3}"/>
    <hyperlink ref="B352" r:id="rId658" display="file:///players/M/MannBr01.htm" xr:uid="{08C04024-B5CA-C14C-8A0A-9A0078AE5ACB}"/>
    <hyperlink ref="C352" r:id="rId659" tooltip="New York Jets" display="file:///teams/nyj/2021.htm" xr:uid="{0DB86141-331B-0445-93B1-14A26FA79C20}"/>
    <hyperlink ref="B353" r:id="rId660" display="file:///players/M/McCrNa00.htm" xr:uid="{9FDAA776-4D84-D341-8509-0B77C50859FB}"/>
    <hyperlink ref="C353" r:id="rId661" tooltip="Baltimore Ravens" display="file:///teams/rav/2021.htm" xr:uid="{E9E4C352-C64A-F24B-AAD9-023FBE271B1A}"/>
    <hyperlink ref="B354" r:id="rId662" display="file:///players/M/McLaTe00.htm" xr:uid="{796028C5-71AF-7644-B533-13200D64009F}"/>
    <hyperlink ref="C354" r:id="rId663" tooltip="Washington Football Team" display="file:///teams/was/2021.htm" xr:uid="{21C4A3BE-DE78-1D4B-A14E-359345F8ACF3}"/>
    <hyperlink ref="B355" r:id="rId664" display="file:///players/M/MetcDK00.htm" xr:uid="{237147E3-E716-BF49-8BDA-B6C6435A7B0B}"/>
    <hyperlink ref="C355" r:id="rId665" tooltip="Seattle Seahawks" display="file:///teams/sea/2021.htm" xr:uid="{E3F89B9D-472C-9D44-BE82-C02B036B9BD2}"/>
    <hyperlink ref="B356" r:id="rId666" display="file:///players/M/MeyeJa01.htm" xr:uid="{3FA7541C-6254-C54B-8D88-E59EF16AA7A4}"/>
    <hyperlink ref="C356" r:id="rId667" tooltip="New England Patriots" display="file:///teams/nwe/2021.htm" xr:uid="{1B6F0109-0031-B84D-A87B-EE99343B6779}"/>
    <hyperlink ref="B357" r:id="rId668" display="file:///players/M/MilnDa00.htm" xr:uid="{DB37FEA9-E361-2E44-AFFA-B8AE95611441}"/>
    <hyperlink ref="C357" r:id="rId669" tooltip="Washington Football Team" display="file:///teams/was/2021.htm" xr:uid="{E8634531-2A3B-A54E-B236-390C6C0D60F4}"/>
    <hyperlink ref="B358" r:id="rId670" display="file:///players/M/MoorCJ01.htm" xr:uid="{1E1B7227-1F9E-CB4B-9C64-48A5A338EA9C}"/>
    <hyperlink ref="C358" r:id="rId671" tooltip="Detroit Lions" display="file:///teams/det/2021.htm" xr:uid="{84CAA6E5-E7F1-B14B-86AC-35062123CBCA}"/>
    <hyperlink ref="B359" r:id="rId672" display="file:///players/M/MorgSt02.htm" xr:uid="{2771A757-A7C0-D845-B9E3-308B18B91990}"/>
    <hyperlink ref="C359" r:id="rId673" tooltip="Cincinnati Bengals" display="file:///teams/cin/2021.htm" xr:uid="{59670B1F-F53A-7349-812B-B75AFDAD3746}"/>
    <hyperlink ref="B360" r:id="rId674" display="file:///players/N/NallRy00.htm" xr:uid="{069CAABC-B71F-4A45-87B6-FD7712AA278D}"/>
    <hyperlink ref="C360" r:id="rId675" tooltip="Chicago Bears" display="file:///teams/chi/2021.htm" xr:uid="{7A86B94D-EE4E-E747-AEEA-8AD7A94D2B00}"/>
    <hyperlink ref="B361" r:id="rId676" display="file:///players/N/NjokDa00.htm" xr:uid="{CD768D47-F8A0-A846-9F47-8DFA23268E3B}"/>
    <hyperlink ref="C361" r:id="rId677" tooltip="Cleveland Browns" display="file:///teams/cle/2021.htm" xr:uid="{F073669A-0B8E-8443-91C0-DC94F32CD172}"/>
    <hyperlink ref="B362" r:id="rId678" display="file:///players/O/OlszGu00.htm" xr:uid="{F25575CA-B016-2A41-9A7F-0F781A4DCE93}"/>
    <hyperlink ref="C362" r:id="rId679" tooltip="New England Patriots" display="file:///teams/nwe/2021.htm" xr:uid="{08D90B70-2D08-7141-A0AC-AC2CDDC75CB1}"/>
    <hyperlink ref="B363" r:id="rId680" display="file:///players/O/OsboKJ00.htm" xr:uid="{5E038874-6198-8F4F-BF06-595AC922A35F}"/>
    <hyperlink ref="C363" r:id="rId681" tooltip="Minnesota Vikings" display="file:///teams/min/2021.htm" xr:uid="{193C19E3-E7D9-8845-9075-84674F210A9D}"/>
    <hyperlink ref="B364" r:id="rId682" display="file:///players/O/OzigDe01.htm" xr:uid="{7A6FFE67-A8C9-2941-8362-B77EA4356172}"/>
    <hyperlink ref="B365" r:id="rId683" display="file:///players/P/PalaMi00.htm" xr:uid="{2532389D-31A4-C041-B7CC-CFC5AA82E8DD}"/>
    <hyperlink ref="C365" r:id="rId684" tooltip="Miami Dolphins" display="file:///teams/mia/2021.htm" xr:uid="{83850D63-18E7-A04C-8E45-9224801F407D}"/>
    <hyperlink ref="B366" r:id="rId685" display="file:///players/P/PalmJo00.htm" xr:uid="{8E15D609-A5C9-E74A-9735-6756BA04078B}"/>
    <hyperlink ref="C366" r:id="rId686" tooltip="Los Angeles Chargers" display="file:///teams/sdg/2021.htm" xr:uid="{E0250307-5A71-3E46-A61F-44C0D588E83D}"/>
    <hyperlink ref="B367" r:id="rId687" display="file:///players/P/PerrBr02.htm" xr:uid="{90CA3B19-DABD-634E-8A21-020A3BE52179}"/>
    <hyperlink ref="C367" r:id="rId688" tooltip="Tampa Bay Buccaneers" display="file:///teams/tam/2021.htm" xr:uid="{BBE6BEAC-2D32-9740-B33B-4B3A1882B111}"/>
    <hyperlink ref="B368" r:id="rId689" display="file:///players/R/RagaTr00.htm" xr:uid="{020E9016-78E8-5544-914E-FA4320074960}"/>
    <hyperlink ref="C368" r:id="rId690" tooltip="Las Vegas Raiders" display="file:///teams/rai/2021.htm" xr:uid="{57B5EAF8-D5F5-024B-B35D-6BB3D07D643D}"/>
    <hyperlink ref="B369" r:id="rId691" display="file:///players/R/RodgAm00.htm" xr:uid="{C73E7359-FD90-874E-83E5-6A86CABF87A2}"/>
    <hyperlink ref="C369" r:id="rId692" tooltip="Green Bay Packers" display="file:///teams/gnb/2021.htm" xr:uid="{F4C9C133-748B-834B-880C-E570429EF15E}"/>
    <hyperlink ref="B370" r:id="rId693" display="file:///players/R/RogeCh02.htm" xr:uid="{590E7688-2134-AD44-A6E3-F701313500E0}"/>
    <hyperlink ref="C370" r:id="rId694" tooltip="Tennessee Titans" display="file:///teams/oti/2021.htm" xr:uid="{20DCB09D-3C86-A34F-B1E4-D67D2A87BF08}"/>
    <hyperlink ref="B371" r:id="rId695" display="file:///players/R/RossJo00.htm" xr:uid="{027E7357-F78F-534A-BE54-79082A8A3B49}"/>
    <hyperlink ref="C371" r:id="rId696" tooltip="New York Giants" display="file:///teams/nyg/2021.htm" xr:uid="{B18336F7-CF78-094F-BDD8-FAC1ECBFE734}"/>
    <hyperlink ref="B372" r:id="rId697" display="file:///players/S/ShepSt00.htm" xr:uid="{7270F7A1-6326-5C4C-B784-202BEBFAEED4}"/>
    <hyperlink ref="C372" r:id="rId698" tooltip="New York Giants" display="file:///teams/nyg/2021.htm" xr:uid="{87008D42-A36E-6A4B-9AE2-3F2913B545E7}"/>
    <hyperlink ref="B373" r:id="rId699" display="file:///players/S/SimsCa00.htm" xr:uid="{9A0DAD75-13F6-D646-99B8-63984EE5C585}"/>
    <hyperlink ref="C373" r:id="rId700" tooltip="Washington Football Team" display="file:///teams/was/2021.htm" xr:uid="{2E95B185-30EF-9A4D-81E6-ABCBFEDCE4FC}"/>
    <hyperlink ref="B375" r:id="rId701" display="file:///players/S/SlayDa01.htm" xr:uid="{F5C4D833-4359-0742-9051-1EDB069015BE}"/>
    <hyperlink ref="C375" r:id="rId702" tooltip="New York Giants" display="file:///teams/nyg/2021.htm" xr:uid="{FA8323D7-E698-C94E-A7B8-EAD3DD9073BF}"/>
    <hyperlink ref="B376" r:id="rId703" display="file:///players/S/SmitIt00.htm" xr:uid="{166F5BE4-8A91-7F42-8048-E3F35E78B763}"/>
    <hyperlink ref="C376" r:id="rId704" tooltip="Dallas Cowboys" display="file:///teams/dal/2021.htm" xr:uid="{612333FC-2CE6-6F4C-B0AF-5A1D3B6337E3}"/>
    <hyperlink ref="B377" r:id="rId705" display="file:///players/S/SmitJe03.htm" xr:uid="{8C570772-78B9-EB4F-8D55-14D5E96D9937}"/>
    <hyperlink ref="C377" r:id="rId706" tooltip="New York Jets" display="file:///teams/nyj/2021.htm" xr:uid="{8552E4A2-BD2E-8343-83CC-543E18446E71}"/>
    <hyperlink ref="B378" r:id="rId707" display="file:///players/S/SmitSh03.htm" xr:uid="{4FDB5F4B-58BE-FB4E-8085-BE0582031A8C}"/>
    <hyperlink ref="C378" r:id="rId708" tooltip="Carolina Panthers" display="file:///teams/car/2021.htm" xr:uid="{78F08C98-9A56-914A-8A09-3F93043505F5}"/>
    <hyperlink ref="B379" r:id="rId709" display="file:///players/S/SmitTr04.htm" xr:uid="{8FF45FAD-2D1D-0C4F-B370-CF9C85CC1F37}"/>
    <hyperlink ref="C379" r:id="rId710" tooltip="Houston Texans" display="file:///teams/htx/2021.htm" xr:uid="{823109BE-9FD4-3449-BE15-4ECADE7E6B1A}"/>
    <hyperlink ref="B380" r:id="rId711" display="file:///players/S/StilKe00.htm" xr:uid="{0F98AD69-1A2C-ED45-9F5D-5CBBFF2018A8}"/>
    <hyperlink ref="C380" r:id="rId712" tooltip="New Orleans Saints" display="file:///teams/nor/2021.htm" xr:uid="{DC06F99E-E764-C84B-8037-E681BF0FB932}"/>
    <hyperlink ref="B381" r:id="rId713" display="file:///players/T/ThieAd00.htm" xr:uid="{9C0F214E-1AC9-6841-BB8E-D906B060B1A7}"/>
    <hyperlink ref="C381" r:id="rId714" tooltip="Minnesota Vikings" display="file:///teams/min/2021.htm" xr:uid="{BF52C4C2-3161-DC40-A97D-7BA237AF45E2}"/>
    <hyperlink ref="B382" r:id="rId715" display="file:///players/W/WatkQu00.htm" xr:uid="{F9475A12-6192-154C-84DC-86437CFCFFE7}"/>
    <hyperlink ref="C382" r:id="rId716" tooltip="Philadelphia Eagles" display="file:///teams/phi/2021.htm" xr:uid="{2122A58C-59B5-7445-B8E3-5526D4078049}"/>
    <hyperlink ref="B383" r:id="rId717" display="file:///players/W/WattDe00.htm" xr:uid="{F4EBF588-E1F9-BF40-9751-68A6319A7587}"/>
    <hyperlink ref="C383" r:id="rId718" tooltip="Pittsburgh Steelers" display="file:///teams/pit/2021.htm" xr:uid="{508086DE-4E23-AB4E-9ACF-8B1EC242A0D9}"/>
    <hyperlink ref="B384" r:id="rId719" display="file:///players/W/WillPr01.htm" xr:uid="{2E48ACB6-A79A-834C-ABD2-A1830498E614}"/>
    <hyperlink ref="C384" r:id="rId720" tooltip="Miami Dolphins" display="file:///teams/mia/2021.htm" xr:uid="{479FEE49-4082-C344-9119-B3B50CE5F4D7}"/>
    <hyperlink ref="B385" r:id="rId721" display="file:///players/W/WingAn01.htm" xr:uid="{AC2F8114-0F15-1448-8578-BC3150147DFA}"/>
    <hyperlink ref="C385" r:id="rId722" tooltip="Jacksonville Jaguars" display="file:///teams/jax/2021.htm" xr:uid="{6F254BB6-3C37-BB43-82DB-E1C746BFD194}"/>
    <hyperlink ref="B386" r:id="rId723" display="file:///players/Z/ZaccOl01.htm" xr:uid="{88767BD9-F54D-634E-9A32-E9B0EAB1506D}"/>
    <hyperlink ref="C386" r:id="rId724" tooltip="Atlanta Falcons" display="file:///teams/atl/2021.htm" xr:uid="{51DE7BF9-6AB3-1440-8DCF-E7CD8986D581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P385"/>
  <sheetViews>
    <sheetView workbookViewId="0"/>
  </sheetViews>
  <sheetFormatPr baseColWidth="10" defaultColWidth="8.83203125" defaultRowHeight="15" x14ac:dyDescent="0.2"/>
  <cols>
    <col min="1" max="1" width="5.5" bestFit="1" customWidth="1"/>
    <col min="2" max="3" width="24.33203125" bestFit="1" customWidth="1"/>
    <col min="4" max="4" width="8.1640625" bestFit="1" customWidth="1"/>
    <col min="5" max="5" width="6.6640625" bestFit="1" customWidth="1"/>
    <col min="6" max="6" width="6.5" bestFit="1" customWidth="1"/>
    <col min="7" max="7" width="9.5" bestFit="1" customWidth="1"/>
    <col min="8" max="8" width="16.5" bestFit="1" customWidth="1"/>
    <col min="9" max="9" width="13.5" bestFit="1" customWidth="1"/>
    <col min="10" max="10" width="13.83203125" bestFit="1" customWidth="1"/>
    <col min="11" max="12" width="13" bestFit="1" customWidth="1"/>
    <col min="13" max="13" width="13.6640625" bestFit="1" customWidth="1"/>
    <col min="14" max="14" width="17.5" bestFit="1" customWidth="1"/>
    <col min="15" max="15" width="18" bestFit="1" customWidth="1"/>
    <col min="16" max="16" width="7.1640625" bestFit="1" customWidth="1"/>
  </cols>
  <sheetData>
    <row r="1" spans="1:16" x14ac:dyDescent="0.2">
      <c r="A1" t="s">
        <v>902</v>
      </c>
      <c r="B1" t="s">
        <v>903</v>
      </c>
      <c r="C1" t="s">
        <v>904</v>
      </c>
      <c r="D1" t="s">
        <v>21</v>
      </c>
      <c r="E1" t="s">
        <v>905</v>
      </c>
      <c r="F1" t="s">
        <v>906</v>
      </c>
      <c r="G1" t="s">
        <v>907</v>
      </c>
      <c r="H1" t="s">
        <v>908</v>
      </c>
      <c r="I1" t="s">
        <v>1409</v>
      </c>
      <c r="J1" t="s">
        <v>1410</v>
      </c>
      <c r="K1" t="s">
        <v>1411</v>
      </c>
      <c r="L1" t="s">
        <v>1412</v>
      </c>
      <c r="M1" t="s">
        <v>1413</v>
      </c>
      <c r="N1" t="s">
        <v>1414</v>
      </c>
      <c r="O1" t="s">
        <v>1415</v>
      </c>
      <c r="P1" t="s">
        <v>1416</v>
      </c>
    </row>
    <row r="2" spans="1:16" x14ac:dyDescent="0.2">
      <c r="A2" t="s">
        <v>931</v>
      </c>
      <c r="B2" t="s">
        <v>1583</v>
      </c>
      <c r="C2" t="s">
        <v>76</v>
      </c>
      <c r="D2" t="s">
        <v>77</v>
      </c>
      <c r="E2" t="s">
        <v>952</v>
      </c>
      <c r="F2" t="s">
        <v>68</v>
      </c>
      <c r="G2" t="s">
        <v>1144</v>
      </c>
      <c r="H2" t="s">
        <v>1144</v>
      </c>
      <c r="I2" t="s">
        <v>1584</v>
      </c>
      <c r="J2" t="s">
        <v>1585</v>
      </c>
      <c r="K2" t="s">
        <v>944</v>
      </c>
      <c r="L2" t="s">
        <v>1424</v>
      </c>
      <c r="M2" t="s">
        <v>1538</v>
      </c>
      <c r="N2" t="s">
        <v>1189</v>
      </c>
      <c r="O2" t="s">
        <v>1586</v>
      </c>
      <c r="P2" t="s">
        <v>951</v>
      </c>
    </row>
    <row r="3" spans="1:16" x14ac:dyDescent="0.2">
      <c r="A3" t="s">
        <v>941</v>
      </c>
      <c r="B3" t="s">
        <v>1587</v>
      </c>
      <c r="C3" t="s">
        <v>72</v>
      </c>
      <c r="D3" t="s">
        <v>73</v>
      </c>
      <c r="E3" t="s">
        <v>1088</v>
      </c>
      <c r="F3" t="s">
        <v>68</v>
      </c>
      <c r="G3" t="s">
        <v>1066</v>
      </c>
      <c r="H3" t="s">
        <v>1066</v>
      </c>
      <c r="I3" t="s">
        <v>1588</v>
      </c>
      <c r="J3" t="s">
        <v>1589</v>
      </c>
      <c r="K3" t="s">
        <v>1144</v>
      </c>
      <c r="L3" t="s">
        <v>1439</v>
      </c>
      <c r="M3" t="s">
        <v>1445</v>
      </c>
      <c r="N3" t="s">
        <v>1026</v>
      </c>
      <c r="O3" t="s">
        <v>1590</v>
      </c>
      <c r="P3" t="s">
        <v>1009</v>
      </c>
    </row>
    <row r="4" spans="1:16" x14ac:dyDescent="0.2">
      <c r="A4" t="s">
        <v>951</v>
      </c>
      <c r="B4" t="s">
        <v>1591</v>
      </c>
      <c r="C4" t="s">
        <v>1471</v>
      </c>
      <c r="D4" t="s">
        <v>933</v>
      </c>
      <c r="E4" t="s">
        <v>985</v>
      </c>
      <c r="F4" t="s">
        <v>68</v>
      </c>
      <c r="G4" t="s">
        <v>1002</v>
      </c>
      <c r="H4" t="s">
        <v>1002</v>
      </c>
      <c r="I4" t="s">
        <v>1592</v>
      </c>
      <c r="J4" t="s">
        <v>1593</v>
      </c>
      <c r="K4" t="s">
        <v>972</v>
      </c>
      <c r="L4" t="s">
        <v>1426</v>
      </c>
      <c r="M4" t="s">
        <v>957</v>
      </c>
      <c r="N4" t="s">
        <v>1594</v>
      </c>
      <c r="O4" t="s">
        <v>1595</v>
      </c>
      <c r="P4" t="s">
        <v>941</v>
      </c>
    </row>
    <row r="5" spans="1:16" x14ac:dyDescent="0.2">
      <c r="A5" t="s">
        <v>982</v>
      </c>
      <c r="B5" t="s">
        <v>1446</v>
      </c>
      <c r="C5" t="s">
        <v>1446</v>
      </c>
      <c r="D5" t="s">
        <v>727</v>
      </c>
      <c r="E5" t="s">
        <v>1028</v>
      </c>
      <c r="F5" t="s">
        <v>68</v>
      </c>
      <c r="G5" t="s">
        <v>1002</v>
      </c>
      <c r="H5" t="s">
        <v>1066</v>
      </c>
      <c r="I5" t="s">
        <v>1596</v>
      </c>
      <c r="J5" t="s">
        <v>1597</v>
      </c>
      <c r="K5" t="s">
        <v>1051</v>
      </c>
      <c r="L5" t="s">
        <v>1501</v>
      </c>
      <c r="M5" t="s">
        <v>1523</v>
      </c>
      <c r="N5" t="s">
        <v>1293</v>
      </c>
      <c r="O5" t="s">
        <v>1598</v>
      </c>
      <c r="P5" t="s">
        <v>931</v>
      </c>
    </row>
    <row r="6" spans="1:16" x14ac:dyDescent="0.2">
      <c r="A6" t="s">
        <v>1009</v>
      </c>
      <c r="B6" t="s">
        <v>1460</v>
      </c>
      <c r="C6" t="s">
        <v>1460</v>
      </c>
      <c r="D6" t="s">
        <v>729</v>
      </c>
      <c r="E6" t="s">
        <v>1088</v>
      </c>
      <c r="F6" t="s">
        <v>68</v>
      </c>
      <c r="G6" t="s">
        <v>1002</v>
      </c>
      <c r="H6" t="s">
        <v>1002</v>
      </c>
      <c r="I6" t="s">
        <v>1599</v>
      </c>
      <c r="J6" t="s">
        <v>1600</v>
      </c>
      <c r="K6" t="s">
        <v>1027</v>
      </c>
      <c r="L6" t="s">
        <v>1504</v>
      </c>
      <c r="M6" t="s">
        <v>966</v>
      </c>
      <c r="N6" t="s">
        <v>984</v>
      </c>
      <c r="O6" t="s">
        <v>1601</v>
      </c>
      <c r="P6" t="s">
        <v>1027</v>
      </c>
    </row>
    <row r="7" spans="1:16" x14ac:dyDescent="0.2">
      <c r="A7" t="s">
        <v>1027</v>
      </c>
      <c r="B7" t="s">
        <v>240</v>
      </c>
      <c r="C7" t="s">
        <v>240</v>
      </c>
      <c r="D7" t="s">
        <v>1052</v>
      </c>
      <c r="E7" t="s">
        <v>985</v>
      </c>
      <c r="F7" t="s">
        <v>68</v>
      </c>
      <c r="G7" t="s">
        <v>1066</v>
      </c>
      <c r="H7" t="s">
        <v>1066</v>
      </c>
      <c r="I7" t="s">
        <v>1602</v>
      </c>
      <c r="J7" t="s">
        <v>1597</v>
      </c>
      <c r="K7" t="s">
        <v>1039</v>
      </c>
      <c r="L7" t="s">
        <v>1480</v>
      </c>
      <c r="M7" t="s">
        <v>986</v>
      </c>
      <c r="N7" t="s">
        <v>1429</v>
      </c>
      <c r="O7" t="s">
        <v>1603</v>
      </c>
      <c r="P7" t="s">
        <v>951</v>
      </c>
    </row>
    <row r="8" spans="1:16" x14ac:dyDescent="0.2">
      <c r="A8" t="s">
        <v>1039</v>
      </c>
      <c r="B8" t="s">
        <v>1487</v>
      </c>
      <c r="C8" t="s">
        <v>1487</v>
      </c>
      <c r="D8" t="s">
        <v>78</v>
      </c>
      <c r="E8" t="s">
        <v>952</v>
      </c>
      <c r="F8" t="s">
        <v>68</v>
      </c>
      <c r="G8" t="s">
        <v>1002</v>
      </c>
      <c r="H8" t="s">
        <v>1048</v>
      </c>
      <c r="I8" t="s">
        <v>1604</v>
      </c>
      <c r="J8" t="s">
        <v>1605</v>
      </c>
      <c r="K8" t="s">
        <v>1075</v>
      </c>
      <c r="L8" t="s">
        <v>1501</v>
      </c>
      <c r="M8" t="s">
        <v>1201</v>
      </c>
      <c r="N8" t="s">
        <v>984</v>
      </c>
      <c r="O8" t="s">
        <v>1606</v>
      </c>
      <c r="P8" t="s">
        <v>951</v>
      </c>
    </row>
    <row r="9" spans="1:16" x14ac:dyDescent="0.2">
      <c r="A9" t="s">
        <v>1051</v>
      </c>
      <c r="B9" t="s">
        <v>106</v>
      </c>
      <c r="C9" t="s">
        <v>106</v>
      </c>
      <c r="D9" t="s">
        <v>107</v>
      </c>
      <c r="E9" t="s">
        <v>965</v>
      </c>
      <c r="F9" t="s">
        <v>68</v>
      </c>
      <c r="G9" t="s">
        <v>1002</v>
      </c>
      <c r="H9" t="s">
        <v>1048</v>
      </c>
      <c r="I9" t="s">
        <v>1607</v>
      </c>
      <c r="J9" t="s">
        <v>1608</v>
      </c>
      <c r="K9" t="s">
        <v>1086</v>
      </c>
      <c r="L9" t="s">
        <v>1201</v>
      </c>
      <c r="M9" t="s">
        <v>1504</v>
      </c>
      <c r="N9" t="s">
        <v>1026</v>
      </c>
      <c r="O9" t="s">
        <v>1609</v>
      </c>
      <c r="P9" t="s">
        <v>931</v>
      </c>
    </row>
    <row r="10" spans="1:16" x14ac:dyDescent="0.2">
      <c r="A10" t="s">
        <v>1064</v>
      </c>
      <c r="B10" t="s">
        <v>886</v>
      </c>
      <c r="C10" t="s">
        <v>886</v>
      </c>
      <c r="D10" t="s">
        <v>93</v>
      </c>
      <c r="E10" t="s">
        <v>1010</v>
      </c>
      <c r="F10" t="s">
        <v>1392</v>
      </c>
      <c r="G10" t="s">
        <v>1002</v>
      </c>
      <c r="H10" t="s">
        <v>1075</v>
      </c>
      <c r="I10" t="s">
        <v>1610</v>
      </c>
      <c r="J10" t="s">
        <v>1611</v>
      </c>
      <c r="K10" t="s">
        <v>1064</v>
      </c>
      <c r="L10" t="s">
        <v>1488</v>
      </c>
      <c r="M10" t="s">
        <v>1483</v>
      </c>
      <c r="N10" t="s">
        <v>1612</v>
      </c>
      <c r="O10" t="s">
        <v>1613</v>
      </c>
      <c r="P10" t="s">
        <v>982</v>
      </c>
    </row>
    <row r="11" spans="1:16" x14ac:dyDescent="0.2">
      <c r="A11" t="s">
        <v>1075</v>
      </c>
      <c r="B11" t="s">
        <v>1614</v>
      </c>
      <c r="C11" t="s">
        <v>126</v>
      </c>
      <c r="D11" t="s">
        <v>1267</v>
      </c>
      <c r="E11" t="s">
        <v>952</v>
      </c>
      <c r="F11" t="s">
        <v>68</v>
      </c>
      <c r="G11" t="s">
        <v>1066</v>
      </c>
      <c r="H11" t="s">
        <v>1066</v>
      </c>
      <c r="I11" t="s">
        <v>1615</v>
      </c>
      <c r="J11" t="s">
        <v>1616</v>
      </c>
      <c r="K11" t="s">
        <v>1064</v>
      </c>
      <c r="L11" t="s">
        <v>1103</v>
      </c>
      <c r="M11" t="s">
        <v>1520</v>
      </c>
      <c r="N11" t="s">
        <v>1435</v>
      </c>
      <c r="O11" t="s">
        <v>1617</v>
      </c>
      <c r="P11" t="s">
        <v>941</v>
      </c>
    </row>
    <row r="12" spans="1:16" x14ac:dyDescent="0.2">
      <c r="A12" t="s">
        <v>1086</v>
      </c>
      <c r="B12" t="s">
        <v>213</v>
      </c>
      <c r="C12" t="s">
        <v>213</v>
      </c>
      <c r="D12" t="s">
        <v>82</v>
      </c>
      <c r="E12" t="s">
        <v>1088</v>
      </c>
      <c r="F12" t="s">
        <v>1392</v>
      </c>
      <c r="G12" t="s">
        <v>1144</v>
      </c>
      <c r="H12" t="s">
        <v>1009</v>
      </c>
      <c r="I12" t="s">
        <v>1618</v>
      </c>
      <c r="J12" t="s">
        <v>1619</v>
      </c>
      <c r="K12" t="s">
        <v>1027</v>
      </c>
      <c r="L12" t="s">
        <v>977</v>
      </c>
      <c r="M12" t="s">
        <v>996</v>
      </c>
      <c r="N12" t="s">
        <v>1233</v>
      </c>
      <c r="O12" t="s">
        <v>1620</v>
      </c>
      <c r="P12" t="s">
        <v>941</v>
      </c>
    </row>
    <row r="13" spans="1:16" x14ac:dyDescent="0.2">
      <c r="A13" t="s">
        <v>972</v>
      </c>
      <c r="B13" t="s">
        <v>872</v>
      </c>
      <c r="C13" t="s">
        <v>872</v>
      </c>
      <c r="D13" t="s">
        <v>101</v>
      </c>
      <c r="E13" t="s">
        <v>952</v>
      </c>
      <c r="F13" t="s">
        <v>68</v>
      </c>
      <c r="G13" t="s">
        <v>1002</v>
      </c>
      <c r="H13" t="s">
        <v>1002</v>
      </c>
      <c r="I13" t="s">
        <v>1621</v>
      </c>
      <c r="J13" t="s">
        <v>1622</v>
      </c>
      <c r="K13" t="s">
        <v>1064</v>
      </c>
      <c r="L13" t="s">
        <v>1443</v>
      </c>
      <c r="M13" t="s">
        <v>1134</v>
      </c>
      <c r="N13" t="s">
        <v>1468</v>
      </c>
      <c r="O13" t="s">
        <v>1623</v>
      </c>
      <c r="P13" t="s">
        <v>941</v>
      </c>
    </row>
    <row r="14" spans="1:16" x14ac:dyDescent="0.2">
      <c r="A14" t="s">
        <v>1048</v>
      </c>
      <c r="B14" t="s">
        <v>1509</v>
      </c>
      <c r="C14" t="s">
        <v>1509</v>
      </c>
      <c r="D14" t="s">
        <v>976</v>
      </c>
      <c r="E14" t="s">
        <v>1028</v>
      </c>
      <c r="F14" t="s">
        <v>68</v>
      </c>
      <c r="G14" t="s">
        <v>1066</v>
      </c>
      <c r="H14" t="s">
        <v>1048</v>
      </c>
      <c r="I14" t="s">
        <v>1624</v>
      </c>
      <c r="J14" t="s">
        <v>1625</v>
      </c>
      <c r="K14" t="s">
        <v>1039</v>
      </c>
      <c r="L14" t="s">
        <v>1489</v>
      </c>
      <c r="M14" t="s">
        <v>1424</v>
      </c>
      <c r="N14" t="s">
        <v>955</v>
      </c>
      <c r="O14" t="s">
        <v>1626</v>
      </c>
      <c r="P14" t="s">
        <v>941</v>
      </c>
    </row>
    <row r="15" spans="1:16" x14ac:dyDescent="0.2">
      <c r="A15" t="s">
        <v>1066</v>
      </c>
      <c r="B15" t="s">
        <v>1627</v>
      </c>
      <c r="C15" t="s">
        <v>113</v>
      </c>
      <c r="D15" t="s">
        <v>82</v>
      </c>
      <c r="E15" t="s">
        <v>1088</v>
      </c>
      <c r="F15" t="s">
        <v>68</v>
      </c>
      <c r="G15" t="s">
        <v>972</v>
      </c>
      <c r="H15" t="s">
        <v>972</v>
      </c>
      <c r="I15" t="s">
        <v>1628</v>
      </c>
      <c r="J15" t="s">
        <v>1629</v>
      </c>
      <c r="K15" t="s">
        <v>972</v>
      </c>
      <c r="L15" t="s">
        <v>938</v>
      </c>
      <c r="M15" t="s">
        <v>1501</v>
      </c>
      <c r="N15" t="s">
        <v>1153</v>
      </c>
      <c r="O15" t="s">
        <v>1630</v>
      </c>
      <c r="P15" t="s">
        <v>931</v>
      </c>
    </row>
    <row r="16" spans="1:16" x14ac:dyDescent="0.2">
      <c r="A16" t="s">
        <v>1002</v>
      </c>
      <c r="B16" t="s">
        <v>1631</v>
      </c>
      <c r="C16" t="s">
        <v>1631</v>
      </c>
      <c r="D16" t="s">
        <v>71</v>
      </c>
      <c r="E16" t="s">
        <v>945</v>
      </c>
      <c r="F16" t="s">
        <v>68</v>
      </c>
      <c r="G16" t="s">
        <v>1002</v>
      </c>
      <c r="H16" t="s">
        <v>1066</v>
      </c>
      <c r="I16" t="s">
        <v>1632</v>
      </c>
      <c r="J16" t="s">
        <v>1633</v>
      </c>
      <c r="K16" t="s">
        <v>941</v>
      </c>
      <c r="L16" t="s">
        <v>978</v>
      </c>
      <c r="M16" t="s">
        <v>944</v>
      </c>
      <c r="N16" t="s">
        <v>1468</v>
      </c>
      <c r="O16" t="s">
        <v>1634</v>
      </c>
      <c r="P16" t="s">
        <v>931</v>
      </c>
    </row>
    <row r="17" spans="1:16" x14ac:dyDescent="0.2">
      <c r="A17" t="s">
        <v>1144</v>
      </c>
      <c r="B17" t="s">
        <v>1635</v>
      </c>
      <c r="C17" t="s">
        <v>87</v>
      </c>
      <c r="D17" t="s">
        <v>1257</v>
      </c>
      <c r="E17" t="s">
        <v>1088</v>
      </c>
      <c r="F17" t="s">
        <v>1392</v>
      </c>
      <c r="G17" t="s">
        <v>1002</v>
      </c>
      <c r="H17" t="s">
        <v>1075</v>
      </c>
      <c r="I17" t="s">
        <v>1632</v>
      </c>
      <c r="J17" t="s">
        <v>1636</v>
      </c>
      <c r="K17" t="s">
        <v>1144</v>
      </c>
      <c r="L17" t="s">
        <v>960</v>
      </c>
      <c r="M17" t="s">
        <v>998</v>
      </c>
      <c r="N17" t="s">
        <v>1026</v>
      </c>
      <c r="O17" t="s">
        <v>1637</v>
      </c>
      <c r="P17" t="s">
        <v>931</v>
      </c>
    </row>
    <row r="18" spans="1:16" x14ac:dyDescent="0.2">
      <c r="A18" t="s">
        <v>944</v>
      </c>
      <c r="B18" t="s">
        <v>151</v>
      </c>
      <c r="C18" t="s">
        <v>151</v>
      </c>
      <c r="D18" t="s">
        <v>1040</v>
      </c>
      <c r="E18" t="s">
        <v>965</v>
      </c>
      <c r="F18" t="s">
        <v>68</v>
      </c>
      <c r="G18" t="s">
        <v>1048</v>
      </c>
      <c r="H18" t="s">
        <v>1048</v>
      </c>
      <c r="I18" t="s">
        <v>1638</v>
      </c>
      <c r="J18" t="s">
        <v>1639</v>
      </c>
      <c r="K18" t="s">
        <v>982</v>
      </c>
      <c r="L18" t="s">
        <v>1124</v>
      </c>
      <c r="M18" t="s">
        <v>966</v>
      </c>
      <c r="N18" t="s">
        <v>1418</v>
      </c>
      <c r="O18" t="s">
        <v>1640</v>
      </c>
      <c r="P18" t="s">
        <v>992</v>
      </c>
    </row>
    <row r="19" spans="1:16" x14ac:dyDescent="0.2">
      <c r="A19" t="s">
        <v>1162</v>
      </c>
      <c r="B19" t="s">
        <v>136</v>
      </c>
      <c r="C19" t="s">
        <v>136</v>
      </c>
      <c r="D19" t="s">
        <v>119</v>
      </c>
      <c r="E19" t="s">
        <v>985</v>
      </c>
      <c r="F19" t="s">
        <v>1392</v>
      </c>
      <c r="G19" t="s">
        <v>1066</v>
      </c>
      <c r="H19" t="s">
        <v>1075</v>
      </c>
      <c r="I19" t="s">
        <v>1641</v>
      </c>
      <c r="J19" t="s">
        <v>1642</v>
      </c>
      <c r="K19" t="s">
        <v>1086</v>
      </c>
      <c r="L19" t="s">
        <v>1190</v>
      </c>
      <c r="M19" t="s">
        <v>1190</v>
      </c>
      <c r="N19" t="s">
        <v>1252</v>
      </c>
      <c r="O19" t="s">
        <v>1643</v>
      </c>
      <c r="P19" t="s">
        <v>941</v>
      </c>
    </row>
    <row r="20" spans="1:16" x14ac:dyDescent="0.2">
      <c r="A20" t="s">
        <v>1016</v>
      </c>
      <c r="B20" t="s">
        <v>264</v>
      </c>
      <c r="C20" t="s">
        <v>264</v>
      </c>
      <c r="D20" t="s">
        <v>99</v>
      </c>
      <c r="E20" t="s">
        <v>1088</v>
      </c>
      <c r="F20" t="s">
        <v>68</v>
      </c>
      <c r="G20" t="s">
        <v>1048</v>
      </c>
      <c r="H20" t="s">
        <v>1086</v>
      </c>
      <c r="I20" t="s">
        <v>1644</v>
      </c>
      <c r="J20" t="s">
        <v>1645</v>
      </c>
      <c r="K20" t="s">
        <v>1027</v>
      </c>
      <c r="L20" t="s">
        <v>959</v>
      </c>
      <c r="M20" t="s">
        <v>1501</v>
      </c>
      <c r="N20" t="s">
        <v>1293</v>
      </c>
      <c r="O20" t="s">
        <v>1646</v>
      </c>
      <c r="P20" t="s">
        <v>941</v>
      </c>
    </row>
    <row r="21" spans="1:16" x14ac:dyDescent="0.2">
      <c r="A21" t="s">
        <v>1032</v>
      </c>
      <c r="B21" t="s">
        <v>198</v>
      </c>
      <c r="C21" t="s">
        <v>198</v>
      </c>
      <c r="D21" t="s">
        <v>70</v>
      </c>
      <c r="E21" t="s">
        <v>1010</v>
      </c>
      <c r="F21" t="s">
        <v>68</v>
      </c>
      <c r="G21" t="s">
        <v>1002</v>
      </c>
      <c r="H21" t="s">
        <v>972</v>
      </c>
      <c r="I21" t="s">
        <v>1647</v>
      </c>
      <c r="J21" t="s">
        <v>1648</v>
      </c>
      <c r="K21" t="s">
        <v>1027</v>
      </c>
      <c r="L21" t="s">
        <v>1011</v>
      </c>
      <c r="M21" t="s">
        <v>1088</v>
      </c>
      <c r="N21" t="s">
        <v>1594</v>
      </c>
      <c r="O21" t="s">
        <v>1649</v>
      </c>
      <c r="P21" t="s">
        <v>931</v>
      </c>
    </row>
    <row r="22" spans="1:16" x14ac:dyDescent="0.2">
      <c r="A22" t="s">
        <v>965</v>
      </c>
      <c r="B22" t="s">
        <v>160</v>
      </c>
      <c r="C22" t="s">
        <v>160</v>
      </c>
      <c r="D22" t="s">
        <v>102</v>
      </c>
      <c r="E22" t="s">
        <v>1028</v>
      </c>
      <c r="F22" t="s">
        <v>68</v>
      </c>
      <c r="G22" t="s">
        <v>972</v>
      </c>
      <c r="H22" t="s">
        <v>1086</v>
      </c>
      <c r="I22" t="s">
        <v>1251</v>
      </c>
      <c r="J22" t="s">
        <v>1650</v>
      </c>
      <c r="K22" t="s">
        <v>1027</v>
      </c>
      <c r="L22" t="s">
        <v>1124</v>
      </c>
      <c r="M22" t="s">
        <v>1526</v>
      </c>
      <c r="N22" t="s">
        <v>1015</v>
      </c>
      <c r="O22" t="s">
        <v>1651</v>
      </c>
      <c r="P22" t="s">
        <v>982</v>
      </c>
    </row>
    <row r="23" spans="1:16" x14ac:dyDescent="0.2">
      <c r="A23" t="s">
        <v>985</v>
      </c>
      <c r="B23" t="s">
        <v>1213</v>
      </c>
      <c r="C23" t="s">
        <v>1213</v>
      </c>
      <c r="D23" t="s">
        <v>725</v>
      </c>
      <c r="E23" t="s">
        <v>1028</v>
      </c>
      <c r="F23" t="s">
        <v>79</v>
      </c>
      <c r="G23" t="s">
        <v>1002</v>
      </c>
      <c r="H23" t="s">
        <v>1002</v>
      </c>
      <c r="I23" t="s">
        <v>1652</v>
      </c>
      <c r="J23" t="s">
        <v>1653</v>
      </c>
      <c r="K23" t="s">
        <v>1039</v>
      </c>
      <c r="L23" t="s">
        <v>938</v>
      </c>
      <c r="M23" t="s">
        <v>979</v>
      </c>
      <c r="N23" t="s">
        <v>1517</v>
      </c>
      <c r="O23" t="s">
        <v>1654</v>
      </c>
      <c r="P23" t="s">
        <v>1075</v>
      </c>
    </row>
    <row r="24" spans="1:16" x14ac:dyDescent="0.2">
      <c r="A24" t="s">
        <v>1028</v>
      </c>
      <c r="B24" t="s">
        <v>1655</v>
      </c>
      <c r="C24" t="s">
        <v>1655</v>
      </c>
      <c r="D24" t="s">
        <v>139</v>
      </c>
      <c r="E24" t="s">
        <v>1134</v>
      </c>
      <c r="F24" t="s">
        <v>1392</v>
      </c>
      <c r="G24" t="s">
        <v>1144</v>
      </c>
      <c r="H24" t="s">
        <v>1075</v>
      </c>
      <c r="I24" t="s">
        <v>1656</v>
      </c>
      <c r="J24" t="s">
        <v>1657</v>
      </c>
      <c r="K24" t="s">
        <v>1039</v>
      </c>
      <c r="L24" t="s">
        <v>937</v>
      </c>
      <c r="M24" t="s">
        <v>1011</v>
      </c>
      <c r="N24" t="s">
        <v>1594</v>
      </c>
      <c r="O24" t="s">
        <v>1658</v>
      </c>
      <c r="P24" t="s">
        <v>992</v>
      </c>
    </row>
    <row r="25" spans="1:16" x14ac:dyDescent="0.2">
      <c r="A25" t="s">
        <v>1023</v>
      </c>
      <c r="B25" t="s">
        <v>280</v>
      </c>
      <c r="C25" t="s">
        <v>280</v>
      </c>
      <c r="D25" t="s">
        <v>98</v>
      </c>
      <c r="E25" t="s">
        <v>1028</v>
      </c>
      <c r="F25" t="s">
        <v>68</v>
      </c>
      <c r="G25" t="s">
        <v>1144</v>
      </c>
      <c r="H25" t="s">
        <v>1144</v>
      </c>
      <c r="I25" t="s">
        <v>1656</v>
      </c>
      <c r="J25" t="s">
        <v>1659</v>
      </c>
      <c r="K25" t="s">
        <v>941</v>
      </c>
      <c r="L25" t="s">
        <v>1190</v>
      </c>
      <c r="M25" t="s">
        <v>1053</v>
      </c>
      <c r="N25" t="s">
        <v>1418</v>
      </c>
      <c r="O25" t="s">
        <v>1660</v>
      </c>
      <c r="P25" t="s">
        <v>931</v>
      </c>
    </row>
    <row r="26" spans="1:16" x14ac:dyDescent="0.2">
      <c r="A26" t="s">
        <v>1088</v>
      </c>
      <c r="B26" t="s">
        <v>894</v>
      </c>
      <c r="C26" t="s">
        <v>894</v>
      </c>
      <c r="D26" t="s">
        <v>92</v>
      </c>
      <c r="E26" t="s">
        <v>952</v>
      </c>
      <c r="F26" t="s">
        <v>1392</v>
      </c>
      <c r="G26" t="s">
        <v>1002</v>
      </c>
      <c r="H26" t="s">
        <v>1075</v>
      </c>
      <c r="I26" t="s">
        <v>1661</v>
      </c>
      <c r="J26" t="s">
        <v>1662</v>
      </c>
      <c r="K26" t="s">
        <v>1027</v>
      </c>
      <c r="L26" t="s">
        <v>1134</v>
      </c>
      <c r="M26" t="s">
        <v>1502</v>
      </c>
      <c r="N26" t="s">
        <v>1612</v>
      </c>
      <c r="O26" t="s">
        <v>1663</v>
      </c>
      <c r="P26" t="s">
        <v>931</v>
      </c>
    </row>
    <row r="27" spans="1:16" x14ac:dyDescent="0.2">
      <c r="A27" t="s">
        <v>952</v>
      </c>
      <c r="B27" t="s">
        <v>249</v>
      </c>
      <c r="C27" t="s">
        <v>249</v>
      </c>
      <c r="D27" t="s">
        <v>122</v>
      </c>
      <c r="E27" t="s">
        <v>1123</v>
      </c>
      <c r="F27" t="s">
        <v>68</v>
      </c>
      <c r="G27" t="s">
        <v>972</v>
      </c>
      <c r="H27" t="s">
        <v>972</v>
      </c>
      <c r="I27" t="s">
        <v>1661</v>
      </c>
      <c r="J27" t="s">
        <v>1664</v>
      </c>
      <c r="K27" t="s">
        <v>1027</v>
      </c>
      <c r="L27" t="s">
        <v>1011</v>
      </c>
      <c r="M27" t="s">
        <v>1489</v>
      </c>
      <c r="N27" t="s">
        <v>1252</v>
      </c>
      <c r="O27" t="s">
        <v>1665</v>
      </c>
      <c r="P27" t="s">
        <v>941</v>
      </c>
    </row>
    <row r="28" spans="1:16" x14ac:dyDescent="0.2">
      <c r="A28" t="s">
        <v>1010</v>
      </c>
      <c r="B28" t="s">
        <v>1473</v>
      </c>
      <c r="C28" t="s">
        <v>1473</v>
      </c>
      <c r="D28" t="s">
        <v>1257</v>
      </c>
      <c r="E28" t="s">
        <v>934</v>
      </c>
      <c r="F28" t="s">
        <v>1666</v>
      </c>
      <c r="G28" t="s">
        <v>1002</v>
      </c>
      <c r="H28" t="s">
        <v>1039</v>
      </c>
      <c r="I28" t="s">
        <v>1667</v>
      </c>
      <c r="J28" t="s">
        <v>1668</v>
      </c>
      <c r="K28" t="s">
        <v>982</v>
      </c>
      <c r="L28" t="s">
        <v>997</v>
      </c>
      <c r="M28" t="s">
        <v>997</v>
      </c>
      <c r="N28" t="s">
        <v>1429</v>
      </c>
      <c r="O28" t="s">
        <v>1669</v>
      </c>
      <c r="P28" t="s">
        <v>931</v>
      </c>
    </row>
    <row r="29" spans="1:16" x14ac:dyDescent="0.2">
      <c r="A29" t="s">
        <v>957</v>
      </c>
      <c r="B29" t="s">
        <v>1670</v>
      </c>
      <c r="C29" t="s">
        <v>1670</v>
      </c>
      <c r="D29" t="s">
        <v>730</v>
      </c>
      <c r="E29" t="s">
        <v>965</v>
      </c>
      <c r="F29" t="s">
        <v>1392</v>
      </c>
      <c r="G29" t="s">
        <v>1048</v>
      </c>
      <c r="H29" t="s">
        <v>1009</v>
      </c>
      <c r="I29" t="s">
        <v>1671</v>
      </c>
      <c r="J29" t="s">
        <v>1672</v>
      </c>
      <c r="K29" t="s">
        <v>941</v>
      </c>
      <c r="L29" t="s">
        <v>952</v>
      </c>
      <c r="M29" t="s">
        <v>1426</v>
      </c>
      <c r="N29" t="s">
        <v>1293</v>
      </c>
      <c r="O29" t="s">
        <v>1673</v>
      </c>
      <c r="P29" t="s">
        <v>931</v>
      </c>
    </row>
    <row r="30" spans="1:16" x14ac:dyDescent="0.2">
      <c r="A30" t="s">
        <v>1123</v>
      </c>
      <c r="B30" t="s">
        <v>1674</v>
      </c>
      <c r="C30" t="s">
        <v>1674</v>
      </c>
      <c r="D30" t="s">
        <v>725</v>
      </c>
      <c r="E30" t="s">
        <v>1088</v>
      </c>
      <c r="F30" t="s">
        <v>1392</v>
      </c>
      <c r="G30" t="s">
        <v>1144</v>
      </c>
      <c r="H30" t="s">
        <v>1027</v>
      </c>
      <c r="I30" t="s">
        <v>1675</v>
      </c>
      <c r="J30" t="s">
        <v>1676</v>
      </c>
      <c r="K30" t="s">
        <v>1027</v>
      </c>
      <c r="L30" t="s">
        <v>1443</v>
      </c>
      <c r="M30" t="s">
        <v>997</v>
      </c>
      <c r="N30" t="s">
        <v>1026</v>
      </c>
      <c r="O30" t="s">
        <v>1623</v>
      </c>
      <c r="P30" t="s">
        <v>931</v>
      </c>
    </row>
    <row r="31" spans="1:16" x14ac:dyDescent="0.2">
      <c r="A31" t="s">
        <v>902</v>
      </c>
      <c r="B31" t="s">
        <v>903</v>
      </c>
      <c r="C31" t="s">
        <v>903</v>
      </c>
      <c r="D31" t="s">
        <v>1314</v>
      </c>
      <c r="E31" t="s">
        <v>905</v>
      </c>
      <c r="F31" t="s">
        <v>906</v>
      </c>
      <c r="G31" t="s">
        <v>1315</v>
      </c>
      <c r="H31" t="s">
        <v>1316</v>
      </c>
      <c r="I31" t="s">
        <v>1319</v>
      </c>
      <c r="J31" t="s">
        <v>799</v>
      </c>
      <c r="K31" t="s">
        <v>800</v>
      </c>
      <c r="L31" t="s">
        <v>1321</v>
      </c>
      <c r="M31" t="s">
        <v>917</v>
      </c>
      <c r="N31" t="s">
        <v>1322</v>
      </c>
      <c r="O31" t="s">
        <v>1325</v>
      </c>
      <c r="P31" t="s">
        <v>1416</v>
      </c>
    </row>
    <row r="32" spans="1:16" x14ac:dyDescent="0.2">
      <c r="A32" t="s">
        <v>934</v>
      </c>
      <c r="B32" t="s">
        <v>224</v>
      </c>
      <c r="C32" t="s">
        <v>224</v>
      </c>
      <c r="D32" t="s">
        <v>142</v>
      </c>
      <c r="E32" t="s">
        <v>1028</v>
      </c>
      <c r="F32" t="s">
        <v>1392</v>
      </c>
      <c r="G32" t="s">
        <v>1075</v>
      </c>
      <c r="H32" t="s">
        <v>1039</v>
      </c>
      <c r="I32" t="s">
        <v>1677</v>
      </c>
      <c r="J32" t="s">
        <v>1678</v>
      </c>
      <c r="K32" t="s">
        <v>951</v>
      </c>
      <c r="L32" t="s">
        <v>1010</v>
      </c>
      <c r="M32" t="s">
        <v>952</v>
      </c>
      <c r="N32" t="s">
        <v>1001</v>
      </c>
      <c r="O32" t="s">
        <v>1679</v>
      </c>
      <c r="P32" t="s">
        <v>941</v>
      </c>
    </row>
    <row r="33" spans="1:16" x14ac:dyDescent="0.2">
      <c r="A33" t="s">
        <v>966</v>
      </c>
      <c r="B33" t="s">
        <v>158</v>
      </c>
      <c r="C33" t="s">
        <v>158</v>
      </c>
      <c r="D33" t="s">
        <v>108</v>
      </c>
      <c r="E33" t="s">
        <v>952</v>
      </c>
      <c r="F33" t="s">
        <v>68</v>
      </c>
      <c r="G33" t="s">
        <v>972</v>
      </c>
      <c r="H33" t="s">
        <v>972</v>
      </c>
      <c r="I33" t="s">
        <v>1680</v>
      </c>
      <c r="J33" t="s">
        <v>1681</v>
      </c>
      <c r="K33" t="s">
        <v>1009</v>
      </c>
      <c r="L33" t="s">
        <v>1017</v>
      </c>
      <c r="M33" t="s">
        <v>1123</v>
      </c>
      <c r="N33" t="s">
        <v>1271</v>
      </c>
      <c r="O33" t="s">
        <v>1643</v>
      </c>
      <c r="P33" t="s">
        <v>931</v>
      </c>
    </row>
    <row r="34" spans="1:16" x14ac:dyDescent="0.2">
      <c r="A34" t="s">
        <v>978</v>
      </c>
      <c r="B34" t="s">
        <v>888</v>
      </c>
      <c r="C34" t="s">
        <v>888</v>
      </c>
      <c r="D34" t="s">
        <v>730</v>
      </c>
      <c r="E34" t="s">
        <v>1028</v>
      </c>
      <c r="F34" t="s">
        <v>68</v>
      </c>
      <c r="G34" t="s">
        <v>1002</v>
      </c>
      <c r="H34" t="s">
        <v>1086</v>
      </c>
      <c r="I34" t="s">
        <v>1682</v>
      </c>
      <c r="J34" t="s">
        <v>1683</v>
      </c>
      <c r="K34" t="s">
        <v>1009</v>
      </c>
      <c r="L34" t="s">
        <v>1190</v>
      </c>
      <c r="M34" t="s">
        <v>1190</v>
      </c>
      <c r="N34" t="s">
        <v>1429</v>
      </c>
      <c r="O34" t="s">
        <v>1684</v>
      </c>
      <c r="P34" t="s">
        <v>992</v>
      </c>
    </row>
    <row r="35" spans="1:16" x14ac:dyDescent="0.2">
      <c r="A35" t="s">
        <v>996</v>
      </c>
      <c r="B35" t="s">
        <v>244</v>
      </c>
      <c r="C35" t="s">
        <v>244</v>
      </c>
      <c r="D35" t="s">
        <v>1122</v>
      </c>
      <c r="E35" t="s">
        <v>1028</v>
      </c>
      <c r="F35" t="s">
        <v>1392</v>
      </c>
      <c r="G35" t="s">
        <v>1075</v>
      </c>
      <c r="H35" t="s">
        <v>1075</v>
      </c>
      <c r="I35" t="s">
        <v>1685</v>
      </c>
      <c r="J35" t="s">
        <v>1664</v>
      </c>
      <c r="K35" t="s">
        <v>941</v>
      </c>
      <c r="L35" t="s">
        <v>934</v>
      </c>
      <c r="M35" t="s">
        <v>1056</v>
      </c>
      <c r="N35" t="s">
        <v>1026</v>
      </c>
      <c r="O35" t="s">
        <v>1686</v>
      </c>
      <c r="P35" t="s">
        <v>931</v>
      </c>
    </row>
    <row r="36" spans="1:16" x14ac:dyDescent="0.2">
      <c r="A36" t="s">
        <v>937</v>
      </c>
      <c r="B36" t="s">
        <v>140</v>
      </c>
      <c r="C36" t="s">
        <v>140</v>
      </c>
      <c r="D36" t="s">
        <v>1122</v>
      </c>
      <c r="E36" t="s">
        <v>966</v>
      </c>
      <c r="F36" t="s">
        <v>79</v>
      </c>
      <c r="G36" t="s">
        <v>1002</v>
      </c>
      <c r="H36" t="s">
        <v>1002</v>
      </c>
      <c r="I36" t="s">
        <v>1685</v>
      </c>
      <c r="J36" t="s">
        <v>1687</v>
      </c>
      <c r="K36" t="s">
        <v>972</v>
      </c>
      <c r="L36" t="s">
        <v>1261</v>
      </c>
      <c r="M36" t="s">
        <v>998</v>
      </c>
      <c r="N36" t="s">
        <v>1293</v>
      </c>
      <c r="O36" t="s">
        <v>1688</v>
      </c>
      <c r="P36" t="s">
        <v>1027</v>
      </c>
    </row>
    <row r="37" spans="1:16" x14ac:dyDescent="0.2">
      <c r="A37" t="s">
        <v>1134</v>
      </c>
      <c r="B37" t="s">
        <v>1689</v>
      </c>
      <c r="C37" t="s">
        <v>1689</v>
      </c>
      <c r="D37" t="s">
        <v>725</v>
      </c>
      <c r="E37" t="s">
        <v>985</v>
      </c>
      <c r="F37" t="s">
        <v>1392</v>
      </c>
      <c r="G37" t="s">
        <v>1002</v>
      </c>
      <c r="H37" t="s">
        <v>931</v>
      </c>
      <c r="I37" t="s">
        <v>1690</v>
      </c>
      <c r="J37" t="s">
        <v>1691</v>
      </c>
      <c r="K37" t="s">
        <v>1064</v>
      </c>
      <c r="L37" t="s">
        <v>1011</v>
      </c>
      <c r="M37" t="s">
        <v>1466</v>
      </c>
      <c r="N37" t="s">
        <v>1306</v>
      </c>
      <c r="O37" t="s">
        <v>1692</v>
      </c>
      <c r="P37" t="s">
        <v>941</v>
      </c>
    </row>
    <row r="38" spans="1:16" x14ac:dyDescent="0.2">
      <c r="A38" t="s">
        <v>997</v>
      </c>
      <c r="B38" t="s">
        <v>1339</v>
      </c>
      <c r="C38" t="s">
        <v>95</v>
      </c>
      <c r="D38" t="s">
        <v>78</v>
      </c>
      <c r="E38" t="s">
        <v>1028</v>
      </c>
      <c r="F38" t="s">
        <v>79</v>
      </c>
      <c r="G38" t="s">
        <v>1144</v>
      </c>
      <c r="H38" t="s">
        <v>1144</v>
      </c>
      <c r="I38" t="s">
        <v>1269</v>
      </c>
      <c r="J38" t="s">
        <v>1693</v>
      </c>
      <c r="K38" t="s">
        <v>1086</v>
      </c>
      <c r="L38" t="s">
        <v>1103</v>
      </c>
      <c r="M38" t="s">
        <v>1489</v>
      </c>
      <c r="N38" t="s">
        <v>1019</v>
      </c>
      <c r="O38" t="s">
        <v>1694</v>
      </c>
      <c r="P38" t="s">
        <v>1064</v>
      </c>
    </row>
    <row r="39" spans="1:16" x14ac:dyDescent="0.2">
      <c r="A39" t="s">
        <v>945</v>
      </c>
      <c r="B39" t="s">
        <v>900</v>
      </c>
      <c r="C39" t="s">
        <v>900</v>
      </c>
      <c r="D39" t="s">
        <v>1087</v>
      </c>
      <c r="E39" t="s">
        <v>1088</v>
      </c>
      <c r="F39" t="s">
        <v>1392</v>
      </c>
      <c r="G39" t="s">
        <v>972</v>
      </c>
      <c r="H39" t="s">
        <v>951</v>
      </c>
      <c r="I39" t="s">
        <v>1576</v>
      </c>
      <c r="J39" t="s">
        <v>1695</v>
      </c>
      <c r="K39" t="s">
        <v>1039</v>
      </c>
      <c r="L39" t="s">
        <v>966</v>
      </c>
      <c r="M39" t="s">
        <v>937</v>
      </c>
      <c r="N39" t="s">
        <v>1271</v>
      </c>
      <c r="O39" t="s">
        <v>1291</v>
      </c>
      <c r="P39" t="s">
        <v>941</v>
      </c>
    </row>
    <row r="40" spans="1:16" x14ac:dyDescent="0.2">
      <c r="A40" t="s">
        <v>1011</v>
      </c>
      <c r="B40" t="s">
        <v>1696</v>
      </c>
      <c r="C40" t="s">
        <v>1696</v>
      </c>
      <c r="D40" t="s">
        <v>74</v>
      </c>
      <c r="E40" t="s">
        <v>1123</v>
      </c>
      <c r="F40" t="s">
        <v>1392</v>
      </c>
      <c r="G40" t="s">
        <v>1144</v>
      </c>
      <c r="H40" t="s">
        <v>1075</v>
      </c>
      <c r="I40" t="s">
        <v>1574</v>
      </c>
      <c r="J40" t="s">
        <v>1697</v>
      </c>
      <c r="K40" t="s">
        <v>951</v>
      </c>
      <c r="L40" t="s">
        <v>1028</v>
      </c>
      <c r="M40" t="s">
        <v>1002</v>
      </c>
      <c r="N40" t="s">
        <v>1277</v>
      </c>
      <c r="O40" t="s">
        <v>1470</v>
      </c>
      <c r="P40" t="s">
        <v>931</v>
      </c>
    </row>
    <row r="41" spans="1:16" x14ac:dyDescent="0.2">
      <c r="A41" t="s">
        <v>1124</v>
      </c>
      <c r="B41" t="s">
        <v>130</v>
      </c>
      <c r="C41" t="s">
        <v>130</v>
      </c>
      <c r="D41" t="s">
        <v>74</v>
      </c>
      <c r="E41" t="s">
        <v>1023</v>
      </c>
      <c r="F41" t="s">
        <v>1392</v>
      </c>
      <c r="G41" t="s">
        <v>1027</v>
      </c>
      <c r="H41" t="s">
        <v>1027</v>
      </c>
      <c r="I41" t="s">
        <v>1569</v>
      </c>
      <c r="J41" t="s">
        <v>1698</v>
      </c>
      <c r="K41" t="s">
        <v>951</v>
      </c>
      <c r="L41" t="s">
        <v>1032</v>
      </c>
      <c r="M41" t="s">
        <v>937</v>
      </c>
      <c r="N41" t="s">
        <v>942</v>
      </c>
      <c r="O41" t="s">
        <v>1598</v>
      </c>
      <c r="P41" t="s">
        <v>931</v>
      </c>
    </row>
    <row r="42" spans="1:16" x14ac:dyDescent="0.2">
      <c r="A42" t="s">
        <v>1190</v>
      </c>
      <c r="B42" t="s">
        <v>336</v>
      </c>
      <c r="C42" t="s">
        <v>336</v>
      </c>
      <c r="D42" t="s">
        <v>1267</v>
      </c>
      <c r="E42" t="s">
        <v>1088</v>
      </c>
      <c r="F42" t="s">
        <v>1392</v>
      </c>
      <c r="G42" t="s">
        <v>1066</v>
      </c>
      <c r="H42" t="s">
        <v>951</v>
      </c>
      <c r="I42" t="s">
        <v>1569</v>
      </c>
      <c r="J42" t="s">
        <v>1699</v>
      </c>
      <c r="K42" t="s">
        <v>941</v>
      </c>
      <c r="L42" t="s">
        <v>1123</v>
      </c>
      <c r="M42" t="s">
        <v>1088</v>
      </c>
      <c r="N42" t="s">
        <v>1233</v>
      </c>
      <c r="O42" t="s">
        <v>1700</v>
      </c>
      <c r="P42" t="s">
        <v>992</v>
      </c>
    </row>
    <row r="43" spans="1:16" x14ac:dyDescent="0.2">
      <c r="A43" t="s">
        <v>1056</v>
      </c>
      <c r="B43" t="s">
        <v>290</v>
      </c>
      <c r="C43" t="s">
        <v>290</v>
      </c>
      <c r="D43" t="s">
        <v>93</v>
      </c>
      <c r="E43" t="s">
        <v>952</v>
      </c>
      <c r="F43" t="s">
        <v>1392</v>
      </c>
      <c r="G43" t="s">
        <v>1086</v>
      </c>
      <c r="H43" t="s">
        <v>1051</v>
      </c>
      <c r="I43" t="s">
        <v>1566</v>
      </c>
      <c r="J43" t="s">
        <v>1701</v>
      </c>
      <c r="K43" t="s">
        <v>931</v>
      </c>
      <c r="L43" t="s">
        <v>1016</v>
      </c>
      <c r="M43" t="s">
        <v>1261</v>
      </c>
      <c r="N43" t="s">
        <v>1293</v>
      </c>
      <c r="O43" t="s">
        <v>1702</v>
      </c>
      <c r="P43" t="s">
        <v>992</v>
      </c>
    </row>
    <row r="44" spans="1:16" x14ac:dyDescent="0.2">
      <c r="A44" t="s">
        <v>959</v>
      </c>
      <c r="B44" t="s">
        <v>145</v>
      </c>
      <c r="C44" t="s">
        <v>145</v>
      </c>
      <c r="D44" t="s">
        <v>118</v>
      </c>
      <c r="E44" t="s">
        <v>1088</v>
      </c>
      <c r="F44" t="s">
        <v>1392</v>
      </c>
      <c r="G44" t="s">
        <v>1075</v>
      </c>
      <c r="H44" t="s">
        <v>1075</v>
      </c>
      <c r="I44" t="s">
        <v>1564</v>
      </c>
      <c r="J44" t="s">
        <v>1703</v>
      </c>
      <c r="K44" t="s">
        <v>931</v>
      </c>
      <c r="L44" t="s">
        <v>952</v>
      </c>
      <c r="M44" t="s">
        <v>1010</v>
      </c>
      <c r="N44" t="s">
        <v>1612</v>
      </c>
      <c r="O44" t="s">
        <v>1442</v>
      </c>
      <c r="P44" t="s">
        <v>931</v>
      </c>
    </row>
    <row r="45" spans="1:16" x14ac:dyDescent="0.2">
      <c r="A45" t="s">
        <v>1017</v>
      </c>
      <c r="B45" t="s">
        <v>180</v>
      </c>
      <c r="C45" t="s">
        <v>180</v>
      </c>
      <c r="D45" t="s">
        <v>139</v>
      </c>
      <c r="E45" t="s">
        <v>965</v>
      </c>
      <c r="F45" t="s">
        <v>1392</v>
      </c>
      <c r="G45" t="s">
        <v>1048</v>
      </c>
      <c r="H45" t="s">
        <v>982</v>
      </c>
      <c r="I45" t="s">
        <v>1561</v>
      </c>
      <c r="J45" t="s">
        <v>1704</v>
      </c>
      <c r="K45" t="s">
        <v>1051</v>
      </c>
      <c r="L45" t="s">
        <v>966</v>
      </c>
      <c r="M45" t="s">
        <v>1480</v>
      </c>
      <c r="N45" t="s">
        <v>1612</v>
      </c>
      <c r="O45" t="s">
        <v>1705</v>
      </c>
      <c r="P45" t="s">
        <v>951</v>
      </c>
    </row>
    <row r="46" spans="1:16" x14ac:dyDescent="0.2">
      <c r="A46" t="s">
        <v>977</v>
      </c>
      <c r="B46" t="s">
        <v>270</v>
      </c>
      <c r="C46" t="s">
        <v>270</v>
      </c>
      <c r="D46" t="s">
        <v>98</v>
      </c>
      <c r="E46" t="s">
        <v>1028</v>
      </c>
      <c r="G46" t="s">
        <v>1048</v>
      </c>
      <c r="H46" t="s">
        <v>992</v>
      </c>
      <c r="I46" t="s">
        <v>1559</v>
      </c>
      <c r="J46" t="s">
        <v>1706</v>
      </c>
      <c r="K46" t="s">
        <v>982</v>
      </c>
      <c r="L46" t="s">
        <v>934</v>
      </c>
      <c r="M46" t="s">
        <v>966</v>
      </c>
      <c r="N46" t="s">
        <v>1293</v>
      </c>
      <c r="O46" t="s">
        <v>1479</v>
      </c>
      <c r="P46" t="s">
        <v>992</v>
      </c>
    </row>
    <row r="47" spans="1:16" x14ac:dyDescent="0.2">
      <c r="A47" t="s">
        <v>1443</v>
      </c>
      <c r="B47" t="s">
        <v>285</v>
      </c>
      <c r="C47" t="s">
        <v>285</v>
      </c>
      <c r="D47" t="s">
        <v>118</v>
      </c>
      <c r="E47" t="s">
        <v>1028</v>
      </c>
      <c r="G47" t="s">
        <v>1066</v>
      </c>
      <c r="H47" t="s">
        <v>992</v>
      </c>
      <c r="I47" t="s">
        <v>1557</v>
      </c>
      <c r="J47" t="s">
        <v>1707</v>
      </c>
      <c r="K47" t="s">
        <v>941</v>
      </c>
      <c r="L47" t="s">
        <v>1032</v>
      </c>
      <c r="M47" t="s">
        <v>996</v>
      </c>
      <c r="N47" t="s">
        <v>1455</v>
      </c>
      <c r="O47" t="s">
        <v>1708</v>
      </c>
      <c r="P47" t="s">
        <v>941</v>
      </c>
    </row>
    <row r="48" spans="1:16" x14ac:dyDescent="0.2">
      <c r="A48" t="s">
        <v>1488</v>
      </c>
      <c r="B48" t="s">
        <v>358</v>
      </c>
      <c r="C48" t="s">
        <v>358</v>
      </c>
      <c r="D48" t="s">
        <v>99</v>
      </c>
      <c r="E48" t="s">
        <v>985</v>
      </c>
      <c r="F48" t="s">
        <v>1392</v>
      </c>
      <c r="G48" t="s">
        <v>1144</v>
      </c>
      <c r="H48" t="s">
        <v>951</v>
      </c>
      <c r="I48" t="s">
        <v>1557</v>
      </c>
      <c r="J48" t="s">
        <v>1709</v>
      </c>
      <c r="K48" t="s">
        <v>982</v>
      </c>
      <c r="L48" t="s">
        <v>1088</v>
      </c>
      <c r="M48" t="s">
        <v>934</v>
      </c>
      <c r="N48" t="s">
        <v>1216</v>
      </c>
      <c r="O48" t="s">
        <v>1514</v>
      </c>
      <c r="P48" t="s">
        <v>941</v>
      </c>
    </row>
    <row r="49" spans="1:16" x14ac:dyDescent="0.2">
      <c r="A49" t="s">
        <v>986</v>
      </c>
      <c r="B49" t="s">
        <v>199</v>
      </c>
      <c r="C49" t="s">
        <v>199</v>
      </c>
      <c r="D49" t="s">
        <v>1087</v>
      </c>
      <c r="E49" t="s">
        <v>957</v>
      </c>
      <c r="F49" t="s">
        <v>1392</v>
      </c>
      <c r="G49" t="s">
        <v>1051</v>
      </c>
      <c r="H49" t="s">
        <v>1051</v>
      </c>
      <c r="I49" t="s">
        <v>1434</v>
      </c>
      <c r="J49" t="s">
        <v>1704</v>
      </c>
      <c r="K49" t="s">
        <v>941</v>
      </c>
      <c r="L49" t="s">
        <v>985</v>
      </c>
      <c r="M49" t="s">
        <v>1523</v>
      </c>
      <c r="N49" t="s">
        <v>1026</v>
      </c>
      <c r="O49" t="s">
        <v>1710</v>
      </c>
      <c r="P49" t="s">
        <v>931</v>
      </c>
    </row>
    <row r="50" spans="1:16" x14ac:dyDescent="0.2">
      <c r="A50" t="s">
        <v>1489</v>
      </c>
      <c r="B50" t="s">
        <v>1337</v>
      </c>
      <c r="C50" t="s">
        <v>97</v>
      </c>
      <c r="D50" t="s">
        <v>98</v>
      </c>
      <c r="E50" t="s">
        <v>1023</v>
      </c>
      <c r="F50" t="s">
        <v>79</v>
      </c>
      <c r="G50" t="s">
        <v>1144</v>
      </c>
      <c r="H50" t="s">
        <v>1144</v>
      </c>
      <c r="I50" t="s">
        <v>1545</v>
      </c>
      <c r="J50" t="s">
        <v>1711</v>
      </c>
      <c r="K50" t="s">
        <v>1051</v>
      </c>
      <c r="L50" t="s">
        <v>1011</v>
      </c>
      <c r="M50" t="s">
        <v>1023</v>
      </c>
      <c r="N50" t="s">
        <v>1001</v>
      </c>
      <c r="O50" t="s">
        <v>1712</v>
      </c>
      <c r="P50" t="s">
        <v>1064</v>
      </c>
    </row>
    <row r="51" spans="1:16" x14ac:dyDescent="0.2">
      <c r="A51" t="s">
        <v>998</v>
      </c>
      <c r="B51" t="s">
        <v>322</v>
      </c>
      <c r="C51" t="s">
        <v>322</v>
      </c>
      <c r="D51" t="s">
        <v>730</v>
      </c>
      <c r="E51" t="s">
        <v>1010</v>
      </c>
      <c r="G51" t="s">
        <v>1144</v>
      </c>
      <c r="H51" t="s">
        <v>992</v>
      </c>
      <c r="I51" t="s">
        <v>1462</v>
      </c>
      <c r="J51" t="s">
        <v>1713</v>
      </c>
      <c r="K51" t="s">
        <v>1009</v>
      </c>
      <c r="L51" t="s">
        <v>1088</v>
      </c>
      <c r="M51" t="s">
        <v>1016</v>
      </c>
      <c r="N51" t="s">
        <v>1001</v>
      </c>
      <c r="O51" t="s">
        <v>1714</v>
      </c>
      <c r="P51" t="s">
        <v>931</v>
      </c>
    </row>
    <row r="52" spans="1:16" x14ac:dyDescent="0.2">
      <c r="A52" t="s">
        <v>979</v>
      </c>
      <c r="B52" t="s">
        <v>1525</v>
      </c>
      <c r="C52" t="s">
        <v>1525</v>
      </c>
      <c r="D52" t="s">
        <v>729</v>
      </c>
      <c r="E52" t="s">
        <v>1028</v>
      </c>
      <c r="F52" t="s">
        <v>1392</v>
      </c>
      <c r="G52" t="s">
        <v>1144</v>
      </c>
      <c r="H52" t="s">
        <v>941</v>
      </c>
      <c r="I52" t="s">
        <v>1462</v>
      </c>
      <c r="J52" t="s">
        <v>940</v>
      </c>
      <c r="K52" t="s">
        <v>982</v>
      </c>
      <c r="L52" t="s">
        <v>1028</v>
      </c>
      <c r="M52" t="s">
        <v>959</v>
      </c>
      <c r="N52" t="s">
        <v>1293</v>
      </c>
      <c r="O52" t="s">
        <v>1715</v>
      </c>
      <c r="P52" t="s">
        <v>992</v>
      </c>
    </row>
    <row r="53" spans="1:16" x14ac:dyDescent="0.2">
      <c r="A53" t="s">
        <v>1053</v>
      </c>
      <c r="B53" t="s">
        <v>372</v>
      </c>
      <c r="C53" t="s">
        <v>372</v>
      </c>
      <c r="D53" t="s">
        <v>101</v>
      </c>
      <c r="E53" t="s">
        <v>1088</v>
      </c>
      <c r="F53" t="s">
        <v>1392</v>
      </c>
      <c r="G53" t="s">
        <v>1144</v>
      </c>
      <c r="H53" t="s">
        <v>931</v>
      </c>
      <c r="I53" t="s">
        <v>1423</v>
      </c>
      <c r="J53" t="s">
        <v>1716</v>
      </c>
      <c r="K53" t="s">
        <v>931</v>
      </c>
      <c r="L53" t="s">
        <v>1162</v>
      </c>
      <c r="M53" t="s">
        <v>1504</v>
      </c>
      <c r="N53" t="s">
        <v>1252</v>
      </c>
      <c r="O53" t="s">
        <v>1717</v>
      </c>
      <c r="P53" t="s">
        <v>941</v>
      </c>
    </row>
    <row r="54" spans="1:16" x14ac:dyDescent="0.2">
      <c r="A54" t="s">
        <v>1103</v>
      </c>
      <c r="B54" t="s">
        <v>239</v>
      </c>
      <c r="C54" t="s">
        <v>239</v>
      </c>
      <c r="D54" t="s">
        <v>78</v>
      </c>
      <c r="E54" t="s">
        <v>1023</v>
      </c>
      <c r="F54" t="s">
        <v>1392</v>
      </c>
      <c r="G54" t="s">
        <v>1144</v>
      </c>
      <c r="H54" t="s">
        <v>941</v>
      </c>
      <c r="I54" t="s">
        <v>1541</v>
      </c>
      <c r="J54" t="s">
        <v>1718</v>
      </c>
      <c r="K54" t="s">
        <v>931</v>
      </c>
      <c r="L54" t="s">
        <v>985</v>
      </c>
      <c r="M54" t="s">
        <v>978</v>
      </c>
      <c r="N54" t="s">
        <v>1612</v>
      </c>
      <c r="O54" t="s">
        <v>1474</v>
      </c>
      <c r="P54" t="s">
        <v>941</v>
      </c>
    </row>
    <row r="55" spans="1:16" x14ac:dyDescent="0.2">
      <c r="A55" t="s">
        <v>1441</v>
      </c>
      <c r="B55" t="s">
        <v>1477</v>
      </c>
      <c r="C55" t="s">
        <v>1477</v>
      </c>
      <c r="D55" t="s">
        <v>976</v>
      </c>
      <c r="E55" t="s">
        <v>1088</v>
      </c>
      <c r="F55" t="s">
        <v>1392</v>
      </c>
      <c r="G55" t="s">
        <v>1048</v>
      </c>
      <c r="H55" t="s">
        <v>951</v>
      </c>
      <c r="I55" t="s">
        <v>1541</v>
      </c>
      <c r="J55" t="s">
        <v>1719</v>
      </c>
      <c r="K55" t="s">
        <v>1027</v>
      </c>
      <c r="L55" t="s">
        <v>965</v>
      </c>
      <c r="M55" t="s">
        <v>1488</v>
      </c>
      <c r="N55" t="s">
        <v>1099</v>
      </c>
      <c r="O55" t="s">
        <v>1720</v>
      </c>
      <c r="P55" t="s">
        <v>992</v>
      </c>
    </row>
    <row r="56" spans="1:16" x14ac:dyDescent="0.2">
      <c r="A56" t="s">
        <v>1480</v>
      </c>
      <c r="B56" t="s">
        <v>356</v>
      </c>
      <c r="C56" t="s">
        <v>356</v>
      </c>
      <c r="D56" t="s">
        <v>73</v>
      </c>
      <c r="E56" t="s">
        <v>985</v>
      </c>
      <c r="F56" t="s">
        <v>1392</v>
      </c>
      <c r="G56" t="s">
        <v>1048</v>
      </c>
      <c r="H56" t="s">
        <v>941</v>
      </c>
      <c r="I56" t="s">
        <v>1540</v>
      </c>
      <c r="J56" t="s">
        <v>1721</v>
      </c>
      <c r="K56" t="s">
        <v>941</v>
      </c>
      <c r="L56" t="s">
        <v>1023</v>
      </c>
      <c r="M56" t="s">
        <v>1088</v>
      </c>
      <c r="N56" t="s">
        <v>1429</v>
      </c>
      <c r="O56" t="s">
        <v>1722</v>
      </c>
      <c r="P56" t="s">
        <v>992</v>
      </c>
    </row>
    <row r="57" spans="1:16" x14ac:dyDescent="0.2">
      <c r="A57" t="s">
        <v>1261</v>
      </c>
      <c r="B57" t="s">
        <v>1723</v>
      </c>
      <c r="C57" t="s">
        <v>1723</v>
      </c>
      <c r="D57" t="s">
        <v>119</v>
      </c>
      <c r="E57" t="s">
        <v>952</v>
      </c>
      <c r="F57" t="s">
        <v>1392</v>
      </c>
      <c r="G57" t="s">
        <v>1144</v>
      </c>
      <c r="H57" t="s">
        <v>941</v>
      </c>
      <c r="I57" t="s">
        <v>1538</v>
      </c>
      <c r="J57" t="s">
        <v>1188</v>
      </c>
      <c r="K57" t="s">
        <v>982</v>
      </c>
      <c r="L57" t="s">
        <v>952</v>
      </c>
      <c r="M57" t="s">
        <v>1002</v>
      </c>
      <c r="N57" t="s">
        <v>1156</v>
      </c>
      <c r="O57" t="s">
        <v>1081</v>
      </c>
      <c r="P57" t="s">
        <v>992</v>
      </c>
    </row>
    <row r="58" spans="1:16" x14ac:dyDescent="0.2">
      <c r="A58" t="s">
        <v>938</v>
      </c>
      <c r="B58" t="s">
        <v>279</v>
      </c>
      <c r="C58" t="s">
        <v>279</v>
      </c>
      <c r="D58" t="s">
        <v>933</v>
      </c>
      <c r="E58" t="s">
        <v>957</v>
      </c>
      <c r="F58" t="s">
        <v>1392</v>
      </c>
      <c r="G58" t="s">
        <v>1144</v>
      </c>
      <c r="H58" t="s">
        <v>931</v>
      </c>
      <c r="I58" t="s">
        <v>1537</v>
      </c>
      <c r="J58" t="s">
        <v>1724</v>
      </c>
      <c r="K58" t="s">
        <v>951</v>
      </c>
      <c r="L58" t="s">
        <v>965</v>
      </c>
      <c r="M58" t="s">
        <v>1017</v>
      </c>
      <c r="N58" t="s">
        <v>1429</v>
      </c>
      <c r="O58" t="s">
        <v>1725</v>
      </c>
      <c r="P58" t="s">
        <v>931</v>
      </c>
    </row>
    <row r="59" spans="1:16" x14ac:dyDescent="0.2">
      <c r="A59" t="s">
        <v>1012</v>
      </c>
      <c r="B59" t="s">
        <v>525</v>
      </c>
      <c r="C59" t="s">
        <v>525</v>
      </c>
      <c r="D59" t="s">
        <v>1726</v>
      </c>
      <c r="E59" t="s">
        <v>1088</v>
      </c>
      <c r="G59" t="s">
        <v>1086</v>
      </c>
      <c r="H59" t="s">
        <v>941</v>
      </c>
      <c r="I59" t="s">
        <v>1439</v>
      </c>
      <c r="J59" t="s">
        <v>1727</v>
      </c>
      <c r="K59" t="s">
        <v>951</v>
      </c>
      <c r="L59" t="s">
        <v>1088</v>
      </c>
      <c r="M59" t="s">
        <v>944</v>
      </c>
      <c r="N59" t="s">
        <v>1216</v>
      </c>
      <c r="O59" t="s">
        <v>1728</v>
      </c>
      <c r="P59" t="s">
        <v>931</v>
      </c>
    </row>
    <row r="60" spans="1:16" x14ac:dyDescent="0.2">
      <c r="A60" t="s">
        <v>960</v>
      </c>
      <c r="B60" t="s">
        <v>1344</v>
      </c>
      <c r="C60" t="s">
        <v>121</v>
      </c>
      <c r="D60" t="s">
        <v>122</v>
      </c>
      <c r="E60" t="s">
        <v>1088</v>
      </c>
      <c r="F60" t="s">
        <v>79</v>
      </c>
      <c r="G60" t="s">
        <v>1144</v>
      </c>
      <c r="H60" t="s">
        <v>1144</v>
      </c>
      <c r="I60" t="s">
        <v>1428</v>
      </c>
      <c r="J60" t="s">
        <v>1729</v>
      </c>
      <c r="K60" t="s">
        <v>951</v>
      </c>
      <c r="L60" t="s">
        <v>966</v>
      </c>
      <c r="M60" t="s">
        <v>1144</v>
      </c>
      <c r="N60" t="s">
        <v>1452</v>
      </c>
      <c r="O60" t="s">
        <v>1730</v>
      </c>
      <c r="P60" t="s">
        <v>1051</v>
      </c>
    </row>
    <row r="61" spans="1:16" x14ac:dyDescent="0.2">
      <c r="A61" t="s">
        <v>1501</v>
      </c>
      <c r="B61" t="s">
        <v>268</v>
      </c>
      <c r="C61" t="s">
        <v>268</v>
      </c>
      <c r="D61" t="s">
        <v>107</v>
      </c>
      <c r="E61" t="s">
        <v>1023</v>
      </c>
      <c r="F61" t="s">
        <v>1392</v>
      </c>
      <c r="G61" t="s">
        <v>1144</v>
      </c>
      <c r="H61" t="s">
        <v>941</v>
      </c>
      <c r="I61" t="s">
        <v>1535</v>
      </c>
      <c r="J61" t="s">
        <v>1731</v>
      </c>
      <c r="K61" t="s">
        <v>951</v>
      </c>
      <c r="L61" t="s">
        <v>1023</v>
      </c>
      <c r="M61" t="s">
        <v>966</v>
      </c>
      <c r="N61" t="s">
        <v>1293</v>
      </c>
      <c r="O61" t="s">
        <v>1732</v>
      </c>
      <c r="P61" t="s">
        <v>992</v>
      </c>
    </row>
    <row r="62" spans="1:16" x14ac:dyDescent="0.2">
      <c r="A62" t="s">
        <v>902</v>
      </c>
      <c r="B62" t="s">
        <v>903</v>
      </c>
      <c r="C62" t="s">
        <v>903</v>
      </c>
      <c r="D62" t="s">
        <v>1314</v>
      </c>
      <c r="E62" t="s">
        <v>905</v>
      </c>
      <c r="F62" t="s">
        <v>906</v>
      </c>
      <c r="G62" t="s">
        <v>1315</v>
      </c>
      <c r="H62" t="s">
        <v>1316</v>
      </c>
      <c r="I62" t="s">
        <v>1319</v>
      </c>
      <c r="J62" t="s">
        <v>799</v>
      </c>
      <c r="K62" t="s">
        <v>800</v>
      </c>
      <c r="L62" t="s">
        <v>1321</v>
      </c>
      <c r="M62" t="s">
        <v>917</v>
      </c>
      <c r="N62" t="s">
        <v>1322</v>
      </c>
      <c r="O62" t="s">
        <v>1325</v>
      </c>
      <c r="P62" t="s">
        <v>1416</v>
      </c>
    </row>
    <row r="63" spans="1:16" x14ac:dyDescent="0.2">
      <c r="A63" t="s">
        <v>1502</v>
      </c>
      <c r="B63" t="s">
        <v>156</v>
      </c>
      <c r="C63" t="s">
        <v>156</v>
      </c>
      <c r="D63" t="s">
        <v>1257</v>
      </c>
      <c r="E63" t="s">
        <v>934</v>
      </c>
      <c r="F63" t="s">
        <v>1298</v>
      </c>
      <c r="G63" t="s">
        <v>1144</v>
      </c>
      <c r="H63" t="s">
        <v>1051</v>
      </c>
      <c r="I63" t="s">
        <v>1531</v>
      </c>
      <c r="J63" t="s">
        <v>1733</v>
      </c>
      <c r="K63" t="s">
        <v>1051</v>
      </c>
      <c r="L63" t="s">
        <v>937</v>
      </c>
      <c r="M63" t="s">
        <v>1017</v>
      </c>
      <c r="N63" t="s">
        <v>1015</v>
      </c>
      <c r="O63" t="s">
        <v>1734</v>
      </c>
      <c r="P63" t="s">
        <v>1075</v>
      </c>
    </row>
    <row r="64" spans="1:16" x14ac:dyDescent="0.2">
      <c r="A64" t="s">
        <v>1426</v>
      </c>
      <c r="B64" t="s">
        <v>301</v>
      </c>
      <c r="C64" t="s">
        <v>301</v>
      </c>
      <c r="D64" t="s">
        <v>119</v>
      </c>
      <c r="E64" t="s">
        <v>1010</v>
      </c>
      <c r="F64" t="s">
        <v>1392</v>
      </c>
      <c r="G64" t="s">
        <v>1144</v>
      </c>
      <c r="H64" t="s">
        <v>1039</v>
      </c>
      <c r="I64" t="s">
        <v>1421</v>
      </c>
      <c r="J64" t="s">
        <v>1735</v>
      </c>
      <c r="K64" t="s">
        <v>931</v>
      </c>
      <c r="L64" t="s">
        <v>1088</v>
      </c>
      <c r="M64" t="s">
        <v>944</v>
      </c>
      <c r="N64" t="s">
        <v>1293</v>
      </c>
      <c r="O64" t="s">
        <v>1736</v>
      </c>
      <c r="P64" t="s">
        <v>951</v>
      </c>
    </row>
    <row r="65" spans="1:16" x14ac:dyDescent="0.2">
      <c r="A65" t="s">
        <v>1504</v>
      </c>
      <c r="B65" t="s">
        <v>408</v>
      </c>
      <c r="C65" t="s">
        <v>408</v>
      </c>
      <c r="D65" t="s">
        <v>107</v>
      </c>
      <c r="E65" t="s">
        <v>952</v>
      </c>
      <c r="G65" t="s">
        <v>1002</v>
      </c>
      <c r="H65" t="s">
        <v>992</v>
      </c>
      <c r="I65" t="s">
        <v>1528</v>
      </c>
      <c r="J65" t="s">
        <v>1737</v>
      </c>
      <c r="K65" t="s">
        <v>931</v>
      </c>
      <c r="L65" t="s">
        <v>944</v>
      </c>
      <c r="M65" t="s">
        <v>985</v>
      </c>
      <c r="N65" t="s">
        <v>1085</v>
      </c>
      <c r="O65" t="s">
        <v>1738</v>
      </c>
      <c r="P65" t="s">
        <v>992</v>
      </c>
    </row>
    <row r="66" spans="1:16" x14ac:dyDescent="0.2">
      <c r="A66" t="s">
        <v>1456</v>
      </c>
      <c r="B66" t="s">
        <v>1341</v>
      </c>
      <c r="C66" t="s">
        <v>111</v>
      </c>
      <c r="D66" t="s">
        <v>108</v>
      </c>
      <c r="E66" t="s">
        <v>978</v>
      </c>
      <c r="F66" t="s">
        <v>79</v>
      </c>
      <c r="G66" t="s">
        <v>1144</v>
      </c>
      <c r="H66" t="s">
        <v>1144</v>
      </c>
      <c r="I66" t="s">
        <v>1431</v>
      </c>
      <c r="J66" t="s">
        <v>1739</v>
      </c>
      <c r="K66" t="s">
        <v>941</v>
      </c>
      <c r="L66" t="s">
        <v>1088</v>
      </c>
      <c r="M66" t="s">
        <v>1011</v>
      </c>
      <c r="N66" t="s">
        <v>1019</v>
      </c>
      <c r="O66" t="s">
        <v>1740</v>
      </c>
      <c r="P66" t="s">
        <v>1039</v>
      </c>
    </row>
    <row r="67" spans="1:16" x14ac:dyDescent="0.2">
      <c r="A67" t="s">
        <v>1505</v>
      </c>
      <c r="B67" t="s">
        <v>1741</v>
      </c>
      <c r="C67" t="s">
        <v>1741</v>
      </c>
      <c r="D67" t="s">
        <v>1726</v>
      </c>
      <c r="E67" t="s">
        <v>957</v>
      </c>
      <c r="G67" t="s">
        <v>1086</v>
      </c>
      <c r="H67" t="s">
        <v>982</v>
      </c>
      <c r="I67" t="s">
        <v>1526</v>
      </c>
      <c r="J67" t="s">
        <v>1742</v>
      </c>
      <c r="K67" t="s">
        <v>941</v>
      </c>
      <c r="L67" t="s">
        <v>965</v>
      </c>
      <c r="M67" t="s">
        <v>1144</v>
      </c>
      <c r="N67" t="s">
        <v>984</v>
      </c>
      <c r="O67" t="s">
        <v>1743</v>
      </c>
      <c r="P67" t="s">
        <v>931</v>
      </c>
    </row>
    <row r="68" spans="1:16" x14ac:dyDescent="0.2">
      <c r="A68" t="s">
        <v>1483</v>
      </c>
      <c r="B68" t="s">
        <v>361</v>
      </c>
      <c r="C68" t="s">
        <v>361</v>
      </c>
      <c r="D68" t="s">
        <v>108</v>
      </c>
      <c r="E68" t="s">
        <v>934</v>
      </c>
      <c r="G68" t="s">
        <v>1075</v>
      </c>
      <c r="H68" t="s">
        <v>931</v>
      </c>
      <c r="I68" t="s">
        <v>1524</v>
      </c>
      <c r="J68" t="s">
        <v>1744</v>
      </c>
      <c r="K68" t="s">
        <v>982</v>
      </c>
      <c r="L68" t="s">
        <v>1032</v>
      </c>
      <c r="M68" t="s">
        <v>979</v>
      </c>
      <c r="N68" t="s">
        <v>1418</v>
      </c>
      <c r="O68" t="s">
        <v>1745</v>
      </c>
      <c r="P68" t="s">
        <v>931</v>
      </c>
    </row>
    <row r="69" spans="1:16" x14ac:dyDescent="0.2">
      <c r="A69" t="s">
        <v>1508</v>
      </c>
      <c r="B69" t="s">
        <v>378</v>
      </c>
      <c r="C69" t="s">
        <v>378</v>
      </c>
      <c r="D69" t="s">
        <v>1087</v>
      </c>
      <c r="E69" t="s">
        <v>957</v>
      </c>
      <c r="F69" t="s">
        <v>1392</v>
      </c>
      <c r="G69" t="s">
        <v>1144</v>
      </c>
      <c r="H69" t="s">
        <v>982</v>
      </c>
      <c r="I69" t="s">
        <v>1524</v>
      </c>
      <c r="J69" t="s">
        <v>1746</v>
      </c>
      <c r="K69" t="s">
        <v>1009</v>
      </c>
      <c r="L69" t="s">
        <v>1144</v>
      </c>
      <c r="M69" t="s">
        <v>1261</v>
      </c>
      <c r="N69" t="s">
        <v>1594</v>
      </c>
      <c r="O69" t="s">
        <v>1747</v>
      </c>
      <c r="P69" t="s">
        <v>992</v>
      </c>
    </row>
    <row r="70" spans="1:16" x14ac:dyDescent="0.2">
      <c r="A70" t="s">
        <v>1078</v>
      </c>
      <c r="B70" t="s">
        <v>404</v>
      </c>
      <c r="C70" t="s">
        <v>404</v>
      </c>
      <c r="D70" t="s">
        <v>102</v>
      </c>
      <c r="E70" t="s">
        <v>1088</v>
      </c>
      <c r="F70" t="s">
        <v>1392</v>
      </c>
      <c r="G70" t="s">
        <v>1144</v>
      </c>
      <c r="H70" t="s">
        <v>982</v>
      </c>
      <c r="I70" t="s">
        <v>1523</v>
      </c>
      <c r="J70" t="s">
        <v>1748</v>
      </c>
      <c r="K70" t="s">
        <v>931</v>
      </c>
      <c r="L70" t="s">
        <v>1144</v>
      </c>
      <c r="M70" t="s">
        <v>938</v>
      </c>
      <c r="N70" t="s">
        <v>1252</v>
      </c>
      <c r="O70" t="s">
        <v>1749</v>
      </c>
      <c r="P70" t="s">
        <v>941</v>
      </c>
    </row>
    <row r="71" spans="1:16" x14ac:dyDescent="0.2">
      <c r="A71" t="s">
        <v>1287</v>
      </c>
      <c r="B71" t="s">
        <v>1571</v>
      </c>
      <c r="C71" t="s">
        <v>1571</v>
      </c>
      <c r="D71" t="s">
        <v>1122</v>
      </c>
      <c r="E71" t="s">
        <v>1088</v>
      </c>
      <c r="F71" t="s">
        <v>1392</v>
      </c>
      <c r="G71" t="s">
        <v>1064</v>
      </c>
      <c r="H71" t="s">
        <v>1027</v>
      </c>
      <c r="I71" t="s">
        <v>1091</v>
      </c>
      <c r="J71" t="s">
        <v>1750</v>
      </c>
      <c r="K71" t="s">
        <v>931</v>
      </c>
      <c r="L71" t="s">
        <v>1016</v>
      </c>
      <c r="M71" t="s">
        <v>1489</v>
      </c>
      <c r="N71" t="s">
        <v>1148</v>
      </c>
      <c r="O71" t="s">
        <v>1751</v>
      </c>
      <c r="P71" t="s">
        <v>992</v>
      </c>
    </row>
    <row r="72" spans="1:16" x14ac:dyDescent="0.2">
      <c r="A72" t="s">
        <v>1201</v>
      </c>
      <c r="B72" t="s">
        <v>1752</v>
      </c>
      <c r="C72" t="s">
        <v>1752</v>
      </c>
      <c r="D72" t="s">
        <v>122</v>
      </c>
      <c r="E72" t="s">
        <v>1010</v>
      </c>
      <c r="F72" t="s">
        <v>1392</v>
      </c>
      <c r="G72" t="s">
        <v>1086</v>
      </c>
      <c r="H72" t="s">
        <v>1009</v>
      </c>
      <c r="I72" t="s">
        <v>1520</v>
      </c>
      <c r="J72" t="s">
        <v>1215</v>
      </c>
      <c r="K72" t="s">
        <v>931</v>
      </c>
      <c r="L72" t="s">
        <v>1086</v>
      </c>
      <c r="M72" t="s">
        <v>1028</v>
      </c>
      <c r="N72" t="s">
        <v>1114</v>
      </c>
      <c r="O72" t="s">
        <v>1753</v>
      </c>
      <c r="P72" t="s">
        <v>951</v>
      </c>
    </row>
    <row r="73" spans="1:16" x14ac:dyDescent="0.2">
      <c r="A73" t="s">
        <v>1445</v>
      </c>
      <c r="B73" t="s">
        <v>302</v>
      </c>
      <c r="C73" t="s">
        <v>302</v>
      </c>
      <c r="D73" t="s">
        <v>142</v>
      </c>
      <c r="E73" t="s">
        <v>985</v>
      </c>
      <c r="F73" t="s">
        <v>1392</v>
      </c>
      <c r="G73" t="s">
        <v>1027</v>
      </c>
      <c r="H73" t="s">
        <v>982</v>
      </c>
      <c r="I73" t="s">
        <v>1043</v>
      </c>
      <c r="J73" t="s">
        <v>1746</v>
      </c>
      <c r="K73" t="s">
        <v>951</v>
      </c>
      <c r="L73" t="s">
        <v>1162</v>
      </c>
      <c r="M73" t="s">
        <v>966</v>
      </c>
      <c r="N73" t="s">
        <v>1293</v>
      </c>
      <c r="O73" t="s">
        <v>1754</v>
      </c>
      <c r="P73" t="s">
        <v>992</v>
      </c>
    </row>
    <row r="74" spans="1:16" x14ac:dyDescent="0.2">
      <c r="A74" t="s">
        <v>1512</v>
      </c>
      <c r="B74" t="s">
        <v>1420</v>
      </c>
      <c r="C74" t="s">
        <v>1420</v>
      </c>
      <c r="D74" t="s">
        <v>725</v>
      </c>
      <c r="E74" t="s">
        <v>966</v>
      </c>
      <c r="F74" t="s">
        <v>1392</v>
      </c>
      <c r="G74" t="s">
        <v>1086</v>
      </c>
      <c r="H74" t="s">
        <v>1064</v>
      </c>
      <c r="I74" t="s">
        <v>1466</v>
      </c>
      <c r="J74" t="s">
        <v>1755</v>
      </c>
      <c r="K74" t="s">
        <v>941</v>
      </c>
      <c r="L74" t="s">
        <v>1066</v>
      </c>
      <c r="M74" t="s">
        <v>934</v>
      </c>
      <c r="N74" t="s">
        <v>1233</v>
      </c>
      <c r="O74" t="s">
        <v>1715</v>
      </c>
      <c r="P74" t="s">
        <v>992</v>
      </c>
    </row>
    <row r="75" spans="1:16" x14ac:dyDescent="0.2">
      <c r="A75" t="s">
        <v>1466</v>
      </c>
      <c r="B75" t="s">
        <v>371</v>
      </c>
      <c r="C75" t="s">
        <v>371</v>
      </c>
      <c r="D75" t="s">
        <v>1122</v>
      </c>
      <c r="E75" t="s">
        <v>934</v>
      </c>
      <c r="G75" t="s">
        <v>1075</v>
      </c>
      <c r="H75" t="s">
        <v>992</v>
      </c>
      <c r="I75" t="s">
        <v>1078</v>
      </c>
      <c r="J75" t="s">
        <v>1756</v>
      </c>
      <c r="K75" t="s">
        <v>951</v>
      </c>
      <c r="L75" t="s">
        <v>1162</v>
      </c>
      <c r="M75" t="s">
        <v>1162</v>
      </c>
      <c r="N75" t="s">
        <v>1001</v>
      </c>
      <c r="O75" t="s">
        <v>1757</v>
      </c>
      <c r="P75" t="s">
        <v>992</v>
      </c>
    </row>
    <row r="76" spans="1:16" x14ac:dyDescent="0.2">
      <c r="A76" t="s">
        <v>1515</v>
      </c>
      <c r="B76" t="s">
        <v>154</v>
      </c>
      <c r="C76" t="s">
        <v>154</v>
      </c>
      <c r="D76" t="s">
        <v>92</v>
      </c>
      <c r="E76" t="s">
        <v>1028</v>
      </c>
      <c r="F76" t="s">
        <v>79</v>
      </c>
      <c r="G76" t="s">
        <v>1066</v>
      </c>
      <c r="H76" t="s">
        <v>1066</v>
      </c>
      <c r="I76" t="s">
        <v>1483</v>
      </c>
      <c r="J76" t="s">
        <v>1724</v>
      </c>
      <c r="K76" t="s">
        <v>931</v>
      </c>
      <c r="L76" t="s">
        <v>1002</v>
      </c>
      <c r="M76" t="s">
        <v>1523</v>
      </c>
      <c r="N76" t="s">
        <v>1057</v>
      </c>
      <c r="O76" t="s">
        <v>1758</v>
      </c>
      <c r="P76" t="s">
        <v>1086</v>
      </c>
    </row>
    <row r="77" spans="1:16" x14ac:dyDescent="0.2">
      <c r="A77" t="s">
        <v>1451</v>
      </c>
      <c r="B77" t="s">
        <v>1759</v>
      </c>
      <c r="C77" t="s">
        <v>288</v>
      </c>
      <c r="D77" t="s">
        <v>727</v>
      </c>
      <c r="E77" t="s">
        <v>1123</v>
      </c>
      <c r="F77" t="s">
        <v>1298</v>
      </c>
      <c r="G77" t="s">
        <v>1144</v>
      </c>
      <c r="H77" t="s">
        <v>951</v>
      </c>
      <c r="I77" t="s">
        <v>1505</v>
      </c>
      <c r="J77" t="s">
        <v>1607</v>
      </c>
      <c r="K77" t="s">
        <v>931</v>
      </c>
      <c r="L77" t="s">
        <v>972</v>
      </c>
      <c r="M77" t="s">
        <v>1048</v>
      </c>
      <c r="N77" t="s">
        <v>942</v>
      </c>
      <c r="O77" t="s">
        <v>1202</v>
      </c>
      <c r="P77" t="s">
        <v>992</v>
      </c>
    </row>
    <row r="78" spans="1:16" x14ac:dyDescent="0.2">
      <c r="A78" t="s">
        <v>1043</v>
      </c>
      <c r="B78" t="s">
        <v>388</v>
      </c>
      <c r="C78" t="s">
        <v>388</v>
      </c>
      <c r="D78" t="s">
        <v>71</v>
      </c>
      <c r="E78" t="s">
        <v>985</v>
      </c>
      <c r="G78" t="s">
        <v>1075</v>
      </c>
      <c r="H78" t="s">
        <v>992</v>
      </c>
      <c r="I78" t="s">
        <v>1505</v>
      </c>
      <c r="J78" t="s">
        <v>1607</v>
      </c>
      <c r="K78" t="s">
        <v>941</v>
      </c>
      <c r="L78" t="s">
        <v>1162</v>
      </c>
      <c r="M78" t="s">
        <v>1032</v>
      </c>
      <c r="N78" t="s">
        <v>942</v>
      </c>
      <c r="O78" t="s">
        <v>1760</v>
      </c>
      <c r="P78" t="s">
        <v>992</v>
      </c>
    </row>
    <row r="79" spans="1:16" x14ac:dyDescent="0.2">
      <c r="A79" t="s">
        <v>1518</v>
      </c>
      <c r="B79" t="s">
        <v>120</v>
      </c>
      <c r="C79" t="s">
        <v>120</v>
      </c>
      <c r="D79" t="s">
        <v>102</v>
      </c>
      <c r="E79" t="s">
        <v>985</v>
      </c>
      <c r="F79" t="s">
        <v>935</v>
      </c>
      <c r="G79" t="s">
        <v>1002</v>
      </c>
      <c r="H79" t="s">
        <v>982</v>
      </c>
      <c r="I79" t="s">
        <v>1456</v>
      </c>
      <c r="J79" t="s">
        <v>1707</v>
      </c>
      <c r="K79" t="s">
        <v>951</v>
      </c>
      <c r="L79" t="s">
        <v>1088</v>
      </c>
      <c r="M79" t="s">
        <v>1023</v>
      </c>
      <c r="N79" t="s">
        <v>1153</v>
      </c>
      <c r="O79" t="s">
        <v>1761</v>
      </c>
      <c r="P79" t="s">
        <v>1064</v>
      </c>
    </row>
    <row r="80" spans="1:16" x14ac:dyDescent="0.2">
      <c r="A80" t="s">
        <v>1520</v>
      </c>
      <c r="B80" t="s">
        <v>341</v>
      </c>
      <c r="C80" t="s">
        <v>341</v>
      </c>
      <c r="D80" t="s">
        <v>74</v>
      </c>
      <c r="E80" t="s">
        <v>1088</v>
      </c>
      <c r="F80" t="s">
        <v>1392</v>
      </c>
      <c r="G80" t="s">
        <v>1144</v>
      </c>
      <c r="H80" t="s">
        <v>931</v>
      </c>
      <c r="I80" t="s">
        <v>1456</v>
      </c>
      <c r="J80" t="s">
        <v>1762</v>
      </c>
      <c r="K80" t="s">
        <v>951</v>
      </c>
      <c r="L80" t="s">
        <v>1144</v>
      </c>
      <c r="M80" t="s">
        <v>1488</v>
      </c>
      <c r="N80" t="s">
        <v>1271</v>
      </c>
      <c r="O80" t="s">
        <v>1763</v>
      </c>
      <c r="P80" t="s">
        <v>992</v>
      </c>
    </row>
    <row r="81" spans="1:16" x14ac:dyDescent="0.2">
      <c r="A81" t="s">
        <v>1521</v>
      </c>
      <c r="B81" t="s">
        <v>1764</v>
      </c>
      <c r="C81" t="s">
        <v>1764</v>
      </c>
      <c r="D81" t="s">
        <v>101</v>
      </c>
      <c r="E81" t="s">
        <v>1088</v>
      </c>
      <c r="G81" t="s">
        <v>1066</v>
      </c>
      <c r="H81" t="s">
        <v>992</v>
      </c>
      <c r="I81" t="s">
        <v>1456</v>
      </c>
      <c r="J81" t="s">
        <v>1765</v>
      </c>
      <c r="K81" t="s">
        <v>931</v>
      </c>
      <c r="L81" t="s">
        <v>1051</v>
      </c>
      <c r="M81" t="s">
        <v>1023</v>
      </c>
      <c r="N81" t="s">
        <v>1293</v>
      </c>
      <c r="O81" t="s">
        <v>1766</v>
      </c>
      <c r="P81" t="s">
        <v>931</v>
      </c>
    </row>
    <row r="82" spans="1:16" x14ac:dyDescent="0.2">
      <c r="A82" t="s">
        <v>1091</v>
      </c>
      <c r="B82" t="s">
        <v>1335</v>
      </c>
      <c r="C82" t="s">
        <v>80</v>
      </c>
      <c r="D82" t="s">
        <v>1040</v>
      </c>
      <c r="E82" t="s">
        <v>1088</v>
      </c>
      <c r="F82" t="s">
        <v>79</v>
      </c>
      <c r="G82" t="s">
        <v>1002</v>
      </c>
      <c r="H82" t="s">
        <v>1002</v>
      </c>
      <c r="I82" t="s">
        <v>1504</v>
      </c>
      <c r="J82" t="s">
        <v>1737</v>
      </c>
      <c r="K82" t="s">
        <v>941</v>
      </c>
      <c r="L82" t="s">
        <v>985</v>
      </c>
      <c r="M82" t="s">
        <v>1023</v>
      </c>
      <c r="N82" t="s">
        <v>1026</v>
      </c>
      <c r="O82" t="s">
        <v>1738</v>
      </c>
      <c r="P82" t="s">
        <v>1009</v>
      </c>
    </row>
    <row r="83" spans="1:16" x14ac:dyDescent="0.2">
      <c r="A83" t="s">
        <v>1523</v>
      </c>
      <c r="B83" t="s">
        <v>327</v>
      </c>
      <c r="C83" t="s">
        <v>327</v>
      </c>
      <c r="D83" t="s">
        <v>142</v>
      </c>
      <c r="E83" t="s">
        <v>1088</v>
      </c>
      <c r="F83" t="s">
        <v>1392</v>
      </c>
      <c r="G83" t="s">
        <v>972</v>
      </c>
      <c r="H83" t="s">
        <v>931</v>
      </c>
      <c r="I83" t="s">
        <v>1501</v>
      </c>
      <c r="J83" t="s">
        <v>1199</v>
      </c>
      <c r="K83" t="s">
        <v>992</v>
      </c>
      <c r="L83" t="s">
        <v>1086</v>
      </c>
      <c r="M83" t="s">
        <v>1023</v>
      </c>
      <c r="N83" t="s">
        <v>1293</v>
      </c>
      <c r="O83" t="s">
        <v>1767</v>
      </c>
      <c r="P83" t="s">
        <v>941</v>
      </c>
    </row>
    <row r="84" spans="1:16" x14ac:dyDescent="0.2">
      <c r="A84" t="s">
        <v>1524</v>
      </c>
      <c r="B84" t="s">
        <v>362</v>
      </c>
      <c r="C84" t="s">
        <v>362</v>
      </c>
      <c r="D84" t="s">
        <v>118</v>
      </c>
      <c r="E84" t="s">
        <v>1023</v>
      </c>
      <c r="F84" t="s">
        <v>1392</v>
      </c>
      <c r="G84" t="s">
        <v>1064</v>
      </c>
      <c r="H84" t="s">
        <v>982</v>
      </c>
      <c r="I84" t="s">
        <v>1501</v>
      </c>
      <c r="J84" t="s">
        <v>1146</v>
      </c>
      <c r="K84" t="s">
        <v>992</v>
      </c>
      <c r="L84" t="s">
        <v>1002</v>
      </c>
      <c r="M84" t="s">
        <v>997</v>
      </c>
      <c r="N84" t="s">
        <v>1612</v>
      </c>
      <c r="O84" t="s">
        <v>1768</v>
      </c>
      <c r="P84" t="s">
        <v>992</v>
      </c>
    </row>
    <row r="85" spans="1:16" x14ac:dyDescent="0.2">
      <c r="A85" t="s">
        <v>1526</v>
      </c>
      <c r="B85" t="s">
        <v>69</v>
      </c>
      <c r="C85" t="s">
        <v>69</v>
      </c>
      <c r="D85" t="s">
        <v>70</v>
      </c>
      <c r="E85" t="s">
        <v>1023</v>
      </c>
      <c r="F85" t="s">
        <v>1392</v>
      </c>
      <c r="G85" t="s">
        <v>951</v>
      </c>
      <c r="H85" t="s">
        <v>951</v>
      </c>
      <c r="I85" t="s">
        <v>1501</v>
      </c>
      <c r="J85" t="s">
        <v>1769</v>
      </c>
      <c r="K85" t="s">
        <v>1009</v>
      </c>
      <c r="L85" t="s">
        <v>1066</v>
      </c>
      <c r="M85" t="s">
        <v>1002</v>
      </c>
      <c r="N85" t="s">
        <v>1099</v>
      </c>
      <c r="O85" t="s">
        <v>1041</v>
      </c>
      <c r="P85" t="s">
        <v>992</v>
      </c>
    </row>
    <row r="86" spans="1:16" x14ac:dyDescent="0.2">
      <c r="A86" t="s">
        <v>1431</v>
      </c>
      <c r="B86" t="s">
        <v>117</v>
      </c>
      <c r="C86" t="s">
        <v>117</v>
      </c>
      <c r="D86" t="s">
        <v>118</v>
      </c>
      <c r="E86" t="s">
        <v>985</v>
      </c>
      <c r="F86" t="s">
        <v>79</v>
      </c>
      <c r="G86" t="s">
        <v>1002</v>
      </c>
      <c r="H86" t="s">
        <v>1002</v>
      </c>
      <c r="I86" t="s">
        <v>1261</v>
      </c>
      <c r="J86" t="s">
        <v>1770</v>
      </c>
      <c r="K86" t="s">
        <v>1009</v>
      </c>
      <c r="L86" t="s">
        <v>1032</v>
      </c>
      <c r="M86" t="s">
        <v>966</v>
      </c>
      <c r="N86" t="s">
        <v>1293</v>
      </c>
      <c r="O86" t="s">
        <v>1186</v>
      </c>
      <c r="P86" t="s">
        <v>1051</v>
      </c>
    </row>
    <row r="87" spans="1:16" x14ac:dyDescent="0.2">
      <c r="A87" t="s">
        <v>1528</v>
      </c>
      <c r="B87" t="s">
        <v>579</v>
      </c>
      <c r="C87" t="s">
        <v>579</v>
      </c>
      <c r="D87" t="s">
        <v>92</v>
      </c>
      <c r="E87" t="s">
        <v>978</v>
      </c>
      <c r="G87" t="s">
        <v>1064</v>
      </c>
      <c r="H87" t="s">
        <v>992</v>
      </c>
      <c r="I87" t="s">
        <v>1261</v>
      </c>
      <c r="J87" t="s">
        <v>1771</v>
      </c>
      <c r="K87" t="s">
        <v>931</v>
      </c>
      <c r="L87" t="s">
        <v>1048</v>
      </c>
      <c r="M87" t="s">
        <v>1032</v>
      </c>
      <c r="N87" t="s">
        <v>1293</v>
      </c>
      <c r="O87" t="s">
        <v>1725</v>
      </c>
      <c r="P87" t="s">
        <v>992</v>
      </c>
    </row>
    <row r="88" spans="1:16" x14ac:dyDescent="0.2">
      <c r="A88" t="s">
        <v>1421</v>
      </c>
      <c r="B88" t="s">
        <v>1772</v>
      </c>
      <c r="C88" t="s">
        <v>1772</v>
      </c>
      <c r="D88" t="s">
        <v>92</v>
      </c>
      <c r="E88" t="s">
        <v>957</v>
      </c>
      <c r="G88" t="s">
        <v>1009</v>
      </c>
      <c r="H88" t="s">
        <v>982</v>
      </c>
      <c r="I88" t="s">
        <v>1480</v>
      </c>
      <c r="J88" t="s">
        <v>1773</v>
      </c>
      <c r="K88" t="s">
        <v>931</v>
      </c>
      <c r="L88" t="s">
        <v>1039</v>
      </c>
      <c r="M88" t="s">
        <v>1066</v>
      </c>
      <c r="N88" t="s">
        <v>1455</v>
      </c>
      <c r="O88" t="s">
        <v>1774</v>
      </c>
      <c r="P88" t="s">
        <v>992</v>
      </c>
    </row>
    <row r="89" spans="1:16" x14ac:dyDescent="0.2">
      <c r="A89" t="s">
        <v>1458</v>
      </c>
      <c r="B89" t="s">
        <v>385</v>
      </c>
      <c r="C89" t="s">
        <v>385</v>
      </c>
      <c r="D89" t="s">
        <v>1726</v>
      </c>
      <c r="E89" t="s">
        <v>1028</v>
      </c>
      <c r="G89" t="s">
        <v>1048</v>
      </c>
      <c r="H89" t="s">
        <v>931</v>
      </c>
      <c r="I89" t="s">
        <v>1480</v>
      </c>
      <c r="J89" t="s">
        <v>1199</v>
      </c>
      <c r="K89" t="s">
        <v>931</v>
      </c>
      <c r="L89" t="s">
        <v>1086</v>
      </c>
      <c r="M89" t="s">
        <v>937</v>
      </c>
      <c r="N89" t="s">
        <v>1252</v>
      </c>
      <c r="O89" t="s">
        <v>1775</v>
      </c>
      <c r="P89" t="s">
        <v>992</v>
      </c>
    </row>
    <row r="90" spans="1:16" x14ac:dyDescent="0.2">
      <c r="A90" t="s">
        <v>1531</v>
      </c>
      <c r="B90" t="s">
        <v>134</v>
      </c>
      <c r="C90" t="s">
        <v>134</v>
      </c>
      <c r="D90" t="s">
        <v>82</v>
      </c>
      <c r="E90" t="s">
        <v>1088</v>
      </c>
      <c r="F90" t="s">
        <v>79</v>
      </c>
      <c r="G90" t="s">
        <v>1144</v>
      </c>
      <c r="H90" t="s">
        <v>1144</v>
      </c>
      <c r="I90" t="s">
        <v>1480</v>
      </c>
      <c r="J90" t="s">
        <v>1647</v>
      </c>
      <c r="K90" t="s">
        <v>931</v>
      </c>
      <c r="L90" t="s">
        <v>1162</v>
      </c>
      <c r="M90" t="s">
        <v>957</v>
      </c>
      <c r="N90" t="s">
        <v>1114</v>
      </c>
      <c r="O90" t="s">
        <v>1776</v>
      </c>
      <c r="P90" t="s">
        <v>1051</v>
      </c>
    </row>
    <row r="91" spans="1:16" x14ac:dyDescent="0.2">
      <c r="A91" t="s">
        <v>1534</v>
      </c>
      <c r="B91" t="s">
        <v>164</v>
      </c>
      <c r="C91" t="s">
        <v>164</v>
      </c>
      <c r="D91" t="s">
        <v>70</v>
      </c>
      <c r="E91" t="s">
        <v>957</v>
      </c>
      <c r="F91" t="s">
        <v>79</v>
      </c>
      <c r="G91" t="s">
        <v>1002</v>
      </c>
      <c r="H91" t="s">
        <v>1002</v>
      </c>
      <c r="I91" t="s">
        <v>1441</v>
      </c>
      <c r="J91" t="s">
        <v>1136</v>
      </c>
      <c r="K91" t="s">
        <v>1009</v>
      </c>
      <c r="L91" t="s">
        <v>1162</v>
      </c>
      <c r="M91" t="s">
        <v>1162</v>
      </c>
      <c r="N91" t="s">
        <v>1015</v>
      </c>
      <c r="O91" t="s">
        <v>1777</v>
      </c>
      <c r="P91" t="s">
        <v>1027</v>
      </c>
    </row>
    <row r="92" spans="1:16" x14ac:dyDescent="0.2">
      <c r="A92" t="s">
        <v>1535</v>
      </c>
      <c r="B92" t="s">
        <v>330</v>
      </c>
      <c r="C92" t="s">
        <v>330</v>
      </c>
      <c r="D92" t="s">
        <v>139</v>
      </c>
      <c r="E92" t="s">
        <v>1028</v>
      </c>
      <c r="F92" t="s">
        <v>1392</v>
      </c>
      <c r="G92" t="s">
        <v>1144</v>
      </c>
      <c r="H92" t="s">
        <v>941</v>
      </c>
      <c r="I92" t="s">
        <v>1103</v>
      </c>
      <c r="J92" t="s">
        <v>1638</v>
      </c>
      <c r="K92" t="s">
        <v>941</v>
      </c>
      <c r="L92" t="s">
        <v>1064</v>
      </c>
      <c r="M92" t="s">
        <v>1066</v>
      </c>
      <c r="N92" t="s">
        <v>1468</v>
      </c>
      <c r="O92" t="s">
        <v>1778</v>
      </c>
      <c r="P92" t="s">
        <v>931</v>
      </c>
    </row>
    <row r="93" spans="1:16" x14ac:dyDescent="0.2">
      <c r="A93" t="s">
        <v>902</v>
      </c>
      <c r="B93" t="s">
        <v>903</v>
      </c>
      <c r="C93" t="s">
        <v>903</v>
      </c>
      <c r="D93" t="s">
        <v>1314</v>
      </c>
      <c r="E93" t="s">
        <v>905</v>
      </c>
      <c r="F93" t="s">
        <v>906</v>
      </c>
      <c r="G93" t="s">
        <v>1315</v>
      </c>
      <c r="H93" t="s">
        <v>1316</v>
      </c>
      <c r="I93" t="s">
        <v>1319</v>
      </c>
      <c r="J93" t="s">
        <v>799</v>
      </c>
      <c r="K93" t="s">
        <v>800</v>
      </c>
      <c r="L93" t="s">
        <v>1321</v>
      </c>
      <c r="M93" t="s">
        <v>917</v>
      </c>
      <c r="N93" t="s">
        <v>1322</v>
      </c>
      <c r="O93" t="s">
        <v>1325</v>
      </c>
      <c r="P93" t="s">
        <v>1416</v>
      </c>
    </row>
    <row r="94" spans="1:16" x14ac:dyDescent="0.2">
      <c r="A94" t="s">
        <v>1428</v>
      </c>
      <c r="B94" t="s">
        <v>172</v>
      </c>
      <c r="C94" t="s">
        <v>172</v>
      </c>
      <c r="D94" t="s">
        <v>102</v>
      </c>
      <c r="E94" t="s">
        <v>957</v>
      </c>
      <c r="F94" t="s">
        <v>79</v>
      </c>
      <c r="G94" t="s">
        <v>972</v>
      </c>
      <c r="H94" t="s">
        <v>972</v>
      </c>
      <c r="I94" t="s">
        <v>1103</v>
      </c>
      <c r="J94" t="s">
        <v>1779</v>
      </c>
      <c r="K94" t="s">
        <v>1009</v>
      </c>
      <c r="L94" t="s">
        <v>1088</v>
      </c>
      <c r="M94" t="s">
        <v>1190</v>
      </c>
      <c r="N94" t="s">
        <v>1015</v>
      </c>
      <c r="O94" t="s">
        <v>1514</v>
      </c>
      <c r="P94" t="s">
        <v>1075</v>
      </c>
    </row>
    <row r="95" spans="1:16" x14ac:dyDescent="0.2">
      <c r="A95" t="s">
        <v>1439</v>
      </c>
      <c r="B95" t="s">
        <v>173</v>
      </c>
      <c r="C95" t="s">
        <v>173</v>
      </c>
      <c r="D95" t="s">
        <v>730</v>
      </c>
      <c r="E95" t="s">
        <v>952</v>
      </c>
      <c r="F95" t="s">
        <v>79</v>
      </c>
      <c r="G95" t="s">
        <v>1002</v>
      </c>
      <c r="H95" t="s">
        <v>1002</v>
      </c>
      <c r="I95" t="s">
        <v>1053</v>
      </c>
      <c r="J95" t="s">
        <v>1542</v>
      </c>
      <c r="K95" t="s">
        <v>982</v>
      </c>
      <c r="L95" t="s">
        <v>972</v>
      </c>
      <c r="M95" t="s">
        <v>1075</v>
      </c>
      <c r="N95" t="s">
        <v>1063</v>
      </c>
      <c r="O95" t="s">
        <v>1033</v>
      </c>
      <c r="P95" t="s">
        <v>1039</v>
      </c>
    </row>
    <row r="96" spans="1:16" x14ac:dyDescent="0.2">
      <c r="A96" t="s">
        <v>1536</v>
      </c>
      <c r="B96" t="s">
        <v>547</v>
      </c>
      <c r="C96" t="s">
        <v>547</v>
      </c>
      <c r="D96" t="s">
        <v>77</v>
      </c>
      <c r="E96" t="s">
        <v>1088</v>
      </c>
      <c r="G96" t="s">
        <v>1144</v>
      </c>
      <c r="H96" t="s">
        <v>992</v>
      </c>
      <c r="I96" t="s">
        <v>986</v>
      </c>
      <c r="J96" t="s">
        <v>1780</v>
      </c>
      <c r="K96" t="s">
        <v>931</v>
      </c>
      <c r="L96" t="s">
        <v>1051</v>
      </c>
      <c r="M96" t="s">
        <v>1032</v>
      </c>
      <c r="N96" t="s">
        <v>1293</v>
      </c>
      <c r="O96" t="s">
        <v>948</v>
      </c>
      <c r="P96" t="s">
        <v>992</v>
      </c>
    </row>
    <row r="97" spans="1:16" x14ac:dyDescent="0.2">
      <c r="A97" t="s">
        <v>1537</v>
      </c>
      <c r="B97" t="s">
        <v>315</v>
      </c>
      <c r="C97" t="s">
        <v>315</v>
      </c>
      <c r="D97" t="s">
        <v>1267</v>
      </c>
      <c r="E97" t="s">
        <v>985</v>
      </c>
      <c r="G97" t="s">
        <v>1086</v>
      </c>
      <c r="H97" t="s">
        <v>992</v>
      </c>
      <c r="I97" t="s">
        <v>1488</v>
      </c>
      <c r="J97" t="s">
        <v>1781</v>
      </c>
      <c r="K97" t="s">
        <v>941</v>
      </c>
      <c r="L97" t="s">
        <v>1086</v>
      </c>
      <c r="M97" t="s">
        <v>934</v>
      </c>
      <c r="N97" t="s">
        <v>1015</v>
      </c>
      <c r="O97" t="s">
        <v>1498</v>
      </c>
      <c r="P97" t="s">
        <v>992</v>
      </c>
    </row>
    <row r="98" spans="1:16" x14ac:dyDescent="0.2">
      <c r="A98" t="s">
        <v>1538</v>
      </c>
      <c r="B98" t="s">
        <v>165</v>
      </c>
      <c r="C98" t="s">
        <v>165</v>
      </c>
      <c r="D98" t="s">
        <v>93</v>
      </c>
      <c r="E98" t="s">
        <v>1023</v>
      </c>
      <c r="F98" t="s">
        <v>79</v>
      </c>
      <c r="G98" t="s">
        <v>1048</v>
      </c>
      <c r="H98" t="s">
        <v>1048</v>
      </c>
      <c r="I98" t="s">
        <v>977</v>
      </c>
      <c r="J98" t="s">
        <v>1782</v>
      </c>
      <c r="K98" t="s">
        <v>951</v>
      </c>
      <c r="L98" t="s">
        <v>1048</v>
      </c>
      <c r="M98" t="s">
        <v>1144</v>
      </c>
      <c r="N98" t="s">
        <v>942</v>
      </c>
      <c r="O98" t="s">
        <v>1079</v>
      </c>
      <c r="P98" t="s">
        <v>1051</v>
      </c>
    </row>
    <row r="99" spans="1:16" x14ac:dyDescent="0.2">
      <c r="A99" t="s">
        <v>1539</v>
      </c>
      <c r="B99" t="s">
        <v>116</v>
      </c>
      <c r="C99" t="s">
        <v>116</v>
      </c>
      <c r="D99" t="s">
        <v>77</v>
      </c>
      <c r="E99" t="s">
        <v>978</v>
      </c>
      <c r="F99" t="s">
        <v>79</v>
      </c>
      <c r="G99" t="s">
        <v>1144</v>
      </c>
      <c r="H99" t="s">
        <v>1144</v>
      </c>
      <c r="I99" t="s">
        <v>1017</v>
      </c>
      <c r="J99" t="s">
        <v>1783</v>
      </c>
      <c r="K99" t="s">
        <v>1039</v>
      </c>
      <c r="L99" t="s">
        <v>985</v>
      </c>
      <c r="M99" t="s">
        <v>1443</v>
      </c>
      <c r="N99" t="s">
        <v>1019</v>
      </c>
      <c r="O99" t="s">
        <v>1784</v>
      </c>
      <c r="P99" t="s">
        <v>1027</v>
      </c>
    </row>
    <row r="100" spans="1:16" x14ac:dyDescent="0.2">
      <c r="A100" t="s">
        <v>1540</v>
      </c>
      <c r="B100" t="s">
        <v>262</v>
      </c>
      <c r="C100" t="s">
        <v>262</v>
      </c>
      <c r="D100" t="s">
        <v>70</v>
      </c>
      <c r="E100" t="s">
        <v>1023</v>
      </c>
      <c r="F100" t="s">
        <v>1298</v>
      </c>
      <c r="G100" t="s">
        <v>1002</v>
      </c>
      <c r="H100" t="s">
        <v>1009</v>
      </c>
      <c r="I100" t="s">
        <v>1056</v>
      </c>
      <c r="J100" t="s">
        <v>1785</v>
      </c>
      <c r="K100" t="s">
        <v>941</v>
      </c>
      <c r="L100" t="s">
        <v>1075</v>
      </c>
      <c r="M100" t="s">
        <v>1443</v>
      </c>
      <c r="N100" t="s">
        <v>1452</v>
      </c>
      <c r="O100" t="s">
        <v>1786</v>
      </c>
      <c r="P100" t="s">
        <v>931</v>
      </c>
    </row>
    <row r="101" spans="1:16" x14ac:dyDescent="0.2">
      <c r="A101" t="s">
        <v>1541</v>
      </c>
      <c r="B101" t="s">
        <v>419</v>
      </c>
      <c r="C101" t="s">
        <v>419</v>
      </c>
      <c r="D101" t="s">
        <v>70</v>
      </c>
      <c r="E101" t="s">
        <v>1023</v>
      </c>
      <c r="F101" t="s">
        <v>1392</v>
      </c>
      <c r="G101" t="s">
        <v>1039</v>
      </c>
      <c r="H101" t="s">
        <v>931</v>
      </c>
      <c r="I101" t="s">
        <v>1056</v>
      </c>
      <c r="J101" t="s">
        <v>1656</v>
      </c>
      <c r="K101" t="s">
        <v>931</v>
      </c>
      <c r="L101" t="s">
        <v>1066</v>
      </c>
      <c r="M101" t="s">
        <v>1048</v>
      </c>
      <c r="N101" t="s">
        <v>1099</v>
      </c>
      <c r="O101" t="s">
        <v>1787</v>
      </c>
      <c r="P101" t="s">
        <v>931</v>
      </c>
    </row>
    <row r="102" spans="1:16" x14ac:dyDescent="0.2">
      <c r="A102" t="s">
        <v>1424</v>
      </c>
      <c r="B102" t="s">
        <v>932</v>
      </c>
      <c r="C102" t="s">
        <v>932</v>
      </c>
      <c r="D102" t="s">
        <v>933</v>
      </c>
      <c r="E102" t="s">
        <v>1123</v>
      </c>
      <c r="F102" t="s">
        <v>79</v>
      </c>
      <c r="G102" t="s">
        <v>1144</v>
      </c>
      <c r="H102" t="s">
        <v>1144</v>
      </c>
      <c r="I102" t="s">
        <v>1124</v>
      </c>
      <c r="J102" t="s">
        <v>1788</v>
      </c>
      <c r="K102" t="s">
        <v>951</v>
      </c>
      <c r="L102" t="s">
        <v>1144</v>
      </c>
      <c r="M102" t="s">
        <v>1162</v>
      </c>
      <c r="N102" t="s">
        <v>942</v>
      </c>
      <c r="O102" t="s">
        <v>1104</v>
      </c>
      <c r="P102" t="s">
        <v>1086</v>
      </c>
    </row>
    <row r="103" spans="1:16" x14ac:dyDescent="0.2">
      <c r="A103" t="s">
        <v>1542</v>
      </c>
      <c r="B103" t="s">
        <v>1558</v>
      </c>
      <c r="C103" t="s">
        <v>1558</v>
      </c>
      <c r="D103" t="s">
        <v>1087</v>
      </c>
      <c r="E103" t="s">
        <v>1023</v>
      </c>
      <c r="G103" t="s">
        <v>1051</v>
      </c>
      <c r="H103" t="s">
        <v>992</v>
      </c>
      <c r="I103" t="s">
        <v>1124</v>
      </c>
      <c r="J103" t="s">
        <v>1259</v>
      </c>
      <c r="K103" t="s">
        <v>931</v>
      </c>
      <c r="L103" t="s">
        <v>1039</v>
      </c>
      <c r="M103" t="s">
        <v>1032</v>
      </c>
      <c r="N103" t="s">
        <v>1099</v>
      </c>
      <c r="O103" t="s">
        <v>1094</v>
      </c>
      <c r="P103" t="s">
        <v>931</v>
      </c>
    </row>
    <row r="104" spans="1:16" x14ac:dyDescent="0.2">
      <c r="A104" t="s">
        <v>1423</v>
      </c>
      <c r="B104" t="s">
        <v>306</v>
      </c>
      <c r="C104" t="s">
        <v>306</v>
      </c>
      <c r="D104" t="s">
        <v>1040</v>
      </c>
      <c r="E104" t="s">
        <v>1088</v>
      </c>
      <c r="G104" t="s">
        <v>1144</v>
      </c>
      <c r="H104" t="s">
        <v>992</v>
      </c>
      <c r="I104" t="s">
        <v>1124</v>
      </c>
      <c r="J104" t="s">
        <v>1644</v>
      </c>
      <c r="K104" t="s">
        <v>931</v>
      </c>
      <c r="L104" t="s">
        <v>1066</v>
      </c>
      <c r="M104" t="s">
        <v>1048</v>
      </c>
      <c r="N104" t="s">
        <v>1293</v>
      </c>
      <c r="O104" t="s">
        <v>1262</v>
      </c>
      <c r="P104" t="s">
        <v>992</v>
      </c>
    </row>
    <row r="105" spans="1:16" x14ac:dyDescent="0.2">
      <c r="A105" t="s">
        <v>1462</v>
      </c>
      <c r="B105" t="s">
        <v>1347</v>
      </c>
      <c r="C105" t="s">
        <v>103</v>
      </c>
      <c r="D105" t="s">
        <v>1267</v>
      </c>
      <c r="E105" t="s">
        <v>945</v>
      </c>
      <c r="F105" t="s">
        <v>79</v>
      </c>
      <c r="G105" t="s">
        <v>1144</v>
      </c>
      <c r="H105" t="s">
        <v>1144</v>
      </c>
      <c r="I105" t="s">
        <v>1011</v>
      </c>
      <c r="J105" t="s">
        <v>1789</v>
      </c>
      <c r="K105" t="s">
        <v>951</v>
      </c>
      <c r="L105" t="s">
        <v>1002</v>
      </c>
      <c r="M105" t="s">
        <v>1066</v>
      </c>
      <c r="N105" t="s">
        <v>1594</v>
      </c>
      <c r="O105" t="s">
        <v>1174</v>
      </c>
      <c r="P105" t="s">
        <v>982</v>
      </c>
    </row>
    <row r="106" spans="1:16" x14ac:dyDescent="0.2">
      <c r="A106" t="s">
        <v>1545</v>
      </c>
      <c r="B106" t="s">
        <v>132</v>
      </c>
      <c r="C106" t="s">
        <v>132</v>
      </c>
      <c r="D106" t="s">
        <v>74</v>
      </c>
      <c r="E106" t="s">
        <v>1023</v>
      </c>
      <c r="F106" t="s">
        <v>935</v>
      </c>
      <c r="G106" t="s">
        <v>1075</v>
      </c>
      <c r="H106" t="s">
        <v>1075</v>
      </c>
      <c r="I106" t="s">
        <v>945</v>
      </c>
      <c r="J106" t="s">
        <v>1677</v>
      </c>
      <c r="K106" t="s">
        <v>951</v>
      </c>
      <c r="L106" t="s">
        <v>1066</v>
      </c>
      <c r="M106" t="s">
        <v>1028</v>
      </c>
      <c r="N106" t="s">
        <v>1099</v>
      </c>
      <c r="O106" t="s">
        <v>1790</v>
      </c>
      <c r="P106" t="s">
        <v>1064</v>
      </c>
    </row>
    <row r="107" spans="1:16" x14ac:dyDescent="0.2">
      <c r="A107" t="s">
        <v>1546</v>
      </c>
      <c r="B107" t="s">
        <v>168</v>
      </c>
      <c r="C107" t="s">
        <v>168</v>
      </c>
      <c r="D107" t="s">
        <v>71</v>
      </c>
      <c r="E107" t="s">
        <v>1028</v>
      </c>
      <c r="F107" t="s">
        <v>79</v>
      </c>
      <c r="G107" t="s">
        <v>972</v>
      </c>
      <c r="H107" t="s">
        <v>972</v>
      </c>
      <c r="I107" t="s">
        <v>945</v>
      </c>
      <c r="J107" t="s">
        <v>1791</v>
      </c>
      <c r="K107" t="s">
        <v>941</v>
      </c>
      <c r="L107" t="s">
        <v>1048</v>
      </c>
      <c r="M107" t="s">
        <v>1488</v>
      </c>
      <c r="N107" t="s">
        <v>1018</v>
      </c>
      <c r="O107" t="s">
        <v>1792</v>
      </c>
      <c r="P107" t="s">
        <v>982</v>
      </c>
    </row>
    <row r="108" spans="1:16" x14ac:dyDescent="0.2">
      <c r="A108" t="s">
        <v>1434</v>
      </c>
      <c r="B108" t="s">
        <v>161</v>
      </c>
      <c r="C108" t="s">
        <v>161</v>
      </c>
      <c r="D108" t="s">
        <v>142</v>
      </c>
      <c r="E108" t="s">
        <v>985</v>
      </c>
      <c r="F108" t="s">
        <v>935</v>
      </c>
      <c r="G108" t="s">
        <v>1075</v>
      </c>
      <c r="H108" t="s">
        <v>1064</v>
      </c>
      <c r="I108" t="s">
        <v>997</v>
      </c>
      <c r="J108" t="s">
        <v>1552</v>
      </c>
      <c r="K108" t="s">
        <v>951</v>
      </c>
      <c r="L108" t="s">
        <v>1048</v>
      </c>
      <c r="M108" t="s">
        <v>944</v>
      </c>
      <c r="N108" t="s">
        <v>1311</v>
      </c>
      <c r="O108" t="s">
        <v>1034</v>
      </c>
      <c r="P108" t="s">
        <v>931</v>
      </c>
    </row>
    <row r="109" spans="1:16" x14ac:dyDescent="0.2">
      <c r="A109" t="s">
        <v>1549</v>
      </c>
      <c r="B109" t="s">
        <v>370</v>
      </c>
      <c r="C109" t="s">
        <v>370</v>
      </c>
      <c r="D109" t="s">
        <v>93</v>
      </c>
      <c r="E109" t="s">
        <v>1023</v>
      </c>
      <c r="G109" t="s">
        <v>1144</v>
      </c>
      <c r="H109" t="s">
        <v>992</v>
      </c>
      <c r="I109" t="s">
        <v>1134</v>
      </c>
      <c r="J109" t="s">
        <v>1641</v>
      </c>
      <c r="K109" t="s">
        <v>992</v>
      </c>
      <c r="L109" t="s">
        <v>1075</v>
      </c>
      <c r="M109" t="s">
        <v>1028</v>
      </c>
      <c r="N109" t="s">
        <v>1452</v>
      </c>
      <c r="O109" t="s">
        <v>1262</v>
      </c>
      <c r="P109" t="s">
        <v>992</v>
      </c>
    </row>
    <row r="110" spans="1:16" x14ac:dyDescent="0.2">
      <c r="A110" t="s">
        <v>1550</v>
      </c>
      <c r="B110" t="s">
        <v>526</v>
      </c>
      <c r="C110" t="s">
        <v>526</v>
      </c>
      <c r="D110" t="s">
        <v>1726</v>
      </c>
      <c r="E110" t="s">
        <v>952</v>
      </c>
      <c r="G110" t="s">
        <v>1039</v>
      </c>
      <c r="H110" t="s">
        <v>982</v>
      </c>
      <c r="I110" t="s">
        <v>1134</v>
      </c>
      <c r="J110" t="s">
        <v>1502</v>
      </c>
      <c r="K110" t="s">
        <v>982</v>
      </c>
      <c r="L110" t="s">
        <v>1039</v>
      </c>
      <c r="M110" t="s">
        <v>1086</v>
      </c>
      <c r="N110" t="s">
        <v>964</v>
      </c>
      <c r="O110" t="s">
        <v>1172</v>
      </c>
      <c r="P110" t="s">
        <v>931</v>
      </c>
    </row>
    <row r="111" spans="1:16" x14ac:dyDescent="0.2">
      <c r="A111" t="s">
        <v>1551</v>
      </c>
      <c r="B111" t="s">
        <v>348</v>
      </c>
      <c r="C111" t="s">
        <v>348</v>
      </c>
      <c r="D111" t="s">
        <v>1122</v>
      </c>
      <c r="E111" t="s">
        <v>957</v>
      </c>
      <c r="G111" t="s">
        <v>1066</v>
      </c>
      <c r="H111" t="s">
        <v>992</v>
      </c>
      <c r="I111" t="s">
        <v>1134</v>
      </c>
      <c r="J111" t="s">
        <v>1572</v>
      </c>
      <c r="K111" t="s">
        <v>941</v>
      </c>
      <c r="L111" t="s">
        <v>1027</v>
      </c>
      <c r="M111" t="s">
        <v>1075</v>
      </c>
      <c r="N111" t="s">
        <v>1468</v>
      </c>
      <c r="O111" t="s">
        <v>1172</v>
      </c>
      <c r="P111" t="s">
        <v>931</v>
      </c>
    </row>
    <row r="112" spans="1:16" x14ac:dyDescent="0.2">
      <c r="A112" t="s">
        <v>1447</v>
      </c>
      <c r="B112" t="s">
        <v>428</v>
      </c>
      <c r="C112" t="s">
        <v>428</v>
      </c>
      <c r="D112" t="s">
        <v>108</v>
      </c>
      <c r="E112" t="s">
        <v>985</v>
      </c>
      <c r="F112" t="s">
        <v>1392</v>
      </c>
      <c r="G112" t="s">
        <v>972</v>
      </c>
      <c r="H112" t="s">
        <v>941</v>
      </c>
      <c r="I112" t="s">
        <v>937</v>
      </c>
      <c r="J112" t="s">
        <v>1447</v>
      </c>
      <c r="K112" t="s">
        <v>941</v>
      </c>
      <c r="L112" t="s">
        <v>1064</v>
      </c>
      <c r="M112" t="s">
        <v>1048</v>
      </c>
      <c r="N112" t="s">
        <v>1455</v>
      </c>
      <c r="O112" t="s">
        <v>1115</v>
      </c>
      <c r="P112" t="s">
        <v>992</v>
      </c>
    </row>
    <row r="113" spans="1:16" x14ac:dyDescent="0.2">
      <c r="A113" t="s">
        <v>1552</v>
      </c>
      <c r="B113" t="s">
        <v>398</v>
      </c>
      <c r="C113" t="s">
        <v>398</v>
      </c>
      <c r="D113" t="s">
        <v>82</v>
      </c>
      <c r="E113" t="s">
        <v>1023</v>
      </c>
      <c r="G113" t="s">
        <v>1144</v>
      </c>
      <c r="H113" t="s">
        <v>992</v>
      </c>
      <c r="I113" t="s">
        <v>996</v>
      </c>
      <c r="J113" t="s">
        <v>1793</v>
      </c>
      <c r="K113" t="s">
        <v>992</v>
      </c>
      <c r="L113" t="s">
        <v>1039</v>
      </c>
      <c r="M113" t="s">
        <v>957</v>
      </c>
      <c r="N113" t="s">
        <v>1026</v>
      </c>
      <c r="O113" t="s">
        <v>1246</v>
      </c>
      <c r="P113" t="s">
        <v>931</v>
      </c>
    </row>
    <row r="114" spans="1:16" x14ac:dyDescent="0.2">
      <c r="A114" t="s">
        <v>1555</v>
      </c>
      <c r="B114" t="s">
        <v>445</v>
      </c>
      <c r="C114" t="s">
        <v>445</v>
      </c>
      <c r="D114" t="s">
        <v>99</v>
      </c>
      <c r="E114" t="s">
        <v>965</v>
      </c>
      <c r="G114" t="s">
        <v>1086</v>
      </c>
      <c r="H114" t="s">
        <v>992</v>
      </c>
      <c r="I114" t="s">
        <v>996</v>
      </c>
      <c r="J114" t="s">
        <v>1560</v>
      </c>
      <c r="K114" t="s">
        <v>992</v>
      </c>
      <c r="L114" t="s">
        <v>982</v>
      </c>
      <c r="M114" t="s">
        <v>1032</v>
      </c>
      <c r="N114" t="s">
        <v>1277</v>
      </c>
      <c r="O114" t="s">
        <v>1776</v>
      </c>
      <c r="P114" t="s">
        <v>992</v>
      </c>
    </row>
    <row r="115" spans="1:16" x14ac:dyDescent="0.2">
      <c r="A115" t="s">
        <v>1557</v>
      </c>
      <c r="B115" t="s">
        <v>188</v>
      </c>
      <c r="C115" t="s">
        <v>188</v>
      </c>
      <c r="D115" t="s">
        <v>727</v>
      </c>
      <c r="E115" t="s">
        <v>952</v>
      </c>
      <c r="F115" t="s">
        <v>935</v>
      </c>
      <c r="G115" t="s">
        <v>1075</v>
      </c>
      <c r="H115" t="s">
        <v>1064</v>
      </c>
      <c r="I115" t="s">
        <v>996</v>
      </c>
      <c r="J115" t="s">
        <v>1621</v>
      </c>
      <c r="K115" t="s">
        <v>931</v>
      </c>
      <c r="L115" t="s">
        <v>972</v>
      </c>
      <c r="M115" t="s">
        <v>1443</v>
      </c>
      <c r="N115" t="s">
        <v>1018</v>
      </c>
      <c r="O115" t="s">
        <v>1775</v>
      </c>
      <c r="P115" t="s">
        <v>1027</v>
      </c>
    </row>
    <row r="116" spans="1:16" x14ac:dyDescent="0.2">
      <c r="A116" t="s">
        <v>1559</v>
      </c>
      <c r="B116" t="s">
        <v>131</v>
      </c>
      <c r="C116" t="s">
        <v>131</v>
      </c>
      <c r="D116" t="s">
        <v>73</v>
      </c>
      <c r="E116" t="s">
        <v>978</v>
      </c>
      <c r="F116" t="s">
        <v>79</v>
      </c>
      <c r="G116" t="s">
        <v>1144</v>
      </c>
      <c r="H116" t="s">
        <v>1144</v>
      </c>
      <c r="I116" t="s">
        <v>978</v>
      </c>
      <c r="J116" t="s">
        <v>1656</v>
      </c>
      <c r="K116" t="s">
        <v>931</v>
      </c>
      <c r="L116" t="s">
        <v>1144</v>
      </c>
      <c r="M116" t="s">
        <v>1144</v>
      </c>
      <c r="N116" t="s">
        <v>1452</v>
      </c>
      <c r="O116" t="s">
        <v>1003</v>
      </c>
      <c r="P116" t="s">
        <v>1064</v>
      </c>
    </row>
    <row r="117" spans="1:16" x14ac:dyDescent="0.2">
      <c r="A117" t="s">
        <v>1560</v>
      </c>
      <c r="B117" t="s">
        <v>440</v>
      </c>
      <c r="C117" t="s">
        <v>440</v>
      </c>
      <c r="D117" t="s">
        <v>1052</v>
      </c>
      <c r="E117" t="s">
        <v>952</v>
      </c>
      <c r="F117" t="s">
        <v>1392</v>
      </c>
      <c r="G117" t="s">
        <v>1066</v>
      </c>
      <c r="H117" t="s">
        <v>941</v>
      </c>
      <c r="I117" t="s">
        <v>978</v>
      </c>
      <c r="J117" t="s">
        <v>1671</v>
      </c>
      <c r="K117" t="s">
        <v>992</v>
      </c>
      <c r="L117" t="s">
        <v>1027</v>
      </c>
      <c r="M117" t="s">
        <v>1088</v>
      </c>
      <c r="N117" t="s">
        <v>1429</v>
      </c>
      <c r="O117" t="s">
        <v>1246</v>
      </c>
      <c r="P117" t="s">
        <v>992</v>
      </c>
    </row>
    <row r="118" spans="1:16" x14ac:dyDescent="0.2">
      <c r="A118" t="s">
        <v>1561</v>
      </c>
      <c r="B118" t="s">
        <v>1794</v>
      </c>
      <c r="C118" t="s">
        <v>1794</v>
      </c>
      <c r="D118" t="s">
        <v>1726</v>
      </c>
      <c r="E118" t="s">
        <v>1010</v>
      </c>
      <c r="G118" t="s">
        <v>982</v>
      </c>
      <c r="H118" t="s">
        <v>931</v>
      </c>
      <c r="I118" t="s">
        <v>966</v>
      </c>
      <c r="J118" t="s">
        <v>1439</v>
      </c>
      <c r="K118" t="s">
        <v>992</v>
      </c>
      <c r="L118" t="s">
        <v>941</v>
      </c>
      <c r="M118" t="s">
        <v>1144</v>
      </c>
      <c r="N118" t="s">
        <v>1111</v>
      </c>
      <c r="O118" t="s">
        <v>1736</v>
      </c>
      <c r="P118" t="s">
        <v>992</v>
      </c>
    </row>
    <row r="119" spans="1:16" x14ac:dyDescent="0.2">
      <c r="A119" t="s">
        <v>1562</v>
      </c>
      <c r="B119" t="s">
        <v>975</v>
      </c>
      <c r="C119" t="s">
        <v>975</v>
      </c>
      <c r="D119" t="s">
        <v>976</v>
      </c>
      <c r="E119" t="s">
        <v>1017</v>
      </c>
      <c r="F119" t="s">
        <v>79</v>
      </c>
      <c r="G119" t="s">
        <v>1144</v>
      </c>
      <c r="H119" t="s">
        <v>1144</v>
      </c>
      <c r="I119" t="s">
        <v>934</v>
      </c>
      <c r="J119" t="s">
        <v>1027</v>
      </c>
      <c r="K119" t="s">
        <v>951</v>
      </c>
      <c r="L119" t="s">
        <v>1027</v>
      </c>
      <c r="M119" t="s">
        <v>982</v>
      </c>
      <c r="N119" t="s">
        <v>1795</v>
      </c>
      <c r="O119" t="s">
        <v>1796</v>
      </c>
      <c r="P119" t="s">
        <v>982</v>
      </c>
    </row>
    <row r="120" spans="1:16" x14ac:dyDescent="0.2">
      <c r="A120" t="s">
        <v>1564</v>
      </c>
      <c r="B120" t="s">
        <v>166</v>
      </c>
      <c r="C120" t="s">
        <v>166</v>
      </c>
      <c r="D120" t="s">
        <v>142</v>
      </c>
      <c r="E120" t="s">
        <v>1011</v>
      </c>
      <c r="F120" t="s">
        <v>935</v>
      </c>
      <c r="G120" t="s">
        <v>1064</v>
      </c>
      <c r="H120" t="s">
        <v>1039</v>
      </c>
      <c r="I120" t="s">
        <v>934</v>
      </c>
      <c r="J120" t="s">
        <v>1797</v>
      </c>
      <c r="K120" t="s">
        <v>941</v>
      </c>
      <c r="L120" t="s">
        <v>972</v>
      </c>
      <c r="M120" t="s">
        <v>944</v>
      </c>
      <c r="N120" t="s">
        <v>1026</v>
      </c>
      <c r="O120" t="s">
        <v>1798</v>
      </c>
      <c r="P120" t="s">
        <v>941</v>
      </c>
    </row>
    <row r="121" spans="1:16" x14ac:dyDescent="0.2">
      <c r="A121" t="s">
        <v>1565</v>
      </c>
      <c r="B121" t="s">
        <v>417</v>
      </c>
      <c r="C121" t="s">
        <v>417</v>
      </c>
      <c r="D121" t="s">
        <v>71</v>
      </c>
      <c r="E121" t="s">
        <v>1023</v>
      </c>
      <c r="G121" t="s">
        <v>1051</v>
      </c>
      <c r="H121" t="s">
        <v>992</v>
      </c>
      <c r="I121" t="s">
        <v>1123</v>
      </c>
      <c r="J121" t="s">
        <v>1799</v>
      </c>
      <c r="K121" t="s">
        <v>941</v>
      </c>
      <c r="L121" t="s">
        <v>1075</v>
      </c>
      <c r="M121" t="s">
        <v>1088</v>
      </c>
      <c r="N121" t="s">
        <v>1189</v>
      </c>
      <c r="O121" t="s">
        <v>1800</v>
      </c>
      <c r="P121" t="s">
        <v>992</v>
      </c>
    </row>
    <row r="122" spans="1:16" x14ac:dyDescent="0.2">
      <c r="A122" t="s">
        <v>1566</v>
      </c>
      <c r="B122" t="s">
        <v>1801</v>
      </c>
      <c r="C122" t="s">
        <v>1801</v>
      </c>
      <c r="D122" t="s">
        <v>92</v>
      </c>
      <c r="E122" t="s">
        <v>934</v>
      </c>
      <c r="G122" t="s">
        <v>1144</v>
      </c>
      <c r="H122" t="s">
        <v>992</v>
      </c>
      <c r="I122" t="s">
        <v>1123</v>
      </c>
      <c r="J122" t="s">
        <v>1562</v>
      </c>
      <c r="K122" t="s">
        <v>941</v>
      </c>
      <c r="L122" t="s">
        <v>1039</v>
      </c>
      <c r="M122" t="s">
        <v>1016</v>
      </c>
      <c r="N122" t="s">
        <v>984</v>
      </c>
      <c r="O122" t="s">
        <v>968</v>
      </c>
      <c r="P122" t="s">
        <v>951</v>
      </c>
    </row>
    <row r="123" spans="1:16" x14ac:dyDescent="0.2">
      <c r="A123" t="s">
        <v>1569</v>
      </c>
      <c r="B123" t="s">
        <v>190</v>
      </c>
      <c r="C123" t="s">
        <v>190</v>
      </c>
      <c r="D123" t="s">
        <v>1052</v>
      </c>
      <c r="E123" t="s">
        <v>1023</v>
      </c>
      <c r="F123" t="s">
        <v>935</v>
      </c>
      <c r="G123" t="s">
        <v>1064</v>
      </c>
      <c r="H123" t="s">
        <v>1051</v>
      </c>
      <c r="I123" t="s">
        <v>1123</v>
      </c>
      <c r="J123" t="s">
        <v>1802</v>
      </c>
      <c r="K123" t="s">
        <v>931</v>
      </c>
      <c r="L123" t="s">
        <v>1075</v>
      </c>
      <c r="M123" t="s">
        <v>1144</v>
      </c>
      <c r="N123" t="s">
        <v>1015</v>
      </c>
      <c r="O123" t="s">
        <v>1522</v>
      </c>
      <c r="P123" t="s">
        <v>1009</v>
      </c>
    </row>
    <row r="124" spans="1:16" x14ac:dyDescent="0.2">
      <c r="A124" t="s">
        <v>902</v>
      </c>
      <c r="B124" t="s">
        <v>903</v>
      </c>
      <c r="C124" t="s">
        <v>903</v>
      </c>
      <c r="D124" t="s">
        <v>1314</v>
      </c>
      <c r="E124" t="s">
        <v>905</v>
      </c>
      <c r="F124" t="s">
        <v>906</v>
      </c>
      <c r="G124" t="s">
        <v>1315</v>
      </c>
      <c r="H124" t="s">
        <v>1316</v>
      </c>
      <c r="I124" t="s">
        <v>1319</v>
      </c>
      <c r="J124" t="s">
        <v>799</v>
      </c>
      <c r="K124" t="s">
        <v>800</v>
      </c>
      <c r="L124" t="s">
        <v>1321</v>
      </c>
      <c r="M124" t="s">
        <v>917</v>
      </c>
      <c r="N124" t="s">
        <v>1322</v>
      </c>
      <c r="O124" t="s">
        <v>1325</v>
      </c>
      <c r="P124" t="s">
        <v>1416</v>
      </c>
    </row>
    <row r="125" spans="1:16" x14ac:dyDescent="0.2">
      <c r="A125" t="s">
        <v>1570</v>
      </c>
      <c r="B125" t="s">
        <v>128</v>
      </c>
      <c r="C125" t="s">
        <v>128</v>
      </c>
      <c r="D125" t="s">
        <v>101</v>
      </c>
      <c r="E125" t="s">
        <v>1134</v>
      </c>
      <c r="F125" t="s">
        <v>79</v>
      </c>
      <c r="G125" t="s">
        <v>1144</v>
      </c>
      <c r="H125" t="s">
        <v>1144</v>
      </c>
      <c r="I125" t="s">
        <v>1123</v>
      </c>
      <c r="J125" t="s">
        <v>1536</v>
      </c>
      <c r="K125" t="s">
        <v>941</v>
      </c>
      <c r="L125" t="s">
        <v>1051</v>
      </c>
      <c r="M125" t="s">
        <v>1144</v>
      </c>
      <c r="N125" t="s">
        <v>1455</v>
      </c>
      <c r="O125" t="s">
        <v>1008</v>
      </c>
      <c r="P125" t="s">
        <v>1027</v>
      </c>
    </row>
    <row r="126" spans="1:16" x14ac:dyDescent="0.2">
      <c r="A126" t="s">
        <v>1572</v>
      </c>
      <c r="B126" t="s">
        <v>1076</v>
      </c>
      <c r="C126" t="s">
        <v>1076</v>
      </c>
      <c r="D126" t="s">
        <v>139</v>
      </c>
      <c r="E126" t="s">
        <v>978</v>
      </c>
      <c r="F126" t="s">
        <v>79</v>
      </c>
      <c r="G126" t="s">
        <v>1144</v>
      </c>
      <c r="H126" t="s">
        <v>1144</v>
      </c>
      <c r="I126" t="s">
        <v>1123</v>
      </c>
      <c r="J126" t="s">
        <v>1559</v>
      </c>
      <c r="K126" t="s">
        <v>992</v>
      </c>
      <c r="L126" t="s">
        <v>972</v>
      </c>
      <c r="M126" t="s">
        <v>944</v>
      </c>
      <c r="N126" t="s">
        <v>1594</v>
      </c>
      <c r="O126" t="s">
        <v>1191</v>
      </c>
      <c r="P126" t="s">
        <v>941</v>
      </c>
    </row>
    <row r="127" spans="1:16" x14ac:dyDescent="0.2">
      <c r="A127" t="s">
        <v>1279</v>
      </c>
      <c r="B127" t="s">
        <v>274</v>
      </c>
      <c r="C127" t="s">
        <v>274</v>
      </c>
      <c r="D127" t="s">
        <v>1087</v>
      </c>
      <c r="E127" t="s">
        <v>1010</v>
      </c>
      <c r="F127" t="s">
        <v>1392</v>
      </c>
      <c r="G127" t="s">
        <v>1051</v>
      </c>
      <c r="H127" t="s">
        <v>931</v>
      </c>
      <c r="I127" t="s">
        <v>957</v>
      </c>
      <c r="J127" t="s">
        <v>1441</v>
      </c>
      <c r="K127" t="s">
        <v>992</v>
      </c>
      <c r="L127" t="s">
        <v>951</v>
      </c>
      <c r="M127" t="s">
        <v>972</v>
      </c>
      <c r="N127" t="s">
        <v>1063</v>
      </c>
      <c r="O127" t="s">
        <v>1033</v>
      </c>
      <c r="P127" t="s">
        <v>992</v>
      </c>
    </row>
    <row r="128" spans="1:16" x14ac:dyDescent="0.2">
      <c r="A128" t="s">
        <v>1573</v>
      </c>
      <c r="B128" t="s">
        <v>1230</v>
      </c>
      <c r="C128" t="s">
        <v>1230</v>
      </c>
      <c r="D128" t="s">
        <v>729</v>
      </c>
      <c r="E128" t="s">
        <v>996</v>
      </c>
      <c r="F128" t="s">
        <v>935</v>
      </c>
      <c r="G128" t="s">
        <v>1086</v>
      </c>
      <c r="H128" t="s">
        <v>1064</v>
      </c>
      <c r="I128" t="s">
        <v>957</v>
      </c>
      <c r="J128" t="s">
        <v>1561</v>
      </c>
      <c r="K128" t="s">
        <v>992</v>
      </c>
      <c r="L128" t="s">
        <v>1086</v>
      </c>
      <c r="M128" t="s">
        <v>1048</v>
      </c>
      <c r="N128" t="s">
        <v>1001</v>
      </c>
      <c r="O128" t="s">
        <v>1246</v>
      </c>
      <c r="P128" t="s">
        <v>941</v>
      </c>
    </row>
    <row r="129" spans="1:16" x14ac:dyDescent="0.2">
      <c r="A129" t="s">
        <v>1574</v>
      </c>
      <c r="B129" t="s">
        <v>1803</v>
      </c>
      <c r="C129" t="s">
        <v>1803</v>
      </c>
      <c r="D129" t="s">
        <v>1040</v>
      </c>
      <c r="E129" t="s">
        <v>1028</v>
      </c>
      <c r="F129" t="s">
        <v>1392</v>
      </c>
      <c r="G129" t="s">
        <v>1066</v>
      </c>
      <c r="H129" t="s">
        <v>931</v>
      </c>
      <c r="I129" t="s">
        <v>1010</v>
      </c>
      <c r="J129" t="s">
        <v>1541</v>
      </c>
      <c r="K129" t="s">
        <v>931</v>
      </c>
      <c r="L129" t="s">
        <v>1039</v>
      </c>
      <c r="M129" t="s">
        <v>1066</v>
      </c>
      <c r="N129" t="s">
        <v>942</v>
      </c>
      <c r="O129" t="s">
        <v>967</v>
      </c>
      <c r="P129" t="s">
        <v>941</v>
      </c>
    </row>
    <row r="130" spans="1:16" x14ac:dyDescent="0.2">
      <c r="A130" t="s">
        <v>1575</v>
      </c>
      <c r="B130" t="s">
        <v>1804</v>
      </c>
      <c r="C130" t="s">
        <v>1804</v>
      </c>
      <c r="D130" t="s">
        <v>976</v>
      </c>
      <c r="E130" t="s">
        <v>1028</v>
      </c>
      <c r="G130" t="s">
        <v>1075</v>
      </c>
      <c r="H130" t="s">
        <v>992</v>
      </c>
      <c r="I130" t="s">
        <v>952</v>
      </c>
      <c r="J130" t="s">
        <v>1552</v>
      </c>
      <c r="K130" t="s">
        <v>992</v>
      </c>
      <c r="L130" t="s">
        <v>1009</v>
      </c>
      <c r="M130" t="s">
        <v>1016</v>
      </c>
      <c r="N130" t="s">
        <v>1233</v>
      </c>
      <c r="O130" t="s">
        <v>1034</v>
      </c>
      <c r="P130" t="s">
        <v>931</v>
      </c>
    </row>
    <row r="131" spans="1:16" x14ac:dyDescent="0.2">
      <c r="A131" t="s">
        <v>1576</v>
      </c>
      <c r="B131" t="s">
        <v>399</v>
      </c>
      <c r="C131" t="s">
        <v>399</v>
      </c>
      <c r="D131" t="s">
        <v>74</v>
      </c>
      <c r="E131" t="s">
        <v>1028</v>
      </c>
      <c r="G131" t="s">
        <v>1075</v>
      </c>
      <c r="H131" t="s">
        <v>992</v>
      </c>
      <c r="I131" t="s">
        <v>952</v>
      </c>
      <c r="J131" t="s">
        <v>1799</v>
      </c>
      <c r="K131" t="s">
        <v>992</v>
      </c>
      <c r="L131" t="s">
        <v>1009</v>
      </c>
      <c r="M131" t="s">
        <v>1261</v>
      </c>
      <c r="N131" t="s">
        <v>1306</v>
      </c>
      <c r="O131" t="s">
        <v>1805</v>
      </c>
      <c r="P131" t="s">
        <v>931</v>
      </c>
    </row>
    <row r="132" spans="1:16" x14ac:dyDescent="0.2">
      <c r="A132" t="s">
        <v>1417</v>
      </c>
      <c r="B132" t="s">
        <v>389</v>
      </c>
      <c r="C132" t="s">
        <v>389</v>
      </c>
      <c r="D132" t="s">
        <v>108</v>
      </c>
      <c r="E132" t="s">
        <v>985</v>
      </c>
      <c r="G132" t="s">
        <v>1064</v>
      </c>
      <c r="H132" t="s">
        <v>992</v>
      </c>
      <c r="I132" t="s">
        <v>1088</v>
      </c>
      <c r="J132" t="s">
        <v>1534</v>
      </c>
      <c r="K132" t="s">
        <v>992</v>
      </c>
      <c r="L132" t="s">
        <v>941</v>
      </c>
      <c r="M132" t="s">
        <v>972</v>
      </c>
      <c r="N132" t="s">
        <v>1468</v>
      </c>
      <c r="O132" t="s">
        <v>1003</v>
      </c>
      <c r="P132" t="s">
        <v>992</v>
      </c>
    </row>
    <row r="133" spans="1:16" x14ac:dyDescent="0.2">
      <c r="A133" t="s">
        <v>1578</v>
      </c>
      <c r="B133" t="s">
        <v>133</v>
      </c>
      <c r="C133" t="s">
        <v>133</v>
      </c>
      <c r="D133" t="s">
        <v>99</v>
      </c>
      <c r="E133" t="s">
        <v>1011</v>
      </c>
      <c r="F133" t="s">
        <v>79</v>
      </c>
      <c r="G133" t="s">
        <v>1002</v>
      </c>
      <c r="H133" t="s">
        <v>1002</v>
      </c>
      <c r="I133" t="s">
        <v>1088</v>
      </c>
      <c r="J133" t="s">
        <v>1086</v>
      </c>
      <c r="K133" t="s">
        <v>992</v>
      </c>
      <c r="L133" t="s">
        <v>951</v>
      </c>
      <c r="M133" t="s">
        <v>1086</v>
      </c>
      <c r="N133" t="s">
        <v>1796</v>
      </c>
      <c r="O133" t="s">
        <v>1519</v>
      </c>
      <c r="P133" t="s">
        <v>1009</v>
      </c>
    </row>
    <row r="134" spans="1:16" x14ac:dyDescent="0.2">
      <c r="A134" t="s">
        <v>1579</v>
      </c>
      <c r="B134" t="s">
        <v>1582</v>
      </c>
      <c r="C134" t="s">
        <v>1582</v>
      </c>
      <c r="D134" t="s">
        <v>730</v>
      </c>
      <c r="E134" t="s">
        <v>957</v>
      </c>
      <c r="F134" t="s">
        <v>83</v>
      </c>
      <c r="G134" t="s">
        <v>1144</v>
      </c>
      <c r="H134" t="s">
        <v>1144</v>
      </c>
      <c r="I134" t="s">
        <v>1023</v>
      </c>
      <c r="J134" t="s">
        <v>1806</v>
      </c>
      <c r="K134" t="s">
        <v>941</v>
      </c>
      <c r="L134" t="s">
        <v>1064</v>
      </c>
      <c r="M134" t="s">
        <v>1190</v>
      </c>
      <c r="N134" t="s">
        <v>1057</v>
      </c>
      <c r="O134" t="s">
        <v>1128</v>
      </c>
      <c r="P134" t="s">
        <v>941</v>
      </c>
    </row>
    <row r="135" spans="1:16" x14ac:dyDescent="0.2">
      <c r="A135" t="s">
        <v>1580</v>
      </c>
      <c r="B135" t="s">
        <v>484</v>
      </c>
      <c r="C135" t="s">
        <v>484</v>
      </c>
      <c r="D135" t="s">
        <v>1122</v>
      </c>
      <c r="E135" t="s">
        <v>985</v>
      </c>
      <c r="G135" t="s">
        <v>1027</v>
      </c>
      <c r="H135" t="s">
        <v>992</v>
      </c>
      <c r="I135" t="s">
        <v>1028</v>
      </c>
      <c r="J135" t="s">
        <v>1555</v>
      </c>
      <c r="K135" t="s">
        <v>992</v>
      </c>
      <c r="L135" t="s">
        <v>1009</v>
      </c>
      <c r="M135" t="s">
        <v>957</v>
      </c>
      <c r="N135" t="s">
        <v>1271</v>
      </c>
      <c r="O135" t="s">
        <v>1807</v>
      </c>
      <c r="P135" t="s">
        <v>992</v>
      </c>
    </row>
    <row r="136" spans="1:16" x14ac:dyDescent="0.2">
      <c r="A136" t="s">
        <v>1581</v>
      </c>
      <c r="B136" t="s">
        <v>1808</v>
      </c>
      <c r="C136" t="s">
        <v>1808</v>
      </c>
      <c r="D136" t="s">
        <v>77</v>
      </c>
      <c r="E136" t="s">
        <v>1023</v>
      </c>
      <c r="G136" t="s">
        <v>1027</v>
      </c>
      <c r="H136" t="s">
        <v>992</v>
      </c>
      <c r="I136" t="s">
        <v>985</v>
      </c>
      <c r="J136" t="s">
        <v>1539</v>
      </c>
      <c r="K136" t="s">
        <v>992</v>
      </c>
      <c r="L136" t="s">
        <v>1027</v>
      </c>
      <c r="M136" t="s">
        <v>1002</v>
      </c>
      <c r="N136" t="s">
        <v>1293</v>
      </c>
      <c r="O136" t="s">
        <v>1809</v>
      </c>
      <c r="P136" t="s">
        <v>992</v>
      </c>
    </row>
    <row r="137" spans="1:16" x14ac:dyDescent="0.2">
      <c r="A137" t="s">
        <v>1810</v>
      </c>
      <c r="B137" t="s">
        <v>1811</v>
      </c>
      <c r="C137" t="s">
        <v>1811</v>
      </c>
      <c r="D137" t="s">
        <v>933</v>
      </c>
      <c r="E137" t="s">
        <v>1010</v>
      </c>
      <c r="G137" t="s">
        <v>1048</v>
      </c>
      <c r="H137" t="s">
        <v>992</v>
      </c>
      <c r="I137" t="s">
        <v>985</v>
      </c>
      <c r="J137" t="s">
        <v>1573</v>
      </c>
      <c r="K137" t="s">
        <v>931</v>
      </c>
      <c r="L137" t="s">
        <v>1039</v>
      </c>
      <c r="M137" t="s">
        <v>1032</v>
      </c>
      <c r="N137" t="s">
        <v>1153</v>
      </c>
      <c r="O137" t="s">
        <v>1281</v>
      </c>
      <c r="P137" t="s">
        <v>931</v>
      </c>
    </row>
    <row r="138" spans="1:16" x14ac:dyDescent="0.2">
      <c r="A138" t="s">
        <v>1269</v>
      </c>
      <c r="B138" t="s">
        <v>1812</v>
      </c>
      <c r="C138" t="s">
        <v>1812</v>
      </c>
      <c r="D138" t="s">
        <v>102</v>
      </c>
      <c r="E138" t="s">
        <v>952</v>
      </c>
      <c r="G138" t="s">
        <v>1002</v>
      </c>
      <c r="H138" t="s">
        <v>992</v>
      </c>
      <c r="I138" t="s">
        <v>965</v>
      </c>
      <c r="J138" t="s">
        <v>1043</v>
      </c>
      <c r="K138" t="s">
        <v>931</v>
      </c>
      <c r="L138" t="s">
        <v>951</v>
      </c>
      <c r="M138" t="s">
        <v>1039</v>
      </c>
      <c r="N138" t="s">
        <v>942</v>
      </c>
      <c r="O138" t="s">
        <v>1026</v>
      </c>
      <c r="P138" t="s">
        <v>992</v>
      </c>
    </row>
    <row r="139" spans="1:16" x14ac:dyDescent="0.2">
      <c r="A139" t="s">
        <v>1690</v>
      </c>
      <c r="B139" t="s">
        <v>1368</v>
      </c>
      <c r="C139" t="s">
        <v>1368</v>
      </c>
      <c r="D139" t="s">
        <v>119</v>
      </c>
      <c r="E139" t="s">
        <v>1028</v>
      </c>
      <c r="F139" t="s">
        <v>935</v>
      </c>
      <c r="G139" t="s">
        <v>1039</v>
      </c>
      <c r="H139" t="s">
        <v>1027</v>
      </c>
      <c r="I139" t="s">
        <v>1032</v>
      </c>
      <c r="J139" t="s">
        <v>1488</v>
      </c>
      <c r="K139" t="s">
        <v>931</v>
      </c>
      <c r="L139" t="s">
        <v>1027</v>
      </c>
      <c r="M139" t="s">
        <v>1016</v>
      </c>
      <c r="N139" t="s">
        <v>1813</v>
      </c>
      <c r="O139" t="s">
        <v>1033</v>
      </c>
      <c r="P139" t="s">
        <v>1027</v>
      </c>
    </row>
    <row r="140" spans="1:16" x14ac:dyDescent="0.2">
      <c r="A140" t="s">
        <v>1814</v>
      </c>
      <c r="B140" t="s">
        <v>91</v>
      </c>
      <c r="C140" t="s">
        <v>91</v>
      </c>
      <c r="D140" t="s">
        <v>92</v>
      </c>
      <c r="E140" t="s">
        <v>1028</v>
      </c>
      <c r="F140" t="s">
        <v>1392</v>
      </c>
      <c r="G140" t="s">
        <v>941</v>
      </c>
      <c r="H140" t="s">
        <v>941</v>
      </c>
      <c r="I140" t="s">
        <v>1016</v>
      </c>
      <c r="J140" t="s">
        <v>937</v>
      </c>
      <c r="K140" t="s">
        <v>992</v>
      </c>
      <c r="L140" t="s">
        <v>931</v>
      </c>
      <c r="M140" t="s">
        <v>1162</v>
      </c>
      <c r="N140" t="s">
        <v>943</v>
      </c>
      <c r="O140" t="s">
        <v>1522</v>
      </c>
      <c r="P140" t="s">
        <v>992</v>
      </c>
    </row>
    <row r="141" spans="1:16" x14ac:dyDescent="0.2">
      <c r="A141" t="s">
        <v>1815</v>
      </c>
      <c r="B141" t="s">
        <v>411</v>
      </c>
      <c r="C141" t="s">
        <v>411</v>
      </c>
      <c r="D141" t="s">
        <v>1257</v>
      </c>
      <c r="E141" t="s">
        <v>1010</v>
      </c>
      <c r="F141" t="s">
        <v>1392</v>
      </c>
      <c r="G141" t="s">
        <v>1027</v>
      </c>
      <c r="H141" t="s">
        <v>931</v>
      </c>
      <c r="I141" t="s">
        <v>1016</v>
      </c>
      <c r="J141" t="s">
        <v>1462</v>
      </c>
      <c r="K141" t="s">
        <v>992</v>
      </c>
      <c r="L141" t="s">
        <v>982</v>
      </c>
      <c r="M141" t="s">
        <v>997</v>
      </c>
      <c r="N141" t="s">
        <v>1015</v>
      </c>
      <c r="O141" t="s">
        <v>1798</v>
      </c>
      <c r="P141" t="s">
        <v>992</v>
      </c>
    </row>
    <row r="142" spans="1:16" x14ac:dyDescent="0.2">
      <c r="A142" t="s">
        <v>1685</v>
      </c>
      <c r="B142" t="s">
        <v>1354</v>
      </c>
      <c r="C142" t="s">
        <v>1354</v>
      </c>
      <c r="D142" t="s">
        <v>1257</v>
      </c>
      <c r="E142" t="s">
        <v>1056</v>
      </c>
      <c r="F142" t="s">
        <v>79</v>
      </c>
      <c r="G142" t="s">
        <v>972</v>
      </c>
      <c r="H142" t="s">
        <v>972</v>
      </c>
      <c r="I142" t="s">
        <v>1162</v>
      </c>
      <c r="J142" t="s">
        <v>1547</v>
      </c>
      <c r="K142" t="s">
        <v>941</v>
      </c>
      <c r="L142" t="s">
        <v>982</v>
      </c>
      <c r="M142" t="s">
        <v>951</v>
      </c>
      <c r="N142" t="s">
        <v>1816</v>
      </c>
      <c r="O142" t="s">
        <v>1494</v>
      </c>
      <c r="P142" t="s">
        <v>1027</v>
      </c>
    </row>
    <row r="143" spans="1:16" x14ac:dyDescent="0.2">
      <c r="A143" t="s">
        <v>1682</v>
      </c>
      <c r="B143" t="s">
        <v>601</v>
      </c>
      <c r="C143" t="s">
        <v>601</v>
      </c>
      <c r="D143" t="s">
        <v>108</v>
      </c>
      <c r="E143" t="s">
        <v>952</v>
      </c>
      <c r="F143" t="s">
        <v>1392</v>
      </c>
      <c r="G143" t="s">
        <v>951</v>
      </c>
      <c r="H143" t="s">
        <v>931</v>
      </c>
      <c r="I143" t="s">
        <v>1162</v>
      </c>
      <c r="J143" t="s">
        <v>1520</v>
      </c>
      <c r="K143" t="s">
        <v>941</v>
      </c>
      <c r="L143" t="s">
        <v>1009</v>
      </c>
      <c r="M143" t="s">
        <v>1048</v>
      </c>
      <c r="N143" t="s">
        <v>1293</v>
      </c>
      <c r="O143" t="s">
        <v>1817</v>
      </c>
      <c r="P143" t="s">
        <v>992</v>
      </c>
    </row>
    <row r="144" spans="1:16" x14ac:dyDescent="0.2">
      <c r="A144" t="s">
        <v>1818</v>
      </c>
      <c r="B144" t="s">
        <v>956</v>
      </c>
      <c r="C144" t="s">
        <v>956</v>
      </c>
      <c r="D144" t="s">
        <v>729</v>
      </c>
      <c r="E144" t="s">
        <v>1010</v>
      </c>
      <c r="F144" t="s">
        <v>935</v>
      </c>
      <c r="G144" t="s">
        <v>1009</v>
      </c>
      <c r="H144" t="s">
        <v>1009</v>
      </c>
      <c r="I144" t="s">
        <v>1162</v>
      </c>
      <c r="J144" t="s">
        <v>1537</v>
      </c>
      <c r="K144" t="s">
        <v>951</v>
      </c>
      <c r="L144" t="s">
        <v>1051</v>
      </c>
      <c r="M144" t="s">
        <v>972</v>
      </c>
      <c r="N144" t="s">
        <v>963</v>
      </c>
      <c r="O144" t="s">
        <v>1777</v>
      </c>
      <c r="P144" t="s">
        <v>951</v>
      </c>
    </row>
    <row r="145" spans="1:16" x14ac:dyDescent="0.2">
      <c r="A145" t="s">
        <v>1788</v>
      </c>
      <c r="B145" t="s">
        <v>1345</v>
      </c>
      <c r="C145" t="s">
        <v>1345</v>
      </c>
      <c r="D145" t="s">
        <v>107</v>
      </c>
      <c r="E145" t="s">
        <v>1124</v>
      </c>
      <c r="F145" t="s">
        <v>79</v>
      </c>
      <c r="G145" t="s">
        <v>1144</v>
      </c>
      <c r="H145" t="s">
        <v>1144</v>
      </c>
      <c r="I145" t="s">
        <v>1162</v>
      </c>
      <c r="J145" t="s">
        <v>1554</v>
      </c>
      <c r="K145" t="s">
        <v>992</v>
      </c>
      <c r="L145" t="s">
        <v>992</v>
      </c>
      <c r="M145" t="s">
        <v>951</v>
      </c>
      <c r="N145" t="s">
        <v>1819</v>
      </c>
      <c r="O145" t="s">
        <v>1820</v>
      </c>
      <c r="P145" t="s">
        <v>941</v>
      </c>
    </row>
    <row r="146" spans="1:16" x14ac:dyDescent="0.2">
      <c r="A146" t="s">
        <v>1680</v>
      </c>
      <c r="B146" t="s">
        <v>258</v>
      </c>
      <c r="C146" t="s">
        <v>258</v>
      </c>
      <c r="D146" t="s">
        <v>1052</v>
      </c>
      <c r="E146" t="s">
        <v>985</v>
      </c>
      <c r="F146" t="s">
        <v>83</v>
      </c>
      <c r="G146" t="s">
        <v>1066</v>
      </c>
      <c r="H146" t="s">
        <v>972</v>
      </c>
      <c r="I146" t="s">
        <v>1162</v>
      </c>
      <c r="J146" t="s">
        <v>1439</v>
      </c>
      <c r="K146" t="s">
        <v>992</v>
      </c>
      <c r="L146" t="s">
        <v>1027</v>
      </c>
      <c r="M146" t="s">
        <v>944</v>
      </c>
      <c r="N146" t="s">
        <v>955</v>
      </c>
      <c r="O146" t="s">
        <v>1057</v>
      </c>
      <c r="P146" t="s">
        <v>992</v>
      </c>
    </row>
    <row r="147" spans="1:16" x14ac:dyDescent="0.2">
      <c r="A147" t="s">
        <v>1677</v>
      </c>
      <c r="B147" t="s">
        <v>187</v>
      </c>
      <c r="C147" t="s">
        <v>187</v>
      </c>
      <c r="D147" t="s">
        <v>107</v>
      </c>
      <c r="E147" t="s">
        <v>957</v>
      </c>
      <c r="G147" t="s">
        <v>1086</v>
      </c>
      <c r="H147" t="s">
        <v>992</v>
      </c>
      <c r="I147" t="s">
        <v>944</v>
      </c>
      <c r="J147" t="s">
        <v>1016</v>
      </c>
      <c r="K147" t="s">
        <v>951</v>
      </c>
      <c r="L147" t="s">
        <v>1064</v>
      </c>
      <c r="M147" t="s">
        <v>1009</v>
      </c>
      <c r="N147" t="s">
        <v>1821</v>
      </c>
      <c r="O147" t="s">
        <v>964</v>
      </c>
      <c r="P147" t="s">
        <v>992</v>
      </c>
    </row>
    <row r="148" spans="1:16" x14ac:dyDescent="0.2">
      <c r="A148" t="s">
        <v>1822</v>
      </c>
      <c r="B148" t="s">
        <v>1823</v>
      </c>
      <c r="C148" t="s">
        <v>468</v>
      </c>
      <c r="D148" t="s">
        <v>1087</v>
      </c>
      <c r="E148" t="s">
        <v>1123</v>
      </c>
      <c r="F148" t="s">
        <v>1824</v>
      </c>
      <c r="G148" t="s">
        <v>1144</v>
      </c>
      <c r="H148" t="s">
        <v>1002</v>
      </c>
      <c r="I148" t="s">
        <v>944</v>
      </c>
      <c r="J148" t="s">
        <v>1505</v>
      </c>
      <c r="K148" t="s">
        <v>941</v>
      </c>
      <c r="L148" t="s">
        <v>972</v>
      </c>
      <c r="M148" t="s">
        <v>1075</v>
      </c>
      <c r="N148" t="s">
        <v>1099</v>
      </c>
      <c r="O148" t="s">
        <v>984</v>
      </c>
      <c r="P148" t="s">
        <v>931</v>
      </c>
    </row>
    <row r="149" spans="1:16" x14ac:dyDescent="0.2">
      <c r="A149" t="s">
        <v>1675</v>
      </c>
      <c r="B149" t="s">
        <v>1362</v>
      </c>
      <c r="C149" t="s">
        <v>1362</v>
      </c>
      <c r="D149" t="s">
        <v>727</v>
      </c>
      <c r="E149" t="s">
        <v>966</v>
      </c>
      <c r="F149" t="s">
        <v>935</v>
      </c>
      <c r="G149" t="s">
        <v>1064</v>
      </c>
      <c r="H149" t="s">
        <v>1039</v>
      </c>
      <c r="I149" t="s">
        <v>1144</v>
      </c>
      <c r="J149" t="s">
        <v>931</v>
      </c>
      <c r="K149" t="s">
        <v>931</v>
      </c>
      <c r="L149" t="s">
        <v>941</v>
      </c>
      <c r="M149" t="s">
        <v>1039</v>
      </c>
      <c r="N149" t="s">
        <v>1825</v>
      </c>
      <c r="O149" t="s">
        <v>1825</v>
      </c>
      <c r="P149" t="s">
        <v>941</v>
      </c>
    </row>
    <row r="150" spans="1:16" x14ac:dyDescent="0.2">
      <c r="A150" t="s">
        <v>1671</v>
      </c>
      <c r="B150" t="s">
        <v>1826</v>
      </c>
      <c r="C150" t="s">
        <v>1826</v>
      </c>
      <c r="D150" t="s">
        <v>122</v>
      </c>
      <c r="E150" t="s">
        <v>1023</v>
      </c>
      <c r="G150" t="s">
        <v>1066</v>
      </c>
      <c r="H150" t="s">
        <v>992</v>
      </c>
      <c r="I150" t="s">
        <v>1144</v>
      </c>
      <c r="J150" t="s">
        <v>1505</v>
      </c>
      <c r="K150" t="s">
        <v>992</v>
      </c>
      <c r="L150" t="s">
        <v>941</v>
      </c>
      <c r="M150" t="s">
        <v>1064</v>
      </c>
      <c r="N150" t="s">
        <v>984</v>
      </c>
      <c r="O150" t="s">
        <v>1612</v>
      </c>
      <c r="P150" t="s">
        <v>992</v>
      </c>
    </row>
    <row r="151" spans="1:16" x14ac:dyDescent="0.2">
      <c r="A151" t="s">
        <v>1667</v>
      </c>
      <c r="B151" t="s">
        <v>1827</v>
      </c>
      <c r="C151" t="s">
        <v>1827</v>
      </c>
      <c r="D151" t="s">
        <v>118</v>
      </c>
      <c r="E151" t="s">
        <v>1010</v>
      </c>
      <c r="G151" t="s">
        <v>1027</v>
      </c>
      <c r="H151" t="s">
        <v>992</v>
      </c>
      <c r="I151" t="s">
        <v>1002</v>
      </c>
      <c r="J151" t="s">
        <v>1518</v>
      </c>
      <c r="K151" t="s">
        <v>992</v>
      </c>
      <c r="L151" t="s">
        <v>951</v>
      </c>
      <c r="M151" t="s">
        <v>952</v>
      </c>
      <c r="N151" t="s">
        <v>955</v>
      </c>
      <c r="O151" t="s">
        <v>1828</v>
      </c>
      <c r="P151" t="s">
        <v>992</v>
      </c>
    </row>
    <row r="152" spans="1:16" x14ac:dyDescent="0.2">
      <c r="A152" t="s">
        <v>1661</v>
      </c>
      <c r="B152" t="s">
        <v>1829</v>
      </c>
      <c r="C152" t="s">
        <v>1829</v>
      </c>
      <c r="D152" t="s">
        <v>727</v>
      </c>
      <c r="E152" t="s">
        <v>1088</v>
      </c>
      <c r="G152" t="s">
        <v>951</v>
      </c>
      <c r="H152" t="s">
        <v>992</v>
      </c>
      <c r="I152" t="s">
        <v>1066</v>
      </c>
      <c r="J152" t="s">
        <v>1451</v>
      </c>
      <c r="K152" t="s">
        <v>992</v>
      </c>
      <c r="L152" t="s">
        <v>951</v>
      </c>
      <c r="M152" t="s">
        <v>944</v>
      </c>
      <c r="N152" t="s">
        <v>1015</v>
      </c>
      <c r="O152" t="s">
        <v>1830</v>
      </c>
      <c r="P152" t="s">
        <v>992</v>
      </c>
    </row>
    <row r="153" spans="1:16" x14ac:dyDescent="0.2">
      <c r="A153" t="s">
        <v>1259</v>
      </c>
      <c r="B153" t="s">
        <v>337</v>
      </c>
      <c r="C153" t="s">
        <v>337</v>
      </c>
      <c r="D153" t="s">
        <v>77</v>
      </c>
      <c r="E153" t="s">
        <v>985</v>
      </c>
      <c r="G153" t="s">
        <v>1009</v>
      </c>
      <c r="H153" t="s">
        <v>992</v>
      </c>
      <c r="I153" t="s">
        <v>1066</v>
      </c>
      <c r="J153" t="s">
        <v>1480</v>
      </c>
      <c r="K153" t="s">
        <v>992</v>
      </c>
      <c r="L153" t="s">
        <v>941</v>
      </c>
      <c r="M153" t="s">
        <v>1064</v>
      </c>
      <c r="N153" t="s">
        <v>1594</v>
      </c>
      <c r="O153" t="s">
        <v>1831</v>
      </c>
      <c r="P153" t="s">
        <v>992</v>
      </c>
    </row>
    <row r="154" spans="1:16" x14ac:dyDescent="0.2">
      <c r="A154" t="s">
        <v>1789</v>
      </c>
      <c r="B154" t="s">
        <v>184</v>
      </c>
      <c r="C154" t="s">
        <v>184</v>
      </c>
      <c r="D154" t="s">
        <v>74</v>
      </c>
      <c r="E154" t="s">
        <v>957</v>
      </c>
      <c r="F154" t="s">
        <v>935</v>
      </c>
      <c r="G154" t="s">
        <v>1009</v>
      </c>
      <c r="H154" t="s">
        <v>1009</v>
      </c>
      <c r="I154" t="s">
        <v>1048</v>
      </c>
      <c r="J154" t="s">
        <v>1010</v>
      </c>
      <c r="K154" t="s">
        <v>992</v>
      </c>
      <c r="L154" t="s">
        <v>1009</v>
      </c>
      <c r="M154" t="s">
        <v>982</v>
      </c>
      <c r="N154" t="s">
        <v>1031</v>
      </c>
      <c r="O154" t="s">
        <v>1189</v>
      </c>
      <c r="P154" t="s">
        <v>931</v>
      </c>
    </row>
    <row r="155" spans="1:16" x14ac:dyDescent="0.2">
      <c r="A155" t="s">
        <v>902</v>
      </c>
      <c r="B155" t="s">
        <v>903</v>
      </c>
      <c r="C155" t="s">
        <v>903</v>
      </c>
      <c r="D155" t="s">
        <v>1314</v>
      </c>
      <c r="E155" t="s">
        <v>905</v>
      </c>
      <c r="F155" t="s">
        <v>906</v>
      </c>
      <c r="G155" t="s">
        <v>1315</v>
      </c>
      <c r="H155" t="s">
        <v>1316</v>
      </c>
      <c r="I155" t="s">
        <v>1319</v>
      </c>
      <c r="J155" t="s">
        <v>799</v>
      </c>
      <c r="K155" t="s">
        <v>800</v>
      </c>
      <c r="L155" t="s">
        <v>1321</v>
      </c>
      <c r="M155" t="s">
        <v>917</v>
      </c>
      <c r="N155" t="s">
        <v>1322</v>
      </c>
      <c r="O155" t="s">
        <v>1325</v>
      </c>
      <c r="P155" t="s">
        <v>1416</v>
      </c>
    </row>
    <row r="156" spans="1:16" x14ac:dyDescent="0.2">
      <c r="A156" t="s">
        <v>1832</v>
      </c>
      <c r="B156" t="s">
        <v>226</v>
      </c>
      <c r="C156" t="s">
        <v>226</v>
      </c>
      <c r="D156" t="s">
        <v>1267</v>
      </c>
      <c r="E156" t="s">
        <v>952</v>
      </c>
      <c r="G156" t="s">
        <v>1051</v>
      </c>
      <c r="H156" t="s">
        <v>992</v>
      </c>
      <c r="I156" t="s">
        <v>1048</v>
      </c>
      <c r="J156" t="s">
        <v>1833</v>
      </c>
      <c r="K156" t="s">
        <v>992</v>
      </c>
      <c r="L156" t="s">
        <v>992</v>
      </c>
      <c r="M156" t="s">
        <v>992</v>
      </c>
      <c r="N156" t="s">
        <v>1834</v>
      </c>
      <c r="O156" t="s">
        <v>1835</v>
      </c>
      <c r="P156" t="s">
        <v>931</v>
      </c>
    </row>
    <row r="157" spans="1:16" x14ac:dyDescent="0.2">
      <c r="A157" t="s">
        <v>1797</v>
      </c>
      <c r="B157" t="s">
        <v>1836</v>
      </c>
      <c r="C157" t="s">
        <v>1836</v>
      </c>
      <c r="D157" t="s">
        <v>1267</v>
      </c>
      <c r="E157" t="s">
        <v>1010</v>
      </c>
      <c r="G157" t="s">
        <v>1051</v>
      </c>
      <c r="H157" t="s">
        <v>992</v>
      </c>
      <c r="I157" t="s">
        <v>1048</v>
      </c>
      <c r="J157" t="s">
        <v>1078</v>
      </c>
      <c r="K157" t="s">
        <v>992</v>
      </c>
      <c r="L157" t="s">
        <v>982</v>
      </c>
      <c r="M157" t="s">
        <v>965</v>
      </c>
      <c r="N157" t="s">
        <v>963</v>
      </c>
      <c r="O157" t="s">
        <v>1166</v>
      </c>
      <c r="P157" t="s">
        <v>992</v>
      </c>
    </row>
    <row r="158" spans="1:16" x14ac:dyDescent="0.2">
      <c r="A158" t="s">
        <v>1837</v>
      </c>
      <c r="B158" t="s">
        <v>1838</v>
      </c>
      <c r="C158" t="s">
        <v>90</v>
      </c>
      <c r="D158" t="s">
        <v>1040</v>
      </c>
      <c r="E158" t="s">
        <v>952</v>
      </c>
      <c r="F158" t="s">
        <v>83</v>
      </c>
      <c r="G158" t="s">
        <v>1002</v>
      </c>
      <c r="H158" t="s">
        <v>1002</v>
      </c>
      <c r="I158" t="s">
        <v>1048</v>
      </c>
      <c r="J158" t="s">
        <v>1573</v>
      </c>
      <c r="K158" t="s">
        <v>941</v>
      </c>
      <c r="L158" t="s">
        <v>1009</v>
      </c>
      <c r="M158" t="s">
        <v>978</v>
      </c>
      <c r="N158" t="s">
        <v>1281</v>
      </c>
      <c r="O158" t="s">
        <v>1839</v>
      </c>
      <c r="P158" t="s">
        <v>931</v>
      </c>
    </row>
    <row r="159" spans="1:16" x14ac:dyDescent="0.2">
      <c r="A159" t="s">
        <v>1802</v>
      </c>
      <c r="B159" t="s">
        <v>475</v>
      </c>
      <c r="C159" t="s">
        <v>475</v>
      </c>
      <c r="D159" t="s">
        <v>142</v>
      </c>
      <c r="E159" t="s">
        <v>1088</v>
      </c>
      <c r="G159" t="s">
        <v>1144</v>
      </c>
      <c r="H159" t="s">
        <v>992</v>
      </c>
      <c r="I159" t="s">
        <v>1048</v>
      </c>
      <c r="J159" t="s">
        <v>1466</v>
      </c>
      <c r="K159" t="s">
        <v>992</v>
      </c>
      <c r="L159" t="s">
        <v>982</v>
      </c>
      <c r="M159" t="s">
        <v>944</v>
      </c>
      <c r="N159" t="s">
        <v>1435</v>
      </c>
      <c r="O159" t="s">
        <v>1429</v>
      </c>
      <c r="P159" t="s">
        <v>931</v>
      </c>
    </row>
    <row r="160" spans="1:16" x14ac:dyDescent="0.2">
      <c r="A160" t="s">
        <v>1840</v>
      </c>
      <c r="B160" t="s">
        <v>607</v>
      </c>
      <c r="C160" t="s">
        <v>607</v>
      </c>
      <c r="D160" t="s">
        <v>70</v>
      </c>
      <c r="E160" t="s">
        <v>1023</v>
      </c>
      <c r="G160" t="s">
        <v>941</v>
      </c>
      <c r="H160" t="s">
        <v>992</v>
      </c>
      <c r="I160" t="s">
        <v>972</v>
      </c>
      <c r="J160" t="s">
        <v>1201</v>
      </c>
      <c r="K160" t="s">
        <v>992</v>
      </c>
      <c r="L160" t="s">
        <v>982</v>
      </c>
      <c r="M160" t="s">
        <v>985</v>
      </c>
      <c r="N160" t="s">
        <v>1008</v>
      </c>
      <c r="O160" t="s">
        <v>1841</v>
      </c>
      <c r="P160" t="s">
        <v>992</v>
      </c>
    </row>
    <row r="161" spans="1:16" x14ac:dyDescent="0.2">
      <c r="A161" t="s">
        <v>1806</v>
      </c>
      <c r="B161" t="s">
        <v>1386</v>
      </c>
      <c r="C161" t="s">
        <v>1386</v>
      </c>
      <c r="D161" t="s">
        <v>725</v>
      </c>
      <c r="E161" t="s">
        <v>934</v>
      </c>
      <c r="G161" t="s">
        <v>982</v>
      </c>
      <c r="H161" t="s">
        <v>931</v>
      </c>
      <c r="I161" t="s">
        <v>972</v>
      </c>
      <c r="J161" t="s">
        <v>1201</v>
      </c>
      <c r="K161" t="s">
        <v>992</v>
      </c>
      <c r="L161" t="s">
        <v>982</v>
      </c>
      <c r="M161" t="s">
        <v>1124</v>
      </c>
      <c r="N161" t="s">
        <v>1008</v>
      </c>
      <c r="O161" t="s">
        <v>1842</v>
      </c>
      <c r="P161" t="s">
        <v>931</v>
      </c>
    </row>
    <row r="162" spans="1:16" x14ac:dyDescent="0.2">
      <c r="A162" t="s">
        <v>1656</v>
      </c>
      <c r="B162" t="s">
        <v>1843</v>
      </c>
      <c r="C162" t="s">
        <v>1843</v>
      </c>
      <c r="D162" t="s">
        <v>725</v>
      </c>
      <c r="E162" t="s">
        <v>1028</v>
      </c>
      <c r="G162" t="s">
        <v>972</v>
      </c>
      <c r="H162" t="s">
        <v>992</v>
      </c>
      <c r="I162" t="s">
        <v>972</v>
      </c>
      <c r="J162" t="s">
        <v>1502</v>
      </c>
      <c r="K162" t="s">
        <v>992</v>
      </c>
      <c r="L162" t="s">
        <v>941</v>
      </c>
      <c r="M162" t="s">
        <v>1016</v>
      </c>
      <c r="N162" t="s">
        <v>1026</v>
      </c>
      <c r="O162" t="s">
        <v>1026</v>
      </c>
      <c r="P162" t="s">
        <v>992</v>
      </c>
    </row>
    <row r="163" spans="1:16" x14ac:dyDescent="0.2">
      <c r="A163" t="s">
        <v>1799</v>
      </c>
      <c r="B163" t="s">
        <v>414</v>
      </c>
      <c r="C163" t="s">
        <v>414</v>
      </c>
      <c r="D163" t="s">
        <v>98</v>
      </c>
      <c r="E163" t="s">
        <v>1028</v>
      </c>
      <c r="G163" t="s">
        <v>931</v>
      </c>
      <c r="H163" t="s">
        <v>992</v>
      </c>
      <c r="I163" t="s">
        <v>972</v>
      </c>
      <c r="J163" t="s">
        <v>1456</v>
      </c>
      <c r="K163" t="s">
        <v>941</v>
      </c>
      <c r="L163" t="s">
        <v>982</v>
      </c>
      <c r="M163" t="s">
        <v>1162</v>
      </c>
      <c r="N163" t="s">
        <v>1015</v>
      </c>
      <c r="O163" t="s">
        <v>1457</v>
      </c>
      <c r="P163" t="s">
        <v>992</v>
      </c>
    </row>
    <row r="164" spans="1:16" x14ac:dyDescent="0.2">
      <c r="A164" t="s">
        <v>1844</v>
      </c>
      <c r="B164" t="s">
        <v>407</v>
      </c>
      <c r="C164" t="s">
        <v>407</v>
      </c>
      <c r="D164" t="s">
        <v>73</v>
      </c>
      <c r="E164" t="s">
        <v>1088</v>
      </c>
      <c r="G164" t="s">
        <v>1144</v>
      </c>
      <c r="H164" t="s">
        <v>992</v>
      </c>
      <c r="I164" t="s">
        <v>1086</v>
      </c>
      <c r="J164" t="s">
        <v>1501</v>
      </c>
      <c r="K164" t="s">
        <v>931</v>
      </c>
      <c r="L164" t="s">
        <v>941</v>
      </c>
      <c r="M164" t="s">
        <v>1016</v>
      </c>
      <c r="N164" t="s">
        <v>1189</v>
      </c>
      <c r="O164" t="s">
        <v>1085</v>
      </c>
      <c r="P164" t="s">
        <v>992</v>
      </c>
    </row>
    <row r="165" spans="1:16" x14ac:dyDescent="0.2">
      <c r="A165" t="s">
        <v>1652</v>
      </c>
      <c r="B165" t="s">
        <v>1382</v>
      </c>
      <c r="C165" t="s">
        <v>1382</v>
      </c>
      <c r="D165" t="s">
        <v>74</v>
      </c>
      <c r="E165" t="s">
        <v>952</v>
      </c>
      <c r="F165" t="s">
        <v>935</v>
      </c>
      <c r="G165" t="s">
        <v>1009</v>
      </c>
      <c r="H165" t="s">
        <v>931</v>
      </c>
      <c r="I165" t="s">
        <v>1086</v>
      </c>
      <c r="J165" t="s">
        <v>1508</v>
      </c>
      <c r="K165" t="s">
        <v>931</v>
      </c>
      <c r="L165" t="s">
        <v>982</v>
      </c>
      <c r="M165" t="s">
        <v>1028</v>
      </c>
      <c r="N165" t="s">
        <v>1306</v>
      </c>
      <c r="O165" t="s">
        <v>1845</v>
      </c>
      <c r="P165" t="s">
        <v>992</v>
      </c>
    </row>
    <row r="166" spans="1:16" x14ac:dyDescent="0.2">
      <c r="A166" t="s">
        <v>1782</v>
      </c>
      <c r="B166" t="s">
        <v>351</v>
      </c>
      <c r="C166" t="s">
        <v>351</v>
      </c>
      <c r="D166" t="s">
        <v>108</v>
      </c>
      <c r="E166" t="s">
        <v>1023</v>
      </c>
      <c r="G166" t="s">
        <v>951</v>
      </c>
      <c r="H166" t="s">
        <v>992</v>
      </c>
      <c r="I166" t="s">
        <v>1086</v>
      </c>
      <c r="J166" t="s">
        <v>937</v>
      </c>
      <c r="K166" t="s">
        <v>992</v>
      </c>
      <c r="L166" t="s">
        <v>931</v>
      </c>
      <c r="M166" t="s">
        <v>1039</v>
      </c>
      <c r="N166" t="s">
        <v>1114</v>
      </c>
      <c r="O166" t="s">
        <v>1778</v>
      </c>
      <c r="P166" t="s">
        <v>992</v>
      </c>
    </row>
    <row r="167" spans="1:16" x14ac:dyDescent="0.2">
      <c r="A167" t="s">
        <v>1846</v>
      </c>
      <c r="B167" t="s">
        <v>1527</v>
      </c>
      <c r="C167" t="s">
        <v>1527</v>
      </c>
      <c r="D167" t="s">
        <v>70</v>
      </c>
      <c r="E167" t="s">
        <v>952</v>
      </c>
      <c r="G167" t="s">
        <v>1066</v>
      </c>
      <c r="H167" t="s">
        <v>992</v>
      </c>
      <c r="I167" t="s">
        <v>1075</v>
      </c>
      <c r="J167" t="s">
        <v>996</v>
      </c>
      <c r="K167" t="s">
        <v>992</v>
      </c>
      <c r="L167" t="s">
        <v>941</v>
      </c>
      <c r="M167" t="s">
        <v>1048</v>
      </c>
      <c r="N167" t="s">
        <v>1216</v>
      </c>
      <c r="O167" t="s">
        <v>1847</v>
      </c>
      <c r="P167" t="s">
        <v>992</v>
      </c>
    </row>
    <row r="168" spans="1:16" x14ac:dyDescent="0.2">
      <c r="A168" t="s">
        <v>1848</v>
      </c>
      <c r="B168" t="s">
        <v>222</v>
      </c>
      <c r="C168" t="s">
        <v>222</v>
      </c>
      <c r="D168" t="s">
        <v>99</v>
      </c>
      <c r="E168" t="s">
        <v>985</v>
      </c>
      <c r="F168" t="s">
        <v>1298</v>
      </c>
      <c r="G168" t="s">
        <v>1144</v>
      </c>
      <c r="H168" t="s">
        <v>1027</v>
      </c>
      <c r="I168" t="s">
        <v>1075</v>
      </c>
      <c r="J168" t="s">
        <v>1144</v>
      </c>
      <c r="K168" t="s">
        <v>941</v>
      </c>
      <c r="L168" t="s">
        <v>982</v>
      </c>
      <c r="M168" t="s">
        <v>1051</v>
      </c>
      <c r="N168" t="s">
        <v>1849</v>
      </c>
      <c r="O168" t="s">
        <v>1503</v>
      </c>
      <c r="P168" t="s">
        <v>951</v>
      </c>
    </row>
    <row r="169" spans="1:16" x14ac:dyDescent="0.2">
      <c r="A169" t="s">
        <v>1850</v>
      </c>
      <c r="B169" t="s">
        <v>148</v>
      </c>
      <c r="C169" t="s">
        <v>148</v>
      </c>
      <c r="D169" t="s">
        <v>1087</v>
      </c>
      <c r="E169" t="s">
        <v>1123</v>
      </c>
      <c r="F169" t="s">
        <v>935</v>
      </c>
      <c r="G169" t="s">
        <v>1027</v>
      </c>
      <c r="H169" t="s">
        <v>1027</v>
      </c>
      <c r="I169" t="s">
        <v>1075</v>
      </c>
      <c r="J169" t="s">
        <v>1088</v>
      </c>
      <c r="K169" t="s">
        <v>992</v>
      </c>
      <c r="L169" t="s">
        <v>951</v>
      </c>
      <c r="M169" t="s">
        <v>1064</v>
      </c>
      <c r="N169" t="s">
        <v>1133</v>
      </c>
      <c r="O169" t="s">
        <v>1233</v>
      </c>
      <c r="P169" t="s">
        <v>941</v>
      </c>
    </row>
    <row r="170" spans="1:16" x14ac:dyDescent="0.2">
      <c r="A170" t="s">
        <v>1251</v>
      </c>
      <c r="B170" t="s">
        <v>1390</v>
      </c>
      <c r="C170" t="s">
        <v>1390</v>
      </c>
      <c r="D170" t="s">
        <v>725</v>
      </c>
      <c r="E170" t="s">
        <v>985</v>
      </c>
      <c r="G170" t="s">
        <v>941</v>
      </c>
      <c r="H170" t="s">
        <v>992</v>
      </c>
      <c r="I170" t="s">
        <v>1075</v>
      </c>
      <c r="J170" t="s">
        <v>1028</v>
      </c>
      <c r="K170" t="s">
        <v>992</v>
      </c>
      <c r="L170" t="s">
        <v>931</v>
      </c>
      <c r="M170" t="s">
        <v>1016</v>
      </c>
      <c r="N170" t="s">
        <v>1813</v>
      </c>
      <c r="O170" t="s">
        <v>1067</v>
      </c>
      <c r="P170" t="s">
        <v>992</v>
      </c>
    </row>
    <row r="171" spans="1:16" x14ac:dyDescent="0.2">
      <c r="A171" t="s">
        <v>1647</v>
      </c>
      <c r="B171" t="s">
        <v>1851</v>
      </c>
      <c r="C171" t="s">
        <v>1851</v>
      </c>
      <c r="D171" t="s">
        <v>729</v>
      </c>
      <c r="E171" t="s">
        <v>965</v>
      </c>
      <c r="F171" t="s">
        <v>83</v>
      </c>
      <c r="G171" t="s">
        <v>1144</v>
      </c>
      <c r="H171" t="s">
        <v>1066</v>
      </c>
      <c r="I171" t="s">
        <v>1075</v>
      </c>
      <c r="J171" t="s">
        <v>1526</v>
      </c>
      <c r="K171" t="s">
        <v>931</v>
      </c>
      <c r="L171" t="s">
        <v>982</v>
      </c>
      <c r="M171" t="s">
        <v>1016</v>
      </c>
      <c r="N171" t="s">
        <v>1839</v>
      </c>
      <c r="O171" t="s">
        <v>955</v>
      </c>
      <c r="P171" t="s">
        <v>941</v>
      </c>
    </row>
    <row r="172" spans="1:16" x14ac:dyDescent="0.2">
      <c r="A172" t="s">
        <v>1793</v>
      </c>
      <c r="B172" t="s">
        <v>1852</v>
      </c>
      <c r="C172" t="s">
        <v>1852</v>
      </c>
      <c r="D172" t="s">
        <v>976</v>
      </c>
      <c r="E172" t="s">
        <v>978</v>
      </c>
      <c r="G172" t="s">
        <v>1075</v>
      </c>
      <c r="H172" t="s">
        <v>992</v>
      </c>
      <c r="I172" t="s">
        <v>1075</v>
      </c>
      <c r="J172" t="s">
        <v>966</v>
      </c>
      <c r="K172" t="s">
        <v>992</v>
      </c>
      <c r="L172" t="s">
        <v>941</v>
      </c>
      <c r="M172" t="s">
        <v>1066</v>
      </c>
      <c r="N172" t="s">
        <v>1114</v>
      </c>
      <c r="O172" t="s">
        <v>1114</v>
      </c>
      <c r="P172" t="s">
        <v>992</v>
      </c>
    </row>
    <row r="173" spans="1:16" x14ac:dyDescent="0.2">
      <c r="A173" t="s">
        <v>1853</v>
      </c>
      <c r="B173" t="s">
        <v>402</v>
      </c>
      <c r="C173" t="s">
        <v>402</v>
      </c>
      <c r="D173" t="s">
        <v>98</v>
      </c>
      <c r="E173" t="s">
        <v>1088</v>
      </c>
      <c r="F173" t="s">
        <v>1298</v>
      </c>
      <c r="G173" t="s">
        <v>1144</v>
      </c>
      <c r="H173" t="s">
        <v>1039</v>
      </c>
      <c r="I173" t="s">
        <v>1075</v>
      </c>
      <c r="J173" t="s">
        <v>1064</v>
      </c>
      <c r="K173" t="s">
        <v>992</v>
      </c>
      <c r="L173" t="s">
        <v>941</v>
      </c>
      <c r="M173" t="s">
        <v>1066</v>
      </c>
      <c r="N173" t="s">
        <v>1854</v>
      </c>
      <c r="O173" t="s">
        <v>1855</v>
      </c>
      <c r="P173" t="s">
        <v>992</v>
      </c>
    </row>
    <row r="174" spans="1:16" x14ac:dyDescent="0.2">
      <c r="A174" t="s">
        <v>1856</v>
      </c>
      <c r="B174" t="s">
        <v>1857</v>
      </c>
      <c r="C174" t="s">
        <v>1857</v>
      </c>
      <c r="D174" t="s">
        <v>122</v>
      </c>
      <c r="E174" t="s">
        <v>952</v>
      </c>
      <c r="G174" t="s">
        <v>1075</v>
      </c>
      <c r="H174" t="s">
        <v>992</v>
      </c>
      <c r="I174" t="s">
        <v>1075</v>
      </c>
      <c r="J174" t="s">
        <v>1016</v>
      </c>
      <c r="K174" t="s">
        <v>992</v>
      </c>
      <c r="L174" t="s">
        <v>992</v>
      </c>
      <c r="M174" t="s">
        <v>1039</v>
      </c>
      <c r="N174" t="s">
        <v>1063</v>
      </c>
      <c r="O174" t="s">
        <v>1063</v>
      </c>
      <c r="P174" t="s">
        <v>931</v>
      </c>
    </row>
    <row r="175" spans="1:16" x14ac:dyDescent="0.2">
      <c r="A175" t="s">
        <v>1644</v>
      </c>
      <c r="B175" t="s">
        <v>1366</v>
      </c>
      <c r="C175" t="s">
        <v>1366</v>
      </c>
      <c r="D175" t="s">
        <v>119</v>
      </c>
      <c r="E175" t="s">
        <v>997</v>
      </c>
      <c r="F175" t="s">
        <v>935</v>
      </c>
      <c r="G175" t="s">
        <v>1051</v>
      </c>
      <c r="H175" t="s">
        <v>1027</v>
      </c>
      <c r="I175" t="s">
        <v>1075</v>
      </c>
      <c r="J175" t="s">
        <v>951</v>
      </c>
      <c r="K175" t="s">
        <v>992</v>
      </c>
      <c r="L175" t="s">
        <v>992</v>
      </c>
      <c r="M175" t="s">
        <v>1009</v>
      </c>
      <c r="N175" t="s">
        <v>1511</v>
      </c>
      <c r="O175" t="s">
        <v>1796</v>
      </c>
      <c r="P175" t="s">
        <v>941</v>
      </c>
    </row>
    <row r="176" spans="1:16" x14ac:dyDescent="0.2">
      <c r="A176" t="s">
        <v>1641</v>
      </c>
      <c r="B176" t="s">
        <v>1858</v>
      </c>
      <c r="C176" t="s">
        <v>1858</v>
      </c>
      <c r="D176" t="s">
        <v>98</v>
      </c>
      <c r="E176" t="s">
        <v>1010</v>
      </c>
      <c r="G176" t="s">
        <v>951</v>
      </c>
      <c r="H176" t="s">
        <v>992</v>
      </c>
      <c r="I176" t="s">
        <v>1075</v>
      </c>
      <c r="J176" t="s">
        <v>1445</v>
      </c>
      <c r="K176" t="s">
        <v>992</v>
      </c>
      <c r="L176" t="s">
        <v>1009</v>
      </c>
      <c r="M176" t="s">
        <v>937</v>
      </c>
      <c r="N176" t="s">
        <v>1191</v>
      </c>
      <c r="O176" t="s">
        <v>1859</v>
      </c>
      <c r="P176" t="s">
        <v>931</v>
      </c>
    </row>
    <row r="177" spans="1:16" x14ac:dyDescent="0.2">
      <c r="A177" t="s">
        <v>1860</v>
      </c>
      <c r="B177" t="s">
        <v>357</v>
      </c>
      <c r="C177" t="s">
        <v>357</v>
      </c>
      <c r="D177" t="s">
        <v>142</v>
      </c>
      <c r="E177" t="s">
        <v>1028</v>
      </c>
      <c r="F177" t="s">
        <v>1392</v>
      </c>
      <c r="G177" t="s">
        <v>1075</v>
      </c>
      <c r="H177" t="s">
        <v>982</v>
      </c>
      <c r="I177" t="s">
        <v>1064</v>
      </c>
      <c r="J177" t="s">
        <v>978</v>
      </c>
      <c r="K177" t="s">
        <v>992</v>
      </c>
      <c r="L177" t="s">
        <v>951</v>
      </c>
      <c r="M177" t="s">
        <v>1086</v>
      </c>
      <c r="N177" t="s">
        <v>942</v>
      </c>
      <c r="O177" t="s">
        <v>1455</v>
      </c>
      <c r="P177" t="s">
        <v>992</v>
      </c>
    </row>
    <row r="178" spans="1:16" x14ac:dyDescent="0.2">
      <c r="A178" t="s">
        <v>1773</v>
      </c>
      <c r="B178" t="s">
        <v>1385</v>
      </c>
      <c r="C178" t="s">
        <v>1385</v>
      </c>
      <c r="D178" t="s">
        <v>976</v>
      </c>
      <c r="E178" t="s">
        <v>966</v>
      </c>
      <c r="G178" t="s">
        <v>982</v>
      </c>
      <c r="H178" t="s">
        <v>992</v>
      </c>
      <c r="I178" t="s">
        <v>1064</v>
      </c>
      <c r="J178" t="s">
        <v>1144</v>
      </c>
      <c r="K178" t="s">
        <v>992</v>
      </c>
      <c r="L178" t="s">
        <v>992</v>
      </c>
      <c r="M178" t="s">
        <v>1144</v>
      </c>
      <c r="N178" t="s">
        <v>943</v>
      </c>
      <c r="O178" t="s">
        <v>984</v>
      </c>
      <c r="P178" t="s">
        <v>931</v>
      </c>
    </row>
    <row r="179" spans="1:16" x14ac:dyDescent="0.2">
      <c r="A179" t="s">
        <v>1861</v>
      </c>
      <c r="B179" t="s">
        <v>299</v>
      </c>
      <c r="C179" t="s">
        <v>299</v>
      </c>
      <c r="D179" t="s">
        <v>93</v>
      </c>
      <c r="E179" t="s">
        <v>965</v>
      </c>
      <c r="F179" t="s">
        <v>1298</v>
      </c>
      <c r="G179" t="s">
        <v>1048</v>
      </c>
      <c r="H179" t="s">
        <v>982</v>
      </c>
      <c r="I179" t="s">
        <v>1064</v>
      </c>
      <c r="J179" t="s">
        <v>1190</v>
      </c>
      <c r="K179" t="s">
        <v>992</v>
      </c>
      <c r="L179" t="s">
        <v>941</v>
      </c>
      <c r="M179" t="s">
        <v>1002</v>
      </c>
      <c r="N179" t="s">
        <v>1418</v>
      </c>
      <c r="O179" t="s">
        <v>1114</v>
      </c>
      <c r="P179" t="s">
        <v>941</v>
      </c>
    </row>
    <row r="180" spans="1:16" x14ac:dyDescent="0.2">
      <c r="A180" t="s">
        <v>1862</v>
      </c>
      <c r="B180" t="s">
        <v>576</v>
      </c>
      <c r="C180" t="s">
        <v>576</v>
      </c>
      <c r="D180" t="s">
        <v>1726</v>
      </c>
      <c r="E180" t="s">
        <v>1088</v>
      </c>
      <c r="G180" t="s">
        <v>1039</v>
      </c>
      <c r="H180" t="s">
        <v>992</v>
      </c>
      <c r="I180" t="s">
        <v>1064</v>
      </c>
      <c r="J180" t="s">
        <v>1489</v>
      </c>
      <c r="K180" t="s">
        <v>992</v>
      </c>
      <c r="L180" t="s">
        <v>951</v>
      </c>
      <c r="M180" t="s">
        <v>1016</v>
      </c>
      <c r="N180" t="s">
        <v>1015</v>
      </c>
      <c r="O180" t="s">
        <v>967</v>
      </c>
      <c r="P180" t="s">
        <v>992</v>
      </c>
    </row>
    <row r="181" spans="1:16" x14ac:dyDescent="0.2">
      <c r="A181" t="s">
        <v>1863</v>
      </c>
      <c r="B181" t="s">
        <v>1383</v>
      </c>
      <c r="C181" t="s">
        <v>1383</v>
      </c>
      <c r="D181" t="s">
        <v>933</v>
      </c>
      <c r="E181" t="s">
        <v>1010</v>
      </c>
      <c r="G181" t="s">
        <v>931</v>
      </c>
      <c r="H181" t="s">
        <v>992</v>
      </c>
      <c r="I181" t="s">
        <v>1064</v>
      </c>
      <c r="J181" t="s">
        <v>1534</v>
      </c>
      <c r="K181" t="s">
        <v>931</v>
      </c>
      <c r="L181" t="s">
        <v>1051</v>
      </c>
      <c r="M181" t="s">
        <v>952</v>
      </c>
      <c r="N181" t="s">
        <v>1003</v>
      </c>
      <c r="O181" t="s">
        <v>1864</v>
      </c>
      <c r="P181" t="s">
        <v>992</v>
      </c>
    </row>
    <row r="182" spans="1:16" x14ac:dyDescent="0.2">
      <c r="A182" t="s">
        <v>1865</v>
      </c>
      <c r="B182" t="s">
        <v>218</v>
      </c>
      <c r="C182" t="s">
        <v>218</v>
      </c>
      <c r="D182" t="s">
        <v>92</v>
      </c>
      <c r="E182" t="s">
        <v>937</v>
      </c>
      <c r="F182" t="s">
        <v>935</v>
      </c>
      <c r="G182" t="s">
        <v>982</v>
      </c>
      <c r="H182" t="s">
        <v>941</v>
      </c>
      <c r="I182" t="s">
        <v>1064</v>
      </c>
      <c r="J182" t="s">
        <v>972</v>
      </c>
      <c r="K182" t="s">
        <v>992</v>
      </c>
      <c r="L182" t="s">
        <v>992</v>
      </c>
      <c r="M182" t="s">
        <v>982</v>
      </c>
      <c r="N182" t="s">
        <v>1510</v>
      </c>
      <c r="O182" t="s">
        <v>1311</v>
      </c>
      <c r="P182" t="s">
        <v>931</v>
      </c>
    </row>
    <row r="183" spans="1:16" x14ac:dyDescent="0.2">
      <c r="A183" t="s">
        <v>1866</v>
      </c>
      <c r="B183" t="s">
        <v>216</v>
      </c>
      <c r="C183" t="s">
        <v>216</v>
      </c>
      <c r="D183" t="s">
        <v>1087</v>
      </c>
      <c r="E183" t="s">
        <v>1088</v>
      </c>
      <c r="F183" t="s">
        <v>935</v>
      </c>
      <c r="G183" t="s">
        <v>1075</v>
      </c>
      <c r="H183" t="s">
        <v>1051</v>
      </c>
      <c r="I183" t="s">
        <v>1064</v>
      </c>
      <c r="J183" t="s">
        <v>1051</v>
      </c>
      <c r="K183" t="s">
        <v>992</v>
      </c>
      <c r="L183" t="s">
        <v>931</v>
      </c>
      <c r="M183" t="s">
        <v>1039</v>
      </c>
      <c r="N183" t="s">
        <v>1854</v>
      </c>
      <c r="O183" t="s">
        <v>1867</v>
      </c>
      <c r="P183" t="s">
        <v>1027</v>
      </c>
    </row>
    <row r="184" spans="1:16" x14ac:dyDescent="0.2">
      <c r="A184" t="s">
        <v>1868</v>
      </c>
      <c r="B184" t="s">
        <v>1869</v>
      </c>
      <c r="C184" t="s">
        <v>1869</v>
      </c>
      <c r="D184" t="s">
        <v>933</v>
      </c>
      <c r="E184" t="s">
        <v>965</v>
      </c>
      <c r="F184" t="s">
        <v>83</v>
      </c>
      <c r="G184" t="s">
        <v>1048</v>
      </c>
      <c r="H184" t="s">
        <v>972</v>
      </c>
      <c r="I184" t="s">
        <v>1064</v>
      </c>
      <c r="J184" t="s">
        <v>998</v>
      </c>
      <c r="K184" t="s">
        <v>992</v>
      </c>
      <c r="L184" t="s">
        <v>951</v>
      </c>
      <c r="M184" t="s">
        <v>972</v>
      </c>
      <c r="N184" t="s">
        <v>1189</v>
      </c>
      <c r="O184" t="s">
        <v>1099</v>
      </c>
      <c r="P184" t="s">
        <v>941</v>
      </c>
    </row>
    <row r="185" spans="1:16" x14ac:dyDescent="0.2">
      <c r="A185" t="s">
        <v>1870</v>
      </c>
      <c r="B185" t="s">
        <v>391</v>
      </c>
      <c r="C185" t="s">
        <v>391</v>
      </c>
      <c r="D185" t="s">
        <v>99</v>
      </c>
      <c r="E185" t="s">
        <v>1023</v>
      </c>
      <c r="F185" t="s">
        <v>1392</v>
      </c>
      <c r="G185" t="s">
        <v>1066</v>
      </c>
      <c r="H185" t="s">
        <v>931</v>
      </c>
      <c r="I185" t="s">
        <v>1064</v>
      </c>
      <c r="J185" t="s">
        <v>957</v>
      </c>
      <c r="K185" t="s">
        <v>992</v>
      </c>
      <c r="L185" t="s">
        <v>931</v>
      </c>
      <c r="M185" t="s">
        <v>1027</v>
      </c>
      <c r="N185" t="s">
        <v>1114</v>
      </c>
      <c r="O185" t="s">
        <v>1147</v>
      </c>
      <c r="P185" t="s">
        <v>992</v>
      </c>
    </row>
    <row r="186" spans="1:16" x14ac:dyDescent="0.2">
      <c r="A186" t="s">
        <v>902</v>
      </c>
      <c r="B186" t="s">
        <v>903</v>
      </c>
      <c r="C186" t="s">
        <v>903</v>
      </c>
      <c r="D186" t="s">
        <v>1314</v>
      </c>
      <c r="E186" t="s">
        <v>905</v>
      </c>
      <c r="F186" t="s">
        <v>906</v>
      </c>
      <c r="G186" t="s">
        <v>1315</v>
      </c>
      <c r="H186" t="s">
        <v>1316</v>
      </c>
      <c r="I186" t="s">
        <v>1319</v>
      </c>
      <c r="J186" t="s">
        <v>799</v>
      </c>
      <c r="K186" t="s">
        <v>800</v>
      </c>
      <c r="L186" t="s">
        <v>1321</v>
      </c>
      <c r="M186" t="s">
        <v>917</v>
      </c>
      <c r="N186" t="s">
        <v>1322</v>
      </c>
      <c r="O186" t="s">
        <v>1325</v>
      </c>
      <c r="P186" t="s">
        <v>1416</v>
      </c>
    </row>
    <row r="187" spans="1:16" x14ac:dyDescent="0.2">
      <c r="A187" t="s">
        <v>1871</v>
      </c>
      <c r="B187" t="s">
        <v>369</v>
      </c>
      <c r="C187" t="s">
        <v>369</v>
      </c>
      <c r="D187" t="s">
        <v>73</v>
      </c>
      <c r="E187" t="s">
        <v>1010</v>
      </c>
      <c r="G187" t="s">
        <v>1144</v>
      </c>
      <c r="H187" t="s">
        <v>992</v>
      </c>
      <c r="I187" t="s">
        <v>1051</v>
      </c>
      <c r="J187" t="s">
        <v>959</v>
      </c>
      <c r="K187" t="s">
        <v>992</v>
      </c>
      <c r="L187" t="s">
        <v>982</v>
      </c>
      <c r="M187" t="s">
        <v>1048</v>
      </c>
      <c r="N187" t="s">
        <v>1015</v>
      </c>
      <c r="O187" t="s">
        <v>1127</v>
      </c>
      <c r="P187" t="s">
        <v>992</v>
      </c>
    </row>
    <row r="188" spans="1:16" x14ac:dyDescent="0.2">
      <c r="A188" t="s">
        <v>1638</v>
      </c>
      <c r="B188" t="s">
        <v>1872</v>
      </c>
      <c r="C188" t="s">
        <v>1872</v>
      </c>
      <c r="D188" t="s">
        <v>108</v>
      </c>
      <c r="E188" t="s">
        <v>1088</v>
      </c>
      <c r="F188" t="s">
        <v>1298</v>
      </c>
      <c r="G188" t="s">
        <v>1144</v>
      </c>
      <c r="H188" t="s">
        <v>1027</v>
      </c>
      <c r="I188" t="s">
        <v>1051</v>
      </c>
      <c r="J188" t="s">
        <v>1426</v>
      </c>
      <c r="K188" t="s">
        <v>992</v>
      </c>
      <c r="L188" t="s">
        <v>982</v>
      </c>
      <c r="M188" t="s">
        <v>1002</v>
      </c>
      <c r="N188" t="s">
        <v>987</v>
      </c>
      <c r="O188" t="s">
        <v>1099</v>
      </c>
      <c r="P188" t="s">
        <v>931</v>
      </c>
    </row>
    <row r="189" spans="1:16" x14ac:dyDescent="0.2">
      <c r="A189" t="s">
        <v>1873</v>
      </c>
      <c r="B189" t="s">
        <v>185</v>
      </c>
      <c r="C189" t="s">
        <v>185</v>
      </c>
      <c r="D189" t="s">
        <v>1087</v>
      </c>
      <c r="E189" t="s">
        <v>1023</v>
      </c>
      <c r="F189" t="s">
        <v>1298</v>
      </c>
      <c r="G189" t="s">
        <v>1039</v>
      </c>
      <c r="H189" t="s">
        <v>1009</v>
      </c>
      <c r="I189" t="s">
        <v>1051</v>
      </c>
      <c r="J189" t="s">
        <v>952</v>
      </c>
      <c r="K189" t="s">
        <v>992</v>
      </c>
      <c r="L189" t="s">
        <v>931</v>
      </c>
      <c r="M189" t="s">
        <v>1075</v>
      </c>
      <c r="N189" t="s">
        <v>1216</v>
      </c>
      <c r="O189" t="s">
        <v>1085</v>
      </c>
      <c r="P189" t="s">
        <v>992</v>
      </c>
    </row>
    <row r="190" spans="1:16" x14ac:dyDescent="0.2">
      <c r="A190" t="s">
        <v>1874</v>
      </c>
      <c r="B190" t="s">
        <v>605</v>
      </c>
      <c r="C190" t="s">
        <v>605</v>
      </c>
      <c r="D190" t="s">
        <v>1257</v>
      </c>
      <c r="E190" t="s">
        <v>952</v>
      </c>
      <c r="G190" t="s">
        <v>1086</v>
      </c>
      <c r="H190" t="s">
        <v>992</v>
      </c>
      <c r="I190" t="s">
        <v>1051</v>
      </c>
      <c r="J190" t="s">
        <v>1002</v>
      </c>
      <c r="K190" t="s">
        <v>992</v>
      </c>
      <c r="L190" t="s">
        <v>992</v>
      </c>
      <c r="M190" t="s">
        <v>1009</v>
      </c>
      <c r="N190" t="s">
        <v>1063</v>
      </c>
      <c r="O190" t="s">
        <v>1875</v>
      </c>
      <c r="P190" t="s">
        <v>992</v>
      </c>
    </row>
    <row r="191" spans="1:16" x14ac:dyDescent="0.2">
      <c r="A191" t="s">
        <v>1876</v>
      </c>
      <c r="B191" t="s">
        <v>155</v>
      </c>
      <c r="C191" t="s">
        <v>155</v>
      </c>
      <c r="D191" t="s">
        <v>1257</v>
      </c>
      <c r="E191" t="s">
        <v>952</v>
      </c>
      <c r="G191" t="s">
        <v>982</v>
      </c>
      <c r="H191" t="s">
        <v>992</v>
      </c>
      <c r="I191" t="s">
        <v>1051</v>
      </c>
      <c r="J191" t="s">
        <v>1877</v>
      </c>
      <c r="K191" t="s">
        <v>992</v>
      </c>
      <c r="L191" t="s">
        <v>992</v>
      </c>
      <c r="M191" t="s">
        <v>951</v>
      </c>
      <c r="N191" t="s">
        <v>1878</v>
      </c>
      <c r="O191" t="s">
        <v>1879</v>
      </c>
      <c r="P191" t="s">
        <v>992</v>
      </c>
    </row>
    <row r="192" spans="1:16" x14ac:dyDescent="0.2">
      <c r="A192" t="s">
        <v>1880</v>
      </c>
      <c r="B192" t="s">
        <v>234</v>
      </c>
      <c r="C192" t="s">
        <v>234</v>
      </c>
      <c r="D192" t="s">
        <v>119</v>
      </c>
      <c r="E192" t="s">
        <v>1023</v>
      </c>
      <c r="F192" t="s">
        <v>935</v>
      </c>
      <c r="G192" t="s">
        <v>982</v>
      </c>
      <c r="H192" t="s">
        <v>982</v>
      </c>
      <c r="I192" t="s">
        <v>1039</v>
      </c>
      <c r="J192" t="s">
        <v>952</v>
      </c>
      <c r="K192" t="s">
        <v>931</v>
      </c>
      <c r="L192" t="s">
        <v>951</v>
      </c>
      <c r="M192" t="s">
        <v>1048</v>
      </c>
      <c r="N192" t="s">
        <v>1085</v>
      </c>
      <c r="O192" t="s">
        <v>1057</v>
      </c>
      <c r="P192" t="s">
        <v>931</v>
      </c>
    </row>
    <row r="193" spans="1:16" x14ac:dyDescent="0.2">
      <c r="A193" t="s">
        <v>1881</v>
      </c>
      <c r="B193" t="s">
        <v>564</v>
      </c>
      <c r="C193" t="s">
        <v>564</v>
      </c>
      <c r="D193" t="s">
        <v>1257</v>
      </c>
      <c r="E193" t="s">
        <v>957</v>
      </c>
      <c r="F193" t="s">
        <v>1882</v>
      </c>
      <c r="G193" t="s">
        <v>1002</v>
      </c>
      <c r="H193" t="s">
        <v>982</v>
      </c>
      <c r="I193" t="s">
        <v>1039</v>
      </c>
      <c r="J193" t="s">
        <v>1162</v>
      </c>
      <c r="K193" t="s">
        <v>992</v>
      </c>
      <c r="L193" t="s">
        <v>1027</v>
      </c>
      <c r="M193" t="s">
        <v>1039</v>
      </c>
      <c r="N193" t="s">
        <v>1127</v>
      </c>
      <c r="O193" t="s">
        <v>1883</v>
      </c>
      <c r="P193" t="s">
        <v>992</v>
      </c>
    </row>
    <row r="194" spans="1:16" x14ac:dyDescent="0.2">
      <c r="A194" t="s">
        <v>1632</v>
      </c>
      <c r="B194" t="s">
        <v>1884</v>
      </c>
      <c r="C194" t="s">
        <v>1884</v>
      </c>
      <c r="D194" t="s">
        <v>729</v>
      </c>
      <c r="E194" t="s">
        <v>985</v>
      </c>
      <c r="G194" t="s">
        <v>1002</v>
      </c>
      <c r="H194" t="s">
        <v>992</v>
      </c>
      <c r="I194" t="s">
        <v>1039</v>
      </c>
      <c r="J194" t="s">
        <v>1023</v>
      </c>
      <c r="K194" t="s">
        <v>992</v>
      </c>
      <c r="L194" t="s">
        <v>931</v>
      </c>
      <c r="M194" t="s">
        <v>1039</v>
      </c>
      <c r="N194" t="s">
        <v>1277</v>
      </c>
      <c r="O194" t="s">
        <v>1849</v>
      </c>
      <c r="P194" t="s">
        <v>992</v>
      </c>
    </row>
    <row r="195" spans="1:16" x14ac:dyDescent="0.2">
      <c r="A195" t="s">
        <v>1245</v>
      </c>
      <c r="B195" t="s">
        <v>229</v>
      </c>
      <c r="C195" t="s">
        <v>229</v>
      </c>
      <c r="D195" t="s">
        <v>1040</v>
      </c>
      <c r="E195" t="s">
        <v>1134</v>
      </c>
      <c r="F195" t="s">
        <v>935</v>
      </c>
      <c r="G195" t="s">
        <v>951</v>
      </c>
      <c r="H195" t="s">
        <v>931</v>
      </c>
      <c r="I195" t="s">
        <v>1039</v>
      </c>
      <c r="J195" t="s">
        <v>1547</v>
      </c>
      <c r="K195" t="s">
        <v>931</v>
      </c>
      <c r="L195" t="s">
        <v>931</v>
      </c>
      <c r="M195" t="s">
        <v>931</v>
      </c>
      <c r="N195" t="s">
        <v>1507</v>
      </c>
      <c r="O195" t="s">
        <v>1834</v>
      </c>
      <c r="P195" t="s">
        <v>941</v>
      </c>
    </row>
    <row r="196" spans="1:16" x14ac:dyDescent="0.2">
      <c r="A196" t="s">
        <v>1885</v>
      </c>
      <c r="B196" t="s">
        <v>200</v>
      </c>
      <c r="C196" t="s">
        <v>200</v>
      </c>
      <c r="D196" t="s">
        <v>99</v>
      </c>
      <c r="E196" t="s">
        <v>1088</v>
      </c>
      <c r="F196" t="s">
        <v>935</v>
      </c>
      <c r="G196" t="s">
        <v>1009</v>
      </c>
      <c r="H196" t="s">
        <v>931</v>
      </c>
      <c r="I196" t="s">
        <v>1039</v>
      </c>
      <c r="J196" t="s">
        <v>1877</v>
      </c>
      <c r="K196" t="s">
        <v>992</v>
      </c>
      <c r="L196" t="s">
        <v>992</v>
      </c>
      <c r="M196" t="s">
        <v>931</v>
      </c>
      <c r="N196" t="s">
        <v>1886</v>
      </c>
      <c r="O196" t="s">
        <v>1887</v>
      </c>
      <c r="P196" t="s">
        <v>992</v>
      </c>
    </row>
    <row r="197" spans="1:16" x14ac:dyDescent="0.2">
      <c r="A197" t="s">
        <v>1628</v>
      </c>
      <c r="B197" t="s">
        <v>225</v>
      </c>
      <c r="C197" t="s">
        <v>225</v>
      </c>
      <c r="D197" t="s">
        <v>1122</v>
      </c>
      <c r="E197" t="s">
        <v>1023</v>
      </c>
      <c r="G197" t="s">
        <v>1009</v>
      </c>
      <c r="H197" t="s">
        <v>992</v>
      </c>
      <c r="I197" t="s">
        <v>1039</v>
      </c>
      <c r="J197" t="s">
        <v>1039</v>
      </c>
      <c r="K197" t="s">
        <v>992</v>
      </c>
      <c r="L197" t="s">
        <v>951</v>
      </c>
      <c r="M197" t="s">
        <v>1027</v>
      </c>
      <c r="N197" t="s">
        <v>1503</v>
      </c>
      <c r="O197" t="s">
        <v>1875</v>
      </c>
      <c r="P197" t="s">
        <v>992</v>
      </c>
    </row>
    <row r="198" spans="1:16" x14ac:dyDescent="0.2">
      <c r="A198" t="s">
        <v>1888</v>
      </c>
      <c r="B198" t="s">
        <v>1889</v>
      </c>
      <c r="C198" t="s">
        <v>1889</v>
      </c>
      <c r="D198" t="s">
        <v>1052</v>
      </c>
      <c r="E198" t="s">
        <v>934</v>
      </c>
      <c r="G198" t="s">
        <v>1051</v>
      </c>
      <c r="H198" t="s">
        <v>992</v>
      </c>
      <c r="I198" t="s">
        <v>1039</v>
      </c>
      <c r="J198" t="s">
        <v>1032</v>
      </c>
      <c r="K198" t="s">
        <v>992</v>
      </c>
      <c r="L198" t="s">
        <v>931</v>
      </c>
      <c r="M198" t="s">
        <v>1009</v>
      </c>
      <c r="N198" t="s">
        <v>1111</v>
      </c>
      <c r="O198" t="s">
        <v>1133</v>
      </c>
      <c r="P198" t="s">
        <v>992</v>
      </c>
    </row>
    <row r="199" spans="1:16" x14ac:dyDescent="0.2">
      <c r="A199" t="s">
        <v>1624</v>
      </c>
      <c r="B199" t="s">
        <v>214</v>
      </c>
      <c r="C199" t="s">
        <v>214</v>
      </c>
      <c r="D199" t="s">
        <v>77</v>
      </c>
      <c r="E199" t="s">
        <v>1088</v>
      </c>
      <c r="G199" t="s">
        <v>1027</v>
      </c>
      <c r="H199" t="s">
        <v>992</v>
      </c>
      <c r="I199" t="s">
        <v>1039</v>
      </c>
      <c r="J199" t="s">
        <v>1075</v>
      </c>
      <c r="K199" t="s">
        <v>992</v>
      </c>
      <c r="L199" t="s">
        <v>931</v>
      </c>
      <c r="M199" t="s">
        <v>1162</v>
      </c>
      <c r="N199" t="s">
        <v>1875</v>
      </c>
      <c r="O199" t="s">
        <v>964</v>
      </c>
      <c r="P199" t="s">
        <v>992</v>
      </c>
    </row>
    <row r="200" spans="1:16" x14ac:dyDescent="0.2">
      <c r="A200" t="s">
        <v>1890</v>
      </c>
      <c r="B200" t="s">
        <v>434</v>
      </c>
      <c r="C200" t="s">
        <v>434</v>
      </c>
      <c r="D200" t="s">
        <v>139</v>
      </c>
      <c r="E200" t="s">
        <v>1088</v>
      </c>
      <c r="F200" t="s">
        <v>1298</v>
      </c>
      <c r="G200" t="s">
        <v>1066</v>
      </c>
      <c r="H200" t="s">
        <v>941</v>
      </c>
      <c r="I200" t="s">
        <v>1027</v>
      </c>
      <c r="J200" t="s">
        <v>996</v>
      </c>
      <c r="K200" t="s">
        <v>992</v>
      </c>
      <c r="L200" t="s">
        <v>951</v>
      </c>
      <c r="M200" t="s">
        <v>1086</v>
      </c>
      <c r="N200" t="s">
        <v>1435</v>
      </c>
      <c r="O200" t="s">
        <v>1847</v>
      </c>
      <c r="P200" t="s">
        <v>941</v>
      </c>
    </row>
    <row r="201" spans="1:16" x14ac:dyDescent="0.2">
      <c r="A201" t="s">
        <v>1891</v>
      </c>
      <c r="B201" t="s">
        <v>174</v>
      </c>
      <c r="C201" t="s">
        <v>174</v>
      </c>
      <c r="D201" t="s">
        <v>1087</v>
      </c>
      <c r="E201" t="s">
        <v>985</v>
      </c>
      <c r="F201" t="s">
        <v>83</v>
      </c>
      <c r="G201" t="s">
        <v>972</v>
      </c>
      <c r="H201" t="s">
        <v>1086</v>
      </c>
      <c r="I201" t="s">
        <v>1027</v>
      </c>
      <c r="J201" t="s">
        <v>1520</v>
      </c>
      <c r="K201" t="s">
        <v>941</v>
      </c>
      <c r="L201" t="s">
        <v>951</v>
      </c>
      <c r="M201" t="s">
        <v>1011</v>
      </c>
      <c r="N201" t="s">
        <v>948</v>
      </c>
      <c r="O201" t="s">
        <v>1892</v>
      </c>
      <c r="P201" t="s">
        <v>992</v>
      </c>
    </row>
    <row r="202" spans="1:16" x14ac:dyDescent="0.2">
      <c r="A202" t="s">
        <v>1621</v>
      </c>
      <c r="B202" t="s">
        <v>435</v>
      </c>
      <c r="C202" t="s">
        <v>435</v>
      </c>
      <c r="D202" t="s">
        <v>70</v>
      </c>
      <c r="E202" t="s">
        <v>952</v>
      </c>
      <c r="G202" t="s">
        <v>1144</v>
      </c>
      <c r="H202" t="s">
        <v>931</v>
      </c>
      <c r="I202" t="s">
        <v>1027</v>
      </c>
      <c r="J202" t="s">
        <v>1064</v>
      </c>
      <c r="K202" t="s">
        <v>992</v>
      </c>
      <c r="L202" t="s">
        <v>1009</v>
      </c>
      <c r="M202" t="s">
        <v>951</v>
      </c>
      <c r="N202" t="s">
        <v>1272</v>
      </c>
      <c r="O202" t="s">
        <v>1855</v>
      </c>
      <c r="P202" t="s">
        <v>992</v>
      </c>
    </row>
    <row r="203" spans="1:16" x14ac:dyDescent="0.2">
      <c r="A203" t="s">
        <v>1893</v>
      </c>
      <c r="B203" t="s">
        <v>1384</v>
      </c>
      <c r="C203" t="s">
        <v>1384</v>
      </c>
      <c r="D203" t="s">
        <v>98</v>
      </c>
      <c r="E203" t="s">
        <v>934</v>
      </c>
      <c r="G203" t="s">
        <v>1009</v>
      </c>
      <c r="H203" t="s">
        <v>992</v>
      </c>
      <c r="I203" t="s">
        <v>1027</v>
      </c>
      <c r="J203" t="s">
        <v>1877</v>
      </c>
      <c r="K203" t="s">
        <v>992</v>
      </c>
      <c r="L203" t="s">
        <v>992</v>
      </c>
      <c r="M203" t="s">
        <v>1493</v>
      </c>
      <c r="N203" t="s">
        <v>1495</v>
      </c>
      <c r="O203" t="s">
        <v>1887</v>
      </c>
      <c r="P203" t="s">
        <v>992</v>
      </c>
    </row>
    <row r="204" spans="1:16" x14ac:dyDescent="0.2">
      <c r="A204" t="s">
        <v>1894</v>
      </c>
      <c r="B204" t="s">
        <v>220</v>
      </c>
      <c r="C204" t="s">
        <v>220</v>
      </c>
      <c r="D204" t="s">
        <v>1087</v>
      </c>
      <c r="E204" t="s">
        <v>1010</v>
      </c>
      <c r="F204" t="s">
        <v>935</v>
      </c>
      <c r="G204" t="s">
        <v>1027</v>
      </c>
      <c r="H204" t="s">
        <v>941</v>
      </c>
      <c r="I204" t="s">
        <v>1027</v>
      </c>
      <c r="J204" t="s">
        <v>957</v>
      </c>
      <c r="K204" t="s">
        <v>992</v>
      </c>
      <c r="L204" t="s">
        <v>931</v>
      </c>
      <c r="M204" t="s">
        <v>944</v>
      </c>
      <c r="N204" t="s">
        <v>1252</v>
      </c>
      <c r="O204" t="s">
        <v>1252</v>
      </c>
      <c r="P204" t="s">
        <v>951</v>
      </c>
    </row>
    <row r="205" spans="1:16" x14ac:dyDescent="0.2">
      <c r="A205" t="s">
        <v>1618</v>
      </c>
      <c r="B205" t="s">
        <v>1895</v>
      </c>
      <c r="C205" t="s">
        <v>1895</v>
      </c>
      <c r="D205" t="s">
        <v>729</v>
      </c>
      <c r="E205" t="s">
        <v>952</v>
      </c>
      <c r="F205" t="s">
        <v>83</v>
      </c>
      <c r="G205" t="s">
        <v>1144</v>
      </c>
      <c r="H205" t="s">
        <v>1002</v>
      </c>
      <c r="I205" t="s">
        <v>1027</v>
      </c>
      <c r="J205" t="s">
        <v>1066</v>
      </c>
      <c r="K205" t="s">
        <v>992</v>
      </c>
      <c r="L205" t="s">
        <v>931</v>
      </c>
      <c r="M205" t="s">
        <v>1075</v>
      </c>
      <c r="N205" t="s">
        <v>1813</v>
      </c>
      <c r="O205" t="s">
        <v>1854</v>
      </c>
      <c r="P205" t="s">
        <v>992</v>
      </c>
    </row>
    <row r="206" spans="1:16" x14ac:dyDescent="0.2">
      <c r="A206" t="s">
        <v>1896</v>
      </c>
      <c r="B206" t="s">
        <v>1379</v>
      </c>
      <c r="C206" t="s">
        <v>1379</v>
      </c>
      <c r="D206" t="s">
        <v>729</v>
      </c>
      <c r="E206" t="s">
        <v>1023</v>
      </c>
      <c r="F206" t="s">
        <v>935</v>
      </c>
      <c r="G206" t="s">
        <v>951</v>
      </c>
      <c r="H206" t="s">
        <v>931</v>
      </c>
      <c r="I206" t="s">
        <v>1027</v>
      </c>
      <c r="J206" t="s">
        <v>985</v>
      </c>
      <c r="K206" t="s">
        <v>992</v>
      </c>
      <c r="L206" t="s">
        <v>941</v>
      </c>
      <c r="M206" t="s">
        <v>1075</v>
      </c>
      <c r="N206" t="s">
        <v>1085</v>
      </c>
      <c r="O206" t="s">
        <v>1165</v>
      </c>
      <c r="P206" t="s">
        <v>982</v>
      </c>
    </row>
    <row r="207" spans="1:16" x14ac:dyDescent="0.2">
      <c r="A207" t="s">
        <v>1785</v>
      </c>
      <c r="B207" t="s">
        <v>227</v>
      </c>
      <c r="C207" t="s">
        <v>227</v>
      </c>
      <c r="D207" t="s">
        <v>93</v>
      </c>
      <c r="E207" t="s">
        <v>1010</v>
      </c>
      <c r="F207" t="s">
        <v>935</v>
      </c>
      <c r="G207" t="s">
        <v>951</v>
      </c>
      <c r="H207" t="s">
        <v>931</v>
      </c>
      <c r="I207" t="s">
        <v>1027</v>
      </c>
      <c r="J207" t="s">
        <v>957</v>
      </c>
      <c r="K207" t="s">
        <v>992</v>
      </c>
      <c r="L207" t="s">
        <v>951</v>
      </c>
      <c r="M207" t="s">
        <v>1064</v>
      </c>
      <c r="N207" t="s">
        <v>1252</v>
      </c>
      <c r="O207" t="s">
        <v>1174</v>
      </c>
      <c r="P207" t="s">
        <v>992</v>
      </c>
    </row>
    <row r="208" spans="1:16" x14ac:dyDescent="0.2">
      <c r="A208" t="s">
        <v>1615</v>
      </c>
      <c r="B208" t="s">
        <v>1897</v>
      </c>
      <c r="C208" t="s">
        <v>303</v>
      </c>
      <c r="D208" t="s">
        <v>92</v>
      </c>
      <c r="E208" t="s">
        <v>952</v>
      </c>
      <c r="F208" t="s">
        <v>88</v>
      </c>
      <c r="G208" t="s">
        <v>1144</v>
      </c>
      <c r="H208" t="s">
        <v>1066</v>
      </c>
      <c r="I208" t="s">
        <v>1027</v>
      </c>
      <c r="J208" t="s">
        <v>952</v>
      </c>
      <c r="K208" t="s">
        <v>931</v>
      </c>
      <c r="L208" t="s">
        <v>931</v>
      </c>
      <c r="M208" t="s">
        <v>1064</v>
      </c>
      <c r="N208" t="s">
        <v>1293</v>
      </c>
      <c r="O208" t="s">
        <v>1849</v>
      </c>
      <c r="P208" t="s">
        <v>931</v>
      </c>
    </row>
    <row r="209" spans="1:16" x14ac:dyDescent="0.2">
      <c r="A209" t="s">
        <v>1239</v>
      </c>
      <c r="B209" t="s">
        <v>177</v>
      </c>
      <c r="C209" t="s">
        <v>177</v>
      </c>
      <c r="D209" t="s">
        <v>71</v>
      </c>
      <c r="E209" t="s">
        <v>1134</v>
      </c>
      <c r="F209" t="s">
        <v>935</v>
      </c>
      <c r="G209" t="s">
        <v>1009</v>
      </c>
      <c r="H209" t="s">
        <v>982</v>
      </c>
      <c r="I209" t="s">
        <v>1027</v>
      </c>
      <c r="J209" t="s">
        <v>985</v>
      </c>
      <c r="K209" t="s">
        <v>992</v>
      </c>
      <c r="L209" t="s">
        <v>951</v>
      </c>
      <c r="M209" t="s">
        <v>1064</v>
      </c>
      <c r="N209" t="s">
        <v>1085</v>
      </c>
      <c r="O209" t="s">
        <v>1418</v>
      </c>
      <c r="P209" t="s">
        <v>931</v>
      </c>
    </row>
    <row r="210" spans="1:16" x14ac:dyDescent="0.2">
      <c r="A210" t="s">
        <v>1898</v>
      </c>
      <c r="B210" t="s">
        <v>204</v>
      </c>
      <c r="C210" t="s">
        <v>204</v>
      </c>
      <c r="D210" t="s">
        <v>1052</v>
      </c>
      <c r="E210" t="s">
        <v>966</v>
      </c>
      <c r="F210" t="s">
        <v>935</v>
      </c>
      <c r="G210" t="s">
        <v>1009</v>
      </c>
      <c r="H210" t="s">
        <v>1009</v>
      </c>
      <c r="I210" t="s">
        <v>1027</v>
      </c>
      <c r="J210" t="s">
        <v>944</v>
      </c>
      <c r="K210" t="s">
        <v>992</v>
      </c>
      <c r="L210" t="s">
        <v>941</v>
      </c>
      <c r="M210" t="s">
        <v>982</v>
      </c>
      <c r="N210" t="s">
        <v>1143</v>
      </c>
      <c r="O210" t="s">
        <v>1277</v>
      </c>
      <c r="P210" t="s">
        <v>941</v>
      </c>
    </row>
    <row r="211" spans="1:16" x14ac:dyDescent="0.2">
      <c r="A211" t="s">
        <v>1780</v>
      </c>
      <c r="B211" t="s">
        <v>1899</v>
      </c>
      <c r="C211" t="s">
        <v>1899</v>
      </c>
      <c r="D211" t="s">
        <v>107</v>
      </c>
      <c r="E211" t="s">
        <v>985</v>
      </c>
      <c r="G211" t="s">
        <v>1039</v>
      </c>
      <c r="H211" t="s">
        <v>992</v>
      </c>
      <c r="I211" t="s">
        <v>1027</v>
      </c>
      <c r="J211" t="s">
        <v>1488</v>
      </c>
      <c r="K211" t="s">
        <v>992</v>
      </c>
      <c r="L211" t="s">
        <v>951</v>
      </c>
      <c r="M211" t="s">
        <v>1016</v>
      </c>
      <c r="N211" t="s">
        <v>947</v>
      </c>
      <c r="O211" t="s">
        <v>1033</v>
      </c>
      <c r="P211" t="s">
        <v>992</v>
      </c>
    </row>
    <row r="212" spans="1:16" x14ac:dyDescent="0.2">
      <c r="A212" t="s">
        <v>1900</v>
      </c>
      <c r="B212" t="s">
        <v>286</v>
      </c>
      <c r="C212" t="s">
        <v>286</v>
      </c>
      <c r="D212" t="s">
        <v>1257</v>
      </c>
      <c r="E212" t="s">
        <v>1028</v>
      </c>
      <c r="F212" t="s">
        <v>1298</v>
      </c>
      <c r="G212" t="s">
        <v>1064</v>
      </c>
      <c r="H212" t="s">
        <v>941</v>
      </c>
      <c r="I212" t="s">
        <v>1027</v>
      </c>
      <c r="J212" t="s">
        <v>1053</v>
      </c>
      <c r="K212" t="s">
        <v>992</v>
      </c>
      <c r="L212" t="s">
        <v>941</v>
      </c>
      <c r="M212" t="s">
        <v>1028</v>
      </c>
      <c r="N212" t="s">
        <v>1137</v>
      </c>
      <c r="O212" t="s">
        <v>1148</v>
      </c>
      <c r="P212" t="s">
        <v>951</v>
      </c>
    </row>
    <row r="213" spans="1:16" x14ac:dyDescent="0.2">
      <c r="A213" t="s">
        <v>1232</v>
      </c>
      <c r="B213" t="s">
        <v>1901</v>
      </c>
      <c r="C213" t="s">
        <v>1901</v>
      </c>
      <c r="D213" t="s">
        <v>92</v>
      </c>
      <c r="E213" t="s">
        <v>1010</v>
      </c>
      <c r="G213" t="s">
        <v>1066</v>
      </c>
      <c r="H213" t="s">
        <v>992</v>
      </c>
      <c r="I213" t="s">
        <v>1027</v>
      </c>
      <c r="J213" t="s">
        <v>1002</v>
      </c>
      <c r="K213" t="s">
        <v>992</v>
      </c>
      <c r="L213" t="s">
        <v>982</v>
      </c>
      <c r="M213" t="s">
        <v>1009</v>
      </c>
      <c r="N213" t="s">
        <v>1133</v>
      </c>
      <c r="O213" t="s">
        <v>1821</v>
      </c>
      <c r="P213" t="s">
        <v>992</v>
      </c>
    </row>
    <row r="214" spans="1:16" x14ac:dyDescent="0.2">
      <c r="A214" t="s">
        <v>1902</v>
      </c>
      <c r="B214" t="s">
        <v>1903</v>
      </c>
      <c r="C214" t="s">
        <v>1903</v>
      </c>
      <c r="D214" t="s">
        <v>727</v>
      </c>
      <c r="E214" t="s">
        <v>1023</v>
      </c>
      <c r="G214" t="s">
        <v>1009</v>
      </c>
      <c r="H214" t="s">
        <v>992</v>
      </c>
      <c r="I214" t="s">
        <v>1027</v>
      </c>
      <c r="J214" t="s">
        <v>937</v>
      </c>
      <c r="K214" t="s">
        <v>931</v>
      </c>
      <c r="L214" t="s">
        <v>941</v>
      </c>
      <c r="M214" t="s">
        <v>1028</v>
      </c>
      <c r="N214" t="s">
        <v>1148</v>
      </c>
      <c r="O214" t="s">
        <v>1192</v>
      </c>
      <c r="P214" t="s">
        <v>992</v>
      </c>
    </row>
    <row r="215" spans="1:16" x14ac:dyDescent="0.2">
      <c r="A215" t="s">
        <v>1904</v>
      </c>
      <c r="B215" t="s">
        <v>1905</v>
      </c>
      <c r="C215" t="s">
        <v>1905</v>
      </c>
      <c r="D215" t="s">
        <v>933</v>
      </c>
      <c r="E215" t="s">
        <v>1123</v>
      </c>
      <c r="G215" t="s">
        <v>982</v>
      </c>
      <c r="H215" t="s">
        <v>992</v>
      </c>
      <c r="I215" t="s">
        <v>1027</v>
      </c>
      <c r="J215" t="s">
        <v>1066</v>
      </c>
      <c r="K215" t="s">
        <v>992</v>
      </c>
      <c r="L215" t="s">
        <v>931</v>
      </c>
      <c r="M215" t="s">
        <v>1086</v>
      </c>
      <c r="N215" t="s">
        <v>1813</v>
      </c>
      <c r="O215" t="s">
        <v>1468</v>
      </c>
      <c r="P215" t="s">
        <v>992</v>
      </c>
    </row>
    <row r="216" spans="1:16" x14ac:dyDescent="0.2">
      <c r="A216" t="s">
        <v>1906</v>
      </c>
      <c r="B216" t="s">
        <v>1907</v>
      </c>
      <c r="C216" t="s">
        <v>1907</v>
      </c>
      <c r="D216" t="s">
        <v>108</v>
      </c>
      <c r="E216" t="s">
        <v>952</v>
      </c>
      <c r="G216" t="s">
        <v>931</v>
      </c>
      <c r="H216" t="s">
        <v>992</v>
      </c>
      <c r="I216" t="s">
        <v>1027</v>
      </c>
      <c r="J216" t="s">
        <v>966</v>
      </c>
      <c r="K216" t="s">
        <v>992</v>
      </c>
      <c r="L216" t="s">
        <v>931</v>
      </c>
      <c r="M216" t="s">
        <v>972</v>
      </c>
      <c r="N216" t="s">
        <v>963</v>
      </c>
      <c r="O216" t="s">
        <v>1563</v>
      </c>
      <c r="P216" t="s">
        <v>992</v>
      </c>
    </row>
    <row r="217" spans="1:16" x14ac:dyDescent="0.2">
      <c r="A217" t="s">
        <v>902</v>
      </c>
      <c r="B217" t="s">
        <v>903</v>
      </c>
      <c r="C217" t="s">
        <v>903</v>
      </c>
      <c r="D217" t="s">
        <v>1314</v>
      </c>
      <c r="E217" t="s">
        <v>905</v>
      </c>
      <c r="F217" t="s">
        <v>906</v>
      </c>
      <c r="G217" t="s">
        <v>1315</v>
      </c>
      <c r="H217" t="s">
        <v>1316</v>
      </c>
      <c r="I217" t="s">
        <v>1319</v>
      </c>
      <c r="J217" t="s">
        <v>799</v>
      </c>
      <c r="K217" t="s">
        <v>800</v>
      </c>
      <c r="L217" t="s">
        <v>1321</v>
      </c>
      <c r="M217" t="s">
        <v>917</v>
      </c>
      <c r="N217" t="s">
        <v>1322</v>
      </c>
      <c r="O217" t="s">
        <v>1325</v>
      </c>
      <c r="P217" t="s">
        <v>1416</v>
      </c>
    </row>
    <row r="218" spans="1:16" x14ac:dyDescent="0.2">
      <c r="A218" t="s">
        <v>1908</v>
      </c>
      <c r="B218" t="s">
        <v>260</v>
      </c>
      <c r="C218" t="s">
        <v>260</v>
      </c>
      <c r="D218" t="s">
        <v>92</v>
      </c>
      <c r="E218" t="s">
        <v>1010</v>
      </c>
      <c r="F218" t="s">
        <v>83</v>
      </c>
      <c r="G218" t="s">
        <v>972</v>
      </c>
      <c r="H218" t="s">
        <v>972</v>
      </c>
      <c r="I218" t="s">
        <v>1027</v>
      </c>
      <c r="J218" t="s">
        <v>998</v>
      </c>
      <c r="K218" t="s">
        <v>931</v>
      </c>
      <c r="L218" t="s">
        <v>941</v>
      </c>
      <c r="M218" t="s">
        <v>1028</v>
      </c>
      <c r="N218" t="s">
        <v>1839</v>
      </c>
      <c r="O218" t="s">
        <v>1001</v>
      </c>
      <c r="P218" t="s">
        <v>992</v>
      </c>
    </row>
    <row r="219" spans="1:16" x14ac:dyDescent="0.2">
      <c r="A219" t="s">
        <v>1909</v>
      </c>
      <c r="B219" t="s">
        <v>149</v>
      </c>
      <c r="C219" t="s">
        <v>149</v>
      </c>
      <c r="D219" t="s">
        <v>118</v>
      </c>
      <c r="E219" t="s">
        <v>966</v>
      </c>
      <c r="F219" t="s">
        <v>935</v>
      </c>
      <c r="G219" t="s">
        <v>941</v>
      </c>
      <c r="H219" t="s">
        <v>931</v>
      </c>
      <c r="I219" t="s">
        <v>1027</v>
      </c>
      <c r="J219" t="s">
        <v>1039</v>
      </c>
      <c r="K219" t="s">
        <v>992</v>
      </c>
      <c r="L219" t="s">
        <v>931</v>
      </c>
      <c r="M219" t="s">
        <v>982</v>
      </c>
      <c r="N219" t="s">
        <v>1883</v>
      </c>
      <c r="O219" t="s">
        <v>1468</v>
      </c>
      <c r="P219" t="s">
        <v>992</v>
      </c>
    </row>
    <row r="220" spans="1:16" x14ac:dyDescent="0.2">
      <c r="A220" t="s">
        <v>1224</v>
      </c>
      <c r="B220" t="s">
        <v>1381</v>
      </c>
      <c r="C220" t="s">
        <v>1381</v>
      </c>
      <c r="D220" t="s">
        <v>730</v>
      </c>
      <c r="E220" t="s">
        <v>1088</v>
      </c>
      <c r="F220" t="s">
        <v>935</v>
      </c>
      <c r="G220" t="s">
        <v>931</v>
      </c>
      <c r="H220" t="s">
        <v>931</v>
      </c>
      <c r="I220" t="s">
        <v>1027</v>
      </c>
      <c r="J220" t="s">
        <v>938</v>
      </c>
      <c r="K220" t="s">
        <v>992</v>
      </c>
      <c r="L220" t="s">
        <v>982</v>
      </c>
      <c r="M220" t="s">
        <v>1066</v>
      </c>
      <c r="N220" t="s">
        <v>1174</v>
      </c>
      <c r="O220" t="s">
        <v>1438</v>
      </c>
      <c r="P220" t="s">
        <v>992</v>
      </c>
    </row>
    <row r="221" spans="1:16" x14ac:dyDescent="0.2">
      <c r="A221" t="s">
        <v>1910</v>
      </c>
      <c r="B221" t="s">
        <v>241</v>
      </c>
      <c r="C221" t="s">
        <v>241</v>
      </c>
      <c r="D221" t="s">
        <v>74</v>
      </c>
      <c r="E221" t="s">
        <v>952</v>
      </c>
      <c r="F221" t="s">
        <v>1298</v>
      </c>
      <c r="G221" t="s">
        <v>1002</v>
      </c>
      <c r="H221" t="s">
        <v>1051</v>
      </c>
      <c r="I221" t="s">
        <v>1009</v>
      </c>
      <c r="J221" t="s">
        <v>998</v>
      </c>
      <c r="K221" t="s">
        <v>992</v>
      </c>
      <c r="L221" t="s">
        <v>941</v>
      </c>
      <c r="M221" t="s">
        <v>1088</v>
      </c>
      <c r="N221" t="s">
        <v>1003</v>
      </c>
      <c r="O221" t="s">
        <v>1216</v>
      </c>
      <c r="P221" t="s">
        <v>931</v>
      </c>
    </row>
    <row r="222" spans="1:16" x14ac:dyDescent="0.2">
      <c r="A222" t="s">
        <v>1911</v>
      </c>
      <c r="B222" t="s">
        <v>447</v>
      </c>
      <c r="C222" t="s">
        <v>447</v>
      </c>
      <c r="D222" t="s">
        <v>74</v>
      </c>
      <c r="E222" t="s">
        <v>957</v>
      </c>
      <c r="F222" t="s">
        <v>1298</v>
      </c>
      <c r="G222" t="s">
        <v>1144</v>
      </c>
      <c r="H222" t="s">
        <v>941</v>
      </c>
      <c r="I222" t="s">
        <v>1009</v>
      </c>
      <c r="J222" t="s">
        <v>1039</v>
      </c>
      <c r="K222" t="s">
        <v>992</v>
      </c>
      <c r="L222" t="s">
        <v>992</v>
      </c>
      <c r="M222" t="s">
        <v>1039</v>
      </c>
      <c r="N222" t="s">
        <v>1875</v>
      </c>
      <c r="O222" t="s">
        <v>1796</v>
      </c>
      <c r="P222" t="s">
        <v>941</v>
      </c>
    </row>
    <row r="223" spans="1:16" x14ac:dyDescent="0.2">
      <c r="A223" t="s">
        <v>1610</v>
      </c>
      <c r="B223" t="s">
        <v>500</v>
      </c>
      <c r="C223" t="s">
        <v>500</v>
      </c>
      <c r="D223" t="s">
        <v>73</v>
      </c>
      <c r="E223" t="s">
        <v>1010</v>
      </c>
      <c r="F223" t="s">
        <v>1824</v>
      </c>
      <c r="G223" t="s">
        <v>1002</v>
      </c>
      <c r="H223" t="s">
        <v>1086</v>
      </c>
      <c r="I223" t="s">
        <v>1009</v>
      </c>
      <c r="J223" t="s">
        <v>1162</v>
      </c>
      <c r="K223" t="s">
        <v>992</v>
      </c>
      <c r="L223" t="s">
        <v>941</v>
      </c>
      <c r="M223" t="s">
        <v>1075</v>
      </c>
      <c r="N223" t="s">
        <v>942</v>
      </c>
      <c r="O223" t="s">
        <v>1883</v>
      </c>
      <c r="P223" t="s">
        <v>992</v>
      </c>
    </row>
    <row r="224" spans="1:16" x14ac:dyDescent="0.2">
      <c r="A224" t="s">
        <v>1912</v>
      </c>
      <c r="B224" t="s">
        <v>236</v>
      </c>
      <c r="C224" t="s">
        <v>236</v>
      </c>
      <c r="D224" t="s">
        <v>74</v>
      </c>
      <c r="E224" t="s">
        <v>965</v>
      </c>
      <c r="F224" t="s">
        <v>83</v>
      </c>
      <c r="G224" t="s">
        <v>1144</v>
      </c>
      <c r="H224" t="s">
        <v>1066</v>
      </c>
      <c r="I224" t="s">
        <v>1009</v>
      </c>
      <c r="J224" t="s">
        <v>957</v>
      </c>
      <c r="K224" t="s">
        <v>992</v>
      </c>
      <c r="L224" t="s">
        <v>931</v>
      </c>
      <c r="M224" t="s">
        <v>1048</v>
      </c>
      <c r="N224" t="s">
        <v>1153</v>
      </c>
      <c r="O224" t="s">
        <v>943</v>
      </c>
      <c r="P224" t="s">
        <v>931</v>
      </c>
    </row>
    <row r="225" spans="1:16" x14ac:dyDescent="0.2">
      <c r="A225" t="s">
        <v>1791</v>
      </c>
      <c r="B225" t="s">
        <v>470</v>
      </c>
      <c r="C225" t="s">
        <v>470</v>
      </c>
      <c r="D225" t="s">
        <v>102</v>
      </c>
      <c r="E225" t="s">
        <v>985</v>
      </c>
      <c r="G225" t="s">
        <v>1009</v>
      </c>
      <c r="H225" t="s">
        <v>992</v>
      </c>
      <c r="I225" t="s">
        <v>1009</v>
      </c>
      <c r="J225" t="s">
        <v>1016</v>
      </c>
      <c r="K225" t="s">
        <v>992</v>
      </c>
      <c r="L225" t="s">
        <v>931</v>
      </c>
      <c r="M225" t="s">
        <v>1075</v>
      </c>
      <c r="N225" t="s">
        <v>1099</v>
      </c>
      <c r="O225" t="s">
        <v>1099</v>
      </c>
      <c r="P225" t="s">
        <v>992</v>
      </c>
    </row>
    <row r="226" spans="1:16" x14ac:dyDescent="0.2">
      <c r="A226" t="s">
        <v>1913</v>
      </c>
      <c r="B226" t="s">
        <v>1387</v>
      </c>
      <c r="C226" t="s">
        <v>1387</v>
      </c>
      <c r="D226" t="s">
        <v>725</v>
      </c>
      <c r="E226" t="s">
        <v>1088</v>
      </c>
      <c r="G226" t="s">
        <v>941</v>
      </c>
      <c r="H226" t="s">
        <v>992</v>
      </c>
      <c r="I226" t="s">
        <v>1009</v>
      </c>
      <c r="J226" t="s">
        <v>944</v>
      </c>
      <c r="K226" t="s">
        <v>992</v>
      </c>
      <c r="L226" t="s">
        <v>941</v>
      </c>
      <c r="M226" t="s">
        <v>1064</v>
      </c>
      <c r="N226" t="s">
        <v>1277</v>
      </c>
      <c r="O226" t="s">
        <v>1137</v>
      </c>
      <c r="P226" t="s">
        <v>992</v>
      </c>
    </row>
    <row r="227" spans="1:16" x14ac:dyDescent="0.2">
      <c r="A227" t="s">
        <v>1914</v>
      </c>
      <c r="B227" t="s">
        <v>1915</v>
      </c>
      <c r="C227" t="s">
        <v>1915</v>
      </c>
      <c r="D227" t="s">
        <v>1122</v>
      </c>
      <c r="E227" t="s">
        <v>1023</v>
      </c>
      <c r="F227" t="s">
        <v>1298</v>
      </c>
      <c r="G227" t="s">
        <v>1048</v>
      </c>
      <c r="H227" t="s">
        <v>941</v>
      </c>
      <c r="I227" t="s">
        <v>1009</v>
      </c>
      <c r="J227" t="s">
        <v>1028</v>
      </c>
      <c r="K227" t="s">
        <v>992</v>
      </c>
      <c r="L227" t="s">
        <v>931</v>
      </c>
      <c r="M227" t="s">
        <v>972</v>
      </c>
      <c r="N227" t="s">
        <v>1612</v>
      </c>
      <c r="O227" t="s">
        <v>943</v>
      </c>
      <c r="P227" t="s">
        <v>931</v>
      </c>
    </row>
    <row r="228" spans="1:16" x14ac:dyDescent="0.2">
      <c r="A228" t="s">
        <v>1916</v>
      </c>
      <c r="B228" t="s">
        <v>438</v>
      </c>
      <c r="C228" t="s">
        <v>438</v>
      </c>
      <c r="D228" t="s">
        <v>118</v>
      </c>
      <c r="E228" t="s">
        <v>985</v>
      </c>
      <c r="G228" t="s">
        <v>1086</v>
      </c>
      <c r="H228" t="s">
        <v>992</v>
      </c>
      <c r="I228" t="s">
        <v>1009</v>
      </c>
      <c r="J228" t="s">
        <v>1123</v>
      </c>
      <c r="K228" t="s">
        <v>931</v>
      </c>
      <c r="L228" t="s">
        <v>931</v>
      </c>
      <c r="M228" t="s">
        <v>1051</v>
      </c>
      <c r="N228" t="s">
        <v>1008</v>
      </c>
      <c r="O228" t="s">
        <v>1127</v>
      </c>
      <c r="P228" t="s">
        <v>992</v>
      </c>
    </row>
    <row r="229" spans="1:16" x14ac:dyDescent="0.2">
      <c r="A229" t="s">
        <v>1917</v>
      </c>
      <c r="B229" t="s">
        <v>100</v>
      </c>
      <c r="C229" t="s">
        <v>100</v>
      </c>
      <c r="D229" t="s">
        <v>101</v>
      </c>
      <c r="E229" t="s">
        <v>952</v>
      </c>
      <c r="F229" t="s">
        <v>83</v>
      </c>
      <c r="G229" t="s">
        <v>1002</v>
      </c>
      <c r="H229" t="s">
        <v>1002</v>
      </c>
      <c r="I229" t="s">
        <v>1009</v>
      </c>
      <c r="J229" t="s">
        <v>931</v>
      </c>
      <c r="K229" t="s">
        <v>992</v>
      </c>
      <c r="L229" t="s">
        <v>931</v>
      </c>
      <c r="M229" t="s">
        <v>1051</v>
      </c>
      <c r="N229" t="s">
        <v>1795</v>
      </c>
      <c r="O229" t="s">
        <v>1825</v>
      </c>
      <c r="P229" t="s">
        <v>931</v>
      </c>
    </row>
    <row r="230" spans="1:16" x14ac:dyDescent="0.2">
      <c r="A230" t="s">
        <v>1918</v>
      </c>
      <c r="B230" t="s">
        <v>233</v>
      </c>
      <c r="C230" t="s">
        <v>233</v>
      </c>
      <c r="D230" t="s">
        <v>93</v>
      </c>
      <c r="E230" t="s">
        <v>1023</v>
      </c>
      <c r="F230" t="s">
        <v>935</v>
      </c>
      <c r="G230" t="s">
        <v>951</v>
      </c>
      <c r="H230" t="s">
        <v>931</v>
      </c>
      <c r="I230" t="s">
        <v>1009</v>
      </c>
      <c r="J230" t="s">
        <v>1499</v>
      </c>
      <c r="K230" t="s">
        <v>992</v>
      </c>
      <c r="L230" t="s">
        <v>992</v>
      </c>
      <c r="M230" t="s">
        <v>1493</v>
      </c>
      <c r="N230" t="s">
        <v>1495</v>
      </c>
      <c r="O230" t="s">
        <v>1919</v>
      </c>
      <c r="P230" t="s">
        <v>931</v>
      </c>
    </row>
    <row r="231" spans="1:16" x14ac:dyDescent="0.2">
      <c r="A231" t="s">
        <v>1920</v>
      </c>
      <c r="B231" t="s">
        <v>899</v>
      </c>
      <c r="C231" t="s">
        <v>899</v>
      </c>
      <c r="D231" t="s">
        <v>70</v>
      </c>
      <c r="E231" t="s">
        <v>1088</v>
      </c>
      <c r="F231" t="s">
        <v>935</v>
      </c>
      <c r="G231" t="s">
        <v>982</v>
      </c>
      <c r="H231" t="s">
        <v>931</v>
      </c>
      <c r="I231" t="s">
        <v>1009</v>
      </c>
      <c r="J231" t="s">
        <v>1547</v>
      </c>
      <c r="K231" t="s">
        <v>992</v>
      </c>
      <c r="L231" t="s">
        <v>992</v>
      </c>
      <c r="M231" t="s">
        <v>941</v>
      </c>
      <c r="N231" t="s">
        <v>1819</v>
      </c>
      <c r="O231" t="s">
        <v>1820</v>
      </c>
      <c r="P231" t="s">
        <v>931</v>
      </c>
    </row>
    <row r="232" spans="1:16" x14ac:dyDescent="0.2">
      <c r="A232" t="s">
        <v>1921</v>
      </c>
      <c r="B232" t="s">
        <v>196</v>
      </c>
      <c r="C232" t="s">
        <v>196</v>
      </c>
      <c r="D232" t="s">
        <v>70</v>
      </c>
      <c r="E232" t="s">
        <v>1010</v>
      </c>
      <c r="F232" t="s">
        <v>83</v>
      </c>
      <c r="G232" t="s">
        <v>1144</v>
      </c>
      <c r="H232" t="s">
        <v>1144</v>
      </c>
      <c r="I232" t="s">
        <v>982</v>
      </c>
      <c r="J232" t="s">
        <v>1002</v>
      </c>
      <c r="K232" t="s">
        <v>992</v>
      </c>
      <c r="L232" t="s">
        <v>931</v>
      </c>
      <c r="M232" t="s">
        <v>1086</v>
      </c>
      <c r="N232" t="s">
        <v>1099</v>
      </c>
      <c r="O232" t="s">
        <v>1854</v>
      </c>
      <c r="P232" t="s">
        <v>931</v>
      </c>
    </row>
    <row r="233" spans="1:16" x14ac:dyDescent="0.2">
      <c r="A233" t="s">
        <v>1769</v>
      </c>
      <c r="B233" t="s">
        <v>365</v>
      </c>
      <c r="C233" t="s">
        <v>365</v>
      </c>
      <c r="D233" t="s">
        <v>77</v>
      </c>
      <c r="E233" t="s">
        <v>1088</v>
      </c>
      <c r="F233" t="s">
        <v>1298</v>
      </c>
      <c r="G233" t="s">
        <v>972</v>
      </c>
      <c r="H233" t="s">
        <v>931</v>
      </c>
      <c r="I233" t="s">
        <v>982</v>
      </c>
      <c r="J233" t="s">
        <v>1032</v>
      </c>
      <c r="K233" t="s">
        <v>992</v>
      </c>
      <c r="L233" t="s">
        <v>941</v>
      </c>
      <c r="M233" t="s">
        <v>1086</v>
      </c>
      <c r="N233" t="s">
        <v>1026</v>
      </c>
      <c r="O233" t="s">
        <v>964</v>
      </c>
      <c r="P233" t="s">
        <v>931</v>
      </c>
    </row>
    <row r="234" spans="1:16" x14ac:dyDescent="0.2">
      <c r="A234" t="s">
        <v>1922</v>
      </c>
      <c r="B234" t="s">
        <v>563</v>
      </c>
      <c r="C234" t="s">
        <v>563</v>
      </c>
      <c r="D234" t="s">
        <v>93</v>
      </c>
      <c r="E234" t="s">
        <v>1023</v>
      </c>
      <c r="G234" t="s">
        <v>1009</v>
      </c>
      <c r="H234" t="s">
        <v>992</v>
      </c>
      <c r="I234" t="s">
        <v>982</v>
      </c>
      <c r="J234" t="s">
        <v>1086</v>
      </c>
      <c r="K234" t="s">
        <v>992</v>
      </c>
      <c r="L234" t="s">
        <v>992</v>
      </c>
      <c r="M234" t="s">
        <v>1051</v>
      </c>
      <c r="N234" t="s">
        <v>1143</v>
      </c>
      <c r="O234" t="s">
        <v>1292</v>
      </c>
      <c r="P234" t="s">
        <v>992</v>
      </c>
    </row>
    <row r="235" spans="1:16" x14ac:dyDescent="0.2">
      <c r="A235" t="s">
        <v>1923</v>
      </c>
      <c r="B235" t="s">
        <v>1924</v>
      </c>
      <c r="C235" t="s">
        <v>1924</v>
      </c>
      <c r="D235" t="s">
        <v>725</v>
      </c>
      <c r="E235" t="s">
        <v>1028</v>
      </c>
      <c r="F235" t="s">
        <v>1298</v>
      </c>
      <c r="G235" t="s">
        <v>1144</v>
      </c>
      <c r="H235" t="s">
        <v>951</v>
      </c>
      <c r="I235" t="s">
        <v>982</v>
      </c>
      <c r="J235" t="s">
        <v>1445</v>
      </c>
      <c r="K235" t="s">
        <v>992</v>
      </c>
      <c r="L235" t="s">
        <v>951</v>
      </c>
      <c r="M235" t="s">
        <v>959</v>
      </c>
      <c r="N235" t="s">
        <v>1925</v>
      </c>
      <c r="O235" t="s">
        <v>1418</v>
      </c>
      <c r="P235" t="s">
        <v>992</v>
      </c>
    </row>
    <row r="236" spans="1:16" x14ac:dyDescent="0.2">
      <c r="A236" t="s">
        <v>1926</v>
      </c>
      <c r="B236" t="s">
        <v>275</v>
      </c>
      <c r="C236" t="s">
        <v>275</v>
      </c>
      <c r="D236" t="s">
        <v>1040</v>
      </c>
      <c r="E236" t="s">
        <v>985</v>
      </c>
      <c r="F236" t="s">
        <v>1298</v>
      </c>
      <c r="G236" t="s">
        <v>1144</v>
      </c>
      <c r="H236" t="s">
        <v>1051</v>
      </c>
      <c r="I236" t="s">
        <v>982</v>
      </c>
      <c r="J236" t="s">
        <v>966</v>
      </c>
      <c r="K236" t="s">
        <v>992</v>
      </c>
      <c r="L236" t="s">
        <v>941</v>
      </c>
      <c r="M236" t="s">
        <v>1032</v>
      </c>
      <c r="N236" t="s">
        <v>946</v>
      </c>
      <c r="O236" t="s">
        <v>1063</v>
      </c>
      <c r="P236" t="s">
        <v>941</v>
      </c>
    </row>
    <row r="237" spans="1:16" x14ac:dyDescent="0.2">
      <c r="A237" t="s">
        <v>1927</v>
      </c>
      <c r="B237" t="s">
        <v>1928</v>
      </c>
      <c r="C237" t="s">
        <v>1928</v>
      </c>
      <c r="D237" t="s">
        <v>730</v>
      </c>
      <c r="E237" t="s">
        <v>1010</v>
      </c>
      <c r="F237" t="s">
        <v>83</v>
      </c>
      <c r="G237" t="s">
        <v>1002</v>
      </c>
      <c r="H237" t="s">
        <v>972</v>
      </c>
      <c r="I237" t="s">
        <v>982</v>
      </c>
      <c r="J237" t="s">
        <v>996</v>
      </c>
      <c r="K237" t="s">
        <v>992</v>
      </c>
      <c r="L237" t="s">
        <v>951</v>
      </c>
      <c r="M237" t="s">
        <v>1144</v>
      </c>
      <c r="N237" t="s">
        <v>1042</v>
      </c>
      <c r="O237" t="s">
        <v>1292</v>
      </c>
      <c r="P237" t="s">
        <v>931</v>
      </c>
    </row>
    <row r="238" spans="1:16" x14ac:dyDescent="0.2">
      <c r="A238" t="s">
        <v>1929</v>
      </c>
      <c r="B238" t="s">
        <v>178</v>
      </c>
      <c r="C238" t="s">
        <v>178</v>
      </c>
      <c r="D238" t="s">
        <v>82</v>
      </c>
      <c r="E238" t="s">
        <v>957</v>
      </c>
      <c r="F238" t="s">
        <v>83</v>
      </c>
      <c r="G238" t="s">
        <v>1002</v>
      </c>
      <c r="H238" t="s">
        <v>1066</v>
      </c>
      <c r="I238" t="s">
        <v>982</v>
      </c>
      <c r="J238" t="s">
        <v>1075</v>
      </c>
      <c r="K238" t="s">
        <v>931</v>
      </c>
      <c r="L238" t="s">
        <v>941</v>
      </c>
      <c r="M238" t="s">
        <v>1009</v>
      </c>
      <c r="N238" t="s">
        <v>1133</v>
      </c>
      <c r="O238" t="s">
        <v>1519</v>
      </c>
      <c r="P238" t="s">
        <v>941</v>
      </c>
    </row>
    <row r="239" spans="1:16" x14ac:dyDescent="0.2">
      <c r="A239" t="s">
        <v>1930</v>
      </c>
      <c r="B239" t="s">
        <v>352</v>
      </c>
      <c r="C239" t="s">
        <v>352</v>
      </c>
      <c r="D239" t="s">
        <v>107</v>
      </c>
      <c r="E239" t="s">
        <v>1023</v>
      </c>
      <c r="F239" t="s">
        <v>1392</v>
      </c>
      <c r="G239" t="s">
        <v>931</v>
      </c>
      <c r="H239" t="s">
        <v>931</v>
      </c>
      <c r="I239" t="s">
        <v>982</v>
      </c>
      <c r="J239" t="s">
        <v>952</v>
      </c>
      <c r="K239" t="s">
        <v>992</v>
      </c>
      <c r="L239" t="s">
        <v>941</v>
      </c>
      <c r="M239" t="s">
        <v>1162</v>
      </c>
      <c r="N239" t="s">
        <v>1057</v>
      </c>
      <c r="O239" t="s">
        <v>1470</v>
      </c>
      <c r="P239" t="s">
        <v>992</v>
      </c>
    </row>
    <row r="240" spans="1:16" x14ac:dyDescent="0.2">
      <c r="A240" t="s">
        <v>1607</v>
      </c>
      <c r="B240" t="s">
        <v>1931</v>
      </c>
      <c r="C240" t="s">
        <v>1931</v>
      </c>
      <c r="D240" t="s">
        <v>99</v>
      </c>
      <c r="E240" t="s">
        <v>1023</v>
      </c>
      <c r="F240" t="s">
        <v>1298</v>
      </c>
      <c r="G240" t="s">
        <v>1144</v>
      </c>
      <c r="H240" t="s">
        <v>941</v>
      </c>
      <c r="I240" t="s">
        <v>982</v>
      </c>
      <c r="J240" t="s">
        <v>1483</v>
      </c>
      <c r="K240" t="s">
        <v>992</v>
      </c>
      <c r="L240" t="s">
        <v>931</v>
      </c>
      <c r="M240" t="s">
        <v>960</v>
      </c>
      <c r="N240" t="s">
        <v>1932</v>
      </c>
      <c r="O240" t="s">
        <v>1001</v>
      </c>
      <c r="P240" t="s">
        <v>941</v>
      </c>
    </row>
    <row r="241" spans="1:16" x14ac:dyDescent="0.2">
      <c r="A241" t="s">
        <v>1933</v>
      </c>
      <c r="B241" t="s">
        <v>1934</v>
      </c>
      <c r="C241" t="s">
        <v>1934</v>
      </c>
      <c r="D241" t="s">
        <v>727</v>
      </c>
      <c r="E241" t="s">
        <v>1028</v>
      </c>
      <c r="F241" t="s">
        <v>1298</v>
      </c>
      <c r="G241" t="s">
        <v>1144</v>
      </c>
      <c r="H241" t="s">
        <v>1064</v>
      </c>
      <c r="I241" t="s">
        <v>982</v>
      </c>
      <c r="J241" t="s">
        <v>1032</v>
      </c>
      <c r="K241" t="s">
        <v>992</v>
      </c>
      <c r="L241" t="s">
        <v>931</v>
      </c>
      <c r="M241" t="s">
        <v>1144</v>
      </c>
      <c r="N241" t="s">
        <v>1026</v>
      </c>
      <c r="O241" t="s">
        <v>1510</v>
      </c>
      <c r="P241" t="s">
        <v>931</v>
      </c>
    </row>
    <row r="242" spans="1:16" x14ac:dyDescent="0.2">
      <c r="A242" t="s">
        <v>1770</v>
      </c>
      <c r="B242" t="s">
        <v>271</v>
      </c>
      <c r="C242" t="s">
        <v>271</v>
      </c>
      <c r="D242" t="s">
        <v>102</v>
      </c>
      <c r="E242" t="s">
        <v>965</v>
      </c>
      <c r="F242" t="s">
        <v>83</v>
      </c>
      <c r="G242" t="s">
        <v>1086</v>
      </c>
      <c r="H242" t="s">
        <v>1086</v>
      </c>
      <c r="I242" t="s">
        <v>982</v>
      </c>
      <c r="J242" t="s">
        <v>952</v>
      </c>
      <c r="K242" t="s">
        <v>992</v>
      </c>
      <c r="L242" t="s">
        <v>941</v>
      </c>
      <c r="M242" t="s">
        <v>1016</v>
      </c>
      <c r="N242" t="s">
        <v>1057</v>
      </c>
      <c r="O242" t="s">
        <v>1847</v>
      </c>
      <c r="P242" t="s">
        <v>941</v>
      </c>
    </row>
    <row r="243" spans="1:16" x14ac:dyDescent="0.2">
      <c r="A243" t="s">
        <v>1215</v>
      </c>
      <c r="B243" t="s">
        <v>508</v>
      </c>
      <c r="C243" t="s">
        <v>508</v>
      </c>
      <c r="D243" t="s">
        <v>101</v>
      </c>
      <c r="E243" t="s">
        <v>957</v>
      </c>
      <c r="F243" t="s">
        <v>1882</v>
      </c>
      <c r="G243" t="s">
        <v>1144</v>
      </c>
      <c r="H243" t="s">
        <v>1039</v>
      </c>
      <c r="I243" t="s">
        <v>982</v>
      </c>
      <c r="J243" t="s">
        <v>1039</v>
      </c>
      <c r="K243" t="s">
        <v>992</v>
      </c>
      <c r="L243" t="s">
        <v>982</v>
      </c>
      <c r="M243" t="s">
        <v>951</v>
      </c>
      <c r="N243" t="s">
        <v>943</v>
      </c>
      <c r="O243" t="s">
        <v>1796</v>
      </c>
      <c r="P243" t="s">
        <v>992</v>
      </c>
    </row>
    <row r="244" spans="1:16" x14ac:dyDescent="0.2">
      <c r="A244" t="s">
        <v>1935</v>
      </c>
      <c r="B244" t="s">
        <v>215</v>
      </c>
      <c r="C244" t="s">
        <v>215</v>
      </c>
      <c r="D244" t="s">
        <v>70</v>
      </c>
      <c r="E244" t="s">
        <v>1023</v>
      </c>
      <c r="G244" t="s">
        <v>931</v>
      </c>
      <c r="H244" t="s">
        <v>992</v>
      </c>
      <c r="I244" t="s">
        <v>982</v>
      </c>
      <c r="J244" t="s">
        <v>1023</v>
      </c>
      <c r="K244" t="s">
        <v>992</v>
      </c>
      <c r="L244" t="s">
        <v>941</v>
      </c>
      <c r="M244" t="s">
        <v>1075</v>
      </c>
      <c r="N244" t="s">
        <v>1306</v>
      </c>
      <c r="O244" t="s">
        <v>1476</v>
      </c>
      <c r="P244" t="s">
        <v>992</v>
      </c>
    </row>
    <row r="245" spans="1:16" x14ac:dyDescent="0.2">
      <c r="A245" t="s">
        <v>1936</v>
      </c>
      <c r="B245" t="s">
        <v>207</v>
      </c>
      <c r="C245" t="s">
        <v>207</v>
      </c>
      <c r="D245" t="s">
        <v>78</v>
      </c>
      <c r="E245" t="s">
        <v>1088</v>
      </c>
      <c r="G245" t="s">
        <v>1009</v>
      </c>
      <c r="H245" t="s">
        <v>992</v>
      </c>
      <c r="I245" t="s">
        <v>982</v>
      </c>
      <c r="J245" t="s">
        <v>1002</v>
      </c>
      <c r="K245" t="s">
        <v>992</v>
      </c>
      <c r="L245" t="s">
        <v>941</v>
      </c>
      <c r="M245" t="s">
        <v>972</v>
      </c>
      <c r="N245" t="s">
        <v>1099</v>
      </c>
      <c r="O245" t="s">
        <v>1311</v>
      </c>
      <c r="P245" t="s">
        <v>931</v>
      </c>
    </row>
    <row r="246" spans="1:16" x14ac:dyDescent="0.2">
      <c r="A246" t="s">
        <v>1771</v>
      </c>
      <c r="B246" t="s">
        <v>298</v>
      </c>
      <c r="C246" t="s">
        <v>298</v>
      </c>
      <c r="D246" t="s">
        <v>1267</v>
      </c>
      <c r="E246" t="s">
        <v>952</v>
      </c>
      <c r="F246" t="s">
        <v>83</v>
      </c>
      <c r="G246" t="s">
        <v>1144</v>
      </c>
      <c r="H246" t="s">
        <v>972</v>
      </c>
      <c r="I246" t="s">
        <v>982</v>
      </c>
      <c r="J246" t="s">
        <v>1048</v>
      </c>
      <c r="K246" t="s">
        <v>992</v>
      </c>
      <c r="L246" t="s">
        <v>931</v>
      </c>
      <c r="M246" t="s">
        <v>1064</v>
      </c>
      <c r="N246" t="s">
        <v>1216</v>
      </c>
      <c r="O246" t="s">
        <v>1867</v>
      </c>
      <c r="P246" t="s">
        <v>931</v>
      </c>
    </row>
    <row r="247" spans="1:16" x14ac:dyDescent="0.2">
      <c r="A247" t="s">
        <v>1604</v>
      </c>
      <c r="B247" t="s">
        <v>171</v>
      </c>
      <c r="C247" t="s">
        <v>171</v>
      </c>
      <c r="D247" t="s">
        <v>82</v>
      </c>
      <c r="E247" t="s">
        <v>957</v>
      </c>
      <c r="F247" t="s">
        <v>1298</v>
      </c>
      <c r="G247" t="s">
        <v>1039</v>
      </c>
      <c r="H247" t="s">
        <v>1039</v>
      </c>
      <c r="I247" t="s">
        <v>951</v>
      </c>
      <c r="J247" t="s">
        <v>1466</v>
      </c>
      <c r="K247" t="s">
        <v>931</v>
      </c>
      <c r="L247" t="s">
        <v>941</v>
      </c>
      <c r="M247" t="s">
        <v>979</v>
      </c>
      <c r="N247" t="s">
        <v>1476</v>
      </c>
      <c r="O247" t="s">
        <v>1776</v>
      </c>
      <c r="P247" t="s">
        <v>992</v>
      </c>
    </row>
    <row r="248" spans="1:16" x14ac:dyDescent="0.2">
      <c r="A248" t="s">
        <v>902</v>
      </c>
      <c r="B248" t="s">
        <v>903</v>
      </c>
      <c r="C248" t="s">
        <v>903</v>
      </c>
      <c r="D248" t="s">
        <v>1314</v>
      </c>
      <c r="E248" t="s">
        <v>905</v>
      </c>
      <c r="F248" t="s">
        <v>906</v>
      </c>
      <c r="G248" t="s">
        <v>1315</v>
      </c>
      <c r="H248" t="s">
        <v>1316</v>
      </c>
      <c r="I248" t="s">
        <v>1319</v>
      </c>
      <c r="J248" t="s">
        <v>799</v>
      </c>
      <c r="K248" t="s">
        <v>800</v>
      </c>
      <c r="L248" t="s">
        <v>1321</v>
      </c>
      <c r="M248" t="s">
        <v>917</v>
      </c>
      <c r="N248" t="s">
        <v>1322</v>
      </c>
      <c r="O248" t="s">
        <v>1325</v>
      </c>
      <c r="P248" t="s">
        <v>1416</v>
      </c>
    </row>
    <row r="249" spans="1:16" x14ac:dyDescent="0.2">
      <c r="A249" t="s">
        <v>1602</v>
      </c>
      <c r="B249" t="s">
        <v>418</v>
      </c>
      <c r="C249" t="s">
        <v>418</v>
      </c>
      <c r="D249" t="s">
        <v>71</v>
      </c>
      <c r="E249" t="s">
        <v>1088</v>
      </c>
      <c r="F249" t="s">
        <v>1298</v>
      </c>
      <c r="G249" t="s">
        <v>1144</v>
      </c>
      <c r="H249" t="s">
        <v>941</v>
      </c>
      <c r="I249" t="s">
        <v>951</v>
      </c>
      <c r="J249" t="s">
        <v>1123</v>
      </c>
      <c r="K249" t="s">
        <v>992</v>
      </c>
      <c r="L249" t="s">
        <v>931</v>
      </c>
      <c r="M249" t="s">
        <v>1002</v>
      </c>
      <c r="N249" t="s">
        <v>1128</v>
      </c>
      <c r="O249" t="s">
        <v>943</v>
      </c>
      <c r="P249" t="s">
        <v>992</v>
      </c>
    </row>
    <row r="250" spans="1:16" x14ac:dyDescent="0.2">
      <c r="A250" t="s">
        <v>1937</v>
      </c>
      <c r="B250" t="s">
        <v>480</v>
      </c>
      <c r="C250" t="s">
        <v>480</v>
      </c>
      <c r="D250" t="s">
        <v>101</v>
      </c>
      <c r="E250" t="s">
        <v>952</v>
      </c>
      <c r="G250" t="s">
        <v>931</v>
      </c>
      <c r="H250" t="s">
        <v>992</v>
      </c>
      <c r="I250" t="s">
        <v>951</v>
      </c>
      <c r="J250" t="s">
        <v>982</v>
      </c>
      <c r="K250" t="s">
        <v>992</v>
      </c>
      <c r="L250" t="s">
        <v>992</v>
      </c>
      <c r="M250" t="s">
        <v>982</v>
      </c>
      <c r="N250" t="s">
        <v>1510</v>
      </c>
      <c r="O250" t="s">
        <v>984</v>
      </c>
      <c r="P250" t="s">
        <v>992</v>
      </c>
    </row>
    <row r="251" spans="1:16" x14ac:dyDescent="0.2">
      <c r="A251" t="s">
        <v>1781</v>
      </c>
      <c r="B251" t="s">
        <v>1380</v>
      </c>
      <c r="C251" t="s">
        <v>1380</v>
      </c>
      <c r="D251" t="s">
        <v>729</v>
      </c>
      <c r="E251" t="s">
        <v>1123</v>
      </c>
      <c r="F251" t="s">
        <v>935</v>
      </c>
      <c r="G251" t="s">
        <v>931</v>
      </c>
      <c r="H251" t="s">
        <v>931</v>
      </c>
      <c r="I251" t="s">
        <v>951</v>
      </c>
      <c r="J251" t="s">
        <v>957</v>
      </c>
      <c r="K251" t="s">
        <v>992</v>
      </c>
      <c r="L251" t="s">
        <v>941</v>
      </c>
      <c r="M251" t="s">
        <v>1002</v>
      </c>
      <c r="N251" t="s">
        <v>1174</v>
      </c>
      <c r="O251" t="s">
        <v>1474</v>
      </c>
      <c r="P251" t="s">
        <v>992</v>
      </c>
    </row>
    <row r="252" spans="1:16" x14ac:dyDescent="0.2">
      <c r="A252" t="s">
        <v>1938</v>
      </c>
      <c r="B252" t="s">
        <v>609</v>
      </c>
      <c r="C252" t="s">
        <v>609</v>
      </c>
      <c r="D252" t="s">
        <v>142</v>
      </c>
      <c r="E252" t="s">
        <v>957</v>
      </c>
      <c r="F252" t="s">
        <v>1298</v>
      </c>
      <c r="G252" t="s">
        <v>1066</v>
      </c>
      <c r="H252" t="s">
        <v>982</v>
      </c>
      <c r="I252" t="s">
        <v>951</v>
      </c>
      <c r="J252" t="s">
        <v>1032</v>
      </c>
      <c r="K252" t="s">
        <v>992</v>
      </c>
      <c r="L252" t="s">
        <v>931</v>
      </c>
      <c r="M252" t="s">
        <v>1123</v>
      </c>
      <c r="N252" t="s">
        <v>1074</v>
      </c>
      <c r="O252" t="s">
        <v>1875</v>
      </c>
      <c r="P252" t="s">
        <v>941</v>
      </c>
    </row>
    <row r="253" spans="1:16" x14ac:dyDescent="0.2">
      <c r="A253" t="s">
        <v>1599</v>
      </c>
      <c r="B253" t="s">
        <v>167</v>
      </c>
      <c r="C253" t="s">
        <v>167</v>
      </c>
      <c r="D253" t="s">
        <v>119</v>
      </c>
      <c r="E253" t="s">
        <v>1010</v>
      </c>
      <c r="G253" t="s">
        <v>931</v>
      </c>
      <c r="H253" t="s">
        <v>992</v>
      </c>
      <c r="I253" t="s">
        <v>951</v>
      </c>
      <c r="J253" t="s">
        <v>985</v>
      </c>
      <c r="K253" t="s">
        <v>992</v>
      </c>
      <c r="L253" t="s">
        <v>941</v>
      </c>
      <c r="M253" t="s">
        <v>972</v>
      </c>
      <c r="N253" t="s">
        <v>1165</v>
      </c>
      <c r="O253" t="s">
        <v>1498</v>
      </c>
      <c r="P253" t="s">
        <v>992</v>
      </c>
    </row>
    <row r="254" spans="1:16" x14ac:dyDescent="0.2">
      <c r="A254" t="s">
        <v>1939</v>
      </c>
      <c r="B254" t="s">
        <v>1940</v>
      </c>
      <c r="C254" t="s">
        <v>1940</v>
      </c>
      <c r="D254" t="s">
        <v>933</v>
      </c>
      <c r="E254" t="s">
        <v>1023</v>
      </c>
      <c r="F254" t="s">
        <v>1882</v>
      </c>
      <c r="G254" t="s">
        <v>1144</v>
      </c>
      <c r="H254" t="s">
        <v>982</v>
      </c>
      <c r="I254" t="s">
        <v>951</v>
      </c>
      <c r="J254" t="s">
        <v>982</v>
      </c>
      <c r="K254" t="s">
        <v>992</v>
      </c>
      <c r="L254" t="s">
        <v>941</v>
      </c>
      <c r="M254" t="s">
        <v>951</v>
      </c>
      <c r="N254" t="s">
        <v>1510</v>
      </c>
      <c r="O254" t="s">
        <v>1511</v>
      </c>
      <c r="P254" t="s">
        <v>992</v>
      </c>
    </row>
    <row r="255" spans="1:16" x14ac:dyDescent="0.2">
      <c r="A255" t="s">
        <v>1941</v>
      </c>
      <c r="B255" t="s">
        <v>162</v>
      </c>
      <c r="C255" t="s">
        <v>162</v>
      </c>
      <c r="D255" t="s">
        <v>99</v>
      </c>
      <c r="E255" t="s">
        <v>1023</v>
      </c>
      <c r="F255" t="s">
        <v>83</v>
      </c>
      <c r="G255" t="s">
        <v>1002</v>
      </c>
      <c r="H255" t="s">
        <v>1048</v>
      </c>
      <c r="I255" t="s">
        <v>951</v>
      </c>
      <c r="J255" t="s">
        <v>1002</v>
      </c>
      <c r="K255" t="s">
        <v>992</v>
      </c>
      <c r="L255" t="s">
        <v>992</v>
      </c>
      <c r="M255" t="s">
        <v>1064</v>
      </c>
      <c r="N255" t="s">
        <v>1026</v>
      </c>
      <c r="O255" t="s">
        <v>1503</v>
      </c>
      <c r="P255" t="s">
        <v>941</v>
      </c>
    </row>
    <row r="256" spans="1:16" x14ac:dyDescent="0.2">
      <c r="A256" t="s">
        <v>1596</v>
      </c>
      <c r="B256" t="s">
        <v>360</v>
      </c>
      <c r="C256" t="s">
        <v>360</v>
      </c>
      <c r="D256" t="s">
        <v>118</v>
      </c>
      <c r="E256" t="s">
        <v>1023</v>
      </c>
      <c r="G256" t="s">
        <v>972</v>
      </c>
      <c r="H256" t="s">
        <v>992</v>
      </c>
      <c r="I256" t="s">
        <v>951</v>
      </c>
      <c r="J256" t="s">
        <v>944</v>
      </c>
      <c r="K256" t="s">
        <v>992</v>
      </c>
      <c r="L256" t="s">
        <v>992</v>
      </c>
      <c r="M256" t="s">
        <v>1039</v>
      </c>
      <c r="N256" t="s">
        <v>1148</v>
      </c>
      <c r="O256" t="s">
        <v>1875</v>
      </c>
      <c r="P256" t="s">
        <v>992</v>
      </c>
    </row>
    <row r="257" spans="1:16" x14ac:dyDescent="0.2">
      <c r="A257" t="s">
        <v>1942</v>
      </c>
      <c r="B257" t="s">
        <v>1465</v>
      </c>
      <c r="C257" t="s">
        <v>1465</v>
      </c>
      <c r="D257" t="s">
        <v>1257</v>
      </c>
      <c r="E257" t="s">
        <v>1028</v>
      </c>
      <c r="F257" t="s">
        <v>1392</v>
      </c>
      <c r="G257" t="s">
        <v>931</v>
      </c>
      <c r="H257" t="s">
        <v>931</v>
      </c>
      <c r="I257" t="s">
        <v>951</v>
      </c>
      <c r="J257" t="s">
        <v>1048</v>
      </c>
      <c r="K257" t="s">
        <v>992</v>
      </c>
      <c r="L257" t="s">
        <v>931</v>
      </c>
      <c r="M257" t="s">
        <v>1027</v>
      </c>
      <c r="N257" t="s">
        <v>1293</v>
      </c>
      <c r="O257" t="s">
        <v>1294</v>
      </c>
      <c r="P257" t="s">
        <v>992</v>
      </c>
    </row>
    <row r="258" spans="1:16" x14ac:dyDescent="0.2">
      <c r="A258" t="s">
        <v>1943</v>
      </c>
      <c r="B258" t="s">
        <v>1944</v>
      </c>
      <c r="C258" t="s">
        <v>1944</v>
      </c>
      <c r="D258" t="s">
        <v>1267</v>
      </c>
      <c r="E258" t="s">
        <v>1023</v>
      </c>
      <c r="G258" t="s">
        <v>1051</v>
      </c>
      <c r="H258" t="s">
        <v>992</v>
      </c>
      <c r="I258" t="s">
        <v>951</v>
      </c>
      <c r="J258" t="s">
        <v>1027</v>
      </c>
      <c r="K258" t="s">
        <v>992</v>
      </c>
      <c r="L258" t="s">
        <v>992</v>
      </c>
      <c r="M258" t="s">
        <v>982</v>
      </c>
      <c r="N258" t="s">
        <v>1147</v>
      </c>
      <c r="O258" t="s">
        <v>1867</v>
      </c>
      <c r="P258" t="s">
        <v>992</v>
      </c>
    </row>
    <row r="259" spans="1:16" x14ac:dyDescent="0.2">
      <c r="A259" t="s">
        <v>1945</v>
      </c>
      <c r="B259" t="s">
        <v>898</v>
      </c>
      <c r="C259" t="s">
        <v>898</v>
      </c>
      <c r="D259" t="s">
        <v>976</v>
      </c>
      <c r="E259" t="s">
        <v>1028</v>
      </c>
      <c r="F259" t="s">
        <v>1298</v>
      </c>
      <c r="G259" t="s">
        <v>1144</v>
      </c>
      <c r="H259" t="s">
        <v>1009</v>
      </c>
      <c r="I259" t="s">
        <v>951</v>
      </c>
      <c r="J259" t="s">
        <v>1066</v>
      </c>
      <c r="K259" t="s">
        <v>992</v>
      </c>
      <c r="L259" t="s">
        <v>992</v>
      </c>
      <c r="M259" t="s">
        <v>1039</v>
      </c>
      <c r="N259" t="s">
        <v>1252</v>
      </c>
      <c r="O259" t="s">
        <v>1854</v>
      </c>
      <c r="P259" t="s">
        <v>992</v>
      </c>
    </row>
    <row r="260" spans="1:16" x14ac:dyDescent="0.2">
      <c r="A260" t="s">
        <v>1209</v>
      </c>
      <c r="B260" t="s">
        <v>1946</v>
      </c>
      <c r="C260" t="s">
        <v>1946</v>
      </c>
      <c r="D260" t="s">
        <v>727</v>
      </c>
      <c r="E260" t="s">
        <v>1088</v>
      </c>
      <c r="G260" t="s">
        <v>1144</v>
      </c>
      <c r="H260" t="s">
        <v>992</v>
      </c>
      <c r="I260" t="s">
        <v>951</v>
      </c>
      <c r="J260" t="s">
        <v>992</v>
      </c>
      <c r="K260" t="s">
        <v>992</v>
      </c>
      <c r="L260" t="s">
        <v>992</v>
      </c>
      <c r="M260" t="s">
        <v>992</v>
      </c>
      <c r="N260" t="s">
        <v>995</v>
      </c>
      <c r="O260" t="s">
        <v>995</v>
      </c>
      <c r="P260" t="s">
        <v>992</v>
      </c>
    </row>
    <row r="261" spans="1:16" x14ac:dyDescent="0.2">
      <c r="A261" t="s">
        <v>1947</v>
      </c>
      <c r="B261" t="s">
        <v>452</v>
      </c>
      <c r="C261" t="s">
        <v>452</v>
      </c>
      <c r="D261" t="s">
        <v>142</v>
      </c>
      <c r="E261" t="s">
        <v>1028</v>
      </c>
      <c r="F261" t="s">
        <v>1392</v>
      </c>
      <c r="G261" t="s">
        <v>1064</v>
      </c>
      <c r="H261" t="s">
        <v>941</v>
      </c>
      <c r="I261" t="s">
        <v>951</v>
      </c>
      <c r="J261" t="s">
        <v>1009</v>
      </c>
      <c r="K261" t="s">
        <v>992</v>
      </c>
      <c r="L261" t="s">
        <v>931</v>
      </c>
      <c r="M261" t="s">
        <v>1027</v>
      </c>
      <c r="N261" t="s">
        <v>964</v>
      </c>
      <c r="O261" t="s">
        <v>1855</v>
      </c>
      <c r="P261" t="s">
        <v>931</v>
      </c>
    </row>
    <row r="262" spans="1:16" x14ac:dyDescent="0.2">
      <c r="A262" t="s">
        <v>1948</v>
      </c>
      <c r="B262" t="s">
        <v>284</v>
      </c>
      <c r="C262" t="s">
        <v>284</v>
      </c>
      <c r="D262" t="s">
        <v>107</v>
      </c>
      <c r="E262" t="s">
        <v>1028</v>
      </c>
      <c r="F262" t="s">
        <v>1298</v>
      </c>
      <c r="G262" t="s">
        <v>1048</v>
      </c>
      <c r="H262" t="s">
        <v>1051</v>
      </c>
      <c r="I262" t="s">
        <v>951</v>
      </c>
      <c r="J262" t="s">
        <v>952</v>
      </c>
      <c r="K262" t="s">
        <v>992</v>
      </c>
      <c r="L262" t="s">
        <v>931</v>
      </c>
      <c r="M262" t="s">
        <v>965</v>
      </c>
      <c r="N262" t="s">
        <v>1949</v>
      </c>
      <c r="O262" t="s">
        <v>1147</v>
      </c>
      <c r="P262" t="s">
        <v>992</v>
      </c>
    </row>
    <row r="263" spans="1:16" x14ac:dyDescent="0.2">
      <c r="A263" t="s">
        <v>1199</v>
      </c>
      <c r="B263" t="s">
        <v>1950</v>
      </c>
      <c r="C263" t="s">
        <v>1950</v>
      </c>
      <c r="D263" t="s">
        <v>101</v>
      </c>
      <c r="E263" t="s">
        <v>1124</v>
      </c>
      <c r="G263" t="s">
        <v>931</v>
      </c>
      <c r="H263" t="s">
        <v>992</v>
      </c>
      <c r="I263" t="s">
        <v>951</v>
      </c>
      <c r="J263" t="s">
        <v>1951</v>
      </c>
      <c r="K263" t="s">
        <v>992</v>
      </c>
      <c r="L263" t="s">
        <v>992</v>
      </c>
      <c r="M263" t="s">
        <v>1493</v>
      </c>
      <c r="N263" t="s">
        <v>1952</v>
      </c>
      <c r="O263" t="s">
        <v>1953</v>
      </c>
      <c r="P263" t="s">
        <v>992</v>
      </c>
    </row>
    <row r="264" spans="1:16" x14ac:dyDescent="0.2">
      <c r="A264" t="s">
        <v>1954</v>
      </c>
      <c r="B264" t="s">
        <v>1955</v>
      </c>
      <c r="C264" t="s">
        <v>1955</v>
      </c>
      <c r="D264" t="s">
        <v>1040</v>
      </c>
      <c r="E264" t="s">
        <v>978</v>
      </c>
      <c r="F264" t="s">
        <v>1392</v>
      </c>
      <c r="G264" t="s">
        <v>1048</v>
      </c>
      <c r="H264" t="s">
        <v>931</v>
      </c>
      <c r="I264" t="s">
        <v>951</v>
      </c>
      <c r="J264" t="s">
        <v>1051</v>
      </c>
      <c r="K264" t="s">
        <v>992</v>
      </c>
      <c r="L264" t="s">
        <v>941</v>
      </c>
      <c r="M264" t="s">
        <v>1027</v>
      </c>
      <c r="N264" t="s">
        <v>1156</v>
      </c>
      <c r="O264" t="s">
        <v>1855</v>
      </c>
      <c r="P264" t="s">
        <v>992</v>
      </c>
    </row>
    <row r="265" spans="1:16" x14ac:dyDescent="0.2">
      <c r="A265" t="s">
        <v>1956</v>
      </c>
      <c r="B265" t="s">
        <v>422</v>
      </c>
      <c r="C265" t="s">
        <v>422</v>
      </c>
      <c r="D265" t="s">
        <v>93</v>
      </c>
      <c r="E265" t="s">
        <v>957</v>
      </c>
      <c r="G265" t="s">
        <v>1086</v>
      </c>
      <c r="H265" t="s">
        <v>992</v>
      </c>
      <c r="I265" t="s">
        <v>951</v>
      </c>
      <c r="J265" t="s">
        <v>1016</v>
      </c>
      <c r="K265" t="s">
        <v>992</v>
      </c>
      <c r="L265" t="s">
        <v>931</v>
      </c>
      <c r="M265" t="s">
        <v>1064</v>
      </c>
      <c r="N265" t="s">
        <v>1517</v>
      </c>
      <c r="O265" t="s">
        <v>964</v>
      </c>
      <c r="P265" t="s">
        <v>941</v>
      </c>
    </row>
    <row r="266" spans="1:16" x14ac:dyDescent="0.2">
      <c r="A266" t="s">
        <v>1957</v>
      </c>
      <c r="B266" t="s">
        <v>129</v>
      </c>
      <c r="C266" t="s">
        <v>129</v>
      </c>
      <c r="D266" t="s">
        <v>73</v>
      </c>
      <c r="E266" t="s">
        <v>934</v>
      </c>
      <c r="F266" t="s">
        <v>83</v>
      </c>
      <c r="G266" t="s">
        <v>1002</v>
      </c>
      <c r="H266" t="s">
        <v>1002</v>
      </c>
      <c r="I266" t="s">
        <v>951</v>
      </c>
      <c r="J266" t="s">
        <v>1002</v>
      </c>
      <c r="K266" t="s">
        <v>992</v>
      </c>
      <c r="L266" t="s">
        <v>992</v>
      </c>
      <c r="M266" t="s">
        <v>1051</v>
      </c>
      <c r="N266" t="s">
        <v>1026</v>
      </c>
      <c r="O266" t="s">
        <v>1503</v>
      </c>
      <c r="P266" t="s">
        <v>992</v>
      </c>
    </row>
    <row r="267" spans="1:16" x14ac:dyDescent="0.2">
      <c r="A267" t="s">
        <v>1188</v>
      </c>
      <c r="B267" t="s">
        <v>257</v>
      </c>
      <c r="C267" t="s">
        <v>257</v>
      </c>
      <c r="D267" t="s">
        <v>119</v>
      </c>
      <c r="E267" t="s">
        <v>1123</v>
      </c>
      <c r="F267" t="s">
        <v>88</v>
      </c>
      <c r="G267" t="s">
        <v>1144</v>
      </c>
      <c r="H267" t="s">
        <v>1002</v>
      </c>
      <c r="I267" t="s">
        <v>951</v>
      </c>
      <c r="J267" t="s">
        <v>1009</v>
      </c>
      <c r="K267" t="s">
        <v>992</v>
      </c>
      <c r="L267" t="s">
        <v>941</v>
      </c>
      <c r="M267" t="s">
        <v>951</v>
      </c>
      <c r="N267" t="s">
        <v>964</v>
      </c>
      <c r="O267" t="s">
        <v>1511</v>
      </c>
      <c r="P267" t="s">
        <v>992</v>
      </c>
    </row>
    <row r="268" spans="1:16" x14ac:dyDescent="0.2">
      <c r="A268" t="s">
        <v>1958</v>
      </c>
      <c r="B268" t="s">
        <v>1396</v>
      </c>
      <c r="C268" t="s">
        <v>1396</v>
      </c>
      <c r="D268" t="s">
        <v>729</v>
      </c>
      <c r="E268" t="s">
        <v>1088</v>
      </c>
      <c r="G268" t="s">
        <v>1144</v>
      </c>
      <c r="H268" t="s">
        <v>992</v>
      </c>
      <c r="I268" t="s">
        <v>951</v>
      </c>
      <c r="J268" t="s">
        <v>1959</v>
      </c>
      <c r="K268" t="s">
        <v>992</v>
      </c>
      <c r="L268" t="s">
        <v>992</v>
      </c>
      <c r="M268" t="s">
        <v>1493</v>
      </c>
      <c r="N268" t="s">
        <v>1953</v>
      </c>
      <c r="O268" t="s">
        <v>1878</v>
      </c>
      <c r="P268" t="s">
        <v>992</v>
      </c>
    </row>
    <row r="269" spans="1:16" x14ac:dyDescent="0.2">
      <c r="A269" t="s">
        <v>1960</v>
      </c>
      <c r="B269" t="s">
        <v>509</v>
      </c>
      <c r="C269" t="s">
        <v>509</v>
      </c>
      <c r="D269" t="s">
        <v>119</v>
      </c>
      <c r="E269" t="s">
        <v>1028</v>
      </c>
      <c r="F269" t="s">
        <v>1298</v>
      </c>
      <c r="G269" t="s">
        <v>1066</v>
      </c>
      <c r="H269" t="s">
        <v>1027</v>
      </c>
      <c r="I269" t="s">
        <v>951</v>
      </c>
      <c r="J269" t="s">
        <v>1144</v>
      </c>
      <c r="K269" t="s">
        <v>992</v>
      </c>
      <c r="L269" t="s">
        <v>992</v>
      </c>
      <c r="M269" t="s">
        <v>1064</v>
      </c>
      <c r="N269" t="s">
        <v>1015</v>
      </c>
      <c r="O269" t="s">
        <v>1821</v>
      </c>
      <c r="P269" t="s">
        <v>951</v>
      </c>
    </row>
    <row r="270" spans="1:16" x14ac:dyDescent="0.2">
      <c r="A270" t="s">
        <v>1179</v>
      </c>
      <c r="B270" t="s">
        <v>1543</v>
      </c>
      <c r="C270" t="s">
        <v>1543</v>
      </c>
      <c r="D270" t="s">
        <v>976</v>
      </c>
      <c r="E270" t="s">
        <v>978</v>
      </c>
      <c r="F270" t="s">
        <v>1298</v>
      </c>
      <c r="G270" t="s">
        <v>1051</v>
      </c>
      <c r="H270" t="s">
        <v>982</v>
      </c>
      <c r="I270" t="s">
        <v>941</v>
      </c>
      <c r="J270" t="s">
        <v>1547</v>
      </c>
      <c r="K270" t="s">
        <v>992</v>
      </c>
      <c r="L270" t="s">
        <v>992</v>
      </c>
      <c r="M270" t="s">
        <v>931</v>
      </c>
      <c r="N270" t="s">
        <v>1495</v>
      </c>
      <c r="O270" t="s">
        <v>1507</v>
      </c>
      <c r="P270" t="s">
        <v>992</v>
      </c>
    </row>
    <row r="271" spans="1:16" x14ac:dyDescent="0.2">
      <c r="A271" t="s">
        <v>1961</v>
      </c>
      <c r="B271" t="s">
        <v>1962</v>
      </c>
      <c r="C271" t="s">
        <v>1962</v>
      </c>
      <c r="D271" t="s">
        <v>107</v>
      </c>
      <c r="E271" t="s">
        <v>1123</v>
      </c>
      <c r="F271" t="s">
        <v>1577</v>
      </c>
      <c r="G271" t="s">
        <v>1048</v>
      </c>
      <c r="H271" t="s">
        <v>982</v>
      </c>
      <c r="I271" t="s">
        <v>941</v>
      </c>
      <c r="J271" t="s">
        <v>951</v>
      </c>
      <c r="K271" t="s">
        <v>941</v>
      </c>
      <c r="L271" t="s">
        <v>941</v>
      </c>
      <c r="M271" t="s">
        <v>941</v>
      </c>
      <c r="N271" t="s">
        <v>1272</v>
      </c>
      <c r="O271" t="s">
        <v>1795</v>
      </c>
      <c r="P271" t="s">
        <v>992</v>
      </c>
    </row>
    <row r="272" spans="1:16" x14ac:dyDescent="0.2">
      <c r="A272" t="s">
        <v>1963</v>
      </c>
      <c r="B272" t="s">
        <v>1964</v>
      </c>
      <c r="C272" t="s">
        <v>1964</v>
      </c>
      <c r="D272" t="s">
        <v>1122</v>
      </c>
      <c r="E272" t="s">
        <v>1010</v>
      </c>
      <c r="F272" t="s">
        <v>83</v>
      </c>
      <c r="G272" t="s">
        <v>1144</v>
      </c>
      <c r="H272" t="s">
        <v>1066</v>
      </c>
      <c r="I272" t="s">
        <v>941</v>
      </c>
      <c r="J272" t="s">
        <v>1002</v>
      </c>
      <c r="K272" t="s">
        <v>992</v>
      </c>
      <c r="L272" t="s">
        <v>931</v>
      </c>
      <c r="M272" t="s">
        <v>1086</v>
      </c>
      <c r="N272" t="s">
        <v>1173</v>
      </c>
      <c r="O272" t="s">
        <v>1854</v>
      </c>
      <c r="P272" t="s">
        <v>951</v>
      </c>
    </row>
    <row r="273" spans="1:16" x14ac:dyDescent="0.2">
      <c r="A273" t="s">
        <v>1164</v>
      </c>
      <c r="B273" t="s">
        <v>316</v>
      </c>
      <c r="C273" t="s">
        <v>316</v>
      </c>
      <c r="D273" t="s">
        <v>107</v>
      </c>
      <c r="E273" t="s">
        <v>1028</v>
      </c>
      <c r="F273" t="s">
        <v>1298</v>
      </c>
      <c r="G273" t="s">
        <v>941</v>
      </c>
      <c r="H273" t="s">
        <v>941</v>
      </c>
      <c r="I273" t="s">
        <v>941</v>
      </c>
      <c r="J273" t="s">
        <v>1144</v>
      </c>
      <c r="K273" t="s">
        <v>992</v>
      </c>
      <c r="L273" t="s">
        <v>941</v>
      </c>
      <c r="M273" t="s">
        <v>1064</v>
      </c>
      <c r="N273" t="s">
        <v>983</v>
      </c>
      <c r="O273" t="s">
        <v>983</v>
      </c>
      <c r="P273" t="s">
        <v>992</v>
      </c>
    </row>
    <row r="274" spans="1:16" x14ac:dyDescent="0.2">
      <c r="A274" t="s">
        <v>1965</v>
      </c>
      <c r="B274" t="s">
        <v>1966</v>
      </c>
      <c r="C274" t="s">
        <v>1966</v>
      </c>
      <c r="D274" t="s">
        <v>70</v>
      </c>
      <c r="E274" t="s">
        <v>985</v>
      </c>
      <c r="F274" t="s">
        <v>1967</v>
      </c>
      <c r="G274" t="s">
        <v>1002</v>
      </c>
      <c r="H274" t="s">
        <v>1002</v>
      </c>
      <c r="I274" t="s">
        <v>941</v>
      </c>
      <c r="J274" t="s">
        <v>1123</v>
      </c>
      <c r="K274" t="s">
        <v>992</v>
      </c>
      <c r="L274" t="s">
        <v>931</v>
      </c>
      <c r="M274" t="s">
        <v>957</v>
      </c>
      <c r="N274" t="s">
        <v>1202</v>
      </c>
      <c r="O274" t="s">
        <v>1063</v>
      </c>
      <c r="P274" t="s">
        <v>992</v>
      </c>
    </row>
    <row r="275" spans="1:16" x14ac:dyDescent="0.2">
      <c r="A275" t="s">
        <v>1783</v>
      </c>
      <c r="B275" t="s">
        <v>203</v>
      </c>
      <c r="C275" t="s">
        <v>203</v>
      </c>
      <c r="D275" t="s">
        <v>139</v>
      </c>
      <c r="E275" t="s">
        <v>937</v>
      </c>
      <c r="G275" t="s">
        <v>982</v>
      </c>
      <c r="H275" t="s">
        <v>992</v>
      </c>
      <c r="I275" t="s">
        <v>941</v>
      </c>
      <c r="J275" t="s">
        <v>1144</v>
      </c>
      <c r="K275" t="s">
        <v>992</v>
      </c>
      <c r="L275" t="s">
        <v>931</v>
      </c>
      <c r="M275" t="s">
        <v>1086</v>
      </c>
      <c r="N275" t="s">
        <v>983</v>
      </c>
      <c r="O275" t="s">
        <v>984</v>
      </c>
      <c r="P275" t="s">
        <v>992</v>
      </c>
    </row>
    <row r="276" spans="1:16" x14ac:dyDescent="0.2">
      <c r="A276" t="s">
        <v>1155</v>
      </c>
      <c r="B276" t="s">
        <v>1389</v>
      </c>
      <c r="C276" t="s">
        <v>1389</v>
      </c>
      <c r="D276" t="s">
        <v>99</v>
      </c>
      <c r="E276" t="s">
        <v>1088</v>
      </c>
      <c r="G276" t="s">
        <v>931</v>
      </c>
      <c r="H276" t="s">
        <v>992</v>
      </c>
      <c r="I276" t="s">
        <v>941</v>
      </c>
      <c r="J276" t="s">
        <v>1032</v>
      </c>
      <c r="K276" t="s">
        <v>992</v>
      </c>
      <c r="L276" t="s">
        <v>931</v>
      </c>
      <c r="M276" t="s">
        <v>1048</v>
      </c>
      <c r="N276" t="s">
        <v>1105</v>
      </c>
      <c r="O276" t="s">
        <v>1497</v>
      </c>
      <c r="P276" t="s">
        <v>992</v>
      </c>
    </row>
    <row r="277" spans="1:16" x14ac:dyDescent="0.2">
      <c r="A277" t="s">
        <v>1765</v>
      </c>
      <c r="B277" t="s">
        <v>577</v>
      </c>
      <c r="C277" t="s">
        <v>577</v>
      </c>
      <c r="D277" t="s">
        <v>107</v>
      </c>
      <c r="E277" t="s">
        <v>1028</v>
      </c>
      <c r="G277" t="s">
        <v>1048</v>
      </c>
      <c r="H277" t="s">
        <v>992</v>
      </c>
      <c r="I277" t="s">
        <v>941</v>
      </c>
      <c r="J277" t="s">
        <v>1086</v>
      </c>
      <c r="K277" t="s">
        <v>992</v>
      </c>
      <c r="L277" t="s">
        <v>992</v>
      </c>
      <c r="M277" t="s">
        <v>1051</v>
      </c>
      <c r="N277" t="s">
        <v>1435</v>
      </c>
      <c r="O277" t="s">
        <v>1867</v>
      </c>
      <c r="P277" t="s">
        <v>931</v>
      </c>
    </row>
    <row r="278" spans="1:16" x14ac:dyDescent="0.2">
      <c r="A278" t="s">
        <v>1968</v>
      </c>
      <c r="B278" t="s">
        <v>1393</v>
      </c>
      <c r="C278" t="s">
        <v>1393</v>
      </c>
      <c r="D278" t="s">
        <v>1122</v>
      </c>
      <c r="E278" t="s">
        <v>937</v>
      </c>
      <c r="F278" t="s">
        <v>1298</v>
      </c>
      <c r="G278" t="s">
        <v>1027</v>
      </c>
      <c r="H278" t="s">
        <v>931</v>
      </c>
      <c r="I278" t="s">
        <v>941</v>
      </c>
      <c r="J278" t="s">
        <v>985</v>
      </c>
      <c r="K278" t="s">
        <v>992</v>
      </c>
      <c r="L278" t="s">
        <v>931</v>
      </c>
      <c r="M278" t="s">
        <v>1028</v>
      </c>
      <c r="N278" t="s">
        <v>1045</v>
      </c>
      <c r="O278" t="s">
        <v>1085</v>
      </c>
      <c r="P278" t="s">
        <v>992</v>
      </c>
    </row>
    <row r="279" spans="1:16" x14ac:dyDescent="0.2">
      <c r="A279" t="s">
        <v>902</v>
      </c>
      <c r="B279" t="s">
        <v>903</v>
      </c>
      <c r="C279" t="s">
        <v>903</v>
      </c>
      <c r="D279" t="s">
        <v>1314</v>
      </c>
      <c r="E279" t="s">
        <v>905</v>
      </c>
      <c r="F279" t="s">
        <v>906</v>
      </c>
      <c r="G279" t="s">
        <v>1315</v>
      </c>
      <c r="H279" t="s">
        <v>1316</v>
      </c>
      <c r="I279" t="s">
        <v>1319</v>
      </c>
      <c r="J279" t="s">
        <v>799</v>
      </c>
      <c r="K279" t="s">
        <v>800</v>
      </c>
      <c r="L279" t="s">
        <v>1321</v>
      </c>
      <c r="M279" t="s">
        <v>917</v>
      </c>
      <c r="N279" t="s">
        <v>1322</v>
      </c>
      <c r="O279" t="s">
        <v>1325</v>
      </c>
      <c r="P279" t="s">
        <v>1416</v>
      </c>
    </row>
    <row r="280" spans="1:16" x14ac:dyDescent="0.2">
      <c r="A280" t="s">
        <v>1146</v>
      </c>
      <c r="B280" t="s">
        <v>1969</v>
      </c>
      <c r="C280" t="s">
        <v>1969</v>
      </c>
      <c r="D280" t="s">
        <v>142</v>
      </c>
      <c r="E280" t="s">
        <v>1010</v>
      </c>
      <c r="G280" t="s">
        <v>1048</v>
      </c>
      <c r="H280" t="s">
        <v>992</v>
      </c>
      <c r="I280" t="s">
        <v>941</v>
      </c>
      <c r="J280" t="s">
        <v>1028</v>
      </c>
      <c r="K280" t="s">
        <v>992</v>
      </c>
      <c r="L280" t="s">
        <v>941</v>
      </c>
      <c r="M280" t="s">
        <v>985</v>
      </c>
      <c r="N280" t="s">
        <v>1067</v>
      </c>
      <c r="O280" t="s">
        <v>943</v>
      </c>
      <c r="P280" t="s">
        <v>992</v>
      </c>
    </row>
    <row r="281" spans="1:16" x14ac:dyDescent="0.2">
      <c r="A281" t="s">
        <v>1970</v>
      </c>
      <c r="B281" t="s">
        <v>1971</v>
      </c>
      <c r="C281" t="s">
        <v>1971</v>
      </c>
      <c r="D281" t="s">
        <v>78</v>
      </c>
      <c r="E281" t="s">
        <v>1010</v>
      </c>
      <c r="G281" t="s">
        <v>1075</v>
      </c>
      <c r="H281" t="s">
        <v>992</v>
      </c>
      <c r="I281" t="s">
        <v>941</v>
      </c>
      <c r="J281" t="s">
        <v>941</v>
      </c>
      <c r="K281" t="s">
        <v>992</v>
      </c>
      <c r="L281" t="s">
        <v>992</v>
      </c>
      <c r="M281" t="s">
        <v>941</v>
      </c>
      <c r="N281" t="s">
        <v>1503</v>
      </c>
      <c r="O281" t="s">
        <v>1795</v>
      </c>
      <c r="P281" t="s">
        <v>992</v>
      </c>
    </row>
    <row r="282" spans="1:16" x14ac:dyDescent="0.2">
      <c r="A282" t="s">
        <v>1972</v>
      </c>
      <c r="B282" t="s">
        <v>251</v>
      </c>
      <c r="C282" t="s">
        <v>251</v>
      </c>
      <c r="D282" t="s">
        <v>101</v>
      </c>
      <c r="E282" t="s">
        <v>1023</v>
      </c>
      <c r="F282" t="s">
        <v>1298</v>
      </c>
      <c r="G282" t="s">
        <v>1144</v>
      </c>
      <c r="H282" t="s">
        <v>1051</v>
      </c>
      <c r="I282" t="s">
        <v>941</v>
      </c>
      <c r="J282" t="s">
        <v>1064</v>
      </c>
      <c r="K282" t="s">
        <v>992</v>
      </c>
      <c r="L282" t="s">
        <v>931</v>
      </c>
      <c r="M282" t="s">
        <v>1086</v>
      </c>
      <c r="N282" t="s">
        <v>1429</v>
      </c>
      <c r="O282" t="s">
        <v>1855</v>
      </c>
      <c r="P282" t="s">
        <v>992</v>
      </c>
    </row>
    <row r="283" spans="1:16" x14ac:dyDescent="0.2">
      <c r="A283" t="s">
        <v>1592</v>
      </c>
      <c r="B283" t="s">
        <v>305</v>
      </c>
      <c r="C283" t="s">
        <v>305</v>
      </c>
      <c r="D283" t="s">
        <v>118</v>
      </c>
      <c r="E283" t="s">
        <v>1028</v>
      </c>
      <c r="F283" t="s">
        <v>1298</v>
      </c>
      <c r="G283" t="s">
        <v>1144</v>
      </c>
      <c r="H283" t="s">
        <v>1064</v>
      </c>
      <c r="I283" t="s">
        <v>941</v>
      </c>
      <c r="J283" t="s">
        <v>992</v>
      </c>
      <c r="K283" t="s">
        <v>992</v>
      </c>
      <c r="L283" t="s">
        <v>992</v>
      </c>
      <c r="M283" t="s">
        <v>982</v>
      </c>
      <c r="N283" t="s">
        <v>995</v>
      </c>
      <c r="O283" t="s">
        <v>995</v>
      </c>
      <c r="P283" t="s">
        <v>992</v>
      </c>
    </row>
    <row r="284" spans="1:16" x14ac:dyDescent="0.2">
      <c r="A284" t="s">
        <v>1756</v>
      </c>
      <c r="B284" t="s">
        <v>325</v>
      </c>
      <c r="C284" t="s">
        <v>325</v>
      </c>
      <c r="D284" t="s">
        <v>1122</v>
      </c>
      <c r="E284" t="s">
        <v>1028</v>
      </c>
      <c r="F284" t="s">
        <v>1298</v>
      </c>
      <c r="G284" t="s">
        <v>1066</v>
      </c>
      <c r="H284" t="s">
        <v>1064</v>
      </c>
      <c r="I284" t="s">
        <v>941</v>
      </c>
      <c r="J284" t="s">
        <v>992</v>
      </c>
      <c r="K284" t="s">
        <v>992</v>
      </c>
      <c r="L284" t="s">
        <v>992</v>
      </c>
      <c r="M284" t="s">
        <v>941</v>
      </c>
      <c r="N284" t="s">
        <v>995</v>
      </c>
      <c r="O284" t="s">
        <v>995</v>
      </c>
      <c r="P284" t="s">
        <v>931</v>
      </c>
    </row>
    <row r="285" spans="1:16" x14ac:dyDescent="0.2">
      <c r="A285" t="s">
        <v>1973</v>
      </c>
      <c r="B285" t="s">
        <v>1974</v>
      </c>
      <c r="C285" t="s">
        <v>1974</v>
      </c>
      <c r="D285" t="s">
        <v>70</v>
      </c>
      <c r="E285" t="s">
        <v>1028</v>
      </c>
      <c r="G285" t="s">
        <v>1144</v>
      </c>
      <c r="H285" t="s">
        <v>992</v>
      </c>
      <c r="I285" t="s">
        <v>941</v>
      </c>
      <c r="J285" t="s">
        <v>941</v>
      </c>
      <c r="K285" t="s">
        <v>992</v>
      </c>
      <c r="L285" t="s">
        <v>992</v>
      </c>
      <c r="M285" t="s">
        <v>941</v>
      </c>
      <c r="N285" t="s">
        <v>1503</v>
      </c>
      <c r="O285" t="s">
        <v>1825</v>
      </c>
      <c r="P285" t="s">
        <v>992</v>
      </c>
    </row>
    <row r="286" spans="1:16" x14ac:dyDescent="0.2">
      <c r="A286" t="s">
        <v>1779</v>
      </c>
      <c r="B286" t="s">
        <v>228</v>
      </c>
      <c r="C286" t="s">
        <v>228</v>
      </c>
      <c r="D286" t="s">
        <v>93</v>
      </c>
      <c r="E286" t="s">
        <v>1028</v>
      </c>
      <c r="G286" t="s">
        <v>931</v>
      </c>
      <c r="H286" t="s">
        <v>992</v>
      </c>
      <c r="I286" t="s">
        <v>941</v>
      </c>
      <c r="J286" t="s">
        <v>1039</v>
      </c>
      <c r="K286" t="s">
        <v>992</v>
      </c>
      <c r="L286" t="s">
        <v>992</v>
      </c>
      <c r="M286" t="s">
        <v>1009</v>
      </c>
      <c r="N286" t="s">
        <v>1468</v>
      </c>
      <c r="O286" t="s">
        <v>1191</v>
      </c>
      <c r="P286" t="s">
        <v>992</v>
      </c>
    </row>
    <row r="287" spans="1:16" x14ac:dyDescent="0.2">
      <c r="A287" t="s">
        <v>1975</v>
      </c>
      <c r="B287" t="s">
        <v>476</v>
      </c>
      <c r="C287" t="s">
        <v>476</v>
      </c>
      <c r="D287" t="s">
        <v>82</v>
      </c>
      <c r="E287" t="s">
        <v>1010</v>
      </c>
      <c r="F287" t="s">
        <v>1882</v>
      </c>
      <c r="G287" t="s">
        <v>1066</v>
      </c>
      <c r="H287" t="s">
        <v>951</v>
      </c>
      <c r="I287" t="s">
        <v>941</v>
      </c>
      <c r="J287" t="s">
        <v>982</v>
      </c>
      <c r="K287" t="s">
        <v>992</v>
      </c>
      <c r="L287" t="s">
        <v>931</v>
      </c>
      <c r="M287" t="s">
        <v>941</v>
      </c>
      <c r="N287" t="s">
        <v>1147</v>
      </c>
      <c r="O287" t="s">
        <v>1511</v>
      </c>
      <c r="P287" t="s">
        <v>992</v>
      </c>
    </row>
    <row r="288" spans="1:16" x14ac:dyDescent="0.2">
      <c r="A288" t="s">
        <v>1976</v>
      </c>
      <c r="B288" t="s">
        <v>295</v>
      </c>
      <c r="C288" t="s">
        <v>295</v>
      </c>
      <c r="D288" t="s">
        <v>78</v>
      </c>
      <c r="E288" t="s">
        <v>1023</v>
      </c>
      <c r="F288" t="s">
        <v>1298</v>
      </c>
      <c r="G288" t="s">
        <v>1066</v>
      </c>
      <c r="H288" t="s">
        <v>1075</v>
      </c>
      <c r="I288" t="s">
        <v>941</v>
      </c>
      <c r="J288" t="s">
        <v>951</v>
      </c>
      <c r="K288" t="s">
        <v>992</v>
      </c>
      <c r="L288" t="s">
        <v>931</v>
      </c>
      <c r="M288" t="s">
        <v>951</v>
      </c>
      <c r="N288" t="s">
        <v>1272</v>
      </c>
      <c r="O288" t="s">
        <v>1795</v>
      </c>
      <c r="P288" t="s">
        <v>931</v>
      </c>
    </row>
    <row r="289" spans="1:16" x14ac:dyDescent="0.2">
      <c r="A289" t="s">
        <v>1136</v>
      </c>
      <c r="B289" t="s">
        <v>137</v>
      </c>
      <c r="C289" t="s">
        <v>137</v>
      </c>
      <c r="D289" t="s">
        <v>1087</v>
      </c>
      <c r="E289" t="s">
        <v>1010</v>
      </c>
      <c r="F289" t="s">
        <v>1577</v>
      </c>
      <c r="G289" t="s">
        <v>1051</v>
      </c>
      <c r="H289" t="s">
        <v>1051</v>
      </c>
      <c r="I289" t="s">
        <v>941</v>
      </c>
      <c r="J289" t="s">
        <v>944</v>
      </c>
      <c r="K289" t="s">
        <v>992</v>
      </c>
      <c r="L289" t="s">
        <v>931</v>
      </c>
      <c r="M289" t="s">
        <v>1064</v>
      </c>
      <c r="N289" t="s">
        <v>1137</v>
      </c>
      <c r="O289" t="s">
        <v>1031</v>
      </c>
      <c r="P289" t="s">
        <v>992</v>
      </c>
    </row>
    <row r="290" spans="1:16" x14ac:dyDescent="0.2">
      <c r="A290" t="s">
        <v>1977</v>
      </c>
      <c r="B290" t="s">
        <v>255</v>
      </c>
      <c r="C290" t="s">
        <v>255</v>
      </c>
      <c r="D290" t="s">
        <v>1267</v>
      </c>
      <c r="E290" t="s">
        <v>1088</v>
      </c>
      <c r="F290" t="s">
        <v>1298</v>
      </c>
      <c r="G290" t="s">
        <v>1075</v>
      </c>
      <c r="H290" t="s">
        <v>1064</v>
      </c>
      <c r="I290" t="s">
        <v>941</v>
      </c>
      <c r="J290" t="s">
        <v>944</v>
      </c>
      <c r="K290" t="s">
        <v>992</v>
      </c>
      <c r="L290" t="s">
        <v>931</v>
      </c>
      <c r="M290" t="s">
        <v>1016</v>
      </c>
      <c r="N290" t="s">
        <v>1137</v>
      </c>
      <c r="O290" t="s">
        <v>964</v>
      </c>
      <c r="P290" t="s">
        <v>992</v>
      </c>
    </row>
    <row r="291" spans="1:16" x14ac:dyDescent="0.2">
      <c r="A291" t="s">
        <v>1126</v>
      </c>
      <c r="B291" t="s">
        <v>496</v>
      </c>
      <c r="C291" t="s">
        <v>496</v>
      </c>
      <c r="D291" t="s">
        <v>1257</v>
      </c>
      <c r="E291" t="s">
        <v>957</v>
      </c>
      <c r="G291" t="s">
        <v>1009</v>
      </c>
      <c r="H291" t="s">
        <v>992</v>
      </c>
      <c r="I291" t="s">
        <v>941</v>
      </c>
      <c r="J291" t="s">
        <v>1066</v>
      </c>
      <c r="K291" t="s">
        <v>992</v>
      </c>
      <c r="L291" t="s">
        <v>931</v>
      </c>
      <c r="M291" t="s">
        <v>1144</v>
      </c>
      <c r="N291" t="s">
        <v>1191</v>
      </c>
      <c r="O291" t="s">
        <v>1143</v>
      </c>
      <c r="P291" t="s">
        <v>992</v>
      </c>
    </row>
    <row r="292" spans="1:16" x14ac:dyDescent="0.2">
      <c r="A292" t="s">
        <v>1978</v>
      </c>
      <c r="B292" t="s">
        <v>147</v>
      </c>
      <c r="C292" t="s">
        <v>147</v>
      </c>
      <c r="D292" t="s">
        <v>119</v>
      </c>
      <c r="E292" t="s">
        <v>1088</v>
      </c>
      <c r="F292" t="s">
        <v>83</v>
      </c>
      <c r="G292" t="s">
        <v>1002</v>
      </c>
      <c r="H292" t="s">
        <v>1002</v>
      </c>
      <c r="I292" t="s">
        <v>941</v>
      </c>
      <c r="J292" t="s">
        <v>934</v>
      </c>
      <c r="K292" t="s">
        <v>992</v>
      </c>
      <c r="L292" t="s">
        <v>941</v>
      </c>
      <c r="M292" t="s">
        <v>1010</v>
      </c>
      <c r="N292" t="s">
        <v>1491</v>
      </c>
      <c r="O292" t="s">
        <v>1147</v>
      </c>
      <c r="P292" t="s">
        <v>931</v>
      </c>
    </row>
    <row r="293" spans="1:16" x14ac:dyDescent="0.2">
      <c r="A293" t="s">
        <v>1979</v>
      </c>
      <c r="B293" t="s">
        <v>269</v>
      </c>
      <c r="C293" t="s">
        <v>269</v>
      </c>
      <c r="D293" t="s">
        <v>1122</v>
      </c>
      <c r="E293" t="s">
        <v>1023</v>
      </c>
      <c r="F293" t="s">
        <v>1298</v>
      </c>
      <c r="G293" t="s">
        <v>1066</v>
      </c>
      <c r="H293" t="s">
        <v>1064</v>
      </c>
      <c r="I293" t="s">
        <v>941</v>
      </c>
      <c r="J293" t="s">
        <v>1064</v>
      </c>
      <c r="K293" t="s">
        <v>992</v>
      </c>
      <c r="L293" t="s">
        <v>992</v>
      </c>
      <c r="M293" t="s">
        <v>1039</v>
      </c>
      <c r="N293" t="s">
        <v>1429</v>
      </c>
      <c r="O293" t="s">
        <v>1855</v>
      </c>
      <c r="P293" t="s">
        <v>931</v>
      </c>
    </row>
    <row r="294" spans="1:16" x14ac:dyDescent="0.2">
      <c r="A294" t="s">
        <v>1980</v>
      </c>
      <c r="B294" t="s">
        <v>293</v>
      </c>
      <c r="C294" t="s">
        <v>293</v>
      </c>
      <c r="D294" t="s">
        <v>727</v>
      </c>
      <c r="E294" t="s">
        <v>952</v>
      </c>
      <c r="F294" t="s">
        <v>1298</v>
      </c>
      <c r="G294" t="s">
        <v>1144</v>
      </c>
      <c r="H294" t="s">
        <v>1027</v>
      </c>
      <c r="I294" t="s">
        <v>941</v>
      </c>
      <c r="J294" t="s">
        <v>972</v>
      </c>
      <c r="K294" t="s">
        <v>992</v>
      </c>
      <c r="L294" t="s">
        <v>931</v>
      </c>
      <c r="M294" t="s">
        <v>1064</v>
      </c>
      <c r="N294" t="s">
        <v>1306</v>
      </c>
      <c r="O294" t="s">
        <v>1867</v>
      </c>
      <c r="P294" t="s">
        <v>941</v>
      </c>
    </row>
    <row r="295" spans="1:16" x14ac:dyDescent="0.2">
      <c r="A295" t="s">
        <v>1981</v>
      </c>
      <c r="B295" t="s">
        <v>882</v>
      </c>
      <c r="C295" t="s">
        <v>882</v>
      </c>
      <c r="D295" t="s">
        <v>70</v>
      </c>
      <c r="E295" t="s">
        <v>1028</v>
      </c>
      <c r="F295" t="s">
        <v>83</v>
      </c>
      <c r="G295" t="s">
        <v>1002</v>
      </c>
      <c r="H295" t="s">
        <v>1066</v>
      </c>
      <c r="I295" t="s">
        <v>941</v>
      </c>
      <c r="J295" t="s">
        <v>985</v>
      </c>
      <c r="K295" t="s">
        <v>992</v>
      </c>
      <c r="L295" t="s">
        <v>931</v>
      </c>
      <c r="M295" t="s">
        <v>965</v>
      </c>
      <c r="N295" t="s">
        <v>1045</v>
      </c>
      <c r="O295" t="s">
        <v>1272</v>
      </c>
      <c r="P295" t="s">
        <v>992</v>
      </c>
    </row>
    <row r="296" spans="1:16" x14ac:dyDescent="0.2">
      <c r="A296" t="s">
        <v>1982</v>
      </c>
      <c r="B296" t="s">
        <v>485</v>
      </c>
      <c r="C296" t="s">
        <v>485</v>
      </c>
      <c r="D296" t="s">
        <v>118</v>
      </c>
      <c r="E296" t="s">
        <v>1028</v>
      </c>
      <c r="F296" t="s">
        <v>1882</v>
      </c>
      <c r="G296" t="s">
        <v>1144</v>
      </c>
      <c r="H296" t="s">
        <v>1009</v>
      </c>
      <c r="I296" t="s">
        <v>941</v>
      </c>
      <c r="J296" t="s">
        <v>1039</v>
      </c>
      <c r="K296" t="s">
        <v>992</v>
      </c>
      <c r="L296" t="s">
        <v>931</v>
      </c>
      <c r="M296" t="s">
        <v>982</v>
      </c>
      <c r="N296" t="s">
        <v>1468</v>
      </c>
      <c r="O296" t="s">
        <v>1796</v>
      </c>
      <c r="P296" t="s">
        <v>992</v>
      </c>
    </row>
    <row r="297" spans="1:16" x14ac:dyDescent="0.2">
      <c r="A297" t="s">
        <v>1983</v>
      </c>
      <c r="B297" t="s">
        <v>1984</v>
      </c>
      <c r="C297" t="s">
        <v>1984</v>
      </c>
      <c r="D297" t="s">
        <v>77</v>
      </c>
      <c r="E297" t="s">
        <v>1123</v>
      </c>
      <c r="G297" t="s">
        <v>1039</v>
      </c>
      <c r="H297" t="s">
        <v>992</v>
      </c>
      <c r="I297" t="s">
        <v>941</v>
      </c>
      <c r="J297" t="s">
        <v>1064</v>
      </c>
      <c r="K297" t="s">
        <v>992</v>
      </c>
      <c r="L297" t="s">
        <v>931</v>
      </c>
      <c r="M297" t="s">
        <v>1027</v>
      </c>
      <c r="N297" t="s">
        <v>1429</v>
      </c>
      <c r="O297" t="s">
        <v>1510</v>
      </c>
      <c r="P297" t="s">
        <v>992</v>
      </c>
    </row>
    <row r="298" spans="1:16" x14ac:dyDescent="0.2">
      <c r="A298" t="s">
        <v>1985</v>
      </c>
      <c r="B298" t="s">
        <v>469</v>
      </c>
      <c r="C298" t="s">
        <v>469</v>
      </c>
      <c r="D298" t="s">
        <v>122</v>
      </c>
      <c r="E298" t="s">
        <v>1028</v>
      </c>
      <c r="G298" t="s">
        <v>1051</v>
      </c>
      <c r="H298" t="s">
        <v>992</v>
      </c>
      <c r="I298" t="s">
        <v>941</v>
      </c>
      <c r="J298" t="s">
        <v>1064</v>
      </c>
      <c r="K298" t="s">
        <v>992</v>
      </c>
      <c r="L298" t="s">
        <v>992</v>
      </c>
      <c r="M298" t="s">
        <v>1009</v>
      </c>
      <c r="N298" t="s">
        <v>1429</v>
      </c>
      <c r="O298" t="s">
        <v>1821</v>
      </c>
      <c r="P298" t="s">
        <v>992</v>
      </c>
    </row>
    <row r="299" spans="1:16" x14ac:dyDescent="0.2">
      <c r="A299" t="s">
        <v>1113</v>
      </c>
      <c r="B299" t="s">
        <v>522</v>
      </c>
      <c r="C299" t="s">
        <v>522</v>
      </c>
      <c r="D299" t="s">
        <v>101</v>
      </c>
      <c r="E299" t="s">
        <v>1088</v>
      </c>
      <c r="G299" t="s">
        <v>1002</v>
      </c>
      <c r="H299" t="s">
        <v>931</v>
      </c>
      <c r="I299" t="s">
        <v>941</v>
      </c>
      <c r="J299" t="s">
        <v>1039</v>
      </c>
      <c r="K299" t="s">
        <v>992</v>
      </c>
      <c r="L299" t="s">
        <v>992</v>
      </c>
      <c r="M299" t="s">
        <v>982</v>
      </c>
      <c r="N299" t="s">
        <v>1468</v>
      </c>
      <c r="O299" t="s">
        <v>1530</v>
      </c>
      <c r="P299" t="s">
        <v>941</v>
      </c>
    </row>
    <row r="300" spans="1:16" x14ac:dyDescent="0.2">
      <c r="A300" t="s">
        <v>1986</v>
      </c>
      <c r="B300" t="s">
        <v>310</v>
      </c>
      <c r="C300" t="s">
        <v>310</v>
      </c>
      <c r="D300" t="s">
        <v>92</v>
      </c>
      <c r="E300" t="s">
        <v>1028</v>
      </c>
      <c r="F300" t="s">
        <v>83</v>
      </c>
      <c r="G300" t="s">
        <v>1144</v>
      </c>
      <c r="H300" t="s">
        <v>1002</v>
      </c>
      <c r="I300" t="s">
        <v>941</v>
      </c>
      <c r="J300" t="s">
        <v>1493</v>
      </c>
      <c r="K300" t="s">
        <v>992</v>
      </c>
      <c r="L300" t="s">
        <v>992</v>
      </c>
      <c r="M300" t="s">
        <v>941</v>
      </c>
      <c r="N300" t="s">
        <v>1820</v>
      </c>
      <c r="O300" t="s">
        <v>1816</v>
      </c>
      <c r="P300" t="s">
        <v>931</v>
      </c>
    </row>
    <row r="301" spans="1:16" x14ac:dyDescent="0.2">
      <c r="A301" t="s">
        <v>1101</v>
      </c>
      <c r="B301" t="s">
        <v>208</v>
      </c>
      <c r="C301" t="s">
        <v>208</v>
      </c>
      <c r="D301" t="s">
        <v>108</v>
      </c>
      <c r="E301" t="s">
        <v>934</v>
      </c>
      <c r="G301" t="s">
        <v>931</v>
      </c>
      <c r="H301" t="s">
        <v>992</v>
      </c>
      <c r="I301" t="s">
        <v>941</v>
      </c>
      <c r="J301" t="s">
        <v>1547</v>
      </c>
      <c r="K301" t="s">
        <v>992</v>
      </c>
      <c r="L301" t="s">
        <v>992</v>
      </c>
      <c r="M301" t="s">
        <v>992</v>
      </c>
      <c r="N301" t="s">
        <v>1495</v>
      </c>
      <c r="O301" t="s">
        <v>1548</v>
      </c>
      <c r="P301" t="s">
        <v>931</v>
      </c>
    </row>
    <row r="302" spans="1:16" x14ac:dyDescent="0.2">
      <c r="A302" t="s">
        <v>1987</v>
      </c>
      <c r="B302" t="s">
        <v>339</v>
      </c>
      <c r="C302" t="s">
        <v>339</v>
      </c>
      <c r="D302" t="s">
        <v>77</v>
      </c>
      <c r="E302" t="s">
        <v>1088</v>
      </c>
      <c r="F302" t="s">
        <v>88</v>
      </c>
      <c r="G302" t="s">
        <v>1002</v>
      </c>
      <c r="H302" t="s">
        <v>1066</v>
      </c>
      <c r="I302" t="s">
        <v>941</v>
      </c>
      <c r="J302" t="s">
        <v>982</v>
      </c>
      <c r="K302" t="s">
        <v>931</v>
      </c>
      <c r="L302" t="s">
        <v>931</v>
      </c>
      <c r="M302" t="s">
        <v>951</v>
      </c>
      <c r="N302" t="s">
        <v>1147</v>
      </c>
      <c r="O302" t="s">
        <v>1511</v>
      </c>
      <c r="P302" t="s">
        <v>992</v>
      </c>
    </row>
    <row r="303" spans="1:16" x14ac:dyDescent="0.2">
      <c r="A303" t="s">
        <v>1988</v>
      </c>
      <c r="B303" t="s">
        <v>217</v>
      </c>
      <c r="C303" t="s">
        <v>217</v>
      </c>
      <c r="D303" t="s">
        <v>102</v>
      </c>
      <c r="E303" t="s">
        <v>1010</v>
      </c>
      <c r="G303" t="s">
        <v>931</v>
      </c>
      <c r="H303" t="s">
        <v>992</v>
      </c>
      <c r="I303" t="s">
        <v>941</v>
      </c>
      <c r="J303" t="s">
        <v>972</v>
      </c>
      <c r="K303" t="s">
        <v>992</v>
      </c>
      <c r="L303" t="s">
        <v>931</v>
      </c>
      <c r="M303" t="s">
        <v>972</v>
      </c>
      <c r="N303" t="s">
        <v>1306</v>
      </c>
      <c r="O303" t="s">
        <v>1516</v>
      </c>
      <c r="P303" t="s">
        <v>931</v>
      </c>
    </row>
    <row r="304" spans="1:16" x14ac:dyDescent="0.2">
      <c r="A304" t="s">
        <v>1989</v>
      </c>
      <c r="B304" t="s">
        <v>323</v>
      </c>
      <c r="C304" t="s">
        <v>323</v>
      </c>
      <c r="D304" t="s">
        <v>102</v>
      </c>
      <c r="E304" t="s">
        <v>1088</v>
      </c>
      <c r="F304" t="s">
        <v>1298</v>
      </c>
      <c r="G304" t="s">
        <v>1144</v>
      </c>
      <c r="H304" t="s">
        <v>1075</v>
      </c>
      <c r="I304" t="s">
        <v>941</v>
      </c>
      <c r="J304" t="s">
        <v>1951</v>
      </c>
      <c r="K304" t="s">
        <v>992</v>
      </c>
      <c r="L304" t="s">
        <v>992</v>
      </c>
      <c r="M304" t="s">
        <v>941</v>
      </c>
      <c r="N304" t="s">
        <v>1548</v>
      </c>
      <c r="O304" t="s">
        <v>1507</v>
      </c>
      <c r="P304" t="s">
        <v>941</v>
      </c>
    </row>
    <row r="305" spans="1:16" x14ac:dyDescent="0.2">
      <c r="A305" t="s">
        <v>1990</v>
      </c>
      <c r="B305" t="s">
        <v>546</v>
      </c>
      <c r="C305" t="s">
        <v>546</v>
      </c>
      <c r="D305" t="s">
        <v>1267</v>
      </c>
      <c r="E305" t="s">
        <v>1028</v>
      </c>
      <c r="G305" t="s">
        <v>951</v>
      </c>
      <c r="H305" t="s">
        <v>992</v>
      </c>
      <c r="I305" t="s">
        <v>941</v>
      </c>
      <c r="J305" t="s">
        <v>1051</v>
      </c>
      <c r="K305" t="s">
        <v>992</v>
      </c>
      <c r="L305" t="s">
        <v>992</v>
      </c>
      <c r="M305" t="s">
        <v>1009</v>
      </c>
      <c r="N305" t="s">
        <v>984</v>
      </c>
      <c r="O305" t="s">
        <v>1156</v>
      </c>
      <c r="P305" t="s">
        <v>992</v>
      </c>
    </row>
    <row r="306" spans="1:16" x14ac:dyDescent="0.2">
      <c r="A306" t="s">
        <v>1991</v>
      </c>
      <c r="B306" t="s">
        <v>1992</v>
      </c>
      <c r="C306" t="s">
        <v>1992</v>
      </c>
      <c r="D306" t="s">
        <v>74</v>
      </c>
      <c r="E306" t="s">
        <v>1123</v>
      </c>
      <c r="G306" t="s">
        <v>1048</v>
      </c>
      <c r="H306" t="s">
        <v>992</v>
      </c>
      <c r="I306" t="s">
        <v>941</v>
      </c>
      <c r="J306" t="s">
        <v>1488</v>
      </c>
      <c r="K306" t="s">
        <v>992</v>
      </c>
      <c r="L306" t="s">
        <v>941</v>
      </c>
      <c r="M306" t="s">
        <v>1124</v>
      </c>
      <c r="N306" t="s">
        <v>1514</v>
      </c>
      <c r="O306" t="s">
        <v>1468</v>
      </c>
      <c r="P306" t="s">
        <v>992</v>
      </c>
    </row>
    <row r="307" spans="1:16" x14ac:dyDescent="0.2">
      <c r="A307" t="s">
        <v>1993</v>
      </c>
      <c r="B307" t="s">
        <v>432</v>
      </c>
      <c r="C307" t="s">
        <v>432</v>
      </c>
      <c r="D307" t="s">
        <v>1122</v>
      </c>
      <c r="E307" t="s">
        <v>1028</v>
      </c>
      <c r="G307" t="s">
        <v>982</v>
      </c>
      <c r="H307" t="s">
        <v>992</v>
      </c>
      <c r="I307" t="s">
        <v>941</v>
      </c>
      <c r="J307" t="s">
        <v>965</v>
      </c>
      <c r="K307" t="s">
        <v>992</v>
      </c>
      <c r="L307" t="s">
        <v>941</v>
      </c>
      <c r="M307" t="s">
        <v>1048</v>
      </c>
      <c r="N307" t="s">
        <v>1994</v>
      </c>
      <c r="O307" t="s">
        <v>1015</v>
      </c>
      <c r="P307" t="s">
        <v>992</v>
      </c>
    </row>
    <row r="308" spans="1:16" x14ac:dyDescent="0.2">
      <c r="A308" t="s">
        <v>1995</v>
      </c>
      <c r="B308" t="s">
        <v>364</v>
      </c>
      <c r="C308" t="s">
        <v>364</v>
      </c>
      <c r="D308" t="s">
        <v>122</v>
      </c>
      <c r="E308" t="s">
        <v>957</v>
      </c>
      <c r="F308" t="s">
        <v>1577</v>
      </c>
      <c r="G308" t="s">
        <v>1048</v>
      </c>
      <c r="H308" t="s">
        <v>1009</v>
      </c>
      <c r="I308" t="s">
        <v>931</v>
      </c>
      <c r="J308" t="s">
        <v>982</v>
      </c>
      <c r="K308" t="s">
        <v>992</v>
      </c>
      <c r="L308" t="s">
        <v>931</v>
      </c>
      <c r="M308" t="s">
        <v>982</v>
      </c>
      <c r="N308" t="s">
        <v>984</v>
      </c>
      <c r="O308" t="s">
        <v>1511</v>
      </c>
      <c r="P308" t="s">
        <v>992</v>
      </c>
    </row>
    <row r="309" spans="1:16" x14ac:dyDescent="0.2">
      <c r="A309" t="s">
        <v>1755</v>
      </c>
      <c r="B309" t="s">
        <v>1397</v>
      </c>
      <c r="C309" t="s">
        <v>125</v>
      </c>
      <c r="D309" t="s">
        <v>118</v>
      </c>
      <c r="E309" t="s">
        <v>957</v>
      </c>
      <c r="F309" t="s">
        <v>83</v>
      </c>
      <c r="G309" t="s">
        <v>1066</v>
      </c>
      <c r="H309" t="s">
        <v>1048</v>
      </c>
      <c r="I309" t="s">
        <v>931</v>
      </c>
      <c r="J309" t="s">
        <v>1493</v>
      </c>
      <c r="K309" t="s">
        <v>992</v>
      </c>
      <c r="L309" t="s">
        <v>992</v>
      </c>
      <c r="M309" t="s">
        <v>1493</v>
      </c>
      <c r="N309" t="s">
        <v>1495</v>
      </c>
      <c r="O309" t="s">
        <v>1816</v>
      </c>
      <c r="P309" t="s">
        <v>951</v>
      </c>
    </row>
    <row r="310" spans="1:16" x14ac:dyDescent="0.2">
      <c r="A310" t="s">
        <v>902</v>
      </c>
      <c r="B310" t="s">
        <v>903</v>
      </c>
      <c r="C310" t="s">
        <v>903</v>
      </c>
      <c r="D310" t="s">
        <v>1314</v>
      </c>
      <c r="E310" t="s">
        <v>905</v>
      </c>
      <c r="F310" t="s">
        <v>906</v>
      </c>
      <c r="G310" t="s">
        <v>1315</v>
      </c>
      <c r="H310" t="s">
        <v>1316</v>
      </c>
      <c r="I310" t="s">
        <v>1319</v>
      </c>
      <c r="J310" t="s">
        <v>799</v>
      </c>
      <c r="K310" t="s">
        <v>800</v>
      </c>
      <c r="L310" t="s">
        <v>1321</v>
      </c>
      <c r="M310" t="s">
        <v>917</v>
      </c>
      <c r="N310" t="s">
        <v>1322</v>
      </c>
      <c r="O310" t="s">
        <v>1325</v>
      </c>
      <c r="P310" t="s">
        <v>1416</v>
      </c>
    </row>
    <row r="311" spans="1:16" x14ac:dyDescent="0.2">
      <c r="A311" t="s">
        <v>1996</v>
      </c>
      <c r="B311" t="s">
        <v>1997</v>
      </c>
      <c r="C311" t="s">
        <v>1997</v>
      </c>
      <c r="D311" t="s">
        <v>139</v>
      </c>
      <c r="E311" t="s">
        <v>1134</v>
      </c>
      <c r="F311" t="s">
        <v>1298</v>
      </c>
      <c r="G311" t="s">
        <v>1066</v>
      </c>
      <c r="H311" t="s">
        <v>1009</v>
      </c>
      <c r="I311" t="s">
        <v>931</v>
      </c>
      <c r="J311" t="s">
        <v>941</v>
      </c>
      <c r="K311" t="s">
        <v>992</v>
      </c>
      <c r="L311" t="s">
        <v>931</v>
      </c>
      <c r="M311" t="s">
        <v>941</v>
      </c>
      <c r="N311" t="s">
        <v>1147</v>
      </c>
      <c r="O311" t="s">
        <v>1825</v>
      </c>
      <c r="P311" t="s">
        <v>992</v>
      </c>
    </row>
    <row r="312" spans="1:16" x14ac:dyDescent="0.2">
      <c r="A312" t="s">
        <v>1762</v>
      </c>
      <c r="B312" t="s">
        <v>648</v>
      </c>
      <c r="C312" t="s">
        <v>648</v>
      </c>
      <c r="D312" t="s">
        <v>729</v>
      </c>
      <c r="E312" t="s">
        <v>1123</v>
      </c>
      <c r="F312" t="s">
        <v>1577</v>
      </c>
      <c r="G312" t="s">
        <v>1144</v>
      </c>
      <c r="H312" t="s">
        <v>941</v>
      </c>
      <c r="I312" t="s">
        <v>931</v>
      </c>
      <c r="J312" t="s">
        <v>941</v>
      </c>
      <c r="K312" t="s">
        <v>992</v>
      </c>
      <c r="L312" t="s">
        <v>931</v>
      </c>
      <c r="M312" t="s">
        <v>941</v>
      </c>
      <c r="N312" t="s">
        <v>1147</v>
      </c>
      <c r="O312" t="s">
        <v>1825</v>
      </c>
      <c r="P312" t="s">
        <v>992</v>
      </c>
    </row>
    <row r="313" spans="1:16" x14ac:dyDescent="0.2">
      <c r="A313" t="s">
        <v>1998</v>
      </c>
      <c r="B313" t="s">
        <v>1999</v>
      </c>
      <c r="C313" t="s">
        <v>467</v>
      </c>
      <c r="D313" t="s">
        <v>108</v>
      </c>
      <c r="E313" t="s">
        <v>966</v>
      </c>
      <c r="G313" t="s">
        <v>1144</v>
      </c>
      <c r="H313" t="s">
        <v>992</v>
      </c>
      <c r="I313" t="s">
        <v>931</v>
      </c>
      <c r="J313" t="s">
        <v>1009</v>
      </c>
      <c r="K313" t="s">
        <v>992</v>
      </c>
      <c r="L313" t="s">
        <v>992</v>
      </c>
      <c r="M313" t="s">
        <v>1009</v>
      </c>
      <c r="N313" t="s">
        <v>1026</v>
      </c>
      <c r="O313" t="s">
        <v>1511</v>
      </c>
      <c r="P313" t="s">
        <v>992</v>
      </c>
    </row>
    <row r="314" spans="1:16" x14ac:dyDescent="0.2">
      <c r="A314" t="s">
        <v>1727</v>
      </c>
      <c r="B314" t="s">
        <v>205</v>
      </c>
      <c r="C314" t="s">
        <v>205</v>
      </c>
      <c r="D314" t="s">
        <v>139</v>
      </c>
      <c r="E314" t="s">
        <v>1088</v>
      </c>
      <c r="G314" t="s">
        <v>931</v>
      </c>
      <c r="H314" t="s">
        <v>992</v>
      </c>
      <c r="I314" t="s">
        <v>931</v>
      </c>
      <c r="J314" t="s">
        <v>1162</v>
      </c>
      <c r="K314" t="s">
        <v>992</v>
      </c>
      <c r="L314" t="s">
        <v>931</v>
      </c>
      <c r="M314" t="s">
        <v>1162</v>
      </c>
      <c r="N314" t="s">
        <v>1496</v>
      </c>
      <c r="O314" t="s">
        <v>1496</v>
      </c>
      <c r="P314" t="s">
        <v>992</v>
      </c>
    </row>
    <row r="315" spans="1:16" x14ac:dyDescent="0.2">
      <c r="A315" t="s">
        <v>2000</v>
      </c>
      <c r="B315" t="s">
        <v>459</v>
      </c>
      <c r="C315" t="s">
        <v>459</v>
      </c>
      <c r="D315" t="s">
        <v>92</v>
      </c>
      <c r="E315" t="s">
        <v>1010</v>
      </c>
      <c r="F315" t="s">
        <v>1298</v>
      </c>
      <c r="G315" t="s">
        <v>1066</v>
      </c>
      <c r="H315" t="s">
        <v>982</v>
      </c>
      <c r="I315" t="s">
        <v>931</v>
      </c>
      <c r="J315" t="s">
        <v>951</v>
      </c>
      <c r="K315" t="s">
        <v>992</v>
      </c>
      <c r="L315" t="s">
        <v>992</v>
      </c>
      <c r="M315" t="s">
        <v>951</v>
      </c>
      <c r="N315" t="s">
        <v>1311</v>
      </c>
      <c r="O315" t="s">
        <v>1795</v>
      </c>
      <c r="P315" t="s">
        <v>992</v>
      </c>
    </row>
    <row r="316" spans="1:16" x14ac:dyDescent="0.2">
      <c r="A316" t="s">
        <v>2001</v>
      </c>
      <c r="B316" t="s">
        <v>1544</v>
      </c>
      <c r="C316" t="s">
        <v>1544</v>
      </c>
      <c r="D316" t="s">
        <v>725</v>
      </c>
      <c r="E316" t="s">
        <v>1028</v>
      </c>
      <c r="F316" t="s">
        <v>83</v>
      </c>
      <c r="G316" t="s">
        <v>1144</v>
      </c>
      <c r="H316" t="s">
        <v>1066</v>
      </c>
      <c r="I316" t="s">
        <v>931</v>
      </c>
      <c r="J316" t="s">
        <v>931</v>
      </c>
      <c r="K316" t="s">
        <v>992</v>
      </c>
      <c r="L316" t="s">
        <v>992</v>
      </c>
      <c r="M316" t="s">
        <v>931</v>
      </c>
      <c r="N316" t="s">
        <v>1503</v>
      </c>
      <c r="O316" t="s">
        <v>1825</v>
      </c>
      <c r="P316" t="s">
        <v>992</v>
      </c>
    </row>
    <row r="317" spans="1:16" x14ac:dyDescent="0.2">
      <c r="A317" t="s">
        <v>2002</v>
      </c>
      <c r="B317" t="s">
        <v>2003</v>
      </c>
      <c r="C317" t="s">
        <v>2003</v>
      </c>
      <c r="D317" t="s">
        <v>729</v>
      </c>
      <c r="E317" t="s">
        <v>1023</v>
      </c>
      <c r="F317" t="s">
        <v>1298</v>
      </c>
      <c r="G317" t="s">
        <v>1144</v>
      </c>
      <c r="H317" t="s">
        <v>931</v>
      </c>
      <c r="I317" t="s">
        <v>931</v>
      </c>
      <c r="J317" t="s">
        <v>982</v>
      </c>
      <c r="K317" t="s">
        <v>992</v>
      </c>
      <c r="L317" t="s">
        <v>992</v>
      </c>
      <c r="M317" t="s">
        <v>982</v>
      </c>
      <c r="N317" t="s">
        <v>984</v>
      </c>
      <c r="O317" t="s">
        <v>1511</v>
      </c>
      <c r="P317" t="s">
        <v>992</v>
      </c>
    </row>
    <row r="318" spans="1:16" x14ac:dyDescent="0.2">
      <c r="A318" t="s">
        <v>2004</v>
      </c>
      <c r="B318" t="s">
        <v>2005</v>
      </c>
      <c r="C318" t="s">
        <v>2005</v>
      </c>
      <c r="D318" t="s">
        <v>139</v>
      </c>
      <c r="E318" t="s">
        <v>1023</v>
      </c>
      <c r="F318" t="s">
        <v>2006</v>
      </c>
      <c r="G318" t="s">
        <v>1144</v>
      </c>
      <c r="H318" t="s">
        <v>941</v>
      </c>
      <c r="I318" t="s">
        <v>931</v>
      </c>
      <c r="J318" t="s">
        <v>992</v>
      </c>
      <c r="K318" t="s">
        <v>992</v>
      </c>
      <c r="L318" t="s">
        <v>992</v>
      </c>
      <c r="M318" t="s">
        <v>992</v>
      </c>
      <c r="N318" t="s">
        <v>995</v>
      </c>
      <c r="O318" t="s">
        <v>995</v>
      </c>
      <c r="P318" t="s">
        <v>992</v>
      </c>
    </row>
    <row r="319" spans="1:16" x14ac:dyDescent="0.2">
      <c r="A319" t="s">
        <v>1737</v>
      </c>
      <c r="B319" t="s">
        <v>2007</v>
      </c>
      <c r="C319" t="s">
        <v>2007</v>
      </c>
      <c r="D319" t="s">
        <v>933</v>
      </c>
      <c r="E319" t="s">
        <v>1088</v>
      </c>
      <c r="F319" t="s">
        <v>1399</v>
      </c>
      <c r="G319" t="s">
        <v>1144</v>
      </c>
      <c r="H319" t="s">
        <v>992</v>
      </c>
      <c r="I319" t="s">
        <v>931</v>
      </c>
      <c r="J319" t="s">
        <v>992</v>
      </c>
      <c r="K319" t="s">
        <v>992</v>
      </c>
      <c r="L319" t="s">
        <v>992</v>
      </c>
      <c r="M319" t="s">
        <v>992</v>
      </c>
      <c r="N319" t="s">
        <v>995</v>
      </c>
      <c r="O319" t="s">
        <v>995</v>
      </c>
      <c r="P319" t="s">
        <v>931</v>
      </c>
    </row>
    <row r="320" spans="1:16" x14ac:dyDescent="0.2">
      <c r="A320" t="s">
        <v>2008</v>
      </c>
      <c r="B320" t="s">
        <v>901</v>
      </c>
      <c r="C320" t="s">
        <v>901</v>
      </c>
      <c r="D320" t="s">
        <v>1052</v>
      </c>
      <c r="E320" t="s">
        <v>1010</v>
      </c>
      <c r="F320" t="s">
        <v>1298</v>
      </c>
      <c r="G320" t="s">
        <v>1144</v>
      </c>
      <c r="H320" t="s">
        <v>1009</v>
      </c>
      <c r="I320" t="s">
        <v>931</v>
      </c>
      <c r="J320" t="s">
        <v>941</v>
      </c>
      <c r="K320" t="s">
        <v>992</v>
      </c>
      <c r="L320" t="s">
        <v>992</v>
      </c>
      <c r="M320" t="s">
        <v>941</v>
      </c>
      <c r="N320" t="s">
        <v>1147</v>
      </c>
      <c r="O320" t="s">
        <v>1825</v>
      </c>
      <c r="P320" t="s">
        <v>992</v>
      </c>
    </row>
    <row r="321" spans="1:16" x14ac:dyDescent="0.2">
      <c r="A321" t="s">
        <v>2009</v>
      </c>
      <c r="B321" t="s">
        <v>237</v>
      </c>
      <c r="C321" t="s">
        <v>237</v>
      </c>
      <c r="D321" t="s">
        <v>71</v>
      </c>
      <c r="E321" t="s">
        <v>1010</v>
      </c>
      <c r="F321" t="s">
        <v>1298</v>
      </c>
      <c r="G321" t="s">
        <v>972</v>
      </c>
      <c r="H321" t="s">
        <v>1039</v>
      </c>
      <c r="I321" t="s">
        <v>931</v>
      </c>
      <c r="J321" t="s">
        <v>1066</v>
      </c>
      <c r="K321" t="s">
        <v>992</v>
      </c>
      <c r="L321" t="s">
        <v>931</v>
      </c>
      <c r="M321" t="s">
        <v>1066</v>
      </c>
      <c r="N321" t="s">
        <v>1197</v>
      </c>
      <c r="O321" t="s">
        <v>1883</v>
      </c>
      <c r="P321" t="s">
        <v>992</v>
      </c>
    </row>
    <row r="322" spans="1:16" x14ac:dyDescent="0.2">
      <c r="A322" t="s">
        <v>2010</v>
      </c>
      <c r="B322" t="s">
        <v>331</v>
      </c>
      <c r="C322" t="s">
        <v>331</v>
      </c>
      <c r="D322" t="s">
        <v>98</v>
      </c>
      <c r="E322" t="s">
        <v>965</v>
      </c>
      <c r="F322" t="s">
        <v>83</v>
      </c>
      <c r="G322" t="s">
        <v>1144</v>
      </c>
      <c r="H322" t="s">
        <v>1086</v>
      </c>
      <c r="I322" t="s">
        <v>931</v>
      </c>
      <c r="J322" t="s">
        <v>992</v>
      </c>
      <c r="K322" t="s">
        <v>992</v>
      </c>
      <c r="L322" t="s">
        <v>992</v>
      </c>
      <c r="M322" t="s">
        <v>992</v>
      </c>
      <c r="N322" t="s">
        <v>995</v>
      </c>
      <c r="O322" t="s">
        <v>995</v>
      </c>
      <c r="P322" t="s">
        <v>931</v>
      </c>
    </row>
    <row r="323" spans="1:16" x14ac:dyDescent="0.2">
      <c r="A323" t="s">
        <v>1588</v>
      </c>
      <c r="B323" t="s">
        <v>2011</v>
      </c>
      <c r="C323" t="s">
        <v>105</v>
      </c>
      <c r="D323" t="s">
        <v>98</v>
      </c>
      <c r="E323" t="s">
        <v>1010</v>
      </c>
      <c r="F323" t="s">
        <v>83</v>
      </c>
      <c r="G323" t="s">
        <v>1144</v>
      </c>
      <c r="H323" t="s">
        <v>1002</v>
      </c>
      <c r="I323" t="s">
        <v>931</v>
      </c>
      <c r="J323" t="s">
        <v>931</v>
      </c>
      <c r="K323" t="s">
        <v>992</v>
      </c>
      <c r="L323" t="s">
        <v>992</v>
      </c>
      <c r="M323" t="s">
        <v>931</v>
      </c>
      <c r="N323" t="s">
        <v>1503</v>
      </c>
      <c r="O323" t="s">
        <v>1825</v>
      </c>
      <c r="P323" t="s">
        <v>992</v>
      </c>
    </row>
    <row r="324" spans="1:16" x14ac:dyDescent="0.2">
      <c r="A324" t="s">
        <v>2012</v>
      </c>
      <c r="B324" t="s">
        <v>363</v>
      </c>
      <c r="C324" t="s">
        <v>363</v>
      </c>
      <c r="D324" t="s">
        <v>730</v>
      </c>
      <c r="E324" t="s">
        <v>952</v>
      </c>
      <c r="F324" t="s">
        <v>1577</v>
      </c>
      <c r="G324" t="s">
        <v>1144</v>
      </c>
      <c r="H324" t="s">
        <v>1039</v>
      </c>
      <c r="I324" t="s">
        <v>931</v>
      </c>
      <c r="J324" t="s">
        <v>941</v>
      </c>
      <c r="K324" t="s">
        <v>931</v>
      </c>
      <c r="L324" t="s">
        <v>931</v>
      </c>
      <c r="M324" t="s">
        <v>941</v>
      </c>
      <c r="N324" t="s">
        <v>1147</v>
      </c>
      <c r="O324" t="s">
        <v>1825</v>
      </c>
      <c r="P324" t="s">
        <v>931</v>
      </c>
    </row>
    <row r="325" spans="1:16" x14ac:dyDescent="0.2">
      <c r="A325" t="s">
        <v>1090</v>
      </c>
      <c r="B325" t="s">
        <v>890</v>
      </c>
      <c r="C325" t="s">
        <v>890</v>
      </c>
      <c r="D325" t="s">
        <v>122</v>
      </c>
      <c r="E325" t="s">
        <v>952</v>
      </c>
      <c r="F325" t="s">
        <v>83</v>
      </c>
      <c r="G325" t="s">
        <v>1086</v>
      </c>
      <c r="H325" t="s">
        <v>1086</v>
      </c>
      <c r="I325" t="s">
        <v>931</v>
      </c>
      <c r="J325" t="s">
        <v>992</v>
      </c>
      <c r="K325" t="s">
        <v>992</v>
      </c>
      <c r="L325" t="s">
        <v>992</v>
      </c>
      <c r="M325" t="s">
        <v>992</v>
      </c>
      <c r="N325" t="s">
        <v>995</v>
      </c>
      <c r="O325" t="s">
        <v>995</v>
      </c>
      <c r="P325" t="s">
        <v>992</v>
      </c>
    </row>
    <row r="326" spans="1:16" x14ac:dyDescent="0.2">
      <c r="A326" t="s">
        <v>2013</v>
      </c>
      <c r="B326" t="s">
        <v>394</v>
      </c>
      <c r="C326" t="s">
        <v>394</v>
      </c>
      <c r="D326" t="s">
        <v>119</v>
      </c>
      <c r="E326" t="s">
        <v>985</v>
      </c>
      <c r="F326" t="s">
        <v>1298</v>
      </c>
      <c r="G326" t="s">
        <v>1027</v>
      </c>
      <c r="H326" t="s">
        <v>941</v>
      </c>
      <c r="I326" t="s">
        <v>931</v>
      </c>
      <c r="J326" t="s">
        <v>985</v>
      </c>
      <c r="K326" t="s">
        <v>992</v>
      </c>
      <c r="L326" t="s">
        <v>931</v>
      </c>
      <c r="M326" t="s">
        <v>985</v>
      </c>
      <c r="N326" t="s">
        <v>1498</v>
      </c>
      <c r="O326" t="s">
        <v>1085</v>
      </c>
      <c r="P326" t="s">
        <v>992</v>
      </c>
    </row>
    <row r="327" spans="1:16" x14ac:dyDescent="0.2">
      <c r="A327" t="s">
        <v>2014</v>
      </c>
      <c r="B327" t="s">
        <v>1553</v>
      </c>
      <c r="C327" t="s">
        <v>1553</v>
      </c>
      <c r="D327" t="s">
        <v>82</v>
      </c>
      <c r="E327" t="s">
        <v>1028</v>
      </c>
      <c r="F327" t="s">
        <v>1399</v>
      </c>
      <c r="G327" t="s">
        <v>1144</v>
      </c>
      <c r="H327" t="s">
        <v>992</v>
      </c>
      <c r="I327" t="s">
        <v>931</v>
      </c>
      <c r="J327" t="s">
        <v>1547</v>
      </c>
      <c r="K327" t="s">
        <v>992</v>
      </c>
      <c r="L327" t="s">
        <v>992</v>
      </c>
      <c r="M327" t="s">
        <v>1547</v>
      </c>
      <c r="N327" t="s">
        <v>1548</v>
      </c>
      <c r="O327" t="s">
        <v>1816</v>
      </c>
      <c r="P327" t="s">
        <v>931</v>
      </c>
    </row>
    <row r="328" spans="1:16" x14ac:dyDescent="0.2">
      <c r="A328" t="s">
        <v>2015</v>
      </c>
      <c r="B328" t="s">
        <v>604</v>
      </c>
      <c r="C328" t="s">
        <v>604</v>
      </c>
      <c r="D328" t="s">
        <v>1052</v>
      </c>
      <c r="E328" t="s">
        <v>1023</v>
      </c>
      <c r="G328" t="s">
        <v>951</v>
      </c>
      <c r="H328" t="s">
        <v>992</v>
      </c>
      <c r="I328" t="s">
        <v>931</v>
      </c>
      <c r="J328" t="s">
        <v>951</v>
      </c>
      <c r="K328" t="s">
        <v>992</v>
      </c>
      <c r="L328" t="s">
        <v>992</v>
      </c>
      <c r="M328" t="s">
        <v>951</v>
      </c>
      <c r="N328" t="s">
        <v>1311</v>
      </c>
      <c r="O328" t="s">
        <v>1503</v>
      </c>
      <c r="P328" t="s">
        <v>992</v>
      </c>
    </row>
    <row r="329" spans="1:16" x14ac:dyDescent="0.2">
      <c r="A329" t="s">
        <v>2016</v>
      </c>
      <c r="B329" t="s">
        <v>539</v>
      </c>
      <c r="C329" t="s">
        <v>539</v>
      </c>
      <c r="D329" t="s">
        <v>1726</v>
      </c>
      <c r="E329" t="s">
        <v>1010</v>
      </c>
      <c r="G329" t="s">
        <v>972</v>
      </c>
      <c r="H329" t="s">
        <v>1027</v>
      </c>
      <c r="I329" t="s">
        <v>931</v>
      </c>
      <c r="J329" t="s">
        <v>931</v>
      </c>
      <c r="K329" t="s">
        <v>992</v>
      </c>
      <c r="L329" t="s">
        <v>992</v>
      </c>
      <c r="M329" t="s">
        <v>931</v>
      </c>
      <c r="N329" t="s">
        <v>1503</v>
      </c>
      <c r="O329" t="s">
        <v>1825</v>
      </c>
      <c r="P329" t="s">
        <v>992</v>
      </c>
    </row>
    <row r="330" spans="1:16" x14ac:dyDescent="0.2">
      <c r="A330" t="s">
        <v>1746</v>
      </c>
      <c r="B330" t="s">
        <v>430</v>
      </c>
      <c r="C330" t="s">
        <v>430</v>
      </c>
      <c r="D330" t="s">
        <v>108</v>
      </c>
      <c r="E330" t="s">
        <v>1023</v>
      </c>
      <c r="G330" t="s">
        <v>1048</v>
      </c>
      <c r="H330" t="s">
        <v>992</v>
      </c>
      <c r="I330" t="s">
        <v>931</v>
      </c>
      <c r="J330" t="s">
        <v>1016</v>
      </c>
      <c r="K330" t="s">
        <v>992</v>
      </c>
      <c r="L330" t="s">
        <v>931</v>
      </c>
      <c r="M330" t="s">
        <v>1016</v>
      </c>
      <c r="N330" t="s">
        <v>1506</v>
      </c>
      <c r="O330" t="s">
        <v>1272</v>
      </c>
      <c r="P330" t="s">
        <v>992</v>
      </c>
    </row>
    <row r="331" spans="1:16" x14ac:dyDescent="0.2">
      <c r="A331" t="s">
        <v>2017</v>
      </c>
      <c r="B331" t="s">
        <v>2018</v>
      </c>
      <c r="C331" t="s">
        <v>2018</v>
      </c>
      <c r="D331" t="s">
        <v>933</v>
      </c>
      <c r="E331" t="s">
        <v>1123</v>
      </c>
      <c r="F331" t="s">
        <v>2019</v>
      </c>
      <c r="G331" t="s">
        <v>1048</v>
      </c>
      <c r="H331" t="s">
        <v>1009</v>
      </c>
      <c r="I331" t="s">
        <v>931</v>
      </c>
      <c r="J331" t="s">
        <v>931</v>
      </c>
      <c r="K331" t="s">
        <v>992</v>
      </c>
      <c r="L331" t="s">
        <v>931</v>
      </c>
      <c r="M331" t="s">
        <v>931</v>
      </c>
      <c r="N331" t="s">
        <v>1503</v>
      </c>
      <c r="O331" t="s">
        <v>1825</v>
      </c>
      <c r="P331" t="s">
        <v>992</v>
      </c>
    </row>
    <row r="332" spans="1:16" x14ac:dyDescent="0.2">
      <c r="A332" t="s">
        <v>1065</v>
      </c>
      <c r="B332" t="s">
        <v>2020</v>
      </c>
      <c r="C332" t="s">
        <v>2020</v>
      </c>
      <c r="D332" t="s">
        <v>730</v>
      </c>
      <c r="E332" t="s">
        <v>1010</v>
      </c>
      <c r="F332" t="s">
        <v>88</v>
      </c>
      <c r="G332" t="s">
        <v>1002</v>
      </c>
      <c r="H332" t="s">
        <v>1002</v>
      </c>
      <c r="I332" t="s">
        <v>931</v>
      </c>
      <c r="J332" t="s">
        <v>931</v>
      </c>
      <c r="K332" t="s">
        <v>992</v>
      </c>
      <c r="L332" t="s">
        <v>992</v>
      </c>
      <c r="M332" t="s">
        <v>931</v>
      </c>
      <c r="N332" t="s">
        <v>1503</v>
      </c>
      <c r="O332" t="s">
        <v>1825</v>
      </c>
      <c r="P332" t="s">
        <v>992</v>
      </c>
    </row>
    <row r="333" spans="1:16" x14ac:dyDescent="0.2">
      <c r="A333" t="s">
        <v>2021</v>
      </c>
      <c r="B333" t="s">
        <v>462</v>
      </c>
      <c r="C333" t="s">
        <v>462</v>
      </c>
      <c r="D333" t="s">
        <v>102</v>
      </c>
      <c r="E333" t="s">
        <v>1023</v>
      </c>
      <c r="F333" t="s">
        <v>1298</v>
      </c>
      <c r="G333" t="s">
        <v>1048</v>
      </c>
      <c r="H333" t="s">
        <v>982</v>
      </c>
      <c r="I333" t="s">
        <v>931</v>
      </c>
      <c r="J333" t="s">
        <v>931</v>
      </c>
      <c r="K333" t="s">
        <v>992</v>
      </c>
      <c r="L333" t="s">
        <v>992</v>
      </c>
      <c r="M333" t="s">
        <v>931</v>
      </c>
      <c r="N333" t="s">
        <v>1503</v>
      </c>
      <c r="O333" t="s">
        <v>1825</v>
      </c>
      <c r="P333" t="s">
        <v>992</v>
      </c>
    </row>
    <row r="334" spans="1:16" x14ac:dyDescent="0.2">
      <c r="A334" t="s">
        <v>2022</v>
      </c>
      <c r="B334" t="s">
        <v>2023</v>
      </c>
      <c r="C334" t="s">
        <v>246</v>
      </c>
      <c r="D334" t="s">
        <v>139</v>
      </c>
      <c r="E334" t="s">
        <v>1028</v>
      </c>
      <c r="F334" t="s">
        <v>88</v>
      </c>
      <c r="G334" t="s">
        <v>1144</v>
      </c>
      <c r="H334" t="s">
        <v>1144</v>
      </c>
      <c r="I334" t="s">
        <v>931</v>
      </c>
      <c r="J334" t="s">
        <v>992</v>
      </c>
      <c r="K334" t="s">
        <v>992</v>
      </c>
      <c r="L334" t="s">
        <v>992</v>
      </c>
      <c r="M334" t="s">
        <v>992</v>
      </c>
      <c r="N334" t="s">
        <v>995</v>
      </c>
      <c r="O334" t="s">
        <v>995</v>
      </c>
      <c r="P334" t="s">
        <v>931</v>
      </c>
    </row>
    <row r="335" spans="1:16" x14ac:dyDescent="0.2">
      <c r="A335" t="s">
        <v>2024</v>
      </c>
      <c r="B335" t="s">
        <v>2025</v>
      </c>
      <c r="C335" t="s">
        <v>2025</v>
      </c>
      <c r="D335" t="s">
        <v>77</v>
      </c>
      <c r="E335" t="s">
        <v>985</v>
      </c>
      <c r="F335" t="s">
        <v>2019</v>
      </c>
      <c r="G335" t="s">
        <v>1144</v>
      </c>
      <c r="H335" t="s">
        <v>951</v>
      </c>
      <c r="I335" t="s">
        <v>931</v>
      </c>
      <c r="J335" t="s">
        <v>982</v>
      </c>
      <c r="K335" t="s">
        <v>992</v>
      </c>
      <c r="L335" t="s">
        <v>931</v>
      </c>
      <c r="M335" t="s">
        <v>982</v>
      </c>
      <c r="N335" t="s">
        <v>984</v>
      </c>
      <c r="O335" t="s">
        <v>1511</v>
      </c>
      <c r="P335" t="s">
        <v>992</v>
      </c>
    </row>
    <row r="336" spans="1:16" x14ac:dyDescent="0.2">
      <c r="A336" t="s">
        <v>2026</v>
      </c>
      <c r="B336" t="s">
        <v>2027</v>
      </c>
      <c r="C336" t="s">
        <v>96</v>
      </c>
      <c r="D336" t="s">
        <v>78</v>
      </c>
      <c r="E336" t="s">
        <v>957</v>
      </c>
      <c r="F336" t="s">
        <v>83</v>
      </c>
      <c r="G336" t="s">
        <v>1144</v>
      </c>
      <c r="H336" t="s">
        <v>1144</v>
      </c>
      <c r="I336" t="s">
        <v>931</v>
      </c>
      <c r="J336" t="s">
        <v>931</v>
      </c>
      <c r="K336" t="s">
        <v>992</v>
      </c>
      <c r="L336" t="s">
        <v>992</v>
      </c>
      <c r="M336" t="s">
        <v>931</v>
      </c>
      <c r="N336" t="s">
        <v>1503</v>
      </c>
      <c r="O336" t="s">
        <v>1825</v>
      </c>
      <c r="P336" t="s">
        <v>951</v>
      </c>
    </row>
    <row r="337" spans="1:16" x14ac:dyDescent="0.2">
      <c r="A337" t="s">
        <v>2028</v>
      </c>
      <c r="B337" t="s">
        <v>231</v>
      </c>
      <c r="C337" t="s">
        <v>231</v>
      </c>
      <c r="D337" t="s">
        <v>1122</v>
      </c>
      <c r="E337" t="s">
        <v>1134</v>
      </c>
      <c r="F337" t="s">
        <v>935</v>
      </c>
      <c r="G337" t="s">
        <v>931</v>
      </c>
      <c r="H337" t="s">
        <v>931</v>
      </c>
      <c r="I337" t="s">
        <v>931</v>
      </c>
      <c r="J337" t="s">
        <v>1051</v>
      </c>
      <c r="K337" t="s">
        <v>992</v>
      </c>
      <c r="L337" t="s">
        <v>931</v>
      </c>
      <c r="M337" t="s">
        <v>1051</v>
      </c>
      <c r="N337" t="s">
        <v>983</v>
      </c>
      <c r="O337" t="s">
        <v>983</v>
      </c>
      <c r="P337" t="s">
        <v>931</v>
      </c>
    </row>
    <row r="338" spans="1:16" x14ac:dyDescent="0.2">
      <c r="A338" t="s">
        <v>2029</v>
      </c>
      <c r="B338" t="s">
        <v>608</v>
      </c>
      <c r="C338" t="s">
        <v>608</v>
      </c>
      <c r="D338" t="s">
        <v>78</v>
      </c>
      <c r="E338" t="s">
        <v>1023</v>
      </c>
      <c r="F338" t="s">
        <v>1298</v>
      </c>
      <c r="G338" t="s">
        <v>1048</v>
      </c>
      <c r="H338" t="s">
        <v>941</v>
      </c>
      <c r="I338" t="s">
        <v>931</v>
      </c>
      <c r="J338" t="s">
        <v>1877</v>
      </c>
      <c r="K338" t="s">
        <v>992</v>
      </c>
      <c r="L338" t="s">
        <v>992</v>
      </c>
      <c r="M338" t="s">
        <v>1877</v>
      </c>
      <c r="N338" t="s">
        <v>2030</v>
      </c>
      <c r="O338" t="s">
        <v>1820</v>
      </c>
      <c r="P338" t="s">
        <v>931</v>
      </c>
    </row>
    <row r="339" spans="1:16" x14ac:dyDescent="0.2">
      <c r="A339" t="s">
        <v>1742</v>
      </c>
      <c r="B339" t="s">
        <v>2031</v>
      </c>
      <c r="C339" t="s">
        <v>2031</v>
      </c>
      <c r="D339" t="s">
        <v>102</v>
      </c>
      <c r="E339" t="s">
        <v>937</v>
      </c>
      <c r="F339" t="s">
        <v>1298</v>
      </c>
      <c r="G339" t="s">
        <v>1009</v>
      </c>
      <c r="H339" t="s">
        <v>1009</v>
      </c>
      <c r="I339" t="s">
        <v>931</v>
      </c>
      <c r="J339" t="s">
        <v>972</v>
      </c>
      <c r="K339" t="s">
        <v>992</v>
      </c>
      <c r="L339" t="s">
        <v>931</v>
      </c>
      <c r="M339" t="s">
        <v>972</v>
      </c>
      <c r="N339" t="s">
        <v>1516</v>
      </c>
      <c r="O339" t="s">
        <v>1847</v>
      </c>
      <c r="P339" t="s">
        <v>992</v>
      </c>
    </row>
    <row r="340" spans="1:16" x14ac:dyDescent="0.2">
      <c r="A340" t="s">
        <v>2032</v>
      </c>
      <c r="B340" t="s">
        <v>2033</v>
      </c>
      <c r="C340" t="s">
        <v>104</v>
      </c>
      <c r="D340" t="s">
        <v>73</v>
      </c>
      <c r="E340" t="s">
        <v>965</v>
      </c>
      <c r="F340" t="s">
        <v>83</v>
      </c>
      <c r="G340" t="s">
        <v>1144</v>
      </c>
      <c r="H340" t="s">
        <v>1066</v>
      </c>
      <c r="I340" t="s">
        <v>931</v>
      </c>
      <c r="J340" t="s">
        <v>941</v>
      </c>
      <c r="K340" t="s">
        <v>992</v>
      </c>
      <c r="L340" t="s">
        <v>992</v>
      </c>
      <c r="M340" t="s">
        <v>941</v>
      </c>
      <c r="N340" t="s">
        <v>1147</v>
      </c>
      <c r="O340" t="s">
        <v>1825</v>
      </c>
      <c r="P340" t="s">
        <v>931</v>
      </c>
    </row>
    <row r="341" spans="1:16" x14ac:dyDescent="0.2">
      <c r="A341" t="s">
        <v>902</v>
      </c>
      <c r="B341" t="s">
        <v>903</v>
      </c>
      <c r="C341" t="s">
        <v>903</v>
      </c>
      <c r="D341" t="s">
        <v>1314</v>
      </c>
      <c r="E341" t="s">
        <v>905</v>
      </c>
      <c r="F341" t="s">
        <v>906</v>
      </c>
      <c r="G341" t="s">
        <v>1315</v>
      </c>
      <c r="H341" t="s">
        <v>1316</v>
      </c>
      <c r="I341" t="s">
        <v>1319</v>
      </c>
      <c r="J341" t="s">
        <v>799</v>
      </c>
      <c r="K341" t="s">
        <v>800</v>
      </c>
      <c r="L341" t="s">
        <v>1321</v>
      </c>
      <c r="M341" t="s">
        <v>917</v>
      </c>
      <c r="N341" t="s">
        <v>1322</v>
      </c>
      <c r="O341" t="s">
        <v>1325</v>
      </c>
      <c r="P341" t="s">
        <v>1416</v>
      </c>
    </row>
    <row r="342" spans="1:16" x14ac:dyDescent="0.2">
      <c r="A342" t="s">
        <v>2034</v>
      </c>
      <c r="B342" t="s">
        <v>896</v>
      </c>
      <c r="C342" t="s">
        <v>896</v>
      </c>
      <c r="D342" t="s">
        <v>730</v>
      </c>
      <c r="E342" t="s">
        <v>1023</v>
      </c>
      <c r="G342" t="s">
        <v>1144</v>
      </c>
      <c r="H342" t="s">
        <v>992</v>
      </c>
      <c r="I342" t="s">
        <v>931</v>
      </c>
      <c r="J342" t="s">
        <v>1493</v>
      </c>
      <c r="K342" t="s">
        <v>992</v>
      </c>
      <c r="L342" t="s">
        <v>992</v>
      </c>
      <c r="M342" t="s">
        <v>1493</v>
      </c>
      <c r="N342" t="s">
        <v>1495</v>
      </c>
      <c r="O342" t="s">
        <v>1816</v>
      </c>
      <c r="P342" t="s">
        <v>931</v>
      </c>
    </row>
    <row r="343" spans="1:16" x14ac:dyDescent="0.2">
      <c r="A343" t="s">
        <v>2035</v>
      </c>
      <c r="B343" t="s">
        <v>1402</v>
      </c>
      <c r="C343" t="s">
        <v>1402</v>
      </c>
      <c r="D343" t="s">
        <v>729</v>
      </c>
      <c r="E343" t="s">
        <v>966</v>
      </c>
      <c r="G343" t="s">
        <v>1051</v>
      </c>
      <c r="H343" t="s">
        <v>992</v>
      </c>
      <c r="I343" t="s">
        <v>931</v>
      </c>
      <c r="J343" t="s">
        <v>992</v>
      </c>
      <c r="K343" t="s">
        <v>992</v>
      </c>
      <c r="L343" t="s">
        <v>992</v>
      </c>
      <c r="M343" t="s">
        <v>992</v>
      </c>
      <c r="N343" t="s">
        <v>995</v>
      </c>
      <c r="O343" t="s">
        <v>995</v>
      </c>
      <c r="P343" t="s">
        <v>992</v>
      </c>
    </row>
    <row r="344" spans="1:16" x14ac:dyDescent="0.2">
      <c r="A344" t="s">
        <v>1055</v>
      </c>
      <c r="B344" t="s">
        <v>511</v>
      </c>
      <c r="C344" t="s">
        <v>511</v>
      </c>
      <c r="D344" t="s">
        <v>102</v>
      </c>
      <c r="E344" t="s">
        <v>985</v>
      </c>
      <c r="G344" t="s">
        <v>931</v>
      </c>
      <c r="H344" t="s">
        <v>992</v>
      </c>
      <c r="I344" t="s">
        <v>931</v>
      </c>
      <c r="J344" t="s">
        <v>1959</v>
      </c>
      <c r="K344" t="s">
        <v>992</v>
      </c>
      <c r="L344" t="s">
        <v>992</v>
      </c>
      <c r="M344" t="s">
        <v>1959</v>
      </c>
      <c r="N344" t="s">
        <v>2036</v>
      </c>
      <c r="O344" t="s">
        <v>2036</v>
      </c>
      <c r="P344" t="s">
        <v>992</v>
      </c>
    </row>
    <row r="345" spans="1:16" x14ac:dyDescent="0.2">
      <c r="A345" t="s">
        <v>2037</v>
      </c>
      <c r="B345" t="s">
        <v>2038</v>
      </c>
      <c r="C345" t="s">
        <v>2038</v>
      </c>
      <c r="D345" t="s">
        <v>727</v>
      </c>
      <c r="E345" t="s">
        <v>965</v>
      </c>
      <c r="F345" t="s">
        <v>1577</v>
      </c>
      <c r="G345" t="s">
        <v>1144</v>
      </c>
      <c r="H345" t="s">
        <v>1064</v>
      </c>
      <c r="I345" t="s">
        <v>931</v>
      </c>
      <c r="J345" t="s">
        <v>1567</v>
      </c>
      <c r="K345" t="s">
        <v>992</v>
      </c>
      <c r="L345" t="s">
        <v>992</v>
      </c>
      <c r="M345" t="s">
        <v>1567</v>
      </c>
      <c r="N345" t="s">
        <v>1568</v>
      </c>
      <c r="O345" t="s">
        <v>1494</v>
      </c>
      <c r="P345" t="s">
        <v>931</v>
      </c>
    </row>
    <row r="346" spans="1:16" x14ac:dyDescent="0.2">
      <c r="A346" t="s">
        <v>2039</v>
      </c>
      <c r="B346" t="s">
        <v>2040</v>
      </c>
      <c r="C346" t="s">
        <v>2040</v>
      </c>
      <c r="D346" t="s">
        <v>118</v>
      </c>
      <c r="E346" t="s">
        <v>1010</v>
      </c>
      <c r="F346" t="s">
        <v>1399</v>
      </c>
      <c r="G346" t="s">
        <v>1144</v>
      </c>
      <c r="H346" t="s">
        <v>992</v>
      </c>
      <c r="I346" t="s">
        <v>931</v>
      </c>
      <c r="J346" t="s">
        <v>2041</v>
      </c>
      <c r="K346" t="s">
        <v>992</v>
      </c>
      <c r="L346" t="s">
        <v>992</v>
      </c>
      <c r="M346" t="s">
        <v>2041</v>
      </c>
      <c r="N346" t="s">
        <v>2042</v>
      </c>
      <c r="O346" t="s">
        <v>2043</v>
      </c>
      <c r="P346" t="s">
        <v>992</v>
      </c>
    </row>
    <row r="347" spans="1:16" x14ac:dyDescent="0.2">
      <c r="A347" t="s">
        <v>2044</v>
      </c>
      <c r="B347" t="s">
        <v>232</v>
      </c>
      <c r="C347" t="s">
        <v>232</v>
      </c>
      <c r="D347" t="s">
        <v>1052</v>
      </c>
      <c r="E347" t="s">
        <v>1023</v>
      </c>
      <c r="F347" t="s">
        <v>935</v>
      </c>
      <c r="G347" t="s">
        <v>951</v>
      </c>
      <c r="H347" t="s">
        <v>951</v>
      </c>
      <c r="I347" t="s">
        <v>931</v>
      </c>
      <c r="J347" t="s">
        <v>1048</v>
      </c>
      <c r="K347" t="s">
        <v>931</v>
      </c>
      <c r="L347" t="s">
        <v>931</v>
      </c>
      <c r="M347" t="s">
        <v>1048</v>
      </c>
      <c r="N347" t="s">
        <v>1294</v>
      </c>
      <c r="O347" t="s">
        <v>1293</v>
      </c>
      <c r="P347" t="s">
        <v>941</v>
      </c>
    </row>
    <row r="348" spans="1:16" x14ac:dyDescent="0.2">
      <c r="A348" t="s">
        <v>2045</v>
      </c>
      <c r="B348" t="s">
        <v>530</v>
      </c>
      <c r="C348" t="s">
        <v>530</v>
      </c>
      <c r="D348" t="s">
        <v>71</v>
      </c>
      <c r="E348" t="s">
        <v>1023</v>
      </c>
      <c r="G348" t="s">
        <v>982</v>
      </c>
      <c r="H348" t="s">
        <v>992</v>
      </c>
      <c r="I348" t="s">
        <v>931</v>
      </c>
      <c r="J348" t="s">
        <v>972</v>
      </c>
      <c r="K348" t="s">
        <v>992</v>
      </c>
      <c r="L348" t="s">
        <v>931</v>
      </c>
      <c r="M348" t="s">
        <v>972</v>
      </c>
      <c r="N348" t="s">
        <v>1516</v>
      </c>
      <c r="O348" t="s">
        <v>1311</v>
      </c>
      <c r="P348" t="s">
        <v>992</v>
      </c>
    </row>
    <row r="349" spans="1:16" x14ac:dyDescent="0.2">
      <c r="A349" t="s">
        <v>1030</v>
      </c>
      <c r="B349" t="s">
        <v>2046</v>
      </c>
      <c r="C349" t="s">
        <v>2046</v>
      </c>
      <c r="D349" t="s">
        <v>93</v>
      </c>
      <c r="E349" t="s">
        <v>934</v>
      </c>
      <c r="F349" t="s">
        <v>1399</v>
      </c>
      <c r="G349" t="s">
        <v>1144</v>
      </c>
      <c r="H349" t="s">
        <v>992</v>
      </c>
      <c r="I349" t="s">
        <v>931</v>
      </c>
      <c r="J349" t="s">
        <v>992</v>
      </c>
      <c r="K349" t="s">
        <v>992</v>
      </c>
      <c r="L349" t="s">
        <v>992</v>
      </c>
      <c r="M349" t="s">
        <v>992</v>
      </c>
      <c r="N349" t="s">
        <v>995</v>
      </c>
      <c r="O349" t="s">
        <v>995</v>
      </c>
      <c r="P349" t="s">
        <v>931</v>
      </c>
    </row>
    <row r="350" spans="1:16" x14ac:dyDescent="0.2">
      <c r="A350" t="s">
        <v>1014</v>
      </c>
      <c r="B350" t="s">
        <v>2047</v>
      </c>
      <c r="C350" t="s">
        <v>2047</v>
      </c>
      <c r="D350" t="s">
        <v>727</v>
      </c>
      <c r="E350" t="s">
        <v>934</v>
      </c>
      <c r="F350" t="s">
        <v>2048</v>
      </c>
      <c r="G350" t="s">
        <v>1144</v>
      </c>
      <c r="H350" t="s">
        <v>951</v>
      </c>
      <c r="I350" t="s">
        <v>931</v>
      </c>
      <c r="J350" t="s">
        <v>1086</v>
      </c>
      <c r="K350" t="s">
        <v>992</v>
      </c>
      <c r="L350" t="s">
        <v>931</v>
      </c>
      <c r="M350" t="s">
        <v>1086</v>
      </c>
      <c r="N350" t="s">
        <v>1045</v>
      </c>
      <c r="O350" t="s">
        <v>1519</v>
      </c>
      <c r="P350" t="s">
        <v>992</v>
      </c>
    </row>
    <row r="351" spans="1:16" x14ac:dyDescent="0.2">
      <c r="A351" t="s">
        <v>2049</v>
      </c>
      <c r="B351" t="s">
        <v>497</v>
      </c>
      <c r="C351" t="s">
        <v>497</v>
      </c>
      <c r="D351" t="s">
        <v>1122</v>
      </c>
      <c r="E351" t="s">
        <v>1010</v>
      </c>
      <c r="G351" t="s">
        <v>1027</v>
      </c>
      <c r="H351" t="s">
        <v>992</v>
      </c>
      <c r="I351" t="s">
        <v>931</v>
      </c>
      <c r="J351" t="s">
        <v>982</v>
      </c>
      <c r="K351" t="s">
        <v>992</v>
      </c>
      <c r="L351" t="s">
        <v>931</v>
      </c>
      <c r="M351" t="s">
        <v>982</v>
      </c>
      <c r="N351" t="s">
        <v>984</v>
      </c>
      <c r="O351" t="s">
        <v>1519</v>
      </c>
      <c r="P351" t="s">
        <v>992</v>
      </c>
    </row>
    <row r="352" spans="1:16" x14ac:dyDescent="0.2">
      <c r="A352" t="s">
        <v>2050</v>
      </c>
      <c r="B352" t="s">
        <v>2051</v>
      </c>
      <c r="C352" t="s">
        <v>2051</v>
      </c>
      <c r="D352" t="s">
        <v>139</v>
      </c>
      <c r="E352" t="s">
        <v>1088</v>
      </c>
      <c r="G352" t="s">
        <v>972</v>
      </c>
      <c r="H352" t="s">
        <v>992</v>
      </c>
      <c r="I352" t="s">
        <v>931</v>
      </c>
      <c r="J352" t="s">
        <v>951</v>
      </c>
      <c r="K352" t="s">
        <v>992</v>
      </c>
      <c r="L352" t="s">
        <v>992</v>
      </c>
      <c r="M352" t="s">
        <v>951</v>
      </c>
      <c r="N352" t="s">
        <v>1311</v>
      </c>
      <c r="O352" t="s">
        <v>1511</v>
      </c>
      <c r="P352" t="s">
        <v>992</v>
      </c>
    </row>
    <row r="353" spans="1:16" x14ac:dyDescent="0.2">
      <c r="A353" t="s">
        <v>2052</v>
      </c>
      <c r="B353" t="s">
        <v>2053</v>
      </c>
      <c r="C353" t="s">
        <v>2053</v>
      </c>
      <c r="D353" t="s">
        <v>82</v>
      </c>
      <c r="E353" t="s">
        <v>952</v>
      </c>
      <c r="G353" t="s">
        <v>951</v>
      </c>
      <c r="H353" t="s">
        <v>992</v>
      </c>
      <c r="I353" t="s">
        <v>931</v>
      </c>
      <c r="J353" t="s">
        <v>951</v>
      </c>
      <c r="K353" t="s">
        <v>992</v>
      </c>
      <c r="L353" t="s">
        <v>992</v>
      </c>
      <c r="M353" t="s">
        <v>951</v>
      </c>
      <c r="N353" t="s">
        <v>1311</v>
      </c>
      <c r="O353" t="s">
        <v>1503</v>
      </c>
      <c r="P353" t="s">
        <v>992</v>
      </c>
    </row>
    <row r="354" spans="1:16" x14ac:dyDescent="0.2">
      <c r="A354" t="s">
        <v>2054</v>
      </c>
      <c r="B354" t="s">
        <v>2055</v>
      </c>
      <c r="C354" t="s">
        <v>2055</v>
      </c>
      <c r="D354" t="s">
        <v>101</v>
      </c>
      <c r="E354" t="s">
        <v>1123</v>
      </c>
      <c r="F354" t="s">
        <v>2056</v>
      </c>
      <c r="G354" t="s">
        <v>1144</v>
      </c>
      <c r="H354" t="s">
        <v>941</v>
      </c>
      <c r="I354" t="s">
        <v>931</v>
      </c>
      <c r="J354" t="s">
        <v>941</v>
      </c>
      <c r="K354" t="s">
        <v>992</v>
      </c>
      <c r="L354" t="s">
        <v>992</v>
      </c>
      <c r="M354" t="s">
        <v>941</v>
      </c>
      <c r="N354" t="s">
        <v>1147</v>
      </c>
      <c r="O354" t="s">
        <v>1825</v>
      </c>
      <c r="P354" t="s">
        <v>931</v>
      </c>
    </row>
    <row r="355" spans="1:16" x14ac:dyDescent="0.2">
      <c r="A355" t="s">
        <v>2057</v>
      </c>
      <c r="B355" t="s">
        <v>395</v>
      </c>
      <c r="C355" t="s">
        <v>395</v>
      </c>
      <c r="D355" t="s">
        <v>101</v>
      </c>
      <c r="E355" t="s">
        <v>1023</v>
      </c>
      <c r="G355" t="s">
        <v>951</v>
      </c>
      <c r="H355" t="s">
        <v>992</v>
      </c>
      <c r="I355" t="s">
        <v>931</v>
      </c>
      <c r="J355" t="s">
        <v>951</v>
      </c>
      <c r="K355" t="s">
        <v>992</v>
      </c>
      <c r="L355" t="s">
        <v>931</v>
      </c>
      <c r="M355" t="s">
        <v>951</v>
      </c>
      <c r="N355" t="s">
        <v>1311</v>
      </c>
      <c r="O355" t="s">
        <v>1503</v>
      </c>
      <c r="P355" t="s">
        <v>992</v>
      </c>
    </row>
    <row r="356" spans="1:16" x14ac:dyDescent="0.2">
      <c r="A356" t="s">
        <v>2058</v>
      </c>
      <c r="B356" t="s">
        <v>424</v>
      </c>
      <c r="C356" t="s">
        <v>424</v>
      </c>
      <c r="D356" t="s">
        <v>1052</v>
      </c>
      <c r="E356" t="s">
        <v>1023</v>
      </c>
      <c r="G356" t="s">
        <v>1051</v>
      </c>
      <c r="H356" t="s">
        <v>992</v>
      </c>
      <c r="I356" t="s">
        <v>931</v>
      </c>
      <c r="J356" t="s">
        <v>931</v>
      </c>
      <c r="K356" t="s">
        <v>992</v>
      </c>
      <c r="L356" t="s">
        <v>992</v>
      </c>
      <c r="M356" t="s">
        <v>931</v>
      </c>
      <c r="N356" t="s">
        <v>1503</v>
      </c>
      <c r="O356" t="s">
        <v>1825</v>
      </c>
      <c r="P356" t="s">
        <v>992</v>
      </c>
    </row>
    <row r="357" spans="1:16" x14ac:dyDescent="0.2">
      <c r="A357" t="s">
        <v>2059</v>
      </c>
      <c r="B357" t="s">
        <v>2060</v>
      </c>
      <c r="C357" t="s">
        <v>2060</v>
      </c>
      <c r="D357" t="s">
        <v>71</v>
      </c>
      <c r="E357" t="s">
        <v>1010</v>
      </c>
      <c r="F357" t="s">
        <v>83</v>
      </c>
      <c r="G357" t="s">
        <v>972</v>
      </c>
      <c r="H357" t="s">
        <v>972</v>
      </c>
      <c r="I357" t="s">
        <v>931</v>
      </c>
      <c r="J357" t="s">
        <v>1027</v>
      </c>
      <c r="K357" t="s">
        <v>992</v>
      </c>
      <c r="L357" t="s">
        <v>992</v>
      </c>
      <c r="M357" t="s">
        <v>1027</v>
      </c>
      <c r="N357" t="s">
        <v>1306</v>
      </c>
      <c r="O357" t="s">
        <v>1530</v>
      </c>
      <c r="P357" t="s">
        <v>992</v>
      </c>
    </row>
    <row r="358" spans="1:16" x14ac:dyDescent="0.2">
      <c r="A358" t="s">
        <v>2061</v>
      </c>
      <c r="B358" t="s">
        <v>1391</v>
      </c>
      <c r="C358" t="s">
        <v>1391</v>
      </c>
      <c r="D358" t="s">
        <v>933</v>
      </c>
      <c r="E358" t="s">
        <v>952</v>
      </c>
      <c r="G358" t="s">
        <v>931</v>
      </c>
      <c r="H358" t="s">
        <v>992</v>
      </c>
      <c r="I358" t="s">
        <v>931</v>
      </c>
      <c r="J358" t="s">
        <v>1064</v>
      </c>
      <c r="K358" t="s">
        <v>992</v>
      </c>
      <c r="L358" t="s">
        <v>931</v>
      </c>
      <c r="M358" t="s">
        <v>1064</v>
      </c>
      <c r="N358" t="s">
        <v>1115</v>
      </c>
      <c r="O358" t="s">
        <v>1115</v>
      </c>
      <c r="P358" t="s">
        <v>992</v>
      </c>
    </row>
    <row r="359" spans="1:16" x14ac:dyDescent="0.2">
      <c r="A359" t="s">
        <v>2062</v>
      </c>
      <c r="B359" t="s">
        <v>493</v>
      </c>
      <c r="C359" t="s">
        <v>493</v>
      </c>
      <c r="D359" t="s">
        <v>77</v>
      </c>
      <c r="E359" t="s">
        <v>952</v>
      </c>
      <c r="G359" t="s">
        <v>1002</v>
      </c>
      <c r="H359" t="s">
        <v>951</v>
      </c>
      <c r="I359" t="s">
        <v>931</v>
      </c>
      <c r="J359" t="s">
        <v>1567</v>
      </c>
      <c r="K359" t="s">
        <v>992</v>
      </c>
      <c r="L359" t="s">
        <v>992</v>
      </c>
      <c r="M359" t="s">
        <v>1567</v>
      </c>
      <c r="N359" t="s">
        <v>1568</v>
      </c>
      <c r="O359" t="s">
        <v>1494</v>
      </c>
      <c r="P359" t="s">
        <v>992</v>
      </c>
    </row>
    <row r="360" spans="1:16" x14ac:dyDescent="0.2">
      <c r="A360" t="s">
        <v>2063</v>
      </c>
      <c r="B360" t="s">
        <v>2064</v>
      </c>
      <c r="C360" t="s">
        <v>2064</v>
      </c>
      <c r="D360" t="s">
        <v>1052</v>
      </c>
      <c r="E360" t="s">
        <v>1023</v>
      </c>
      <c r="G360" t="s">
        <v>941</v>
      </c>
      <c r="H360" t="s">
        <v>992</v>
      </c>
      <c r="I360" t="s">
        <v>931</v>
      </c>
      <c r="J360" t="s">
        <v>982</v>
      </c>
      <c r="K360" t="s">
        <v>992</v>
      </c>
      <c r="L360" t="s">
        <v>992</v>
      </c>
      <c r="M360" t="s">
        <v>982</v>
      </c>
      <c r="N360" t="s">
        <v>984</v>
      </c>
      <c r="O360" t="s">
        <v>1147</v>
      </c>
      <c r="P360" t="s">
        <v>992</v>
      </c>
    </row>
    <row r="361" spans="1:16" x14ac:dyDescent="0.2">
      <c r="A361" t="s">
        <v>2065</v>
      </c>
      <c r="B361" t="s">
        <v>346</v>
      </c>
      <c r="C361" t="s">
        <v>346</v>
      </c>
      <c r="D361" t="s">
        <v>730</v>
      </c>
      <c r="E361" t="s">
        <v>1088</v>
      </c>
      <c r="F361" t="s">
        <v>83</v>
      </c>
      <c r="G361" t="s">
        <v>1144</v>
      </c>
      <c r="H361" t="s">
        <v>1048</v>
      </c>
      <c r="I361" t="s">
        <v>931</v>
      </c>
      <c r="J361" t="s">
        <v>1009</v>
      </c>
      <c r="K361" t="s">
        <v>992</v>
      </c>
      <c r="L361" t="s">
        <v>992</v>
      </c>
      <c r="M361" t="s">
        <v>1009</v>
      </c>
      <c r="N361" t="s">
        <v>1026</v>
      </c>
      <c r="O361" t="s">
        <v>1511</v>
      </c>
      <c r="P361" t="s">
        <v>941</v>
      </c>
    </row>
    <row r="362" spans="1:16" x14ac:dyDescent="0.2">
      <c r="A362" t="s">
        <v>2066</v>
      </c>
      <c r="B362" t="s">
        <v>2067</v>
      </c>
      <c r="C362" t="s">
        <v>2068</v>
      </c>
      <c r="D362" t="s">
        <v>725</v>
      </c>
      <c r="E362" t="s">
        <v>952</v>
      </c>
      <c r="F362" t="s">
        <v>1882</v>
      </c>
      <c r="G362" t="s">
        <v>1002</v>
      </c>
      <c r="H362" t="s">
        <v>1075</v>
      </c>
      <c r="I362" t="s">
        <v>931</v>
      </c>
      <c r="J362" t="s">
        <v>1493</v>
      </c>
      <c r="K362" t="s">
        <v>992</v>
      </c>
      <c r="L362" t="s">
        <v>992</v>
      </c>
      <c r="M362" t="s">
        <v>1493</v>
      </c>
      <c r="N362" t="s">
        <v>1495</v>
      </c>
      <c r="O362" t="s">
        <v>1816</v>
      </c>
      <c r="P362" t="s">
        <v>931</v>
      </c>
    </row>
    <row r="363" spans="1:16" x14ac:dyDescent="0.2">
      <c r="A363" t="s">
        <v>1000</v>
      </c>
      <c r="B363" t="s">
        <v>2069</v>
      </c>
      <c r="C363" t="s">
        <v>536</v>
      </c>
      <c r="D363" t="s">
        <v>98</v>
      </c>
      <c r="E363" t="s">
        <v>978</v>
      </c>
      <c r="G363" t="s">
        <v>1002</v>
      </c>
      <c r="H363" t="s">
        <v>992</v>
      </c>
      <c r="I363" t="s">
        <v>931</v>
      </c>
      <c r="J363" t="s">
        <v>1567</v>
      </c>
      <c r="K363" t="s">
        <v>992</v>
      </c>
      <c r="L363" t="s">
        <v>992</v>
      </c>
      <c r="M363" t="s">
        <v>1567</v>
      </c>
      <c r="N363" t="s">
        <v>1568</v>
      </c>
      <c r="O363" t="s">
        <v>1494</v>
      </c>
      <c r="P363" t="s">
        <v>951</v>
      </c>
    </row>
    <row r="364" spans="1:16" x14ac:dyDescent="0.2">
      <c r="A364" t="s">
        <v>2070</v>
      </c>
      <c r="B364" t="s">
        <v>884</v>
      </c>
      <c r="C364" t="s">
        <v>884</v>
      </c>
      <c r="D364" t="s">
        <v>727</v>
      </c>
      <c r="E364" t="s">
        <v>1010</v>
      </c>
      <c r="F364" t="s">
        <v>83</v>
      </c>
      <c r="G364" t="s">
        <v>1144</v>
      </c>
      <c r="H364" t="s">
        <v>1144</v>
      </c>
      <c r="I364" t="s">
        <v>931</v>
      </c>
      <c r="J364" t="s">
        <v>1493</v>
      </c>
      <c r="K364" t="s">
        <v>992</v>
      </c>
      <c r="L364" t="s">
        <v>992</v>
      </c>
      <c r="M364" t="s">
        <v>1493</v>
      </c>
      <c r="N364" t="s">
        <v>1495</v>
      </c>
      <c r="O364" t="s">
        <v>1816</v>
      </c>
      <c r="P364" t="s">
        <v>992</v>
      </c>
    </row>
    <row r="365" spans="1:16" x14ac:dyDescent="0.2">
      <c r="A365" t="s">
        <v>2071</v>
      </c>
      <c r="B365" t="s">
        <v>282</v>
      </c>
      <c r="C365" t="s">
        <v>282</v>
      </c>
      <c r="D365" t="s">
        <v>1257</v>
      </c>
      <c r="E365" t="s">
        <v>996</v>
      </c>
      <c r="F365" t="s">
        <v>1298</v>
      </c>
      <c r="G365" t="s">
        <v>1066</v>
      </c>
      <c r="H365" t="s">
        <v>1009</v>
      </c>
      <c r="I365" t="s">
        <v>931</v>
      </c>
      <c r="J365" t="s">
        <v>972</v>
      </c>
      <c r="K365" t="s">
        <v>992</v>
      </c>
      <c r="L365" t="s">
        <v>931</v>
      </c>
      <c r="M365" t="s">
        <v>972</v>
      </c>
      <c r="N365" t="s">
        <v>1516</v>
      </c>
      <c r="O365" t="s">
        <v>1854</v>
      </c>
      <c r="P365" t="s">
        <v>931</v>
      </c>
    </row>
    <row r="366" spans="1:16" x14ac:dyDescent="0.2">
      <c r="A366" t="s">
        <v>1707</v>
      </c>
      <c r="B366" t="s">
        <v>384</v>
      </c>
      <c r="C366" t="s">
        <v>384</v>
      </c>
      <c r="D366" t="s">
        <v>1726</v>
      </c>
      <c r="E366" t="s">
        <v>966</v>
      </c>
      <c r="G366" t="s">
        <v>1075</v>
      </c>
      <c r="H366" t="s">
        <v>982</v>
      </c>
      <c r="I366" t="s">
        <v>931</v>
      </c>
      <c r="J366" t="s">
        <v>951</v>
      </c>
      <c r="K366" t="s">
        <v>992</v>
      </c>
      <c r="L366" t="s">
        <v>931</v>
      </c>
      <c r="M366" t="s">
        <v>951</v>
      </c>
      <c r="N366" t="s">
        <v>1311</v>
      </c>
      <c r="O366" t="s">
        <v>1511</v>
      </c>
      <c r="P366" t="s">
        <v>992</v>
      </c>
    </row>
    <row r="367" spans="1:16" x14ac:dyDescent="0.2">
      <c r="A367" t="s">
        <v>2072</v>
      </c>
      <c r="B367" t="s">
        <v>531</v>
      </c>
      <c r="C367" t="s">
        <v>531</v>
      </c>
      <c r="D367" t="s">
        <v>119</v>
      </c>
      <c r="E367" t="s">
        <v>1023</v>
      </c>
      <c r="F367" t="s">
        <v>1298</v>
      </c>
      <c r="G367" t="s">
        <v>1144</v>
      </c>
      <c r="H367" t="s">
        <v>1075</v>
      </c>
      <c r="I367" t="s">
        <v>931</v>
      </c>
      <c r="J367" t="s">
        <v>1009</v>
      </c>
      <c r="K367" t="s">
        <v>992</v>
      </c>
      <c r="L367" t="s">
        <v>992</v>
      </c>
      <c r="M367" t="s">
        <v>1009</v>
      </c>
      <c r="N367" t="s">
        <v>1026</v>
      </c>
      <c r="O367" t="s">
        <v>1511</v>
      </c>
      <c r="P367" t="s">
        <v>992</v>
      </c>
    </row>
    <row r="368" spans="1:16" x14ac:dyDescent="0.2">
      <c r="A368" t="s">
        <v>1744</v>
      </c>
      <c r="B368" t="s">
        <v>2073</v>
      </c>
      <c r="C368" t="s">
        <v>2073</v>
      </c>
      <c r="D368" t="s">
        <v>119</v>
      </c>
      <c r="E368" t="s">
        <v>1028</v>
      </c>
      <c r="F368" t="s">
        <v>1298</v>
      </c>
      <c r="G368" t="s">
        <v>972</v>
      </c>
      <c r="H368" t="s">
        <v>941</v>
      </c>
      <c r="I368" t="s">
        <v>931</v>
      </c>
      <c r="J368" t="s">
        <v>1162</v>
      </c>
      <c r="K368" t="s">
        <v>992</v>
      </c>
      <c r="L368" t="s">
        <v>931</v>
      </c>
      <c r="M368" t="s">
        <v>1162</v>
      </c>
      <c r="N368" t="s">
        <v>1496</v>
      </c>
      <c r="O368" t="s">
        <v>1272</v>
      </c>
      <c r="P368" t="s">
        <v>1009</v>
      </c>
    </row>
    <row r="369" spans="1:16" x14ac:dyDescent="0.2">
      <c r="A369" t="s">
        <v>2074</v>
      </c>
      <c r="B369" t="s">
        <v>2075</v>
      </c>
      <c r="C369" t="s">
        <v>2075</v>
      </c>
      <c r="D369" t="s">
        <v>725</v>
      </c>
      <c r="E369" t="s">
        <v>1010</v>
      </c>
      <c r="F369" t="s">
        <v>2076</v>
      </c>
      <c r="G369" t="s">
        <v>1002</v>
      </c>
      <c r="H369" t="s">
        <v>972</v>
      </c>
      <c r="I369" t="s">
        <v>931</v>
      </c>
      <c r="J369" t="s">
        <v>992</v>
      </c>
      <c r="K369" t="s">
        <v>992</v>
      </c>
      <c r="L369" t="s">
        <v>992</v>
      </c>
      <c r="M369" t="s">
        <v>992</v>
      </c>
      <c r="N369" t="s">
        <v>995</v>
      </c>
      <c r="O369" t="s">
        <v>995</v>
      </c>
      <c r="P369" t="s">
        <v>982</v>
      </c>
    </row>
    <row r="370" spans="1:16" x14ac:dyDescent="0.2">
      <c r="A370" t="s">
        <v>2077</v>
      </c>
      <c r="B370" t="s">
        <v>266</v>
      </c>
      <c r="C370" t="s">
        <v>266</v>
      </c>
      <c r="D370" t="s">
        <v>1257</v>
      </c>
      <c r="E370" t="s">
        <v>1023</v>
      </c>
      <c r="F370" t="s">
        <v>1298</v>
      </c>
      <c r="G370" t="s">
        <v>1066</v>
      </c>
      <c r="H370" t="s">
        <v>1075</v>
      </c>
      <c r="I370" t="s">
        <v>931</v>
      </c>
      <c r="J370" t="s">
        <v>951</v>
      </c>
      <c r="K370" t="s">
        <v>992</v>
      </c>
      <c r="L370" t="s">
        <v>992</v>
      </c>
      <c r="M370" t="s">
        <v>951</v>
      </c>
      <c r="N370" t="s">
        <v>1311</v>
      </c>
      <c r="O370" t="s">
        <v>1795</v>
      </c>
      <c r="P370" t="s">
        <v>931</v>
      </c>
    </row>
    <row r="371" spans="1:16" x14ac:dyDescent="0.2">
      <c r="A371" t="s">
        <v>2078</v>
      </c>
      <c r="B371" t="s">
        <v>377</v>
      </c>
      <c r="C371" t="s">
        <v>377</v>
      </c>
      <c r="D371" t="s">
        <v>1267</v>
      </c>
      <c r="E371" t="s">
        <v>1023</v>
      </c>
      <c r="F371" t="s">
        <v>1298</v>
      </c>
      <c r="G371" t="s">
        <v>972</v>
      </c>
      <c r="H371" t="s">
        <v>931</v>
      </c>
      <c r="I371" t="s">
        <v>931</v>
      </c>
      <c r="J371" t="s">
        <v>1039</v>
      </c>
      <c r="K371" t="s">
        <v>992</v>
      </c>
      <c r="L371" t="s">
        <v>931</v>
      </c>
      <c r="M371" t="s">
        <v>1039</v>
      </c>
      <c r="N371" t="s">
        <v>1191</v>
      </c>
      <c r="O371" t="s">
        <v>1855</v>
      </c>
      <c r="P371" t="s">
        <v>992</v>
      </c>
    </row>
    <row r="372" spans="1:16" x14ac:dyDescent="0.2">
      <c r="A372" t="s">
        <v>902</v>
      </c>
      <c r="B372" t="s">
        <v>903</v>
      </c>
      <c r="C372" t="s">
        <v>903</v>
      </c>
      <c r="D372" t="s">
        <v>1314</v>
      </c>
      <c r="E372" t="s">
        <v>905</v>
      </c>
      <c r="F372" t="s">
        <v>906</v>
      </c>
      <c r="G372" t="s">
        <v>1315</v>
      </c>
      <c r="H372" t="s">
        <v>1316</v>
      </c>
      <c r="I372" t="s">
        <v>1319</v>
      </c>
      <c r="J372" t="s">
        <v>799</v>
      </c>
      <c r="K372" t="s">
        <v>800</v>
      </c>
      <c r="L372" t="s">
        <v>1321</v>
      </c>
      <c r="M372" t="s">
        <v>917</v>
      </c>
      <c r="N372" t="s">
        <v>1322</v>
      </c>
      <c r="O372" t="s">
        <v>1325</v>
      </c>
      <c r="P372" t="s">
        <v>1416</v>
      </c>
    </row>
    <row r="373" spans="1:16" x14ac:dyDescent="0.2">
      <c r="A373" t="s">
        <v>2079</v>
      </c>
      <c r="B373" t="s">
        <v>221</v>
      </c>
      <c r="C373" t="s">
        <v>221</v>
      </c>
      <c r="D373" t="s">
        <v>118</v>
      </c>
      <c r="E373" t="s">
        <v>1088</v>
      </c>
      <c r="G373" t="s">
        <v>931</v>
      </c>
      <c r="H373" t="s">
        <v>992</v>
      </c>
      <c r="I373" t="s">
        <v>931</v>
      </c>
      <c r="J373" t="s">
        <v>1547</v>
      </c>
      <c r="K373" t="s">
        <v>992</v>
      </c>
      <c r="L373" t="s">
        <v>992</v>
      </c>
      <c r="M373" t="s">
        <v>1547</v>
      </c>
      <c r="N373" t="s">
        <v>1548</v>
      </c>
      <c r="O373" t="s">
        <v>1548</v>
      </c>
      <c r="P373" t="s">
        <v>992</v>
      </c>
    </row>
    <row r="374" spans="1:16" x14ac:dyDescent="0.2">
      <c r="A374" t="s">
        <v>2080</v>
      </c>
      <c r="B374" t="s">
        <v>596</v>
      </c>
      <c r="C374" t="s">
        <v>596</v>
      </c>
      <c r="D374" t="s">
        <v>1267</v>
      </c>
      <c r="E374" t="s">
        <v>1088</v>
      </c>
      <c r="F374" t="s">
        <v>1298</v>
      </c>
      <c r="G374" t="s">
        <v>1002</v>
      </c>
      <c r="H374" t="s">
        <v>931</v>
      </c>
      <c r="I374" t="s">
        <v>931</v>
      </c>
      <c r="J374" t="s">
        <v>1064</v>
      </c>
      <c r="K374" t="s">
        <v>992</v>
      </c>
      <c r="L374" t="s">
        <v>992</v>
      </c>
      <c r="M374" t="s">
        <v>1064</v>
      </c>
      <c r="N374" t="s">
        <v>1115</v>
      </c>
      <c r="O374" t="s">
        <v>1855</v>
      </c>
      <c r="P374" t="s">
        <v>992</v>
      </c>
    </row>
    <row r="375" spans="1:16" x14ac:dyDescent="0.2">
      <c r="A375" t="s">
        <v>2081</v>
      </c>
      <c r="B375" t="s">
        <v>175</v>
      </c>
      <c r="C375" t="s">
        <v>175</v>
      </c>
      <c r="D375" t="s">
        <v>1257</v>
      </c>
      <c r="E375" t="s">
        <v>1010</v>
      </c>
      <c r="F375" t="s">
        <v>1298</v>
      </c>
      <c r="G375" t="s">
        <v>1039</v>
      </c>
      <c r="H375" t="s">
        <v>1009</v>
      </c>
      <c r="I375" t="s">
        <v>931</v>
      </c>
      <c r="J375" t="s">
        <v>931</v>
      </c>
      <c r="K375" t="s">
        <v>992</v>
      </c>
      <c r="L375" t="s">
        <v>992</v>
      </c>
      <c r="M375" t="s">
        <v>931</v>
      </c>
      <c r="N375" t="s">
        <v>1503</v>
      </c>
      <c r="O375" t="s">
        <v>1825</v>
      </c>
      <c r="P375" t="s">
        <v>992</v>
      </c>
    </row>
    <row r="376" spans="1:16" x14ac:dyDescent="0.2">
      <c r="A376" t="s">
        <v>2082</v>
      </c>
      <c r="B376" t="s">
        <v>403</v>
      </c>
      <c r="C376" t="s">
        <v>403</v>
      </c>
      <c r="D376" t="s">
        <v>74</v>
      </c>
      <c r="E376" t="s">
        <v>952</v>
      </c>
      <c r="G376" t="s">
        <v>1066</v>
      </c>
      <c r="H376" t="s">
        <v>992</v>
      </c>
      <c r="I376" t="s">
        <v>931</v>
      </c>
      <c r="J376" t="s">
        <v>931</v>
      </c>
      <c r="K376" t="s">
        <v>992</v>
      </c>
      <c r="L376" t="s">
        <v>992</v>
      </c>
      <c r="M376" t="s">
        <v>931</v>
      </c>
      <c r="N376" t="s">
        <v>1503</v>
      </c>
      <c r="O376" t="s">
        <v>1825</v>
      </c>
      <c r="P376" t="s">
        <v>931</v>
      </c>
    </row>
    <row r="377" spans="1:16" x14ac:dyDescent="0.2">
      <c r="A377" t="s">
        <v>2083</v>
      </c>
      <c r="B377" t="s">
        <v>2084</v>
      </c>
      <c r="C377" t="s">
        <v>2084</v>
      </c>
      <c r="D377" t="s">
        <v>729</v>
      </c>
      <c r="E377" t="s">
        <v>1010</v>
      </c>
      <c r="F377" t="s">
        <v>1666</v>
      </c>
      <c r="G377" t="s">
        <v>1002</v>
      </c>
      <c r="H377" t="s">
        <v>1039</v>
      </c>
      <c r="I377" t="s">
        <v>931</v>
      </c>
      <c r="J377" t="s">
        <v>951</v>
      </c>
      <c r="K377" t="s">
        <v>992</v>
      </c>
      <c r="L377" t="s">
        <v>992</v>
      </c>
      <c r="M377" t="s">
        <v>951</v>
      </c>
      <c r="N377" t="s">
        <v>1311</v>
      </c>
      <c r="O377" t="s">
        <v>1795</v>
      </c>
      <c r="P377" t="s">
        <v>992</v>
      </c>
    </row>
    <row r="378" spans="1:16" x14ac:dyDescent="0.2">
      <c r="A378" t="s">
        <v>1735</v>
      </c>
      <c r="B378" t="s">
        <v>446</v>
      </c>
      <c r="C378" t="s">
        <v>446</v>
      </c>
      <c r="D378" t="s">
        <v>1087</v>
      </c>
      <c r="E378" t="s">
        <v>1023</v>
      </c>
      <c r="G378" t="s">
        <v>982</v>
      </c>
      <c r="H378" t="s">
        <v>992</v>
      </c>
      <c r="I378" t="s">
        <v>931</v>
      </c>
      <c r="J378" t="s">
        <v>951</v>
      </c>
      <c r="K378" t="s">
        <v>992</v>
      </c>
      <c r="L378" t="s">
        <v>992</v>
      </c>
      <c r="M378" t="s">
        <v>951</v>
      </c>
      <c r="N378" t="s">
        <v>1311</v>
      </c>
      <c r="O378" t="s">
        <v>1867</v>
      </c>
      <c r="P378" t="s">
        <v>992</v>
      </c>
    </row>
    <row r="379" spans="1:16" x14ac:dyDescent="0.2">
      <c r="A379" t="s">
        <v>2085</v>
      </c>
      <c r="B379" t="s">
        <v>869</v>
      </c>
      <c r="C379" t="s">
        <v>869</v>
      </c>
      <c r="D379" t="s">
        <v>1040</v>
      </c>
      <c r="E379" t="s">
        <v>1010</v>
      </c>
      <c r="F379" t="s">
        <v>1298</v>
      </c>
      <c r="G379" t="s">
        <v>1075</v>
      </c>
      <c r="H379" t="s">
        <v>1064</v>
      </c>
      <c r="I379" t="s">
        <v>931</v>
      </c>
      <c r="J379" t="s">
        <v>951</v>
      </c>
      <c r="K379" t="s">
        <v>992</v>
      </c>
      <c r="L379" t="s">
        <v>992</v>
      </c>
      <c r="M379" t="s">
        <v>951</v>
      </c>
      <c r="N379" t="s">
        <v>1311</v>
      </c>
      <c r="O379" t="s">
        <v>1511</v>
      </c>
      <c r="P379" t="s">
        <v>931</v>
      </c>
    </row>
    <row r="380" spans="1:16" x14ac:dyDescent="0.2">
      <c r="A380" t="s">
        <v>1719</v>
      </c>
      <c r="B380" t="s">
        <v>651</v>
      </c>
      <c r="C380" t="s">
        <v>651</v>
      </c>
      <c r="D380" t="s">
        <v>71</v>
      </c>
      <c r="E380" t="s">
        <v>1088</v>
      </c>
      <c r="F380" t="s">
        <v>1577</v>
      </c>
      <c r="G380" t="s">
        <v>972</v>
      </c>
      <c r="H380" t="s">
        <v>982</v>
      </c>
      <c r="I380" t="s">
        <v>931</v>
      </c>
      <c r="J380" t="s">
        <v>992</v>
      </c>
      <c r="K380" t="s">
        <v>992</v>
      </c>
      <c r="L380" t="s">
        <v>992</v>
      </c>
      <c r="M380" t="s">
        <v>992</v>
      </c>
      <c r="N380" t="s">
        <v>995</v>
      </c>
      <c r="O380" t="s">
        <v>995</v>
      </c>
      <c r="P380" t="s">
        <v>992</v>
      </c>
    </row>
    <row r="381" spans="1:16" x14ac:dyDescent="0.2">
      <c r="A381" t="s">
        <v>1709</v>
      </c>
      <c r="B381" t="s">
        <v>465</v>
      </c>
      <c r="C381" t="s">
        <v>465</v>
      </c>
      <c r="D381" t="s">
        <v>139</v>
      </c>
      <c r="E381" t="s">
        <v>952</v>
      </c>
      <c r="G381" t="s">
        <v>1009</v>
      </c>
      <c r="H381" t="s">
        <v>992</v>
      </c>
      <c r="I381" t="s">
        <v>931</v>
      </c>
      <c r="J381" t="s">
        <v>1009</v>
      </c>
      <c r="K381" t="s">
        <v>992</v>
      </c>
      <c r="L381" t="s">
        <v>992</v>
      </c>
      <c r="M381" t="s">
        <v>1009</v>
      </c>
      <c r="N381" t="s">
        <v>1026</v>
      </c>
      <c r="O381" t="s">
        <v>1503</v>
      </c>
      <c r="P381" t="s">
        <v>931</v>
      </c>
    </row>
    <row r="382" spans="1:16" x14ac:dyDescent="0.2">
      <c r="A382" t="s">
        <v>2086</v>
      </c>
      <c r="B382" t="s">
        <v>247</v>
      </c>
      <c r="C382" t="s">
        <v>247</v>
      </c>
      <c r="D382" t="s">
        <v>118</v>
      </c>
      <c r="E382" t="s">
        <v>952</v>
      </c>
      <c r="F382" t="s">
        <v>83</v>
      </c>
      <c r="G382" t="s">
        <v>1002</v>
      </c>
      <c r="H382" t="s">
        <v>1086</v>
      </c>
      <c r="I382" t="s">
        <v>931</v>
      </c>
      <c r="J382" t="s">
        <v>931</v>
      </c>
      <c r="K382" t="s">
        <v>992</v>
      </c>
      <c r="L382" t="s">
        <v>992</v>
      </c>
      <c r="M382" t="s">
        <v>931</v>
      </c>
      <c r="N382" t="s">
        <v>1503</v>
      </c>
      <c r="O382" t="s">
        <v>1825</v>
      </c>
      <c r="P382" t="s">
        <v>992</v>
      </c>
    </row>
    <row r="383" spans="1:16" x14ac:dyDescent="0.2">
      <c r="A383" t="s">
        <v>2087</v>
      </c>
      <c r="B383" t="s">
        <v>2088</v>
      </c>
      <c r="C383" t="s">
        <v>2088</v>
      </c>
      <c r="D383" t="s">
        <v>727</v>
      </c>
      <c r="E383" t="s">
        <v>952</v>
      </c>
      <c r="F383" t="s">
        <v>1298</v>
      </c>
      <c r="G383" t="s">
        <v>1048</v>
      </c>
      <c r="H383" t="s">
        <v>931</v>
      </c>
      <c r="I383" t="s">
        <v>931</v>
      </c>
      <c r="J383" t="s">
        <v>941</v>
      </c>
      <c r="K383" t="s">
        <v>992</v>
      </c>
      <c r="L383" t="s">
        <v>992</v>
      </c>
      <c r="M383" t="s">
        <v>941</v>
      </c>
      <c r="N383" t="s">
        <v>1147</v>
      </c>
      <c r="O383" t="s">
        <v>1795</v>
      </c>
      <c r="P383" t="s">
        <v>992</v>
      </c>
    </row>
    <row r="384" spans="1:16" x14ac:dyDescent="0.2">
      <c r="A384" t="s">
        <v>2089</v>
      </c>
      <c r="B384" t="s">
        <v>318</v>
      </c>
      <c r="C384" t="s">
        <v>318</v>
      </c>
      <c r="D384" t="s">
        <v>101</v>
      </c>
      <c r="E384" t="s">
        <v>1028</v>
      </c>
      <c r="F384" t="s">
        <v>1298</v>
      </c>
      <c r="G384" t="s">
        <v>1086</v>
      </c>
      <c r="H384" t="s">
        <v>941</v>
      </c>
      <c r="I384" t="s">
        <v>931</v>
      </c>
      <c r="J384" t="s">
        <v>992</v>
      </c>
      <c r="K384" t="s">
        <v>992</v>
      </c>
      <c r="L384" t="s">
        <v>992</v>
      </c>
      <c r="M384" t="s">
        <v>992</v>
      </c>
      <c r="N384" t="s">
        <v>995</v>
      </c>
      <c r="O384" t="s">
        <v>995</v>
      </c>
      <c r="P384" t="s">
        <v>992</v>
      </c>
    </row>
    <row r="385" spans="1:16" x14ac:dyDescent="0.2">
      <c r="A385" t="s">
        <v>2090</v>
      </c>
      <c r="B385" t="s">
        <v>495</v>
      </c>
      <c r="C385" t="s">
        <v>495</v>
      </c>
      <c r="D385" t="s">
        <v>70</v>
      </c>
      <c r="E385" t="s">
        <v>1010</v>
      </c>
      <c r="F385" t="s">
        <v>1298</v>
      </c>
      <c r="G385" t="s">
        <v>1144</v>
      </c>
      <c r="H385" t="s">
        <v>941</v>
      </c>
      <c r="I385" t="s">
        <v>931</v>
      </c>
      <c r="J385" t="s">
        <v>931</v>
      </c>
      <c r="K385" t="s">
        <v>992</v>
      </c>
      <c r="L385" t="s">
        <v>992</v>
      </c>
      <c r="M385" t="s">
        <v>931</v>
      </c>
      <c r="N385" t="s">
        <v>1503</v>
      </c>
      <c r="O385" t="s">
        <v>1825</v>
      </c>
      <c r="P385" t="s">
        <v>992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C3D2B-99E6-914E-91DD-3FCF71A5E0B2}">
  <sheetPr codeName="Sheet13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4"/>
  <dimension ref="A1:T237"/>
  <sheetViews>
    <sheetView workbookViewId="0"/>
  </sheetViews>
  <sheetFormatPr baseColWidth="10" defaultColWidth="8.83203125" defaultRowHeight="15" x14ac:dyDescent="0.2"/>
  <cols>
    <col min="1" max="1" width="5.5" bestFit="1" customWidth="1"/>
    <col min="2" max="3" width="24.33203125" bestFit="1" customWidth="1"/>
    <col min="4" max="4" width="8.1640625" bestFit="1" customWidth="1"/>
    <col min="5" max="5" width="6.6640625" bestFit="1" customWidth="1"/>
    <col min="6" max="6" width="6.5" bestFit="1" customWidth="1"/>
    <col min="7" max="7" width="9.5" bestFit="1" customWidth="1"/>
    <col min="8" max="8" width="16.5" bestFit="1" customWidth="1"/>
    <col min="9" max="9" width="9.6640625" bestFit="1" customWidth="1"/>
    <col min="10" max="10" width="6.5" bestFit="1" customWidth="1"/>
    <col min="11" max="11" width="8.6640625" bestFit="1" customWidth="1"/>
    <col min="12" max="12" width="6.5" bestFit="1" customWidth="1"/>
    <col min="13" max="13" width="10.5" bestFit="1" customWidth="1"/>
    <col min="14" max="15" width="5.5" bestFit="1" customWidth="1"/>
    <col min="16" max="16" width="6.33203125" bestFit="1" customWidth="1"/>
    <col min="17" max="17" width="10" bestFit="1" customWidth="1"/>
    <col min="18" max="19" width="10.5" bestFit="1" customWidth="1"/>
    <col min="20" max="20" width="7.1640625" customWidth="1"/>
  </cols>
  <sheetData>
    <row r="1" spans="1:20" x14ac:dyDescent="0.2">
      <c r="A1" t="s">
        <v>902</v>
      </c>
      <c r="B1" t="s">
        <v>903</v>
      </c>
      <c r="C1" t="s">
        <v>27</v>
      </c>
      <c r="D1" t="s">
        <v>21</v>
      </c>
      <c r="E1" t="s">
        <v>905</v>
      </c>
      <c r="F1" t="s">
        <v>906</v>
      </c>
      <c r="G1" t="s">
        <v>907</v>
      </c>
      <c r="H1" t="s">
        <v>908</v>
      </c>
      <c r="I1" t="s">
        <v>2091</v>
      </c>
      <c r="J1" t="s">
        <v>2092</v>
      </c>
      <c r="K1" t="s">
        <v>2093</v>
      </c>
      <c r="L1" t="s">
        <v>799</v>
      </c>
      <c r="M1" t="s">
        <v>2094</v>
      </c>
      <c r="N1" t="s">
        <v>800</v>
      </c>
      <c r="O1" t="s">
        <v>1321</v>
      </c>
      <c r="P1" t="s">
        <v>917</v>
      </c>
      <c r="Q1" t="s">
        <v>2095</v>
      </c>
      <c r="R1" t="s">
        <v>2096</v>
      </c>
      <c r="S1" t="s">
        <v>2097</v>
      </c>
      <c r="T1" t="s">
        <v>1416</v>
      </c>
    </row>
    <row r="2" spans="1:20" x14ac:dyDescent="0.2">
      <c r="A2">
        <v>1</v>
      </c>
      <c r="B2" t="s">
        <v>1895</v>
      </c>
      <c r="C2" t="s">
        <v>1895</v>
      </c>
      <c r="D2" t="s">
        <v>729</v>
      </c>
      <c r="E2">
        <v>27</v>
      </c>
      <c r="F2" t="s">
        <v>1298</v>
      </c>
      <c r="G2">
        <v>1</v>
      </c>
      <c r="H2">
        <v>1</v>
      </c>
      <c r="I2">
        <v>16</v>
      </c>
      <c r="J2">
        <v>13</v>
      </c>
      <c r="K2">
        <v>0.81299999999999994</v>
      </c>
      <c r="L2">
        <v>139</v>
      </c>
      <c r="M2">
        <v>10.7</v>
      </c>
      <c r="N2">
        <v>2</v>
      </c>
      <c r="O2">
        <v>8</v>
      </c>
      <c r="P2">
        <v>28</v>
      </c>
      <c r="Q2">
        <v>8.6999999999999993</v>
      </c>
      <c r="R2">
        <v>13</v>
      </c>
      <c r="S2">
        <v>139</v>
      </c>
      <c r="T2">
        <v>0</v>
      </c>
    </row>
    <row r="3" spans="1:20" x14ac:dyDescent="0.2">
      <c r="A3">
        <v>2</v>
      </c>
      <c r="B3" t="s">
        <v>90</v>
      </c>
      <c r="C3" t="s">
        <v>90</v>
      </c>
      <c r="D3" t="s">
        <v>1040</v>
      </c>
      <c r="E3">
        <v>27</v>
      </c>
      <c r="F3" t="s">
        <v>1298</v>
      </c>
      <c r="G3">
        <v>1</v>
      </c>
      <c r="H3">
        <v>1</v>
      </c>
      <c r="I3">
        <v>15</v>
      </c>
      <c r="J3">
        <v>11</v>
      </c>
      <c r="K3">
        <v>0.73299999999999998</v>
      </c>
      <c r="L3">
        <v>197</v>
      </c>
      <c r="M3">
        <v>17.899999999999999</v>
      </c>
      <c r="N3">
        <v>1</v>
      </c>
      <c r="O3">
        <v>8</v>
      </c>
      <c r="P3">
        <v>75</v>
      </c>
      <c r="Q3">
        <v>13.1</v>
      </c>
      <c r="R3">
        <v>11</v>
      </c>
      <c r="S3">
        <v>197</v>
      </c>
      <c r="T3">
        <v>0</v>
      </c>
    </row>
    <row r="4" spans="1:20" x14ac:dyDescent="0.2">
      <c r="A4">
        <v>3</v>
      </c>
      <c r="B4" t="s">
        <v>2098</v>
      </c>
      <c r="C4" t="s">
        <v>2098</v>
      </c>
      <c r="D4" t="s">
        <v>933</v>
      </c>
      <c r="E4">
        <v>29</v>
      </c>
      <c r="F4" t="s">
        <v>1577</v>
      </c>
      <c r="G4">
        <v>1</v>
      </c>
      <c r="H4">
        <v>1</v>
      </c>
      <c r="I4">
        <v>19</v>
      </c>
      <c r="J4">
        <v>10</v>
      </c>
      <c r="K4">
        <v>0.52600000000000002</v>
      </c>
      <c r="L4">
        <v>105</v>
      </c>
      <c r="M4">
        <v>10.5</v>
      </c>
      <c r="N4">
        <v>1</v>
      </c>
      <c r="O4">
        <v>4</v>
      </c>
      <c r="P4">
        <v>24</v>
      </c>
      <c r="Q4">
        <v>5.5</v>
      </c>
      <c r="R4">
        <v>10</v>
      </c>
      <c r="S4">
        <v>105</v>
      </c>
      <c r="T4">
        <v>0</v>
      </c>
    </row>
    <row r="5" spans="1:20" x14ac:dyDescent="0.2">
      <c r="A5">
        <v>4</v>
      </c>
      <c r="B5" t="s">
        <v>125</v>
      </c>
      <c r="C5" t="s">
        <v>125</v>
      </c>
      <c r="D5" t="s">
        <v>118</v>
      </c>
      <c r="E5">
        <v>29</v>
      </c>
      <c r="F5" t="s">
        <v>1298</v>
      </c>
      <c r="G5">
        <v>1</v>
      </c>
      <c r="H5">
        <v>1</v>
      </c>
      <c r="I5">
        <v>13</v>
      </c>
      <c r="J5">
        <v>9</v>
      </c>
      <c r="K5">
        <v>0.69199999999999995</v>
      </c>
      <c r="L5">
        <v>100</v>
      </c>
      <c r="M5">
        <v>11.1</v>
      </c>
      <c r="N5">
        <v>0</v>
      </c>
      <c r="O5">
        <v>7</v>
      </c>
      <c r="P5">
        <v>17</v>
      </c>
      <c r="Q5">
        <v>7.7</v>
      </c>
      <c r="R5">
        <v>9</v>
      </c>
      <c r="S5">
        <v>100</v>
      </c>
      <c r="T5">
        <v>1</v>
      </c>
    </row>
    <row r="6" spans="1:20" x14ac:dyDescent="0.2">
      <c r="A6">
        <v>5</v>
      </c>
      <c r="B6" t="s">
        <v>105</v>
      </c>
      <c r="C6" t="s">
        <v>105</v>
      </c>
      <c r="D6" t="s">
        <v>98</v>
      </c>
      <c r="E6">
        <v>28</v>
      </c>
      <c r="F6" t="s">
        <v>1298</v>
      </c>
      <c r="G6">
        <v>1</v>
      </c>
      <c r="H6">
        <v>1</v>
      </c>
      <c r="I6">
        <v>14</v>
      </c>
      <c r="J6">
        <v>9</v>
      </c>
      <c r="K6">
        <v>0.64300000000000002</v>
      </c>
      <c r="L6">
        <v>69</v>
      </c>
      <c r="M6">
        <v>7.7</v>
      </c>
      <c r="N6">
        <v>0</v>
      </c>
      <c r="O6">
        <v>4</v>
      </c>
      <c r="P6">
        <v>13</v>
      </c>
      <c r="Q6">
        <v>4.9000000000000004</v>
      </c>
      <c r="R6">
        <v>9</v>
      </c>
      <c r="S6">
        <v>69</v>
      </c>
      <c r="T6">
        <v>0</v>
      </c>
    </row>
    <row r="7" spans="1:20" x14ac:dyDescent="0.2">
      <c r="A7">
        <v>6</v>
      </c>
      <c r="B7" t="s">
        <v>812</v>
      </c>
      <c r="C7" t="s">
        <v>812</v>
      </c>
      <c r="D7" t="s">
        <v>976</v>
      </c>
      <c r="E7">
        <v>25</v>
      </c>
      <c r="F7" t="s">
        <v>1298</v>
      </c>
      <c r="G7">
        <v>1</v>
      </c>
      <c r="H7">
        <v>1</v>
      </c>
      <c r="I7">
        <v>14</v>
      </c>
      <c r="J7">
        <v>9</v>
      </c>
      <c r="K7">
        <v>0.64300000000000002</v>
      </c>
      <c r="L7">
        <v>105</v>
      </c>
      <c r="M7">
        <v>11.7</v>
      </c>
      <c r="N7">
        <v>1</v>
      </c>
      <c r="O7">
        <v>7</v>
      </c>
      <c r="P7">
        <v>24</v>
      </c>
      <c r="Q7">
        <v>7.5</v>
      </c>
      <c r="R7">
        <v>9</v>
      </c>
      <c r="S7">
        <v>105</v>
      </c>
      <c r="T7">
        <v>1</v>
      </c>
    </row>
    <row r="8" spans="1:20" x14ac:dyDescent="0.2">
      <c r="A8">
        <v>7</v>
      </c>
      <c r="B8" t="s">
        <v>69</v>
      </c>
      <c r="C8" t="s">
        <v>69</v>
      </c>
      <c r="D8" t="s">
        <v>70</v>
      </c>
      <c r="E8">
        <v>25</v>
      </c>
      <c r="F8" t="s">
        <v>1392</v>
      </c>
      <c r="G8">
        <v>1</v>
      </c>
      <c r="H8">
        <v>1</v>
      </c>
      <c r="I8">
        <v>9</v>
      </c>
      <c r="J8">
        <v>9</v>
      </c>
      <c r="K8">
        <v>1</v>
      </c>
      <c r="L8">
        <v>89</v>
      </c>
      <c r="M8">
        <v>9.9</v>
      </c>
      <c r="N8">
        <v>0</v>
      </c>
      <c r="O8">
        <v>6</v>
      </c>
      <c r="P8">
        <v>22</v>
      </c>
      <c r="Q8">
        <v>9.9</v>
      </c>
      <c r="R8">
        <v>9</v>
      </c>
      <c r="S8">
        <v>89</v>
      </c>
      <c r="T8">
        <v>0</v>
      </c>
    </row>
    <row r="9" spans="1:20" x14ac:dyDescent="0.2">
      <c r="A9">
        <v>8</v>
      </c>
      <c r="B9" t="s">
        <v>185</v>
      </c>
      <c r="C9" t="s">
        <v>185</v>
      </c>
      <c r="D9" t="s">
        <v>1087</v>
      </c>
      <c r="E9">
        <v>25</v>
      </c>
      <c r="F9" t="s">
        <v>1298</v>
      </c>
      <c r="G9">
        <v>1</v>
      </c>
      <c r="H9">
        <v>1</v>
      </c>
      <c r="I9">
        <v>12</v>
      </c>
      <c r="J9">
        <v>9</v>
      </c>
      <c r="K9">
        <v>0.75</v>
      </c>
      <c r="L9">
        <v>189</v>
      </c>
      <c r="M9">
        <v>21</v>
      </c>
      <c r="N9">
        <v>1</v>
      </c>
      <c r="O9">
        <v>6</v>
      </c>
      <c r="P9">
        <v>79</v>
      </c>
      <c r="Q9">
        <v>15.8</v>
      </c>
      <c r="R9">
        <v>9</v>
      </c>
      <c r="S9">
        <v>189</v>
      </c>
      <c r="T9">
        <v>1</v>
      </c>
    </row>
    <row r="10" spans="1:20" x14ac:dyDescent="0.2">
      <c r="A10">
        <v>9</v>
      </c>
      <c r="B10" t="s">
        <v>129</v>
      </c>
      <c r="C10" t="s">
        <v>129</v>
      </c>
      <c r="D10" t="s">
        <v>73</v>
      </c>
      <c r="E10">
        <v>31</v>
      </c>
      <c r="F10" t="s">
        <v>1298</v>
      </c>
      <c r="G10">
        <v>1</v>
      </c>
      <c r="H10">
        <v>1</v>
      </c>
      <c r="I10">
        <v>10</v>
      </c>
      <c r="J10">
        <v>9</v>
      </c>
      <c r="K10">
        <v>0.9</v>
      </c>
      <c r="L10">
        <v>92</v>
      </c>
      <c r="M10">
        <v>10.199999999999999</v>
      </c>
      <c r="N10">
        <v>2</v>
      </c>
      <c r="O10">
        <v>5</v>
      </c>
      <c r="P10">
        <v>24</v>
      </c>
      <c r="Q10">
        <v>9.1999999999999993</v>
      </c>
      <c r="R10">
        <v>9</v>
      </c>
      <c r="S10">
        <v>92</v>
      </c>
      <c r="T10">
        <v>0</v>
      </c>
    </row>
    <row r="11" spans="1:20" x14ac:dyDescent="0.2">
      <c r="A11">
        <v>10</v>
      </c>
      <c r="B11" t="s">
        <v>265</v>
      </c>
      <c r="C11" t="s">
        <v>265</v>
      </c>
      <c r="D11" t="s">
        <v>98</v>
      </c>
      <c r="E11">
        <v>32</v>
      </c>
      <c r="F11" t="s">
        <v>1298</v>
      </c>
      <c r="G11">
        <v>1</v>
      </c>
      <c r="H11">
        <v>1</v>
      </c>
      <c r="I11">
        <v>13</v>
      </c>
      <c r="J11">
        <v>8</v>
      </c>
      <c r="K11">
        <v>0.61499999999999999</v>
      </c>
      <c r="L11">
        <v>60</v>
      </c>
      <c r="M11">
        <v>7.5</v>
      </c>
      <c r="N11">
        <v>0</v>
      </c>
      <c r="O11">
        <v>1</v>
      </c>
      <c r="P11">
        <v>12</v>
      </c>
      <c r="Q11">
        <v>4.5999999999999996</v>
      </c>
      <c r="R11">
        <v>8</v>
      </c>
      <c r="S11">
        <v>60</v>
      </c>
      <c r="T11">
        <v>0</v>
      </c>
    </row>
    <row r="12" spans="1:20" x14ac:dyDescent="0.2">
      <c r="A12">
        <v>11</v>
      </c>
      <c r="B12" t="s">
        <v>2099</v>
      </c>
      <c r="C12" t="s">
        <v>2099</v>
      </c>
      <c r="D12" t="s">
        <v>976</v>
      </c>
      <c r="E12">
        <v>32</v>
      </c>
      <c r="F12" t="s">
        <v>1577</v>
      </c>
      <c r="G12">
        <v>1</v>
      </c>
      <c r="H12">
        <v>1</v>
      </c>
      <c r="I12">
        <v>8</v>
      </c>
      <c r="J12">
        <v>8</v>
      </c>
      <c r="K12">
        <v>1</v>
      </c>
      <c r="L12">
        <v>90</v>
      </c>
      <c r="M12">
        <v>11.3</v>
      </c>
      <c r="N12">
        <v>2</v>
      </c>
      <c r="O12">
        <v>5</v>
      </c>
      <c r="P12">
        <v>20</v>
      </c>
      <c r="Q12">
        <v>11.3</v>
      </c>
      <c r="R12">
        <v>8</v>
      </c>
      <c r="S12">
        <v>90</v>
      </c>
      <c r="T12">
        <v>0</v>
      </c>
    </row>
    <row r="13" spans="1:20" x14ac:dyDescent="0.2">
      <c r="A13">
        <v>12</v>
      </c>
      <c r="B13" t="s">
        <v>246</v>
      </c>
      <c r="C13" t="s">
        <v>246</v>
      </c>
      <c r="D13" t="s">
        <v>139</v>
      </c>
      <c r="E13">
        <v>24</v>
      </c>
      <c r="F13" t="s">
        <v>1577</v>
      </c>
      <c r="G13">
        <v>1</v>
      </c>
      <c r="H13">
        <v>1</v>
      </c>
      <c r="I13">
        <v>10</v>
      </c>
      <c r="J13">
        <v>8</v>
      </c>
      <c r="K13">
        <v>0.8</v>
      </c>
      <c r="L13">
        <v>97</v>
      </c>
      <c r="M13">
        <v>12.1</v>
      </c>
      <c r="N13">
        <v>1</v>
      </c>
      <c r="O13">
        <v>7</v>
      </c>
      <c r="P13">
        <v>23</v>
      </c>
      <c r="Q13">
        <v>9.6999999999999993</v>
      </c>
      <c r="R13">
        <v>8</v>
      </c>
      <c r="S13">
        <v>97</v>
      </c>
      <c r="T13">
        <v>0</v>
      </c>
    </row>
    <row r="14" spans="1:20" x14ac:dyDescent="0.2">
      <c r="A14">
        <v>13</v>
      </c>
      <c r="B14" t="s">
        <v>180</v>
      </c>
      <c r="C14" t="s">
        <v>180</v>
      </c>
      <c r="D14" t="s">
        <v>139</v>
      </c>
      <c r="E14">
        <v>22</v>
      </c>
      <c r="G14">
        <v>1</v>
      </c>
      <c r="H14">
        <v>0</v>
      </c>
      <c r="I14">
        <v>11</v>
      </c>
      <c r="J14">
        <v>8</v>
      </c>
      <c r="K14">
        <v>0.72699999999999998</v>
      </c>
      <c r="L14">
        <v>65</v>
      </c>
      <c r="M14">
        <v>8.1</v>
      </c>
      <c r="N14">
        <v>1</v>
      </c>
      <c r="O14">
        <v>2</v>
      </c>
      <c r="P14">
        <v>43</v>
      </c>
      <c r="Q14">
        <v>5.9</v>
      </c>
      <c r="R14">
        <v>8</v>
      </c>
      <c r="S14">
        <v>65</v>
      </c>
      <c r="T14">
        <v>0</v>
      </c>
    </row>
    <row r="15" spans="1:20" x14ac:dyDescent="0.2">
      <c r="A15">
        <v>14</v>
      </c>
      <c r="B15" t="s">
        <v>336</v>
      </c>
      <c r="C15" t="s">
        <v>336</v>
      </c>
      <c r="D15" t="s">
        <v>139</v>
      </c>
      <c r="E15">
        <v>26</v>
      </c>
      <c r="F15" t="s">
        <v>1392</v>
      </c>
      <c r="G15">
        <v>1</v>
      </c>
      <c r="H15">
        <v>1</v>
      </c>
      <c r="I15">
        <v>9</v>
      </c>
      <c r="J15">
        <v>8</v>
      </c>
      <c r="K15">
        <v>0.88900000000000001</v>
      </c>
      <c r="L15">
        <v>56</v>
      </c>
      <c r="M15">
        <v>7</v>
      </c>
      <c r="N15">
        <v>0</v>
      </c>
      <c r="O15">
        <v>4</v>
      </c>
      <c r="P15">
        <v>11</v>
      </c>
      <c r="Q15">
        <v>6.2</v>
      </c>
      <c r="R15">
        <v>8</v>
      </c>
      <c r="S15">
        <v>56</v>
      </c>
      <c r="T15">
        <v>0</v>
      </c>
    </row>
    <row r="16" spans="1:20" x14ac:dyDescent="0.2">
      <c r="A16">
        <v>15</v>
      </c>
      <c r="B16" t="s">
        <v>247</v>
      </c>
      <c r="C16" t="s">
        <v>247</v>
      </c>
      <c r="D16" t="s">
        <v>118</v>
      </c>
      <c r="E16">
        <v>27</v>
      </c>
      <c r="F16" t="s">
        <v>1298</v>
      </c>
      <c r="G16">
        <v>1</v>
      </c>
      <c r="H16">
        <v>1</v>
      </c>
      <c r="I16">
        <v>12</v>
      </c>
      <c r="J16">
        <v>8</v>
      </c>
      <c r="K16">
        <v>0.66700000000000004</v>
      </c>
      <c r="L16">
        <v>82</v>
      </c>
      <c r="M16">
        <v>10.3</v>
      </c>
      <c r="N16">
        <v>1</v>
      </c>
      <c r="O16">
        <v>6</v>
      </c>
      <c r="P16">
        <v>20</v>
      </c>
      <c r="Q16">
        <v>6.8</v>
      </c>
      <c r="R16">
        <v>8</v>
      </c>
      <c r="S16">
        <v>82</v>
      </c>
      <c r="T16">
        <v>0</v>
      </c>
    </row>
    <row r="17" spans="1:20" x14ac:dyDescent="0.2">
      <c r="A17">
        <v>16</v>
      </c>
      <c r="B17" t="s">
        <v>1928</v>
      </c>
      <c r="C17" t="s">
        <v>1928</v>
      </c>
      <c r="D17" t="s">
        <v>730</v>
      </c>
      <c r="E17">
        <v>28</v>
      </c>
      <c r="F17" t="s">
        <v>1298</v>
      </c>
      <c r="G17">
        <v>1</v>
      </c>
      <c r="H17">
        <v>1</v>
      </c>
      <c r="I17">
        <v>10</v>
      </c>
      <c r="J17">
        <v>7</v>
      </c>
      <c r="K17">
        <v>0.7</v>
      </c>
      <c r="L17">
        <v>108</v>
      </c>
      <c r="M17">
        <v>15.4</v>
      </c>
      <c r="N17">
        <v>1</v>
      </c>
      <c r="O17">
        <v>3</v>
      </c>
      <c r="P17">
        <v>56</v>
      </c>
      <c r="Q17">
        <v>10.8</v>
      </c>
      <c r="R17">
        <v>7</v>
      </c>
      <c r="S17">
        <v>108</v>
      </c>
      <c r="T17">
        <v>0</v>
      </c>
    </row>
    <row r="18" spans="1:20" x14ac:dyDescent="0.2">
      <c r="A18">
        <v>17</v>
      </c>
      <c r="B18" t="s">
        <v>1851</v>
      </c>
      <c r="C18" t="s">
        <v>1851</v>
      </c>
      <c r="D18" t="s">
        <v>729</v>
      </c>
      <c r="E18">
        <v>22</v>
      </c>
      <c r="F18" t="s">
        <v>1298</v>
      </c>
      <c r="G18">
        <v>1</v>
      </c>
      <c r="H18">
        <v>1</v>
      </c>
      <c r="I18">
        <v>15</v>
      </c>
      <c r="J18">
        <v>7</v>
      </c>
      <c r="K18">
        <v>0.46700000000000003</v>
      </c>
      <c r="L18">
        <v>104</v>
      </c>
      <c r="M18">
        <v>14.9</v>
      </c>
      <c r="N18">
        <v>1</v>
      </c>
      <c r="O18">
        <v>5</v>
      </c>
      <c r="P18">
        <v>31</v>
      </c>
      <c r="Q18">
        <v>6.9</v>
      </c>
      <c r="R18">
        <v>7</v>
      </c>
      <c r="S18">
        <v>104</v>
      </c>
      <c r="T18">
        <v>0</v>
      </c>
    </row>
    <row r="19" spans="1:20" x14ac:dyDescent="0.2">
      <c r="A19">
        <v>18</v>
      </c>
      <c r="B19" t="s">
        <v>455</v>
      </c>
      <c r="C19" t="s">
        <v>455</v>
      </c>
      <c r="D19" t="s">
        <v>73</v>
      </c>
      <c r="E19">
        <v>24</v>
      </c>
      <c r="F19" t="s">
        <v>1298</v>
      </c>
      <c r="G19">
        <v>1</v>
      </c>
      <c r="H19">
        <v>1</v>
      </c>
      <c r="I19">
        <v>9</v>
      </c>
      <c r="J19">
        <v>7</v>
      </c>
      <c r="K19">
        <v>0.77800000000000002</v>
      </c>
      <c r="L19">
        <v>76</v>
      </c>
      <c r="M19">
        <v>10.9</v>
      </c>
      <c r="N19">
        <v>0</v>
      </c>
      <c r="O19">
        <v>3</v>
      </c>
      <c r="P19">
        <v>25</v>
      </c>
      <c r="Q19">
        <v>8.4</v>
      </c>
      <c r="R19">
        <v>7</v>
      </c>
      <c r="S19">
        <v>76</v>
      </c>
      <c r="T19">
        <v>0</v>
      </c>
    </row>
    <row r="20" spans="1:20" x14ac:dyDescent="0.2">
      <c r="A20">
        <v>19</v>
      </c>
      <c r="B20" t="s">
        <v>258</v>
      </c>
      <c r="C20" t="s">
        <v>258</v>
      </c>
      <c r="D20" t="s">
        <v>1052</v>
      </c>
      <c r="E20">
        <v>23</v>
      </c>
      <c r="G20">
        <v>1</v>
      </c>
      <c r="H20">
        <v>0</v>
      </c>
      <c r="I20">
        <v>9</v>
      </c>
      <c r="J20">
        <v>7</v>
      </c>
      <c r="K20">
        <v>0.77800000000000002</v>
      </c>
      <c r="L20">
        <v>50</v>
      </c>
      <c r="M20">
        <v>7.1</v>
      </c>
      <c r="N20">
        <v>0</v>
      </c>
      <c r="O20">
        <v>3</v>
      </c>
      <c r="P20">
        <v>14</v>
      </c>
      <c r="Q20">
        <v>5.6</v>
      </c>
      <c r="R20">
        <v>7</v>
      </c>
      <c r="S20">
        <v>50</v>
      </c>
      <c r="T20">
        <v>0</v>
      </c>
    </row>
    <row r="21" spans="1:20" x14ac:dyDescent="0.2">
      <c r="A21">
        <v>20</v>
      </c>
      <c r="B21" t="s">
        <v>260</v>
      </c>
      <c r="C21" t="s">
        <v>260</v>
      </c>
      <c r="D21" t="s">
        <v>92</v>
      </c>
      <c r="E21">
        <v>28</v>
      </c>
      <c r="F21" t="s">
        <v>1298</v>
      </c>
      <c r="G21">
        <v>1</v>
      </c>
      <c r="H21">
        <v>1</v>
      </c>
      <c r="I21">
        <v>9</v>
      </c>
      <c r="J21">
        <v>7</v>
      </c>
      <c r="K21">
        <v>0.77800000000000002</v>
      </c>
      <c r="L21">
        <v>113</v>
      </c>
      <c r="M21">
        <v>16.100000000000001</v>
      </c>
      <c r="N21">
        <v>1</v>
      </c>
      <c r="O21">
        <v>6</v>
      </c>
      <c r="P21">
        <v>37</v>
      </c>
      <c r="Q21">
        <v>12.6</v>
      </c>
      <c r="R21">
        <v>7</v>
      </c>
      <c r="S21">
        <v>113</v>
      </c>
      <c r="T21">
        <v>0</v>
      </c>
    </row>
    <row r="22" spans="1:20" x14ac:dyDescent="0.2">
      <c r="A22">
        <v>21</v>
      </c>
      <c r="B22" t="s">
        <v>1544</v>
      </c>
      <c r="C22" t="s">
        <v>1544</v>
      </c>
      <c r="D22" t="s">
        <v>725</v>
      </c>
      <c r="E22">
        <v>24</v>
      </c>
      <c r="F22" t="s">
        <v>1298</v>
      </c>
      <c r="G22">
        <v>1</v>
      </c>
      <c r="H22">
        <v>1</v>
      </c>
      <c r="I22">
        <v>6</v>
      </c>
      <c r="J22">
        <v>6</v>
      </c>
      <c r="K22">
        <v>1</v>
      </c>
      <c r="L22">
        <v>69</v>
      </c>
      <c r="M22">
        <v>11.5</v>
      </c>
      <c r="N22">
        <v>1</v>
      </c>
      <c r="O22">
        <v>4</v>
      </c>
      <c r="P22">
        <v>29</v>
      </c>
      <c r="Q22">
        <v>11.5</v>
      </c>
      <c r="R22">
        <v>6</v>
      </c>
      <c r="S22">
        <v>69</v>
      </c>
      <c r="T22">
        <v>0</v>
      </c>
    </row>
    <row r="23" spans="1:20" x14ac:dyDescent="0.2">
      <c r="A23">
        <v>22</v>
      </c>
      <c r="B23" t="s">
        <v>72</v>
      </c>
      <c r="C23" t="s">
        <v>72</v>
      </c>
      <c r="D23" t="s">
        <v>73</v>
      </c>
      <c r="E23">
        <v>26</v>
      </c>
      <c r="F23" t="s">
        <v>1392</v>
      </c>
      <c r="G23">
        <v>1</v>
      </c>
      <c r="H23">
        <v>1</v>
      </c>
      <c r="I23">
        <v>7</v>
      </c>
      <c r="J23">
        <v>6</v>
      </c>
      <c r="K23">
        <v>0.85699999999999998</v>
      </c>
      <c r="L23">
        <v>43</v>
      </c>
      <c r="M23">
        <v>7.2</v>
      </c>
      <c r="N23">
        <v>0</v>
      </c>
      <c r="O23">
        <v>2</v>
      </c>
      <c r="P23">
        <v>9</v>
      </c>
      <c r="Q23">
        <v>6.1</v>
      </c>
      <c r="R23">
        <v>6</v>
      </c>
      <c r="S23">
        <v>43</v>
      </c>
      <c r="T23">
        <v>1</v>
      </c>
    </row>
    <row r="24" spans="1:20" x14ac:dyDescent="0.2">
      <c r="A24">
        <v>23</v>
      </c>
      <c r="B24" t="s">
        <v>267</v>
      </c>
      <c r="C24" t="s">
        <v>267</v>
      </c>
      <c r="D24" t="s">
        <v>93</v>
      </c>
      <c r="E24">
        <v>24</v>
      </c>
      <c r="F24" t="s">
        <v>1577</v>
      </c>
      <c r="G24">
        <v>1</v>
      </c>
      <c r="H24">
        <v>1</v>
      </c>
      <c r="I24">
        <v>8</v>
      </c>
      <c r="J24">
        <v>6</v>
      </c>
      <c r="K24">
        <v>0.75</v>
      </c>
      <c r="L24">
        <v>62</v>
      </c>
      <c r="M24">
        <v>10.3</v>
      </c>
      <c r="N24">
        <v>0</v>
      </c>
      <c r="O24">
        <v>3</v>
      </c>
      <c r="P24">
        <v>25</v>
      </c>
      <c r="Q24">
        <v>7.8</v>
      </c>
      <c r="R24">
        <v>6</v>
      </c>
      <c r="S24">
        <v>62</v>
      </c>
      <c r="T24">
        <v>0</v>
      </c>
    </row>
    <row r="25" spans="1:20" x14ac:dyDescent="0.2">
      <c r="A25">
        <v>24</v>
      </c>
      <c r="B25" t="s">
        <v>268</v>
      </c>
      <c r="C25" t="s">
        <v>268</v>
      </c>
      <c r="D25" t="s">
        <v>107</v>
      </c>
      <c r="E25">
        <v>25</v>
      </c>
      <c r="G25">
        <v>1</v>
      </c>
      <c r="H25">
        <v>0</v>
      </c>
      <c r="I25">
        <v>8</v>
      </c>
      <c r="J25">
        <v>6</v>
      </c>
      <c r="K25">
        <v>0.75</v>
      </c>
      <c r="L25">
        <v>48</v>
      </c>
      <c r="M25">
        <v>8</v>
      </c>
      <c r="N25">
        <v>0</v>
      </c>
      <c r="O25">
        <v>2</v>
      </c>
      <c r="P25">
        <v>19</v>
      </c>
      <c r="Q25">
        <v>6</v>
      </c>
      <c r="R25">
        <v>6</v>
      </c>
      <c r="S25">
        <v>48</v>
      </c>
      <c r="T25">
        <v>0</v>
      </c>
    </row>
    <row r="26" spans="1:20" x14ac:dyDescent="0.2">
      <c r="A26">
        <v>25</v>
      </c>
      <c r="B26" t="s">
        <v>96</v>
      </c>
      <c r="C26" t="s">
        <v>96</v>
      </c>
      <c r="D26" t="s">
        <v>78</v>
      </c>
      <c r="E26">
        <v>29</v>
      </c>
      <c r="F26" t="s">
        <v>1298</v>
      </c>
      <c r="G26">
        <v>1</v>
      </c>
      <c r="H26">
        <v>1</v>
      </c>
      <c r="I26">
        <v>8</v>
      </c>
      <c r="J26">
        <v>6</v>
      </c>
      <c r="K26">
        <v>0.75</v>
      </c>
      <c r="L26">
        <v>83</v>
      </c>
      <c r="M26">
        <v>13.8</v>
      </c>
      <c r="N26">
        <v>2</v>
      </c>
      <c r="O26">
        <v>4</v>
      </c>
      <c r="P26">
        <v>38</v>
      </c>
      <c r="Q26">
        <v>10.4</v>
      </c>
      <c r="R26">
        <v>6</v>
      </c>
      <c r="S26">
        <v>83</v>
      </c>
      <c r="T26">
        <v>0</v>
      </c>
    </row>
    <row r="27" spans="1:20" x14ac:dyDescent="0.2">
      <c r="A27">
        <v>26</v>
      </c>
      <c r="B27" t="s">
        <v>259</v>
      </c>
      <c r="C27" t="s">
        <v>259</v>
      </c>
      <c r="D27" t="s">
        <v>93</v>
      </c>
      <c r="E27">
        <v>22</v>
      </c>
      <c r="F27" t="s">
        <v>1298</v>
      </c>
      <c r="G27">
        <v>1</v>
      </c>
      <c r="H27">
        <v>1</v>
      </c>
      <c r="I27">
        <v>7</v>
      </c>
      <c r="J27">
        <v>6</v>
      </c>
      <c r="K27">
        <v>0.85699999999999998</v>
      </c>
      <c r="L27">
        <v>72</v>
      </c>
      <c r="M27">
        <v>12</v>
      </c>
      <c r="N27">
        <v>0</v>
      </c>
      <c r="O27">
        <v>4</v>
      </c>
      <c r="P27">
        <v>20</v>
      </c>
      <c r="Q27">
        <v>10.3</v>
      </c>
      <c r="R27">
        <v>6</v>
      </c>
      <c r="S27">
        <v>72</v>
      </c>
      <c r="T27">
        <v>0</v>
      </c>
    </row>
    <row r="28" spans="1:20" x14ac:dyDescent="0.2">
      <c r="A28">
        <v>27</v>
      </c>
      <c r="B28" t="s">
        <v>89</v>
      </c>
      <c r="C28" t="s">
        <v>89</v>
      </c>
      <c r="D28" t="s">
        <v>1040</v>
      </c>
      <c r="E28">
        <v>32</v>
      </c>
      <c r="F28" t="s">
        <v>1577</v>
      </c>
      <c r="G28">
        <v>1</v>
      </c>
      <c r="H28">
        <v>1</v>
      </c>
      <c r="I28">
        <v>7</v>
      </c>
      <c r="J28">
        <v>6</v>
      </c>
      <c r="K28">
        <v>0.85699999999999998</v>
      </c>
      <c r="L28">
        <v>76</v>
      </c>
      <c r="M28">
        <v>12.7</v>
      </c>
      <c r="N28">
        <v>2</v>
      </c>
      <c r="O28">
        <v>6</v>
      </c>
      <c r="P28">
        <v>19</v>
      </c>
      <c r="Q28">
        <v>10.9</v>
      </c>
      <c r="R28">
        <v>6</v>
      </c>
      <c r="S28">
        <v>76</v>
      </c>
      <c r="T28">
        <v>0</v>
      </c>
    </row>
    <row r="29" spans="1:20" x14ac:dyDescent="0.2">
      <c r="A29">
        <v>28</v>
      </c>
      <c r="B29" t="s">
        <v>269</v>
      </c>
      <c r="C29" t="s">
        <v>269</v>
      </c>
      <c r="D29" t="s">
        <v>1122</v>
      </c>
      <c r="E29">
        <v>25</v>
      </c>
      <c r="F29" t="s">
        <v>1298</v>
      </c>
      <c r="G29">
        <v>1</v>
      </c>
      <c r="H29">
        <v>1</v>
      </c>
      <c r="I29">
        <v>9</v>
      </c>
      <c r="J29">
        <v>6</v>
      </c>
      <c r="K29">
        <v>0.66700000000000004</v>
      </c>
      <c r="L29">
        <v>44</v>
      </c>
      <c r="M29">
        <v>7.3</v>
      </c>
      <c r="N29">
        <v>0</v>
      </c>
      <c r="O29">
        <v>4</v>
      </c>
      <c r="P29">
        <v>22</v>
      </c>
      <c r="Q29">
        <v>4.9000000000000004</v>
      </c>
      <c r="R29">
        <v>6</v>
      </c>
      <c r="S29">
        <v>44</v>
      </c>
      <c r="T29">
        <v>0</v>
      </c>
    </row>
    <row r="30" spans="1:20" x14ac:dyDescent="0.2">
      <c r="A30">
        <v>29</v>
      </c>
      <c r="B30" t="s">
        <v>882</v>
      </c>
      <c r="C30" t="s">
        <v>882</v>
      </c>
      <c r="D30" t="s">
        <v>70</v>
      </c>
      <c r="E30">
        <v>24</v>
      </c>
      <c r="F30" t="s">
        <v>1298</v>
      </c>
      <c r="G30">
        <v>1</v>
      </c>
      <c r="H30">
        <v>1</v>
      </c>
      <c r="I30">
        <v>8</v>
      </c>
      <c r="J30">
        <v>6</v>
      </c>
      <c r="K30">
        <v>0.75</v>
      </c>
      <c r="L30">
        <v>80</v>
      </c>
      <c r="M30">
        <v>13.3</v>
      </c>
      <c r="N30">
        <v>0</v>
      </c>
      <c r="O30">
        <v>5</v>
      </c>
      <c r="P30">
        <v>27</v>
      </c>
      <c r="Q30">
        <v>10</v>
      </c>
      <c r="R30">
        <v>6</v>
      </c>
      <c r="S30">
        <v>80</v>
      </c>
      <c r="T30">
        <v>0</v>
      </c>
    </row>
    <row r="31" spans="1:20" x14ac:dyDescent="0.2">
      <c r="A31">
        <v>30</v>
      </c>
      <c r="B31" t="s">
        <v>412</v>
      </c>
      <c r="C31" t="s">
        <v>412</v>
      </c>
      <c r="D31" t="s">
        <v>1052</v>
      </c>
      <c r="E31">
        <v>29</v>
      </c>
      <c r="F31" t="s">
        <v>1577</v>
      </c>
      <c r="G31">
        <v>1</v>
      </c>
      <c r="H31">
        <v>1</v>
      </c>
      <c r="I31">
        <v>8</v>
      </c>
      <c r="J31">
        <v>6</v>
      </c>
      <c r="K31">
        <v>0.75</v>
      </c>
      <c r="L31">
        <v>48</v>
      </c>
      <c r="M31">
        <v>8</v>
      </c>
      <c r="N31">
        <v>0</v>
      </c>
      <c r="O31">
        <v>2</v>
      </c>
      <c r="P31">
        <v>22</v>
      </c>
      <c r="Q31">
        <v>6</v>
      </c>
      <c r="R31">
        <v>6</v>
      </c>
      <c r="S31">
        <v>48</v>
      </c>
      <c r="T31">
        <v>0</v>
      </c>
    </row>
    <row r="32" spans="1:20" x14ac:dyDescent="0.2">
      <c r="A32">
        <v>31</v>
      </c>
      <c r="B32" t="s">
        <v>271</v>
      </c>
      <c r="C32" t="s">
        <v>271</v>
      </c>
      <c r="D32" t="s">
        <v>102</v>
      </c>
      <c r="E32">
        <v>22</v>
      </c>
      <c r="G32">
        <v>1</v>
      </c>
      <c r="H32">
        <v>0</v>
      </c>
      <c r="I32">
        <v>6</v>
      </c>
      <c r="J32">
        <v>6</v>
      </c>
      <c r="K32">
        <v>1</v>
      </c>
      <c r="L32">
        <v>49</v>
      </c>
      <c r="M32">
        <v>8.1999999999999993</v>
      </c>
      <c r="N32">
        <v>1</v>
      </c>
      <c r="O32">
        <v>2</v>
      </c>
      <c r="P32">
        <v>23</v>
      </c>
      <c r="Q32">
        <v>8.1999999999999993</v>
      </c>
      <c r="R32">
        <v>6</v>
      </c>
      <c r="S32">
        <v>49</v>
      </c>
      <c r="T32">
        <v>0</v>
      </c>
    </row>
    <row r="33" spans="1:20" x14ac:dyDescent="0.2">
      <c r="A33">
        <v>32</v>
      </c>
      <c r="B33" t="s">
        <v>2100</v>
      </c>
      <c r="C33" t="s">
        <v>2100</v>
      </c>
      <c r="D33" t="s">
        <v>933</v>
      </c>
      <c r="E33">
        <v>26</v>
      </c>
      <c r="G33">
        <v>1</v>
      </c>
      <c r="H33">
        <v>0</v>
      </c>
      <c r="I33">
        <v>9</v>
      </c>
      <c r="J33">
        <v>6</v>
      </c>
      <c r="K33">
        <v>0.66700000000000004</v>
      </c>
      <c r="L33">
        <v>70</v>
      </c>
      <c r="M33">
        <v>11.7</v>
      </c>
      <c r="N33">
        <v>0</v>
      </c>
      <c r="O33">
        <v>3</v>
      </c>
      <c r="P33">
        <v>27</v>
      </c>
      <c r="Q33">
        <v>7.8</v>
      </c>
      <c r="R33">
        <v>6</v>
      </c>
      <c r="S33">
        <v>70</v>
      </c>
      <c r="T33">
        <v>0</v>
      </c>
    </row>
    <row r="34" spans="1:20" x14ac:dyDescent="0.2">
      <c r="A34">
        <v>33</v>
      </c>
      <c r="B34" t="s">
        <v>884</v>
      </c>
      <c r="C34" t="s">
        <v>884</v>
      </c>
      <c r="D34" t="s">
        <v>727</v>
      </c>
      <c r="E34">
        <v>28</v>
      </c>
      <c r="F34" t="s">
        <v>1298</v>
      </c>
      <c r="G34">
        <v>1</v>
      </c>
      <c r="H34">
        <v>1</v>
      </c>
      <c r="I34">
        <v>11</v>
      </c>
      <c r="J34">
        <v>6</v>
      </c>
      <c r="K34">
        <v>0.54500000000000004</v>
      </c>
      <c r="L34">
        <v>35</v>
      </c>
      <c r="M34">
        <v>5.8</v>
      </c>
      <c r="N34">
        <v>0</v>
      </c>
      <c r="O34">
        <v>3</v>
      </c>
      <c r="P34">
        <v>9</v>
      </c>
      <c r="Q34">
        <v>3.2</v>
      </c>
      <c r="R34">
        <v>6</v>
      </c>
      <c r="S34">
        <v>35</v>
      </c>
      <c r="T34">
        <v>0</v>
      </c>
    </row>
    <row r="35" spans="1:20" x14ac:dyDescent="0.2">
      <c r="A35">
        <v>34</v>
      </c>
      <c r="B35" t="s">
        <v>2101</v>
      </c>
      <c r="C35" t="s">
        <v>2101</v>
      </c>
      <c r="D35" t="s">
        <v>729</v>
      </c>
      <c r="E35">
        <v>25</v>
      </c>
      <c r="F35" t="s">
        <v>1577</v>
      </c>
      <c r="G35">
        <v>1</v>
      </c>
      <c r="H35">
        <v>1</v>
      </c>
      <c r="I35">
        <v>6</v>
      </c>
      <c r="J35">
        <v>6</v>
      </c>
      <c r="K35">
        <v>1</v>
      </c>
      <c r="L35">
        <v>45</v>
      </c>
      <c r="M35">
        <v>7.5</v>
      </c>
      <c r="N35">
        <v>0</v>
      </c>
      <c r="O35">
        <v>3</v>
      </c>
      <c r="P35">
        <v>16</v>
      </c>
      <c r="Q35">
        <v>7.5</v>
      </c>
      <c r="R35">
        <v>6</v>
      </c>
      <c r="S35">
        <v>45</v>
      </c>
      <c r="T35">
        <v>0</v>
      </c>
    </row>
    <row r="36" spans="1:20" x14ac:dyDescent="0.2">
      <c r="A36">
        <v>35</v>
      </c>
      <c r="B36" t="s">
        <v>278</v>
      </c>
      <c r="C36" t="s">
        <v>278</v>
      </c>
      <c r="D36" t="s">
        <v>102</v>
      </c>
      <c r="E36">
        <v>23</v>
      </c>
      <c r="F36" t="s">
        <v>1298</v>
      </c>
      <c r="G36">
        <v>1</v>
      </c>
      <c r="H36">
        <v>1</v>
      </c>
      <c r="I36">
        <v>8</v>
      </c>
      <c r="J36">
        <v>6</v>
      </c>
      <c r="K36">
        <v>0.75</v>
      </c>
      <c r="L36">
        <v>71</v>
      </c>
      <c r="M36">
        <v>11.8</v>
      </c>
      <c r="N36">
        <v>1</v>
      </c>
      <c r="O36">
        <v>4</v>
      </c>
      <c r="P36">
        <v>19</v>
      </c>
      <c r="Q36">
        <v>8.9</v>
      </c>
      <c r="R36">
        <v>6</v>
      </c>
      <c r="S36">
        <v>71</v>
      </c>
      <c r="T36">
        <v>0</v>
      </c>
    </row>
    <row r="37" spans="1:20" x14ac:dyDescent="0.2">
      <c r="A37">
        <v>36</v>
      </c>
      <c r="B37" t="s">
        <v>106</v>
      </c>
      <c r="C37" t="s">
        <v>106</v>
      </c>
      <c r="D37" t="s">
        <v>107</v>
      </c>
      <c r="E37">
        <v>22</v>
      </c>
      <c r="F37" t="s">
        <v>1392</v>
      </c>
      <c r="G37">
        <v>1</v>
      </c>
      <c r="H37">
        <v>1</v>
      </c>
      <c r="I37">
        <v>7</v>
      </c>
      <c r="J37">
        <v>6</v>
      </c>
      <c r="K37">
        <v>0.85699999999999998</v>
      </c>
      <c r="L37">
        <v>60</v>
      </c>
      <c r="M37">
        <v>10</v>
      </c>
      <c r="N37">
        <v>0</v>
      </c>
      <c r="O37">
        <v>3</v>
      </c>
      <c r="P37">
        <v>15</v>
      </c>
      <c r="Q37">
        <v>8.6</v>
      </c>
      <c r="R37">
        <v>6</v>
      </c>
      <c r="S37">
        <v>60</v>
      </c>
      <c r="T37">
        <v>0</v>
      </c>
    </row>
    <row r="38" spans="1:20" x14ac:dyDescent="0.2">
      <c r="A38">
        <v>37</v>
      </c>
      <c r="B38" t="s">
        <v>348</v>
      </c>
      <c r="C38" t="s">
        <v>348</v>
      </c>
      <c r="D38" t="s">
        <v>1122</v>
      </c>
      <c r="E38">
        <v>29</v>
      </c>
      <c r="G38">
        <v>1</v>
      </c>
      <c r="H38">
        <v>0</v>
      </c>
      <c r="I38">
        <v>7</v>
      </c>
      <c r="J38">
        <v>6</v>
      </c>
      <c r="K38">
        <v>0.85699999999999998</v>
      </c>
      <c r="L38">
        <v>49</v>
      </c>
      <c r="M38">
        <v>8.1999999999999993</v>
      </c>
      <c r="N38">
        <v>0</v>
      </c>
      <c r="O38">
        <v>2</v>
      </c>
      <c r="P38">
        <v>26</v>
      </c>
      <c r="Q38">
        <v>7</v>
      </c>
      <c r="R38">
        <v>6</v>
      </c>
      <c r="S38">
        <v>49</v>
      </c>
      <c r="T38">
        <v>0</v>
      </c>
    </row>
    <row r="39" spans="1:20" x14ac:dyDescent="0.2">
      <c r="A39">
        <v>38</v>
      </c>
      <c r="B39" t="s">
        <v>84</v>
      </c>
      <c r="C39" t="s">
        <v>84</v>
      </c>
      <c r="D39" t="s">
        <v>1267</v>
      </c>
      <c r="E39">
        <v>29</v>
      </c>
      <c r="F39" t="s">
        <v>1298</v>
      </c>
      <c r="G39">
        <v>1</v>
      </c>
      <c r="H39">
        <v>1</v>
      </c>
      <c r="I39">
        <v>7</v>
      </c>
      <c r="J39">
        <v>5</v>
      </c>
      <c r="K39">
        <v>0.71399999999999997</v>
      </c>
      <c r="L39">
        <v>56</v>
      </c>
      <c r="M39">
        <v>11.2</v>
      </c>
      <c r="N39">
        <v>0</v>
      </c>
      <c r="O39">
        <v>1</v>
      </c>
      <c r="P39">
        <v>31</v>
      </c>
      <c r="Q39">
        <v>8</v>
      </c>
      <c r="R39">
        <v>5</v>
      </c>
      <c r="S39">
        <v>56</v>
      </c>
      <c r="T39">
        <v>0</v>
      </c>
    </row>
    <row r="40" spans="1:20" x14ac:dyDescent="0.2">
      <c r="A40">
        <v>39</v>
      </c>
      <c r="B40" t="s">
        <v>253</v>
      </c>
      <c r="C40" t="s">
        <v>253</v>
      </c>
      <c r="D40" t="s">
        <v>1122</v>
      </c>
      <c r="E40">
        <v>28</v>
      </c>
      <c r="F40" t="s">
        <v>1298</v>
      </c>
      <c r="G40">
        <v>1</v>
      </c>
      <c r="H40">
        <v>1</v>
      </c>
      <c r="I40">
        <v>7</v>
      </c>
      <c r="J40">
        <v>5</v>
      </c>
      <c r="K40">
        <v>0.71399999999999997</v>
      </c>
      <c r="L40">
        <v>72</v>
      </c>
      <c r="M40">
        <v>14.4</v>
      </c>
      <c r="N40">
        <v>1</v>
      </c>
      <c r="O40">
        <v>4</v>
      </c>
      <c r="P40">
        <v>25</v>
      </c>
      <c r="Q40">
        <v>10.3</v>
      </c>
      <c r="R40">
        <v>5</v>
      </c>
      <c r="S40">
        <v>72</v>
      </c>
      <c r="T40">
        <v>0</v>
      </c>
    </row>
    <row r="41" spans="1:20" x14ac:dyDescent="0.2">
      <c r="A41">
        <v>40</v>
      </c>
      <c r="B41" t="s">
        <v>1997</v>
      </c>
      <c r="C41" t="s">
        <v>1997</v>
      </c>
      <c r="D41" t="s">
        <v>122</v>
      </c>
      <c r="E41">
        <v>36</v>
      </c>
      <c r="G41">
        <v>1</v>
      </c>
      <c r="H41">
        <v>0</v>
      </c>
      <c r="I41">
        <v>5</v>
      </c>
      <c r="J41">
        <v>5</v>
      </c>
      <c r="K41">
        <v>1</v>
      </c>
      <c r="L41">
        <v>34</v>
      </c>
      <c r="M41">
        <v>6.8</v>
      </c>
      <c r="N41">
        <v>1</v>
      </c>
      <c r="O41">
        <v>2</v>
      </c>
      <c r="P41">
        <v>8</v>
      </c>
      <c r="Q41">
        <v>6.8</v>
      </c>
      <c r="R41">
        <v>5</v>
      </c>
      <c r="S41">
        <v>34</v>
      </c>
      <c r="T41">
        <v>0</v>
      </c>
    </row>
    <row r="42" spans="1:20" x14ac:dyDescent="0.2">
      <c r="A42">
        <v>41</v>
      </c>
      <c r="B42" t="s">
        <v>418</v>
      </c>
      <c r="C42" t="s">
        <v>418</v>
      </c>
      <c r="D42" t="s">
        <v>71</v>
      </c>
      <c r="E42">
        <v>26</v>
      </c>
      <c r="G42">
        <v>1</v>
      </c>
      <c r="H42">
        <v>0</v>
      </c>
      <c r="I42">
        <v>7</v>
      </c>
      <c r="J42">
        <v>5</v>
      </c>
      <c r="K42">
        <v>0.71399999999999997</v>
      </c>
      <c r="L42">
        <v>51</v>
      </c>
      <c r="M42">
        <v>10.199999999999999</v>
      </c>
      <c r="N42">
        <v>0</v>
      </c>
      <c r="O42">
        <v>2</v>
      </c>
      <c r="P42">
        <v>25</v>
      </c>
      <c r="Q42">
        <v>7.3</v>
      </c>
      <c r="R42">
        <v>5</v>
      </c>
      <c r="S42">
        <v>51</v>
      </c>
      <c r="T42">
        <v>0</v>
      </c>
    </row>
    <row r="43" spans="1:20" x14ac:dyDescent="0.2">
      <c r="A43">
        <v>42</v>
      </c>
      <c r="B43" t="s">
        <v>1543</v>
      </c>
      <c r="C43" t="s">
        <v>1543</v>
      </c>
      <c r="D43" t="s">
        <v>976</v>
      </c>
      <c r="E43">
        <v>33</v>
      </c>
      <c r="F43" t="s">
        <v>1298</v>
      </c>
      <c r="G43">
        <v>1</v>
      </c>
      <c r="H43">
        <v>1</v>
      </c>
      <c r="I43">
        <v>7</v>
      </c>
      <c r="J43">
        <v>5</v>
      </c>
      <c r="K43">
        <v>0.71399999999999997</v>
      </c>
      <c r="L43">
        <v>121</v>
      </c>
      <c r="M43">
        <v>24.2</v>
      </c>
      <c r="N43">
        <v>1</v>
      </c>
      <c r="O43">
        <v>4</v>
      </c>
      <c r="P43">
        <v>47</v>
      </c>
      <c r="Q43">
        <v>17.3</v>
      </c>
      <c r="R43">
        <v>5</v>
      </c>
      <c r="S43">
        <v>121</v>
      </c>
      <c r="T43">
        <v>0</v>
      </c>
    </row>
    <row r="44" spans="1:20" x14ac:dyDescent="0.2">
      <c r="A44">
        <v>43</v>
      </c>
      <c r="B44" t="s">
        <v>263</v>
      </c>
      <c r="C44" t="s">
        <v>263</v>
      </c>
      <c r="D44" t="s">
        <v>74</v>
      </c>
      <c r="E44">
        <v>21</v>
      </c>
      <c r="F44" t="s">
        <v>1298</v>
      </c>
      <c r="G44">
        <v>1</v>
      </c>
      <c r="H44">
        <v>1</v>
      </c>
      <c r="I44">
        <v>7</v>
      </c>
      <c r="J44">
        <v>5</v>
      </c>
      <c r="K44">
        <v>0.71399999999999997</v>
      </c>
      <c r="L44">
        <v>101</v>
      </c>
      <c r="M44">
        <v>20.2</v>
      </c>
      <c r="N44">
        <v>1</v>
      </c>
      <c r="O44">
        <v>3</v>
      </c>
      <c r="P44">
        <v>50</v>
      </c>
      <c r="Q44">
        <v>14.4</v>
      </c>
      <c r="R44">
        <v>5</v>
      </c>
      <c r="S44">
        <v>101</v>
      </c>
      <c r="T44">
        <v>0</v>
      </c>
    </row>
    <row r="45" spans="1:20" x14ac:dyDescent="0.2">
      <c r="A45">
        <v>44</v>
      </c>
      <c r="B45" t="s">
        <v>297</v>
      </c>
      <c r="C45" t="s">
        <v>297</v>
      </c>
      <c r="D45" t="s">
        <v>118</v>
      </c>
      <c r="E45">
        <v>34</v>
      </c>
      <c r="F45" t="s">
        <v>1577</v>
      </c>
      <c r="G45">
        <v>1</v>
      </c>
      <c r="H45">
        <v>1</v>
      </c>
      <c r="I45">
        <v>8</v>
      </c>
      <c r="J45">
        <v>5</v>
      </c>
      <c r="K45">
        <v>0.625</v>
      </c>
      <c r="L45">
        <v>56</v>
      </c>
      <c r="M45">
        <v>11.2</v>
      </c>
      <c r="N45">
        <v>0</v>
      </c>
      <c r="O45">
        <v>3</v>
      </c>
      <c r="P45">
        <v>23</v>
      </c>
      <c r="Q45">
        <v>7</v>
      </c>
      <c r="R45">
        <v>5</v>
      </c>
      <c r="S45">
        <v>56</v>
      </c>
      <c r="T45">
        <v>0</v>
      </c>
    </row>
    <row r="46" spans="1:20" x14ac:dyDescent="0.2">
      <c r="A46">
        <v>45</v>
      </c>
      <c r="B46" t="s">
        <v>186</v>
      </c>
      <c r="C46" t="s">
        <v>186</v>
      </c>
      <c r="D46" t="s">
        <v>122</v>
      </c>
      <c r="E46">
        <v>28</v>
      </c>
      <c r="F46" t="s">
        <v>1298</v>
      </c>
      <c r="G46">
        <v>1</v>
      </c>
      <c r="H46">
        <v>1</v>
      </c>
      <c r="I46">
        <v>7</v>
      </c>
      <c r="J46">
        <v>5</v>
      </c>
      <c r="K46">
        <v>0.71399999999999997</v>
      </c>
      <c r="L46">
        <v>132</v>
      </c>
      <c r="M46">
        <v>26.4</v>
      </c>
      <c r="N46">
        <v>0</v>
      </c>
      <c r="O46">
        <v>4</v>
      </c>
      <c r="P46">
        <v>52</v>
      </c>
      <c r="Q46">
        <v>18.899999999999999</v>
      </c>
      <c r="R46">
        <v>5</v>
      </c>
      <c r="S46">
        <v>132</v>
      </c>
      <c r="T46">
        <v>0</v>
      </c>
    </row>
    <row r="47" spans="1:20" x14ac:dyDescent="0.2">
      <c r="A47">
        <v>46</v>
      </c>
      <c r="B47" t="s">
        <v>243</v>
      </c>
      <c r="C47" t="s">
        <v>243</v>
      </c>
      <c r="D47" t="s">
        <v>71</v>
      </c>
      <c r="E47">
        <v>26</v>
      </c>
      <c r="F47" t="s">
        <v>1298</v>
      </c>
      <c r="G47">
        <v>1</v>
      </c>
      <c r="H47">
        <v>1</v>
      </c>
      <c r="I47">
        <v>7</v>
      </c>
      <c r="J47">
        <v>5</v>
      </c>
      <c r="K47">
        <v>0.71399999999999997</v>
      </c>
      <c r="L47">
        <v>97</v>
      </c>
      <c r="M47">
        <v>19.399999999999999</v>
      </c>
      <c r="N47">
        <v>2</v>
      </c>
      <c r="O47">
        <v>4</v>
      </c>
      <c r="P47">
        <v>35</v>
      </c>
      <c r="Q47">
        <v>13.9</v>
      </c>
      <c r="R47">
        <v>5</v>
      </c>
      <c r="S47">
        <v>97</v>
      </c>
      <c r="T47">
        <v>0</v>
      </c>
    </row>
    <row r="48" spans="1:20" x14ac:dyDescent="0.2">
      <c r="A48">
        <v>47</v>
      </c>
      <c r="B48" t="s">
        <v>1487</v>
      </c>
      <c r="C48" t="s">
        <v>1487</v>
      </c>
      <c r="D48" t="s">
        <v>933</v>
      </c>
      <c r="E48">
        <v>27</v>
      </c>
      <c r="G48">
        <v>1</v>
      </c>
      <c r="H48">
        <v>0</v>
      </c>
      <c r="I48">
        <v>5</v>
      </c>
      <c r="J48">
        <v>5</v>
      </c>
      <c r="K48">
        <v>1</v>
      </c>
      <c r="L48">
        <v>59</v>
      </c>
      <c r="M48">
        <v>11.8</v>
      </c>
      <c r="N48">
        <v>0</v>
      </c>
      <c r="O48">
        <v>2</v>
      </c>
      <c r="P48">
        <v>21</v>
      </c>
      <c r="Q48">
        <v>11.8</v>
      </c>
      <c r="R48">
        <v>5</v>
      </c>
      <c r="S48">
        <v>59</v>
      </c>
      <c r="T48">
        <v>0</v>
      </c>
    </row>
    <row r="49" spans="1:20" x14ac:dyDescent="0.2">
      <c r="A49">
        <v>48</v>
      </c>
      <c r="B49" t="s">
        <v>1477</v>
      </c>
      <c r="C49" t="s">
        <v>1477</v>
      </c>
      <c r="D49" t="s">
        <v>976</v>
      </c>
      <c r="E49">
        <v>26</v>
      </c>
      <c r="F49" t="s">
        <v>1392</v>
      </c>
      <c r="G49">
        <v>1</v>
      </c>
      <c r="H49">
        <v>1</v>
      </c>
      <c r="I49">
        <v>7</v>
      </c>
      <c r="J49">
        <v>5</v>
      </c>
      <c r="K49">
        <v>0.71399999999999997</v>
      </c>
      <c r="L49">
        <v>27</v>
      </c>
      <c r="M49">
        <v>5.4</v>
      </c>
      <c r="N49">
        <v>0</v>
      </c>
      <c r="O49">
        <v>3</v>
      </c>
      <c r="P49">
        <v>10</v>
      </c>
      <c r="Q49">
        <v>3.9</v>
      </c>
      <c r="R49">
        <v>5</v>
      </c>
      <c r="S49">
        <v>27</v>
      </c>
      <c r="T49">
        <v>0</v>
      </c>
    </row>
    <row r="50" spans="1:20" x14ac:dyDescent="0.2">
      <c r="A50">
        <v>49</v>
      </c>
      <c r="B50" t="s">
        <v>224</v>
      </c>
      <c r="C50" t="s">
        <v>224</v>
      </c>
      <c r="D50" t="s">
        <v>142</v>
      </c>
      <c r="E50">
        <v>24</v>
      </c>
      <c r="F50" t="s">
        <v>1392</v>
      </c>
      <c r="G50">
        <v>1</v>
      </c>
      <c r="H50">
        <v>1</v>
      </c>
      <c r="I50">
        <v>5</v>
      </c>
      <c r="J50">
        <v>5</v>
      </c>
      <c r="K50">
        <v>1</v>
      </c>
      <c r="L50">
        <v>27</v>
      </c>
      <c r="M50">
        <v>5.4</v>
      </c>
      <c r="N50">
        <v>0</v>
      </c>
      <c r="O50">
        <v>1</v>
      </c>
      <c r="P50">
        <v>12</v>
      </c>
      <c r="Q50">
        <v>5.4</v>
      </c>
      <c r="R50">
        <v>5</v>
      </c>
      <c r="S50">
        <v>27</v>
      </c>
      <c r="T50">
        <v>0</v>
      </c>
    </row>
    <row r="51" spans="1:20" x14ac:dyDescent="0.2">
      <c r="A51">
        <v>50</v>
      </c>
      <c r="B51" t="s">
        <v>2020</v>
      </c>
      <c r="C51" t="s">
        <v>2020</v>
      </c>
      <c r="D51" t="s">
        <v>730</v>
      </c>
      <c r="E51">
        <v>28</v>
      </c>
      <c r="F51" t="s">
        <v>1577</v>
      </c>
      <c r="G51">
        <v>1</v>
      </c>
      <c r="H51">
        <v>1</v>
      </c>
      <c r="I51">
        <v>6</v>
      </c>
      <c r="J51">
        <v>5</v>
      </c>
      <c r="K51">
        <v>0.83299999999999996</v>
      </c>
      <c r="L51">
        <v>68</v>
      </c>
      <c r="M51">
        <v>13.6</v>
      </c>
      <c r="N51">
        <v>0</v>
      </c>
      <c r="O51">
        <v>4</v>
      </c>
      <c r="P51">
        <v>37</v>
      </c>
      <c r="Q51">
        <v>11.3</v>
      </c>
      <c r="R51">
        <v>5</v>
      </c>
      <c r="S51">
        <v>68</v>
      </c>
      <c r="T51">
        <v>0</v>
      </c>
    </row>
    <row r="52" spans="1:20" x14ac:dyDescent="0.2">
      <c r="A52">
        <v>51</v>
      </c>
      <c r="B52" t="s">
        <v>104</v>
      </c>
      <c r="C52" t="s">
        <v>104</v>
      </c>
      <c r="D52" t="s">
        <v>73</v>
      </c>
      <c r="E52">
        <v>22</v>
      </c>
      <c r="F52" t="s">
        <v>1298</v>
      </c>
      <c r="G52">
        <v>1</v>
      </c>
      <c r="H52">
        <v>1</v>
      </c>
      <c r="I52">
        <v>9</v>
      </c>
      <c r="J52">
        <v>5</v>
      </c>
      <c r="K52">
        <v>0.55600000000000005</v>
      </c>
      <c r="L52">
        <v>71</v>
      </c>
      <c r="M52">
        <v>14.2</v>
      </c>
      <c r="N52">
        <v>0</v>
      </c>
      <c r="O52">
        <v>3</v>
      </c>
      <c r="P52">
        <v>34</v>
      </c>
      <c r="Q52">
        <v>7.9</v>
      </c>
      <c r="R52">
        <v>5</v>
      </c>
      <c r="S52">
        <v>71</v>
      </c>
      <c r="T52">
        <v>0</v>
      </c>
    </row>
    <row r="53" spans="1:20" x14ac:dyDescent="0.2">
      <c r="A53">
        <v>52</v>
      </c>
      <c r="B53" t="s">
        <v>162</v>
      </c>
      <c r="C53" t="s">
        <v>162</v>
      </c>
      <c r="D53" t="s">
        <v>99</v>
      </c>
      <c r="E53">
        <v>25</v>
      </c>
      <c r="F53" t="s">
        <v>1298</v>
      </c>
      <c r="G53">
        <v>1</v>
      </c>
      <c r="H53">
        <v>1</v>
      </c>
      <c r="I53">
        <v>10</v>
      </c>
      <c r="J53">
        <v>5</v>
      </c>
      <c r="K53">
        <v>0.5</v>
      </c>
      <c r="L53">
        <v>36</v>
      </c>
      <c r="M53">
        <v>7.2</v>
      </c>
      <c r="N53">
        <v>1</v>
      </c>
      <c r="O53">
        <v>2</v>
      </c>
      <c r="P53">
        <v>14</v>
      </c>
      <c r="Q53">
        <v>3.6</v>
      </c>
      <c r="R53">
        <v>5</v>
      </c>
      <c r="S53">
        <v>36</v>
      </c>
      <c r="T53">
        <v>0</v>
      </c>
    </row>
    <row r="54" spans="1:20" x14ac:dyDescent="0.2">
      <c r="A54">
        <v>53</v>
      </c>
      <c r="B54" t="s">
        <v>889</v>
      </c>
      <c r="C54" t="s">
        <v>889</v>
      </c>
      <c r="D54" t="s">
        <v>1052</v>
      </c>
      <c r="E54">
        <v>31</v>
      </c>
      <c r="F54" t="s">
        <v>1298</v>
      </c>
      <c r="G54">
        <v>1</v>
      </c>
      <c r="H54">
        <v>1</v>
      </c>
      <c r="I54">
        <v>9</v>
      </c>
      <c r="J54">
        <v>5</v>
      </c>
      <c r="K54">
        <v>0.55600000000000005</v>
      </c>
      <c r="L54">
        <v>77</v>
      </c>
      <c r="M54">
        <v>15.4</v>
      </c>
      <c r="N54">
        <v>1</v>
      </c>
      <c r="O54">
        <v>3</v>
      </c>
      <c r="P54">
        <v>33</v>
      </c>
      <c r="Q54">
        <v>8.6</v>
      </c>
      <c r="R54">
        <v>5</v>
      </c>
      <c r="S54">
        <v>77</v>
      </c>
      <c r="T54">
        <v>0</v>
      </c>
    </row>
    <row r="55" spans="1:20" x14ac:dyDescent="0.2">
      <c r="A55">
        <v>54</v>
      </c>
      <c r="B55" t="s">
        <v>295</v>
      </c>
      <c r="C55" t="s">
        <v>295</v>
      </c>
      <c r="D55" t="s">
        <v>78</v>
      </c>
      <c r="E55">
        <v>25</v>
      </c>
      <c r="G55">
        <v>1</v>
      </c>
      <c r="H55">
        <v>0</v>
      </c>
      <c r="I55">
        <v>5</v>
      </c>
      <c r="J55">
        <v>5</v>
      </c>
      <c r="K55">
        <v>1</v>
      </c>
      <c r="L55">
        <v>70</v>
      </c>
      <c r="M55">
        <v>14</v>
      </c>
      <c r="N55">
        <v>2</v>
      </c>
      <c r="O55">
        <v>3</v>
      </c>
      <c r="P55">
        <v>26</v>
      </c>
      <c r="Q55">
        <v>14</v>
      </c>
      <c r="R55">
        <v>5</v>
      </c>
      <c r="S55">
        <v>70</v>
      </c>
      <c r="T55">
        <v>0</v>
      </c>
    </row>
    <row r="56" spans="1:20" x14ac:dyDescent="0.2">
      <c r="A56">
        <v>55</v>
      </c>
      <c r="B56" t="s">
        <v>2038</v>
      </c>
      <c r="C56" t="s">
        <v>2038</v>
      </c>
      <c r="D56" t="s">
        <v>727</v>
      </c>
      <c r="E56">
        <v>22</v>
      </c>
      <c r="F56" t="s">
        <v>1577</v>
      </c>
      <c r="G56">
        <v>1</v>
      </c>
      <c r="H56">
        <v>1</v>
      </c>
      <c r="I56">
        <v>7</v>
      </c>
      <c r="J56">
        <v>5</v>
      </c>
      <c r="K56">
        <v>0.71399999999999997</v>
      </c>
      <c r="L56">
        <v>42</v>
      </c>
      <c r="M56">
        <v>8.4</v>
      </c>
      <c r="N56">
        <v>0</v>
      </c>
      <c r="O56">
        <v>3</v>
      </c>
      <c r="P56">
        <v>10</v>
      </c>
      <c r="Q56">
        <v>6</v>
      </c>
      <c r="R56">
        <v>5</v>
      </c>
      <c r="S56">
        <v>42</v>
      </c>
      <c r="T56">
        <v>0</v>
      </c>
    </row>
    <row r="57" spans="1:20" x14ac:dyDescent="0.2">
      <c r="A57">
        <v>56</v>
      </c>
      <c r="B57" t="s">
        <v>178</v>
      </c>
      <c r="C57" t="s">
        <v>178</v>
      </c>
      <c r="D57" t="s">
        <v>82</v>
      </c>
      <c r="E57">
        <v>29</v>
      </c>
      <c r="F57" t="s">
        <v>1298</v>
      </c>
      <c r="G57">
        <v>1</v>
      </c>
      <c r="H57">
        <v>1</v>
      </c>
      <c r="I57">
        <v>5</v>
      </c>
      <c r="J57">
        <v>5</v>
      </c>
      <c r="K57">
        <v>1</v>
      </c>
      <c r="L57">
        <v>71</v>
      </c>
      <c r="M57">
        <v>14.2</v>
      </c>
      <c r="N57">
        <v>0</v>
      </c>
      <c r="O57">
        <v>2</v>
      </c>
      <c r="P57">
        <v>32</v>
      </c>
      <c r="Q57">
        <v>14.2</v>
      </c>
      <c r="R57">
        <v>5</v>
      </c>
      <c r="S57">
        <v>71</v>
      </c>
      <c r="T57">
        <v>0</v>
      </c>
    </row>
    <row r="58" spans="1:20" x14ac:dyDescent="0.2">
      <c r="A58">
        <v>57</v>
      </c>
      <c r="B58" t="s">
        <v>1934</v>
      </c>
      <c r="C58" t="s">
        <v>1934</v>
      </c>
      <c r="D58" t="s">
        <v>727</v>
      </c>
      <c r="E58">
        <v>24</v>
      </c>
      <c r="F58" t="s">
        <v>1298</v>
      </c>
      <c r="G58">
        <v>1</v>
      </c>
      <c r="H58">
        <v>1</v>
      </c>
      <c r="I58">
        <v>7</v>
      </c>
      <c r="J58">
        <v>5</v>
      </c>
      <c r="K58">
        <v>0.71399999999999997</v>
      </c>
      <c r="L58">
        <v>26</v>
      </c>
      <c r="M58">
        <v>5.2</v>
      </c>
      <c r="N58">
        <v>0</v>
      </c>
      <c r="O58">
        <v>1</v>
      </c>
      <c r="P58">
        <v>9</v>
      </c>
      <c r="Q58">
        <v>3.7</v>
      </c>
      <c r="R58">
        <v>5</v>
      </c>
      <c r="S58">
        <v>26</v>
      </c>
      <c r="T58">
        <v>0</v>
      </c>
    </row>
    <row r="59" spans="1:20" x14ac:dyDescent="0.2">
      <c r="A59">
        <v>58</v>
      </c>
      <c r="B59" t="s">
        <v>100</v>
      </c>
      <c r="C59" t="s">
        <v>100</v>
      </c>
      <c r="D59" t="s">
        <v>101</v>
      </c>
      <c r="E59">
        <v>27</v>
      </c>
      <c r="F59" t="s">
        <v>1298</v>
      </c>
      <c r="G59">
        <v>1</v>
      </c>
      <c r="H59">
        <v>1</v>
      </c>
      <c r="I59">
        <v>8</v>
      </c>
      <c r="J59">
        <v>5</v>
      </c>
      <c r="K59">
        <v>0.625</v>
      </c>
      <c r="L59">
        <v>51</v>
      </c>
      <c r="M59">
        <v>10.199999999999999</v>
      </c>
      <c r="N59">
        <v>0</v>
      </c>
      <c r="O59">
        <v>3</v>
      </c>
      <c r="P59">
        <v>16</v>
      </c>
      <c r="Q59">
        <v>6.4</v>
      </c>
      <c r="R59">
        <v>5</v>
      </c>
      <c r="S59">
        <v>51</v>
      </c>
      <c r="T59">
        <v>0</v>
      </c>
    </row>
    <row r="60" spans="1:20" x14ac:dyDescent="0.2">
      <c r="A60">
        <v>59</v>
      </c>
      <c r="B60" t="s">
        <v>339</v>
      </c>
      <c r="C60" t="s">
        <v>339</v>
      </c>
      <c r="D60" t="s">
        <v>1122</v>
      </c>
      <c r="E60">
        <v>26</v>
      </c>
      <c r="F60" t="s">
        <v>1577</v>
      </c>
      <c r="G60">
        <v>1</v>
      </c>
      <c r="H60">
        <v>1</v>
      </c>
      <c r="I60">
        <v>5</v>
      </c>
      <c r="J60">
        <v>5</v>
      </c>
      <c r="K60">
        <v>1</v>
      </c>
      <c r="L60">
        <v>42</v>
      </c>
      <c r="M60">
        <v>8.4</v>
      </c>
      <c r="N60">
        <v>0</v>
      </c>
      <c r="O60">
        <v>2</v>
      </c>
      <c r="P60">
        <v>11</v>
      </c>
      <c r="Q60">
        <v>8.4</v>
      </c>
      <c r="R60">
        <v>5</v>
      </c>
      <c r="S60">
        <v>42</v>
      </c>
      <c r="T60">
        <v>1</v>
      </c>
    </row>
    <row r="61" spans="1:20" x14ac:dyDescent="0.2">
      <c r="A61">
        <v>60</v>
      </c>
      <c r="B61" t="s">
        <v>109</v>
      </c>
      <c r="C61" t="s">
        <v>109</v>
      </c>
      <c r="D61" t="s">
        <v>77</v>
      </c>
      <c r="E61">
        <v>24</v>
      </c>
      <c r="F61" t="s">
        <v>1298</v>
      </c>
      <c r="G61">
        <v>1</v>
      </c>
      <c r="H61">
        <v>1</v>
      </c>
      <c r="I61">
        <v>8</v>
      </c>
      <c r="J61">
        <v>4</v>
      </c>
      <c r="K61">
        <v>0.5</v>
      </c>
      <c r="L61">
        <v>49</v>
      </c>
      <c r="M61">
        <v>12.3</v>
      </c>
      <c r="N61">
        <v>1</v>
      </c>
      <c r="O61">
        <v>4</v>
      </c>
      <c r="P61">
        <v>19</v>
      </c>
      <c r="Q61">
        <v>6.1</v>
      </c>
      <c r="R61">
        <v>4</v>
      </c>
      <c r="S61">
        <v>49</v>
      </c>
      <c r="T61">
        <v>0</v>
      </c>
    </row>
    <row r="62" spans="1:20" x14ac:dyDescent="0.2">
      <c r="A62">
        <v>61</v>
      </c>
      <c r="B62" t="s">
        <v>624</v>
      </c>
      <c r="C62" t="s">
        <v>624</v>
      </c>
      <c r="D62" t="s">
        <v>122</v>
      </c>
      <c r="E62">
        <v>27</v>
      </c>
      <c r="F62" t="s">
        <v>1577</v>
      </c>
      <c r="G62">
        <v>1</v>
      </c>
      <c r="H62">
        <v>1</v>
      </c>
      <c r="I62">
        <v>5</v>
      </c>
      <c r="J62">
        <v>4</v>
      </c>
      <c r="K62">
        <v>0.8</v>
      </c>
      <c r="L62">
        <v>67</v>
      </c>
      <c r="M62">
        <v>16.8</v>
      </c>
      <c r="N62">
        <v>0</v>
      </c>
      <c r="O62">
        <v>3</v>
      </c>
      <c r="P62">
        <v>29</v>
      </c>
      <c r="Q62">
        <v>13.4</v>
      </c>
      <c r="R62">
        <v>4</v>
      </c>
      <c r="S62">
        <v>67</v>
      </c>
      <c r="T62">
        <v>0</v>
      </c>
    </row>
    <row r="63" spans="1:20" x14ac:dyDescent="0.2">
      <c r="A63">
        <v>62</v>
      </c>
      <c r="B63" t="s">
        <v>617</v>
      </c>
      <c r="C63" t="s">
        <v>617</v>
      </c>
      <c r="D63" t="s">
        <v>73</v>
      </c>
      <c r="E63">
        <v>26</v>
      </c>
      <c r="G63">
        <v>1</v>
      </c>
      <c r="H63">
        <v>0</v>
      </c>
      <c r="I63">
        <v>4</v>
      </c>
      <c r="J63">
        <v>4</v>
      </c>
      <c r="K63">
        <v>1</v>
      </c>
      <c r="L63">
        <v>41</v>
      </c>
      <c r="M63">
        <v>10.3</v>
      </c>
      <c r="N63">
        <v>0</v>
      </c>
      <c r="O63">
        <v>1</v>
      </c>
      <c r="P63">
        <v>27</v>
      </c>
      <c r="Q63">
        <v>10.3</v>
      </c>
      <c r="R63">
        <v>4</v>
      </c>
      <c r="S63">
        <v>41</v>
      </c>
      <c r="T63">
        <v>0</v>
      </c>
    </row>
    <row r="64" spans="1:20" x14ac:dyDescent="0.2">
      <c r="A64">
        <v>63</v>
      </c>
      <c r="B64" t="s">
        <v>239</v>
      </c>
      <c r="C64" t="s">
        <v>239</v>
      </c>
      <c r="D64" t="s">
        <v>78</v>
      </c>
      <c r="E64">
        <v>25</v>
      </c>
      <c r="F64" t="s">
        <v>1392</v>
      </c>
      <c r="G64">
        <v>1</v>
      </c>
      <c r="H64">
        <v>1</v>
      </c>
      <c r="I64">
        <v>4</v>
      </c>
      <c r="J64">
        <v>4</v>
      </c>
      <c r="K64">
        <v>1</v>
      </c>
      <c r="L64">
        <v>43</v>
      </c>
      <c r="M64">
        <v>10.8</v>
      </c>
      <c r="N64">
        <v>0</v>
      </c>
      <c r="O64">
        <v>1</v>
      </c>
      <c r="P64">
        <v>36</v>
      </c>
      <c r="Q64">
        <v>10.8</v>
      </c>
      <c r="R64">
        <v>4</v>
      </c>
      <c r="S64">
        <v>43</v>
      </c>
      <c r="T64">
        <v>0</v>
      </c>
    </row>
    <row r="65" spans="1:20" x14ac:dyDescent="0.2">
      <c r="A65">
        <v>64</v>
      </c>
      <c r="B65" t="s">
        <v>2102</v>
      </c>
      <c r="C65" t="s">
        <v>2102</v>
      </c>
      <c r="D65" t="s">
        <v>933</v>
      </c>
      <c r="E65">
        <v>23</v>
      </c>
      <c r="F65" t="s">
        <v>1298</v>
      </c>
      <c r="G65">
        <v>1</v>
      </c>
      <c r="H65">
        <v>1</v>
      </c>
      <c r="I65">
        <v>5</v>
      </c>
      <c r="J65">
        <v>4</v>
      </c>
      <c r="K65">
        <v>0.8</v>
      </c>
      <c r="L65">
        <v>81</v>
      </c>
      <c r="M65">
        <v>20.3</v>
      </c>
      <c r="N65">
        <v>0</v>
      </c>
      <c r="O65">
        <v>4</v>
      </c>
      <c r="P65">
        <v>32</v>
      </c>
      <c r="Q65">
        <v>16.2</v>
      </c>
      <c r="R65">
        <v>4</v>
      </c>
      <c r="S65">
        <v>81</v>
      </c>
      <c r="T65">
        <v>0</v>
      </c>
    </row>
    <row r="66" spans="1:20" x14ac:dyDescent="0.2">
      <c r="A66">
        <v>65</v>
      </c>
      <c r="B66" t="s">
        <v>2103</v>
      </c>
      <c r="C66" t="s">
        <v>2103</v>
      </c>
      <c r="D66" t="s">
        <v>729</v>
      </c>
      <c r="E66">
        <v>25</v>
      </c>
      <c r="G66">
        <v>1</v>
      </c>
      <c r="H66">
        <v>0</v>
      </c>
      <c r="I66">
        <v>7</v>
      </c>
      <c r="J66">
        <v>4</v>
      </c>
      <c r="K66">
        <v>0.57099999999999995</v>
      </c>
      <c r="L66">
        <v>36</v>
      </c>
      <c r="M66">
        <v>9</v>
      </c>
      <c r="N66">
        <v>0</v>
      </c>
      <c r="O66">
        <v>3</v>
      </c>
      <c r="P66">
        <v>12</v>
      </c>
      <c r="Q66">
        <v>5.0999999999999996</v>
      </c>
      <c r="R66">
        <v>4</v>
      </c>
      <c r="S66">
        <v>36</v>
      </c>
      <c r="T66">
        <v>0</v>
      </c>
    </row>
    <row r="67" spans="1:20" x14ac:dyDescent="0.2">
      <c r="A67">
        <v>66</v>
      </c>
      <c r="B67" t="s">
        <v>238</v>
      </c>
      <c r="C67" t="s">
        <v>238</v>
      </c>
      <c r="D67" t="s">
        <v>102</v>
      </c>
      <c r="E67">
        <v>26</v>
      </c>
      <c r="F67" t="s">
        <v>1577</v>
      </c>
      <c r="G67">
        <v>1</v>
      </c>
      <c r="H67">
        <v>1</v>
      </c>
      <c r="I67">
        <v>5</v>
      </c>
      <c r="J67">
        <v>4</v>
      </c>
      <c r="K67">
        <v>0.8</v>
      </c>
      <c r="L67">
        <v>42</v>
      </c>
      <c r="M67">
        <v>10.5</v>
      </c>
      <c r="N67">
        <v>1</v>
      </c>
      <c r="O67">
        <v>3</v>
      </c>
      <c r="P67">
        <v>13</v>
      </c>
      <c r="Q67">
        <v>8.4</v>
      </c>
      <c r="R67">
        <v>4</v>
      </c>
      <c r="S67">
        <v>42</v>
      </c>
      <c r="T67">
        <v>0</v>
      </c>
    </row>
    <row r="68" spans="1:20" x14ac:dyDescent="0.2">
      <c r="A68">
        <v>67</v>
      </c>
      <c r="B68" t="s">
        <v>194</v>
      </c>
      <c r="C68" t="s">
        <v>194</v>
      </c>
      <c r="D68" t="s">
        <v>92</v>
      </c>
      <c r="E68">
        <v>28</v>
      </c>
      <c r="F68" t="s">
        <v>1298</v>
      </c>
      <c r="G68">
        <v>1</v>
      </c>
      <c r="H68">
        <v>1</v>
      </c>
      <c r="I68">
        <v>6</v>
      </c>
      <c r="J68">
        <v>4</v>
      </c>
      <c r="K68">
        <v>0.66700000000000004</v>
      </c>
      <c r="L68">
        <v>64</v>
      </c>
      <c r="M68">
        <v>16</v>
      </c>
      <c r="N68">
        <v>0</v>
      </c>
      <c r="O68">
        <v>4</v>
      </c>
      <c r="P68">
        <v>17</v>
      </c>
      <c r="Q68">
        <v>10.7</v>
      </c>
      <c r="R68">
        <v>4</v>
      </c>
      <c r="S68">
        <v>64</v>
      </c>
      <c r="T68">
        <v>0</v>
      </c>
    </row>
    <row r="69" spans="1:20" x14ac:dyDescent="0.2">
      <c r="A69">
        <v>68</v>
      </c>
      <c r="B69" t="s">
        <v>1556</v>
      </c>
      <c r="C69" t="s">
        <v>1556</v>
      </c>
      <c r="D69" t="s">
        <v>727</v>
      </c>
      <c r="E69">
        <v>31</v>
      </c>
      <c r="G69">
        <v>1</v>
      </c>
      <c r="H69">
        <v>0</v>
      </c>
      <c r="I69">
        <v>4</v>
      </c>
      <c r="J69">
        <v>4</v>
      </c>
      <c r="K69">
        <v>1</v>
      </c>
      <c r="L69">
        <v>45</v>
      </c>
      <c r="M69">
        <v>11.3</v>
      </c>
      <c r="N69">
        <v>0</v>
      </c>
      <c r="O69">
        <v>2</v>
      </c>
      <c r="P69">
        <v>19</v>
      </c>
      <c r="Q69">
        <v>11.3</v>
      </c>
      <c r="R69">
        <v>4</v>
      </c>
      <c r="S69">
        <v>45</v>
      </c>
      <c r="T69">
        <v>0</v>
      </c>
    </row>
    <row r="70" spans="1:20" x14ac:dyDescent="0.2">
      <c r="A70">
        <v>69</v>
      </c>
      <c r="B70" t="s">
        <v>236</v>
      </c>
      <c r="C70" t="s">
        <v>236</v>
      </c>
      <c r="D70" t="s">
        <v>74</v>
      </c>
      <c r="E70">
        <v>22</v>
      </c>
      <c r="F70" t="s">
        <v>1298</v>
      </c>
      <c r="G70">
        <v>1</v>
      </c>
      <c r="H70">
        <v>1</v>
      </c>
      <c r="I70">
        <v>5</v>
      </c>
      <c r="J70">
        <v>4</v>
      </c>
      <c r="K70">
        <v>0.8</v>
      </c>
      <c r="L70">
        <v>58</v>
      </c>
      <c r="M70">
        <v>14.5</v>
      </c>
      <c r="N70">
        <v>1</v>
      </c>
      <c r="O70">
        <v>4</v>
      </c>
      <c r="P70">
        <v>28</v>
      </c>
      <c r="Q70">
        <v>11.6</v>
      </c>
      <c r="R70">
        <v>4</v>
      </c>
      <c r="S70">
        <v>58</v>
      </c>
      <c r="T70">
        <v>0</v>
      </c>
    </row>
    <row r="71" spans="1:20" x14ac:dyDescent="0.2">
      <c r="A71">
        <v>70</v>
      </c>
      <c r="B71" t="s">
        <v>335</v>
      </c>
      <c r="C71" t="s">
        <v>335</v>
      </c>
      <c r="D71" t="s">
        <v>101</v>
      </c>
      <c r="E71">
        <v>28</v>
      </c>
      <c r="F71" t="s">
        <v>1577</v>
      </c>
      <c r="G71">
        <v>1</v>
      </c>
      <c r="H71">
        <v>1</v>
      </c>
      <c r="I71">
        <v>4</v>
      </c>
      <c r="J71">
        <v>4</v>
      </c>
      <c r="K71">
        <v>1</v>
      </c>
      <c r="L71">
        <v>28</v>
      </c>
      <c r="M71">
        <v>7</v>
      </c>
      <c r="N71">
        <v>0</v>
      </c>
      <c r="O71">
        <v>1</v>
      </c>
      <c r="P71">
        <v>9</v>
      </c>
      <c r="Q71">
        <v>7</v>
      </c>
      <c r="R71">
        <v>4</v>
      </c>
      <c r="S71">
        <v>28</v>
      </c>
      <c r="T71">
        <v>0</v>
      </c>
    </row>
    <row r="72" spans="1:20" x14ac:dyDescent="0.2">
      <c r="A72">
        <v>71</v>
      </c>
      <c r="B72" t="s">
        <v>1940</v>
      </c>
      <c r="C72" t="s">
        <v>1940</v>
      </c>
      <c r="D72" t="s">
        <v>933</v>
      </c>
      <c r="E72">
        <v>25</v>
      </c>
      <c r="F72" t="s">
        <v>1882</v>
      </c>
      <c r="G72">
        <v>1</v>
      </c>
      <c r="H72">
        <v>1</v>
      </c>
      <c r="I72">
        <v>4</v>
      </c>
      <c r="J72">
        <v>4</v>
      </c>
      <c r="K72">
        <v>1</v>
      </c>
      <c r="L72">
        <v>22</v>
      </c>
      <c r="M72">
        <v>5.5</v>
      </c>
      <c r="N72">
        <v>0</v>
      </c>
      <c r="O72">
        <v>0</v>
      </c>
      <c r="P72">
        <v>9</v>
      </c>
      <c r="Q72">
        <v>5.5</v>
      </c>
      <c r="R72">
        <v>4</v>
      </c>
      <c r="S72">
        <v>22</v>
      </c>
      <c r="T72">
        <v>0</v>
      </c>
    </row>
    <row r="73" spans="1:20" x14ac:dyDescent="0.2">
      <c r="A73">
        <v>72</v>
      </c>
      <c r="B73" t="s">
        <v>137</v>
      </c>
      <c r="C73" t="s">
        <v>137</v>
      </c>
      <c r="D73" t="s">
        <v>1087</v>
      </c>
      <c r="E73">
        <v>28</v>
      </c>
      <c r="F73" t="s">
        <v>1577</v>
      </c>
      <c r="G73">
        <v>1</v>
      </c>
      <c r="H73">
        <v>1</v>
      </c>
      <c r="I73">
        <v>5</v>
      </c>
      <c r="J73">
        <v>4</v>
      </c>
      <c r="K73">
        <v>0.8</v>
      </c>
      <c r="L73">
        <v>78</v>
      </c>
      <c r="M73">
        <v>19.5</v>
      </c>
      <c r="N73">
        <v>0</v>
      </c>
      <c r="O73">
        <v>3</v>
      </c>
      <c r="P73">
        <v>35</v>
      </c>
      <c r="Q73">
        <v>15.6</v>
      </c>
      <c r="R73">
        <v>4</v>
      </c>
      <c r="S73">
        <v>78</v>
      </c>
      <c r="T73">
        <v>0</v>
      </c>
    </row>
    <row r="74" spans="1:20" x14ac:dyDescent="0.2">
      <c r="A74">
        <v>73</v>
      </c>
      <c r="B74" t="s">
        <v>319</v>
      </c>
      <c r="C74" t="s">
        <v>319</v>
      </c>
      <c r="D74" t="s">
        <v>98</v>
      </c>
      <c r="E74">
        <v>25</v>
      </c>
      <c r="G74">
        <v>1</v>
      </c>
      <c r="H74">
        <v>0</v>
      </c>
      <c r="I74">
        <v>4</v>
      </c>
      <c r="J74">
        <v>4</v>
      </c>
      <c r="K74">
        <v>1</v>
      </c>
      <c r="L74">
        <v>41</v>
      </c>
      <c r="M74">
        <v>10.3</v>
      </c>
      <c r="N74">
        <v>0</v>
      </c>
      <c r="O74">
        <v>3</v>
      </c>
      <c r="P74">
        <v>13</v>
      </c>
      <c r="Q74">
        <v>10.3</v>
      </c>
      <c r="R74">
        <v>4</v>
      </c>
      <c r="S74">
        <v>41</v>
      </c>
      <c r="T74">
        <v>0</v>
      </c>
    </row>
    <row r="75" spans="1:20" x14ac:dyDescent="0.2">
      <c r="A75">
        <v>74</v>
      </c>
      <c r="B75" t="s">
        <v>150</v>
      </c>
      <c r="C75" t="s">
        <v>150</v>
      </c>
      <c r="D75" t="s">
        <v>108</v>
      </c>
      <c r="E75">
        <v>29</v>
      </c>
      <c r="F75" t="s">
        <v>1298</v>
      </c>
      <c r="G75">
        <v>1</v>
      </c>
      <c r="H75">
        <v>1</v>
      </c>
      <c r="I75">
        <v>5</v>
      </c>
      <c r="J75">
        <v>4</v>
      </c>
      <c r="K75">
        <v>0.8</v>
      </c>
      <c r="L75">
        <v>100</v>
      </c>
      <c r="M75">
        <v>25</v>
      </c>
      <c r="N75">
        <v>2</v>
      </c>
      <c r="O75">
        <v>3</v>
      </c>
      <c r="P75">
        <v>69</v>
      </c>
      <c r="Q75">
        <v>20</v>
      </c>
      <c r="R75">
        <v>4</v>
      </c>
      <c r="S75">
        <v>100</v>
      </c>
      <c r="T75">
        <v>0</v>
      </c>
    </row>
    <row r="76" spans="1:20" x14ac:dyDescent="0.2">
      <c r="A76">
        <v>75</v>
      </c>
      <c r="B76" t="s">
        <v>147</v>
      </c>
      <c r="C76" t="s">
        <v>147</v>
      </c>
      <c r="D76" t="s">
        <v>119</v>
      </c>
      <c r="E76">
        <v>26</v>
      </c>
      <c r="F76" t="s">
        <v>1298</v>
      </c>
      <c r="G76">
        <v>1</v>
      </c>
      <c r="H76">
        <v>1</v>
      </c>
      <c r="I76">
        <v>4</v>
      </c>
      <c r="J76">
        <v>4</v>
      </c>
      <c r="K76">
        <v>1</v>
      </c>
      <c r="L76">
        <v>62</v>
      </c>
      <c r="M76">
        <v>15.5</v>
      </c>
      <c r="N76">
        <v>0</v>
      </c>
      <c r="O76">
        <v>2</v>
      </c>
      <c r="P76">
        <v>34</v>
      </c>
      <c r="Q76">
        <v>15.5</v>
      </c>
      <c r="R76">
        <v>4</v>
      </c>
      <c r="S76">
        <v>62</v>
      </c>
      <c r="T76">
        <v>0</v>
      </c>
    </row>
    <row r="77" spans="1:20" x14ac:dyDescent="0.2">
      <c r="A77">
        <v>76</v>
      </c>
      <c r="B77" t="s">
        <v>885</v>
      </c>
      <c r="C77" t="s">
        <v>885</v>
      </c>
      <c r="D77" t="s">
        <v>108</v>
      </c>
      <c r="E77">
        <v>24</v>
      </c>
      <c r="F77" t="s">
        <v>1298</v>
      </c>
      <c r="G77">
        <v>1</v>
      </c>
      <c r="H77">
        <v>1</v>
      </c>
      <c r="I77">
        <v>5</v>
      </c>
      <c r="J77">
        <v>4</v>
      </c>
      <c r="K77">
        <v>0.8</v>
      </c>
      <c r="L77">
        <v>60</v>
      </c>
      <c r="M77">
        <v>15</v>
      </c>
      <c r="N77">
        <v>1</v>
      </c>
      <c r="O77">
        <v>3</v>
      </c>
      <c r="P77">
        <v>30</v>
      </c>
      <c r="Q77">
        <v>12</v>
      </c>
      <c r="R77">
        <v>4</v>
      </c>
      <c r="S77">
        <v>60</v>
      </c>
      <c r="T77">
        <v>0</v>
      </c>
    </row>
    <row r="78" spans="1:20" x14ac:dyDescent="0.2">
      <c r="A78">
        <v>77</v>
      </c>
      <c r="B78" t="s">
        <v>130</v>
      </c>
      <c r="C78" t="s">
        <v>130</v>
      </c>
      <c r="D78" t="s">
        <v>74</v>
      </c>
      <c r="E78">
        <v>25</v>
      </c>
      <c r="F78" t="s">
        <v>1392</v>
      </c>
      <c r="G78">
        <v>1</v>
      </c>
      <c r="H78">
        <v>1</v>
      </c>
      <c r="I78">
        <v>4</v>
      </c>
      <c r="J78">
        <v>4</v>
      </c>
      <c r="K78">
        <v>1</v>
      </c>
      <c r="L78">
        <v>23</v>
      </c>
      <c r="M78">
        <v>5.8</v>
      </c>
      <c r="N78">
        <v>0</v>
      </c>
      <c r="O78">
        <v>2</v>
      </c>
      <c r="P78">
        <v>12</v>
      </c>
      <c r="Q78">
        <v>5.8</v>
      </c>
      <c r="R78">
        <v>4</v>
      </c>
      <c r="S78">
        <v>23</v>
      </c>
      <c r="T78">
        <v>0</v>
      </c>
    </row>
    <row r="79" spans="1:20" x14ac:dyDescent="0.2">
      <c r="A79">
        <v>78</v>
      </c>
      <c r="B79" t="s">
        <v>340</v>
      </c>
      <c r="C79" t="s">
        <v>340</v>
      </c>
      <c r="D79" t="s">
        <v>78</v>
      </c>
      <c r="E79">
        <v>21</v>
      </c>
      <c r="F79" t="s">
        <v>1298</v>
      </c>
      <c r="G79">
        <v>1</v>
      </c>
      <c r="H79">
        <v>1</v>
      </c>
      <c r="I79">
        <v>5</v>
      </c>
      <c r="J79">
        <v>4</v>
      </c>
      <c r="K79">
        <v>0.8</v>
      </c>
      <c r="L79">
        <v>68</v>
      </c>
      <c r="M79">
        <v>17</v>
      </c>
      <c r="N79">
        <v>0</v>
      </c>
      <c r="O79">
        <v>4</v>
      </c>
      <c r="P79">
        <v>29</v>
      </c>
      <c r="Q79">
        <v>13.6</v>
      </c>
      <c r="R79">
        <v>4</v>
      </c>
      <c r="S79">
        <v>68</v>
      </c>
      <c r="T79">
        <v>0</v>
      </c>
    </row>
    <row r="80" spans="1:20" x14ac:dyDescent="0.2">
      <c r="A80">
        <v>79</v>
      </c>
      <c r="B80" t="s">
        <v>202</v>
      </c>
      <c r="C80" t="s">
        <v>202</v>
      </c>
      <c r="D80" t="s">
        <v>142</v>
      </c>
      <c r="E80">
        <v>28</v>
      </c>
      <c r="F80" t="s">
        <v>1298</v>
      </c>
      <c r="G80">
        <v>1</v>
      </c>
      <c r="H80">
        <v>1</v>
      </c>
      <c r="I80">
        <v>7</v>
      </c>
      <c r="J80">
        <v>4</v>
      </c>
      <c r="K80">
        <v>0.57099999999999995</v>
      </c>
      <c r="L80">
        <v>81</v>
      </c>
      <c r="M80">
        <v>20.3</v>
      </c>
      <c r="N80">
        <v>0</v>
      </c>
      <c r="O80">
        <v>3</v>
      </c>
      <c r="P80">
        <v>30</v>
      </c>
      <c r="Q80">
        <v>11.6</v>
      </c>
      <c r="R80">
        <v>4</v>
      </c>
      <c r="S80">
        <v>81</v>
      </c>
      <c r="T80">
        <v>0</v>
      </c>
    </row>
    <row r="81" spans="1:20" x14ac:dyDescent="0.2">
      <c r="A81">
        <v>80</v>
      </c>
      <c r="B81" t="s">
        <v>329</v>
      </c>
      <c r="C81" t="s">
        <v>329</v>
      </c>
      <c r="D81" t="s">
        <v>107</v>
      </c>
      <c r="E81">
        <v>27</v>
      </c>
      <c r="F81" t="s">
        <v>1298</v>
      </c>
      <c r="G81">
        <v>1</v>
      </c>
      <c r="H81">
        <v>1</v>
      </c>
      <c r="I81">
        <v>5</v>
      </c>
      <c r="J81">
        <v>4</v>
      </c>
      <c r="K81">
        <v>0.8</v>
      </c>
      <c r="L81">
        <v>43</v>
      </c>
      <c r="M81">
        <v>10.8</v>
      </c>
      <c r="N81">
        <v>2</v>
      </c>
      <c r="O81">
        <v>3</v>
      </c>
      <c r="P81">
        <v>16</v>
      </c>
      <c r="Q81">
        <v>8.6</v>
      </c>
      <c r="R81">
        <v>4</v>
      </c>
      <c r="S81">
        <v>43</v>
      </c>
      <c r="T81">
        <v>0</v>
      </c>
    </row>
    <row r="82" spans="1:20" x14ac:dyDescent="0.2">
      <c r="A82">
        <v>81</v>
      </c>
      <c r="B82" t="s">
        <v>345</v>
      </c>
      <c r="C82" t="s">
        <v>345</v>
      </c>
      <c r="D82" t="s">
        <v>93</v>
      </c>
      <c r="E82">
        <v>28</v>
      </c>
      <c r="F82" t="s">
        <v>1298</v>
      </c>
      <c r="G82">
        <v>1</v>
      </c>
      <c r="H82">
        <v>1</v>
      </c>
      <c r="I82">
        <v>4</v>
      </c>
      <c r="J82">
        <v>4</v>
      </c>
      <c r="K82">
        <v>1</v>
      </c>
      <c r="L82">
        <v>39</v>
      </c>
      <c r="M82">
        <v>9.8000000000000007</v>
      </c>
      <c r="N82">
        <v>1</v>
      </c>
      <c r="O82">
        <v>4</v>
      </c>
      <c r="P82">
        <v>16</v>
      </c>
      <c r="Q82">
        <v>9.8000000000000007</v>
      </c>
      <c r="R82">
        <v>4</v>
      </c>
      <c r="S82">
        <v>39</v>
      </c>
      <c r="T82">
        <v>0</v>
      </c>
    </row>
    <row r="83" spans="1:20" x14ac:dyDescent="0.2">
      <c r="A83">
        <v>82</v>
      </c>
      <c r="B83" t="s">
        <v>212</v>
      </c>
      <c r="C83" t="s">
        <v>212</v>
      </c>
      <c r="D83" t="s">
        <v>101</v>
      </c>
      <c r="E83">
        <v>21</v>
      </c>
      <c r="F83" t="s">
        <v>1577</v>
      </c>
      <c r="G83">
        <v>1</v>
      </c>
      <c r="H83">
        <v>1</v>
      </c>
      <c r="I83">
        <v>8</v>
      </c>
      <c r="J83">
        <v>4</v>
      </c>
      <c r="K83">
        <v>0.5</v>
      </c>
      <c r="L83">
        <v>31</v>
      </c>
      <c r="M83">
        <v>7.8</v>
      </c>
      <c r="N83">
        <v>0</v>
      </c>
      <c r="O83">
        <v>1</v>
      </c>
      <c r="P83">
        <v>18</v>
      </c>
      <c r="Q83">
        <v>3.9</v>
      </c>
      <c r="R83">
        <v>4</v>
      </c>
      <c r="S83">
        <v>31</v>
      </c>
      <c r="T83">
        <v>0</v>
      </c>
    </row>
    <row r="84" spans="1:20" x14ac:dyDescent="0.2">
      <c r="A84">
        <v>83</v>
      </c>
      <c r="B84" t="s">
        <v>1525</v>
      </c>
      <c r="C84" t="s">
        <v>1525</v>
      </c>
      <c r="D84" t="s">
        <v>729</v>
      </c>
      <c r="E84">
        <v>24</v>
      </c>
      <c r="G84">
        <v>1</v>
      </c>
      <c r="H84">
        <v>0</v>
      </c>
      <c r="I84">
        <v>4</v>
      </c>
      <c r="J84">
        <v>4</v>
      </c>
      <c r="K84">
        <v>1</v>
      </c>
      <c r="L84">
        <v>29</v>
      </c>
      <c r="M84">
        <v>7.3</v>
      </c>
      <c r="N84">
        <v>0</v>
      </c>
      <c r="O84">
        <v>1</v>
      </c>
      <c r="P84">
        <v>11</v>
      </c>
      <c r="Q84">
        <v>7.3</v>
      </c>
      <c r="R84">
        <v>4</v>
      </c>
      <c r="S84">
        <v>29</v>
      </c>
      <c r="T84">
        <v>0</v>
      </c>
    </row>
    <row r="85" spans="1:20" x14ac:dyDescent="0.2">
      <c r="A85">
        <v>84</v>
      </c>
      <c r="B85" t="s">
        <v>488</v>
      </c>
      <c r="C85" t="s">
        <v>488</v>
      </c>
      <c r="D85" t="s">
        <v>77</v>
      </c>
      <c r="E85">
        <v>27</v>
      </c>
      <c r="G85">
        <v>1</v>
      </c>
      <c r="H85">
        <v>0</v>
      </c>
      <c r="I85">
        <v>6</v>
      </c>
      <c r="J85">
        <v>4</v>
      </c>
      <c r="K85">
        <v>0.66700000000000004</v>
      </c>
      <c r="L85">
        <v>62</v>
      </c>
      <c r="M85">
        <v>15.5</v>
      </c>
      <c r="N85">
        <v>0</v>
      </c>
      <c r="O85">
        <v>2</v>
      </c>
      <c r="P85">
        <v>39</v>
      </c>
      <c r="Q85">
        <v>10.3</v>
      </c>
      <c r="R85">
        <v>4</v>
      </c>
      <c r="S85">
        <v>62</v>
      </c>
      <c r="T85">
        <v>0</v>
      </c>
    </row>
    <row r="86" spans="1:20" x14ac:dyDescent="0.2">
      <c r="A86">
        <v>85</v>
      </c>
      <c r="B86" t="s">
        <v>282</v>
      </c>
      <c r="C86" t="s">
        <v>282</v>
      </c>
      <c r="D86" t="s">
        <v>98</v>
      </c>
      <c r="E86">
        <v>34</v>
      </c>
      <c r="F86" t="s">
        <v>1298</v>
      </c>
      <c r="G86">
        <v>1</v>
      </c>
      <c r="H86">
        <v>1</v>
      </c>
      <c r="I86">
        <v>8</v>
      </c>
      <c r="J86">
        <v>4</v>
      </c>
      <c r="K86">
        <v>0.5</v>
      </c>
      <c r="L86">
        <v>52</v>
      </c>
      <c r="M86">
        <v>13</v>
      </c>
      <c r="N86">
        <v>0</v>
      </c>
      <c r="O86">
        <v>3</v>
      </c>
      <c r="P86">
        <v>16</v>
      </c>
      <c r="Q86">
        <v>6.5</v>
      </c>
      <c r="R86">
        <v>4</v>
      </c>
      <c r="S86">
        <v>52</v>
      </c>
      <c r="T86">
        <v>0</v>
      </c>
    </row>
    <row r="87" spans="1:20" x14ac:dyDescent="0.2">
      <c r="A87">
        <v>86</v>
      </c>
      <c r="B87" t="s">
        <v>160</v>
      </c>
      <c r="C87" t="s">
        <v>160</v>
      </c>
      <c r="D87" t="s">
        <v>102</v>
      </c>
      <c r="E87">
        <v>24</v>
      </c>
      <c r="F87" t="s">
        <v>1392</v>
      </c>
      <c r="G87">
        <v>1</v>
      </c>
      <c r="H87">
        <v>1</v>
      </c>
      <c r="I87">
        <v>5</v>
      </c>
      <c r="J87">
        <v>4</v>
      </c>
      <c r="K87">
        <v>0.8</v>
      </c>
      <c r="L87">
        <v>39</v>
      </c>
      <c r="M87">
        <v>9.8000000000000007</v>
      </c>
      <c r="N87">
        <v>0</v>
      </c>
      <c r="O87">
        <v>1</v>
      </c>
      <c r="P87">
        <v>25</v>
      </c>
      <c r="Q87">
        <v>7.8</v>
      </c>
      <c r="R87">
        <v>4</v>
      </c>
      <c r="S87">
        <v>39</v>
      </c>
      <c r="T87">
        <v>0</v>
      </c>
    </row>
    <row r="88" spans="1:20" x14ac:dyDescent="0.2">
      <c r="A88">
        <v>87</v>
      </c>
      <c r="B88" t="s">
        <v>179</v>
      </c>
      <c r="C88" t="s">
        <v>179</v>
      </c>
      <c r="D88" t="s">
        <v>99</v>
      </c>
      <c r="E88">
        <v>25</v>
      </c>
      <c r="F88" t="s">
        <v>1298</v>
      </c>
      <c r="G88">
        <v>1</v>
      </c>
      <c r="H88">
        <v>1</v>
      </c>
      <c r="I88">
        <v>8</v>
      </c>
      <c r="J88">
        <v>4</v>
      </c>
      <c r="K88">
        <v>0.5</v>
      </c>
      <c r="L88">
        <v>52</v>
      </c>
      <c r="M88">
        <v>13</v>
      </c>
      <c r="N88">
        <v>0</v>
      </c>
      <c r="O88">
        <v>3</v>
      </c>
      <c r="P88">
        <v>24</v>
      </c>
      <c r="Q88">
        <v>6.5</v>
      </c>
      <c r="R88">
        <v>4</v>
      </c>
      <c r="S88">
        <v>52</v>
      </c>
      <c r="T88">
        <v>0</v>
      </c>
    </row>
    <row r="89" spans="1:20" x14ac:dyDescent="0.2">
      <c r="A89">
        <v>88</v>
      </c>
      <c r="B89" t="s">
        <v>289</v>
      </c>
      <c r="C89" t="s">
        <v>289</v>
      </c>
      <c r="D89" t="s">
        <v>142</v>
      </c>
      <c r="E89">
        <v>23</v>
      </c>
      <c r="F89" t="s">
        <v>1298</v>
      </c>
      <c r="G89">
        <v>1</v>
      </c>
      <c r="H89">
        <v>1</v>
      </c>
      <c r="I89">
        <v>6</v>
      </c>
      <c r="J89">
        <v>4</v>
      </c>
      <c r="K89">
        <v>0.66700000000000004</v>
      </c>
      <c r="L89">
        <v>61</v>
      </c>
      <c r="M89">
        <v>15.3</v>
      </c>
      <c r="N89">
        <v>1</v>
      </c>
      <c r="O89">
        <v>3</v>
      </c>
      <c r="P89">
        <v>36</v>
      </c>
      <c r="Q89">
        <v>10.199999999999999</v>
      </c>
      <c r="R89">
        <v>4</v>
      </c>
      <c r="S89">
        <v>61</v>
      </c>
      <c r="T89">
        <v>0</v>
      </c>
    </row>
    <row r="90" spans="1:20" x14ac:dyDescent="0.2">
      <c r="A90">
        <v>89</v>
      </c>
      <c r="B90" t="s">
        <v>869</v>
      </c>
      <c r="C90" t="s">
        <v>869</v>
      </c>
      <c r="D90" t="s">
        <v>725</v>
      </c>
      <c r="E90">
        <v>28</v>
      </c>
      <c r="F90" t="s">
        <v>1298</v>
      </c>
      <c r="G90">
        <v>1</v>
      </c>
      <c r="H90">
        <v>1</v>
      </c>
      <c r="I90">
        <v>8</v>
      </c>
      <c r="J90">
        <v>4</v>
      </c>
      <c r="K90">
        <v>0.5</v>
      </c>
      <c r="L90">
        <v>96</v>
      </c>
      <c r="M90">
        <v>24</v>
      </c>
      <c r="N90">
        <v>0</v>
      </c>
      <c r="O90">
        <v>4</v>
      </c>
      <c r="P90">
        <v>49</v>
      </c>
      <c r="Q90">
        <v>12</v>
      </c>
      <c r="R90">
        <v>4</v>
      </c>
      <c r="S90">
        <v>96</v>
      </c>
      <c r="T90">
        <v>0</v>
      </c>
    </row>
    <row r="91" spans="1:20" x14ac:dyDescent="0.2">
      <c r="A91">
        <v>90</v>
      </c>
      <c r="B91" t="s">
        <v>1490</v>
      </c>
      <c r="C91" t="s">
        <v>1490</v>
      </c>
      <c r="D91" t="s">
        <v>727</v>
      </c>
      <c r="E91">
        <v>29</v>
      </c>
      <c r="G91">
        <v>1</v>
      </c>
      <c r="H91">
        <v>0</v>
      </c>
      <c r="I91">
        <v>5</v>
      </c>
      <c r="J91">
        <v>4</v>
      </c>
      <c r="K91">
        <v>0.8</v>
      </c>
      <c r="L91">
        <v>28</v>
      </c>
      <c r="M91">
        <v>7</v>
      </c>
      <c r="N91">
        <v>0</v>
      </c>
      <c r="O91">
        <v>1</v>
      </c>
      <c r="P91">
        <v>11</v>
      </c>
      <c r="Q91">
        <v>5.6</v>
      </c>
      <c r="R91">
        <v>4</v>
      </c>
      <c r="S91">
        <v>28</v>
      </c>
      <c r="T91">
        <v>0</v>
      </c>
    </row>
    <row r="92" spans="1:20" x14ac:dyDescent="0.2">
      <c r="A92">
        <v>91</v>
      </c>
      <c r="B92" t="s">
        <v>2104</v>
      </c>
      <c r="C92" t="s">
        <v>2104</v>
      </c>
      <c r="D92" t="s">
        <v>725</v>
      </c>
      <c r="E92">
        <v>26</v>
      </c>
      <c r="F92" t="s">
        <v>1577</v>
      </c>
      <c r="G92">
        <v>1</v>
      </c>
      <c r="H92">
        <v>1</v>
      </c>
      <c r="I92">
        <v>5</v>
      </c>
      <c r="J92">
        <v>3</v>
      </c>
      <c r="K92">
        <v>0.6</v>
      </c>
      <c r="L92">
        <v>20</v>
      </c>
      <c r="M92">
        <v>6.7</v>
      </c>
      <c r="N92">
        <v>0</v>
      </c>
      <c r="O92">
        <v>1</v>
      </c>
      <c r="P92">
        <v>10</v>
      </c>
      <c r="Q92">
        <v>4</v>
      </c>
      <c r="R92">
        <v>3</v>
      </c>
      <c r="S92">
        <v>20</v>
      </c>
      <c r="T92">
        <v>0</v>
      </c>
    </row>
    <row r="93" spans="1:20" x14ac:dyDescent="0.2">
      <c r="A93">
        <v>92</v>
      </c>
      <c r="B93" t="s">
        <v>572</v>
      </c>
      <c r="C93" t="s">
        <v>572</v>
      </c>
      <c r="D93" t="s">
        <v>139</v>
      </c>
      <c r="E93">
        <v>24</v>
      </c>
      <c r="G93">
        <v>1</v>
      </c>
      <c r="H93">
        <v>0</v>
      </c>
      <c r="I93">
        <v>6</v>
      </c>
      <c r="J93">
        <v>3</v>
      </c>
      <c r="K93">
        <v>0.5</v>
      </c>
      <c r="L93">
        <v>19</v>
      </c>
      <c r="M93">
        <v>6.3</v>
      </c>
      <c r="N93">
        <v>0</v>
      </c>
      <c r="O93">
        <v>1</v>
      </c>
      <c r="P93">
        <v>11</v>
      </c>
      <c r="Q93">
        <v>3.2</v>
      </c>
      <c r="R93">
        <v>3</v>
      </c>
      <c r="S93">
        <v>19</v>
      </c>
      <c r="T93">
        <v>0</v>
      </c>
    </row>
    <row r="94" spans="1:20" x14ac:dyDescent="0.2">
      <c r="A94">
        <v>93</v>
      </c>
      <c r="B94" t="s">
        <v>241</v>
      </c>
      <c r="C94" t="s">
        <v>241</v>
      </c>
      <c r="D94" t="s">
        <v>74</v>
      </c>
      <c r="E94">
        <v>27</v>
      </c>
      <c r="G94">
        <v>1</v>
      </c>
      <c r="H94">
        <v>0</v>
      </c>
      <c r="I94">
        <v>4</v>
      </c>
      <c r="J94">
        <v>3</v>
      </c>
      <c r="K94">
        <v>0.75</v>
      </c>
      <c r="L94">
        <v>32</v>
      </c>
      <c r="M94">
        <v>10.7</v>
      </c>
      <c r="N94">
        <v>0</v>
      </c>
      <c r="O94">
        <v>2</v>
      </c>
      <c r="P94">
        <v>18</v>
      </c>
      <c r="Q94">
        <v>8</v>
      </c>
      <c r="R94">
        <v>3</v>
      </c>
      <c r="S94">
        <v>32</v>
      </c>
      <c r="T94">
        <v>0</v>
      </c>
    </row>
    <row r="95" spans="1:20" x14ac:dyDescent="0.2">
      <c r="A95">
        <v>94</v>
      </c>
      <c r="B95" t="s">
        <v>1964</v>
      </c>
      <c r="C95" t="s">
        <v>1964</v>
      </c>
      <c r="D95" t="s">
        <v>727</v>
      </c>
      <c r="E95">
        <v>28</v>
      </c>
      <c r="G95">
        <v>1</v>
      </c>
      <c r="H95">
        <v>0</v>
      </c>
      <c r="I95">
        <v>3</v>
      </c>
      <c r="J95">
        <v>3</v>
      </c>
      <c r="K95">
        <v>1</v>
      </c>
      <c r="L95">
        <v>19</v>
      </c>
      <c r="M95">
        <v>6.3</v>
      </c>
      <c r="N95">
        <v>0</v>
      </c>
      <c r="O95">
        <v>1</v>
      </c>
      <c r="P95">
        <v>10</v>
      </c>
      <c r="Q95">
        <v>6.3</v>
      </c>
      <c r="R95">
        <v>3</v>
      </c>
      <c r="S95">
        <v>19</v>
      </c>
      <c r="T95">
        <v>0</v>
      </c>
    </row>
    <row r="96" spans="1:20" x14ac:dyDescent="0.2">
      <c r="A96">
        <v>95</v>
      </c>
      <c r="B96" t="s">
        <v>158</v>
      </c>
      <c r="C96" t="s">
        <v>158</v>
      </c>
      <c r="D96" t="s">
        <v>108</v>
      </c>
      <c r="E96">
        <v>27</v>
      </c>
      <c r="F96" t="s">
        <v>1392</v>
      </c>
      <c r="G96">
        <v>1</v>
      </c>
      <c r="H96">
        <v>1</v>
      </c>
      <c r="I96">
        <v>3</v>
      </c>
      <c r="J96">
        <v>3</v>
      </c>
      <c r="K96">
        <v>1</v>
      </c>
      <c r="L96">
        <v>26</v>
      </c>
      <c r="M96">
        <v>8.6999999999999993</v>
      </c>
      <c r="N96">
        <v>0</v>
      </c>
      <c r="O96">
        <v>1</v>
      </c>
      <c r="P96">
        <v>16</v>
      </c>
      <c r="Q96">
        <v>8.6999999999999993</v>
      </c>
      <c r="R96">
        <v>3</v>
      </c>
      <c r="S96">
        <v>26</v>
      </c>
      <c r="T96">
        <v>1</v>
      </c>
    </row>
    <row r="97" spans="1:20" x14ac:dyDescent="0.2">
      <c r="A97">
        <v>96</v>
      </c>
      <c r="B97" t="s">
        <v>367</v>
      </c>
      <c r="C97" t="s">
        <v>367</v>
      </c>
      <c r="D97" t="s">
        <v>139</v>
      </c>
      <c r="E97">
        <v>23</v>
      </c>
      <c r="G97">
        <v>1</v>
      </c>
      <c r="H97">
        <v>0</v>
      </c>
      <c r="I97">
        <v>7</v>
      </c>
      <c r="J97">
        <v>3</v>
      </c>
      <c r="K97">
        <v>0.42899999999999999</v>
      </c>
      <c r="L97">
        <v>12</v>
      </c>
      <c r="M97">
        <v>4</v>
      </c>
      <c r="N97">
        <v>1</v>
      </c>
      <c r="O97">
        <v>1</v>
      </c>
      <c r="P97">
        <v>7</v>
      </c>
      <c r="Q97">
        <v>1.7</v>
      </c>
      <c r="R97">
        <v>3</v>
      </c>
      <c r="S97">
        <v>12</v>
      </c>
      <c r="T97">
        <v>0</v>
      </c>
    </row>
    <row r="98" spans="1:20" x14ac:dyDescent="0.2">
      <c r="A98">
        <v>97</v>
      </c>
      <c r="B98" t="s">
        <v>891</v>
      </c>
      <c r="C98" t="s">
        <v>891</v>
      </c>
      <c r="D98" t="s">
        <v>1052</v>
      </c>
      <c r="E98">
        <v>25</v>
      </c>
      <c r="F98" t="s">
        <v>1298</v>
      </c>
      <c r="G98">
        <v>1</v>
      </c>
      <c r="H98">
        <v>1</v>
      </c>
      <c r="I98">
        <v>12</v>
      </c>
      <c r="J98">
        <v>3</v>
      </c>
      <c r="K98">
        <v>0.25</v>
      </c>
      <c r="L98">
        <v>86</v>
      </c>
      <c r="M98">
        <v>28.7</v>
      </c>
      <c r="N98">
        <v>1</v>
      </c>
      <c r="O98">
        <v>3</v>
      </c>
      <c r="P98">
        <v>41</v>
      </c>
      <c r="Q98">
        <v>7.2</v>
      </c>
      <c r="R98">
        <v>3</v>
      </c>
      <c r="S98">
        <v>86</v>
      </c>
      <c r="T98">
        <v>0</v>
      </c>
    </row>
    <row r="99" spans="1:20" x14ac:dyDescent="0.2">
      <c r="A99">
        <v>98</v>
      </c>
      <c r="B99" t="s">
        <v>222</v>
      </c>
      <c r="C99" t="s">
        <v>222</v>
      </c>
      <c r="D99" t="s">
        <v>99</v>
      </c>
      <c r="E99">
        <v>23</v>
      </c>
      <c r="G99">
        <v>1</v>
      </c>
      <c r="H99">
        <v>0</v>
      </c>
      <c r="I99">
        <v>5</v>
      </c>
      <c r="J99">
        <v>3</v>
      </c>
      <c r="K99">
        <v>0.6</v>
      </c>
      <c r="L99">
        <v>45</v>
      </c>
      <c r="M99">
        <v>15</v>
      </c>
      <c r="N99">
        <v>0</v>
      </c>
      <c r="O99">
        <v>2</v>
      </c>
      <c r="P99">
        <v>22</v>
      </c>
      <c r="Q99">
        <v>9</v>
      </c>
      <c r="R99">
        <v>3</v>
      </c>
      <c r="S99">
        <v>45</v>
      </c>
      <c r="T99">
        <v>0</v>
      </c>
    </row>
    <row r="100" spans="1:20" x14ac:dyDescent="0.2">
      <c r="A100">
        <v>99</v>
      </c>
      <c r="B100" t="s">
        <v>198</v>
      </c>
      <c r="C100" t="s">
        <v>198</v>
      </c>
      <c r="D100" t="s">
        <v>101</v>
      </c>
      <c r="E100">
        <v>28</v>
      </c>
      <c r="F100" t="s">
        <v>1392</v>
      </c>
      <c r="G100">
        <v>1</v>
      </c>
      <c r="H100">
        <v>1</v>
      </c>
      <c r="I100">
        <v>6</v>
      </c>
      <c r="J100">
        <v>3</v>
      </c>
      <c r="K100">
        <v>0.5</v>
      </c>
      <c r="L100">
        <v>23</v>
      </c>
      <c r="M100">
        <v>7.7</v>
      </c>
      <c r="N100">
        <v>0</v>
      </c>
      <c r="O100">
        <v>1</v>
      </c>
      <c r="P100">
        <v>9</v>
      </c>
      <c r="Q100">
        <v>3.8</v>
      </c>
      <c r="R100">
        <v>3</v>
      </c>
      <c r="S100">
        <v>23</v>
      </c>
      <c r="T100">
        <v>0</v>
      </c>
    </row>
    <row r="101" spans="1:20" x14ac:dyDescent="0.2">
      <c r="A101">
        <v>100</v>
      </c>
      <c r="B101" t="s">
        <v>618</v>
      </c>
      <c r="C101" t="s">
        <v>618</v>
      </c>
      <c r="D101" t="s">
        <v>108</v>
      </c>
      <c r="E101">
        <v>25</v>
      </c>
      <c r="F101" t="s">
        <v>1577</v>
      </c>
      <c r="G101">
        <v>1</v>
      </c>
      <c r="H101">
        <v>1</v>
      </c>
      <c r="I101">
        <v>3</v>
      </c>
      <c r="J101">
        <v>3</v>
      </c>
      <c r="K101">
        <v>1</v>
      </c>
      <c r="L101">
        <v>37</v>
      </c>
      <c r="M101">
        <v>12.3</v>
      </c>
      <c r="N101">
        <v>0</v>
      </c>
      <c r="O101">
        <v>3</v>
      </c>
      <c r="P101">
        <v>22</v>
      </c>
      <c r="Q101">
        <v>12.3</v>
      </c>
      <c r="R101">
        <v>3</v>
      </c>
      <c r="S101">
        <v>37</v>
      </c>
      <c r="T101">
        <v>0</v>
      </c>
    </row>
    <row r="102" spans="1:20" x14ac:dyDescent="0.2">
      <c r="A102">
        <v>101</v>
      </c>
      <c r="B102" t="s">
        <v>355</v>
      </c>
      <c r="C102" t="s">
        <v>355</v>
      </c>
      <c r="D102" t="s">
        <v>107</v>
      </c>
      <c r="E102">
        <v>31</v>
      </c>
      <c r="F102" t="s">
        <v>1577</v>
      </c>
      <c r="G102">
        <v>1</v>
      </c>
      <c r="H102">
        <v>1</v>
      </c>
      <c r="I102">
        <v>4</v>
      </c>
      <c r="J102">
        <v>3</v>
      </c>
      <c r="K102">
        <v>0.75</v>
      </c>
      <c r="L102">
        <v>21</v>
      </c>
      <c r="M102">
        <v>7</v>
      </c>
      <c r="N102">
        <v>0</v>
      </c>
      <c r="O102">
        <v>2</v>
      </c>
      <c r="P102">
        <v>9</v>
      </c>
      <c r="Q102">
        <v>5.3</v>
      </c>
      <c r="R102">
        <v>3</v>
      </c>
      <c r="S102">
        <v>21</v>
      </c>
      <c r="T102">
        <v>0</v>
      </c>
    </row>
    <row r="103" spans="1:20" x14ac:dyDescent="0.2">
      <c r="A103">
        <v>102</v>
      </c>
      <c r="B103" t="s">
        <v>151</v>
      </c>
      <c r="C103" t="s">
        <v>151</v>
      </c>
      <c r="D103" t="s">
        <v>1040</v>
      </c>
      <c r="E103">
        <v>22</v>
      </c>
      <c r="F103" t="s">
        <v>1392</v>
      </c>
      <c r="G103">
        <v>1</v>
      </c>
      <c r="H103">
        <v>1</v>
      </c>
      <c r="I103">
        <v>3</v>
      </c>
      <c r="J103">
        <v>3</v>
      </c>
      <c r="K103">
        <v>1</v>
      </c>
      <c r="L103">
        <v>29</v>
      </c>
      <c r="M103">
        <v>9.6999999999999993</v>
      </c>
      <c r="N103">
        <v>0</v>
      </c>
      <c r="O103">
        <v>2</v>
      </c>
      <c r="P103">
        <v>14</v>
      </c>
      <c r="Q103">
        <v>9.6999999999999993</v>
      </c>
      <c r="R103">
        <v>3</v>
      </c>
      <c r="S103">
        <v>29</v>
      </c>
      <c r="T103">
        <v>0</v>
      </c>
    </row>
    <row r="104" spans="1:20" x14ac:dyDescent="0.2">
      <c r="A104">
        <v>103</v>
      </c>
      <c r="B104" t="s">
        <v>866</v>
      </c>
      <c r="C104" t="s">
        <v>866</v>
      </c>
      <c r="D104" t="s">
        <v>976</v>
      </c>
      <c r="E104">
        <v>28</v>
      </c>
      <c r="F104" t="s">
        <v>1298</v>
      </c>
      <c r="G104">
        <v>1</v>
      </c>
      <c r="H104">
        <v>1</v>
      </c>
      <c r="I104">
        <v>6</v>
      </c>
      <c r="J104">
        <v>3</v>
      </c>
      <c r="K104">
        <v>0.5</v>
      </c>
      <c r="L104">
        <v>24</v>
      </c>
      <c r="M104">
        <v>8</v>
      </c>
      <c r="N104">
        <v>0</v>
      </c>
      <c r="O104">
        <v>2</v>
      </c>
      <c r="P104">
        <v>10</v>
      </c>
      <c r="Q104">
        <v>4</v>
      </c>
      <c r="R104">
        <v>3</v>
      </c>
      <c r="S104">
        <v>24</v>
      </c>
      <c r="T104">
        <v>0</v>
      </c>
    </row>
    <row r="105" spans="1:20" x14ac:dyDescent="0.2">
      <c r="A105">
        <v>104</v>
      </c>
      <c r="B105" t="s">
        <v>368</v>
      </c>
      <c r="C105" t="s">
        <v>368</v>
      </c>
      <c r="D105" t="s">
        <v>77</v>
      </c>
      <c r="E105">
        <v>26</v>
      </c>
      <c r="G105">
        <v>1</v>
      </c>
      <c r="H105">
        <v>0</v>
      </c>
      <c r="I105">
        <v>4</v>
      </c>
      <c r="J105">
        <v>3</v>
      </c>
      <c r="K105">
        <v>0.75</v>
      </c>
      <c r="L105">
        <v>19</v>
      </c>
      <c r="M105">
        <v>6.3</v>
      </c>
      <c r="N105">
        <v>0</v>
      </c>
      <c r="O105">
        <v>2</v>
      </c>
      <c r="P105">
        <v>11</v>
      </c>
      <c r="Q105">
        <v>4.8</v>
      </c>
      <c r="R105">
        <v>3</v>
      </c>
      <c r="S105">
        <v>19</v>
      </c>
      <c r="T105">
        <v>0</v>
      </c>
    </row>
    <row r="106" spans="1:20" x14ac:dyDescent="0.2">
      <c r="A106">
        <v>105</v>
      </c>
      <c r="B106" t="s">
        <v>136</v>
      </c>
      <c r="C106" t="s">
        <v>136</v>
      </c>
      <c r="D106" t="s">
        <v>119</v>
      </c>
      <c r="E106">
        <v>23</v>
      </c>
      <c r="F106" t="s">
        <v>1392</v>
      </c>
      <c r="G106">
        <v>1</v>
      </c>
      <c r="H106">
        <v>1</v>
      </c>
      <c r="I106">
        <v>5</v>
      </c>
      <c r="J106">
        <v>3</v>
      </c>
      <c r="K106">
        <v>0.6</v>
      </c>
      <c r="L106">
        <v>18</v>
      </c>
      <c r="M106">
        <v>6</v>
      </c>
      <c r="N106">
        <v>0</v>
      </c>
      <c r="O106">
        <v>1</v>
      </c>
      <c r="P106">
        <v>11</v>
      </c>
      <c r="Q106">
        <v>3.6</v>
      </c>
      <c r="R106">
        <v>3</v>
      </c>
      <c r="S106">
        <v>18</v>
      </c>
      <c r="T106">
        <v>2</v>
      </c>
    </row>
    <row r="107" spans="1:20" x14ac:dyDescent="0.2">
      <c r="A107">
        <v>106</v>
      </c>
      <c r="B107" t="s">
        <v>886</v>
      </c>
      <c r="C107" t="s">
        <v>886</v>
      </c>
      <c r="D107" t="s">
        <v>93</v>
      </c>
      <c r="E107">
        <v>28</v>
      </c>
      <c r="F107" t="s">
        <v>1392</v>
      </c>
      <c r="G107">
        <v>1</v>
      </c>
      <c r="H107">
        <v>1</v>
      </c>
      <c r="I107">
        <v>3</v>
      </c>
      <c r="J107">
        <v>3</v>
      </c>
      <c r="K107">
        <v>1</v>
      </c>
      <c r="L107">
        <v>17</v>
      </c>
      <c r="M107">
        <v>5.7</v>
      </c>
      <c r="N107">
        <v>0</v>
      </c>
      <c r="O107">
        <v>0</v>
      </c>
      <c r="P107">
        <v>13</v>
      </c>
      <c r="Q107">
        <v>5.7</v>
      </c>
      <c r="R107">
        <v>3</v>
      </c>
      <c r="S107">
        <v>17</v>
      </c>
      <c r="T107">
        <v>0</v>
      </c>
    </row>
    <row r="108" spans="1:20" x14ac:dyDescent="0.2">
      <c r="A108">
        <v>107</v>
      </c>
      <c r="B108" t="s">
        <v>678</v>
      </c>
      <c r="C108" t="s">
        <v>678</v>
      </c>
      <c r="D108" t="s">
        <v>71</v>
      </c>
      <c r="E108">
        <v>31</v>
      </c>
      <c r="F108" t="s">
        <v>1577</v>
      </c>
      <c r="G108">
        <v>1</v>
      </c>
      <c r="H108">
        <v>1</v>
      </c>
      <c r="I108">
        <v>6</v>
      </c>
      <c r="J108">
        <v>3</v>
      </c>
      <c r="K108">
        <v>0.5</v>
      </c>
      <c r="L108">
        <v>22</v>
      </c>
      <c r="M108">
        <v>7.3</v>
      </c>
      <c r="N108">
        <v>0</v>
      </c>
      <c r="O108">
        <v>1</v>
      </c>
      <c r="P108">
        <v>8</v>
      </c>
      <c r="Q108">
        <v>3.7</v>
      </c>
      <c r="R108">
        <v>3</v>
      </c>
      <c r="S108">
        <v>22</v>
      </c>
      <c r="T108">
        <v>0</v>
      </c>
    </row>
    <row r="109" spans="1:20" x14ac:dyDescent="0.2">
      <c r="A109">
        <v>108</v>
      </c>
      <c r="B109" t="s">
        <v>305</v>
      </c>
      <c r="C109" t="s">
        <v>305</v>
      </c>
      <c r="D109" t="s">
        <v>118</v>
      </c>
      <c r="E109">
        <v>24</v>
      </c>
      <c r="F109" t="s">
        <v>1298</v>
      </c>
      <c r="G109">
        <v>1</v>
      </c>
      <c r="H109">
        <v>1</v>
      </c>
      <c r="I109">
        <v>5</v>
      </c>
      <c r="J109">
        <v>3</v>
      </c>
      <c r="K109">
        <v>0.6</v>
      </c>
      <c r="L109">
        <v>49</v>
      </c>
      <c r="M109">
        <v>16.3</v>
      </c>
      <c r="N109">
        <v>0</v>
      </c>
      <c r="O109">
        <v>2</v>
      </c>
      <c r="P109">
        <v>22</v>
      </c>
      <c r="Q109">
        <v>9.8000000000000007</v>
      </c>
      <c r="R109">
        <v>3</v>
      </c>
      <c r="S109">
        <v>49</v>
      </c>
      <c r="T109">
        <v>0</v>
      </c>
    </row>
    <row r="110" spans="1:20" x14ac:dyDescent="0.2">
      <c r="A110">
        <v>109</v>
      </c>
      <c r="B110" t="s">
        <v>299</v>
      </c>
      <c r="C110" t="s">
        <v>299</v>
      </c>
      <c r="D110" t="s">
        <v>93</v>
      </c>
      <c r="E110">
        <v>22</v>
      </c>
      <c r="G110">
        <v>1</v>
      </c>
      <c r="H110">
        <v>0</v>
      </c>
      <c r="I110">
        <v>4</v>
      </c>
      <c r="J110">
        <v>3</v>
      </c>
      <c r="K110">
        <v>0.75</v>
      </c>
      <c r="L110">
        <v>41</v>
      </c>
      <c r="M110">
        <v>13.7</v>
      </c>
      <c r="N110">
        <v>0</v>
      </c>
      <c r="O110">
        <v>3</v>
      </c>
      <c r="P110">
        <v>22</v>
      </c>
      <c r="Q110">
        <v>10.3</v>
      </c>
      <c r="R110">
        <v>3</v>
      </c>
      <c r="S110">
        <v>41</v>
      </c>
      <c r="T110">
        <v>0</v>
      </c>
    </row>
    <row r="111" spans="1:20" x14ac:dyDescent="0.2">
      <c r="A111">
        <v>110</v>
      </c>
      <c r="B111" t="s">
        <v>275</v>
      </c>
      <c r="C111" t="s">
        <v>275</v>
      </c>
      <c r="D111" t="s">
        <v>1040</v>
      </c>
      <c r="E111">
        <v>23</v>
      </c>
      <c r="F111" t="s">
        <v>1298</v>
      </c>
      <c r="G111">
        <v>1</v>
      </c>
      <c r="H111">
        <v>1</v>
      </c>
      <c r="I111">
        <v>3</v>
      </c>
      <c r="J111">
        <v>3</v>
      </c>
      <c r="K111">
        <v>1</v>
      </c>
      <c r="L111">
        <v>19</v>
      </c>
      <c r="M111">
        <v>6.3</v>
      </c>
      <c r="N111">
        <v>0</v>
      </c>
      <c r="O111">
        <v>1</v>
      </c>
      <c r="P111">
        <v>8</v>
      </c>
      <c r="Q111">
        <v>6.3</v>
      </c>
      <c r="R111">
        <v>3</v>
      </c>
      <c r="S111">
        <v>19</v>
      </c>
      <c r="T111">
        <v>0</v>
      </c>
    </row>
    <row r="112" spans="1:20" x14ac:dyDescent="0.2">
      <c r="A112">
        <v>111</v>
      </c>
      <c r="B112" t="s">
        <v>76</v>
      </c>
      <c r="C112" t="s">
        <v>76</v>
      </c>
      <c r="D112" t="s">
        <v>77</v>
      </c>
      <c r="E112">
        <v>27</v>
      </c>
      <c r="F112" t="s">
        <v>1392</v>
      </c>
      <c r="G112">
        <v>1</v>
      </c>
      <c r="H112">
        <v>1</v>
      </c>
      <c r="I112">
        <v>4</v>
      </c>
      <c r="J112">
        <v>3</v>
      </c>
      <c r="K112">
        <v>0.75</v>
      </c>
      <c r="L112">
        <v>19</v>
      </c>
      <c r="M112">
        <v>6.3</v>
      </c>
      <c r="N112">
        <v>0</v>
      </c>
      <c r="O112">
        <v>0</v>
      </c>
      <c r="P112">
        <v>8</v>
      </c>
      <c r="Q112">
        <v>4.8</v>
      </c>
      <c r="R112">
        <v>3</v>
      </c>
      <c r="S112">
        <v>19</v>
      </c>
      <c r="T112">
        <v>0</v>
      </c>
    </row>
    <row r="113" spans="1:20" x14ac:dyDescent="0.2">
      <c r="A113">
        <v>112</v>
      </c>
      <c r="B113" t="s">
        <v>287</v>
      </c>
      <c r="C113" t="s">
        <v>287</v>
      </c>
      <c r="D113" t="s">
        <v>1122</v>
      </c>
      <c r="E113">
        <v>27</v>
      </c>
      <c r="F113" t="s">
        <v>1577</v>
      </c>
      <c r="G113">
        <v>1</v>
      </c>
      <c r="H113">
        <v>1</v>
      </c>
      <c r="I113">
        <v>3</v>
      </c>
      <c r="J113">
        <v>3</v>
      </c>
      <c r="K113">
        <v>1</v>
      </c>
      <c r="L113">
        <v>31</v>
      </c>
      <c r="M113">
        <v>10.3</v>
      </c>
      <c r="N113">
        <v>0</v>
      </c>
      <c r="O113">
        <v>2</v>
      </c>
      <c r="P113">
        <v>16</v>
      </c>
      <c r="Q113">
        <v>10.3</v>
      </c>
      <c r="R113">
        <v>3</v>
      </c>
      <c r="S113">
        <v>31</v>
      </c>
      <c r="T113">
        <v>0</v>
      </c>
    </row>
    <row r="114" spans="1:20" x14ac:dyDescent="0.2">
      <c r="A114">
        <v>113</v>
      </c>
      <c r="B114" t="s">
        <v>595</v>
      </c>
      <c r="C114" t="s">
        <v>595</v>
      </c>
      <c r="D114" t="s">
        <v>118</v>
      </c>
      <c r="E114">
        <v>24</v>
      </c>
      <c r="G114">
        <v>1</v>
      </c>
      <c r="H114">
        <v>0</v>
      </c>
      <c r="I114">
        <v>3</v>
      </c>
      <c r="J114">
        <v>3</v>
      </c>
      <c r="K114">
        <v>1</v>
      </c>
      <c r="L114">
        <v>30</v>
      </c>
      <c r="M114">
        <v>10</v>
      </c>
      <c r="N114">
        <v>0</v>
      </c>
      <c r="O114">
        <v>1</v>
      </c>
      <c r="P114">
        <v>19</v>
      </c>
      <c r="Q114">
        <v>10</v>
      </c>
      <c r="R114">
        <v>3</v>
      </c>
      <c r="S114">
        <v>30</v>
      </c>
      <c r="T114">
        <v>0</v>
      </c>
    </row>
    <row r="115" spans="1:20" x14ac:dyDescent="0.2">
      <c r="A115">
        <v>114</v>
      </c>
      <c r="B115" t="s">
        <v>304</v>
      </c>
      <c r="C115" t="s">
        <v>304</v>
      </c>
      <c r="D115" t="s">
        <v>82</v>
      </c>
      <c r="E115">
        <v>27</v>
      </c>
      <c r="F115" t="s">
        <v>1577</v>
      </c>
      <c r="G115">
        <v>1</v>
      </c>
      <c r="H115">
        <v>1</v>
      </c>
      <c r="I115">
        <v>3</v>
      </c>
      <c r="J115">
        <v>3</v>
      </c>
      <c r="K115">
        <v>1</v>
      </c>
      <c r="L115">
        <v>27</v>
      </c>
      <c r="M115">
        <v>9</v>
      </c>
      <c r="N115">
        <v>0</v>
      </c>
      <c r="O115">
        <v>2</v>
      </c>
      <c r="P115">
        <v>14</v>
      </c>
      <c r="Q115">
        <v>9</v>
      </c>
      <c r="R115">
        <v>3</v>
      </c>
      <c r="S115">
        <v>27</v>
      </c>
      <c r="T115">
        <v>0</v>
      </c>
    </row>
    <row r="116" spans="1:20" x14ac:dyDescent="0.2">
      <c r="A116">
        <v>115</v>
      </c>
      <c r="B116" t="s">
        <v>213</v>
      </c>
      <c r="C116" t="s">
        <v>213</v>
      </c>
      <c r="D116" t="s">
        <v>82</v>
      </c>
      <c r="E116">
        <v>26</v>
      </c>
      <c r="G116">
        <v>1</v>
      </c>
      <c r="H116">
        <v>0</v>
      </c>
      <c r="I116">
        <v>3</v>
      </c>
      <c r="J116">
        <v>3</v>
      </c>
      <c r="K116">
        <v>1</v>
      </c>
      <c r="L116">
        <v>28</v>
      </c>
      <c r="M116">
        <v>9.3000000000000007</v>
      </c>
      <c r="N116">
        <v>0</v>
      </c>
      <c r="O116">
        <v>1</v>
      </c>
      <c r="P116">
        <v>19</v>
      </c>
      <c r="Q116">
        <v>9.3000000000000007</v>
      </c>
      <c r="R116">
        <v>3</v>
      </c>
      <c r="S116">
        <v>28</v>
      </c>
      <c r="T116">
        <v>0</v>
      </c>
    </row>
    <row r="117" spans="1:20" x14ac:dyDescent="0.2">
      <c r="A117">
        <v>116</v>
      </c>
      <c r="B117" t="s">
        <v>2105</v>
      </c>
      <c r="C117" t="s">
        <v>2105</v>
      </c>
      <c r="D117" t="s">
        <v>729</v>
      </c>
      <c r="E117">
        <v>27</v>
      </c>
      <c r="F117" t="s">
        <v>1577</v>
      </c>
      <c r="G117">
        <v>1</v>
      </c>
      <c r="H117">
        <v>1</v>
      </c>
      <c r="I117">
        <v>4</v>
      </c>
      <c r="J117">
        <v>3</v>
      </c>
      <c r="K117">
        <v>0.75</v>
      </c>
      <c r="L117">
        <v>20</v>
      </c>
      <c r="M117">
        <v>6.7</v>
      </c>
      <c r="N117">
        <v>0</v>
      </c>
      <c r="O117">
        <v>0</v>
      </c>
      <c r="P117">
        <v>7</v>
      </c>
      <c r="Q117">
        <v>5</v>
      </c>
      <c r="R117">
        <v>3</v>
      </c>
      <c r="S117">
        <v>20</v>
      </c>
      <c r="T117">
        <v>0</v>
      </c>
    </row>
    <row r="118" spans="1:20" x14ac:dyDescent="0.2">
      <c r="A118">
        <v>117</v>
      </c>
      <c r="B118" t="s">
        <v>249</v>
      </c>
      <c r="C118" t="s">
        <v>249</v>
      </c>
      <c r="D118" t="s">
        <v>122</v>
      </c>
      <c r="E118">
        <v>30</v>
      </c>
      <c r="G118">
        <v>1</v>
      </c>
      <c r="H118">
        <v>0</v>
      </c>
      <c r="I118">
        <v>4</v>
      </c>
      <c r="J118">
        <v>3</v>
      </c>
      <c r="K118">
        <v>0.75</v>
      </c>
      <c r="L118">
        <v>18</v>
      </c>
      <c r="M118">
        <v>6</v>
      </c>
      <c r="N118">
        <v>1</v>
      </c>
      <c r="O118">
        <v>1</v>
      </c>
      <c r="P118">
        <v>9</v>
      </c>
      <c r="Q118">
        <v>4.5</v>
      </c>
      <c r="R118">
        <v>3</v>
      </c>
      <c r="S118">
        <v>18</v>
      </c>
      <c r="T118">
        <v>0</v>
      </c>
    </row>
    <row r="119" spans="1:20" x14ac:dyDescent="0.2">
      <c r="A119">
        <v>118</v>
      </c>
      <c r="B119" t="s">
        <v>544</v>
      </c>
      <c r="C119" t="s">
        <v>544</v>
      </c>
      <c r="D119" t="s">
        <v>1257</v>
      </c>
      <c r="E119">
        <v>25</v>
      </c>
      <c r="G119">
        <v>1</v>
      </c>
      <c r="H119">
        <v>0</v>
      </c>
      <c r="I119">
        <v>3</v>
      </c>
      <c r="J119">
        <v>3</v>
      </c>
      <c r="K119">
        <v>1</v>
      </c>
      <c r="L119">
        <v>21</v>
      </c>
      <c r="M119">
        <v>7</v>
      </c>
      <c r="N119">
        <v>2</v>
      </c>
      <c r="O119">
        <v>3</v>
      </c>
      <c r="P119">
        <v>12</v>
      </c>
      <c r="Q119">
        <v>7</v>
      </c>
      <c r="R119">
        <v>3</v>
      </c>
      <c r="S119">
        <v>21</v>
      </c>
      <c r="T119">
        <v>0</v>
      </c>
    </row>
    <row r="120" spans="1:20" x14ac:dyDescent="0.2">
      <c r="A120">
        <v>119</v>
      </c>
      <c r="B120" t="s">
        <v>143</v>
      </c>
      <c r="C120" t="s">
        <v>143</v>
      </c>
      <c r="D120" t="s">
        <v>77</v>
      </c>
      <c r="E120">
        <v>32</v>
      </c>
      <c r="F120" t="s">
        <v>1298</v>
      </c>
      <c r="G120">
        <v>1</v>
      </c>
      <c r="H120">
        <v>1</v>
      </c>
      <c r="I120">
        <v>6</v>
      </c>
      <c r="J120">
        <v>3</v>
      </c>
      <c r="K120">
        <v>0.5</v>
      </c>
      <c r="L120">
        <v>29</v>
      </c>
      <c r="M120">
        <v>9.6999999999999993</v>
      </c>
      <c r="N120">
        <v>0</v>
      </c>
      <c r="O120">
        <v>2</v>
      </c>
      <c r="P120">
        <v>10</v>
      </c>
      <c r="Q120">
        <v>4.8</v>
      </c>
      <c r="R120">
        <v>3</v>
      </c>
      <c r="S120">
        <v>29</v>
      </c>
      <c r="T120">
        <v>0</v>
      </c>
    </row>
    <row r="121" spans="1:20" x14ac:dyDescent="0.2">
      <c r="A121">
        <v>120</v>
      </c>
      <c r="B121" t="s">
        <v>87</v>
      </c>
      <c r="C121" t="s">
        <v>87</v>
      </c>
      <c r="D121" t="s">
        <v>1257</v>
      </c>
      <c r="E121">
        <v>26</v>
      </c>
      <c r="F121" t="s">
        <v>1392</v>
      </c>
      <c r="G121">
        <v>1</v>
      </c>
      <c r="H121">
        <v>1</v>
      </c>
      <c r="I121">
        <v>4</v>
      </c>
      <c r="J121">
        <v>3</v>
      </c>
      <c r="K121">
        <v>0.75</v>
      </c>
      <c r="L121">
        <v>8</v>
      </c>
      <c r="M121">
        <v>2.7</v>
      </c>
      <c r="N121">
        <v>1</v>
      </c>
      <c r="O121">
        <v>2</v>
      </c>
      <c r="P121">
        <v>3</v>
      </c>
      <c r="Q121">
        <v>2</v>
      </c>
      <c r="R121">
        <v>3</v>
      </c>
      <c r="S121">
        <v>8</v>
      </c>
      <c r="T121">
        <v>0</v>
      </c>
    </row>
    <row r="122" spans="1:20" x14ac:dyDescent="0.2">
      <c r="A122">
        <v>121</v>
      </c>
      <c r="B122" t="s">
        <v>382</v>
      </c>
      <c r="C122" t="s">
        <v>382</v>
      </c>
      <c r="D122" t="s">
        <v>71</v>
      </c>
      <c r="E122">
        <v>29</v>
      </c>
      <c r="G122">
        <v>1</v>
      </c>
      <c r="H122">
        <v>0</v>
      </c>
      <c r="I122">
        <v>5</v>
      </c>
      <c r="J122">
        <v>3</v>
      </c>
      <c r="K122">
        <v>0.6</v>
      </c>
      <c r="L122">
        <v>26</v>
      </c>
      <c r="M122">
        <v>8.6999999999999993</v>
      </c>
      <c r="N122">
        <v>0</v>
      </c>
      <c r="O122">
        <v>1</v>
      </c>
      <c r="P122">
        <v>10</v>
      </c>
      <c r="Q122">
        <v>5.2</v>
      </c>
      <c r="R122">
        <v>3</v>
      </c>
      <c r="S122">
        <v>26</v>
      </c>
      <c r="T122">
        <v>0</v>
      </c>
    </row>
    <row r="123" spans="1:20" x14ac:dyDescent="0.2">
      <c r="A123">
        <v>122</v>
      </c>
      <c r="B123" t="s">
        <v>344</v>
      </c>
      <c r="C123" t="s">
        <v>344</v>
      </c>
      <c r="D123" t="s">
        <v>70</v>
      </c>
      <c r="E123">
        <v>21</v>
      </c>
      <c r="G123">
        <v>1</v>
      </c>
      <c r="H123">
        <v>0</v>
      </c>
      <c r="I123">
        <v>6</v>
      </c>
      <c r="J123">
        <v>3</v>
      </c>
      <c r="K123">
        <v>0.5</v>
      </c>
      <c r="L123">
        <v>26</v>
      </c>
      <c r="M123">
        <v>8.6999999999999993</v>
      </c>
      <c r="N123">
        <v>0</v>
      </c>
      <c r="O123">
        <v>1</v>
      </c>
      <c r="P123">
        <v>11</v>
      </c>
      <c r="Q123">
        <v>4.3</v>
      </c>
      <c r="R123">
        <v>3</v>
      </c>
      <c r="S123">
        <v>26</v>
      </c>
      <c r="T123">
        <v>0</v>
      </c>
    </row>
    <row r="124" spans="1:20" x14ac:dyDescent="0.2">
      <c r="A124">
        <v>123</v>
      </c>
      <c r="B124" t="s">
        <v>547</v>
      </c>
      <c r="C124" t="s">
        <v>547</v>
      </c>
      <c r="D124" t="s">
        <v>77</v>
      </c>
      <c r="E124">
        <v>26</v>
      </c>
      <c r="G124">
        <v>1</v>
      </c>
      <c r="H124">
        <v>0</v>
      </c>
      <c r="I124">
        <v>4</v>
      </c>
      <c r="J124">
        <v>3</v>
      </c>
      <c r="K124">
        <v>0.75</v>
      </c>
      <c r="L124">
        <v>24</v>
      </c>
      <c r="M124">
        <v>8</v>
      </c>
      <c r="N124">
        <v>0</v>
      </c>
      <c r="O124">
        <v>0</v>
      </c>
      <c r="P124">
        <v>9</v>
      </c>
      <c r="Q124">
        <v>6</v>
      </c>
      <c r="R124">
        <v>3</v>
      </c>
      <c r="S124">
        <v>24</v>
      </c>
      <c r="T124">
        <v>0</v>
      </c>
    </row>
    <row r="125" spans="1:20" x14ac:dyDescent="0.2">
      <c r="A125">
        <v>124</v>
      </c>
      <c r="B125" t="s">
        <v>392</v>
      </c>
      <c r="C125" t="s">
        <v>392</v>
      </c>
      <c r="D125" t="s">
        <v>82</v>
      </c>
      <c r="E125">
        <v>25</v>
      </c>
      <c r="G125">
        <v>1</v>
      </c>
      <c r="H125">
        <v>0</v>
      </c>
      <c r="I125">
        <v>5</v>
      </c>
      <c r="J125">
        <v>3</v>
      </c>
      <c r="K125">
        <v>0.6</v>
      </c>
      <c r="L125">
        <v>76</v>
      </c>
      <c r="M125">
        <v>25.3</v>
      </c>
      <c r="N125">
        <v>0</v>
      </c>
      <c r="O125">
        <v>2</v>
      </c>
      <c r="P125">
        <v>43</v>
      </c>
      <c r="Q125">
        <v>15.2</v>
      </c>
      <c r="R125">
        <v>3</v>
      </c>
      <c r="S125">
        <v>76</v>
      </c>
      <c r="T125">
        <v>0</v>
      </c>
    </row>
    <row r="126" spans="1:20" x14ac:dyDescent="0.2">
      <c r="A126">
        <v>125</v>
      </c>
      <c r="B126" t="s">
        <v>632</v>
      </c>
      <c r="C126" t="s">
        <v>632</v>
      </c>
      <c r="D126" t="s">
        <v>93</v>
      </c>
      <c r="E126">
        <v>23</v>
      </c>
      <c r="G126">
        <v>1</v>
      </c>
      <c r="H126">
        <v>0</v>
      </c>
      <c r="I126">
        <v>3</v>
      </c>
      <c r="J126">
        <v>3</v>
      </c>
      <c r="K126">
        <v>1</v>
      </c>
      <c r="L126">
        <v>16</v>
      </c>
      <c r="M126">
        <v>5.3</v>
      </c>
      <c r="N126">
        <v>1</v>
      </c>
      <c r="O126">
        <v>2</v>
      </c>
      <c r="P126">
        <v>6</v>
      </c>
      <c r="Q126">
        <v>5.3</v>
      </c>
      <c r="R126">
        <v>3</v>
      </c>
      <c r="S126">
        <v>16</v>
      </c>
      <c r="T126">
        <v>1</v>
      </c>
    </row>
    <row r="127" spans="1:20" x14ac:dyDescent="0.2">
      <c r="A127">
        <v>126</v>
      </c>
      <c r="B127" t="s">
        <v>284</v>
      </c>
      <c r="C127" t="s">
        <v>284</v>
      </c>
      <c r="D127" t="s">
        <v>107</v>
      </c>
      <c r="E127">
        <v>24</v>
      </c>
      <c r="F127" t="s">
        <v>1298</v>
      </c>
      <c r="G127">
        <v>1</v>
      </c>
      <c r="H127">
        <v>1</v>
      </c>
      <c r="I127">
        <v>4</v>
      </c>
      <c r="J127">
        <v>3</v>
      </c>
      <c r="K127">
        <v>0.75</v>
      </c>
      <c r="L127">
        <v>29</v>
      </c>
      <c r="M127">
        <v>9.6999999999999993</v>
      </c>
      <c r="N127">
        <v>0</v>
      </c>
      <c r="O127">
        <v>1</v>
      </c>
      <c r="P127">
        <v>14</v>
      </c>
      <c r="Q127">
        <v>7.3</v>
      </c>
      <c r="R127">
        <v>3</v>
      </c>
      <c r="S127">
        <v>29</v>
      </c>
      <c r="T127">
        <v>0</v>
      </c>
    </row>
    <row r="128" spans="1:20" x14ac:dyDescent="0.2">
      <c r="A128">
        <v>127</v>
      </c>
      <c r="B128" t="s">
        <v>493</v>
      </c>
      <c r="C128" t="s">
        <v>493</v>
      </c>
      <c r="D128" t="s">
        <v>139</v>
      </c>
      <c r="E128">
        <v>27</v>
      </c>
      <c r="F128" t="s">
        <v>1298</v>
      </c>
      <c r="G128">
        <v>1</v>
      </c>
      <c r="H128">
        <v>1</v>
      </c>
      <c r="I128">
        <v>4</v>
      </c>
      <c r="J128">
        <v>3</v>
      </c>
      <c r="K128">
        <v>0.75</v>
      </c>
      <c r="L128">
        <v>50</v>
      </c>
      <c r="M128">
        <v>16.7</v>
      </c>
      <c r="N128">
        <v>0</v>
      </c>
      <c r="O128">
        <v>2</v>
      </c>
      <c r="P128">
        <v>25</v>
      </c>
      <c r="Q128">
        <v>12.5</v>
      </c>
      <c r="R128">
        <v>3</v>
      </c>
      <c r="S128">
        <v>50</v>
      </c>
      <c r="T128">
        <v>0</v>
      </c>
    </row>
    <row r="129" spans="1:20" x14ac:dyDescent="0.2">
      <c r="A129">
        <v>128</v>
      </c>
      <c r="B129" t="s">
        <v>240</v>
      </c>
      <c r="C129" t="s">
        <v>240</v>
      </c>
      <c r="D129" t="s">
        <v>1052</v>
      </c>
      <c r="E129">
        <v>23</v>
      </c>
      <c r="F129" t="s">
        <v>1392</v>
      </c>
      <c r="G129">
        <v>1</v>
      </c>
      <c r="H129">
        <v>1</v>
      </c>
      <c r="I129">
        <v>6</v>
      </c>
      <c r="J129">
        <v>3</v>
      </c>
      <c r="K129">
        <v>0.5</v>
      </c>
      <c r="L129">
        <v>29</v>
      </c>
      <c r="M129">
        <v>9.6999999999999993</v>
      </c>
      <c r="N129">
        <v>0</v>
      </c>
      <c r="O129">
        <v>1</v>
      </c>
      <c r="P129">
        <v>15</v>
      </c>
      <c r="Q129">
        <v>4.8</v>
      </c>
      <c r="R129">
        <v>3</v>
      </c>
      <c r="S129">
        <v>29</v>
      </c>
      <c r="T129">
        <v>1</v>
      </c>
    </row>
    <row r="130" spans="1:20" x14ac:dyDescent="0.2">
      <c r="A130">
        <v>129</v>
      </c>
      <c r="B130" t="s">
        <v>423</v>
      </c>
      <c r="C130" t="s">
        <v>423</v>
      </c>
      <c r="D130" t="s">
        <v>82</v>
      </c>
      <c r="E130">
        <v>21</v>
      </c>
      <c r="G130">
        <v>1</v>
      </c>
      <c r="H130">
        <v>0</v>
      </c>
      <c r="I130">
        <v>5</v>
      </c>
      <c r="J130">
        <v>3</v>
      </c>
      <c r="K130">
        <v>0.6</v>
      </c>
      <c r="L130">
        <v>69</v>
      </c>
      <c r="M130">
        <v>23</v>
      </c>
      <c r="N130">
        <v>0</v>
      </c>
      <c r="O130">
        <v>2</v>
      </c>
      <c r="P130">
        <v>44</v>
      </c>
      <c r="Q130">
        <v>13.8</v>
      </c>
      <c r="R130">
        <v>3</v>
      </c>
      <c r="S130">
        <v>69</v>
      </c>
      <c r="T130">
        <v>0</v>
      </c>
    </row>
    <row r="131" spans="1:20" x14ac:dyDescent="0.2">
      <c r="A131">
        <v>130</v>
      </c>
      <c r="B131" t="s">
        <v>280</v>
      </c>
      <c r="C131" t="s">
        <v>280</v>
      </c>
      <c r="D131" t="s">
        <v>98</v>
      </c>
      <c r="E131">
        <v>24</v>
      </c>
      <c r="G131">
        <v>1</v>
      </c>
      <c r="H131">
        <v>0</v>
      </c>
      <c r="I131">
        <v>5</v>
      </c>
      <c r="J131">
        <v>3</v>
      </c>
      <c r="K131">
        <v>0.6</v>
      </c>
      <c r="L131">
        <v>8</v>
      </c>
      <c r="M131">
        <v>2.7</v>
      </c>
      <c r="N131">
        <v>0</v>
      </c>
      <c r="O131">
        <v>0</v>
      </c>
      <c r="P131">
        <v>5</v>
      </c>
      <c r="Q131">
        <v>1.6</v>
      </c>
      <c r="R131">
        <v>3</v>
      </c>
      <c r="S131">
        <v>8</v>
      </c>
      <c r="T131">
        <v>2</v>
      </c>
    </row>
    <row r="132" spans="1:20" x14ac:dyDescent="0.2">
      <c r="A132">
        <v>131</v>
      </c>
      <c r="B132" t="s">
        <v>310</v>
      </c>
      <c r="C132" t="s">
        <v>310</v>
      </c>
      <c r="D132" t="s">
        <v>92</v>
      </c>
      <c r="E132">
        <v>24</v>
      </c>
      <c r="G132">
        <v>1</v>
      </c>
      <c r="H132">
        <v>0</v>
      </c>
      <c r="I132">
        <v>7</v>
      </c>
      <c r="J132">
        <v>3</v>
      </c>
      <c r="K132">
        <v>0.42899999999999999</v>
      </c>
      <c r="L132">
        <v>65</v>
      </c>
      <c r="M132">
        <v>21.7</v>
      </c>
      <c r="N132">
        <v>0</v>
      </c>
      <c r="O132">
        <v>2</v>
      </c>
      <c r="P132">
        <v>42</v>
      </c>
      <c r="Q132">
        <v>9.3000000000000007</v>
      </c>
      <c r="R132">
        <v>3</v>
      </c>
      <c r="S132">
        <v>65</v>
      </c>
      <c r="T132">
        <v>0</v>
      </c>
    </row>
    <row r="133" spans="1:20" x14ac:dyDescent="0.2">
      <c r="A133">
        <v>132</v>
      </c>
      <c r="B133" t="s">
        <v>508</v>
      </c>
      <c r="C133" t="s">
        <v>508</v>
      </c>
      <c r="D133" t="s">
        <v>101</v>
      </c>
      <c r="E133">
        <v>29</v>
      </c>
      <c r="G133">
        <v>1</v>
      </c>
      <c r="H133">
        <v>0</v>
      </c>
      <c r="I133">
        <v>3</v>
      </c>
      <c r="J133">
        <v>3</v>
      </c>
      <c r="K133">
        <v>1</v>
      </c>
      <c r="L133">
        <v>18</v>
      </c>
      <c r="M133">
        <v>6</v>
      </c>
      <c r="N133">
        <v>0</v>
      </c>
      <c r="O133">
        <v>1</v>
      </c>
      <c r="P133">
        <v>9</v>
      </c>
      <c r="Q133">
        <v>6</v>
      </c>
      <c r="R133">
        <v>3</v>
      </c>
      <c r="S133">
        <v>18</v>
      </c>
      <c r="T133">
        <v>0</v>
      </c>
    </row>
    <row r="134" spans="1:20" x14ac:dyDescent="0.2">
      <c r="A134">
        <v>133</v>
      </c>
      <c r="B134" t="s">
        <v>257</v>
      </c>
      <c r="C134" t="s">
        <v>257</v>
      </c>
      <c r="D134" t="s">
        <v>119</v>
      </c>
      <c r="E134">
        <v>30</v>
      </c>
      <c r="F134" t="s">
        <v>1577</v>
      </c>
      <c r="G134">
        <v>1</v>
      </c>
      <c r="H134">
        <v>1</v>
      </c>
      <c r="I134">
        <v>3</v>
      </c>
      <c r="J134">
        <v>3</v>
      </c>
      <c r="K134">
        <v>1</v>
      </c>
      <c r="L134">
        <v>30</v>
      </c>
      <c r="M134">
        <v>10</v>
      </c>
      <c r="N134">
        <v>1</v>
      </c>
      <c r="O134">
        <v>2</v>
      </c>
      <c r="P134">
        <v>12</v>
      </c>
      <c r="Q134">
        <v>10</v>
      </c>
      <c r="R134">
        <v>3</v>
      </c>
      <c r="S134">
        <v>30</v>
      </c>
      <c r="T134">
        <v>0</v>
      </c>
    </row>
    <row r="135" spans="1:20" x14ac:dyDescent="0.2">
      <c r="A135">
        <v>134</v>
      </c>
      <c r="B135" t="s">
        <v>416</v>
      </c>
      <c r="C135" t="s">
        <v>416</v>
      </c>
      <c r="D135" t="s">
        <v>1257</v>
      </c>
      <c r="E135">
        <v>24</v>
      </c>
      <c r="F135" t="s">
        <v>1577</v>
      </c>
      <c r="G135">
        <v>1</v>
      </c>
      <c r="H135">
        <v>1</v>
      </c>
      <c r="I135">
        <v>6</v>
      </c>
      <c r="J135">
        <v>3</v>
      </c>
      <c r="K135">
        <v>0.5</v>
      </c>
      <c r="L135">
        <v>18</v>
      </c>
      <c r="M135">
        <v>6</v>
      </c>
      <c r="N135">
        <v>0</v>
      </c>
      <c r="O135">
        <v>0</v>
      </c>
      <c r="P135">
        <v>8</v>
      </c>
      <c r="Q135">
        <v>3</v>
      </c>
      <c r="R135">
        <v>3</v>
      </c>
      <c r="S135">
        <v>18</v>
      </c>
      <c r="T135">
        <v>0</v>
      </c>
    </row>
    <row r="136" spans="1:20" x14ac:dyDescent="0.2">
      <c r="A136">
        <v>135</v>
      </c>
      <c r="B136" t="s">
        <v>298</v>
      </c>
      <c r="C136" t="s">
        <v>298</v>
      </c>
      <c r="D136" t="s">
        <v>1267</v>
      </c>
      <c r="E136">
        <v>27</v>
      </c>
      <c r="F136" t="s">
        <v>1298</v>
      </c>
      <c r="G136">
        <v>1</v>
      </c>
      <c r="H136">
        <v>1</v>
      </c>
      <c r="I136">
        <v>8</v>
      </c>
      <c r="J136">
        <v>3</v>
      </c>
      <c r="K136">
        <v>0.375</v>
      </c>
      <c r="L136">
        <v>17</v>
      </c>
      <c r="M136">
        <v>5.7</v>
      </c>
      <c r="N136">
        <v>0</v>
      </c>
      <c r="O136">
        <v>2</v>
      </c>
      <c r="P136">
        <v>10</v>
      </c>
      <c r="Q136">
        <v>2.1</v>
      </c>
      <c r="R136">
        <v>3</v>
      </c>
      <c r="S136">
        <v>17</v>
      </c>
      <c r="T136">
        <v>0</v>
      </c>
    </row>
    <row r="137" spans="1:20" x14ac:dyDescent="0.2">
      <c r="A137">
        <v>136</v>
      </c>
      <c r="B137" t="s">
        <v>429</v>
      </c>
      <c r="C137" t="s">
        <v>429</v>
      </c>
      <c r="D137" t="s">
        <v>102</v>
      </c>
      <c r="E137">
        <v>23</v>
      </c>
      <c r="F137" t="s">
        <v>1298</v>
      </c>
      <c r="G137">
        <v>1</v>
      </c>
      <c r="H137">
        <v>1</v>
      </c>
      <c r="I137">
        <v>3</v>
      </c>
      <c r="J137">
        <v>3</v>
      </c>
      <c r="K137">
        <v>1</v>
      </c>
      <c r="L137">
        <v>23</v>
      </c>
      <c r="M137">
        <v>7.7</v>
      </c>
      <c r="N137">
        <v>0</v>
      </c>
      <c r="O137">
        <v>2</v>
      </c>
      <c r="P137">
        <v>11</v>
      </c>
      <c r="Q137">
        <v>7.7</v>
      </c>
      <c r="R137">
        <v>3</v>
      </c>
      <c r="S137">
        <v>23</v>
      </c>
      <c r="T137">
        <v>0</v>
      </c>
    </row>
    <row r="138" spans="1:20" x14ac:dyDescent="0.2">
      <c r="A138">
        <v>137</v>
      </c>
      <c r="B138" t="s">
        <v>1482</v>
      </c>
      <c r="C138" t="s">
        <v>1482</v>
      </c>
      <c r="D138" t="s">
        <v>725</v>
      </c>
      <c r="E138">
        <v>25</v>
      </c>
      <c r="F138" t="s">
        <v>1392</v>
      </c>
      <c r="G138">
        <v>1</v>
      </c>
      <c r="H138">
        <v>1</v>
      </c>
      <c r="I138">
        <v>4</v>
      </c>
      <c r="J138">
        <v>3</v>
      </c>
      <c r="K138">
        <v>0.75</v>
      </c>
      <c r="L138">
        <v>29</v>
      </c>
      <c r="M138">
        <v>9.6999999999999993</v>
      </c>
      <c r="N138">
        <v>0</v>
      </c>
      <c r="O138">
        <v>1</v>
      </c>
      <c r="P138">
        <v>21</v>
      </c>
      <c r="Q138">
        <v>7.3</v>
      </c>
      <c r="R138">
        <v>3</v>
      </c>
      <c r="S138">
        <v>29</v>
      </c>
      <c r="T138">
        <v>0</v>
      </c>
    </row>
    <row r="139" spans="1:20" x14ac:dyDescent="0.2">
      <c r="A139">
        <v>138</v>
      </c>
      <c r="B139" t="s">
        <v>1396</v>
      </c>
      <c r="C139" t="s">
        <v>1396</v>
      </c>
      <c r="D139" t="s">
        <v>729</v>
      </c>
      <c r="E139">
        <v>26</v>
      </c>
      <c r="G139">
        <v>1</v>
      </c>
      <c r="H139">
        <v>0</v>
      </c>
      <c r="I139">
        <v>3</v>
      </c>
      <c r="J139">
        <v>3</v>
      </c>
      <c r="K139">
        <v>1</v>
      </c>
      <c r="L139">
        <v>24</v>
      </c>
      <c r="M139">
        <v>8</v>
      </c>
      <c r="N139">
        <v>0</v>
      </c>
      <c r="O139">
        <v>1</v>
      </c>
      <c r="P139">
        <v>13</v>
      </c>
      <c r="Q139">
        <v>8</v>
      </c>
      <c r="R139">
        <v>3</v>
      </c>
      <c r="S139">
        <v>24</v>
      </c>
      <c r="T139">
        <v>0</v>
      </c>
    </row>
    <row r="140" spans="1:20" x14ac:dyDescent="0.2">
      <c r="A140">
        <v>139</v>
      </c>
      <c r="B140" t="s">
        <v>1582</v>
      </c>
      <c r="C140" t="s">
        <v>1582</v>
      </c>
      <c r="D140" t="s">
        <v>730</v>
      </c>
      <c r="E140">
        <v>29</v>
      </c>
      <c r="F140" t="s">
        <v>1298</v>
      </c>
      <c r="G140">
        <v>1</v>
      </c>
      <c r="H140">
        <v>1</v>
      </c>
      <c r="I140">
        <v>4</v>
      </c>
      <c r="J140">
        <v>3</v>
      </c>
      <c r="K140">
        <v>0.75</v>
      </c>
      <c r="L140">
        <v>27</v>
      </c>
      <c r="M140">
        <v>9</v>
      </c>
      <c r="N140">
        <v>1</v>
      </c>
      <c r="O140">
        <v>2</v>
      </c>
      <c r="P140">
        <v>19</v>
      </c>
      <c r="Q140">
        <v>6.8</v>
      </c>
      <c r="R140">
        <v>3</v>
      </c>
      <c r="S140">
        <v>27</v>
      </c>
      <c r="T140">
        <v>0</v>
      </c>
    </row>
    <row r="141" spans="1:20" x14ac:dyDescent="0.2">
      <c r="A141">
        <v>140</v>
      </c>
      <c r="B141" t="s">
        <v>369</v>
      </c>
      <c r="C141" t="s">
        <v>369</v>
      </c>
      <c r="D141" t="s">
        <v>73</v>
      </c>
      <c r="E141">
        <v>28</v>
      </c>
      <c r="G141">
        <v>1</v>
      </c>
      <c r="H141">
        <v>0</v>
      </c>
      <c r="I141">
        <v>2</v>
      </c>
      <c r="J141">
        <v>2</v>
      </c>
      <c r="K141">
        <v>1</v>
      </c>
      <c r="L141">
        <v>15</v>
      </c>
      <c r="M141">
        <v>7.5</v>
      </c>
      <c r="N141">
        <v>0</v>
      </c>
      <c r="O141">
        <v>1</v>
      </c>
      <c r="P141">
        <v>10</v>
      </c>
      <c r="Q141">
        <v>7.5</v>
      </c>
      <c r="R141">
        <v>2</v>
      </c>
      <c r="S141">
        <v>15</v>
      </c>
      <c r="T141">
        <v>0</v>
      </c>
    </row>
    <row r="142" spans="1:20" x14ac:dyDescent="0.2">
      <c r="A142">
        <v>141</v>
      </c>
      <c r="B142" t="s">
        <v>302</v>
      </c>
      <c r="C142" t="s">
        <v>302</v>
      </c>
      <c r="D142" t="s">
        <v>142</v>
      </c>
      <c r="E142">
        <v>23</v>
      </c>
      <c r="G142">
        <v>1</v>
      </c>
      <c r="H142">
        <v>0</v>
      </c>
      <c r="I142">
        <v>3</v>
      </c>
      <c r="J142">
        <v>2</v>
      </c>
      <c r="K142">
        <v>0.66700000000000004</v>
      </c>
      <c r="L142">
        <v>24</v>
      </c>
      <c r="M142">
        <v>12</v>
      </c>
      <c r="N142">
        <v>0</v>
      </c>
      <c r="O142">
        <v>1</v>
      </c>
      <c r="P142">
        <v>18</v>
      </c>
      <c r="Q142">
        <v>8</v>
      </c>
      <c r="R142">
        <v>2</v>
      </c>
      <c r="S142">
        <v>24</v>
      </c>
      <c r="T142">
        <v>0</v>
      </c>
    </row>
    <row r="143" spans="1:20" x14ac:dyDescent="0.2">
      <c r="A143">
        <v>142</v>
      </c>
      <c r="B143" t="s">
        <v>481</v>
      </c>
      <c r="C143" t="s">
        <v>481</v>
      </c>
      <c r="D143" t="s">
        <v>70</v>
      </c>
      <c r="E143">
        <v>26</v>
      </c>
      <c r="F143" t="s">
        <v>1577</v>
      </c>
      <c r="G143">
        <v>1</v>
      </c>
      <c r="H143">
        <v>1</v>
      </c>
      <c r="I143">
        <v>3</v>
      </c>
      <c r="J143">
        <v>2</v>
      </c>
      <c r="K143">
        <v>0.66700000000000004</v>
      </c>
      <c r="L143">
        <v>6</v>
      </c>
      <c r="M143">
        <v>3</v>
      </c>
      <c r="N143">
        <v>0</v>
      </c>
      <c r="O143">
        <v>0</v>
      </c>
      <c r="P143">
        <v>5</v>
      </c>
      <c r="Q143">
        <v>2</v>
      </c>
      <c r="R143">
        <v>2</v>
      </c>
      <c r="S143">
        <v>6</v>
      </c>
      <c r="T143">
        <v>0</v>
      </c>
    </row>
    <row r="144" spans="1:20" x14ac:dyDescent="0.2">
      <c r="A144">
        <v>143</v>
      </c>
      <c r="B144" t="s">
        <v>1696</v>
      </c>
      <c r="C144" t="s">
        <v>1696</v>
      </c>
      <c r="D144" t="s">
        <v>976</v>
      </c>
      <c r="E144">
        <v>30</v>
      </c>
      <c r="G144">
        <v>1</v>
      </c>
      <c r="H144">
        <v>0</v>
      </c>
      <c r="I144">
        <v>3</v>
      </c>
      <c r="J144">
        <v>2</v>
      </c>
      <c r="K144">
        <v>0.66700000000000004</v>
      </c>
      <c r="L144">
        <v>12</v>
      </c>
      <c r="M144">
        <v>6</v>
      </c>
      <c r="N144">
        <v>0</v>
      </c>
      <c r="O144">
        <v>1</v>
      </c>
      <c r="P144">
        <v>8</v>
      </c>
      <c r="Q144">
        <v>4</v>
      </c>
      <c r="R144">
        <v>2</v>
      </c>
      <c r="S144">
        <v>12</v>
      </c>
      <c r="T144">
        <v>0</v>
      </c>
    </row>
    <row r="145" spans="1:20" x14ac:dyDescent="0.2">
      <c r="A145">
        <v>144</v>
      </c>
      <c r="B145" t="s">
        <v>113</v>
      </c>
      <c r="C145" t="s">
        <v>113</v>
      </c>
      <c r="D145" t="s">
        <v>82</v>
      </c>
      <c r="E145">
        <v>26</v>
      </c>
      <c r="F145" t="s">
        <v>1392</v>
      </c>
      <c r="G145">
        <v>1</v>
      </c>
      <c r="H145">
        <v>1</v>
      </c>
      <c r="I145">
        <v>2</v>
      </c>
      <c r="J145">
        <v>2</v>
      </c>
      <c r="K145">
        <v>1</v>
      </c>
      <c r="L145">
        <v>18</v>
      </c>
      <c r="M145">
        <v>9</v>
      </c>
      <c r="N145">
        <v>0</v>
      </c>
      <c r="O145">
        <v>2</v>
      </c>
      <c r="P145">
        <v>10</v>
      </c>
      <c r="Q145">
        <v>9</v>
      </c>
      <c r="R145">
        <v>2</v>
      </c>
      <c r="S145">
        <v>18</v>
      </c>
      <c r="T145">
        <v>1</v>
      </c>
    </row>
    <row r="146" spans="1:20" x14ac:dyDescent="0.2">
      <c r="A146">
        <v>145</v>
      </c>
      <c r="B146" t="s">
        <v>307</v>
      </c>
      <c r="C146" t="s">
        <v>307</v>
      </c>
      <c r="D146" t="s">
        <v>122</v>
      </c>
      <c r="E146">
        <v>29</v>
      </c>
      <c r="F146" t="s">
        <v>1298</v>
      </c>
      <c r="G146">
        <v>1</v>
      </c>
      <c r="H146">
        <v>1</v>
      </c>
      <c r="I146">
        <v>2</v>
      </c>
      <c r="J146">
        <v>2</v>
      </c>
      <c r="K146">
        <v>1</v>
      </c>
      <c r="L146">
        <v>27</v>
      </c>
      <c r="M146">
        <v>13.5</v>
      </c>
      <c r="N146">
        <v>0</v>
      </c>
      <c r="O146">
        <v>1</v>
      </c>
      <c r="P146">
        <v>17</v>
      </c>
      <c r="Q146">
        <v>13.5</v>
      </c>
      <c r="R146">
        <v>2</v>
      </c>
      <c r="S146">
        <v>27</v>
      </c>
      <c r="T146">
        <v>0</v>
      </c>
    </row>
    <row r="147" spans="1:20" x14ac:dyDescent="0.2">
      <c r="A147">
        <v>146</v>
      </c>
      <c r="B147" t="s">
        <v>331</v>
      </c>
      <c r="C147" t="s">
        <v>331</v>
      </c>
      <c r="D147" t="s">
        <v>98</v>
      </c>
      <c r="E147">
        <v>22</v>
      </c>
      <c r="F147" t="s">
        <v>1298</v>
      </c>
      <c r="G147">
        <v>1</v>
      </c>
      <c r="H147">
        <v>1</v>
      </c>
      <c r="I147">
        <v>5</v>
      </c>
      <c r="J147">
        <v>2</v>
      </c>
      <c r="K147">
        <v>0.4</v>
      </c>
      <c r="L147">
        <v>40</v>
      </c>
      <c r="M147">
        <v>20</v>
      </c>
      <c r="N147">
        <v>1</v>
      </c>
      <c r="O147">
        <v>2</v>
      </c>
      <c r="P147">
        <v>37</v>
      </c>
      <c r="Q147">
        <v>8</v>
      </c>
      <c r="R147">
        <v>2</v>
      </c>
      <c r="S147">
        <v>40</v>
      </c>
      <c r="T147">
        <v>0</v>
      </c>
    </row>
    <row r="148" spans="1:20" x14ac:dyDescent="0.2">
      <c r="A148">
        <v>147</v>
      </c>
      <c r="B148" t="s">
        <v>1460</v>
      </c>
      <c r="C148" t="s">
        <v>1460</v>
      </c>
      <c r="D148" t="s">
        <v>729</v>
      </c>
      <c r="E148">
        <v>26</v>
      </c>
      <c r="F148" t="s">
        <v>1392</v>
      </c>
      <c r="G148">
        <v>1</v>
      </c>
      <c r="H148">
        <v>1</v>
      </c>
      <c r="I148">
        <v>2</v>
      </c>
      <c r="J148">
        <v>2</v>
      </c>
      <c r="K148">
        <v>1</v>
      </c>
      <c r="L148">
        <v>6</v>
      </c>
      <c r="M148">
        <v>3</v>
      </c>
      <c r="N148">
        <v>0</v>
      </c>
      <c r="O148">
        <v>0</v>
      </c>
      <c r="P148">
        <v>3</v>
      </c>
      <c r="Q148">
        <v>3</v>
      </c>
      <c r="R148">
        <v>2</v>
      </c>
      <c r="S148">
        <v>6</v>
      </c>
      <c r="T148">
        <v>0</v>
      </c>
    </row>
    <row r="149" spans="1:20" x14ac:dyDescent="0.2">
      <c r="A149">
        <v>148</v>
      </c>
      <c r="B149" t="s">
        <v>320</v>
      </c>
      <c r="C149" t="s">
        <v>320</v>
      </c>
      <c r="D149" t="s">
        <v>102</v>
      </c>
      <c r="E149">
        <v>31</v>
      </c>
      <c r="G149">
        <v>1</v>
      </c>
      <c r="H149">
        <v>0</v>
      </c>
      <c r="I149">
        <v>2</v>
      </c>
      <c r="J149">
        <v>2</v>
      </c>
      <c r="K149">
        <v>1</v>
      </c>
      <c r="L149">
        <v>34</v>
      </c>
      <c r="M149">
        <v>17</v>
      </c>
      <c r="N149">
        <v>0</v>
      </c>
      <c r="O149">
        <v>1</v>
      </c>
      <c r="P149">
        <v>28</v>
      </c>
      <c r="Q149">
        <v>17</v>
      </c>
      <c r="R149">
        <v>2</v>
      </c>
      <c r="S149">
        <v>34</v>
      </c>
      <c r="T149">
        <v>0</v>
      </c>
    </row>
    <row r="150" spans="1:20" x14ac:dyDescent="0.2">
      <c r="A150">
        <v>149</v>
      </c>
      <c r="B150" t="s">
        <v>363</v>
      </c>
      <c r="C150" t="s">
        <v>363</v>
      </c>
      <c r="D150" t="s">
        <v>108</v>
      </c>
      <c r="E150">
        <v>27</v>
      </c>
      <c r="F150" t="s">
        <v>1577</v>
      </c>
      <c r="G150">
        <v>1</v>
      </c>
      <c r="H150">
        <v>1</v>
      </c>
      <c r="I150">
        <v>2</v>
      </c>
      <c r="J150">
        <v>2</v>
      </c>
      <c r="K150">
        <v>1</v>
      </c>
      <c r="L150">
        <v>20</v>
      </c>
      <c r="M150">
        <v>10</v>
      </c>
      <c r="N150">
        <v>1</v>
      </c>
      <c r="O150">
        <v>2</v>
      </c>
      <c r="P150">
        <v>11</v>
      </c>
      <c r="Q150">
        <v>10</v>
      </c>
      <c r="R150">
        <v>2</v>
      </c>
      <c r="S150">
        <v>20</v>
      </c>
      <c r="T150">
        <v>0</v>
      </c>
    </row>
    <row r="151" spans="1:20" x14ac:dyDescent="0.2">
      <c r="A151">
        <v>150</v>
      </c>
      <c r="B151" t="s">
        <v>373</v>
      </c>
      <c r="C151" t="s">
        <v>373</v>
      </c>
      <c r="D151" t="s">
        <v>102</v>
      </c>
      <c r="E151">
        <v>22</v>
      </c>
      <c r="G151">
        <v>1</v>
      </c>
      <c r="H151">
        <v>0</v>
      </c>
      <c r="I151">
        <v>3</v>
      </c>
      <c r="J151">
        <v>2</v>
      </c>
      <c r="K151">
        <v>0.66700000000000004</v>
      </c>
      <c r="L151">
        <v>6</v>
      </c>
      <c r="M151">
        <v>3</v>
      </c>
      <c r="N151">
        <v>0</v>
      </c>
      <c r="O151">
        <v>0</v>
      </c>
      <c r="P151">
        <v>9</v>
      </c>
      <c r="Q151">
        <v>2</v>
      </c>
      <c r="R151">
        <v>2</v>
      </c>
      <c r="S151">
        <v>6</v>
      </c>
      <c r="T151">
        <v>0</v>
      </c>
    </row>
    <row r="152" spans="1:20" x14ac:dyDescent="0.2">
      <c r="A152">
        <v>151</v>
      </c>
      <c r="B152" t="s">
        <v>276</v>
      </c>
      <c r="C152" t="s">
        <v>276</v>
      </c>
      <c r="D152" t="s">
        <v>78</v>
      </c>
      <c r="E152">
        <v>33</v>
      </c>
      <c r="G152">
        <v>1</v>
      </c>
      <c r="H152">
        <v>0</v>
      </c>
      <c r="I152">
        <v>6</v>
      </c>
      <c r="J152">
        <v>2</v>
      </c>
      <c r="K152">
        <v>0.33300000000000002</v>
      </c>
      <c r="L152">
        <v>25</v>
      </c>
      <c r="M152">
        <v>12.5</v>
      </c>
      <c r="N152">
        <v>0</v>
      </c>
      <c r="O152">
        <v>1</v>
      </c>
      <c r="P152">
        <v>21</v>
      </c>
      <c r="Q152">
        <v>4.2</v>
      </c>
      <c r="R152">
        <v>2</v>
      </c>
      <c r="S152">
        <v>25</v>
      </c>
      <c r="T152">
        <v>0</v>
      </c>
    </row>
    <row r="153" spans="1:20" x14ac:dyDescent="0.2">
      <c r="A153">
        <v>152</v>
      </c>
      <c r="B153" t="s">
        <v>500</v>
      </c>
      <c r="C153" t="s">
        <v>500</v>
      </c>
      <c r="D153" t="s">
        <v>73</v>
      </c>
      <c r="E153">
        <v>28</v>
      </c>
      <c r="F153" t="s">
        <v>1882</v>
      </c>
      <c r="G153">
        <v>1</v>
      </c>
      <c r="H153">
        <v>1</v>
      </c>
      <c r="I153">
        <v>2</v>
      </c>
      <c r="J153">
        <v>2</v>
      </c>
      <c r="K153">
        <v>1</v>
      </c>
      <c r="L153">
        <v>9</v>
      </c>
      <c r="M153">
        <v>4.5</v>
      </c>
      <c r="N153">
        <v>0</v>
      </c>
      <c r="O153">
        <v>1</v>
      </c>
      <c r="P153">
        <v>6</v>
      </c>
      <c r="Q153">
        <v>4.5</v>
      </c>
      <c r="R153">
        <v>2</v>
      </c>
      <c r="S153">
        <v>9</v>
      </c>
      <c r="T153">
        <v>0</v>
      </c>
    </row>
    <row r="154" spans="1:20" x14ac:dyDescent="0.2">
      <c r="A154">
        <v>153</v>
      </c>
      <c r="B154" t="s">
        <v>244</v>
      </c>
      <c r="C154" t="s">
        <v>244</v>
      </c>
      <c r="D154" t="s">
        <v>1122</v>
      </c>
      <c r="E154">
        <v>24</v>
      </c>
      <c r="F154" t="s">
        <v>1392</v>
      </c>
      <c r="G154">
        <v>1</v>
      </c>
      <c r="H154">
        <v>1</v>
      </c>
      <c r="I154">
        <v>3</v>
      </c>
      <c r="J154">
        <v>2</v>
      </c>
      <c r="K154">
        <v>0.66700000000000004</v>
      </c>
      <c r="L154">
        <v>17</v>
      </c>
      <c r="M154">
        <v>8.5</v>
      </c>
      <c r="N154">
        <v>0</v>
      </c>
      <c r="O154">
        <v>0</v>
      </c>
      <c r="P154">
        <v>9</v>
      </c>
      <c r="Q154">
        <v>5.7</v>
      </c>
      <c r="R154">
        <v>2</v>
      </c>
      <c r="S154">
        <v>17</v>
      </c>
      <c r="T154">
        <v>1</v>
      </c>
    </row>
    <row r="155" spans="1:20" x14ac:dyDescent="0.2">
      <c r="A155">
        <v>154</v>
      </c>
      <c r="B155" t="s">
        <v>286</v>
      </c>
      <c r="C155" t="s">
        <v>286</v>
      </c>
      <c r="D155" t="s">
        <v>1257</v>
      </c>
      <c r="E155">
        <v>24</v>
      </c>
      <c r="G155">
        <v>1</v>
      </c>
      <c r="H155">
        <v>0</v>
      </c>
      <c r="I155">
        <v>2</v>
      </c>
      <c r="J155">
        <v>2</v>
      </c>
      <c r="K155">
        <v>1</v>
      </c>
      <c r="L155">
        <v>72</v>
      </c>
      <c r="M155">
        <v>36</v>
      </c>
      <c r="N155">
        <v>1</v>
      </c>
      <c r="O155">
        <v>2</v>
      </c>
      <c r="P155">
        <v>55</v>
      </c>
      <c r="Q155">
        <v>36</v>
      </c>
      <c r="R155">
        <v>2</v>
      </c>
      <c r="S155">
        <v>72</v>
      </c>
      <c r="T155">
        <v>0</v>
      </c>
    </row>
    <row r="156" spans="1:20" x14ac:dyDescent="0.2">
      <c r="A156">
        <v>155</v>
      </c>
      <c r="B156" t="s">
        <v>381</v>
      </c>
      <c r="C156" t="s">
        <v>381</v>
      </c>
      <c r="D156" t="s">
        <v>70</v>
      </c>
      <c r="E156">
        <v>22</v>
      </c>
      <c r="G156">
        <v>1</v>
      </c>
      <c r="H156">
        <v>0</v>
      </c>
      <c r="I156">
        <v>2</v>
      </c>
      <c r="J156">
        <v>2</v>
      </c>
      <c r="K156">
        <v>1</v>
      </c>
      <c r="L156">
        <v>4</v>
      </c>
      <c r="M156">
        <v>2</v>
      </c>
      <c r="N156">
        <v>0</v>
      </c>
      <c r="O156">
        <v>0</v>
      </c>
      <c r="P156">
        <v>3</v>
      </c>
      <c r="Q156">
        <v>2</v>
      </c>
      <c r="R156">
        <v>2</v>
      </c>
      <c r="S156">
        <v>4</v>
      </c>
      <c r="T156">
        <v>0</v>
      </c>
    </row>
    <row r="157" spans="1:20" x14ac:dyDescent="0.2">
      <c r="A157">
        <v>156</v>
      </c>
      <c r="B157" t="s">
        <v>328</v>
      </c>
      <c r="C157" t="s">
        <v>328</v>
      </c>
      <c r="D157" t="s">
        <v>119</v>
      </c>
      <c r="E157">
        <v>28</v>
      </c>
      <c r="F157" t="s">
        <v>1298</v>
      </c>
      <c r="G157">
        <v>1</v>
      </c>
      <c r="H157">
        <v>1</v>
      </c>
      <c r="I157">
        <v>2</v>
      </c>
      <c r="J157">
        <v>2</v>
      </c>
      <c r="K157">
        <v>1</v>
      </c>
      <c r="L157">
        <v>10</v>
      </c>
      <c r="M157">
        <v>5</v>
      </c>
      <c r="N157">
        <v>0</v>
      </c>
      <c r="O157">
        <v>0</v>
      </c>
      <c r="P157">
        <v>6</v>
      </c>
      <c r="Q157">
        <v>5</v>
      </c>
      <c r="R157">
        <v>2</v>
      </c>
      <c r="S157">
        <v>10</v>
      </c>
      <c r="T157">
        <v>0</v>
      </c>
    </row>
    <row r="158" spans="1:20" x14ac:dyDescent="0.2">
      <c r="A158">
        <v>157</v>
      </c>
      <c r="B158" t="s">
        <v>361</v>
      </c>
      <c r="C158" t="s">
        <v>361</v>
      </c>
      <c r="D158" t="s">
        <v>1052</v>
      </c>
      <c r="E158">
        <v>31</v>
      </c>
      <c r="G158">
        <v>1</v>
      </c>
      <c r="H158">
        <v>0</v>
      </c>
      <c r="I158">
        <v>2</v>
      </c>
      <c r="J158">
        <v>2</v>
      </c>
      <c r="K158">
        <v>1</v>
      </c>
      <c r="L158">
        <v>14</v>
      </c>
      <c r="M158">
        <v>7</v>
      </c>
      <c r="N158">
        <v>0</v>
      </c>
      <c r="O158">
        <v>0</v>
      </c>
      <c r="P158">
        <v>9</v>
      </c>
      <c r="Q158">
        <v>7</v>
      </c>
      <c r="R158">
        <v>2</v>
      </c>
      <c r="S158">
        <v>14</v>
      </c>
      <c r="T158">
        <v>0</v>
      </c>
    </row>
    <row r="159" spans="1:20" x14ac:dyDescent="0.2">
      <c r="A159">
        <v>158</v>
      </c>
      <c r="B159" t="s">
        <v>2031</v>
      </c>
      <c r="C159" t="s">
        <v>2031</v>
      </c>
      <c r="D159" t="s">
        <v>730</v>
      </c>
      <c r="E159">
        <v>35</v>
      </c>
      <c r="G159">
        <v>1</v>
      </c>
      <c r="H159">
        <v>0</v>
      </c>
      <c r="I159">
        <v>2</v>
      </c>
      <c r="J159">
        <v>2</v>
      </c>
      <c r="K159">
        <v>1</v>
      </c>
      <c r="L159">
        <v>21</v>
      </c>
      <c r="M159">
        <v>10.5</v>
      </c>
      <c r="N159">
        <v>0</v>
      </c>
      <c r="O159">
        <v>1</v>
      </c>
      <c r="P159">
        <v>18</v>
      </c>
      <c r="Q159">
        <v>10.5</v>
      </c>
      <c r="R159">
        <v>2</v>
      </c>
      <c r="S159">
        <v>21</v>
      </c>
      <c r="T159">
        <v>0</v>
      </c>
    </row>
    <row r="160" spans="1:20" x14ac:dyDescent="0.2">
      <c r="A160">
        <v>159</v>
      </c>
      <c r="B160" t="s">
        <v>896</v>
      </c>
      <c r="C160" t="s">
        <v>896</v>
      </c>
      <c r="D160" t="s">
        <v>730</v>
      </c>
      <c r="E160">
        <v>25</v>
      </c>
      <c r="F160" t="s">
        <v>1298</v>
      </c>
      <c r="G160">
        <v>1</v>
      </c>
      <c r="H160">
        <v>1</v>
      </c>
      <c r="I160">
        <v>3</v>
      </c>
      <c r="J160">
        <v>2</v>
      </c>
      <c r="K160">
        <v>0.66700000000000004</v>
      </c>
      <c r="L160">
        <v>80</v>
      </c>
      <c r="M160">
        <v>40</v>
      </c>
      <c r="N160">
        <v>1</v>
      </c>
      <c r="O160">
        <v>2</v>
      </c>
      <c r="P160">
        <v>67</v>
      </c>
      <c r="Q160">
        <v>26.7</v>
      </c>
      <c r="R160">
        <v>2</v>
      </c>
      <c r="S160">
        <v>80</v>
      </c>
      <c r="T160">
        <v>0</v>
      </c>
    </row>
    <row r="161" spans="1:20" x14ac:dyDescent="0.2">
      <c r="A161">
        <v>160</v>
      </c>
      <c r="B161" t="s">
        <v>126</v>
      </c>
      <c r="C161" t="s">
        <v>126</v>
      </c>
      <c r="D161" t="s">
        <v>1267</v>
      </c>
      <c r="E161">
        <v>27</v>
      </c>
      <c r="F161" t="s">
        <v>1392</v>
      </c>
      <c r="G161">
        <v>1</v>
      </c>
      <c r="H161">
        <v>1</v>
      </c>
      <c r="I161">
        <v>2</v>
      </c>
      <c r="J161">
        <v>2</v>
      </c>
      <c r="K161">
        <v>1</v>
      </c>
      <c r="L161">
        <v>13</v>
      </c>
      <c r="M161">
        <v>6.5</v>
      </c>
      <c r="N161">
        <v>0</v>
      </c>
      <c r="O161">
        <v>0</v>
      </c>
      <c r="P161">
        <v>7</v>
      </c>
      <c r="Q161">
        <v>6.5</v>
      </c>
      <c r="R161">
        <v>2</v>
      </c>
      <c r="S161">
        <v>13</v>
      </c>
      <c r="T161">
        <v>0</v>
      </c>
    </row>
    <row r="162" spans="1:20" x14ac:dyDescent="0.2">
      <c r="A162">
        <v>161</v>
      </c>
      <c r="B162" t="s">
        <v>1403</v>
      </c>
      <c r="C162" t="s">
        <v>1403</v>
      </c>
      <c r="D162" t="s">
        <v>933</v>
      </c>
      <c r="E162">
        <v>26</v>
      </c>
      <c r="G162">
        <v>1</v>
      </c>
      <c r="H162">
        <v>0</v>
      </c>
      <c r="I162">
        <v>2</v>
      </c>
      <c r="J162">
        <v>2</v>
      </c>
      <c r="K162">
        <v>1</v>
      </c>
      <c r="L162">
        <v>46</v>
      </c>
      <c r="M162">
        <v>23</v>
      </c>
      <c r="N162">
        <v>1</v>
      </c>
      <c r="O162">
        <v>2</v>
      </c>
      <c r="P162">
        <v>31</v>
      </c>
      <c r="Q162">
        <v>23</v>
      </c>
      <c r="R162">
        <v>2</v>
      </c>
      <c r="S162">
        <v>46</v>
      </c>
      <c r="T162">
        <v>0</v>
      </c>
    </row>
    <row r="163" spans="1:20" x14ac:dyDescent="0.2">
      <c r="A163">
        <v>162</v>
      </c>
      <c r="B163" t="s">
        <v>255</v>
      </c>
      <c r="C163" t="s">
        <v>255</v>
      </c>
      <c r="D163" t="s">
        <v>1267</v>
      </c>
      <c r="E163">
        <v>26</v>
      </c>
      <c r="F163" t="s">
        <v>1298</v>
      </c>
      <c r="G163">
        <v>1</v>
      </c>
      <c r="H163">
        <v>1</v>
      </c>
      <c r="I163">
        <v>4</v>
      </c>
      <c r="J163">
        <v>2</v>
      </c>
      <c r="K163">
        <v>0.5</v>
      </c>
      <c r="L163">
        <v>16</v>
      </c>
      <c r="M163">
        <v>8</v>
      </c>
      <c r="N163">
        <v>0</v>
      </c>
      <c r="O163">
        <v>1</v>
      </c>
      <c r="P163">
        <v>14</v>
      </c>
      <c r="Q163">
        <v>4</v>
      </c>
      <c r="R163">
        <v>2</v>
      </c>
      <c r="S163">
        <v>16</v>
      </c>
      <c r="T163">
        <v>0</v>
      </c>
    </row>
    <row r="164" spans="1:20" x14ac:dyDescent="0.2">
      <c r="A164">
        <v>163</v>
      </c>
      <c r="B164" t="s">
        <v>288</v>
      </c>
      <c r="C164" t="s">
        <v>288</v>
      </c>
      <c r="D164" t="s">
        <v>101</v>
      </c>
      <c r="E164">
        <v>30</v>
      </c>
      <c r="F164" t="s">
        <v>1392</v>
      </c>
      <c r="G164">
        <v>1</v>
      </c>
      <c r="H164">
        <v>1</v>
      </c>
      <c r="I164">
        <v>2</v>
      </c>
      <c r="J164">
        <v>2</v>
      </c>
      <c r="K164">
        <v>1</v>
      </c>
      <c r="L164">
        <v>13</v>
      </c>
      <c r="M164">
        <v>6.5</v>
      </c>
      <c r="N164">
        <v>0</v>
      </c>
      <c r="O164">
        <v>1</v>
      </c>
      <c r="P164">
        <v>12</v>
      </c>
      <c r="Q164">
        <v>6.5</v>
      </c>
      <c r="R164">
        <v>2</v>
      </c>
      <c r="S164">
        <v>13</v>
      </c>
      <c r="T164">
        <v>0</v>
      </c>
    </row>
    <row r="165" spans="1:20" x14ac:dyDescent="0.2">
      <c r="A165">
        <v>164</v>
      </c>
      <c r="B165" t="s">
        <v>2068</v>
      </c>
      <c r="C165" t="s">
        <v>2068</v>
      </c>
      <c r="D165" t="s">
        <v>725</v>
      </c>
      <c r="E165">
        <v>27</v>
      </c>
      <c r="G165">
        <v>1</v>
      </c>
      <c r="H165">
        <v>0</v>
      </c>
      <c r="I165">
        <v>3</v>
      </c>
      <c r="J165">
        <v>2</v>
      </c>
      <c r="K165">
        <v>0.66700000000000004</v>
      </c>
      <c r="L165">
        <v>15</v>
      </c>
      <c r="M165">
        <v>7.5</v>
      </c>
      <c r="N165">
        <v>0</v>
      </c>
      <c r="O165">
        <v>1</v>
      </c>
      <c r="P165">
        <v>9</v>
      </c>
      <c r="Q165">
        <v>5</v>
      </c>
      <c r="R165">
        <v>2</v>
      </c>
      <c r="S165">
        <v>15</v>
      </c>
      <c r="T165">
        <v>0</v>
      </c>
    </row>
    <row r="166" spans="1:20" x14ac:dyDescent="0.2">
      <c r="A166">
        <v>165</v>
      </c>
      <c r="B166" t="s">
        <v>602</v>
      </c>
      <c r="C166" t="s">
        <v>602</v>
      </c>
      <c r="D166" t="s">
        <v>92</v>
      </c>
      <c r="E166">
        <v>32</v>
      </c>
      <c r="G166">
        <v>1</v>
      </c>
      <c r="H166">
        <v>0</v>
      </c>
      <c r="I166">
        <v>5</v>
      </c>
      <c r="J166">
        <v>2</v>
      </c>
      <c r="K166">
        <v>0.4</v>
      </c>
      <c r="L166">
        <v>8</v>
      </c>
      <c r="M166">
        <v>4</v>
      </c>
      <c r="N166">
        <v>0</v>
      </c>
      <c r="O166">
        <v>0</v>
      </c>
      <c r="P166">
        <v>6</v>
      </c>
      <c r="Q166">
        <v>1.6</v>
      </c>
      <c r="R166">
        <v>2</v>
      </c>
      <c r="S166">
        <v>8</v>
      </c>
      <c r="T166">
        <v>0</v>
      </c>
    </row>
    <row r="167" spans="1:20" x14ac:dyDescent="0.2">
      <c r="A167">
        <v>166</v>
      </c>
      <c r="B167" t="s">
        <v>1869</v>
      </c>
      <c r="C167" t="s">
        <v>1869</v>
      </c>
      <c r="D167" t="s">
        <v>933</v>
      </c>
      <c r="E167">
        <v>22</v>
      </c>
      <c r="F167" t="s">
        <v>1298</v>
      </c>
      <c r="G167">
        <v>1</v>
      </c>
      <c r="H167">
        <v>1</v>
      </c>
      <c r="I167">
        <v>5</v>
      </c>
      <c r="J167">
        <v>2</v>
      </c>
      <c r="K167">
        <v>0.4</v>
      </c>
      <c r="L167">
        <v>46</v>
      </c>
      <c r="M167">
        <v>23</v>
      </c>
      <c r="N167">
        <v>0</v>
      </c>
      <c r="O167">
        <v>2</v>
      </c>
      <c r="P167">
        <v>37</v>
      </c>
      <c r="Q167">
        <v>9.1999999999999993</v>
      </c>
      <c r="R167">
        <v>2</v>
      </c>
      <c r="S167">
        <v>46</v>
      </c>
      <c r="T167">
        <v>0</v>
      </c>
    </row>
    <row r="168" spans="1:20" x14ac:dyDescent="0.2">
      <c r="A168">
        <v>167</v>
      </c>
      <c r="B168" t="s">
        <v>490</v>
      </c>
      <c r="C168" t="s">
        <v>490</v>
      </c>
      <c r="D168" t="s">
        <v>1087</v>
      </c>
      <c r="E168">
        <v>25</v>
      </c>
      <c r="G168">
        <v>1</v>
      </c>
      <c r="H168">
        <v>0</v>
      </c>
      <c r="I168">
        <v>3</v>
      </c>
      <c r="J168">
        <v>2</v>
      </c>
      <c r="K168">
        <v>0.66700000000000004</v>
      </c>
      <c r="L168">
        <v>23</v>
      </c>
      <c r="M168">
        <v>11.5</v>
      </c>
      <c r="N168">
        <v>1</v>
      </c>
      <c r="O168">
        <v>2</v>
      </c>
      <c r="P168">
        <v>18</v>
      </c>
      <c r="Q168">
        <v>7.7</v>
      </c>
      <c r="R168">
        <v>2</v>
      </c>
      <c r="S168">
        <v>23</v>
      </c>
      <c r="T168">
        <v>0</v>
      </c>
    </row>
    <row r="169" spans="1:20" x14ac:dyDescent="0.2">
      <c r="A169">
        <v>168</v>
      </c>
      <c r="B169" t="s">
        <v>317</v>
      </c>
      <c r="C169" t="s">
        <v>317</v>
      </c>
      <c r="D169" t="s">
        <v>139</v>
      </c>
      <c r="E169">
        <v>22</v>
      </c>
      <c r="G169">
        <v>1</v>
      </c>
      <c r="H169">
        <v>0</v>
      </c>
      <c r="I169">
        <v>4</v>
      </c>
      <c r="J169">
        <v>2</v>
      </c>
      <c r="K169">
        <v>0.5</v>
      </c>
      <c r="L169">
        <v>23</v>
      </c>
      <c r="M169">
        <v>11.5</v>
      </c>
      <c r="N169">
        <v>0</v>
      </c>
      <c r="O169">
        <v>1</v>
      </c>
      <c r="P169">
        <v>20</v>
      </c>
      <c r="Q169">
        <v>5.8</v>
      </c>
      <c r="R169">
        <v>2</v>
      </c>
      <c r="S169">
        <v>23</v>
      </c>
      <c r="T169">
        <v>0</v>
      </c>
    </row>
    <row r="170" spans="1:20" x14ac:dyDescent="0.2">
      <c r="A170">
        <v>169</v>
      </c>
      <c r="B170" t="s">
        <v>444</v>
      </c>
      <c r="C170" t="s">
        <v>444</v>
      </c>
      <c r="D170" t="s">
        <v>107</v>
      </c>
      <c r="E170">
        <v>24</v>
      </c>
      <c r="G170">
        <v>1</v>
      </c>
      <c r="H170">
        <v>0</v>
      </c>
      <c r="I170">
        <v>2</v>
      </c>
      <c r="J170">
        <v>2</v>
      </c>
      <c r="K170">
        <v>1</v>
      </c>
      <c r="L170">
        <v>26</v>
      </c>
      <c r="M170">
        <v>13</v>
      </c>
      <c r="N170">
        <v>0</v>
      </c>
      <c r="O170">
        <v>2</v>
      </c>
      <c r="P170">
        <v>16</v>
      </c>
      <c r="Q170">
        <v>13</v>
      </c>
      <c r="R170">
        <v>2</v>
      </c>
      <c r="S170">
        <v>26</v>
      </c>
      <c r="T170">
        <v>0</v>
      </c>
    </row>
    <row r="171" spans="1:20" x14ac:dyDescent="0.2">
      <c r="A171">
        <v>170</v>
      </c>
      <c r="B171" t="s">
        <v>596</v>
      </c>
      <c r="C171" t="s">
        <v>596</v>
      </c>
      <c r="D171" t="s">
        <v>1267</v>
      </c>
      <c r="E171">
        <v>26</v>
      </c>
      <c r="G171">
        <v>1</v>
      </c>
      <c r="H171">
        <v>0</v>
      </c>
      <c r="I171">
        <v>3</v>
      </c>
      <c r="J171">
        <v>2</v>
      </c>
      <c r="K171">
        <v>0.66700000000000004</v>
      </c>
      <c r="L171">
        <v>14</v>
      </c>
      <c r="M171">
        <v>7</v>
      </c>
      <c r="N171">
        <v>0</v>
      </c>
      <c r="O171">
        <v>1</v>
      </c>
      <c r="P171">
        <v>7</v>
      </c>
      <c r="Q171">
        <v>4.7</v>
      </c>
      <c r="R171">
        <v>2</v>
      </c>
      <c r="S171">
        <v>14</v>
      </c>
      <c r="T171">
        <v>0</v>
      </c>
    </row>
    <row r="172" spans="1:20" x14ac:dyDescent="0.2">
      <c r="A172">
        <v>171</v>
      </c>
      <c r="B172" t="s">
        <v>326</v>
      </c>
      <c r="C172" t="s">
        <v>326</v>
      </c>
      <c r="D172" t="s">
        <v>92</v>
      </c>
      <c r="E172">
        <v>22</v>
      </c>
      <c r="G172">
        <v>1</v>
      </c>
      <c r="H172">
        <v>0</v>
      </c>
      <c r="I172">
        <v>2</v>
      </c>
      <c r="J172">
        <v>2</v>
      </c>
      <c r="K172">
        <v>1</v>
      </c>
      <c r="L172">
        <v>-2</v>
      </c>
      <c r="M172">
        <v>-1</v>
      </c>
      <c r="N172">
        <v>0</v>
      </c>
      <c r="O172">
        <v>0</v>
      </c>
      <c r="P172">
        <v>4</v>
      </c>
      <c r="Q172">
        <v>-1</v>
      </c>
      <c r="R172">
        <v>2</v>
      </c>
      <c r="S172">
        <v>-2</v>
      </c>
      <c r="T172">
        <v>0</v>
      </c>
    </row>
    <row r="173" spans="1:20" x14ac:dyDescent="0.2">
      <c r="A173">
        <v>172</v>
      </c>
      <c r="B173" t="s">
        <v>272</v>
      </c>
      <c r="C173" t="s">
        <v>272</v>
      </c>
      <c r="D173" t="s">
        <v>1267</v>
      </c>
      <c r="E173">
        <v>27</v>
      </c>
      <c r="G173">
        <v>1</v>
      </c>
      <c r="H173">
        <v>0</v>
      </c>
      <c r="I173">
        <v>4</v>
      </c>
      <c r="J173">
        <v>2</v>
      </c>
      <c r="K173">
        <v>0.5</v>
      </c>
      <c r="L173">
        <v>8</v>
      </c>
      <c r="M173">
        <v>4</v>
      </c>
      <c r="N173">
        <v>0</v>
      </c>
      <c r="O173">
        <v>1</v>
      </c>
      <c r="P173">
        <v>5</v>
      </c>
      <c r="Q173">
        <v>2</v>
      </c>
      <c r="R173">
        <v>2</v>
      </c>
      <c r="S173">
        <v>8</v>
      </c>
      <c r="T173">
        <v>0</v>
      </c>
    </row>
    <row r="174" spans="1:20" x14ac:dyDescent="0.2">
      <c r="A174">
        <v>173</v>
      </c>
      <c r="B174" t="s">
        <v>350</v>
      </c>
      <c r="C174" t="s">
        <v>350</v>
      </c>
      <c r="D174" t="s">
        <v>74</v>
      </c>
      <c r="E174">
        <v>28</v>
      </c>
      <c r="F174" t="s">
        <v>1577</v>
      </c>
      <c r="G174">
        <v>1</v>
      </c>
      <c r="H174">
        <v>1</v>
      </c>
      <c r="I174">
        <v>2</v>
      </c>
      <c r="J174">
        <v>2</v>
      </c>
      <c r="K174">
        <v>1</v>
      </c>
      <c r="L174">
        <v>35</v>
      </c>
      <c r="M174">
        <v>17.5</v>
      </c>
      <c r="N174">
        <v>0</v>
      </c>
      <c r="O174">
        <v>1</v>
      </c>
      <c r="P174">
        <v>32</v>
      </c>
      <c r="Q174">
        <v>17.5</v>
      </c>
      <c r="R174">
        <v>2</v>
      </c>
      <c r="S174">
        <v>35</v>
      </c>
      <c r="T174">
        <v>0</v>
      </c>
    </row>
    <row r="175" spans="1:20" x14ac:dyDescent="0.2">
      <c r="A175">
        <v>174</v>
      </c>
      <c r="B175" t="s">
        <v>334</v>
      </c>
      <c r="C175" t="s">
        <v>334</v>
      </c>
      <c r="D175" t="s">
        <v>99</v>
      </c>
      <c r="E175">
        <v>25</v>
      </c>
      <c r="G175">
        <v>1</v>
      </c>
      <c r="H175">
        <v>0</v>
      </c>
      <c r="I175">
        <v>2</v>
      </c>
      <c r="J175">
        <v>2</v>
      </c>
      <c r="K175">
        <v>1</v>
      </c>
      <c r="L175">
        <v>10</v>
      </c>
      <c r="M175">
        <v>5</v>
      </c>
      <c r="N175">
        <v>0</v>
      </c>
      <c r="O175">
        <v>0</v>
      </c>
      <c r="P175">
        <v>9</v>
      </c>
      <c r="Q175">
        <v>5</v>
      </c>
      <c r="R175">
        <v>2</v>
      </c>
      <c r="S175">
        <v>10</v>
      </c>
      <c r="T175">
        <v>0</v>
      </c>
    </row>
    <row r="176" spans="1:20" x14ac:dyDescent="0.2">
      <c r="A176">
        <v>175</v>
      </c>
      <c r="B176" t="s">
        <v>273</v>
      </c>
      <c r="C176" t="s">
        <v>273</v>
      </c>
      <c r="D176" t="s">
        <v>139</v>
      </c>
      <c r="E176">
        <v>29</v>
      </c>
      <c r="F176" t="s">
        <v>1298</v>
      </c>
      <c r="G176">
        <v>1</v>
      </c>
      <c r="H176">
        <v>1</v>
      </c>
      <c r="I176">
        <v>3</v>
      </c>
      <c r="J176">
        <v>2</v>
      </c>
      <c r="K176">
        <v>0.66700000000000004</v>
      </c>
      <c r="L176">
        <v>14</v>
      </c>
      <c r="M176">
        <v>7</v>
      </c>
      <c r="N176">
        <v>0</v>
      </c>
      <c r="O176">
        <v>1</v>
      </c>
      <c r="P176">
        <v>7</v>
      </c>
      <c r="Q176">
        <v>4.7</v>
      </c>
      <c r="R176">
        <v>2</v>
      </c>
      <c r="S176">
        <v>14</v>
      </c>
      <c r="T176">
        <v>0</v>
      </c>
    </row>
    <row r="177" spans="1:20" x14ac:dyDescent="0.2">
      <c r="A177">
        <v>176</v>
      </c>
      <c r="B177" t="s">
        <v>196</v>
      </c>
      <c r="C177" t="s">
        <v>196</v>
      </c>
      <c r="D177" t="s">
        <v>70</v>
      </c>
      <c r="E177">
        <v>28</v>
      </c>
      <c r="F177" t="s">
        <v>1298</v>
      </c>
      <c r="G177">
        <v>1</v>
      </c>
      <c r="H177">
        <v>1</v>
      </c>
      <c r="I177">
        <v>3</v>
      </c>
      <c r="J177">
        <v>1</v>
      </c>
      <c r="K177">
        <v>0.33300000000000002</v>
      </c>
      <c r="L177">
        <v>57</v>
      </c>
      <c r="M177">
        <v>57</v>
      </c>
      <c r="N177">
        <v>1</v>
      </c>
      <c r="O177">
        <v>1</v>
      </c>
      <c r="P177">
        <v>57</v>
      </c>
      <c r="Q177">
        <v>19</v>
      </c>
      <c r="R177">
        <v>1</v>
      </c>
      <c r="S177">
        <v>57</v>
      </c>
      <c r="T177">
        <v>0</v>
      </c>
    </row>
    <row r="178" spans="1:20" x14ac:dyDescent="0.2">
      <c r="A178">
        <v>177</v>
      </c>
      <c r="B178" t="s">
        <v>668</v>
      </c>
      <c r="C178" t="s">
        <v>668</v>
      </c>
      <c r="D178" t="s">
        <v>118</v>
      </c>
      <c r="E178">
        <v>28</v>
      </c>
      <c r="G178">
        <v>1</v>
      </c>
      <c r="H178">
        <v>0</v>
      </c>
      <c r="I178">
        <v>2</v>
      </c>
      <c r="J178">
        <v>1</v>
      </c>
      <c r="K178">
        <v>0.5</v>
      </c>
      <c r="L178">
        <v>1</v>
      </c>
      <c r="M178">
        <v>1</v>
      </c>
      <c r="N178">
        <v>0</v>
      </c>
      <c r="O178">
        <v>0</v>
      </c>
      <c r="P178">
        <v>1</v>
      </c>
      <c r="Q178">
        <v>0.5</v>
      </c>
      <c r="R178">
        <v>1</v>
      </c>
      <c r="S178">
        <v>1</v>
      </c>
      <c r="T178">
        <v>0</v>
      </c>
    </row>
    <row r="179" spans="1:20" x14ac:dyDescent="0.2">
      <c r="A179">
        <v>178</v>
      </c>
      <c r="B179" t="s">
        <v>91</v>
      </c>
      <c r="C179" t="s">
        <v>91</v>
      </c>
      <c r="D179" t="s">
        <v>92</v>
      </c>
      <c r="E179">
        <v>24</v>
      </c>
      <c r="F179" t="s">
        <v>1392</v>
      </c>
      <c r="G179">
        <v>1</v>
      </c>
      <c r="H179">
        <v>1</v>
      </c>
      <c r="I179">
        <v>3</v>
      </c>
      <c r="J179">
        <v>1</v>
      </c>
      <c r="K179">
        <v>0.33300000000000002</v>
      </c>
      <c r="L179">
        <v>1</v>
      </c>
      <c r="M179">
        <v>1</v>
      </c>
      <c r="N179">
        <v>0</v>
      </c>
      <c r="O179">
        <v>0</v>
      </c>
      <c r="P179">
        <v>1</v>
      </c>
      <c r="Q179">
        <v>0.3</v>
      </c>
      <c r="R179">
        <v>1</v>
      </c>
      <c r="S179">
        <v>1</v>
      </c>
      <c r="T179">
        <v>0</v>
      </c>
    </row>
    <row r="180" spans="1:20" x14ac:dyDescent="0.2">
      <c r="A180">
        <v>179</v>
      </c>
      <c r="B180" t="s">
        <v>648</v>
      </c>
      <c r="C180" t="s">
        <v>648</v>
      </c>
      <c r="D180" t="s">
        <v>1040</v>
      </c>
      <c r="E180">
        <v>30</v>
      </c>
      <c r="G180">
        <v>1</v>
      </c>
      <c r="H180">
        <v>0</v>
      </c>
      <c r="I180">
        <v>1</v>
      </c>
      <c r="J180">
        <v>1</v>
      </c>
      <c r="K180">
        <v>1</v>
      </c>
      <c r="L180">
        <v>3</v>
      </c>
      <c r="M180">
        <v>3</v>
      </c>
      <c r="N180">
        <v>0</v>
      </c>
      <c r="O180">
        <v>0</v>
      </c>
      <c r="P180">
        <v>3</v>
      </c>
      <c r="Q180">
        <v>3</v>
      </c>
      <c r="R180">
        <v>1</v>
      </c>
      <c r="S180">
        <v>3</v>
      </c>
      <c r="T180">
        <v>0</v>
      </c>
    </row>
    <row r="181" spans="1:20" x14ac:dyDescent="0.2">
      <c r="A181">
        <v>180</v>
      </c>
      <c r="B181" t="s">
        <v>459</v>
      </c>
      <c r="C181" t="s">
        <v>459</v>
      </c>
      <c r="D181" t="s">
        <v>92</v>
      </c>
      <c r="E181">
        <v>28</v>
      </c>
      <c r="G181">
        <v>1</v>
      </c>
      <c r="H181">
        <v>0</v>
      </c>
      <c r="I181">
        <v>1</v>
      </c>
      <c r="J181">
        <v>1</v>
      </c>
      <c r="K181">
        <v>1</v>
      </c>
      <c r="L181">
        <v>6</v>
      </c>
      <c r="M181">
        <v>6</v>
      </c>
      <c r="N181">
        <v>0</v>
      </c>
      <c r="O181">
        <v>1</v>
      </c>
      <c r="P181">
        <v>6</v>
      </c>
      <c r="Q181">
        <v>6</v>
      </c>
      <c r="R181">
        <v>1</v>
      </c>
      <c r="S181">
        <v>6</v>
      </c>
      <c r="T181">
        <v>0</v>
      </c>
    </row>
    <row r="182" spans="1:20" x14ac:dyDescent="0.2">
      <c r="A182">
        <v>181</v>
      </c>
      <c r="B182" t="s">
        <v>279</v>
      </c>
      <c r="C182" t="s">
        <v>279</v>
      </c>
      <c r="D182" t="s">
        <v>92</v>
      </c>
      <c r="E182">
        <v>29</v>
      </c>
      <c r="G182">
        <v>1</v>
      </c>
      <c r="H182">
        <v>0</v>
      </c>
      <c r="I182">
        <v>1</v>
      </c>
      <c r="J182">
        <v>1</v>
      </c>
      <c r="K182">
        <v>1</v>
      </c>
      <c r="L182">
        <v>6</v>
      </c>
      <c r="M182">
        <v>6</v>
      </c>
      <c r="N182">
        <v>0</v>
      </c>
      <c r="O182">
        <v>0</v>
      </c>
      <c r="P182">
        <v>6</v>
      </c>
      <c r="Q182">
        <v>6</v>
      </c>
      <c r="R182">
        <v>1</v>
      </c>
      <c r="S182">
        <v>6</v>
      </c>
      <c r="T182">
        <v>0</v>
      </c>
    </row>
    <row r="183" spans="1:20" x14ac:dyDescent="0.2">
      <c r="A183">
        <v>182</v>
      </c>
      <c r="B183" t="s">
        <v>333</v>
      </c>
      <c r="C183" t="s">
        <v>333</v>
      </c>
      <c r="D183" t="s">
        <v>1122</v>
      </c>
      <c r="E183">
        <v>26</v>
      </c>
      <c r="G183">
        <v>1</v>
      </c>
      <c r="H183">
        <v>0</v>
      </c>
      <c r="I183">
        <v>3</v>
      </c>
      <c r="J183">
        <v>1</v>
      </c>
      <c r="K183">
        <v>0.33300000000000002</v>
      </c>
      <c r="L183">
        <v>17</v>
      </c>
      <c r="M183">
        <v>17</v>
      </c>
      <c r="N183">
        <v>0</v>
      </c>
      <c r="O183">
        <v>0</v>
      </c>
      <c r="P183">
        <v>17</v>
      </c>
      <c r="Q183">
        <v>5.7</v>
      </c>
      <c r="R183">
        <v>1</v>
      </c>
      <c r="S183">
        <v>17</v>
      </c>
      <c r="T183">
        <v>0</v>
      </c>
    </row>
    <row r="184" spans="1:20" x14ac:dyDescent="0.2">
      <c r="A184">
        <v>183</v>
      </c>
      <c r="B184" t="s">
        <v>393</v>
      </c>
      <c r="C184" t="s">
        <v>393</v>
      </c>
      <c r="D184" t="s">
        <v>92</v>
      </c>
      <c r="E184">
        <v>22</v>
      </c>
      <c r="G184">
        <v>1</v>
      </c>
      <c r="H184">
        <v>0</v>
      </c>
      <c r="I184">
        <v>1</v>
      </c>
      <c r="J184">
        <v>1</v>
      </c>
      <c r="K184">
        <v>1</v>
      </c>
      <c r="L184">
        <v>6</v>
      </c>
      <c r="M184">
        <v>6</v>
      </c>
      <c r="N184">
        <v>0</v>
      </c>
      <c r="O184">
        <v>0</v>
      </c>
      <c r="P184">
        <v>6</v>
      </c>
      <c r="Q184">
        <v>6</v>
      </c>
      <c r="R184">
        <v>1</v>
      </c>
      <c r="S184">
        <v>6</v>
      </c>
      <c r="T184">
        <v>0</v>
      </c>
    </row>
    <row r="185" spans="1:20" x14ac:dyDescent="0.2">
      <c r="A185">
        <v>184</v>
      </c>
      <c r="B185" t="s">
        <v>379</v>
      </c>
      <c r="C185" t="s">
        <v>379</v>
      </c>
      <c r="D185" t="s">
        <v>119</v>
      </c>
      <c r="E185">
        <v>22</v>
      </c>
      <c r="F185" t="s">
        <v>1298</v>
      </c>
      <c r="G185">
        <v>1</v>
      </c>
      <c r="H185">
        <v>1</v>
      </c>
      <c r="I185">
        <v>4</v>
      </c>
      <c r="J185">
        <v>1</v>
      </c>
      <c r="K185">
        <v>0.25</v>
      </c>
      <c r="L185">
        <v>-2</v>
      </c>
      <c r="M185">
        <v>-2</v>
      </c>
      <c r="N185">
        <v>0</v>
      </c>
      <c r="O185">
        <v>0</v>
      </c>
      <c r="P185">
        <v>-2</v>
      </c>
      <c r="Q185">
        <v>-0.5</v>
      </c>
      <c r="R185">
        <v>1</v>
      </c>
      <c r="S185">
        <v>-2</v>
      </c>
      <c r="T185">
        <v>0</v>
      </c>
    </row>
    <row r="186" spans="1:20" x14ac:dyDescent="0.2">
      <c r="A186">
        <v>185</v>
      </c>
      <c r="B186" t="s">
        <v>375</v>
      </c>
      <c r="C186" t="s">
        <v>375</v>
      </c>
      <c r="D186" t="s">
        <v>82</v>
      </c>
      <c r="E186">
        <v>23</v>
      </c>
      <c r="G186">
        <v>1</v>
      </c>
      <c r="H186">
        <v>0</v>
      </c>
      <c r="I186">
        <v>2</v>
      </c>
      <c r="J186">
        <v>1</v>
      </c>
      <c r="K186">
        <v>0.5</v>
      </c>
      <c r="L186">
        <v>17</v>
      </c>
      <c r="M186">
        <v>17</v>
      </c>
      <c r="N186">
        <v>0</v>
      </c>
      <c r="O186">
        <v>1</v>
      </c>
      <c r="P186">
        <v>17</v>
      </c>
      <c r="Q186">
        <v>8.5</v>
      </c>
      <c r="R186">
        <v>1</v>
      </c>
      <c r="S186">
        <v>17</v>
      </c>
      <c r="T186">
        <v>0</v>
      </c>
    </row>
    <row r="187" spans="1:20" x14ac:dyDescent="0.2">
      <c r="A187">
        <v>186</v>
      </c>
      <c r="B187" t="s">
        <v>371</v>
      </c>
      <c r="C187" t="s">
        <v>371</v>
      </c>
      <c r="D187" t="s">
        <v>122</v>
      </c>
      <c r="E187">
        <v>31</v>
      </c>
      <c r="G187">
        <v>1</v>
      </c>
      <c r="H187">
        <v>0</v>
      </c>
      <c r="I187">
        <v>2</v>
      </c>
      <c r="J187">
        <v>1</v>
      </c>
      <c r="K187">
        <v>0.5</v>
      </c>
      <c r="L187">
        <v>6</v>
      </c>
      <c r="M187">
        <v>6</v>
      </c>
      <c r="N187">
        <v>0</v>
      </c>
      <c r="O187">
        <v>1</v>
      </c>
      <c r="P187">
        <v>6</v>
      </c>
      <c r="Q187">
        <v>3</v>
      </c>
      <c r="R187">
        <v>1</v>
      </c>
      <c r="S187">
        <v>6</v>
      </c>
      <c r="T187">
        <v>0</v>
      </c>
    </row>
    <row r="188" spans="1:20" x14ac:dyDescent="0.2">
      <c r="A188">
        <v>187</v>
      </c>
      <c r="B188" t="s">
        <v>296</v>
      </c>
      <c r="C188" t="s">
        <v>296</v>
      </c>
      <c r="D188" t="s">
        <v>1257</v>
      </c>
      <c r="E188">
        <v>23</v>
      </c>
      <c r="F188" t="s">
        <v>1298</v>
      </c>
      <c r="G188">
        <v>1</v>
      </c>
      <c r="H188">
        <v>1</v>
      </c>
      <c r="I188">
        <v>2</v>
      </c>
      <c r="J188">
        <v>1</v>
      </c>
      <c r="K188">
        <v>0.5</v>
      </c>
      <c r="L188">
        <v>14</v>
      </c>
      <c r="M188">
        <v>14</v>
      </c>
      <c r="N188">
        <v>0</v>
      </c>
      <c r="O188">
        <v>1</v>
      </c>
      <c r="P188">
        <v>14</v>
      </c>
      <c r="Q188">
        <v>7</v>
      </c>
      <c r="R188">
        <v>1</v>
      </c>
      <c r="S188">
        <v>14</v>
      </c>
      <c r="T188">
        <v>0</v>
      </c>
    </row>
    <row r="189" spans="1:20" x14ac:dyDescent="0.2">
      <c r="A189">
        <v>188</v>
      </c>
      <c r="B189" t="s">
        <v>316</v>
      </c>
      <c r="C189" t="s">
        <v>316</v>
      </c>
      <c r="D189" t="s">
        <v>107</v>
      </c>
      <c r="E189">
        <v>24</v>
      </c>
      <c r="F189" t="s">
        <v>1298</v>
      </c>
      <c r="G189">
        <v>1</v>
      </c>
      <c r="H189">
        <v>1</v>
      </c>
      <c r="I189">
        <v>3</v>
      </c>
      <c r="J189">
        <v>1</v>
      </c>
      <c r="K189">
        <v>0.33300000000000002</v>
      </c>
      <c r="L189">
        <v>24</v>
      </c>
      <c r="M189">
        <v>24</v>
      </c>
      <c r="N189">
        <v>0</v>
      </c>
      <c r="O189">
        <v>1</v>
      </c>
      <c r="P189">
        <v>24</v>
      </c>
      <c r="Q189">
        <v>8</v>
      </c>
      <c r="R189">
        <v>1</v>
      </c>
      <c r="S189">
        <v>24</v>
      </c>
      <c r="T189">
        <v>0</v>
      </c>
    </row>
    <row r="190" spans="1:20" x14ac:dyDescent="0.2">
      <c r="A190">
        <v>189</v>
      </c>
      <c r="B190" t="s">
        <v>283</v>
      </c>
      <c r="C190" t="s">
        <v>283</v>
      </c>
      <c r="D190" t="s">
        <v>71</v>
      </c>
      <c r="E190">
        <v>22</v>
      </c>
      <c r="G190">
        <v>1</v>
      </c>
      <c r="H190">
        <v>0</v>
      </c>
      <c r="I190">
        <v>2</v>
      </c>
      <c r="J190">
        <v>1</v>
      </c>
      <c r="K190">
        <v>0.5</v>
      </c>
      <c r="L190">
        <v>14</v>
      </c>
      <c r="M190">
        <v>14</v>
      </c>
      <c r="N190">
        <v>0</v>
      </c>
      <c r="O190">
        <v>1</v>
      </c>
      <c r="P190">
        <v>14</v>
      </c>
      <c r="Q190">
        <v>7</v>
      </c>
      <c r="R190">
        <v>1</v>
      </c>
      <c r="S190">
        <v>14</v>
      </c>
      <c r="T190">
        <v>0</v>
      </c>
    </row>
    <row r="191" spans="1:20" x14ac:dyDescent="0.2">
      <c r="A191">
        <v>190</v>
      </c>
      <c r="B191" t="s">
        <v>277</v>
      </c>
      <c r="C191" t="s">
        <v>277</v>
      </c>
      <c r="D191" t="s">
        <v>1267</v>
      </c>
      <c r="E191">
        <v>31</v>
      </c>
      <c r="G191">
        <v>1</v>
      </c>
      <c r="H191">
        <v>0</v>
      </c>
      <c r="I191">
        <v>1</v>
      </c>
      <c r="J191">
        <v>1</v>
      </c>
      <c r="K191">
        <v>1</v>
      </c>
      <c r="L191">
        <v>32</v>
      </c>
      <c r="M191">
        <v>32</v>
      </c>
      <c r="N191">
        <v>0</v>
      </c>
      <c r="O191">
        <v>1</v>
      </c>
      <c r="P191">
        <v>32</v>
      </c>
      <c r="Q191">
        <v>32</v>
      </c>
      <c r="R191">
        <v>1</v>
      </c>
      <c r="S191">
        <v>32</v>
      </c>
      <c r="T191">
        <v>0</v>
      </c>
    </row>
    <row r="192" spans="1:20" x14ac:dyDescent="0.2">
      <c r="A192">
        <v>191</v>
      </c>
      <c r="B192" t="s">
        <v>342</v>
      </c>
      <c r="C192" t="s">
        <v>342</v>
      </c>
      <c r="D192" t="s">
        <v>122</v>
      </c>
      <c r="E192">
        <v>22</v>
      </c>
      <c r="G192">
        <v>1</v>
      </c>
      <c r="H192">
        <v>0</v>
      </c>
      <c r="I192">
        <v>3</v>
      </c>
      <c r="J192">
        <v>1</v>
      </c>
      <c r="K192">
        <v>0.33300000000000002</v>
      </c>
      <c r="L192">
        <v>7</v>
      </c>
      <c r="M192">
        <v>7</v>
      </c>
      <c r="N192">
        <v>0</v>
      </c>
      <c r="O192">
        <v>1</v>
      </c>
      <c r="P192">
        <v>7</v>
      </c>
      <c r="Q192">
        <v>2.2999999999999998</v>
      </c>
      <c r="R192">
        <v>1</v>
      </c>
      <c r="S192">
        <v>7</v>
      </c>
      <c r="T192">
        <v>0</v>
      </c>
    </row>
    <row r="193" spans="1:20" x14ac:dyDescent="0.2">
      <c r="A193">
        <v>192</v>
      </c>
      <c r="B193" t="s">
        <v>428</v>
      </c>
      <c r="C193" t="s">
        <v>428</v>
      </c>
      <c r="D193" t="s">
        <v>108</v>
      </c>
      <c r="E193">
        <v>23</v>
      </c>
      <c r="G193">
        <v>1</v>
      </c>
      <c r="H193">
        <v>0</v>
      </c>
      <c r="I193">
        <v>1</v>
      </c>
      <c r="J193">
        <v>1</v>
      </c>
      <c r="K193">
        <v>1</v>
      </c>
      <c r="L193">
        <v>5</v>
      </c>
      <c r="M193">
        <v>5</v>
      </c>
      <c r="N193">
        <v>0</v>
      </c>
      <c r="O193">
        <v>0</v>
      </c>
      <c r="P193">
        <v>5</v>
      </c>
      <c r="Q193">
        <v>5</v>
      </c>
      <c r="R193">
        <v>1</v>
      </c>
      <c r="S193">
        <v>5</v>
      </c>
      <c r="T193">
        <v>0</v>
      </c>
    </row>
    <row r="194" spans="1:20" x14ac:dyDescent="0.2">
      <c r="A194">
        <v>193</v>
      </c>
      <c r="B194" t="s">
        <v>315</v>
      </c>
      <c r="C194" t="s">
        <v>315</v>
      </c>
      <c r="D194" t="s">
        <v>1267</v>
      </c>
      <c r="E194">
        <v>23</v>
      </c>
      <c r="G194">
        <v>1</v>
      </c>
      <c r="H194">
        <v>0</v>
      </c>
      <c r="I194">
        <v>2</v>
      </c>
      <c r="J194">
        <v>1</v>
      </c>
      <c r="K194">
        <v>0.5</v>
      </c>
      <c r="L194">
        <v>7</v>
      </c>
      <c r="M194">
        <v>7</v>
      </c>
      <c r="N194">
        <v>0</v>
      </c>
      <c r="O194">
        <v>0</v>
      </c>
      <c r="P194">
        <v>7</v>
      </c>
      <c r="Q194">
        <v>3.5</v>
      </c>
      <c r="R194">
        <v>1</v>
      </c>
      <c r="S194">
        <v>7</v>
      </c>
      <c r="T194">
        <v>0</v>
      </c>
    </row>
    <row r="195" spans="1:20" x14ac:dyDescent="0.2">
      <c r="A195">
        <v>194</v>
      </c>
      <c r="B195" t="s">
        <v>1924</v>
      </c>
      <c r="C195" t="s">
        <v>1924</v>
      </c>
      <c r="D195" t="s">
        <v>725</v>
      </c>
      <c r="E195">
        <v>24</v>
      </c>
      <c r="F195" t="s">
        <v>1298</v>
      </c>
      <c r="G195">
        <v>1</v>
      </c>
      <c r="H195">
        <v>1</v>
      </c>
      <c r="I195">
        <v>2</v>
      </c>
      <c r="J195">
        <v>1</v>
      </c>
      <c r="K195">
        <v>0.5</v>
      </c>
      <c r="L195">
        <v>6</v>
      </c>
      <c r="M195">
        <v>6</v>
      </c>
      <c r="N195">
        <v>0</v>
      </c>
      <c r="O195">
        <v>0</v>
      </c>
      <c r="P195">
        <v>6</v>
      </c>
      <c r="Q195">
        <v>3</v>
      </c>
      <c r="R195">
        <v>1</v>
      </c>
      <c r="S195">
        <v>6</v>
      </c>
      <c r="T195">
        <v>1</v>
      </c>
    </row>
    <row r="196" spans="1:20" x14ac:dyDescent="0.2">
      <c r="A196">
        <v>195</v>
      </c>
      <c r="B196" t="s">
        <v>292</v>
      </c>
      <c r="C196" t="s">
        <v>292</v>
      </c>
      <c r="D196" t="s">
        <v>99</v>
      </c>
      <c r="E196">
        <v>28</v>
      </c>
      <c r="F196" t="s">
        <v>1577</v>
      </c>
      <c r="G196">
        <v>1</v>
      </c>
      <c r="H196">
        <v>1</v>
      </c>
      <c r="I196">
        <v>2</v>
      </c>
      <c r="J196">
        <v>1</v>
      </c>
      <c r="K196">
        <v>0.5</v>
      </c>
      <c r="L196">
        <v>19</v>
      </c>
      <c r="M196">
        <v>19</v>
      </c>
      <c r="N196">
        <v>0</v>
      </c>
      <c r="O196">
        <v>1</v>
      </c>
      <c r="P196">
        <v>19</v>
      </c>
      <c r="Q196">
        <v>9.5</v>
      </c>
      <c r="R196">
        <v>1</v>
      </c>
      <c r="S196">
        <v>19</v>
      </c>
      <c r="T196">
        <v>0</v>
      </c>
    </row>
    <row r="197" spans="1:20" x14ac:dyDescent="0.2">
      <c r="A197">
        <v>196</v>
      </c>
      <c r="B197" t="s">
        <v>1529</v>
      </c>
      <c r="C197" t="s">
        <v>1529</v>
      </c>
      <c r="D197" t="s">
        <v>108</v>
      </c>
      <c r="E197">
        <v>24</v>
      </c>
      <c r="G197">
        <v>1</v>
      </c>
      <c r="H197">
        <v>0</v>
      </c>
      <c r="I197">
        <v>1</v>
      </c>
      <c r="J197">
        <v>1</v>
      </c>
      <c r="K197">
        <v>1</v>
      </c>
      <c r="L197">
        <v>6</v>
      </c>
      <c r="M197">
        <v>6</v>
      </c>
      <c r="N197">
        <v>0</v>
      </c>
      <c r="O197">
        <v>0</v>
      </c>
      <c r="P197">
        <v>6</v>
      </c>
      <c r="Q197">
        <v>6</v>
      </c>
      <c r="R197">
        <v>1</v>
      </c>
      <c r="S197">
        <v>6</v>
      </c>
      <c r="T197">
        <v>0</v>
      </c>
    </row>
    <row r="198" spans="1:20" x14ac:dyDescent="0.2">
      <c r="A198">
        <v>197</v>
      </c>
      <c r="B198" t="s">
        <v>619</v>
      </c>
      <c r="C198" t="s">
        <v>619</v>
      </c>
      <c r="D198" t="s">
        <v>139</v>
      </c>
      <c r="E198">
        <v>35</v>
      </c>
      <c r="F198" t="s">
        <v>1577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2</v>
      </c>
      <c r="M198">
        <v>2</v>
      </c>
      <c r="N198">
        <v>0</v>
      </c>
      <c r="O198">
        <v>0</v>
      </c>
      <c r="P198">
        <v>2</v>
      </c>
      <c r="Q198">
        <v>2</v>
      </c>
      <c r="R198">
        <v>1</v>
      </c>
      <c r="S198">
        <v>2</v>
      </c>
      <c r="T198">
        <v>0</v>
      </c>
    </row>
    <row r="199" spans="1:20" x14ac:dyDescent="0.2">
      <c r="A199">
        <v>198</v>
      </c>
      <c r="B199" t="s">
        <v>613</v>
      </c>
      <c r="C199" t="s">
        <v>613</v>
      </c>
      <c r="D199" t="s">
        <v>99</v>
      </c>
      <c r="E199">
        <v>23</v>
      </c>
      <c r="F199" t="s">
        <v>1577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24</v>
      </c>
      <c r="M199">
        <v>24</v>
      </c>
      <c r="N199">
        <v>0</v>
      </c>
      <c r="O199">
        <v>1</v>
      </c>
      <c r="P199">
        <v>24</v>
      </c>
      <c r="Q199">
        <v>24</v>
      </c>
      <c r="R199">
        <v>1</v>
      </c>
      <c r="S199">
        <v>24</v>
      </c>
      <c r="T199">
        <v>0</v>
      </c>
    </row>
    <row r="200" spans="1:20" x14ac:dyDescent="0.2">
      <c r="A200">
        <v>199</v>
      </c>
      <c r="B200" t="s">
        <v>670</v>
      </c>
      <c r="C200" t="s">
        <v>670</v>
      </c>
      <c r="D200" t="s">
        <v>99</v>
      </c>
      <c r="E200">
        <v>25</v>
      </c>
      <c r="G200">
        <v>1</v>
      </c>
      <c r="H200">
        <v>0</v>
      </c>
      <c r="I200">
        <v>1</v>
      </c>
      <c r="J200">
        <v>1</v>
      </c>
      <c r="K200">
        <v>1</v>
      </c>
      <c r="L200">
        <v>-2</v>
      </c>
      <c r="M200">
        <v>-2</v>
      </c>
      <c r="N200">
        <v>0</v>
      </c>
      <c r="O200">
        <v>0</v>
      </c>
      <c r="P200">
        <v>-2</v>
      </c>
      <c r="Q200">
        <v>-2</v>
      </c>
      <c r="R200">
        <v>1</v>
      </c>
      <c r="S200">
        <v>-2</v>
      </c>
      <c r="T200">
        <v>0</v>
      </c>
    </row>
    <row r="201" spans="1:20" x14ac:dyDescent="0.2">
      <c r="A201">
        <v>200</v>
      </c>
      <c r="B201" t="s">
        <v>2106</v>
      </c>
      <c r="C201" t="s">
        <v>2106</v>
      </c>
      <c r="D201" t="s">
        <v>727</v>
      </c>
      <c r="E201">
        <v>35</v>
      </c>
      <c r="F201" t="s">
        <v>1577</v>
      </c>
      <c r="G201">
        <v>1</v>
      </c>
      <c r="H201">
        <v>1</v>
      </c>
      <c r="I201">
        <v>2</v>
      </c>
      <c r="J201">
        <v>1</v>
      </c>
      <c r="K201">
        <v>0.5</v>
      </c>
      <c r="L201">
        <v>11</v>
      </c>
      <c r="M201">
        <v>11</v>
      </c>
      <c r="N201">
        <v>0</v>
      </c>
      <c r="O201">
        <v>1</v>
      </c>
      <c r="P201">
        <v>11</v>
      </c>
      <c r="Q201">
        <v>5.5</v>
      </c>
      <c r="R201">
        <v>1</v>
      </c>
      <c r="S201">
        <v>11</v>
      </c>
      <c r="T201">
        <v>0</v>
      </c>
    </row>
    <row r="202" spans="1:20" x14ac:dyDescent="0.2">
      <c r="A202">
        <v>201</v>
      </c>
      <c r="B202" t="s">
        <v>170</v>
      </c>
      <c r="C202" t="s">
        <v>170</v>
      </c>
      <c r="D202" t="s">
        <v>99</v>
      </c>
      <c r="E202">
        <v>23</v>
      </c>
      <c r="F202" t="s">
        <v>1392</v>
      </c>
      <c r="G202">
        <v>1</v>
      </c>
      <c r="H202">
        <v>1</v>
      </c>
      <c r="I202">
        <v>3</v>
      </c>
      <c r="J202">
        <v>1</v>
      </c>
      <c r="K202">
        <v>0.33300000000000002</v>
      </c>
      <c r="L202">
        <v>4</v>
      </c>
      <c r="M202">
        <v>4</v>
      </c>
      <c r="N202">
        <v>0</v>
      </c>
      <c r="O202">
        <v>0</v>
      </c>
      <c r="P202">
        <v>4</v>
      </c>
      <c r="Q202">
        <v>1.3</v>
      </c>
      <c r="R202">
        <v>1</v>
      </c>
      <c r="S202">
        <v>4</v>
      </c>
      <c r="T202">
        <v>0</v>
      </c>
    </row>
    <row r="203" spans="1:20" x14ac:dyDescent="0.2">
      <c r="A203">
        <v>202</v>
      </c>
      <c r="B203" t="s">
        <v>1558</v>
      </c>
      <c r="C203" t="s">
        <v>1558</v>
      </c>
      <c r="D203" t="s">
        <v>1087</v>
      </c>
      <c r="E203">
        <v>25</v>
      </c>
      <c r="G203">
        <v>1</v>
      </c>
      <c r="H203">
        <v>0</v>
      </c>
      <c r="I203">
        <v>1</v>
      </c>
      <c r="J203">
        <v>1</v>
      </c>
      <c r="K203">
        <v>1</v>
      </c>
      <c r="L203">
        <v>15</v>
      </c>
      <c r="M203">
        <v>15</v>
      </c>
      <c r="N203">
        <v>0</v>
      </c>
      <c r="O203">
        <v>1</v>
      </c>
      <c r="P203">
        <v>15</v>
      </c>
      <c r="Q203">
        <v>15</v>
      </c>
      <c r="R203">
        <v>1</v>
      </c>
      <c r="S203">
        <v>15</v>
      </c>
      <c r="T203">
        <v>0</v>
      </c>
    </row>
    <row r="204" spans="1:20" x14ac:dyDescent="0.2">
      <c r="A204">
        <v>203</v>
      </c>
      <c r="B204" t="s">
        <v>888</v>
      </c>
      <c r="C204" t="s">
        <v>888</v>
      </c>
      <c r="D204" t="s">
        <v>730</v>
      </c>
      <c r="E204">
        <v>24</v>
      </c>
      <c r="F204" t="s">
        <v>1392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17</v>
      </c>
      <c r="M204">
        <v>17</v>
      </c>
      <c r="N204">
        <v>0</v>
      </c>
      <c r="O204">
        <v>1</v>
      </c>
      <c r="P204">
        <v>17</v>
      </c>
      <c r="Q204">
        <v>17</v>
      </c>
      <c r="R204">
        <v>1</v>
      </c>
      <c r="S204">
        <v>17</v>
      </c>
      <c r="T204">
        <v>0</v>
      </c>
    </row>
    <row r="205" spans="1:20" x14ac:dyDescent="0.2">
      <c r="A205">
        <v>204</v>
      </c>
      <c r="B205" t="s">
        <v>332</v>
      </c>
      <c r="C205" t="s">
        <v>332</v>
      </c>
      <c r="D205" t="s">
        <v>1257</v>
      </c>
      <c r="E205">
        <v>34</v>
      </c>
      <c r="G205">
        <v>1</v>
      </c>
      <c r="H205">
        <v>0</v>
      </c>
      <c r="I205">
        <v>1</v>
      </c>
      <c r="J205">
        <v>1</v>
      </c>
      <c r="K205">
        <v>1</v>
      </c>
      <c r="L205">
        <v>10</v>
      </c>
      <c r="M205">
        <v>10</v>
      </c>
      <c r="N205">
        <v>1</v>
      </c>
      <c r="O205">
        <v>1</v>
      </c>
      <c r="P205">
        <v>10</v>
      </c>
      <c r="Q205">
        <v>10</v>
      </c>
      <c r="R205">
        <v>1</v>
      </c>
      <c r="S205">
        <v>10</v>
      </c>
      <c r="T205">
        <v>0</v>
      </c>
    </row>
    <row r="206" spans="1:20" x14ac:dyDescent="0.2">
      <c r="A206">
        <v>205</v>
      </c>
      <c r="B206" t="s">
        <v>2025</v>
      </c>
      <c r="C206" t="s">
        <v>2025</v>
      </c>
      <c r="D206" t="s">
        <v>77</v>
      </c>
      <c r="E206">
        <v>23</v>
      </c>
      <c r="F206" t="s">
        <v>2107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6</v>
      </c>
      <c r="M206">
        <v>6</v>
      </c>
      <c r="N206">
        <v>0</v>
      </c>
      <c r="O206">
        <v>1</v>
      </c>
      <c r="P206">
        <v>6</v>
      </c>
      <c r="Q206">
        <v>6</v>
      </c>
      <c r="R206">
        <v>1</v>
      </c>
      <c r="S206">
        <v>6</v>
      </c>
      <c r="T206">
        <v>0</v>
      </c>
    </row>
    <row r="207" spans="1:20" x14ac:dyDescent="0.2">
      <c r="A207">
        <v>206</v>
      </c>
      <c r="B207" t="s">
        <v>362</v>
      </c>
      <c r="C207" t="s">
        <v>362</v>
      </c>
      <c r="D207" t="s">
        <v>118</v>
      </c>
      <c r="E207">
        <v>25</v>
      </c>
      <c r="G207">
        <v>1</v>
      </c>
      <c r="H207">
        <v>0</v>
      </c>
      <c r="I207">
        <v>1</v>
      </c>
      <c r="J207">
        <v>1</v>
      </c>
      <c r="K207">
        <v>1</v>
      </c>
      <c r="L207">
        <v>2</v>
      </c>
      <c r="M207">
        <v>2</v>
      </c>
      <c r="N207">
        <v>0</v>
      </c>
      <c r="O207">
        <v>0</v>
      </c>
      <c r="P207">
        <v>2</v>
      </c>
      <c r="Q207">
        <v>2</v>
      </c>
      <c r="R207">
        <v>1</v>
      </c>
      <c r="S207">
        <v>2</v>
      </c>
      <c r="T207">
        <v>0</v>
      </c>
    </row>
    <row r="208" spans="1:20" x14ac:dyDescent="0.2">
      <c r="A208">
        <v>207</v>
      </c>
      <c r="B208" t="s">
        <v>1471</v>
      </c>
      <c r="C208" t="s">
        <v>1471</v>
      </c>
      <c r="D208" t="s">
        <v>933</v>
      </c>
      <c r="E208">
        <v>23</v>
      </c>
      <c r="F208" t="s">
        <v>1392</v>
      </c>
      <c r="G208">
        <v>1</v>
      </c>
      <c r="H208">
        <v>1</v>
      </c>
      <c r="I208">
        <v>2</v>
      </c>
      <c r="J208">
        <v>1</v>
      </c>
      <c r="K208">
        <v>0.5</v>
      </c>
      <c r="L208">
        <v>6</v>
      </c>
      <c r="M208">
        <v>6</v>
      </c>
      <c r="N208">
        <v>0</v>
      </c>
      <c r="O208">
        <v>0</v>
      </c>
      <c r="P208">
        <v>6</v>
      </c>
      <c r="Q208">
        <v>3</v>
      </c>
      <c r="R208">
        <v>1</v>
      </c>
      <c r="S208">
        <v>6</v>
      </c>
      <c r="T208">
        <v>0</v>
      </c>
    </row>
    <row r="209" spans="1:20" x14ac:dyDescent="0.2">
      <c r="A209">
        <v>208</v>
      </c>
      <c r="B209" t="s">
        <v>385</v>
      </c>
      <c r="C209" t="s">
        <v>385</v>
      </c>
      <c r="D209" t="s">
        <v>71</v>
      </c>
      <c r="E209">
        <v>24</v>
      </c>
      <c r="G209">
        <v>1</v>
      </c>
      <c r="H209">
        <v>0</v>
      </c>
      <c r="I209">
        <v>3</v>
      </c>
      <c r="J209">
        <v>1</v>
      </c>
      <c r="K209">
        <v>0.33300000000000002</v>
      </c>
      <c r="L209">
        <v>11</v>
      </c>
      <c r="M209">
        <v>11</v>
      </c>
      <c r="N209">
        <v>0</v>
      </c>
      <c r="O209">
        <v>0</v>
      </c>
      <c r="P209">
        <v>11</v>
      </c>
      <c r="Q209">
        <v>3.7</v>
      </c>
      <c r="R209">
        <v>1</v>
      </c>
      <c r="S209">
        <v>11</v>
      </c>
      <c r="T209">
        <v>0</v>
      </c>
    </row>
    <row r="210" spans="1:20" x14ac:dyDescent="0.2">
      <c r="A210">
        <v>209</v>
      </c>
      <c r="B210" t="s">
        <v>360</v>
      </c>
      <c r="C210" t="s">
        <v>360</v>
      </c>
      <c r="D210" t="s">
        <v>1052</v>
      </c>
      <c r="E210">
        <v>25</v>
      </c>
      <c r="G210">
        <v>1</v>
      </c>
      <c r="H210">
        <v>0</v>
      </c>
      <c r="I210">
        <v>1</v>
      </c>
      <c r="J210">
        <v>1</v>
      </c>
      <c r="K210">
        <v>1</v>
      </c>
      <c r="L210">
        <v>6</v>
      </c>
      <c r="M210">
        <v>6</v>
      </c>
      <c r="N210">
        <v>0</v>
      </c>
      <c r="O210">
        <v>0</v>
      </c>
      <c r="P210">
        <v>6</v>
      </c>
      <c r="Q210">
        <v>6</v>
      </c>
      <c r="R210">
        <v>1</v>
      </c>
      <c r="S210">
        <v>6</v>
      </c>
      <c r="T210">
        <v>0</v>
      </c>
    </row>
    <row r="211" spans="1:20" x14ac:dyDescent="0.2">
      <c r="A211">
        <v>210</v>
      </c>
      <c r="B211" t="s">
        <v>1465</v>
      </c>
      <c r="C211" t="s">
        <v>1465</v>
      </c>
      <c r="D211" t="s">
        <v>1257</v>
      </c>
      <c r="E211">
        <v>24</v>
      </c>
      <c r="G211">
        <v>1</v>
      </c>
      <c r="H211">
        <v>0</v>
      </c>
      <c r="I211">
        <v>1</v>
      </c>
      <c r="J211">
        <v>1</v>
      </c>
      <c r="K211">
        <v>1</v>
      </c>
      <c r="L211">
        <v>3</v>
      </c>
      <c r="M211">
        <v>3</v>
      </c>
      <c r="N211">
        <v>0</v>
      </c>
      <c r="O211">
        <v>1</v>
      </c>
      <c r="P211">
        <v>3</v>
      </c>
      <c r="Q211">
        <v>3</v>
      </c>
      <c r="R211">
        <v>1</v>
      </c>
      <c r="S211">
        <v>3</v>
      </c>
      <c r="T211">
        <v>0</v>
      </c>
    </row>
    <row r="212" spans="1:20" x14ac:dyDescent="0.2">
      <c r="A212">
        <v>211</v>
      </c>
      <c r="B212" t="s">
        <v>468</v>
      </c>
      <c r="C212" t="s">
        <v>468</v>
      </c>
      <c r="D212" t="s">
        <v>1087</v>
      </c>
      <c r="E212">
        <v>30</v>
      </c>
      <c r="F212" t="s">
        <v>1882</v>
      </c>
      <c r="G212">
        <v>1</v>
      </c>
      <c r="H212">
        <v>1</v>
      </c>
      <c r="I212">
        <v>1</v>
      </c>
      <c r="J212">
        <v>1</v>
      </c>
      <c r="K212">
        <v>1</v>
      </c>
      <c r="L212">
        <v>7</v>
      </c>
      <c r="M212">
        <v>7</v>
      </c>
      <c r="N212">
        <v>0</v>
      </c>
      <c r="O212">
        <v>0</v>
      </c>
      <c r="P212">
        <v>7</v>
      </c>
      <c r="Q212">
        <v>7</v>
      </c>
      <c r="R212">
        <v>1</v>
      </c>
      <c r="S212">
        <v>7</v>
      </c>
      <c r="T212">
        <v>0</v>
      </c>
    </row>
    <row r="213" spans="1:20" x14ac:dyDescent="0.2">
      <c r="A213">
        <v>212</v>
      </c>
      <c r="B213" t="s">
        <v>622</v>
      </c>
      <c r="C213" t="s">
        <v>622</v>
      </c>
      <c r="D213" t="s">
        <v>1267</v>
      </c>
      <c r="E213">
        <v>37</v>
      </c>
      <c r="F213" t="s">
        <v>1577</v>
      </c>
      <c r="G213">
        <v>1</v>
      </c>
      <c r="H213">
        <v>1</v>
      </c>
      <c r="I213">
        <v>1</v>
      </c>
      <c r="J213">
        <v>1</v>
      </c>
      <c r="K213">
        <v>1</v>
      </c>
      <c r="L213">
        <v>19</v>
      </c>
      <c r="M213">
        <v>19</v>
      </c>
      <c r="N213">
        <v>0</v>
      </c>
      <c r="O213">
        <v>1</v>
      </c>
      <c r="P213">
        <v>19</v>
      </c>
      <c r="Q213">
        <v>19</v>
      </c>
      <c r="R213">
        <v>1</v>
      </c>
      <c r="S213">
        <v>19</v>
      </c>
      <c r="T213">
        <v>0</v>
      </c>
    </row>
    <row r="214" spans="1:20" x14ac:dyDescent="0.2">
      <c r="A214">
        <v>213</v>
      </c>
      <c r="B214" t="s">
        <v>634</v>
      </c>
      <c r="C214" t="s">
        <v>634</v>
      </c>
      <c r="D214" t="s">
        <v>1052</v>
      </c>
      <c r="E214">
        <v>29</v>
      </c>
      <c r="F214" t="s">
        <v>1577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22</v>
      </c>
      <c r="M214">
        <v>22</v>
      </c>
      <c r="N214">
        <v>1</v>
      </c>
      <c r="O214">
        <v>1</v>
      </c>
      <c r="P214">
        <v>22</v>
      </c>
      <c r="Q214">
        <v>22</v>
      </c>
      <c r="R214">
        <v>1</v>
      </c>
      <c r="S214">
        <v>22</v>
      </c>
      <c r="T214">
        <v>0</v>
      </c>
    </row>
    <row r="215" spans="1:20" x14ac:dyDescent="0.2">
      <c r="A215">
        <v>214</v>
      </c>
      <c r="B215" t="s">
        <v>356</v>
      </c>
      <c r="C215" t="s">
        <v>356</v>
      </c>
      <c r="D215" t="s">
        <v>73</v>
      </c>
      <c r="E215">
        <v>23</v>
      </c>
      <c r="G215">
        <v>1</v>
      </c>
      <c r="H215">
        <v>0</v>
      </c>
      <c r="I215">
        <v>1</v>
      </c>
      <c r="J215">
        <v>1</v>
      </c>
      <c r="K215">
        <v>1</v>
      </c>
      <c r="L215">
        <v>4</v>
      </c>
      <c r="M215">
        <v>4</v>
      </c>
      <c r="N215">
        <v>0</v>
      </c>
      <c r="O215">
        <v>0</v>
      </c>
      <c r="P215">
        <v>4</v>
      </c>
      <c r="Q215">
        <v>4</v>
      </c>
      <c r="R215">
        <v>1</v>
      </c>
      <c r="S215">
        <v>4</v>
      </c>
      <c r="T215">
        <v>0</v>
      </c>
    </row>
    <row r="216" spans="1:20" x14ac:dyDescent="0.2">
      <c r="A216">
        <v>215</v>
      </c>
      <c r="B216" t="s">
        <v>338</v>
      </c>
      <c r="C216" t="s">
        <v>338</v>
      </c>
      <c r="D216" t="s">
        <v>71</v>
      </c>
      <c r="E216">
        <v>24</v>
      </c>
      <c r="G216">
        <v>1</v>
      </c>
      <c r="H216">
        <v>0</v>
      </c>
      <c r="I216">
        <v>1</v>
      </c>
      <c r="J216">
        <v>1</v>
      </c>
      <c r="K216">
        <v>1</v>
      </c>
      <c r="L216">
        <v>40</v>
      </c>
      <c r="M216">
        <v>40</v>
      </c>
      <c r="N216">
        <v>0</v>
      </c>
      <c r="O216">
        <v>1</v>
      </c>
      <c r="P216">
        <v>40</v>
      </c>
      <c r="Q216">
        <v>40</v>
      </c>
      <c r="R216">
        <v>1</v>
      </c>
      <c r="S216">
        <v>40</v>
      </c>
      <c r="T216">
        <v>0</v>
      </c>
    </row>
    <row r="217" spans="1:20" x14ac:dyDescent="0.2">
      <c r="A217">
        <v>216</v>
      </c>
      <c r="B217" t="s">
        <v>1446</v>
      </c>
      <c r="C217" t="s">
        <v>1446</v>
      </c>
      <c r="D217" t="s">
        <v>727</v>
      </c>
      <c r="E217">
        <v>24</v>
      </c>
      <c r="F217" t="s">
        <v>1392</v>
      </c>
      <c r="G217">
        <v>1</v>
      </c>
      <c r="H217">
        <v>1</v>
      </c>
      <c r="I217">
        <v>1</v>
      </c>
      <c r="J217">
        <v>1</v>
      </c>
      <c r="K217">
        <v>1</v>
      </c>
      <c r="L217">
        <v>10</v>
      </c>
      <c r="M217">
        <v>10</v>
      </c>
      <c r="N217">
        <v>0</v>
      </c>
      <c r="O217">
        <v>1</v>
      </c>
      <c r="P217">
        <v>10</v>
      </c>
      <c r="Q217">
        <v>10</v>
      </c>
      <c r="R217">
        <v>1</v>
      </c>
      <c r="S217">
        <v>10</v>
      </c>
      <c r="T217">
        <v>0</v>
      </c>
    </row>
    <row r="218" spans="1:20" x14ac:dyDescent="0.2">
      <c r="A218">
        <v>217</v>
      </c>
      <c r="B218" t="s">
        <v>411</v>
      </c>
      <c r="C218" t="s">
        <v>411</v>
      </c>
      <c r="D218" t="s">
        <v>1257</v>
      </c>
      <c r="E218">
        <v>28</v>
      </c>
      <c r="G218">
        <v>1</v>
      </c>
      <c r="H218">
        <v>0</v>
      </c>
      <c r="I218">
        <v>1</v>
      </c>
      <c r="J218">
        <v>1</v>
      </c>
      <c r="K218">
        <v>1</v>
      </c>
      <c r="L218">
        <v>5</v>
      </c>
      <c r="M218">
        <v>5</v>
      </c>
      <c r="N218">
        <v>0</v>
      </c>
      <c r="O218">
        <v>0</v>
      </c>
      <c r="P218">
        <v>5</v>
      </c>
      <c r="Q218">
        <v>5</v>
      </c>
      <c r="R218">
        <v>1</v>
      </c>
      <c r="S218">
        <v>5</v>
      </c>
      <c r="T218">
        <v>0</v>
      </c>
    </row>
    <row r="219" spans="1:20" x14ac:dyDescent="0.2">
      <c r="A219">
        <v>218</v>
      </c>
      <c r="B219" t="s">
        <v>311</v>
      </c>
      <c r="C219" t="s">
        <v>311</v>
      </c>
      <c r="D219" t="s">
        <v>71</v>
      </c>
      <c r="E219">
        <v>21</v>
      </c>
      <c r="F219" t="s">
        <v>1298</v>
      </c>
      <c r="G219">
        <v>1</v>
      </c>
      <c r="H219">
        <v>1</v>
      </c>
      <c r="I219">
        <v>4</v>
      </c>
      <c r="J219">
        <v>1</v>
      </c>
      <c r="K219">
        <v>0.25</v>
      </c>
      <c r="L219">
        <v>-3</v>
      </c>
      <c r="M219">
        <v>-3</v>
      </c>
      <c r="N219">
        <v>0</v>
      </c>
      <c r="O219">
        <v>0</v>
      </c>
      <c r="P219">
        <v>-3</v>
      </c>
      <c r="Q219">
        <v>-0.8</v>
      </c>
      <c r="R219">
        <v>1</v>
      </c>
      <c r="S219">
        <v>-3</v>
      </c>
      <c r="T219">
        <v>0</v>
      </c>
    </row>
    <row r="220" spans="1:20" x14ac:dyDescent="0.2">
      <c r="A220">
        <v>219</v>
      </c>
      <c r="B220" t="s">
        <v>2108</v>
      </c>
      <c r="C220" t="s">
        <v>2108</v>
      </c>
      <c r="D220" t="s">
        <v>118</v>
      </c>
      <c r="E220">
        <v>23</v>
      </c>
      <c r="G220">
        <v>1</v>
      </c>
      <c r="H220">
        <v>0</v>
      </c>
      <c r="I220">
        <v>1</v>
      </c>
      <c r="J220">
        <v>1</v>
      </c>
      <c r="K220">
        <v>1</v>
      </c>
      <c r="L220">
        <v>17</v>
      </c>
      <c r="M220">
        <v>17</v>
      </c>
      <c r="N220">
        <v>0</v>
      </c>
      <c r="O220">
        <v>1</v>
      </c>
      <c r="P220">
        <v>17</v>
      </c>
      <c r="Q220">
        <v>17</v>
      </c>
      <c r="R220">
        <v>1</v>
      </c>
      <c r="S220">
        <v>17</v>
      </c>
      <c r="T220">
        <v>0</v>
      </c>
    </row>
    <row r="221" spans="1:20" x14ac:dyDescent="0.2">
      <c r="A221">
        <v>220</v>
      </c>
      <c r="B221" t="s">
        <v>376</v>
      </c>
      <c r="C221" t="s">
        <v>376</v>
      </c>
      <c r="D221" t="s">
        <v>82</v>
      </c>
      <c r="E221">
        <v>22</v>
      </c>
      <c r="F221" t="s">
        <v>1298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4</v>
      </c>
      <c r="M221">
        <v>4</v>
      </c>
      <c r="N221">
        <v>0</v>
      </c>
      <c r="O221">
        <v>1</v>
      </c>
      <c r="P221">
        <v>4</v>
      </c>
      <c r="Q221">
        <v>4</v>
      </c>
      <c r="R221">
        <v>1</v>
      </c>
      <c r="S221">
        <v>4</v>
      </c>
      <c r="T221">
        <v>0</v>
      </c>
    </row>
    <row r="222" spans="1:20" x14ac:dyDescent="0.2">
      <c r="A222">
        <v>221</v>
      </c>
      <c r="B222" t="s">
        <v>341</v>
      </c>
      <c r="C222" t="s">
        <v>341</v>
      </c>
      <c r="D222" t="s">
        <v>74</v>
      </c>
      <c r="E222">
        <v>26</v>
      </c>
      <c r="G222">
        <v>1</v>
      </c>
      <c r="H222">
        <v>0</v>
      </c>
      <c r="I222">
        <v>1</v>
      </c>
      <c r="J222">
        <v>1</v>
      </c>
      <c r="K222">
        <v>1</v>
      </c>
      <c r="L222">
        <v>7</v>
      </c>
      <c r="M222">
        <v>7</v>
      </c>
      <c r="N222">
        <v>0</v>
      </c>
      <c r="O222">
        <v>0</v>
      </c>
      <c r="P222">
        <v>7</v>
      </c>
      <c r="Q222">
        <v>7</v>
      </c>
      <c r="R222">
        <v>1</v>
      </c>
      <c r="S222">
        <v>7</v>
      </c>
      <c r="T222">
        <v>0</v>
      </c>
    </row>
    <row r="223" spans="1:20" x14ac:dyDescent="0.2">
      <c r="A223">
        <v>222</v>
      </c>
      <c r="B223" t="s">
        <v>386</v>
      </c>
      <c r="C223" t="s">
        <v>386</v>
      </c>
      <c r="D223" t="s">
        <v>1040</v>
      </c>
      <c r="E223">
        <v>28</v>
      </c>
      <c r="G223">
        <v>1</v>
      </c>
      <c r="H223">
        <v>0</v>
      </c>
      <c r="I223">
        <v>2</v>
      </c>
      <c r="J223">
        <v>1</v>
      </c>
      <c r="K223">
        <v>0.5</v>
      </c>
      <c r="L223">
        <v>6</v>
      </c>
      <c r="M223">
        <v>6</v>
      </c>
      <c r="N223">
        <v>0</v>
      </c>
      <c r="O223">
        <v>0</v>
      </c>
      <c r="P223">
        <v>6</v>
      </c>
      <c r="Q223">
        <v>3</v>
      </c>
      <c r="R223">
        <v>1</v>
      </c>
      <c r="S223">
        <v>6</v>
      </c>
      <c r="T223">
        <v>0</v>
      </c>
    </row>
    <row r="224" spans="1:20" x14ac:dyDescent="0.2">
      <c r="A224">
        <v>223</v>
      </c>
      <c r="B224" t="s">
        <v>2109</v>
      </c>
      <c r="C224" t="s">
        <v>2109</v>
      </c>
      <c r="D224" t="s">
        <v>1040</v>
      </c>
      <c r="E224">
        <v>32</v>
      </c>
      <c r="G224">
        <v>1</v>
      </c>
      <c r="H224">
        <v>0</v>
      </c>
      <c r="I224">
        <v>1</v>
      </c>
      <c r="J224">
        <v>1</v>
      </c>
      <c r="K224">
        <v>1</v>
      </c>
      <c r="L224">
        <v>-2</v>
      </c>
      <c r="M224">
        <v>-2</v>
      </c>
      <c r="N224">
        <v>0</v>
      </c>
      <c r="O224">
        <v>0</v>
      </c>
      <c r="P224">
        <v>-2</v>
      </c>
      <c r="Q224">
        <v>-2</v>
      </c>
      <c r="R224">
        <v>1</v>
      </c>
      <c r="S224">
        <v>-2</v>
      </c>
      <c r="T224">
        <v>0</v>
      </c>
    </row>
    <row r="225" spans="1:20" x14ac:dyDescent="0.2">
      <c r="A225">
        <v>224</v>
      </c>
      <c r="B225" t="s">
        <v>343</v>
      </c>
      <c r="C225" t="s">
        <v>343</v>
      </c>
      <c r="D225" t="s">
        <v>1040</v>
      </c>
      <c r="E225">
        <v>27</v>
      </c>
      <c r="F225" t="s">
        <v>1298</v>
      </c>
      <c r="G225">
        <v>1</v>
      </c>
      <c r="H225">
        <v>1</v>
      </c>
      <c r="I225">
        <v>2</v>
      </c>
      <c r="J225">
        <v>1</v>
      </c>
      <c r="K225">
        <v>0.5</v>
      </c>
      <c r="L225">
        <v>9</v>
      </c>
      <c r="M225">
        <v>9</v>
      </c>
      <c r="N225">
        <v>0</v>
      </c>
      <c r="O225">
        <v>0</v>
      </c>
      <c r="P225">
        <v>9</v>
      </c>
      <c r="Q225">
        <v>4.5</v>
      </c>
      <c r="R225">
        <v>1</v>
      </c>
      <c r="S225">
        <v>9</v>
      </c>
      <c r="T225">
        <v>0</v>
      </c>
    </row>
    <row r="226" spans="1:20" x14ac:dyDescent="0.2">
      <c r="A226">
        <v>225</v>
      </c>
      <c r="B226" t="s">
        <v>599</v>
      </c>
      <c r="C226" t="s">
        <v>599</v>
      </c>
      <c r="D226" t="s">
        <v>1267</v>
      </c>
      <c r="E226">
        <v>22</v>
      </c>
      <c r="G226">
        <v>1</v>
      </c>
      <c r="H226">
        <v>0</v>
      </c>
      <c r="I226">
        <v>1</v>
      </c>
      <c r="J226">
        <v>1</v>
      </c>
      <c r="K226">
        <v>1</v>
      </c>
      <c r="L226">
        <v>19</v>
      </c>
      <c r="M226">
        <v>19</v>
      </c>
      <c r="N226">
        <v>0</v>
      </c>
      <c r="O226">
        <v>1</v>
      </c>
      <c r="P226">
        <v>19</v>
      </c>
      <c r="Q226">
        <v>19</v>
      </c>
      <c r="R226">
        <v>1</v>
      </c>
      <c r="S226">
        <v>19</v>
      </c>
      <c r="T226">
        <v>0</v>
      </c>
    </row>
    <row r="227" spans="1:20" x14ac:dyDescent="0.2">
      <c r="A227">
        <v>226</v>
      </c>
      <c r="B227" t="s">
        <v>384</v>
      </c>
      <c r="C227" t="s">
        <v>384</v>
      </c>
      <c r="D227" t="s">
        <v>1087</v>
      </c>
      <c r="E227">
        <v>32</v>
      </c>
      <c r="G227">
        <v>1</v>
      </c>
      <c r="H227">
        <v>0</v>
      </c>
      <c r="I227">
        <v>1</v>
      </c>
      <c r="J227">
        <v>1</v>
      </c>
      <c r="K227">
        <v>1</v>
      </c>
      <c r="L227">
        <v>7</v>
      </c>
      <c r="M227">
        <v>7</v>
      </c>
      <c r="N227">
        <v>0</v>
      </c>
      <c r="O227">
        <v>1</v>
      </c>
      <c r="P227">
        <v>7</v>
      </c>
      <c r="Q227">
        <v>7</v>
      </c>
      <c r="R227">
        <v>1</v>
      </c>
      <c r="S227">
        <v>7</v>
      </c>
      <c r="T227">
        <v>0</v>
      </c>
    </row>
    <row r="228" spans="1:20" x14ac:dyDescent="0.2">
      <c r="A228">
        <v>227</v>
      </c>
      <c r="B228" t="s">
        <v>639</v>
      </c>
      <c r="C228" t="s">
        <v>639</v>
      </c>
      <c r="D228" t="s">
        <v>93</v>
      </c>
      <c r="E228">
        <v>27</v>
      </c>
      <c r="G228">
        <v>1</v>
      </c>
      <c r="H228">
        <v>0</v>
      </c>
      <c r="I228">
        <v>2</v>
      </c>
      <c r="J228">
        <v>1</v>
      </c>
      <c r="K228">
        <v>0.5</v>
      </c>
      <c r="L228">
        <v>7</v>
      </c>
      <c r="M228">
        <v>7</v>
      </c>
      <c r="N228">
        <v>0</v>
      </c>
      <c r="O228">
        <v>0</v>
      </c>
      <c r="P228">
        <v>7</v>
      </c>
      <c r="Q228">
        <v>3.5</v>
      </c>
      <c r="R228">
        <v>1</v>
      </c>
      <c r="S228">
        <v>7</v>
      </c>
      <c r="T228">
        <v>0</v>
      </c>
    </row>
    <row r="229" spans="1:20" x14ac:dyDescent="0.2">
      <c r="A229">
        <v>228</v>
      </c>
      <c r="B229" t="s">
        <v>531</v>
      </c>
      <c r="C229" t="s">
        <v>531</v>
      </c>
      <c r="D229" t="s">
        <v>119</v>
      </c>
      <c r="E229">
        <v>25</v>
      </c>
      <c r="G229">
        <v>1</v>
      </c>
      <c r="H229">
        <v>0</v>
      </c>
      <c r="I229">
        <v>1</v>
      </c>
      <c r="J229">
        <v>1</v>
      </c>
      <c r="K229">
        <v>1</v>
      </c>
      <c r="L229">
        <v>17</v>
      </c>
      <c r="M229">
        <v>17</v>
      </c>
      <c r="N229">
        <v>0</v>
      </c>
      <c r="O229">
        <v>1</v>
      </c>
      <c r="P229">
        <v>17</v>
      </c>
      <c r="Q229">
        <v>17</v>
      </c>
      <c r="R229">
        <v>1</v>
      </c>
      <c r="S229">
        <v>17</v>
      </c>
      <c r="T229">
        <v>0</v>
      </c>
    </row>
    <row r="230" spans="1:20" x14ac:dyDescent="0.2">
      <c r="A230">
        <v>229</v>
      </c>
      <c r="B230" t="s">
        <v>413</v>
      </c>
      <c r="C230" t="s">
        <v>413</v>
      </c>
      <c r="D230" t="s">
        <v>142</v>
      </c>
      <c r="E230">
        <v>26</v>
      </c>
      <c r="F230" t="s">
        <v>1577</v>
      </c>
      <c r="G230">
        <v>1</v>
      </c>
      <c r="H230">
        <v>1</v>
      </c>
      <c r="I230">
        <v>2</v>
      </c>
      <c r="J230">
        <v>1</v>
      </c>
      <c r="K230">
        <v>0.5</v>
      </c>
      <c r="L230">
        <v>9</v>
      </c>
      <c r="M230">
        <v>9</v>
      </c>
      <c r="N230">
        <v>0</v>
      </c>
      <c r="O230">
        <v>1</v>
      </c>
      <c r="P230">
        <v>9</v>
      </c>
      <c r="Q230">
        <v>4.5</v>
      </c>
      <c r="R230">
        <v>1</v>
      </c>
      <c r="S230">
        <v>9</v>
      </c>
      <c r="T230">
        <v>0</v>
      </c>
    </row>
    <row r="231" spans="1:20" x14ac:dyDescent="0.2">
      <c r="A231">
        <v>230</v>
      </c>
      <c r="B231" t="s">
        <v>409</v>
      </c>
      <c r="C231" t="s">
        <v>409</v>
      </c>
      <c r="D231" t="s">
        <v>1122</v>
      </c>
      <c r="E231">
        <v>23</v>
      </c>
      <c r="G231">
        <v>1</v>
      </c>
      <c r="H231">
        <v>0</v>
      </c>
      <c r="I231">
        <v>1</v>
      </c>
      <c r="J231">
        <v>1</v>
      </c>
      <c r="K231">
        <v>1</v>
      </c>
      <c r="L231">
        <v>9</v>
      </c>
      <c r="M231">
        <v>9</v>
      </c>
      <c r="N231">
        <v>0</v>
      </c>
      <c r="O231">
        <v>0</v>
      </c>
      <c r="P231">
        <v>9</v>
      </c>
      <c r="Q231">
        <v>9</v>
      </c>
      <c r="R231">
        <v>1</v>
      </c>
      <c r="S231">
        <v>9</v>
      </c>
      <c r="T231">
        <v>1</v>
      </c>
    </row>
    <row r="232" spans="1:20" x14ac:dyDescent="0.2">
      <c r="A232">
        <v>231</v>
      </c>
      <c r="B232" t="s">
        <v>242</v>
      </c>
      <c r="C232" t="s">
        <v>242</v>
      </c>
      <c r="D232" t="s">
        <v>93</v>
      </c>
      <c r="E232">
        <v>26</v>
      </c>
      <c r="F232" t="s">
        <v>1298</v>
      </c>
      <c r="G232">
        <v>1</v>
      </c>
      <c r="H232">
        <v>1</v>
      </c>
      <c r="I232">
        <v>3</v>
      </c>
      <c r="J232">
        <v>1</v>
      </c>
      <c r="K232">
        <v>0.33300000000000002</v>
      </c>
      <c r="L232">
        <v>14</v>
      </c>
      <c r="M232">
        <v>14</v>
      </c>
      <c r="N232">
        <v>0</v>
      </c>
      <c r="O232">
        <v>1</v>
      </c>
      <c r="P232">
        <v>14</v>
      </c>
      <c r="Q232">
        <v>4.7</v>
      </c>
      <c r="R232">
        <v>1</v>
      </c>
      <c r="S232">
        <v>14</v>
      </c>
      <c r="T232">
        <v>0</v>
      </c>
    </row>
    <row r="233" spans="1:20" x14ac:dyDescent="0.2">
      <c r="A233">
        <v>232</v>
      </c>
      <c r="B233" t="s">
        <v>616</v>
      </c>
      <c r="C233" t="s">
        <v>616</v>
      </c>
      <c r="D233" t="s">
        <v>70</v>
      </c>
      <c r="E233">
        <v>25</v>
      </c>
      <c r="F233" t="s">
        <v>1577</v>
      </c>
      <c r="G233">
        <v>1</v>
      </c>
      <c r="H233">
        <v>1</v>
      </c>
      <c r="I233">
        <v>2</v>
      </c>
      <c r="J233">
        <v>1</v>
      </c>
      <c r="K233">
        <v>0.5</v>
      </c>
      <c r="L233">
        <v>17</v>
      </c>
      <c r="M233">
        <v>17</v>
      </c>
      <c r="N233">
        <v>0</v>
      </c>
      <c r="O233">
        <v>1</v>
      </c>
      <c r="P233">
        <v>17</v>
      </c>
      <c r="Q233">
        <v>8.5</v>
      </c>
      <c r="R233">
        <v>1</v>
      </c>
      <c r="S233">
        <v>17</v>
      </c>
      <c r="T233">
        <v>0</v>
      </c>
    </row>
    <row r="234" spans="1:20" x14ac:dyDescent="0.2">
      <c r="A234">
        <v>233</v>
      </c>
      <c r="B234" t="s">
        <v>403</v>
      </c>
      <c r="C234" t="s">
        <v>403</v>
      </c>
      <c r="D234" t="s">
        <v>74</v>
      </c>
      <c r="E234">
        <v>27</v>
      </c>
      <c r="G234">
        <v>1</v>
      </c>
      <c r="H234">
        <v>0</v>
      </c>
      <c r="I234">
        <v>3</v>
      </c>
      <c r="J234">
        <v>1</v>
      </c>
      <c r="K234">
        <v>0.33300000000000002</v>
      </c>
      <c r="L234">
        <v>5</v>
      </c>
      <c r="M234">
        <v>5</v>
      </c>
      <c r="N234">
        <v>0</v>
      </c>
      <c r="O234">
        <v>0</v>
      </c>
      <c r="P234">
        <v>5</v>
      </c>
      <c r="Q234">
        <v>1.7</v>
      </c>
      <c r="R234">
        <v>1</v>
      </c>
      <c r="S234">
        <v>5</v>
      </c>
      <c r="T234">
        <v>0</v>
      </c>
    </row>
    <row r="235" spans="1:20" x14ac:dyDescent="0.2">
      <c r="A235">
        <v>234</v>
      </c>
      <c r="B235" t="s">
        <v>383</v>
      </c>
      <c r="C235" t="s">
        <v>383</v>
      </c>
      <c r="D235" t="s">
        <v>73</v>
      </c>
      <c r="E235">
        <v>28</v>
      </c>
      <c r="G235">
        <v>1</v>
      </c>
      <c r="H235">
        <v>0</v>
      </c>
      <c r="I235">
        <v>1</v>
      </c>
      <c r="J235">
        <v>1</v>
      </c>
      <c r="K235">
        <v>1</v>
      </c>
      <c r="L235">
        <v>11</v>
      </c>
      <c r="M235">
        <v>11</v>
      </c>
      <c r="N235">
        <v>0</v>
      </c>
      <c r="O235">
        <v>0</v>
      </c>
      <c r="P235">
        <v>11</v>
      </c>
      <c r="Q235">
        <v>11</v>
      </c>
      <c r="R235">
        <v>1</v>
      </c>
      <c r="S235">
        <v>11</v>
      </c>
      <c r="T235">
        <v>0</v>
      </c>
    </row>
    <row r="236" spans="1:20" x14ac:dyDescent="0.2">
      <c r="A236">
        <v>235</v>
      </c>
      <c r="B236" t="s">
        <v>503</v>
      </c>
      <c r="C236" t="s">
        <v>503</v>
      </c>
      <c r="D236" t="s">
        <v>77</v>
      </c>
      <c r="E236">
        <v>24</v>
      </c>
      <c r="G236">
        <v>1</v>
      </c>
      <c r="H236">
        <v>0</v>
      </c>
      <c r="I236">
        <v>2</v>
      </c>
      <c r="J236">
        <v>1</v>
      </c>
      <c r="K236">
        <v>0.5</v>
      </c>
      <c r="L236">
        <v>10</v>
      </c>
      <c r="M236">
        <v>10</v>
      </c>
      <c r="N236">
        <v>0</v>
      </c>
      <c r="O236">
        <v>1</v>
      </c>
      <c r="P236">
        <v>10</v>
      </c>
      <c r="Q236">
        <v>5</v>
      </c>
      <c r="R236">
        <v>1</v>
      </c>
      <c r="S236">
        <v>10</v>
      </c>
      <c r="T236">
        <v>0</v>
      </c>
    </row>
    <row r="237" spans="1:20" x14ac:dyDescent="0.2">
      <c r="A237">
        <v>236</v>
      </c>
      <c r="B237" t="s">
        <v>254</v>
      </c>
      <c r="C237" t="s">
        <v>254</v>
      </c>
      <c r="D237" t="s">
        <v>93</v>
      </c>
      <c r="E237">
        <v>21</v>
      </c>
      <c r="G237">
        <v>1</v>
      </c>
      <c r="H237">
        <v>0</v>
      </c>
      <c r="I237">
        <v>1</v>
      </c>
      <c r="J237">
        <v>1</v>
      </c>
      <c r="K237">
        <v>1</v>
      </c>
      <c r="L237">
        <v>-4</v>
      </c>
      <c r="M237">
        <v>-4</v>
      </c>
      <c r="N237">
        <v>0</v>
      </c>
      <c r="O237">
        <v>0</v>
      </c>
      <c r="P237">
        <v>-4</v>
      </c>
      <c r="Q237">
        <v>-4</v>
      </c>
      <c r="R237">
        <v>1</v>
      </c>
      <c r="S237">
        <v>-4</v>
      </c>
      <c r="T237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F9D68-F6AA-434F-995B-F301C690BF90}">
  <sheetPr codeName="Sheet16"/>
  <dimension ref="A1:S554"/>
  <sheetViews>
    <sheetView topLeftCell="A146" workbookViewId="0">
      <selection activeCell="B148" sqref="B148"/>
    </sheetView>
  </sheetViews>
  <sheetFormatPr baseColWidth="10" defaultRowHeight="15" x14ac:dyDescent="0.2"/>
  <cols>
    <col min="1" max="1" width="4.1640625" bestFit="1" customWidth="1"/>
    <col min="2" max="2" width="20.5" bestFit="1" customWidth="1"/>
    <col min="3" max="3" width="4.83203125" bestFit="1" customWidth="1"/>
    <col min="4" max="4" width="4.6640625" bestFit="1" customWidth="1"/>
    <col min="5" max="5" width="6.1640625" bestFit="1" customWidth="1"/>
    <col min="6" max="6" width="3.1640625" bestFit="1" customWidth="1"/>
    <col min="7" max="7" width="3.6640625" bestFit="1" customWidth="1"/>
    <col min="8" max="8" width="4.1640625" bestFit="1" customWidth="1"/>
    <col min="9" max="9" width="4.5" bestFit="1" customWidth="1"/>
    <col min="10" max="10" width="8.5" bestFit="1" customWidth="1"/>
    <col min="11" max="12" width="5.1640625" bestFit="1" customWidth="1"/>
    <col min="13" max="13" width="3.6640625" bestFit="1" customWidth="1"/>
    <col min="14" max="14" width="3.5" bestFit="1" customWidth="1"/>
    <col min="15" max="15" width="4.6640625" bestFit="1" customWidth="1"/>
    <col min="16" max="16" width="6" bestFit="1" customWidth="1"/>
    <col min="17" max="17" width="4.5" bestFit="1" customWidth="1"/>
    <col min="18" max="18" width="6.1640625" bestFit="1" customWidth="1"/>
    <col min="19" max="19" width="5.1640625" bestFit="1" customWidth="1"/>
  </cols>
  <sheetData>
    <row r="1" spans="1:19" ht="18" x14ac:dyDescent="0.2">
      <c r="A1" s="93" t="s">
        <v>2313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</row>
    <row r="2" spans="1:19" x14ac:dyDescent="0.2">
      <c r="A2" s="89" t="s">
        <v>902</v>
      </c>
      <c r="B2" s="89" t="s">
        <v>903</v>
      </c>
      <c r="C2" s="89" t="s">
        <v>1314</v>
      </c>
      <c r="D2" s="89" t="s">
        <v>905</v>
      </c>
      <c r="E2" s="89" t="s">
        <v>906</v>
      </c>
      <c r="F2" s="89" t="s">
        <v>1315</v>
      </c>
      <c r="G2" s="89" t="s">
        <v>1316</v>
      </c>
      <c r="H2" s="89" t="s">
        <v>2314</v>
      </c>
      <c r="I2" s="89" t="s">
        <v>2092</v>
      </c>
      <c r="J2" s="89" t="s">
        <v>2093</v>
      </c>
      <c r="K2" s="89" t="s">
        <v>799</v>
      </c>
      <c r="L2" s="89" t="s">
        <v>2315</v>
      </c>
      <c r="M2" s="89" t="s">
        <v>800</v>
      </c>
      <c r="N2" s="89" t="s">
        <v>1321</v>
      </c>
      <c r="O2" s="89" t="s">
        <v>917</v>
      </c>
      <c r="P2" s="89" t="s">
        <v>2316</v>
      </c>
      <c r="Q2" s="89" t="s">
        <v>2317</v>
      </c>
      <c r="R2" s="89" t="s">
        <v>1325</v>
      </c>
      <c r="S2" s="89" t="s">
        <v>1416</v>
      </c>
    </row>
    <row r="3" spans="1:19" ht="16" x14ac:dyDescent="0.2">
      <c r="A3" s="89">
        <v>1</v>
      </c>
      <c r="B3" s="84" t="s">
        <v>3087</v>
      </c>
      <c r="C3" s="84" t="s">
        <v>730</v>
      </c>
      <c r="D3" s="83">
        <v>28</v>
      </c>
      <c r="E3" s="83" t="s">
        <v>83</v>
      </c>
      <c r="F3" s="83">
        <v>17</v>
      </c>
      <c r="G3" s="83">
        <v>17</v>
      </c>
      <c r="H3" s="83">
        <v>191</v>
      </c>
      <c r="I3" s="83">
        <v>145</v>
      </c>
      <c r="J3" s="86">
        <v>0.75900000000000001</v>
      </c>
      <c r="K3" s="83">
        <v>1947</v>
      </c>
      <c r="L3" s="83">
        <v>13.4</v>
      </c>
      <c r="M3" s="83">
        <v>16</v>
      </c>
      <c r="N3" s="83">
        <v>89</v>
      </c>
      <c r="O3" s="83">
        <v>59</v>
      </c>
      <c r="P3" s="83">
        <v>10.199999999999999</v>
      </c>
      <c r="Q3" s="83">
        <v>8.5</v>
      </c>
      <c r="R3" s="83">
        <v>114.5</v>
      </c>
      <c r="S3" s="83">
        <v>0</v>
      </c>
    </row>
    <row r="4" spans="1:19" ht="16" x14ac:dyDescent="0.2">
      <c r="A4" s="89">
        <v>2</v>
      </c>
      <c r="B4" s="84" t="s">
        <v>2110</v>
      </c>
      <c r="C4" s="84" t="s">
        <v>1267</v>
      </c>
      <c r="D4" s="83">
        <v>29</v>
      </c>
      <c r="E4" s="83" t="s">
        <v>83</v>
      </c>
      <c r="F4" s="83">
        <v>16</v>
      </c>
      <c r="G4" s="83">
        <v>16</v>
      </c>
      <c r="H4" s="83">
        <v>169</v>
      </c>
      <c r="I4" s="83">
        <v>123</v>
      </c>
      <c r="J4" s="86">
        <v>0.72799999999999998</v>
      </c>
      <c r="K4" s="83">
        <v>1553</v>
      </c>
      <c r="L4" s="83">
        <v>12.6</v>
      </c>
      <c r="M4" s="83">
        <v>11</v>
      </c>
      <c r="N4" s="83">
        <v>84</v>
      </c>
      <c r="O4" s="83">
        <v>59</v>
      </c>
      <c r="P4" s="83">
        <v>9.1999999999999993</v>
      </c>
      <c r="Q4" s="83">
        <v>7.7</v>
      </c>
      <c r="R4" s="83">
        <v>97.1</v>
      </c>
      <c r="S4" s="83">
        <v>0</v>
      </c>
    </row>
    <row r="5" spans="1:19" ht="16" x14ac:dyDescent="0.2">
      <c r="A5" s="89">
        <v>3</v>
      </c>
      <c r="B5" s="84" t="s">
        <v>2646</v>
      </c>
      <c r="C5" s="84" t="s">
        <v>1040</v>
      </c>
      <c r="D5" s="83">
        <v>27</v>
      </c>
      <c r="E5" s="83" t="s">
        <v>83</v>
      </c>
      <c r="F5" s="83">
        <v>17</v>
      </c>
      <c r="G5" s="83">
        <v>16</v>
      </c>
      <c r="H5" s="83">
        <v>159</v>
      </c>
      <c r="I5" s="83">
        <v>111</v>
      </c>
      <c r="J5" s="86">
        <v>0.69799999999999995</v>
      </c>
      <c r="K5" s="83">
        <v>1239</v>
      </c>
      <c r="L5" s="83">
        <v>11.2</v>
      </c>
      <c r="M5" s="83">
        <v>9</v>
      </c>
      <c r="N5" s="83">
        <v>75</v>
      </c>
      <c r="O5" s="83">
        <v>75</v>
      </c>
      <c r="P5" s="83">
        <v>7.8</v>
      </c>
      <c r="Q5" s="83">
        <v>6.5</v>
      </c>
      <c r="R5" s="83">
        <v>72.900000000000006</v>
      </c>
      <c r="S5" s="83">
        <v>2</v>
      </c>
    </row>
    <row r="6" spans="1:19" ht="16" x14ac:dyDescent="0.2">
      <c r="A6" s="89">
        <v>4</v>
      </c>
      <c r="B6" s="84" t="s">
        <v>2033</v>
      </c>
      <c r="C6" s="84" t="s">
        <v>73</v>
      </c>
      <c r="D6" s="83">
        <v>22</v>
      </c>
      <c r="E6" s="83" t="s">
        <v>83</v>
      </c>
      <c r="F6" s="83">
        <v>17</v>
      </c>
      <c r="G6" s="83">
        <v>17</v>
      </c>
      <c r="H6" s="83">
        <v>167</v>
      </c>
      <c r="I6" s="83">
        <v>108</v>
      </c>
      <c r="J6" s="86">
        <v>0.64700000000000002</v>
      </c>
      <c r="K6" s="83">
        <v>1616</v>
      </c>
      <c r="L6" s="83">
        <v>15</v>
      </c>
      <c r="M6" s="83">
        <v>10</v>
      </c>
      <c r="N6" s="83">
        <v>75</v>
      </c>
      <c r="O6" s="83">
        <v>56</v>
      </c>
      <c r="P6" s="83">
        <v>9.6999999999999993</v>
      </c>
      <c r="Q6" s="83">
        <v>6.4</v>
      </c>
      <c r="R6" s="83">
        <v>95.1</v>
      </c>
      <c r="S6" s="83">
        <v>1</v>
      </c>
    </row>
    <row r="7" spans="1:19" ht="16" x14ac:dyDescent="0.2">
      <c r="A7" s="89">
        <v>5</v>
      </c>
      <c r="B7" s="84" t="s">
        <v>3091</v>
      </c>
      <c r="C7" s="84" t="s">
        <v>725</v>
      </c>
      <c r="D7" s="83">
        <v>26</v>
      </c>
      <c r="E7" s="83" t="s">
        <v>88</v>
      </c>
      <c r="F7" s="83">
        <v>17</v>
      </c>
      <c r="G7" s="83">
        <v>9</v>
      </c>
      <c r="H7" s="83">
        <v>153</v>
      </c>
      <c r="I7" s="83">
        <v>107</v>
      </c>
      <c r="J7" s="86">
        <v>0.69899999999999995</v>
      </c>
      <c r="K7" s="83">
        <v>1361</v>
      </c>
      <c r="L7" s="83">
        <v>12.7</v>
      </c>
      <c r="M7" s="83">
        <v>9</v>
      </c>
      <c r="N7" s="83">
        <v>75</v>
      </c>
      <c r="O7" s="83">
        <v>43</v>
      </c>
      <c r="P7" s="83">
        <v>8.9</v>
      </c>
      <c r="Q7" s="83">
        <v>6.3</v>
      </c>
      <c r="R7" s="83">
        <v>80.099999999999994</v>
      </c>
      <c r="S7" s="83">
        <v>1</v>
      </c>
    </row>
    <row r="8" spans="1:19" ht="16" x14ac:dyDescent="0.2">
      <c r="A8" s="89">
        <v>6</v>
      </c>
      <c r="B8" s="84" t="s">
        <v>3098</v>
      </c>
      <c r="C8" s="84" t="s">
        <v>99</v>
      </c>
      <c r="D8" s="83">
        <v>25</v>
      </c>
      <c r="E8" s="83" t="s">
        <v>83</v>
      </c>
      <c r="F8" s="83">
        <v>16</v>
      </c>
      <c r="G8" s="83">
        <v>14</v>
      </c>
      <c r="H8" s="83">
        <v>169</v>
      </c>
      <c r="I8" s="83">
        <v>107</v>
      </c>
      <c r="J8" s="86">
        <v>0.63300000000000001</v>
      </c>
      <c r="K8" s="83">
        <v>1161</v>
      </c>
      <c r="L8" s="83">
        <v>10.9</v>
      </c>
      <c r="M8" s="83">
        <v>8</v>
      </c>
      <c r="N8" s="83">
        <v>59</v>
      </c>
      <c r="O8" s="83">
        <v>50</v>
      </c>
      <c r="P8" s="83">
        <v>6.9</v>
      </c>
      <c r="Q8" s="83">
        <v>6.7</v>
      </c>
      <c r="R8" s="83">
        <v>72.599999999999994</v>
      </c>
      <c r="S8" s="83">
        <v>2</v>
      </c>
    </row>
    <row r="9" spans="1:19" ht="16" x14ac:dyDescent="0.2">
      <c r="A9" s="89">
        <v>7</v>
      </c>
      <c r="B9" s="84" t="s">
        <v>1397</v>
      </c>
      <c r="C9" s="84" t="s">
        <v>118</v>
      </c>
      <c r="D9" s="83">
        <v>29</v>
      </c>
      <c r="E9" s="83" t="s">
        <v>83</v>
      </c>
      <c r="F9" s="83">
        <v>16</v>
      </c>
      <c r="G9" s="83">
        <v>16</v>
      </c>
      <c r="H9" s="83">
        <v>157</v>
      </c>
      <c r="I9" s="83">
        <v>106</v>
      </c>
      <c r="J9" s="86">
        <v>0.67500000000000004</v>
      </c>
      <c r="K9" s="83">
        <v>1138</v>
      </c>
      <c r="L9" s="83">
        <v>10.7</v>
      </c>
      <c r="M9" s="83">
        <v>6</v>
      </c>
      <c r="N9" s="83">
        <v>66</v>
      </c>
      <c r="O9" s="83">
        <v>42</v>
      </c>
      <c r="P9" s="83">
        <v>7.2</v>
      </c>
      <c r="Q9" s="83">
        <v>6.6</v>
      </c>
      <c r="R9" s="83">
        <v>71.099999999999994</v>
      </c>
      <c r="S9" s="83">
        <v>1</v>
      </c>
    </row>
    <row r="10" spans="1:19" ht="16" x14ac:dyDescent="0.2">
      <c r="A10" s="89">
        <v>8</v>
      </c>
      <c r="B10" s="84" t="s">
        <v>289</v>
      </c>
      <c r="C10" s="84" t="s">
        <v>142</v>
      </c>
      <c r="D10" s="83">
        <v>23</v>
      </c>
      <c r="E10" s="83" t="s">
        <v>83</v>
      </c>
      <c r="F10" s="83">
        <v>16</v>
      </c>
      <c r="G10" s="83">
        <v>16</v>
      </c>
      <c r="H10" s="83">
        <v>140</v>
      </c>
      <c r="I10" s="83">
        <v>104</v>
      </c>
      <c r="J10" s="86">
        <v>0.74299999999999999</v>
      </c>
      <c r="K10" s="83">
        <v>1015</v>
      </c>
      <c r="L10" s="83">
        <v>9.8000000000000007</v>
      </c>
      <c r="M10" s="83">
        <v>6</v>
      </c>
      <c r="N10" s="83">
        <v>59</v>
      </c>
      <c r="O10" s="83">
        <v>57</v>
      </c>
      <c r="P10" s="83">
        <v>7.3</v>
      </c>
      <c r="Q10" s="83">
        <v>6.5</v>
      </c>
      <c r="R10" s="83">
        <v>63.4</v>
      </c>
      <c r="S10" s="83">
        <v>2</v>
      </c>
    </row>
    <row r="11" spans="1:19" ht="16" x14ac:dyDescent="0.2">
      <c r="A11" s="89">
        <v>9</v>
      </c>
      <c r="B11" s="84" t="s">
        <v>2654</v>
      </c>
      <c r="C11" s="84" t="s">
        <v>98</v>
      </c>
      <c r="D11" s="83">
        <v>28</v>
      </c>
      <c r="E11" s="83" t="s">
        <v>83</v>
      </c>
      <c r="F11" s="83">
        <v>17</v>
      </c>
      <c r="G11" s="83">
        <v>17</v>
      </c>
      <c r="H11" s="83">
        <v>164</v>
      </c>
      <c r="I11" s="83">
        <v>103</v>
      </c>
      <c r="J11" s="86">
        <v>0.628</v>
      </c>
      <c r="K11" s="83">
        <v>1225</v>
      </c>
      <c r="L11" s="83">
        <v>11.9</v>
      </c>
      <c r="M11" s="83">
        <v>10</v>
      </c>
      <c r="N11" s="83">
        <v>66</v>
      </c>
      <c r="O11" s="83">
        <v>61</v>
      </c>
      <c r="P11" s="83">
        <v>7.5</v>
      </c>
      <c r="Q11" s="83">
        <v>6.1</v>
      </c>
      <c r="R11" s="83">
        <v>72.099999999999994</v>
      </c>
      <c r="S11" s="83">
        <v>1</v>
      </c>
    </row>
    <row r="12" spans="1:19" ht="16" x14ac:dyDescent="0.2">
      <c r="A12" s="89">
        <v>10</v>
      </c>
      <c r="B12" s="84" t="s">
        <v>3099</v>
      </c>
      <c r="C12" s="84" t="s">
        <v>933</v>
      </c>
      <c r="D12" s="83">
        <v>26</v>
      </c>
      <c r="E12" s="83" t="s">
        <v>83</v>
      </c>
      <c r="F12" s="83">
        <v>17</v>
      </c>
      <c r="G12" s="83">
        <v>9</v>
      </c>
      <c r="H12" s="83">
        <v>128</v>
      </c>
      <c r="I12" s="83">
        <v>103</v>
      </c>
      <c r="J12" s="86">
        <v>0.80500000000000005</v>
      </c>
      <c r="K12" s="83">
        <v>1038</v>
      </c>
      <c r="L12" s="83">
        <v>10.1</v>
      </c>
      <c r="M12" s="83">
        <v>9</v>
      </c>
      <c r="N12" s="83">
        <v>51</v>
      </c>
      <c r="O12" s="83">
        <v>54</v>
      </c>
      <c r="P12" s="83">
        <v>8.1</v>
      </c>
      <c r="Q12" s="83">
        <v>6.1</v>
      </c>
      <c r="R12" s="83">
        <v>61.1</v>
      </c>
      <c r="S12" s="83">
        <v>5</v>
      </c>
    </row>
    <row r="13" spans="1:19" ht="16" x14ac:dyDescent="0.2">
      <c r="A13" s="89">
        <v>11</v>
      </c>
      <c r="B13" s="84" t="s">
        <v>812</v>
      </c>
      <c r="C13" s="84" t="s">
        <v>976</v>
      </c>
      <c r="D13" s="83">
        <v>25</v>
      </c>
      <c r="E13" s="83" t="s">
        <v>83</v>
      </c>
      <c r="F13" s="83">
        <v>14</v>
      </c>
      <c r="G13" s="83">
        <v>14</v>
      </c>
      <c r="H13" s="83">
        <v>127</v>
      </c>
      <c r="I13" s="83">
        <v>98</v>
      </c>
      <c r="J13" s="86">
        <v>0.77200000000000002</v>
      </c>
      <c r="K13" s="83">
        <v>1103</v>
      </c>
      <c r="L13" s="83">
        <v>11.3</v>
      </c>
      <c r="M13" s="83">
        <v>5</v>
      </c>
      <c r="N13" s="83">
        <v>55</v>
      </c>
      <c r="O13" s="83">
        <v>44</v>
      </c>
      <c r="P13" s="83">
        <v>8.6999999999999993</v>
      </c>
      <c r="Q13" s="83">
        <v>7</v>
      </c>
      <c r="R13" s="83">
        <v>78.8</v>
      </c>
      <c r="S13" s="83">
        <v>2</v>
      </c>
    </row>
    <row r="14" spans="1:19" ht="16" x14ac:dyDescent="0.2">
      <c r="A14" s="89">
        <v>12</v>
      </c>
      <c r="B14" s="84" t="s">
        <v>882</v>
      </c>
      <c r="C14" s="84" t="s">
        <v>70</v>
      </c>
      <c r="D14" s="83">
        <v>24</v>
      </c>
      <c r="E14" s="83" t="s">
        <v>83</v>
      </c>
      <c r="F14" s="83">
        <v>17</v>
      </c>
      <c r="G14" s="83">
        <v>17</v>
      </c>
      <c r="H14" s="83">
        <v>163</v>
      </c>
      <c r="I14" s="83">
        <v>93</v>
      </c>
      <c r="J14" s="86">
        <v>0.57099999999999995</v>
      </c>
      <c r="K14" s="83">
        <v>1157</v>
      </c>
      <c r="L14" s="83">
        <v>12.4</v>
      </c>
      <c r="M14" s="83">
        <v>4</v>
      </c>
      <c r="N14" s="83">
        <v>60</v>
      </c>
      <c r="O14" s="83">
        <v>64</v>
      </c>
      <c r="P14" s="83">
        <v>7.1</v>
      </c>
      <c r="Q14" s="83">
        <v>5.5</v>
      </c>
      <c r="R14" s="83">
        <v>68.099999999999994</v>
      </c>
      <c r="S14" s="83">
        <v>1</v>
      </c>
    </row>
    <row r="15" spans="1:19" ht="16" x14ac:dyDescent="0.2">
      <c r="A15" s="89">
        <v>13</v>
      </c>
      <c r="B15" s="84" t="s">
        <v>2650</v>
      </c>
      <c r="C15" s="84" t="s">
        <v>1040</v>
      </c>
      <c r="D15" s="83">
        <v>32</v>
      </c>
      <c r="E15" s="83" t="s">
        <v>88</v>
      </c>
      <c r="F15" s="83">
        <v>16</v>
      </c>
      <c r="G15" s="83">
        <v>16</v>
      </c>
      <c r="H15" s="83">
        <v>134</v>
      </c>
      <c r="I15" s="83">
        <v>92</v>
      </c>
      <c r="J15" s="86">
        <v>0.68700000000000006</v>
      </c>
      <c r="K15" s="83">
        <v>1125</v>
      </c>
      <c r="L15" s="83">
        <v>12.2</v>
      </c>
      <c r="M15" s="83">
        <v>9</v>
      </c>
      <c r="N15" s="83">
        <v>63</v>
      </c>
      <c r="O15" s="83">
        <v>69</v>
      </c>
      <c r="P15" s="83">
        <v>8.4</v>
      </c>
      <c r="Q15" s="83">
        <v>5.8</v>
      </c>
      <c r="R15" s="83">
        <v>70.3</v>
      </c>
      <c r="S15" s="83">
        <v>1</v>
      </c>
    </row>
    <row r="16" spans="1:19" ht="16" x14ac:dyDescent="0.2">
      <c r="A16" s="89">
        <v>14</v>
      </c>
      <c r="B16" s="84" t="s">
        <v>1544</v>
      </c>
      <c r="C16" s="84" t="s">
        <v>725</v>
      </c>
      <c r="D16" s="83">
        <v>24</v>
      </c>
      <c r="E16" s="83" t="s">
        <v>83</v>
      </c>
      <c r="F16" s="83">
        <v>16</v>
      </c>
      <c r="G16" s="83">
        <v>16</v>
      </c>
      <c r="H16" s="83">
        <v>146</v>
      </c>
      <c r="I16" s="83">
        <v>91</v>
      </c>
      <c r="J16" s="86">
        <v>0.623</v>
      </c>
      <c r="K16" s="83">
        <v>1008</v>
      </c>
      <c r="L16" s="83">
        <v>11.1</v>
      </c>
      <c r="M16" s="83">
        <v>6</v>
      </c>
      <c r="N16" s="83">
        <v>41</v>
      </c>
      <c r="O16" s="83">
        <v>49</v>
      </c>
      <c r="P16" s="83">
        <v>6.9</v>
      </c>
      <c r="Q16" s="83">
        <v>5.7</v>
      </c>
      <c r="R16" s="83">
        <v>63</v>
      </c>
      <c r="S16" s="83">
        <v>3</v>
      </c>
    </row>
    <row r="17" spans="1:19" ht="16" x14ac:dyDescent="0.2">
      <c r="A17" s="89">
        <v>15</v>
      </c>
      <c r="B17" s="84" t="s">
        <v>186</v>
      </c>
      <c r="C17" s="84" t="s">
        <v>122</v>
      </c>
      <c r="D17" s="83">
        <v>28</v>
      </c>
      <c r="E17" s="83" t="s">
        <v>83</v>
      </c>
      <c r="F17" s="83">
        <v>16</v>
      </c>
      <c r="G17" s="83">
        <v>16</v>
      </c>
      <c r="H17" s="83">
        <v>134</v>
      </c>
      <c r="I17" s="83">
        <v>90</v>
      </c>
      <c r="J17" s="86">
        <v>0.67200000000000004</v>
      </c>
      <c r="K17" s="83">
        <v>1037</v>
      </c>
      <c r="L17" s="83">
        <v>11.5</v>
      </c>
      <c r="M17" s="83">
        <v>6</v>
      </c>
      <c r="N17" s="83">
        <v>45</v>
      </c>
      <c r="O17" s="83">
        <v>52</v>
      </c>
      <c r="P17" s="83">
        <v>7.7</v>
      </c>
      <c r="Q17" s="83">
        <v>5.6</v>
      </c>
      <c r="R17" s="83">
        <v>64.8</v>
      </c>
      <c r="S17" s="83">
        <v>0</v>
      </c>
    </row>
    <row r="18" spans="1:19" ht="16" x14ac:dyDescent="0.2">
      <c r="A18" s="89">
        <v>16</v>
      </c>
      <c r="B18" s="84" t="s">
        <v>317</v>
      </c>
      <c r="C18" s="84" t="s">
        <v>139</v>
      </c>
      <c r="D18" s="83">
        <v>22</v>
      </c>
      <c r="E18" s="83" t="s">
        <v>83</v>
      </c>
      <c r="F18" s="83">
        <v>17</v>
      </c>
      <c r="G18" s="83">
        <v>9</v>
      </c>
      <c r="H18" s="83">
        <v>119</v>
      </c>
      <c r="I18" s="83">
        <v>90</v>
      </c>
      <c r="J18" s="86">
        <v>0.75600000000000001</v>
      </c>
      <c r="K18" s="83">
        <v>912</v>
      </c>
      <c r="L18" s="83">
        <v>10.1</v>
      </c>
      <c r="M18" s="83">
        <v>5</v>
      </c>
      <c r="N18" s="83">
        <v>48</v>
      </c>
      <c r="O18" s="83">
        <v>37</v>
      </c>
      <c r="P18" s="83">
        <v>7.7</v>
      </c>
      <c r="Q18" s="83">
        <v>5.3</v>
      </c>
      <c r="R18" s="83">
        <v>53.6</v>
      </c>
      <c r="S18" s="83">
        <v>0</v>
      </c>
    </row>
    <row r="19" spans="1:19" ht="16" x14ac:dyDescent="0.2">
      <c r="A19" s="89">
        <v>17</v>
      </c>
      <c r="B19" s="84" t="s">
        <v>284</v>
      </c>
      <c r="C19" s="84" t="s">
        <v>107</v>
      </c>
      <c r="D19" s="83">
        <v>24</v>
      </c>
      <c r="E19" s="83" t="s">
        <v>83</v>
      </c>
      <c r="F19" s="83">
        <v>17</v>
      </c>
      <c r="G19" s="83">
        <v>17</v>
      </c>
      <c r="H19" s="83">
        <v>129</v>
      </c>
      <c r="I19" s="83">
        <v>88</v>
      </c>
      <c r="J19" s="86">
        <v>0.68200000000000005</v>
      </c>
      <c r="K19" s="83">
        <v>1082</v>
      </c>
      <c r="L19" s="83">
        <v>12.3</v>
      </c>
      <c r="M19" s="83">
        <v>6</v>
      </c>
      <c r="N19" s="83">
        <v>54</v>
      </c>
      <c r="O19" s="83">
        <v>57</v>
      </c>
      <c r="P19" s="83">
        <v>8.4</v>
      </c>
      <c r="Q19" s="83">
        <v>5.2</v>
      </c>
      <c r="R19" s="83">
        <v>63.6</v>
      </c>
      <c r="S19" s="83">
        <v>1</v>
      </c>
    </row>
    <row r="20" spans="1:19" ht="16" x14ac:dyDescent="0.2">
      <c r="A20" s="89">
        <v>18</v>
      </c>
      <c r="B20" s="84" t="s">
        <v>269</v>
      </c>
      <c r="C20" s="84" t="s">
        <v>1122</v>
      </c>
      <c r="D20" s="83">
        <v>25</v>
      </c>
      <c r="E20" s="83" t="s">
        <v>83</v>
      </c>
      <c r="F20" s="83">
        <v>17</v>
      </c>
      <c r="G20" s="83">
        <v>16</v>
      </c>
      <c r="H20" s="83">
        <v>126</v>
      </c>
      <c r="I20" s="83">
        <v>83</v>
      </c>
      <c r="J20" s="86">
        <v>0.65900000000000003</v>
      </c>
      <c r="K20" s="83">
        <v>866</v>
      </c>
      <c r="L20" s="83">
        <v>10.4</v>
      </c>
      <c r="M20" s="83">
        <v>2</v>
      </c>
      <c r="N20" s="83">
        <v>42</v>
      </c>
      <c r="O20" s="83">
        <v>39</v>
      </c>
      <c r="P20" s="83">
        <v>6.9</v>
      </c>
      <c r="Q20" s="83">
        <v>4.9000000000000004</v>
      </c>
      <c r="R20" s="83">
        <v>50.9</v>
      </c>
      <c r="S20" s="83">
        <v>1</v>
      </c>
    </row>
    <row r="21" spans="1:19" ht="16" x14ac:dyDescent="0.2">
      <c r="A21" s="89">
        <v>19</v>
      </c>
      <c r="B21" s="84" t="s">
        <v>265</v>
      </c>
      <c r="C21" s="84" t="s">
        <v>98</v>
      </c>
      <c r="D21" s="83">
        <v>32</v>
      </c>
      <c r="E21" s="83" t="s">
        <v>83</v>
      </c>
      <c r="F21" s="83">
        <v>16</v>
      </c>
      <c r="G21" s="83">
        <v>8</v>
      </c>
      <c r="H21" s="83">
        <v>112</v>
      </c>
      <c r="I21" s="83">
        <v>82</v>
      </c>
      <c r="J21" s="86">
        <v>0.73199999999999998</v>
      </c>
      <c r="K21" s="83">
        <v>693</v>
      </c>
      <c r="L21" s="83">
        <v>8.5</v>
      </c>
      <c r="M21" s="83">
        <v>1</v>
      </c>
      <c r="N21" s="83">
        <v>34</v>
      </c>
      <c r="O21" s="83">
        <v>29</v>
      </c>
      <c r="P21" s="83">
        <v>6.2</v>
      </c>
      <c r="Q21" s="83">
        <v>5.0999999999999996</v>
      </c>
      <c r="R21" s="83">
        <v>43.3</v>
      </c>
      <c r="S21" s="83">
        <v>1</v>
      </c>
    </row>
    <row r="22" spans="1:19" ht="16" x14ac:dyDescent="0.2">
      <c r="A22" s="89">
        <v>20</v>
      </c>
      <c r="B22" s="84" t="s">
        <v>2647</v>
      </c>
      <c r="C22" s="84" t="s">
        <v>74</v>
      </c>
      <c r="D22" s="83">
        <v>21</v>
      </c>
      <c r="E22" s="83" t="s">
        <v>83</v>
      </c>
      <c r="F22" s="83">
        <v>17</v>
      </c>
      <c r="G22" s="83">
        <v>17</v>
      </c>
      <c r="H22" s="83">
        <v>128</v>
      </c>
      <c r="I22" s="83">
        <v>81</v>
      </c>
      <c r="J22" s="86">
        <v>0.63300000000000001</v>
      </c>
      <c r="K22" s="83">
        <v>1455</v>
      </c>
      <c r="L22" s="83">
        <v>18</v>
      </c>
      <c r="M22" s="83">
        <v>13</v>
      </c>
      <c r="N22" s="83">
        <v>56</v>
      </c>
      <c r="O22" s="83">
        <v>82</v>
      </c>
      <c r="P22" s="83">
        <v>11.4</v>
      </c>
      <c r="Q22" s="83">
        <v>4.8</v>
      </c>
      <c r="R22" s="83">
        <v>85.6</v>
      </c>
      <c r="S22" s="83">
        <v>2</v>
      </c>
    </row>
    <row r="23" spans="1:19" ht="16" x14ac:dyDescent="0.2">
      <c r="A23" s="89">
        <v>21</v>
      </c>
      <c r="B23" s="84" t="s">
        <v>1934</v>
      </c>
      <c r="C23" s="84" t="s">
        <v>727</v>
      </c>
      <c r="D23" s="83">
        <v>24</v>
      </c>
      <c r="E23" s="83" t="s">
        <v>83</v>
      </c>
      <c r="F23" s="83">
        <v>17</v>
      </c>
      <c r="G23" s="83">
        <v>14</v>
      </c>
      <c r="H23" s="83">
        <v>140</v>
      </c>
      <c r="I23" s="83">
        <v>81</v>
      </c>
      <c r="J23" s="86">
        <v>0.57899999999999996</v>
      </c>
      <c r="K23" s="83">
        <v>1055</v>
      </c>
      <c r="L23" s="83">
        <v>13</v>
      </c>
      <c r="M23" s="83">
        <v>4</v>
      </c>
      <c r="N23" s="83">
        <v>49</v>
      </c>
      <c r="O23" s="83">
        <v>64</v>
      </c>
      <c r="P23" s="83">
        <v>7.5</v>
      </c>
      <c r="Q23" s="83">
        <v>4.8</v>
      </c>
      <c r="R23" s="83">
        <v>62.1</v>
      </c>
      <c r="S23" s="83">
        <v>0</v>
      </c>
    </row>
    <row r="24" spans="1:19" ht="16" x14ac:dyDescent="0.2">
      <c r="A24" s="89">
        <v>22</v>
      </c>
      <c r="B24" s="84" t="s">
        <v>3096</v>
      </c>
      <c r="C24" s="84" t="s">
        <v>729</v>
      </c>
      <c r="D24" s="83">
        <v>22</v>
      </c>
      <c r="E24" s="83" t="s">
        <v>83</v>
      </c>
      <c r="F24" s="83">
        <v>16</v>
      </c>
      <c r="G24" s="83">
        <v>13</v>
      </c>
      <c r="H24" s="83">
        <v>120</v>
      </c>
      <c r="I24" s="83">
        <v>79</v>
      </c>
      <c r="J24" s="86">
        <v>0.65800000000000003</v>
      </c>
      <c r="K24" s="83">
        <v>1102</v>
      </c>
      <c r="L24" s="83">
        <v>13.9</v>
      </c>
      <c r="M24" s="83">
        <v>6</v>
      </c>
      <c r="N24" s="83">
        <v>54</v>
      </c>
      <c r="O24" s="83">
        <v>49</v>
      </c>
      <c r="P24" s="83">
        <v>9.1999999999999993</v>
      </c>
      <c r="Q24" s="83">
        <v>4.9000000000000004</v>
      </c>
      <c r="R24" s="83">
        <v>68.900000000000006</v>
      </c>
      <c r="S24" s="83">
        <v>0</v>
      </c>
    </row>
    <row r="25" spans="1:19" ht="16" x14ac:dyDescent="0.2">
      <c r="A25" s="89">
        <v>23</v>
      </c>
      <c r="B25" s="84" t="s">
        <v>2101</v>
      </c>
      <c r="C25" s="84" t="s">
        <v>729</v>
      </c>
      <c r="D25" s="83">
        <v>25</v>
      </c>
      <c r="E25" s="83" t="s">
        <v>88</v>
      </c>
      <c r="F25" s="83">
        <v>17</v>
      </c>
      <c r="G25" s="83">
        <v>15</v>
      </c>
      <c r="H25" s="83">
        <v>104</v>
      </c>
      <c r="I25" s="83">
        <v>78</v>
      </c>
      <c r="J25" s="86">
        <v>0.75</v>
      </c>
      <c r="K25" s="83">
        <v>808</v>
      </c>
      <c r="L25" s="83">
        <v>10.4</v>
      </c>
      <c r="M25" s="83">
        <v>8</v>
      </c>
      <c r="N25" s="83">
        <v>43</v>
      </c>
      <c r="O25" s="83">
        <v>32</v>
      </c>
      <c r="P25" s="83">
        <v>7.8</v>
      </c>
      <c r="Q25" s="83">
        <v>4.5999999999999996</v>
      </c>
      <c r="R25" s="83">
        <v>47.5</v>
      </c>
      <c r="S25" s="83">
        <v>0</v>
      </c>
    </row>
    <row r="26" spans="1:19" ht="16" x14ac:dyDescent="0.2">
      <c r="A26" s="89">
        <v>24</v>
      </c>
      <c r="B26" s="84" t="s">
        <v>295</v>
      </c>
      <c r="C26" s="84" t="s">
        <v>78</v>
      </c>
      <c r="D26" s="83">
        <v>25</v>
      </c>
      <c r="E26" s="83" t="s">
        <v>83</v>
      </c>
      <c r="F26" s="83">
        <v>17</v>
      </c>
      <c r="G26" s="83">
        <v>11</v>
      </c>
      <c r="H26" s="83">
        <v>103</v>
      </c>
      <c r="I26" s="83">
        <v>77</v>
      </c>
      <c r="J26" s="86">
        <v>0.748</v>
      </c>
      <c r="K26" s="83">
        <v>982</v>
      </c>
      <c r="L26" s="83">
        <v>12.8</v>
      </c>
      <c r="M26" s="83">
        <v>5</v>
      </c>
      <c r="N26" s="83">
        <v>44</v>
      </c>
      <c r="O26" s="83">
        <v>50</v>
      </c>
      <c r="P26" s="83">
        <v>9.5</v>
      </c>
      <c r="Q26" s="83">
        <v>4.5</v>
      </c>
      <c r="R26" s="83">
        <v>57.8</v>
      </c>
      <c r="S26" s="83">
        <v>0</v>
      </c>
    </row>
    <row r="27" spans="1:19" ht="16" x14ac:dyDescent="0.2">
      <c r="A27" s="89">
        <v>25</v>
      </c>
      <c r="B27" s="84" t="s">
        <v>147</v>
      </c>
      <c r="C27" s="84" t="s">
        <v>119</v>
      </c>
      <c r="D27" s="83">
        <v>26</v>
      </c>
      <c r="E27" s="83" t="s">
        <v>83</v>
      </c>
      <c r="F27" s="83">
        <v>17</v>
      </c>
      <c r="G27" s="83">
        <v>17</v>
      </c>
      <c r="H27" s="83">
        <v>130</v>
      </c>
      <c r="I27" s="83">
        <v>77</v>
      </c>
      <c r="J27" s="86">
        <v>0.59199999999999997</v>
      </c>
      <c r="K27" s="83">
        <v>1053</v>
      </c>
      <c r="L27" s="83">
        <v>13.7</v>
      </c>
      <c r="M27" s="83">
        <v>5</v>
      </c>
      <c r="N27" s="83">
        <v>47</v>
      </c>
      <c r="O27" s="83">
        <v>46</v>
      </c>
      <c r="P27" s="83">
        <v>8.1</v>
      </c>
      <c r="Q27" s="83">
        <v>4.5</v>
      </c>
      <c r="R27" s="83">
        <v>61.9</v>
      </c>
      <c r="S27" s="83">
        <v>0</v>
      </c>
    </row>
    <row r="28" spans="1:19" ht="16" x14ac:dyDescent="0.2">
      <c r="A28" s="89">
        <v>26</v>
      </c>
      <c r="B28" s="84" t="s">
        <v>3086</v>
      </c>
      <c r="C28" s="84" t="s">
        <v>1087</v>
      </c>
      <c r="D28" s="83">
        <v>25</v>
      </c>
      <c r="E28" s="83" t="s">
        <v>83</v>
      </c>
      <c r="F28" s="83">
        <v>16</v>
      </c>
      <c r="G28" s="83">
        <v>15</v>
      </c>
      <c r="H28" s="83">
        <v>121</v>
      </c>
      <c r="I28" s="83">
        <v>77</v>
      </c>
      <c r="J28" s="86">
        <v>0.63600000000000001</v>
      </c>
      <c r="K28" s="83">
        <v>1405</v>
      </c>
      <c r="L28" s="83">
        <v>18.2</v>
      </c>
      <c r="M28" s="83">
        <v>6</v>
      </c>
      <c r="N28" s="83">
        <v>51</v>
      </c>
      <c r="O28" s="83">
        <v>83</v>
      </c>
      <c r="P28" s="83">
        <v>11.6</v>
      </c>
      <c r="Q28" s="83">
        <v>4.8</v>
      </c>
      <c r="R28" s="83">
        <v>87.8</v>
      </c>
      <c r="S28" s="83">
        <v>4</v>
      </c>
    </row>
    <row r="29" spans="1:19" ht="16" x14ac:dyDescent="0.2">
      <c r="A29" s="89">
        <v>27</v>
      </c>
      <c r="B29" s="84" t="s">
        <v>247</v>
      </c>
      <c r="C29" s="84" t="s">
        <v>118</v>
      </c>
      <c r="D29" s="83">
        <v>27</v>
      </c>
      <c r="E29" s="83" t="s">
        <v>83</v>
      </c>
      <c r="F29" s="83">
        <v>16</v>
      </c>
      <c r="G29" s="83">
        <v>14</v>
      </c>
      <c r="H29" s="83">
        <v>129</v>
      </c>
      <c r="I29" s="83">
        <v>76</v>
      </c>
      <c r="J29" s="86">
        <v>0.58899999999999997</v>
      </c>
      <c r="K29" s="83">
        <v>1146</v>
      </c>
      <c r="L29" s="83">
        <v>15.1</v>
      </c>
      <c r="M29" s="83">
        <v>9</v>
      </c>
      <c r="N29" s="83">
        <v>51</v>
      </c>
      <c r="O29" s="83">
        <v>72</v>
      </c>
      <c r="P29" s="83">
        <v>8.9</v>
      </c>
      <c r="Q29" s="83">
        <v>4.8</v>
      </c>
      <c r="R29" s="83">
        <v>71.599999999999994</v>
      </c>
      <c r="S29" s="83">
        <v>0</v>
      </c>
    </row>
    <row r="30" spans="1:19" ht="16" x14ac:dyDescent="0.2">
      <c r="A30" s="89">
        <v>28</v>
      </c>
      <c r="B30" s="84" t="s">
        <v>885</v>
      </c>
      <c r="C30" s="84" t="s">
        <v>108</v>
      </c>
      <c r="D30" s="83">
        <v>24</v>
      </c>
      <c r="E30" s="83" t="s">
        <v>83</v>
      </c>
      <c r="F30" s="83">
        <v>17</v>
      </c>
      <c r="G30" s="83">
        <v>17</v>
      </c>
      <c r="H30" s="83">
        <v>129</v>
      </c>
      <c r="I30" s="83">
        <v>75</v>
      </c>
      <c r="J30" s="86">
        <v>0.58099999999999996</v>
      </c>
      <c r="K30" s="83">
        <v>967</v>
      </c>
      <c r="L30" s="83">
        <v>12.9</v>
      </c>
      <c r="M30" s="83">
        <v>12</v>
      </c>
      <c r="N30" s="83">
        <v>48</v>
      </c>
      <c r="O30" s="83">
        <v>84</v>
      </c>
      <c r="P30" s="83">
        <v>7.5</v>
      </c>
      <c r="Q30" s="83">
        <v>4.4000000000000004</v>
      </c>
      <c r="R30" s="83">
        <v>56.9</v>
      </c>
      <c r="S30" s="83">
        <v>1</v>
      </c>
    </row>
    <row r="31" spans="1:19" ht="16" x14ac:dyDescent="0.2">
      <c r="A31" s="89">
        <v>29</v>
      </c>
      <c r="B31" s="84" t="s">
        <v>320</v>
      </c>
      <c r="C31" s="83" t="s">
        <v>1726</v>
      </c>
      <c r="D31" s="83">
        <v>31</v>
      </c>
      <c r="E31" s="83" t="s">
        <v>88</v>
      </c>
      <c r="F31" s="83">
        <v>17</v>
      </c>
      <c r="G31" s="83">
        <v>14</v>
      </c>
      <c r="H31" s="83">
        <v>112</v>
      </c>
      <c r="I31" s="83">
        <v>74</v>
      </c>
      <c r="J31" s="86">
        <v>0.66100000000000003</v>
      </c>
      <c r="K31" s="83">
        <v>763</v>
      </c>
      <c r="L31" s="83">
        <v>10.3</v>
      </c>
      <c r="M31" s="83">
        <v>5</v>
      </c>
      <c r="N31" s="83">
        <v>40</v>
      </c>
      <c r="O31" s="83">
        <v>47</v>
      </c>
      <c r="P31" s="83">
        <v>6.8</v>
      </c>
      <c r="Q31" s="83">
        <v>4.4000000000000004</v>
      </c>
      <c r="R31" s="83">
        <v>44.9</v>
      </c>
      <c r="S31" s="83">
        <v>0</v>
      </c>
    </row>
    <row r="32" spans="1:19" x14ac:dyDescent="0.2">
      <c r="A32" s="89" t="s">
        <v>902</v>
      </c>
      <c r="B32" s="89" t="s">
        <v>903</v>
      </c>
      <c r="C32" s="89" t="s">
        <v>1314</v>
      </c>
      <c r="D32" s="89" t="s">
        <v>905</v>
      </c>
      <c r="E32" s="89" t="s">
        <v>906</v>
      </c>
      <c r="F32" s="89" t="s">
        <v>1315</v>
      </c>
      <c r="G32" s="89" t="s">
        <v>1316</v>
      </c>
      <c r="H32" s="89" t="s">
        <v>2314</v>
      </c>
      <c r="I32" s="89" t="s">
        <v>2092</v>
      </c>
      <c r="J32" s="89" t="s">
        <v>2093</v>
      </c>
      <c r="K32" s="89" t="s">
        <v>799</v>
      </c>
      <c r="L32" s="89" t="s">
        <v>2315</v>
      </c>
      <c r="M32" s="89" t="s">
        <v>800</v>
      </c>
      <c r="N32" s="89" t="s">
        <v>1321</v>
      </c>
      <c r="O32" s="89" t="s">
        <v>917</v>
      </c>
      <c r="P32" s="89" t="s">
        <v>2316</v>
      </c>
      <c r="Q32" s="89" t="s">
        <v>2317</v>
      </c>
      <c r="R32" s="89" t="s">
        <v>1325</v>
      </c>
      <c r="S32" s="89" t="s">
        <v>1416</v>
      </c>
    </row>
    <row r="33" spans="1:19" ht="16" x14ac:dyDescent="0.2">
      <c r="A33" s="89">
        <v>30</v>
      </c>
      <c r="B33" s="84" t="s">
        <v>3101</v>
      </c>
      <c r="C33" s="84" t="s">
        <v>976</v>
      </c>
      <c r="D33" s="83">
        <v>28</v>
      </c>
      <c r="E33" s="83" t="s">
        <v>83</v>
      </c>
      <c r="F33" s="83">
        <v>16</v>
      </c>
      <c r="G33" s="83">
        <v>16</v>
      </c>
      <c r="H33" s="83">
        <v>114</v>
      </c>
      <c r="I33" s="83">
        <v>74</v>
      </c>
      <c r="J33" s="86">
        <v>0.64900000000000002</v>
      </c>
      <c r="K33" s="83">
        <v>1035</v>
      </c>
      <c r="L33" s="83">
        <v>14</v>
      </c>
      <c r="M33" s="83">
        <v>14</v>
      </c>
      <c r="N33" s="83">
        <v>56</v>
      </c>
      <c r="O33" s="83">
        <v>46</v>
      </c>
      <c r="P33" s="83">
        <v>9.1</v>
      </c>
      <c r="Q33" s="83">
        <v>4.5999999999999996</v>
      </c>
      <c r="R33" s="83">
        <v>64.7</v>
      </c>
      <c r="S33" s="83">
        <v>0</v>
      </c>
    </row>
    <row r="34" spans="1:19" ht="16" x14ac:dyDescent="0.2">
      <c r="A34" s="89">
        <v>31</v>
      </c>
      <c r="B34" s="84" t="s">
        <v>3095</v>
      </c>
      <c r="C34" s="84" t="s">
        <v>99</v>
      </c>
      <c r="D34" s="83">
        <v>23</v>
      </c>
      <c r="E34" s="83" t="s">
        <v>68</v>
      </c>
      <c r="F34" s="83">
        <v>17</v>
      </c>
      <c r="G34" s="83">
        <v>17</v>
      </c>
      <c r="H34" s="83">
        <v>94</v>
      </c>
      <c r="I34" s="83">
        <v>74</v>
      </c>
      <c r="J34" s="86">
        <v>0.78700000000000003</v>
      </c>
      <c r="K34" s="83">
        <v>467</v>
      </c>
      <c r="L34" s="83">
        <v>6.3</v>
      </c>
      <c r="M34" s="83">
        <v>3</v>
      </c>
      <c r="N34" s="83">
        <v>22</v>
      </c>
      <c r="O34" s="83">
        <v>25</v>
      </c>
      <c r="P34" s="83">
        <v>5</v>
      </c>
      <c r="Q34" s="83">
        <v>4.4000000000000004</v>
      </c>
      <c r="R34" s="83">
        <v>27.5</v>
      </c>
      <c r="S34" s="83">
        <v>0</v>
      </c>
    </row>
    <row r="35" spans="1:19" ht="16" x14ac:dyDescent="0.2">
      <c r="A35" s="89">
        <v>32</v>
      </c>
      <c r="B35" s="84" t="s">
        <v>236</v>
      </c>
      <c r="C35" s="84" t="s">
        <v>74</v>
      </c>
      <c r="D35" s="83">
        <v>22</v>
      </c>
      <c r="E35" s="83" t="s">
        <v>83</v>
      </c>
      <c r="F35" s="83">
        <v>14</v>
      </c>
      <c r="G35" s="83">
        <v>14</v>
      </c>
      <c r="H35" s="83">
        <v>110</v>
      </c>
      <c r="I35" s="83">
        <v>74</v>
      </c>
      <c r="J35" s="86">
        <v>0.67300000000000004</v>
      </c>
      <c r="K35" s="83">
        <v>1091</v>
      </c>
      <c r="L35" s="83">
        <v>14.7</v>
      </c>
      <c r="M35" s="83">
        <v>6</v>
      </c>
      <c r="N35" s="83">
        <v>53</v>
      </c>
      <c r="O35" s="83">
        <v>54</v>
      </c>
      <c r="P35" s="83">
        <v>9.9</v>
      </c>
      <c r="Q35" s="83">
        <v>5.3</v>
      </c>
      <c r="R35" s="83">
        <v>77.900000000000006</v>
      </c>
      <c r="S35" s="83">
        <v>1</v>
      </c>
    </row>
    <row r="36" spans="1:19" ht="16" x14ac:dyDescent="0.2">
      <c r="A36" s="89">
        <v>33</v>
      </c>
      <c r="B36" s="84" t="s">
        <v>261</v>
      </c>
      <c r="C36" s="84" t="s">
        <v>142</v>
      </c>
      <c r="D36" s="83">
        <v>26</v>
      </c>
      <c r="E36" s="83" t="s">
        <v>88</v>
      </c>
      <c r="F36" s="83">
        <v>17</v>
      </c>
      <c r="G36" s="83">
        <v>9</v>
      </c>
      <c r="H36" s="83">
        <v>112</v>
      </c>
      <c r="I36" s="83">
        <v>73</v>
      </c>
      <c r="J36" s="86">
        <v>0.65200000000000002</v>
      </c>
      <c r="K36" s="83">
        <v>780</v>
      </c>
      <c r="L36" s="83">
        <v>10.7</v>
      </c>
      <c r="M36" s="83">
        <v>2</v>
      </c>
      <c r="N36" s="83">
        <v>39</v>
      </c>
      <c r="O36" s="83">
        <v>40</v>
      </c>
      <c r="P36" s="83">
        <v>7</v>
      </c>
      <c r="Q36" s="83">
        <v>4.3</v>
      </c>
      <c r="R36" s="83">
        <v>45.9</v>
      </c>
      <c r="S36" s="83">
        <v>0</v>
      </c>
    </row>
    <row r="37" spans="1:19" ht="16" x14ac:dyDescent="0.2">
      <c r="A37" s="89">
        <v>34</v>
      </c>
      <c r="B37" s="84" t="s">
        <v>889</v>
      </c>
      <c r="C37" s="84" t="s">
        <v>1052</v>
      </c>
      <c r="D37" s="83">
        <v>31</v>
      </c>
      <c r="E37" s="83" t="s">
        <v>83</v>
      </c>
      <c r="F37" s="83">
        <v>17</v>
      </c>
      <c r="G37" s="83">
        <v>16</v>
      </c>
      <c r="H37" s="83">
        <v>120</v>
      </c>
      <c r="I37" s="83">
        <v>73</v>
      </c>
      <c r="J37" s="86">
        <v>0.60799999999999998</v>
      </c>
      <c r="K37" s="83">
        <v>832</v>
      </c>
      <c r="L37" s="83">
        <v>11.4</v>
      </c>
      <c r="M37" s="83">
        <v>4</v>
      </c>
      <c r="N37" s="83">
        <v>42</v>
      </c>
      <c r="O37" s="83">
        <v>33</v>
      </c>
      <c r="P37" s="83">
        <v>6.9</v>
      </c>
      <c r="Q37" s="83">
        <v>4.3</v>
      </c>
      <c r="R37" s="83">
        <v>48.9</v>
      </c>
      <c r="S37" s="83">
        <v>0</v>
      </c>
    </row>
    <row r="38" spans="1:19" ht="16" x14ac:dyDescent="0.2">
      <c r="A38" s="89">
        <v>35</v>
      </c>
      <c r="B38" s="84" t="s">
        <v>150</v>
      </c>
      <c r="C38" s="84" t="s">
        <v>108</v>
      </c>
      <c r="D38" s="83">
        <v>29</v>
      </c>
      <c r="E38" s="83" t="s">
        <v>83</v>
      </c>
      <c r="F38" s="83">
        <v>16</v>
      </c>
      <c r="G38" s="83">
        <v>16</v>
      </c>
      <c r="H38" s="83">
        <v>107</v>
      </c>
      <c r="I38" s="83">
        <v>73</v>
      </c>
      <c r="J38" s="86">
        <v>0.68200000000000005</v>
      </c>
      <c r="K38" s="83">
        <v>1175</v>
      </c>
      <c r="L38" s="83">
        <v>16.100000000000001</v>
      </c>
      <c r="M38" s="83">
        <v>8</v>
      </c>
      <c r="N38" s="83">
        <v>41</v>
      </c>
      <c r="O38" s="83">
        <v>69</v>
      </c>
      <c r="P38" s="83">
        <v>11</v>
      </c>
      <c r="Q38" s="83">
        <v>4.5999999999999996</v>
      </c>
      <c r="R38" s="83">
        <v>73.400000000000006</v>
      </c>
      <c r="S38" s="83">
        <v>0</v>
      </c>
    </row>
    <row r="39" spans="1:19" ht="16" x14ac:dyDescent="0.2">
      <c r="A39" s="89">
        <v>36</v>
      </c>
      <c r="B39" s="84" t="s">
        <v>2649</v>
      </c>
      <c r="C39" s="84" t="s">
        <v>1087</v>
      </c>
      <c r="D39" s="83">
        <v>28</v>
      </c>
      <c r="E39" s="83" t="s">
        <v>88</v>
      </c>
      <c r="F39" s="83">
        <v>14</v>
      </c>
      <c r="G39" s="83">
        <v>14</v>
      </c>
      <c r="H39" s="83">
        <v>94</v>
      </c>
      <c r="I39" s="83">
        <v>71</v>
      </c>
      <c r="J39" s="86">
        <v>0.755</v>
      </c>
      <c r="K39" s="83">
        <v>910</v>
      </c>
      <c r="L39" s="83">
        <v>12.8</v>
      </c>
      <c r="M39" s="83">
        <v>6</v>
      </c>
      <c r="N39" s="83">
        <v>42</v>
      </c>
      <c r="O39" s="83">
        <v>48</v>
      </c>
      <c r="P39" s="83">
        <v>9.6999999999999993</v>
      </c>
      <c r="Q39" s="83">
        <v>5.0999999999999996</v>
      </c>
      <c r="R39" s="83">
        <v>65</v>
      </c>
      <c r="S39" s="83">
        <v>2</v>
      </c>
    </row>
    <row r="40" spans="1:19" ht="16" x14ac:dyDescent="0.2">
      <c r="A40" s="89">
        <v>37</v>
      </c>
      <c r="B40" s="84" t="s">
        <v>145</v>
      </c>
      <c r="C40" s="84" t="s">
        <v>118</v>
      </c>
      <c r="D40" s="83">
        <v>26</v>
      </c>
      <c r="E40" s="83" t="s">
        <v>68</v>
      </c>
      <c r="F40" s="83">
        <v>16</v>
      </c>
      <c r="G40" s="83">
        <v>16</v>
      </c>
      <c r="H40" s="83">
        <v>94</v>
      </c>
      <c r="I40" s="83">
        <v>70</v>
      </c>
      <c r="J40" s="86">
        <v>0.745</v>
      </c>
      <c r="K40" s="83">
        <v>647</v>
      </c>
      <c r="L40" s="83">
        <v>9.1999999999999993</v>
      </c>
      <c r="M40" s="83">
        <v>8</v>
      </c>
      <c r="N40" s="83">
        <v>31</v>
      </c>
      <c r="O40" s="83">
        <v>40</v>
      </c>
      <c r="P40" s="83">
        <v>6.9</v>
      </c>
      <c r="Q40" s="83">
        <v>4.4000000000000004</v>
      </c>
      <c r="R40" s="83">
        <v>40.4</v>
      </c>
      <c r="S40" s="83">
        <v>4</v>
      </c>
    </row>
    <row r="41" spans="1:19" ht="16" x14ac:dyDescent="0.2">
      <c r="A41" s="89">
        <v>38</v>
      </c>
      <c r="B41" s="84" t="s">
        <v>1477</v>
      </c>
      <c r="C41" s="84" t="s">
        <v>976</v>
      </c>
      <c r="D41" s="83">
        <v>26</v>
      </c>
      <c r="E41" s="83" t="s">
        <v>68</v>
      </c>
      <c r="F41" s="83">
        <v>14</v>
      </c>
      <c r="G41" s="83">
        <v>13</v>
      </c>
      <c r="H41" s="83">
        <v>84</v>
      </c>
      <c r="I41" s="83">
        <v>69</v>
      </c>
      <c r="J41" s="86">
        <v>0.82099999999999995</v>
      </c>
      <c r="K41" s="83">
        <v>454</v>
      </c>
      <c r="L41" s="83">
        <v>6.6</v>
      </c>
      <c r="M41" s="83">
        <v>2</v>
      </c>
      <c r="N41" s="83">
        <v>30</v>
      </c>
      <c r="O41" s="83">
        <v>23</v>
      </c>
      <c r="P41" s="83">
        <v>5.4</v>
      </c>
      <c r="Q41" s="83">
        <v>4.9000000000000004</v>
      </c>
      <c r="R41" s="83">
        <v>32.4</v>
      </c>
      <c r="S41" s="83">
        <v>1</v>
      </c>
    </row>
    <row r="42" spans="1:19" ht="16" x14ac:dyDescent="0.2">
      <c r="A42" s="89">
        <v>39</v>
      </c>
      <c r="B42" s="84" t="s">
        <v>1895</v>
      </c>
      <c r="C42" s="84" t="s">
        <v>729</v>
      </c>
      <c r="D42" s="83">
        <v>27</v>
      </c>
      <c r="E42" s="83" t="s">
        <v>83</v>
      </c>
      <c r="F42" s="83">
        <v>15</v>
      </c>
      <c r="G42" s="83">
        <v>14</v>
      </c>
      <c r="H42" s="83">
        <v>104</v>
      </c>
      <c r="I42" s="83">
        <v>68</v>
      </c>
      <c r="J42" s="86">
        <v>0.65400000000000003</v>
      </c>
      <c r="K42" s="83">
        <v>865</v>
      </c>
      <c r="L42" s="83">
        <v>12.7</v>
      </c>
      <c r="M42" s="83">
        <v>8</v>
      </c>
      <c r="N42" s="83">
        <v>45</v>
      </c>
      <c r="O42" s="83">
        <v>41</v>
      </c>
      <c r="P42" s="83">
        <v>8.3000000000000007</v>
      </c>
      <c r="Q42" s="83">
        <v>4.5</v>
      </c>
      <c r="R42" s="83">
        <v>57.7</v>
      </c>
      <c r="S42" s="83">
        <v>1</v>
      </c>
    </row>
    <row r="43" spans="1:19" ht="16" x14ac:dyDescent="0.2">
      <c r="A43" s="89">
        <v>40</v>
      </c>
      <c r="B43" s="84" t="s">
        <v>267</v>
      </c>
      <c r="C43" s="84" t="s">
        <v>93</v>
      </c>
      <c r="D43" s="83">
        <v>24</v>
      </c>
      <c r="E43" s="83" t="s">
        <v>88</v>
      </c>
      <c r="F43" s="83">
        <v>16</v>
      </c>
      <c r="G43" s="83">
        <v>16</v>
      </c>
      <c r="H43" s="83">
        <v>90</v>
      </c>
      <c r="I43" s="83">
        <v>68</v>
      </c>
      <c r="J43" s="86">
        <v>0.75600000000000001</v>
      </c>
      <c r="K43" s="83">
        <v>670</v>
      </c>
      <c r="L43" s="83">
        <v>9.9</v>
      </c>
      <c r="M43" s="83">
        <v>4</v>
      </c>
      <c r="N43" s="83">
        <v>29</v>
      </c>
      <c r="O43" s="83">
        <v>35</v>
      </c>
      <c r="P43" s="83">
        <v>7.4</v>
      </c>
      <c r="Q43" s="83">
        <v>4.3</v>
      </c>
      <c r="R43" s="83">
        <v>41.9</v>
      </c>
      <c r="S43" s="83">
        <v>0</v>
      </c>
    </row>
    <row r="44" spans="1:19" ht="16" x14ac:dyDescent="0.2">
      <c r="A44" s="89">
        <v>41</v>
      </c>
      <c r="B44" s="84" t="s">
        <v>2655</v>
      </c>
      <c r="C44" s="84" t="s">
        <v>101</v>
      </c>
      <c r="D44" s="83">
        <v>21</v>
      </c>
      <c r="E44" s="83" t="s">
        <v>88</v>
      </c>
      <c r="F44" s="83">
        <v>17</v>
      </c>
      <c r="G44" s="83">
        <v>15</v>
      </c>
      <c r="H44" s="83">
        <v>110</v>
      </c>
      <c r="I44" s="83">
        <v>68</v>
      </c>
      <c r="J44" s="86">
        <v>0.61799999999999999</v>
      </c>
      <c r="K44" s="83">
        <v>1026</v>
      </c>
      <c r="L44" s="83">
        <v>15.1</v>
      </c>
      <c r="M44" s="83">
        <v>1</v>
      </c>
      <c r="N44" s="83">
        <v>43</v>
      </c>
      <c r="O44" s="83">
        <v>61</v>
      </c>
      <c r="P44" s="83">
        <v>9.3000000000000007</v>
      </c>
      <c r="Q44" s="83">
        <v>4</v>
      </c>
      <c r="R44" s="83">
        <v>60.4</v>
      </c>
      <c r="S44" s="83">
        <v>0</v>
      </c>
    </row>
    <row r="45" spans="1:19" ht="16" x14ac:dyDescent="0.2">
      <c r="A45" s="89">
        <v>42</v>
      </c>
      <c r="B45" s="84" t="s">
        <v>241</v>
      </c>
      <c r="C45" s="84" t="s">
        <v>74</v>
      </c>
      <c r="D45" s="83">
        <v>27</v>
      </c>
      <c r="E45" s="83" t="s">
        <v>83</v>
      </c>
      <c r="F45" s="83">
        <v>16</v>
      </c>
      <c r="G45" s="83">
        <v>10</v>
      </c>
      <c r="H45" s="83">
        <v>94</v>
      </c>
      <c r="I45" s="83">
        <v>67</v>
      </c>
      <c r="J45" s="86">
        <v>0.71299999999999997</v>
      </c>
      <c r="K45" s="83">
        <v>828</v>
      </c>
      <c r="L45" s="83">
        <v>12.4</v>
      </c>
      <c r="M45" s="83">
        <v>5</v>
      </c>
      <c r="N45" s="83">
        <v>37</v>
      </c>
      <c r="O45" s="83">
        <v>68</v>
      </c>
      <c r="P45" s="83">
        <v>8.8000000000000007</v>
      </c>
      <c r="Q45" s="83">
        <v>4.2</v>
      </c>
      <c r="R45" s="83">
        <v>51.8</v>
      </c>
      <c r="S45" s="83">
        <v>1</v>
      </c>
    </row>
    <row r="46" spans="1:19" ht="16" x14ac:dyDescent="0.2">
      <c r="A46" s="89">
        <v>43</v>
      </c>
      <c r="B46" s="84" t="s">
        <v>129</v>
      </c>
      <c r="C46" s="84" t="s">
        <v>73</v>
      </c>
      <c r="D46" s="83">
        <v>31</v>
      </c>
      <c r="E46" s="83" t="s">
        <v>83</v>
      </c>
      <c r="F46" s="83">
        <v>13</v>
      </c>
      <c r="G46" s="83">
        <v>13</v>
      </c>
      <c r="H46" s="83">
        <v>95</v>
      </c>
      <c r="I46" s="83">
        <v>67</v>
      </c>
      <c r="J46" s="86">
        <v>0.70499999999999996</v>
      </c>
      <c r="K46" s="83">
        <v>726</v>
      </c>
      <c r="L46" s="83">
        <v>10.8</v>
      </c>
      <c r="M46" s="83">
        <v>10</v>
      </c>
      <c r="N46" s="83">
        <v>37</v>
      </c>
      <c r="O46" s="83">
        <v>35</v>
      </c>
      <c r="P46" s="83">
        <v>7.6</v>
      </c>
      <c r="Q46" s="83">
        <v>5.2</v>
      </c>
      <c r="R46" s="83">
        <v>55.8</v>
      </c>
      <c r="S46" s="83">
        <v>1</v>
      </c>
    </row>
    <row r="47" spans="1:19" ht="16" x14ac:dyDescent="0.2">
      <c r="A47" s="89">
        <v>44</v>
      </c>
      <c r="B47" s="84" t="s">
        <v>251</v>
      </c>
      <c r="C47" s="84" t="s">
        <v>101</v>
      </c>
      <c r="D47" s="83">
        <v>25</v>
      </c>
      <c r="E47" s="83" t="s">
        <v>83</v>
      </c>
      <c r="F47" s="83">
        <v>14</v>
      </c>
      <c r="G47" s="83">
        <v>9</v>
      </c>
      <c r="H47" s="83">
        <v>94</v>
      </c>
      <c r="I47" s="83">
        <v>66</v>
      </c>
      <c r="J47" s="86">
        <v>0.70199999999999996</v>
      </c>
      <c r="K47" s="83">
        <v>770</v>
      </c>
      <c r="L47" s="83">
        <v>11.7</v>
      </c>
      <c r="M47" s="83">
        <v>4</v>
      </c>
      <c r="N47" s="83">
        <v>37</v>
      </c>
      <c r="O47" s="83">
        <v>49</v>
      </c>
      <c r="P47" s="83">
        <v>8.1999999999999993</v>
      </c>
      <c r="Q47" s="83">
        <v>4.7</v>
      </c>
      <c r="R47" s="83">
        <v>55</v>
      </c>
      <c r="S47" s="83">
        <v>2</v>
      </c>
    </row>
    <row r="48" spans="1:19" ht="16" x14ac:dyDescent="0.2">
      <c r="A48" s="89">
        <v>45</v>
      </c>
      <c r="B48" s="84" t="s">
        <v>278</v>
      </c>
      <c r="C48" s="84" t="s">
        <v>102</v>
      </c>
      <c r="D48" s="83">
        <v>23</v>
      </c>
      <c r="E48" s="83" t="s">
        <v>83</v>
      </c>
      <c r="F48" s="83">
        <v>17</v>
      </c>
      <c r="G48" s="83">
        <v>16</v>
      </c>
      <c r="H48" s="83">
        <v>104</v>
      </c>
      <c r="I48" s="83">
        <v>64</v>
      </c>
      <c r="J48" s="86">
        <v>0.61499999999999999</v>
      </c>
      <c r="K48" s="83">
        <v>916</v>
      </c>
      <c r="L48" s="83">
        <v>14.3</v>
      </c>
      <c r="M48" s="83">
        <v>5</v>
      </c>
      <c r="N48" s="83">
        <v>43</v>
      </c>
      <c r="O48" s="83">
        <v>46</v>
      </c>
      <c r="P48" s="83">
        <v>8.8000000000000007</v>
      </c>
      <c r="Q48" s="83">
        <v>3.8</v>
      </c>
      <c r="R48" s="83">
        <v>53.9</v>
      </c>
      <c r="S48" s="83">
        <v>1</v>
      </c>
    </row>
    <row r="49" spans="1:19" ht="16" x14ac:dyDescent="0.2">
      <c r="A49" s="89">
        <v>46</v>
      </c>
      <c r="B49" s="84" t="s">
        <v>109</v>
      </c>
      <c r="C49" s="84" t="s">
        <v>77</v>
      </c>
      <c r="D49" s="83">
        <v>24</v>
      </c>
      <c r="E49" s="83" t="s">
        <v>83</v>
      </c>
      <c r="F49" s="83">
        <v>13</v>
      </c>
      <c r="G49" s="83">
        <v>13</v>
      </c>
      <c r="H49" s="83">
        <v>105</v>
      </c>
      <c r="I49" s="83">
        <v>63</v>
      </c>
      <c r="J49" s="86">
        <v>0.6</v>
      </c>
      <c r="K49" s="83">
        <v>869</v>
      </c>
      <c r="L49" s="83">
        <v>13.8</v>
      </c>
      <c r="M49" s="83">
        <v>5</v>
      </c>
      <c r="N49" s="83">
        <v>45</v>
      </c>
      <c r="O49" s="83">
        <v>57</v>
      </c>
      <c r="P49" s="83">
        <v>8.3000000000000007</v>
      </c>
      <c r="Q49" s="83">
        <v>4.8</v>
      </c>
      <c r="R49" s="83">
        <v>66.8</v>
      </c>
      <c r="S49" s="83">
        <v>0</v>
      </c>
    </row>
    <row r="50" spans="1:19" ht="16" x14ac:dyDescent="0.2">
      <c r="A50" s="89">
        <v>47</v>
      </c>
      <c r="B50" s="84" t="s">
        <v>258</v>
      </c>
      <c r="C50" s="84" t="s">
        <v>1052</v>
      </c>
      <c r="D50" s="83">
        <v>23</v>
      </c>
      <c r="E50" s="83" t="s">
        <v>83</v>
      </c>
      <c r="F50" s="83">
        <v>16</v>
      </c>
      <c r="G50" s="83">
        <v>10</v>
      </c>
      <c r="H50" s="83">
        <v>100</v>
      </c>
      <c r="I50" s="83">
        <v>63</v>
      </c>
      <c r="J50" s="86">
        <v>0.63</v>
      </c>
      <c r="K50" s="83">
        <v>619</v>
      </c>
      <c r="L50" s="83">
        <v>9.8000000000000007</v>
      </c>
      <c r="M50" s="83">
        <v>0</v>
      </c>
      <c r="N50" s="83">
        <v>30</v>
      </c>
      <c r="O50" s="83">
        <v>58</v>
      </c>
      <c r="P50" s="83">
        <v>6.2</v>
      </c>
      <c r="Q50" s="83">
        <v>3.9</v>
      </c>
      <c r="R50" s="83">
        <v>38.700000000000003</v>
      </c>
      <c r="S50" s="83">
        <v>1</v>
      </c>
    </row>
    <row r="51" spans="1:19" ht="16" x14ac:dyDescent="0.2">
      <c r="A51" s="89">
        <v>48</v>
      </c>
      <c r="B51" s="84" t="s">
        <v>180</v>
      </c>
      <c r="C51" s="84" t="s">
        <v>139</v>
      </c>
      <c r="D51" s="83">
        <v>22</v>
      </c>
      <c r="E51" s="83" t="s">
        <v>68</v>
      </c>
      <c r="F51" s="83">
        <v>13</v>
      </c>
      <c r="G51" s="83">
        <v>4</v>
      </c>
      <c r="H51" s="83">
        <v>78</v>
      </c>
      <c r="I51" s="83">
        <v>62</v>
      </c>
      <c r="J51" s="86">
        <v>0.79500000000000004</v>
      </c>
      <c r="K51" s="83">
        <v>452</v>
      </c>
      <c r="L51" s="83">
        <v>7.3</v>
      </c>
      <c r="M51" s="83">
        <v>2</v>
      </c>
      <c r="N51" s="83">
        <v>18</v>
      </c>
      <c r="O51" s="83">
        <v>63</v>
      </c>
      <c r="P51" s="83">
        <v>5.8</v>
      </c>
      <c r="Q51" s="83">
        <v>4.8</v>
      </c>
      <c r="R51" s="83">
        <v>34.799999999999997</v>
      </c>
      <c r="S51" s="83">
        <v>2</v>
      </c>
    </row>
    <row r="52" spans="1:19" ht="16" x14ac:dyDescent="0.2">
      <c r="A52" s="89">
        <v>49</v>
      </c>
      <c r="B52" s="84" t="s">
        <v>617</v>
      </c>
      <c r="C52" s="84" t="s">
        <v>73</v>
      </c>
      <c r="D52" s="83">
        <v>26</v>
      </c>
      <c r="E52" s="83" t="s">
        <v>88</v>
      </c>
      <c r="F52" s="83">
        <v>17</v>
      </c>
      <c r="G52" s="83">
        <v>15</v>
      </c>
      <c r="H52" s="83">
        <v>87</v>
      </c>
      <c r="I52" s="83">
        <v>61</v>
      </c>
      <c r="J52" s="86">
        <v>0.70099999999999996</v>
      </c>
      <c r="K52" s="83">
        <v>593</v>
      </c>
      <c r="L52" s="83">
        <v>9.6999999999999993</v>
      </c>
      <c r="M52" s="83">
        <v>3</v>
      </c>
      <c r="N52" s="83">
        <v>26</v>
      </c>
      <c r="O52" s="83">
        <v>40</v>
      </c>
      <c r="P52" s="83">
        <v>6.8</v>
      </c>
      <c r="Q52" s="83">
        <v>3.6</v>
      </c>
      <c r="R52" s="83">
        <v>34.9</v>
      </c>
      <c r="S52" s="83">
        <v>1</v>
      </c>
    </row>
    <row r="53" spans="1:19" ht="16" x14ac:dyDescent="0.2">
      <c r="A53" s="89">
        <v>50</v>
      </c>
      <c r="B53" s="84" t="s">
        <v>2020</v>
      </c>
      <c r="C53" s="84" t="s">
        <v>730</v>
      </c>
      <c r="D53" s="83">
        <v>28</v>
      </c>
      <c r="E53" s="83" t="s">
        <v>88</v>
      </c>
      <c r="F53" s="83">
        <v>15</v>
      </c>
      <c r="G53" s="83">
        <v>15</v>
      </c>
      <c r="H53" s="83">
        <v>85</v>
      </c>
      <c r="I53" s="83">
        <v>61</v>
      </c>
      <c r="J53" s="86">
        <v>0.71799999999999997</v>
      </c>
      <c r="K53" s="83">
        <v>560</v>
      </c>
      <c r="L53" s="83">
        <v>9.1999999999999993</v>
      </c>
      <c r="M53" s="83">
        <v>5</v>
      </c>
      <c r="N53" s="83">
        <v>33</v>
      </c>
      <c r="O53" s="83">
        <v>37</v>
      </c>
      <c r="P53" s="83">
        <v>6.6</v>
      </c>
      <c r="Q53" s="83">
        <v>4.0999999999999996</v>
      </c>
      <c r="R53" s="83">
        <v>37.299999999999997</v>
      </c>
      <c r="S53" s="83">
        <v>1</v>
      </c>
    </row>
    <row r="54" spans="1:19" ht="16" x14ac:dyDescent="0.2">
      <c r="A54" s="89">
        <v>51</v>
      </c>
      <c r="B54" s="84" t="s">
        <v>246</v>
      </c>
      <c r="C54" s="84" t="s">
        <v>139</v>
      </c>
      <c r="D54" s="83">
        <v>24</v>
      </c>
      <c r="E54" s="83" t="s">
        <v>88</v>
      </c>
      <c r="F54" s="83">
        <v>12</v>
      </c>
      <c r="G54" s="83">
        <v>12</v>
      </c>
      <c r="H54" s="83">
        <v>84</v>
      </c>
      <c r="I54" s="83">
        <v>61</v>
      </c>
      <c r="J54" s="86">
        <v>0.72599999999999998</v>
      </c>
      <c r="K54" s="83">
        <v>583</v>
      </c>
      <c r="L54" s="83">
        <v>9.6</v>
      </c>
      <c r="M54" s="83">
        <v>4</v>
      </c>
      <c r="N54" s="83">
        <v>32</v>
      </c>
      <c r="O54" s="83">
        <v>33</v>
      </c>
      <c r="P54" s="83">
        <v>6.9</v>
      </c>
      <c r="Q54" s="83">
        <v>5.0999999999999996</v>
      </c>
      <c r="R54" s="83">
        <v>48.6</v>
      </c>
      <c r="S54" s="83">
        <v>0</v>
      </c>
    </row>
    <row r="55" spans="1:19" ht="16" x14ac:dyDescent="0.2">
      <c r="A55" s="89">
        <v>52</v>
      </c>
      <c r="B55" s="84" t="s">
        <v>613</v>
      </c>
      <c r="C55" s="84" t="s">
        <v>99</v>
      </c>
      <c r="D55" s="83">
        <v>23</v>
      </c>
      <c r="E55" s="83" t="s">
        <v>88</v>
      </c>
      <c r="F55" s="83">
        <v>16</v>
      </c>
      <c r="G55" s="83">
        <v>9</v>
      </c>
      <c r="H55" s="83">
        <v>79</v>
      </c>
      <c r="I55" s="83">
        <v>60</v>
      </c>
      <c r="J55" s="86">
        <v>0.75900000000000001</v>
      </c>
      <c r="K55" s="83">
        <v>497</v>
      </c>
      <c r="L55" s="83">
        <v>8.3000000000000007</v>
      </c>
      <c r="M55" s="83">
        <v>7</v>
      </c>
      <c r="N55" s="83">
        <v>34</v>
      </c>
      <c r="O55" s="83">
        <v>24</v>
      </c>
      <c r="P55" s="83">
        <v>6.3</v>
      </c>
      <c r="Q55" s="83">
        <v>3.8</v>
      </c>
      <c r="R55" s="83">
        <v>31.1</v>
      </c>
      <c r="S55" s="83">
        <v>1</v>
      </c>
    </row>
    <row r="56" spans="1:19" ht="16" x14ac:dyDescent="0.2">
      <c r="A56" s="89">
        <v>53</v>
      </c>
      <c r="B56" s="84" t="s">
        <v>2038</v>
      </c>
      <c r="C56" s="84" t="s">
        <v>727</v>
      </c>
      <c r="D56" s="83">
        <v>22</v>
      </c>
      <c r="E56" s="83" t="s">
        <v>88</v>
      </c>
      <c r="F56" s="83">
        <v>17</v>
      </c>
      <c r="G56" s="83">
        <v>17</v>
      </c>
      <c r="H56" s="83">
        <v>93</v>
      </c>
      <c r="I56" s="83">
        <v>60</v>
      </c>
      <c r="J56" s="86">
        <v>0.64500000000000002</v>
      </c>
      <c r="K56" s="83">
        <v>612</v>
      </c>
      <c r="L56" s="83">
        <v>10.199999999999999</v>
      </c>
      <c r="M56" s="83">
        <v>0</v>
      </c>
      <c r="N56" s="83">
        <v>29</v>
      </c>
      <c r="O56" s="83">
        <v>25</v>
      </c>
      <c r="P56" s="83">
        <v>6.6</v>
      </c>
      <c r="Q56" s="83">
        <v>3.5</v>
      </c>
      <c r="R56" s="83">
        <v>36</v>
      </c>
      <c r="S56" s="83">
        <v>0</v>
      </c>
    </row>
    <row r="57" spans="1:19" ht="16" x14ac:dyDescent="0.2">
      <c r="A57" s="89">
        <v>54</v>
      </c>
      <c r="B57" s="84" t="s">
        <v>222</v>
      </c>
      <c r="C57" s="84" t="s">
        <v>99</v>
      </c>
      <c r="D57" s="83">
        <v>23</v>
      </c>
      <c r="E57" s="83" t="s">
        <v>83</v>
      </c>
      <c r="F57" s="83">
        <v>15</v>
      </c>
      <c r="G57" s="83">
        <v>13</v>
      </c>
      <c r="H57" s="83">
        <v>105</v>
      </c>
      <c r="I57" s="83">
        <v>59</v>
      </c>
      <c r="J57" s="86">
        <v>0.56200000000000006</v>
      </c>
      <c r="K57" s="83">
        <v>860</v>
      </c>
      <c r="L57" s="83">
        <v>14.6</v>
      </c>
      <c r="M57" s="83">
        <v>2</v>
      </c>
      <c r="N57" s="83">
        <v>35</v>
      </c>
      <c r="O57" s="83">
        <v>59</v>
      </c>
      <c r="P57" s="83">
        <v>8.1999999999999993</v>
      </c>
      <c r="Q57" s="83">
        <v>3.9</v>
      </c>
      <c r="R57" s="83">
        <v>57.3</v>
      </c>
      <c r="S57" s="83">
        <v>0</v>
      </c>
    </row>
    <row r="58" spans="1:19" ht="16" x14ac:dyDescent="0.2">
      <c r="A58" s="89">
        <v>55</v>
      </c>
      <c r="B58" s="84" t="s">
        <v>275</v>
      </c>
      <c r="C58" s="84" t="s">
        <v>1040</v>
      </c>
      <c r="D58" s="83">
        <v>23</v>
      </c>
      <c r="E58" s="83" t="s">
        <v>83</v>
      </c>
      <c r="F58" s="83">
        <v>17</v>
      </c>
      <c r="G58" s="83">
        <v>8</v>
      </c>
      <c r="H58" s="83">
        <v>83</v>
      </c>
      <c r="I58" s="83">
        <v>59</v>
      </c>
      <c r="J58" s="86">
        <v>0.71099999999999997</v>
      </c>
      <c r="K58" s="83">
        <v>693</v>
      </c>
      <c r="L58" s="83">
        <v>11.7</v>
      </c>
      <c r="M58" s="83">
        <v>2</v>
      </c>
      <c r="N58" s="83">
        <v>33</v>
      </c>
      <c r="O58" s="83">
        <v>53</v>
      </c>
      <c r="P58" s="83">
        <v>8.3000000000000007</v>
      </c>
      <c r="Q58" s="83">
        <v>3.5</v>
      </c>
      <c r="R58" s="83">
        <v>40.799999999999997</v>
      </c>
      <c r="S58" s="83">
        <v>3</v>
      </c>
    </row>
    <row r="59" spans="1:19" ht="16" x14ac:dyDescent="0.2">
      <c r="A59" s="89">
        <v>56</v>
      </c>
      <c r="B59" s="84" t="s">
        <v>242</v>
      </c>
      <c r="C59" s="84" t="s">
        <v>93</v>
      </c>
      <c r="D59" s="83">
        <v>26</v>
      </c>
      <c r="E59" s="83" t="s">
        <v>83</v>
      </c>
      <c r="F59" s="83">
        <v>17</v>
      </c>
      <c r="G59" s="83">
        <v>16</v>
      </c>
      <c r="H59" s="83">
        <v>98</v>
      </c>
      <c r="I59" s="83">
        <v>58</v>
      </c>
      <c r="J59" s="86">
        <v>0.59199999999999997</v>
      </c>
      <c r="K59" s="83">
        <v>776</v>
      </c>
      <c r="L59" s="83">
        <v>13.4</v>
      </c>
      <c r="M59" s="83">
        <v>2</v>
      </c>
      <c r="N59" s="83">
        <v>35</v>
      </c>
      <c r="O59" s="83">
        <v>55</v>
      </c>
      <c r="P59" s="83">
        <v>7.9</v>
      </c>
      <c r="Q59" s="83">
        <v>3.4</v>
      </c>
      <c r="R59" s="83">
        <v>45.6</v>
      </c>
      <c r="S59" s="83">
        <v>0</v>
      </c>
    </row>
    <row r="60" spans="1:19" ht="16" x14ac:dyDescent="0.2">
      <c r="A60" s="89">
        <v>57</v>
      </c>
      <c r="B60" s="84" t="s">
        <v>174</v>
      </c>
      <c r="C60" s="84" t="s">
        <v>1087</v>
      </c>
      <c r="D60" s="83">
        <v>23</v>
      </c>
      <c r="E60" s="83" t="s">
        <v>83</v>
      </c>
      <c r="F60" s="83">
        <v>17</v>
      </c>
      <c r="G60" s="83">
        <v>16</v>
      </c>
      <c r="H60" s="83">
        <v>84</v>
      </c>
      <c r="I60" s="83">
        <v>56</v>
      </c>
      <c r="J60" s="86">
        <v>0.66700000000000004</v>
      </c>
      <c r="K60" s="83">
        <v>826</v>
      </c>
      <c r="L60" s="83">
        <v>14.8</v>
      </c>
      <c r="M60" s="83">
        <v>5</v>
      </c>
      <c r="N60" s="83">
        <v>37</v>
      </c>
      <c r="O60" s="83">
        <v>43</v>
      </c>
      <c r="P60" s="83">
        <v>9.8000000000000007</v>
      </c>
      <c r="Q60" s="83">
        <v>3.3</v>
      </c>
      <c r="R60" s="83">
        <v>48.6</v>
      </c>
      <c r="S60" s="83">
        <v>2</v>
      </c>
    </row>
    <row r="61" spans="1:19" ht="16" x14ac:dyDescent="0.2">
      <c r="A61" s="89">
        <v>58</v>
      </c>
      <c r="B61" s="84" t="s">
        <v>238</v>
      </c>
      <c r="C61" s="84" t="s">
        <v>102</v>
      </c>
      <c r="D61" s="83">
        <v>26</v>
      </c>
      <c r="E61" s="83" t="s">
        <v>88</v>
      </c>
      <c r="F61" s="83">
        <v>15</v>
      </c>
      <c r="G61" s="83">
        <v>14</v>
      </c>
      <c r="H61" s="83">
        <v>76</v>
      </c>
      <c r="I61" s="83">
        <v>56</v>
      </c>
      <c r="J61" s="86">
        <v>0.73699999999999999</v>
      </c>
      <c r="K61" s="83">
        <v>830</v>
      </c>
      <c r="L61" s="83">
        <v>14.8</v>
      </c>
      <c r="M61" s="83">
        <v>4</v>
      </c>
      <c r="N61" s="83">
        <v>42</v>
      </c>
      <c r="O61" s="83">
        <v>45</v>
      </c>
      <c r="P61" s="83">
        <v>10.9</v>
      </c>
      <c r="Q61" s="83">
        <v>3.7</v>
      </c>
      <c r="R61" s="83">
        <v>55.3</v>
      </c>
      <c r="S61" s="83">
        <v>1</v>
      </c>
    </row>
    <row r="62" spans="1:19" ht="16" x14ac:dyDescent="0.2">
      <c r="A62" s="89">
        <v>59</v>
      </c>
      <c r="B62" s="84" t="s">
        <v>333</v>
      </c>
      <c r="C62" s="84" t="s">
        <v>1122</v>
      </c>
      <c r="D62" s="83">
        <v>26</v>
      </c>
      <c r="E62" s="83" t="s">
        <v>83</v>
      </c>
      <c r="F62" s="83">
        <v>17</v>
      </c>
      <c r="G62" s="83">
        <v>5</v>
      </c>
      <c r="H62" s="83">
        <v>70</v>
      </c>
      <c r="I62" s="83">
        <v>55</v>
      </c>
      <c r="J62" s="86">
        <v>0.78600000000000003</v>
      </c>
      <c r="K62" s="83">
        <v>800</v>
      </c>
      <c r="L62" s="83">
        <v>14.5</v>
      </c>
      <c r="M62" s="83">
        <v>5</v>
      </c>
      <c r="N62" s="83">
        <v>27</v>
      </c>
      <c r="O62" s="83">
        <v>75</v>
      </c>
      <c r="P62" s="83">
        <v>11.4</v>
      </c>
      <c r="Q62" s="83">
        <v>3.2</v>
      </c>
      <c r="R62" s="83">
        <v>47.1</v>
      </c>
      <c r="S62" s="83">
        <v>1</v>
      </c>
    </row>
    <row r="63" spans="1:19" x14ac:dyDescent="0.2">
      <c r="A63" s="89" t="s">
        <v>902</v>
      </c>
      <c r="B63" s="89" t="s">
        <v>903</v>
      </c>
      <c r="C63" s="89" t="s">
        <v>1314</v>
      </c>
      <c r="D63" s="89" t="s">
        <v>905</v>
      </c>
      <c r="E63" s="89" t="s">
        <v>906</v>
      </c>
      <c r="F63" s="89" t="s">
        <v>1315</v>
      </c>
      <c r="G63" s="89" t="s">
        <v>1316</v>
      </c>
      <c r="H63" s="89" t="s">
        <v>2314</v>
      </c>
      <c r="I63" s="89" t="s">
        <v>2092</v>
      </c>
      <c r="J63" s="89" t="s">
        <v>2093</v>
      </c>
      <c r="K63" s="89" t="s">
        <v>799</v>
      </c>
      <c r="L63" s="89" t="s">
        <v>2315</v>
      </c>
      <c r="M63" s="89" t="s">
        <v>800</v>
      </c>
      <c r="N63" s="89" t="s">
        <v>1321</v>
      </c>
      <c r="O63" s="89" t="s">
        <v>917</v>
      </c>
      <c r="P63" s="89" t="s">
        <v>2316</v>
      </c>
      <c r="Q63" s="89" t="s">
        <v>2317</v>
      </c>
      <c r="R63" s="89" t="s">
        <v>1325</v>
      </c>
      <c r="S63" s="89" t="s">
        <v>1416</v>
      </c>
    </row>
    <row r="64" spans="1:19" ht="16" x14ac:dyDescent="0.2">
      <c r="A64" s="89">
        <v>60</v>
      </c>
      <c r="B64" s="84" t="s">
        <v>2099</v>
      </c>
      <c r="C64" s="84" t="s">
        <v>976</v>
      </c>
      <c r="D64" s="83">
        <v>32</v>
      </c>
      <c r="E64" s="83" t="s">
        <v>88</v>
      </c>
      <c r="F64" s="83">
        <v>12</v>
      </c>
      <c r="G64" s="83">
        <v>12</v>
      </c>
      <c r="H64" s="83">
        <v>89</v>
      </c>
      <c r="I64" s="83">
        <v>55</v>
      </c>
      <c r="J64" s="86">
        <v>0.61799999999999999</v>
      </c>
      <c r="K64" s="83">
        <v>802</v>
      </c>
      <c r="L64" s="83">
        <v>14.6</v>
      </c>
      <c r="M64" s="83">
        <v>6</v>
      </c>
      <c r="N64" s="83">
        <v>34</v>
      </c>
      <c r="O64" s="83">
        <v>42</v>
      </c>
      <c r="P64" s="83">
        <v>9</v>
      </c>
      <c r="Q64" s="83">
        <v>4.5999999999999996</v>
      </c>
      <c r="R64" s="83">
        <v>66.8</v>
      </c>
      <c r="S64" s="83">
        <v>0</v>
      </c>
    </row>
    <row r="65" spans="1:19" ht="16" x14ac:dyDescent="0.2">
      <c r="A65" s="89">
        <v>61</v>
      </c>
      <c r="B65" s="84" t="s">
        <v>2098</v>
      </c>
      <c r="C65" s="84" t="s">
        <v>933</v>
      </c>
      <c r="D65" s="83">
        <v>29</v>
      </c>
      <c r="E65" s="83" t="s">
        <v>88</v>
      </c>
      <c r="F65" s="83">
        <v>11</v>
      </c>
      <c r="G65" s="83">
        <v>11</v>
      </c>
      <c r="H65" s="83">
        <v>93</v>
      </c>
      <c r="I65" s="83">
        <v>55</v>
      </c>
      <c r="J65" s="86">
        <v>0.59099999999999997</v>
      </c>
      <c r="K65" s="83">
        <v>665</v>
      </c>
      <c r="L65" s="83">
        <v>12.1</v>
      </c>
      <c r="M65" s="83">
        <v>2</v>
      </c>
      <c r="N65" s="83">
        <v>31</v>
      </c>
      <c r="O65" s="83">
        <v>33</v>
      </c>
      <c r="P65" s="83">
        <v>7.2</v>
      </c>
      <c r="Q65" s="83">
        <v>5</v>
      </c>
      <c r="R65" s="83">
        <v>60.5</v>
      </c>
      <c r="S65" s="83">
        <v>0</v>
      </c>
    </row>
    <row r="66" spans="1:19" ht="16" x14ac:dyDescent="0.2">
      <c r="A66" s="89">
        <v>62</v>
      </c>
      <c r="B66" s="84" t="s">
        <v>276</v>
      </c>
      <c r="C66" s="84" t="s">
        <v>78</v>
      </c>
      <c r="D66" s="83">
        <v>33</v>
      </c>
      <c r="E66" s="83" t="s">
        <v>83</v>
      </c>
      <c r="F66" s="83">
        <v>16</v>
      </c>
      <c r="G66" s="83">
        <v>9</v>
      </c>
      <c r="H66" s="83">
        <v>92</v>
      </c>
      <c r="I66" s="83">
        <v>54</v>
      </c>
      <c r="J66" s="86">
        <v>0.58699999999999997</v>
      </c>
      <c r="K66" s="83">
        <v>848</v>
      </c>
      <c r="L66" s="83">
        <v>15.7</v>
      </c>
      <c r="M66" s="83">
        <v>3</v>
      </c>
      <c r="N66" s="83">
        <v>37</v>
      </c>
      <c r="O66" s="83">
        <v>42</v>
      </c>
      <c r="P66" s="83">
        <v>9.1999999999999993</v>
      </c>
      <c r="Q66" s="83">
        <v>3.4</v>
      </c>
      <c r="R66" s="83">
        <v>53</v>
      </c>
      <c r="S66" s="83">
        <v>0</v>
      </c>
    </row>
    <row r="67" spans="1:19" ht="16" x14ac:dyDescent="0.2">
      <c r="A67" s="89">
        <v>63</v>
      </c>
      <c r="B67" s="84" t="s">
        <v>1471</v>
      </c>
      <c r="C67" s="84" t="s">
        <v>933</v>
      </c>
      <c r="D67" s="83">
        <v>23</v>
      </c>
      <c r="E67" s="83" t="s">
        <v>68</v>
      </c>
      <c r="F67" s="83">
        <v>15</v>
      </c>
      <c r="G67" s="83">
        <v>14</v>
      </c>
      <c r="H67" s="83">
        <v>64</v>
      </c>
      <c r="I67" s="83">
        <v>54</v>
      </c>
      <c r="J67" s="86">
        <v>0.84399999999999997</v>
      </c>
      <c r="K67" s="83">
        <v>348</v>
      </c>
      <c r="L67" s="83">
        <v>6.4</v>
      </c>
      <c r="M67" s="83">
        <v>0</v>
      </c>
      <c r="N67" s="83">
        <v>14</v>
      </c>
      <c r="O67" s="83">
        <v>29</v>
      </c>
      <c r="P67" s="83">
        <v>5.4</v>
      </c>
      <c r="Q67" s="83">
        <v>3.6</v>
      </c>
      <c r="R67" s="83">
        <v>23.2</v>
      </c>
      <c r="S67" s="83">
        <v>2</v>
      </c>
    </row>
    <row r="68" spans="1:19" ht="16" x14ac:dyDescent="0.2">
      <c r="A68" s="89">
        <v>64</v>
      </c>
      <c r="B68" s="84" t="s">
        <v>340</v>
      </c>
      <c r="C68" s="84" t="s">
        <v>78</v>
      </c>
      <c r="D68" s="83">
        <v>21</v>
      </c>
      <c r="E68" s="83" t="s">
        <v>83</v>
      </c>
      <c r="F68" s="83">
        <v>14</v>
      </c>
      <c r="G68" s="83">
        <v>7</v>
      </c>
      <c r="H68" s="83">
        <v>64</v>
      </c>
      <c r="I68" s="83">
        <v>54</v>
      </c>
      <c r="J68" s="86">
        <v>0.84399999999999997</v>
      </c>
      <c r="K68" s="83">
        <v>435</v>
      </c>
      <c r="L68" s="83">
        <v>8.1</v>
      </c>
      <c r="M68" s="83">
        <v>1</v>
      </c>
      <c r="N68" s="83">
        <v>18</v>
      </c>
      <c r="O68" s="83">
        <v>77</v>
      </c>
      <c r="P68" s="83">
        <v>6.8</v>
      </c>
      <c r="Q68" s="83">
        <v>3.9</v>
      </c>
      <c r="R68" s="83">
        <v>31.1</v>
      </c>
      <c r="S68" s="83">
        <v>3</v>
      </c>
    </row>
    <row r="69" spans="1:19" ht="16" x14ac:dyDescent="0.2">
      <c r="A69" s="89">
        <v>65</v>
      </c>
      <c r="B69" s="84" t="s">
        <v>3109</v>
      </c>
      <c r="C69" s="84" t="s">
        <v>70</v>
      </c>
      <c r="D69" s="83">
        <v>28</v>
      </c>
      <c r="E69" s="83" t="s">
        <v>83</v>
      </c>
      <c r="F69" s="83">
        <v>17</v>
      </c>
      <c r="G69" s="83">
        <v>16</v>
      </c>
      <c r="H69" s="83">
        <v>110</v>
      </c>
      <c r="I69" s="83">
        <v>53</v>
      </c>
      <c r="J69" s="86">
        <v>0.48199999999999998</v>
      </c>
      <c r="K69" s="83">
        <v>519</v>
      </c>
      <c r="L69" s="83">
        <v>9.8000000000000007</v>
      </c>
      <c r="M69" s="83">
        <v>5</v>
      </c>
      <c r="N69" s="83">
        <v>27</v>
      </c>
      <c r="O69" s="83">
        <v>57</v>
      </c>
      <c r="P69" s="83">
        <v>4.7</v>
      </c>
      <c r="Q69" s="83">
        <v>3.1</v>
      </c>
      <c r="R69" s="83">
        <v>30.5</v>
      </c>
      <c r="S69" s="83">
        <v>0</v>
      </c>
    </row>
    <row r="70" spans="1:19" ht="16" x14ac:dyDescent="0.2">
      <c r="A70" s="89">
        <v>66</v>
      </c>
      <c r="B70" s="84" t="s">
        <v>345</v>
      </c>
      <c r="C70" s="84" t="s">
        <v>93</v>
      </c>
      <c r="D70" s="83">
        <v>28</v>
      </c>
      <c r="E70" s="83" t="s">
        <v>83</v>
      </c>
      <c r="F70" s="83">
        <v>16</v>
      </c>
      <c r="G70" s="83">
        <v>16</v>
      </c>
      <c r="H70" s="83">
        <v>85</v>
      </c>
      <c r="I70" s="83">
        <v>53</v>
      </c>
      <c r="J70" s="86">
        <v>0.624</v>
      </c>
      <c r="K70" s="83">
        <v>734</v>
      </c>
      <c r="L70" s="83">
        <v>13.8</v>
      </c>
      <c r="M70" s="83">
        <v>5</v>
      </c>
      <c r="N70" s="83">
        <v>39</v>
      </c>
      <c r="O70" s="83">
        <v>44</v>
      </c>
      <c r="P70" s="83">
        <v>8.6</v>
      </c>
      <c r="Q70" s="83">
        <v>3.3</v>
      </c>
      <c r="R70" s="83">
        <v>45.9</v>
      </c>
      <c r="S70" s="83">
        <v>0</v>
      </c>
    </row>
    <row r="71" spans="1:19" ht="16" x14ac:dyDescent="0.2">
      <c r="A71" s="89">
        <v>67</v>
      </c>
      <c r="B71" s="84" t="s">
        <v>126</v>
      </c>
      <c r="C71" s="84" t="s">
        <v>1267</v>
      </c>
      <c r="D71" s="83">
        <v>27</v>
      </c>
      <c r="E71" s="83" t="s">
        <v>68</v>
      </c>
      <c r="F71" s="83">
        <v>15</v>
      </c>
      <c r="G71" s="83">
        <v>15</v>
      </c>
      <c r="H71" s="83">
        <v>65</v>
      </c>
      <c r="I71" s="83">
        <v>52</v>
      </c>
      <c r="J71" s="86">
        <v>0.8</v>
      </c>
      <c r="K71" s="83">
        <v>391</v>
      </c>
      <c r="L71" s="83">
        <v>7.5</v>
      </c>
      <c r="M71" s="83">
        <v>6</v>
      </c>
      <c r="N71" s="83">
        <v>22</v>
      </c>
      <c r="O71" s="83">
        <v>26</v>
      </c>
      <c r="P71" s="83">
        <v>6</v>
      </c>
      <c r="Q71" s="83">
        <v>3.5</v>
      </c>
      <c r="R71" s="83">
        <v>26.1</v>
      </c>
      <c r="S71" s="83">
        <v>2</v>
      </c>
    </row>
    <row r="72" spans="1:19" ht="16" x14ac:dyDescent="0.2">
      <c r="A72" s="89">
        <v>68</v>
      </c>
      <c r="B72" s="84" t="s">
        <v>178</v>
      </c>
      <c r="C72" s="84" t="s">
        <v>82</v>
      </c>
      <c r="D72" s="83">
        <v>29</v>
      </c>
      <c r="E72" s="83" t="s">
        <v>83</v>
      </c>
      <c r="F72" s="83">
        <v>12</v>
      </c>
      <c r="G72" s="83">
        <v>12</v>
      </c>
      <c r="H72" s="83">
        <v>87</v>
      </c>
      <c r="I72" s="83">
        <v>52</v>
      </c>
      <c r="J72" s="86">
        <v>0.59799999999999998</v>
      </c>
      <c r="K72" s="83">
        <v>570</v>
      </c>
      <c r="L72" s="83">
        <v>11</v>
      </c>
      <c r="M72" s="83">
        <v>2</v>
      </c>
      <c r="N72" s="83">
        <v>30</v>
      </c>
      <c r="O72" s="83">
        <v>38</v>
      </c>
      <c r="P72" s="83">
        <v>6.6</v>
      </c>
      <c r="Q72" s="83">
        <v>4.3</v>
      </c>
      <c r="R72" s="83">
        <v>47.5</v>
      </c>
      <c r="S72" s="83">
        <v>3</v>
      </c>
    </row>
    <row r="73" spans="1:19" ht="16" x14ac:dyDescent="0.2">
      <c r="A73" s="89">
        <v>69</v>
      </c>
      <c r="B73" s="84" t="s">
        <v>288</v>
      </c>
      <c r="C73" s="84" t="s">
        <v>101</v>
      </c>
      <c r="D73" s="83">
        <v>30</v>
      </c>
      <c r="E73" s="83" t="s">
        <v>68</v>
      </c>
      <c r="F73" s="83">
        <v>16</v>
      </c>
      <c r="G73" s="83">
        <v>13</v>
      </c>
      <c r="H73" s="83">
        <v>69</v>
      </c>
      <c r="I73" s="83">
        <v>52</v>
      </c>
      <c r="J73" s="86">
        <v>0.754</v>
      </c>
      <c r="K73" s="83">
        <v>548</v>
      </c>
      <c r="L73" s="83">
        <v>10.5</v>
      </c>
      <c r="M73" s="83">
        <v>5</v>
      </c>
      <c r="N73" s="83">
        <v>26</v>
      </c>
      <c r="O73" s="83">
        <v>64</v>
      </c>
      <c r="P73" s="83">
        <v>7.9</v>
      </c>
      <c r="Q73" s="83">
        <v>3.3</v>
      </c>
      <c r="R73" s="83">
        <v>34.299999999999997</v>
      </c>
      <c r="S73" s="83">
        <v>2</v>
      </c>
    </row>
    <row r="74" spans="1:19" ht="16" x14ac:dyDescent="0.2">
      <c r="A74" s="89">
        <v>70</v>
      </c>
      <c r="B74" s="84" t="s">
        <v>237</v>
      </c>
      <c r="C74" s="84" t="s">
        <v>71</v>
      </c>
      <c r="D74" s="83">
        <v>28</v>
      </c>
      <c r="E74" s="83" t="s">
        <v>83</v>
      </c>
      <c r="F74" s="83">
        <v>12</v>
      </c>
      <c r="G74" s="83">
        <v>4</v>
      </c>
      <c r="H74" s="83">
        <v>71</v>
      </c>
      <c r="I74" s="83">
        <v>51</v>
      </c>
      <c r="J74" s="86">
        <v>0.71799999999999997</v>
      </c>
      <c r="K74" s="83">
        <v>447</v>
      </c>
      <c r="L74" s="83">
        <v>8.8000000000000007</v>
      </c>
      <c r="M74" s="83">
        <v>2</v>
      </c>
      <c r="N74" s="83">
        <v>24</v>
      </c>
      <c r="O74" s="83">
        <v>29</v>
      </c>
      <c r="P74" s="83">
        <v>6.3</v>
      </c>
      <c r="Q74" s="83">
        <v>4.3</v>
      </c>
      <c r="R74" s="83">
        <v>37.299999999999997</v>
      </c>
      <c r="S74" s="83">
        <v>1</v>
      </c>
    </row>
    <row r="75" spans="1:19" ht="16" x14ac:dyDescent="0.2">
      <c r="A75" s="89">
        <v>71</v>
      </c>
      <c r="B75" s="84" t="s">
        <v>287</v>
      </c>
      <c r="C75" s="84" t="s">
        <v>1122</v>
      </c>
      <c r="D75" s="83">
        <v>27</v>
      </c>
      <c r="E75" s="83" t="s">
        <v>88</v>
      </c>
      <c r="F75" s="83">
        <v>17</v>
      </c>
      <c r="G75" s="83">
        <v>10</v>
      </c>
      <c r="H75" s="83">
        <v>75</v>
      </c>
      <c r="I75" s="83">
        <v>50</v>
      </c>
      <c r="J75" s="86">
        <v>0.66700000000000004</v>
      </c>
      <c r="K75" s="83">
        <v>603</v>
      </c>
      <c r="L75" s="83">
        <v>12.1</v>
      </c>
      <c r="M75" s="83">
        <v>9</v>
      </c>
      <c r="N75" s="83">
        <v>34</v>
      </c>
      <c r="O75" s="83">
        <v>35</v>
      </c>
      <c r="P75" s="83">
        <v>8</v>
      </c>
      <c r="Q75" s="83">
        <v>2.9</v>
      </c>
      <c r="R75" s="83">
        <v>35.5</v>
      </c>
      <c r="S75" s="83">
        <v>0</v>
      </c>
    </row>
    <row r="76" spans="1:19" ht="16" x14ac:dyDescent="0.2">
      <c r="A76" s="89">
        <v>72</v>
      </c>
      <c r="B76" s="84" t="s">
        <v>896</v>
      </c>
      <c r="C76" s="84" t="s">
        <v>730</v>
      </c>
      <c r="D76" s="83">
        <v>25</v>
      </c>
      <c r="E76" s="83" t="s">
        <v>83</v>
      </c>
      <c r="F76" s="83">
        <v>17</v>
      </c>
      <c r="G76" s="83">
        <v>17</v>
      </c>
      <c r="H76" s="83">
        <v>89</v>
      </c>
      <c r="I76" s="83">
        <v>50</v>
      </c>
      <c r="J76" s="86">
        <v>0.56200000000000006</v>
      </c>
      <c r="K76" s="83">
        <v>802</v>
      </c>
      <c r="L76" s="83">
        <v>16</v>
      </c>
      <c r="M76" s="83">
        <v>6</v>
      </c>
      <c r="N76" s="83">
        <v>32</v>
      </c>
      <c r="O76" s="83">
        <v>79</v>
      </c>
      <c r="P76" s="83">
        <v>9</v>
      </c>
      <c r="Q76" s="83">
        <v>2.9</v>
      </c>
      <c r="R76" s="83">
        <v>47.2</v>
      </c>
      <c r="S76" s="83">
        <v>0</v>
      </c>
    </row>
    <row r="77" spans="1:19" ht="16" x14ac:dyDescent="0.2">
      <c r="A77" s="89">
        <v>73</v>
      </c>
      <c r="B77" s="84" t="s">
        <v>455</v>
      </c>
      <c r="C77" s="84" t="s">
        <v>73</v>
      </c>
      <c r="D77" s="83">
        <v>24</v>
      </c>
      <c r="E77" s="83" t="s">
        <v>83</v>
      </c>
      <c r="F77" s="83">
        <v>17</v>
      </c>
      <c r="G77" s="83">
        <v>9</v>
      </c>
      <c r="H77" s="83">
        <v>82</v>
      </c>
      <c r="I77" s="83">
        <v>50</v>
      </c>
      <c r="J77" s="86">
        <v>0.61</v>
      </c>
      <c r="K77" s="83">
        <v>655</v>
      </c>
      <c r="L77" s="83">
        <v>13.1</v>
      </c>
      <c r="M77" s="83">
        <v>7</v>
      </c>
      <c r="N77" s="83">
        <v>26</v>
      </c>
      <c r="O77" s="83">
        <v>64</v>
      </c>
      <c r="P77" s="83">
        <v>8</v>
      </c>
      <c r="Q77" s="83">
        <v>2.9</v>
      </c>
      <c r="R77" s="83">
        <v>38.5</v>
      </c>
      <c r="S77" s="83">
        <v>0</v>
      </c>
    </row>
    <row r="78" spans="1:19" ht="16" x14ac:dyDescent="0.2">
      <c r="A78" s="89">
        <v>74</v>
      </c>
      <c r="B78" s="84" t="s">
        <v>224</v>
      </c>
      <c r="C78" s="84" t="s">
        <v>142</v>
      </c>
      <c r="D78" s="83">
        <v>24</v>
      </c>
      <c r="E78" s="83" t="s">
        <v>68</v>
      </c>
      <c r="F78" s="83">
        <v>17</v>
      </c>
      <c r="G78" s="83">
        <v>10</v>
      </c>
      <c r="H78" s="83">
        <v>63</v>
      </c>
      <c r="I78" s="83">
        <v>49</v>
      </c>
      <c r="J78" s="86">
        <v>0.77800000000000002</v>
      </c>
      <c r="K78" s="83">
        <v>234</v>
      </c>
      <c r="L78" s="83">
        <v>4.8</v>
      </c>
      <c r="M78" s="83">
        <v>4</v>
      </c>
      <c r="N78" s="83">
        <v>13</v>
      </c>
      <c r="O78" s="83">
        <v>24</v>
      </c>
      <c r="P78" s="83">
        <v>3.7</v>
      </c>
      <c r="Q78" s="83">
        <v>2.9</v>
      </c>
      <c r="R78" s="83">
        <v>13.8</v>
      </c>
      <c r="S78" s="83">
        <v>2</v>
      </c>
    </row>
    <row r="79" spans="1:19" ht="16" x14ac:dyDescent="0.2">
      <c r="A79" s="89">
        <v>75</v>
      </c>
      <c r="B79" s="84" t="s">
        <v>319</v>
      </c>
      <c r="C79" s="84" t="s">
        <v>98</v>
      </c>
      <c r="D79" s="83">
        <v>25</v>
      </c>
      <c r="E79" s="83" t="s">
        <v>88</v>
      </c>
      <c r="F79" s="83">
        <v>15</v>
      </c>
      <c r="G79" s="83">
        <v>14</v>
      </c>
      <c r="H79" s="83">
        <v>71</v>
      </c>
      <c r="I79" s="83">
        <v>49</v>
      </c>
      <c r="J79" s="86">
        <v>0.69</v>
      </c>
      <c r="K79" s="83">
        <v>587</v>
      </c>
      <c r="L79" s="83">
        <v>12</v>
      </c>
      <c r="M79" s="83">
        <v>9</v>
      </c>
      <c r="N79" s="83">
        <v>31</v>
      </c>
      <c r="O79" s="83">
        <v>53</v>
      </c>
      <c r="P79" s="83">
        <v>8.3000000000000007</v>
      </c>
      <c r="Q79" s="83">
        <v>3.3</v>
      </c>
      <c r="R79" s="83">
        <v>39.1</v>
      </c>
      <c r="S79" s="83">
        <v>0</v>
      </c>
    </row>
    <row r="80" spans="1:19" ht="16" x14ac:dyDescent="0.2">
      <c r="A80" s="89">
        <v>76</v>
      </c>
      <c r="B80" s="84" t="s">
        <v>350</v>
      </c>
      <c r="C80" s="84" t="s">
        <v>74</v>
      </c>
      <c r="D80" s="83">
        <v>28</v>
      </c>
      <c r="E80" s="83" t="s">
        <v>88</v>
      </c>
      <c r="F80" s="83">
        <v>16</v>
      </c>
      <c r="G80" s="83">
        <v>16</v>
      </c>
      <c r="H80" s="83">
        <v>63</v>
      </c>
      <c r="I80" s="83">
        <v>49</v>
      </c>
      <c r="J80" s="86">
        <v>0.77800000000000002</v>
      </c>
      <c r="K80" s="83">
        <v>493</v>
      </c>
      <c r="L80" s="83">
        <v>10.1</v>
      </c>
      <c r="M80" s="83">
        <v>5</v>
      </c>
      <c r="N80" s="83">
        <v>24</v>
      </c>
      <c r="O80" s="83">
        <v>55</v>
      </c>
      <c r="P80" s="83">
        <v>7.8</v>
      </c>
      <c r="Q80" s="83">
        <v>3.1</v>
      </c>
      <c r="R80" s="83">
        <v>30.8</v>
      </c>
      <c r="S80" s="83">
        <v>0</v>
      </c>
    </row>
    <row r="81" spans="1:19" ht="16" x14ac:dyDescent="0.2">
      <c r="A81" s="89">
        <v>77</v>
      </c>
      <c r="B81" s="84" t="s">
        <v>297</v>
      </c>
      <c r="C81" s="84" t="s">
        <v>118</v>
      </c>
      <c r="D81" s="83">
        <v>34</v>
      </c>
      <c r="E81" s="83" t="s">
        <v>88</v>
      </c>
      <c r="F81" s="83">
        <v>16</v>
      </c>
      <c r="G81" s="83">
        <v>10</v>
      </c>
      <c r="H81" s="83">
        <v>83</v>
      </c>
      <c r="I81" s="83">
        <v>48</v>
      </c>
      <c r="J81" s="86">
        <v>0.57799999999999996</v>
      </c>
      <c r="K81" s="83">
        <v>564</v>
      </c>
      <c r="L81" s="83">
        <v>11.8</v>
      </c>
      <c r="M81" s="83">
        <v>4</v>
      </c>
      <c r="N81" s="83">
        <v>31</v>
      </c>
      <c r="O81" s="83">
        <v>42</v>
      </c>
      <c r="P81" s="83">
        <v>6.8</v>
      </c>
      <c r="Q81" s="83">
        <v>3</v>
      </c>
      <c r="R81" s="83">
        <v>35.299999999999997</v>
      </c>
      <c r="S81" s="83">
        <v>0</v>
      </c>
    </row>
    <row r="82" spans="1:19" ht="16" x14ac:dyDescent="0.2">
      <c r="A82" s="89">
        <v>78</v>
      </c>
      <c r="B82" s="84" t="s">
        <v>363</v>
      </c>
      <c r="C82" s="84" t="s">
        <v>108</v>
      </c>
      <c r="D82" s="83">
        <v>27</v>
      </c>
      <c r="E82" s="83" t="s">
        <v>88</v>
      </c>
      <c r="F82" s="83">
        <v>15</v>
      </c>
      <c r="G82" s="83">
        <v>12</v>
      </c>
      <c r="H82" s="83">
        <v>63</v>
      </c>
      <c r="I82" s="83">
        <v>48</v>
      </c>
      <c r="J82" s="86">
        <v>0.76200000000000001</v>
      </c>
      <c r="K82" s="83">
        <v>478</v>
      </c>
      <c r="L82" s="83">
        <v>10</v>
      </c>
      <c r="M82" s="83">
        <v>4</v>
      </c>
      <c r="N82" s="83">
        <v>26</v>
      </c>
      <c r="O82" s="83">
        <v>41</v>
      </c>
      <c r="P82" s="83">
        <v>7.6</v>
      </c>
      <c r="Q82" s="83">
        <v>3.2</v>
      </c>
      <c r="R82" s="83">
        <v>31.9</v>
      </c>
      <c r="S82" s="83">
        <v>2</v>
      </c>
    </row>
    <row r="83" spans="1:19" ht="16" x14ac:dyDescent="0.2">
      <c r="A83" s="89">
        <v>79</v>
      </c>
      <c r="B83" s="84" t="s">
        <v>493</v>
      </c>
      <c r="C83" s="84" t="s">
        <v>139</v>
      </c>
      <c r="D83" s="83">
        <v>27</v>
      </c>
      <c r="E83" s="83" t="s">
        <v>83</v>
      </c>
      <c r="F83" s="83">
        <v>16</v>
      </c>
      <c r="G83" s="83">
        <v>14</v>
      </c>
      <c r="H83" s="83">
        <v>71</v>
      </c>
      <c r="I83" s="83">
        <v>48</v>
      </c>
      <c r="J83" s="86">
        <v>0.67600000000000005</v>
      </c>
      <c r="K83" s="83">
        <v>576</v>
      </c>
      <c r="L83" s="83">
        <v>12</v>
      </c>
      <c r="M83" s="83">
        <v>4</v>
      </c>
      <c r="N83" s="83">
        <v>28</v>
      </c>
      <c r="O83" s="83">
        <v>75</v>
      </c>
      <c r="P83" s="83">
        <v>8.1</v>
      </c>
      <c r="Q83" s="83">
        <v>3</v>
      </c>
      <c r="R83" s="83">
        <v>36</v>
      </c>
      <c r="S83" s="83">
        <v>0</v>
      </c>
    </row>
    <row r="84" spans="1:19" ht="16" x14ac:dyDescent="0.2">
      <c r="A84" s="89">
        <v>80</v>
      </c>
      <c r="B84" s="84" t="s">
        <v>1460</v>
      </c>
      <c r="C84" s="84" t="s">
        <v>729</v>
      </c>
      <c r="D84" s="83">
        <v>26</v>
      </c>
      <c r="E84" s="83" t="s">
        <v>68</v>
      </c>
      <c r="F84" s="83">
        <v>17</v>
      </c>
      <c r="G84" s="83">
        <v>17</v>
      </c>
      <c r="H84" s="83">
        <v>65</v>
      </c>
      <c r="I84" s="83">
        <v>47</v>
      </c>
      <c r="J84" s="86">
        <v>0.72299999999999998</v>
      </c>
      <c r="K84" s="83">
        <v>287</v>
      </c>
      <c r="L84" s="83">
        <v>6.1</v>
      </c>
      <c r="M84" s="83">
        <v>2</v>
      </c>
      <c r="N84" s="83">
        <v>17</v>
      </c>
      <c r="O84" s="83">
        <v>21</v>
      </c>
      <c r="P84" s="83">
        <v>4.4000000000000004</v>
      </c>
      <c r="Q84" s="83">
        <v>2.8</v>
      </c>
      <c r="R84" s="83">
        <v>16.899999999999999</v>
      </c>
      <c r="S84" s="83">
        <v>1</v>
      </c>
    </row>
    <row r="85" spans="1:19" ht="16" x14ac:dyDescent="0.2">
      <c r="A85" s="89">
        <v>81</v>
      </c>
      <c r="B85" s="84" t="s">
        <v>1403</v>
      </c>
      <c r="C85" s="84" t="s">
        <v>933</v>
      </c>
      <c r="D85" s="83">
        <v>26</v>
      </c>
      <c r="E85" s="83" t="s">
        <v>83</v>
      </c>
      <c r="F85" s="83">
        <v>17</v>
      </c>
      <c r="G85" s="83">
        <v>9</v>
      </c>
      <c r="H85" s="83">
        <v>70</v>
      </c>
      <c r="I85" s="83">
        <v>47</v>
      </c>
      <c r="J85" s="86">
        <v>0.67100000000000004</v>
      </c>
      <c r="K85" s="83">
        <v>546</v>
      </c>
      <c r="L85" s="83">
        <v>11.6</v>
      </c>
      <c r="M85" s="83">
        <v>1</v>
      </c>
      <c r="N85" s="83">
        <v>29</v>
      </c>
      <c r="O85" s="83">
        <v>43</v>
      </c>
      <c r="P85" s="83">
        <v>7.8</v>
      </c>
      <c r="Q85" s="83">
        <v>2.8</v>
      </c>
      <c r="R85" s="83">
        <v>32.1</v>
      </c>
      <c r="S85" s="83">
        <v>1</v>
      </c>
    </row>
    <row r="86" spans="1:19" ht="16" x14ac:dyDescent="0.2">
      <c r="A86" s="89">
        <v>82</v>
      </c>
      <c r="B86" s="84" t="s">
        <v>1635</v>
      </c>
      <c r="C86" s="84" t="s">
        <v>1257</v>
      </c>
      <c r="D86" s="83">
        <v>26</v>
      </c>
      <c r="E86" s="83" t="s">
        <v>68</v>
      </c>
      <c r="F86" s="83">
        <v>13</v>
      </c>
      <c r="G86" s="83">
        <v>10</v>
      </c>
      <c r="H86" s="83">
        <v>67</v>
      </c>
      <c r="I86" s="83">
        <v>47</v>
      </c>
      <c r="J86" s="86">
        <v>0.70099999999999996</v>
      </c>
      <c r="K86" s="83">
        <v>439</v>
      </c>
      <c r="L86" s="83">
        <v>9.3000000000000007</v>
      </c>
      <c r="M86" s="83">
        <v>5</v>
      </c>
      <c r="N86" s="83">
        <v>20</v>
      </c>
      <c r="O86" s="83">
        <v>31</v>
      </c>
      <c r="P86" s="83">
        <v>6.6</v>
      </c>
      <c r="Q86" s="83">
        <v>3.6</v>
      </c>
      <c r="R86" s="83">
        <v>33.799999999999997</v>
      </c>
      <c r="S86" s="83">
        <v>0</v>
      </c>
    </row>
    <row r="87" spans="1:19" ht="16" x14ac:dyDescent="0.2">
      <c r="A87" s="89">
        <v>83</v>
      </c>
      <c r="B87" s="84" t="s">
        <v>306</v>
      </c>
      <c r="C87" s="84" t="s">
        <v>1040</v>
      </c>
      <c r="D87" s="83">
        <v>26</v>
      </c>
      <c r="E87" s="83" t="s">
        <v>68</v>
      </c>
      <c r="F87" s="83">
        <v>17</v>
      </c>
      <c r="G87" s="83">
        <v>7</v>
      </c>
      <c r="H87" s="83">
        <v>57</v>
      </c>
      <c r="I87" s="83">
        <v>47</v>
      </c>
      <c r="J87" s="86">
        <v>0.82499999999999996</v>
      </c>
      <c r="K87" s="83">
        <v>452</v>
      </c>
      <c r="L87" s="83">
        <v>9.6</v>
      </c>
      <c r="M87" s="83">
        <v>2</v>
      </c>
      <c r="N87" s="83">
        <v>19</v>
      </c>
      <c r="O87" s="83">
        <v>38</v>
      </c>
      <c r="P87" s="83">
        <v>7.9</v>
      </c>
      <c r="Q87" s="83">
        <v>2.8</v>
      </c>
      <c r="R87" s="83">
        <v>26.6</v>
      </c>
      <c r="S87" s="83">
        <v>0</v>
      </c>
    </row>
    <row r="88" spans="1:19" ht="16" x14ac:dyDescent="0.2">
      <c r="A88" s="89">
        <v>84</v>
      </c>
      <c r="B88" s="84" t="s">
        <v>2333</v>
      </c>
      <c r="C88" s="84" t="s">
        <v>725</v>
      </c>
      <c r="D88" s="83">
        <v>22</v>
      </c>
      <c r="E88" s="83" t="s">
        <v>83</v>
      </c>
      <c r="F88" s="83">
        <v>12</v>
      </c>
      <c r="G88" s="83">
        <v>4</v>
      </c>
      <c r="H88" s="83">
        <v>68</v>
      </c>
      <c r="I88" s="83">
        <v>46</v>
      </c>
      <c r="J88" s="86">
        <v>0.67600000000000005</v>
      </c>
      <c r="K88" s="83">
        <v>515</v>
      </c>
      <c r="L88" s="83">
        <v>11.2</v>
      </c>
      <c r="M88" s="83">
        <v>1</v>
      </c>
      <c r="N88" s="83">
        <v>29</v>
      </c>
      <c r="O88" s="83">
        <v>36</v>
      </c>
      <c r="P88" s="83">
        <v>7.6</v>
      </c>
      <c r="Q88" s="83">
        <v>3.8</v>
      </c>
      <c r="R88" s="83">
        <v>42.9</v>
      </c>
      <c r="S88" s="83">
        <v>0</v>
      </c>
    </row>
    <row r="89" spans="1:19" ht="16" x14ac:dyDescent="0.2">
      <c r="A89" s="89">
        <v>85</v>
      </c>
      <c r="B89" s="84" t="s">
        <v>3089</v>
      </c>
      <c r="C89" s="84" t="s">
        <v>71</v>
      </c>
      <c r="D89" s="83">
        <v>26</v>
      </c>
      <c r="E89" s="83" t="s">
        <v>83</v>
      </c>
      <c r="F89" s="83">
        <v>16</v>
      </c>
      <c r="G89" s="83">
        <v>1</v>
      </c>
      <c r="H89" s="83">
        <v>65</v>
      </c>
      <c r="I89" s="83">
        <v>46</v>
      </c>
      <c r="J89" s="86">
        <v>0.70799999999999996</v>
      </c>
      <c r="K89" s="83">
        <v>431</v>
      </c>
      <c r="L89" s="83">
        <v>9.4</v>
      </c>
      <c r="M89" s="83">
        <v>2</v>
      </c>
      <c r="N89" s="83">
        <v>21</v>
      </c>
      <c r="O89" s="83">
        <v>46</v>
      </c>
      <c r="P89" s="83">
        <v>6.6</v>
      </c>
      <c r="Q89" s="83">
        <v>2.9</v>
      </c>
      <c r="R89" s="83">
        <v>26.9</v>
      </c>
      <c r="S89" s="83">
        <v>1</v>
      </c>
    </row>
    <row r="90" spans="1:19" ht="16" x14ac:dyDescent="0.2">
      <c r="A90" s="89">
        <v>86</v>
      </c>
      <c r="B90" s="84" t="s">
        <v>296</v>
      </c>
      <c r="C90" s="84" t="s">
        <v>1257</v>
      </c>
      <c r="D90" s="83">
        <v>23</v>
      </c>
      <c r="E90" s="83" t="s">
        <v>83</v>
      </c>
      <c r="F90" s="83">
        <v>17</v>
      </c>
      <c r="G90" s="83">
        <v>11</v>
      </c>
      <c r="H90" s="83">
        <v>84</v>
      </c>
      <c r="I90" s="83">
        <v>46</v>
      </c>
      <c r="J90" s="86">
        <v>0.54800000000000004</v>
      </c>
      <c r="K90" s="83">
        <v>698</v>
      </c>
      <c r="L90" s="83">
        <v>15.2</v>
      </c>
      <c r="M90" s="83">
        <v>6</v>
      </c>
      <c r="N90" s="83">
        <v>32</v>
      </c>
      <c r="O90" s="83">
        <v>58</v>
      </c>
      <c r="P90" s="83">
        <v>8.3000000000000007</v>
      </c>
      <c r="Q90" s="83">
        <v>2.7</v>
      </c>
      <c r="R90" s="83">
        <v>41.1</v>
      </c>
      <c r="S90" s="83">
        <v>0</v>
      </c>
    </row>
    <row r="91" spans="1:19" ht="16" x14ac:dyDescent="0.2">
      <c r="A91" s="89">
        <v>87</v>
      </c>
      <c r="B91" s="84" t="s">
        <v>303</v>
      </c>
      <c r="C91" s="84" t="s">
        <v>92</v>
      </c>
      <c r="D91" s="83">
        <v>27</v>
      </c>
      <c r="E91" s="83" t="s">
        <v>88</v>
      </c>
      <c r="F91" s="83">
        <v>15</v>
      </c>
      <c r="G91" s="83">
        <v>12</v>
      </c>
      <c r="H91" s="83">
        <v>73</v>
      </c>
      <c r="I91" s="83">
        <v>46</v>
      </c>
      <c r="J91" s="86">
        <v>0.63</v>
      </c>
      <c r="K91" s="83">
        <v>408</v>
      </c>
      <c r="L91" s="83">
        <v>8.9</v>
      </c>
      <c r="M91" s="83">
        <v>3</v>
      </c>
      <c r="N91" s="83">
        <v>21</v>
      </c>
      <c r="O91" s="83">
        <v>30</v>
      </c>
      <c r="P91" s="83">
        <v>5.6</v>
      </c>
      <c r="Q91" s="83">
        <v>3.1</v>
      </c>
      <c r="R91" s="83">
        <v>27.2</v>
      </c>
      <c r="S91" s="83">
        <v>1</v>
      </c>
    </row>
    <row r="92" spans="1:19" ht="16" x14ac:dyDescent="0.2">
      <c r="A92" s="89">
        <v>88</v>
      </c>
      <c r="B92" s="84" t="s">
        <v>1396</v>
      </c>
      <c r="C92" s="84" t="s">
        <v>729</v>
      </c>
      <c r="D92" s="83">
        <v>26</v>
      </c>
      <c r="E92" s="83" t="s">
        <v>83</v>
      </c>
      <c r="F92" s="83">
        <v>16</v>
      </c>
      <c r="G92" s="83">
        <v>4</v>
      </c>
      <c r="H92" s="83">
        <v>61</v>
      </c>
      <c r="I92" s="83">
        <v>45</v>
      </c>
      <c r="J92" s="86">
        <v>0.73799999999999999</v>
      </c>
      <c r="K92" s="83">
        <v>602</v>
      </c>
      <c r="L92" s="83">
        <v>13.4</v>
      </c>
      <c r="M92" s="83">
        <v>6</v>
      </c>
      <c r="N92" s="83">
        <v>27</v>
      </c>
      <c r="O92" s="83">
        <v>73</v>
      </c>
      <c r="P92" s="83">
        <v>9.9</v>
      </c>
      <c r="Q92" s="83">
        <v>2.8</v>
      </c>
      <c r="R92" s="83">
        <v>37.6</v>
      </c>
      <c r="S92" s="83">
        <v>3</v>
      </c>
    </row>
    <row r="93" spans="1:19" ht="16" x14ac:dyDescent="0.2">
      <c r="A93" s="89">
        <v>89</v>
      </c>
      <c r="B93" s="84" t="s">
        <v>1582</v>
      </c>
      <c r="C93" s="84" t="s">
        <v>730</v>
      </c>
      <c r="D93" s="83">
        <v>29</v>
      </c>
      <c r="E93" s="83" t="s">
        <v>83</v>
      </c>
      <c r="F93" s="83">
        <v>9</v>
      </c>
      <c r="G93" s="83">
        <v>9</v>
      </c>
      <c r="H93" s="83">
        <v>69</v>
      </c>
      <c r="I93" s="83">
        <v>45</v>
      </c>
      <c r="J93" s="86">
        <v>0.65200000000000002</v>
      </c>
      <c r="K93" s="83">
        <v>556</v>
      </c>
      <c r="L93" s="83">
        <v>12.4</v>
      </c>
      <c r="M93" s="83">
        <v>4</v>
      </c>
      <c r="N93" s="83">
        <v>34</v>
      </c>
      <c r="O93" s="83">
        <v>28</v>
      </c>
      <c r="P93" s="83">
        <v>8.1</v>
      </c>
      <c r="Q93" s="83">
        <v>5</v>
      </c>
      <c r="R93" s="83">
        <v>61.8</v>
      </c>
      <c r="S93" s="83">
        <v>0</v>
      </c>
    </row>
    <row r="94" spans="1:19" x14ac:dyDescent="0.2">
      <c r="A94" s="89" t="s">
        <v>902</v>
      </c>
      <c r="B94" s="89" t="s">
        <v>903</v>
      </c>
      <c r="C94" s="89" t="s">
        <v>1314</v>
      </c>
      <c r="D94" s="89" t="s">
        <v>905</v>
      </c>
      <c r="E94" s="89" t="s">
        <v>906</v>
      </c>
      <c r="F94" s="89" t="s">
        <v>1315</v>
      </c>
      <c r="G94" s="89" t="s">
        <v>1316</v>
      </c>
      <c r="H94" s="89" t="s">
        <v>2314</v>
      </c>
      <c r="I94" s="89" t="s">
        <v>2092</v>
      </c>
      <c r="J94" s="89" t="s">
        <v>2093</v>
      </c>
      <c r="K94" s="89" t="s">
        <v>799</v>
      </c>
      <c r="L94" s="89" t="s">
        <v>2315</v>
      </c>
      <c r="M94" s="89" t="s">
        <v>800</v>
      </c>
      <c r="N94" s="89" t="s">
        <v>1321</v>
      </c>
      <c r="O94" s="89" t="s">
        <v>917</v>
      </c>
      <c r="P94" s="89" t="s">
        <v>2316</v>
      </c>
      <c r="Q94" s="89" t="s">
        <v>2317</v>
      </c>
      <c r="R94" s="89" t="s">
        <v>1325</v>
      </c>
      <c r="S94" s="89" t="s">
        <v>1416</v>
      </c>
    </row>
    <row r="95" spans="1:19" ht="16" x14ac:dyDescent="0.2">
      <c r="A95" s="89">
        <v>90</v>
      </c>
      <c r="B95" s="84" t="s">
        <v>171</v>
      </c>
      <c r="C95" s="83" t="s">
        <v>1726</v>
      </c>
      <c r="D95" s="83">
        <v>29</v>
      </c>
      <c r="E95" s="83" t="s">
        <v>83</v>
      </c>
      <c r="F95" s="83">
        <v>14</v>
      </c>
      <c r="G95" s="83">
        <v>13</v>
      </c>
      <c r="H95" s="83">
        <v>82</v>
      </c>
      <c r="I95" s="83">
        <v>44</v>
      </c>
      <c r="J95" s="86">
        <v>0.53700000000000003</v>
      </c>
      <c r="K95" s="83">
        <v>537</v>
      </c>
      <c r="L95" s="83">
        <v>12.2</v>
      </c>
      <c r="M95" s="83">
        <v>5</v>
      </c>
      <c r="N95" s="83">
        <v>27</v>
      </c>
      <c r="O95" s="83">
        <v>54</v>
      </c>
      <c r="P95" s="83">
        <v>6.5</v>
      </c>
      <c r="Q95" s="83">
        <v>3.1</v>
      </c>
      <c r="R95" s="83">
        <v>38.4</v>
      </c>
      <c r="S95" s="83">
        <v>0</v>
      </c>
    </row>
    <row r="96" spans="1:19" ht="16" x14ac:dyDescent="0.2">
      <c r="A96" s="89">
        <v>91</v>
      </c>
      <c r="B96" s="84" t="s">
        <v>198</v>
      </c>
      <c r="C96" s="84" t="s">
        <v>101</v>
      </c>
      <c r="D96" s="83">
        <v>28</v>
      </c>
      <c r="E96" s="83" t="s">
        <v>68</v>
      </c>
      <c r="F96" s="83">
        <v>17</v>
      </c>
      <c r="G96" s="83">
        <v>8</v>
      </c>
      <c r="H96" s="83">
        <v>58</v>
      </c>
      <c r="I96" s="83">
        <v>44</v>
      </c>
      <c r="J96" s="86">
        <v>0.75900000000000001</v>
      </c>
      <c r="K96" s="83">
        <v>259</v>
      </c>
      <c r="L96" s="83">
        <v>5.9</v>
      </c>
      <c r="M96" s="83">
        <v>1</v>
      </c>
      <c r="N96" s="83">
        <v>12</v>
      </c>
      <c r="O96" s="83">
        <v>20</v>
      </c>
      <c r="P96" s="83">
        <v>4.5</v>
      </c>
      <c r="Q96" s="83">
        <v>2.6</v>
      </c>
      <c r="R96" s="83">
        <v>15.2</v>
      </c>
      <c r="S96" s="83">
        <v>4</v>
      </c>
    </row>
    <row r="97" spans="1:19" ht="16" x14ac:dyDescent="0.2">
      <c r="A97" s="89">
        <v>92</v>
      </c>
      <c r="B97" s="84" t="s">
        <v>239</v>
      </c>
      <c r="C97" s="84" t="s">
        <v>78</v>
      </c>
      <c r="D97" s="83">
        <v>25</v>
      </c>
      <c r="E97" s="83" t="s">
        <v>68</v>
      </c>
      <c r="F97" s="83">
        <v>12</v>
      </c>
      <c r="G97" s="83">
        <v>11</v>
      </c>
      <c r="H97" s="83">
        <v>53</v>
      </c>
      <c r="I97" s="83">
        <v>43</v>
      </c>
      <c r="J97" s="86">
        <v>0.81100000000000005</v>
      </c>
      <c r="K97" s="83">
        <v>311</v>
      </c>
      <c r="L97" s="83">
        <v>7.2</v>
      </c>
      <c r="M97" s="83">
        <v>0</v>
      </c>
      <c r="N97" s="83">
        <v>11</v>
      </c>
      <c r="O97" s="83">
        <v>36</v>
      </c>
      <c r="P97" s="83">
        <v>5.9</v>
      </c>
      <c r="Q97" s="83">
        <v>3.6</v>
      </c>
      <c r="R97" s="83">
        <v>25.9</v>
      </c>
      <c r="S97" s="83">
        <v>1</v>
      </c>
    </row>
    <row r="98" spans="1:19" ht="16" x14ac:dyDescent="0.2">
      <c r="A98" s="89">
        <v>93</v>
      </c>
      <c r="B98" s="84" t="s">
        <v>301</v>
      </c>
      <c r="C98" s="84" t="s">
        <v>119</v>
      </c>
      <c r="D98" s="83">
        <v>28</v>
      </c>
      <c r="E98" s="83" t="s">
        <v>83</v>
      </c>
      <c r="F98" s="83">
        <v>11</v>
      </c>
      <c r="G98" s="83">
        <v>3</v>
      </c>
      <c r="H98" s="83">
        <v>53</v>
      </c>
      <c r="I98" s="83">
        <v>43</v>
      </c>
      <c r="J98" s="86">
        <v>0.81100000000000005</v>
      </c>
      <c r="K98" s="83">
        <v>397</v>
      </c>
      <c r="L98" s="83">
        <v>9.1999999999999993</v>
      </c>
      <c r="M98" s="83">
        <v>2</v>
      </c>
      <c r="N98" s="83">
        <v>15</v>
      </c>
      <c r="O98" s="83">
        <v>56</v>
      </c>
      <c r="P98" s="83">
        <v>7.5</v>
      </c>
      <c r="Q98" s="83">
        <v>3.9</v>
      </c>
      <c r="R98" s="83">
        <v>36.1</v>
      </c>
      <c r="S98" s="83">
        <v>0</v>
      </c>
    </row>
    <row r="99" spans="1:19" ht="16" x14ac:dyDescent="0.2">
      <c r="A99" s="89">
        <v>94</v>
      </c>
      <c r="B99" s="84" t="s">
        <v>311</v>
      </c>
      <c r="C99" s="84" t="s">
        <v>71</v>
      </c>
      <c r="D99" s="83">
        <v>21</v>
      </c>
      <c r="E99" s="83" t="s">
        <v>83</v>
      </c>
      <c r="F99" s="83">
        <v>11</v>
      </c>
      <c r="G99" s="83">
        <v>6</v>
      </c>
      <c r="H99" s="83">
        <v>77</v>
      </c>
      <c r="I99" s="83">
        <v>43</v>
      </c>
      <c r="J99" s="86">
        <v>0.55800000000000005</v>
      </c>
      <c r="K99" s="83">
        <v>538</v>
      </c>
      <c r="L99" s="83">
        <v>12.5</v>
      </c>
      <c r="M99" s="83">
        <v>5</v>
      </c>
      <c r="N99" s="83">
        <v>24</v>
      </c>
      <c r="O99" s="83">
        <v>62</v>
      </c>
      <c r="P99" s="83">
        <v>7</v>
      </c>
      <c r="Q99" s="83">
        <v>3.9</v>
      </c>
      <c r="R99" s="83">
        <v>48.9</v>
      </c>
      <c r="S99" s="83">
        <v>0</v>
      </c>
    </row>
    <row r="100" spans="1:19" ht="16" x14ac:dyDescent="0.2">
      <c r="A100" s="89">
        <v>95</v>
      </c>
      <c r="B100" s="84" t="s">
        <v>429</v>
      </c>
      <c r="C100" s="84" t="s">
        <v>102</v>
      </c>
      <c r="D100" s="83">
        <v>23</v>
      </c>
      <c r="E100" s="83" t="s">
        <v>83</v>
      </c>
      <c r="F100" s="83">
        <v>17</v>
      </c>
      <c r="G100" s="83">
        <v>12</v>
      </c>
      <c r="H100" s="83">
        <v>62</v>
      </c>
      <c r="I100" s="83">
        <v>43</v>
      </c>
      <c r="J100" s="86">
        <v>0.69399999999999995</v>
      </c>
      <c r="K100" s="83">
        <v>647</v>
      </c>
      <c r="L100" s="83">
        <v>15</v>
      </c>
      <c r="M100" s="83">
        <v>1</v>
      </c>
      <c r="N100" s="83">
        <v>25</v>
      </c>
      <c r="O100" s="83">
        <v>91</v>
      </c>
      <c r="P100" s="83">
        <v>10.4</v>
      </c>
      <c r="Q100" s="83">
        <v>2.5</v>
      </c>
      <c r="R100" s="83">
        <v>38.1</v>
      </c>
      <c r="S100" s="83">
        <v>0</v>
      </c>
    </row>
    <row r="101" spans="1:19" ht="16" x14ac:dyDescent="0.2">
      <c r="A101" s="89">
        <v>96</v>
      </c>
      <c r="B101" s="84" t="s">
        <v>254</v>
      </c>
      <c r="C101" s="84" t="s">
        <v>93</v>
      </c>
      <c r="D101" s="83">
        <v>21</v>
      </c>
      <c r="E101" s="83" t="s">
        <v>68</v>
      </c>
      <c r="F101" s="83">
        <v>17</v>
      </c>
      <c r="G101" s="83">
        <v>1</v>
      </c>
      <c r="H101" s="83">
        <v>53</v>
      </c>
      <c r="I101" s="83">
        <v>43</v>
      </c>
      <c r="J101" s="86">
        <v>0.81100000000000005</v>
      </c>
      <c r="K101" s="83">
        <v>316</v>
      </c>
      <c r="L101" s="83">
        <v>7.3</v>
      </c>
      <c r="M101" s="83">
        <v>3</v>
      </c>
      <c r="N101" s="83">
        <v>12</v>
      </c>
      <c r="O101" s="83">
        <v>42</v>
      </c>
      <c r="P101" s="83">
        <v>6</v>
      </c>
      <c r="Q101" s="83">
        <v>2.5</v>
      </c>
      <c r="R101" s="83">
        <v>18.600000000000001</v>
      </c>
      <c r="S101" s="83">
        <v>2</v>
      </c>
    </row>
    <row r="102" spans="1:19" ht="16" x14ac:dyDescent="0.2">
      <c r="A102" s="89">
        <v>97</v>
      </c>
      <c r="B102" s="84" t="s">
        <v>1543</v>
      </c>
      <c r="C102" s="84" t="s">
        <v>976</v>
      </c>
      <c r="D102" s="83">
        <v>33</v>
      </c>
      <c r="E102" s="83" t="s">
        <v>83</v>
      </c>
      <c r="F102" s="83">
        <v>7</v>
      </c>
      <c r="G102" s="83">
        <v>3</v>
      </c>
      <c r="H102" s="83">
        <v>62</v>
      </c>
      <c r="I102" s="83">
        <v>42</v>
      </c>
      <c r="J102" s="86">
        <v>0.67700000000000005</v>
      </c>
      <c r="K102" s="83">
        <v>545</v>
      </c>
      <c r="L102" s="83">
        <v>13</v>
      </c>
      <c r="M102" s="83">
        <v>4</v>
      </c>
      <c r="N102" s="83">
        <v>29</v>
      </c>
      <c r="O102" s="83">
        <v>62</v>
      </c>
      <c r="P102" s="83">
        <v>8.8000000000000007</v>
      </c>
      <c r="Q102" s="83">
        <v>6</v>
      </c>
      <c r="R102" s="83">
        <v>77.900000000000006</v>
      </c>
      <c r="S102" s="83">
        <v>0</v>
      </c>
    </row>
    <row r="103" spans="1:19" ht="16" x14ac:dyDescent="0.2">
      <c r="A103" s="89">
        <v>98</v>
      </c>
      <c r="B103" s="84" t="s">
        <v>136</v>
      </c>
      <c r="C103" s="84" t="s">
        <v>119</v>
      </c>
      <c r="D103" s="83">
        <v>23</v>
      </c>
      <c r="E103" s="83" t="s">
        <v>68</v>
      </c>
      <c r="F103" s="83">
        <v>16</v>
      </c>
      <c r="G103" s="83">
        <v>14</v>
      </c>
      <c r="H103" s="83">
        <v>52</v>
      </c>
      <c r="I103" s="83">
        <v>42</v>
      </c>
      <c r="J103" s="86">
        <v>0.80800000000000005</v>
      </c>
      <c r="K103" s="83">
        <v>294</v>
      </c>
      <c r="L103" s="83">
        <v>7</v>
      </c>
      <c r="M103" s="83">
        <v>3</v>
      </c>
      <c r="N103" s="83">
        <v>12</v>
      </c>
      <c r="O103" s="83">
        <v>73</v>
      </c>
      <c r="P103" s="83">
        <v>5.7</v>
      </c>
      <c r="Q103" s="83">
        <v>2.6</v>
      </c>
      <c r="R103" s="83">
        <v>18.399999999999999</v>
      </c>
      <c r="S103" s="83">
        <v>6</v>
      </c>
    </row>
    <row r="104" spans="1:19" ht="16" x14ac:dyDescent="0.2">
      <c r="A104" s="89">
        <v>99</v>
      </c>
      <c r="B104" s="84" t="s">
        <v>96</v>
      </c>
      <c r="C104" s="84" t="s">
        <v>78</v>
      </c>
      <c r="D104" s="83">
        <v>29</v>
      </c>
      <c r="E104" s="83" t="s">
        <v>83</v>
      </c>
      <c r="F104" s="83">
        <v>10</v>
      </c>
      <c r="G104" s="83">
        <v>10</v>
      </c>
      <c r="H104" s="83">
        <v>64</v>
      </c>
      <c r="I104" s="83">
        <v>42</v>
      </c>
      <c r="J104" s="86">
        <v>0.65600000000000003</v>
      </c>
      <c r="K104" s="83">
        <v>572</v>
      </c>
      <c r="L104" s="83">
        <v>13.6</v>
      </c>
      <c r="M104" s="83">
        <v>8</v>
      </c>
      <c r="N104" s="83">
        <v>32</v>
      </c>
      <c r="O104" s="83">
        <v>55</v>
      </c>
      <c r="P104" s="83">
        <v>8.9</v>
      </c>
      <c r="Q104" s="83">
        <v>4.2</v>
      </c>
      <c r="R104" s="83">
        <v>57.2</v>
      </c>
      <c r="S104" s="83">
        <v>0</v>
      </c>
    </row>
    <row r="105" spans="1:19" ht="16" x14ac:dyDescent="0.2">
      <c r="A105" s="89">
        <v>100</v>
      </c>
      <c r="B105" s="84" t="s">
        <v>2644</v>
      </c>
      <c r="C105" s="84" t="s">
        <v>74</v>
      </c>
      <c r="D105" s="83">
        <v>25</v>
      </c>
      <c r="E105" s="83" t="s">
        <v>68</v>
      </c>
      <c r="F105" s="83">
        <v>16</v>
      </c>
      <c r="G105" s="83">
        <v>16</v>
      </c>
      <c r="H105" s="83">
        <v>48</v>
      </c>
      <c r="I105" s="83">
        <v>42</v>
      </c>
      <c r="J105" s="86">
        <v>0.875</v>
      </c>
      <c r="K105" s="83">
        <v>314</v>
      </c>
      <c r="L105" s="83">
        <v>7.5</v>
      </c>
      <c r="M105" s="83">
        <v>3</v>
      </c>
      <c r="N105" s="83">
        <v>11</v>
      </c>
      <c r="O105" s="83">
        <v>52</v>
      </c>
      <c r="P105" s="83">
        <v>6.5</v>
      </c>
      <c r="Q105" s="83">
        <v>2.6</v>
      </c>
      <c r="R105" s="83">
        <v>19.600000000000001</v>
      </c>
      <c r="S105" s="83">
        <v>2</v>
      </c>
    </row>
    <row r="106" spans="1:19" ht="16" x14ac:dyDescent="0.2">
      <c r="A106" s="89">
        <v>101</v>
      </c>
      <c r="B106" s="84" t="s">
        <v>1446</v>
      </c>
      <c r="C106" s="84" t="s">
        <v>727</v>
      </c>
      <c r="D106" s="83">
        <v>24</v>
      </c>
      <c r="E106" s="83" t="s">
        <v>68</v>
      </c>
      <c r="F106" s="83">
        <v>13</v>
      </c>
      <c r="G106" s="83">
        <v>13</v>
      </c>
      <c r="H106" s="83">
        <v>51</v>
      </c>
      <c r="I106" s="83">
        <v>42</v>
      </c>
      <c r="J106" s="86">
        <v>0.82399999999999995</v>
      </c>
      <c r="K106" s="83">
        <v>301</v>
      </c>
      <c r="L106" s="83">
        <v>7.2</v>
      </c>
      <c r="M106" s="83">
        <v>0</v>
      </c>
      <c r="N106" s="83">
        <v>18</v>
      </c>
      <c r="O106" s="83">
        <v>16</v>
      </c>
      <c r="P106" s="83">
        <v>5.9</v>
      </c>
      <c r="Q106" s="83">
        <v>3.2</v>
      </c>
      <c r="R106" s="83">
        <v>23.2</v>
      </c>
      <c r="S106" s="83">
        <v>1</v>
      </c>
    </row>
    <row r="107" spans="1:19" ht="16" x14ac:dyDescent="0.2">
      <c r="A107" s="89">
        <v>102</v>
      </c>
      <c r="B107" s="84" t="s">
        <v>386</v>
      </c>
      <c r="C107" s="84" t="s">
        <v>1040</v>
      </c>
      <c r="D107" s="83">
        <v>28</v>
      </c>
      <c r="E107" s="83" t="s">
        <v>83</v>
      </c>
      <c r="F107" s="83">
        <v>17</v>
      </c>
      <c r="G107" s="83">
        <v>5</v>
      </c>
      <c r="H107" s="83">
        <v>60</v>
      </c>
      <c r="I107" s="83">
        <v>42</v>
      </c>
      <c r="J107" s="86">
        <v>0.7</v>
      </c>
      <c r="K107" s="83">
        <v>568</v>
      </c>
      <c r="L107" s="83">
        <v>13.5</v>
      </c>
      <c r="M107" s="83">
        <v>5</v>
      </c>
      <c r="N107" s="83">
        <v>32</v>
      </c>
      <c r="O107" s="83">
        <v>40</v>
      </c>
      <c r="P107" s="83">
        <v>9.5</v>
      </c>
      <c r="Q107" s="83">
        <v>2.5</v>
      </c>
      <c r="R107" s="83">
        <v>33.4</v>
      </c>
      <c r="S107" s="83">
        <v>2</v>
      </c>
    </row>
    <row r="108" spans="1:19" ht="16" x14ac:dyDescent="0.2">
      <c r="A108" s="89">
        <v>103</v>
      </c>
      <c r="B108" s="84" t="s">
        <v>282</v>
      </c>
      <c r="C108" s="84" t="s">
        <v>98</v>
      </c>
      <c r="D108" s="83">
        <v>34</v>
      </c>
      <c r="E108" s="83" t="s">
        <v>83</v>
      </c>
      <c r="F108" s="83">
        <v>14</v>
      </c>
      <c r="G108" s="83">
        <v>13</v>
      </c>
      <c r="H108" s="83">
        <v>72</v>
      </c>
      <c r="I108" s="83">
        <v>42</v>
      </c>
      <c r="J108" s="86">
        <v>0.58299999999999996</v>
      </c>
      <c r="K108" s="83">
        <v>626</v>
      </c>
      <c r="L108" s="83">
        <v>14.9</v>
      </c>
      <c r="M108" s="83">
        <v>4</v>
      </c>
      <c r="N108" s="83">
        <v>31</v>
      </c>
      <c r="O108" s="83">
        <v>41</v>
      </c>
      <c r="P108" s="83">
        <v>8.6999999999999993</v>
      </c>
      <c r="Q108" s="83">
        <v>3</v>
      </c>
      <c r="R108" s="83">
        <v>44.7</v>
      </c>
      <c r="S108" s="83">
        <v>0</v>
      </c>
    </row>
    <row r="109" spans="1:19" ht="16" x14ac:dyDescent="0.2">
      <c r="A109" s="89">
        <v>104</v>
      </c>
      <c r="B109" s="84" t="s">
        <v>91</v>
      </c>
      <c r="C109" s="84" t="s">
        <v>92</v>
      </c>
      <c r="D109" s="83">
        <v>24</v>
      </c>
      <c r="E109" s="83" t="s">
        <v>68</v>
      </c>
      <c r="F109" s="83">
        <v>13</v>
      </c>
      <c r="G109" s="83">
        <v>13</v>
      </c>
      <c r="H109" s="83">
        <v>57</v>
      </c>
      <c r="I109" s="83">
        <v>41</v>
      </c>
      <c r="J109" s="86">
        <v>0.71899999999999997</v>
      </c>
      <c r="K109" s="83">
        <v>263</v>
      </c>
      <c r="L109" s="83">
        <v>6.4</v>
      </c>
      <c r="M109" s="83">
        <v>2</v>
      </c>
      <c r="N109" s="83">
        <v>13</v>
      </c>
      <c r="O109" s="83">
        <v>54</v>
      </c>
      <c r="P109" s="83">
        <v>4.5999999999999996</v>
      </c>
      <c r="Q109" s="83">
        <v>3.2</v>
      </c>
      <c r="R109" s="83">
        <v>20.2</v>
      </c>
      <c r="S109" s="83">
        <v>2</v>
      </c>
    </row>
    <row r="110" spans="1:19" ht="16" x14ac:dyDescent="0.2">
      <c r="A110" s="89">
        <v>105</v>
      </c>
      <c r="B110" s="84" t="s">
        <v>456</v>
      </c>
      <c r="C110" s="84" t="s">
        <v>1122</v>
      </c>
      <c r="D110" s="83">
        <v>31</v>
      </c>
      <c r="E110" s="83" t="s">
        <v>68</v>
      </c>
      <c r="F110" s="83">
        <v>17</v>
      </c>
      <c r="G110" s="83">
        <v>1</v>
      </c>
      <c r="H110" s="83">
        <v>49</v>
      </c>
      <c r="I110" s="83">
        <v>41</v>
      </c>
      <c r="J110" s="86">
        <v>0.83699999999999997</v>
      </c>
      <c r="K110" s="83">
        <v>405</v>
      </c>
      <c r="L110" s="83">
        <v>9.9</v>
      </c>
      <c r="M110" s="83">
        <v>2</v>
      </c>
      <c r="N110" s="83">
        <v>21</v>
      </c>
      <c r="O110" s="83">
        <v>28</v>
      </c>
      <c r="P110" s="83">
        <v>8.3000000000000007</v>
      </c>
      <c r="Q110" s="83">
        <v>2.4</v>
      </c>
      <c r="R110" s="83">
        <v>23.8</v>
      </c>
      <c r="S110" s="83">
        <v>1</v>
      </c>
    </row>
    <row r="111" spans="1:19" ht="16" x14ac:dyDescent="0.2">
      <c r="A111" s="89">
        <v>106</v>
      </c>
      <c r="B111" s="84" t="s">
        <v>328</v>
      </c>
      <c r="C111" s="84" t="s">
        <v>119</v>
      </c>
      <c r="D111" s="83">
        <v>28</v>
      </c>
      <c r="E111" s="83" t="s">
        <v>83</v>
      </c>
      <c r="F111" s="83">
        <v>17</v>
      </c>
      <c r="G111" s="83">
        <v>11</v>
      </c>
      <c r="H111" s="83">
        <v>62</v>
      </c>
      <c r="I111" s="83">
        <v>41</v>
      </c>
      <c r="J111" s="86">
        <v>0.66100000000000003</v>
      </c>
      <c r="K111" s="83">
        <v>383</v>
      </c>
      <c r="L111" s="83">
        <v>9.3000000000000007</v>
      </c>
      <c r="M111" s="83">
        <v>0</v>
      </c>
      <c r="N111" s="83">
        <v>23</v>
      </c>
      <c r="O111" s="83">
        <v>27</v>
      </c>
      <c r="P111" s="83">
        <v>6.2</v>
      </c>
      <c r="Q111" s="83">
        <v>2.4</v>
      </c>
      <c r="R111" s="83">
        <v>22.5</v>
      </c>
      <c r="S111" s="83">
        <v>0</v>
      </c>
    </row>
    <row r="112" spans="1:19" ht="16" x14ac:dyDescent="0.2">
      <c r="A112" s="89">
        <v>107</v>
      </c>
      <c r="B112" s="84" t="s">
        <v>279</v>
      </c>
      <c r="C112" s="84" t="s">
        <v>92</v>
      </c>
      <c r="D112" s="83">
        <v>29</v>
      </c>
      <c r="E112" s="83" t="s">
        <v>68</v>
      </c>
      <c r="F112" s="83">
        <v>16</v>
      </c>
      <c r="G112" s="83">
        <v>4</v>
      </c>
      <c r="H112" s="83">
        <v>45</v>
      </c>
      <c r="I112" s="83">
        <v>40</v>
      </c>
      <c r="J112" s="86">
        <v>0.88900000000000001</v>
      </c>
      <c r="K112" s="83">
        <v>268</v>
      </c>
      <c r="L112" s="83">
        <v>6.7</v>
      </c>
      <c r="M112" s="83">
        <v>1</v>
      </c>
      <c r="N112" s="83">
        <v>11</v>
      </c>
      <c r="O112" s="83">
        <v>41</v>
      </c>
      <c r="P112" s="83">
        <v>6</v>
      </c>
      <c r="Q112" s="83">
        <v>2.5</v>
      </c>
      <c r="R112" s="83">
        <v>16.8</v>
      </c>
      <c r="S112" s="83">
        <v>0</v>
      </c>
    </row>
    <row r="113" spans="1:19" ht="16" x14ac:dyDescent="0.2">
      <c r="A113" s="89">
        <v>108</v>
      </c>
      <c r="B113" s="84" t="s">
        <v>268</v>
      </c>
      <c r="C113" s="84" t="s">
        <v>107</v>
      </c>
      <c r="D113" s="83">
        <v>25</v>
      </c>
      <c r="E113" s="83" t="s">
        <v>68</v>
      </c>
      <c r="F113" s="83">
        <v>17</v>
      </c>
      <c r="G113" s="83">
        <v>4</v>
      </c>
      <c r="H113" s="83">
        <v>57</v>
      </c>
      <c r="I113" s="83">
        <v>40</v>
      </c>
      <c r="J113" s="86">
        <v>0.70199999999999996</v>
      </c>
      <c r="K113" s="83">
        <v>310</v>
      </c>
      <c r="L113" s="83">
        <v>7.8</v>
      </c>
      <c r="M113" s="83">
        <v>1</v>
      </c>
      <c r="N113" s="83">
        <v>15</v>
      </c>
      <c r="O113" s="83">
        <v>36</v>
      </c>
      <c r="P113" s="83">
        <v>5.4</v>
      </c>
      <c r="Q113" s="83">
        <v>2.4</v>
      </c>
      <c r="R113" s="83">
        <v>18.2</v>
      </c>
      <c r="S113" s="83">
        <v>3</v>
      </c>
    </row>
    <row r="114" spans="1:19" ht="16" x14ac:dyDescent="0.2">
      <c r="A114" s="89">
        <v>109</v>
      </c>
      <c r="B114" s="84" t="s">
        <v>255</v>
      </c>
      <c r="C114" s="84" t="s">
        <v>1267</v>
      </c>
      <c r="D114" s="83">
        <v>26</v>
      </c>
      <c r="E114" s="83" t="s">
        <v>83</v>
      </c>
      <c r="F114" s="83">
        <v>15</v>
      </c>
      <c r="G114" s="83">
        <v>13</v>
      </c>
      <c r="H114" s="83">
        <v>60</v>
      </c>
      <c r="I114" s="83">
        <v>40</v>
      </c>
      <c r="J114" s="86">
        <v>0.66700000000000004</v>
      </c>
      <c r="K114" s="83">
        <v>513</v>
      </c>
      <c r="L114" s="83">
        <v>12.8</v>
      </c>
      <c r="M114" s="83">
        <v>8</v>
      </c>
      <c r="N114" s="83">
        <v>28</v>
      </c>
      <c r="O114" s="83">
        <v>42</v>
      </c>
      <c r="P114" s="83">
        <v>8.6</v>
      </c>
      <c r="Q114" s="83">
        <v>2.7</v>
      </c>
      <c r="R114" s="83">
        <v>34.200000000000003</v>
      </c>
      <c r="S114" s="83">
        <v>0</v>
      </c>
    </row>
    <row r="115" spans="1:19" ht="16" x14ac:dyDescent="0.2">
      <c r="A115" s="89">
        <v>110</v>
      </c>
      <c r="B115" s="84" t="s">
        <v>202</v>
      </c>
      <c r="C115" s="84" t="s">
        <v>142</v>
      </c>
      <c r="D115" s="83">
        <v>28</v>
      </c>
      <c r="E115" s="83" t="s">
        <v>83</v>
      </c>
      <c r="F115" s="83">
        <v>10</v>
      </c>
      <c r="G115" s="83">
        <v>8</v>
      </c>
      <c r="H115" s="83">
        <v>73</v>
      </c>
      <c r="I115" s="83">
        <v>40</v>
      </c>
      <c r="J115" s="86">
        <v>0.54800000000000004</v>
      </c>
      <c r="K115" s="83">
        <v>515</v>
      </c>
      <c r="L115" s="83">
        <v>12.9</v>
      </c>
      <c r="M115" s="83">
        <v>2</v>
      </c>
      <c r="N115" s="83">
        <v>29</v>
      </c>
      <c r="O115" s="83">
        <v>42</v>
      </c>
      <c r="P115" s="83">
        <v>7.1</v>
      </c>
      <c r="Q115" s="83">
        <v>4</v>
      </c>
      <c r="R115" s="83">
        <v>51.5</v>
      </c>
      <c r="S115" s="83">
        <v>0</v>
      </c>
    </row>
    <row r="116" spans="1:19" ht="16" x14ac:dyDescent="0.2">
      <c r="A116" s="89">
        <v>111</v>
      </c>
      <c r="B116" s="84" t="s">
        <v>280</v>
      </c>
      <c r="C116" s="84" t="s">
        <v>98</v>
      </c>
      <c r="D116" s="83">
        <v>24</v>
      </c>
      <c r="E116" s="83" t="s">
        <v>68</v>
      </c>
      <c r="F116" s="83">
        <v>17</v>
      </c>
      <c r="G116" s="83">
        <v>16</v>
      </c>
      <c r="H116" s="83">
        <v>50</v>
      </c>
      <c r="I116" s="83">
        <v>40</v>
      </c>
      <c r="J116" s="86">
        <v>0.8</v>
      </c>
      <c r="K116" s="83">
        <v>228</v>
      </c>
      <c r="L116" s="83">
        <v>5.7</v>
      </c>
      <c r="M116" s="83">
        <v>1</v>
      </c>
      <c r="N116" s="83">
        <v>11</v>
      </c>
      <c r="O116" s="83">
        <v>19</v>
      </c>
      <c r="P116" s="83">
        <v>4.5999999999999996</v>
      </c>
      <c r="Q116" s="83">
        <v>2.4</v>
      </c>
      <c r="R116" s="83">
        <v>13.4</v>
      </c>
      <c r="S116" s="83">
        <v>5</v>
      </c>
    </row>
    <row r="117" spans="1:19" ht="16" x14ac:dyDescent="0.2">
      <c r="A117" s="89">
        <v>112</v>
      </c>
      <c r="B117" s="84" t="s">
        <v>3088</v>
      </c>
      <c r="C117" s="84" t="s">
        <v>107</v>
      </c>
      <c r="D117" s="83">
        <v>22</v>
      </c>
      <c r="E117" s="83" t="s">
        <v>68</v>
      </c>
      <c r="F117" s="83">
        <v>17</v>
      </c>
      <c r="G117" s="83">
        <v>17</v>
      </c>
      <c r="H117" s="83">
        <v>51</v>
      </c>
      <c r="I117" s="83">
        <v>40</v>
      </c>
      <c r="J117" s="86">
        <v>0.78400000000000003</v>
      </c>
      <c r="K117" s="83">
        <v>360</v>
      </c>
      <c r="L117" s="83">
        <v>9</v>
      </c>
      <c r="M117" s="83">
        <v>2</v>
      </c>
      <c r="N117" s="83">
        <v>12</v>
      </c>
      <c r="O117" s="83">
        <v>76</v>
      </c>
      <c r="P117" s="83">
        <v>7.1</v>
      </c>
      <c r="Q117" s="83">
        <v>2.4</v>
      </c>
      <c r="R117" s="83">
        <v>21.2</v>
      </c>
      <c r="S117" s="83">
        <v>4</v>
      </c>
    </row>
    <row r="118" spans="1:19" ht="16" x14ac:dyDescent="0.2">
      <c r="A118" s="89">
        <v>113</v>
      </c>
      <c r="B118" s="84" t="s">
        <v>1931</v>
      </c>
      <c r="C118" s="84" t="s">
        <v>99</v>
      </c>
      <c r="D118" s="83">
        <v>25</v>
      </c>
      <c r="E118" s="83" t="s">
        <v>83</v>
      </c>
      <c r="F118" s="83">
        <v>16</v>
      </c>
      <c r="G118" s="83">
        <v>5</v>
      </c>
      <c r="H118" s="83">
        <v>66</v>
      </c>
      <c r="I118" s="83">
        <v>39</v>
      </c>
      <c r="J118" s="86">
        <v>0.59099999999999997</v>
      </c>
      <c r="K118" s="83">
        <v>277</v>
      </c>
      <c r="L118" s="83">
        <v>7.1</v>
      </c>
      <c r="M118" s="83">
        <v>0</v>
      </c>
      <c r="N118" s="83">
        <v>18</v>
      </c>
      <c r="O118" s="83">
        <v>24</v>
      </c>
      <c r="P118" s="83">
        <v>4.2</v>
      </c>
      <c r="Q118" s="83">
        <v>2.4</v>
      </c>
      <c r="R118" s="83">
        <v>17.3</v>
      </c>
      <c r="S118" s="83">
        <v>4</v>
      </c>
    </row>
    <row r="119" spans="1:19" ht="16" x14ac:dyDescent="0.2">
      <c r="A119" s="89">
        <v>114</v>
      </c>
      <c r="B119" s="84" t="s">
        <v>1525</v>
      </c>
      <c r="C119" s="84" t="s">
        <v>729</v>
      </c>
      <c r="D119" s="83">
        <v>24</v>
      </c>
      <c r="E119" s="83" t="s">
        <v>68</v>
      </c>
      <c r="F119" s="83">
        <v>15</v>
      </c>
      <c r="G119" s="83">
        <v>0</v>
      </c>
      <c r="H119" s="83">
        <v>46</v>
      </c>
      <c r="I119" s="83">
        <v>39</v>
      </c>
      <c r="J119" s="86">
        <v>0.84799999999999998</v>
      </c>
      <c r="K119" s="83">
        <v>337</v>
      </c>
      <c r="L119" s="83">
        <v>8.6</v>
      </c>
      <c r="M119" s="83">
        <v>0</v>
      </c>
      <c r="N119" s="83">
        <v>15</v>
      </c>
      <c r="O119" s="83">
        <v>32</v>
      </c>
      <c r="P119" s="83">
        <v>7.3</v>
      </c>
      <c r="Q119" s="83">
        <v>2.6</v>
      </c>
      <c r="R119" s="83">
        <v>22.5</v>
      </c>
      <c r="S119" s="83">
        <v>2</v>
      </c>
    </row>
    <row r="120" spans="1:19" ht="16" x14ac:dyDescent="0.2">
      <c r="A120" s="89">
        <v>115</v>
      </c>
      <c r="B120" s="84" t="s">
        <v>326</v>
      </c>
      <c r="C120" s="84" t="s">
        <v>92</v>
      </c>
      <c r="D120" s="83">
        <v>22</v>
      </c>
      <c r="E120" s="83" t="s">
        <v>83</v>
      </c>
      <c r="F120" s="83">
        <v>10</v>
      </c>
      <c r="G120" s="83">
        <v>4</v>
      </c>
      <c r="H120" s="83">
        <v>57</v>
      </c>
      <c r="I120" s="83">
        <v>39</v>
      </c>
      <c r="J120" s="86">
        <v>0.68400000000000005</v>
      </c>
      <c r="K120" s="83">
        <v>420</v>
      </c>
      <c r="L120" s="83">
        <v>10.8</v>
      </c>
      <c r="M120" s="83">
        <v>0</v>
      </c>
      <c r="N120" s="83">
        <v>21</v>
      </c>
      <c r="O120" s="83">
        <v>38</v>
      </c>
      <c r="P120" s="83">
        <v>7.4</v>
      </c>
      <c r="Q120" s="83">
        <v>3.9</v>
      </c>
      <c r="R120" s="83">
        <v>42</v>
      </c>
      <c r="S120" s="83">
        <v>0</v>
      </c>
    </row>
    <row r="121" spans="1:19" ht="16" x14ac:dyDescent="0.2">
      <c r="A121" s="89">
        <v>116</v>
      </c>
      <c r="B121" s="84" t="s">
        <v>369</v>
      </c>
      <c r="C121" s="83" t="s">
        <v>1726</v>
      </c>
      <c r="D121" s="83">
        <v>28</v>
      </c>
      <c r="E121" s="83" t="s">
        <v>68</v>
      </c>
      <c r="F121" s="83">
        <v>17</v>
      </c>
      <c r="G121" s="83">
        <v>1</v>
      </c>
      <c r="H121" s="83">
        <v>53</v>
      </c>
      <c r="I121" s="83">
        <v>38</v>
      </c>
      <c r="J121" s="86">
        <v>0.71699999999999997</v>
      </c>
      <c r="K121" s="83">
        <v>289</v>
      </c>
      <c r="L121" s="83">
        <v>7.6</v>
      </c>
      <c r="M121" s="83">
        <v>1</v>
      </c>
      <c r="N121" s="83">
        <v>13</v>
      </c>
      <c r="O121" s="83">
        <v>23</v>
      </c>
      <c r="P121" s="83">
        <v>5.5</v>
      </c>
      <c r="Q121" s="83">
        <v>2.2000000000000002</v>
      </c>
      <c r="R121" s="83">
        <v>17</v>
      </c>
      <c r="S121" s="83">
        <v>0</v>
      </c>
    </row>
    <row r="122" spans="1:19" ht="16" x14ac:dyDescent="0.2">
      <c r="A122" s="89">
        <v>117</v>
      </c>
      <c r="B122" s="84" t="s">
        <v>304</v>
      </c>
      <c r="C122" s="84" t="s">
        <v>82</v>
      </c>
      <c r="D122" s="83">
        <v>27</v>
      </c>
      <c r="E122" s="83" t="s">
        <v>88</v>
      </c>
      <c r="F122" s="83">
        <v>16</v>
      </c>
      <c r="G122" s="83">
        <v>16</v>
      </c>
      <c r="H122" s="83">
        <v>61</v>
      </c>
      <c r="I122" s="83">
        <v>38</v>
      </c>
      <c r="J122" s="86">
        <v>0.623</v>
      </c>
      <c r="K122" s="83">
        <v>345</v>
      </c>
      <c r="L122" s="83">
        <v>9.1</v>
      </c>
      <c r="M122" s="83">
        <v>3</v>
      </c>
      <c r="N122" s="83">
        <v>18</v>
      </c>
      <c r="O122" s="83">
        <v>34</v>
      </c>
      <c r="P122" s="83">
        <v>5.7</v>
      </c>
      <c r="Q122" s="83">
        <v>2.4</v>
      </c>
      <c r="R122" s="83">
        <v>21.6</v>
      </c>
      <c r="S122" s="83">
        <v>0</v>
      </c>
    </row>
    <row r="123" spans="1:19" ht="16" x14ac:dyDescent="0.2">
      <c r="A123" s="89">
        <v>118</v>
      </c>
      <c r="B123" s="84" t="s">
        <v>259</v>
      </c>
      <c r="C123" s="84" t="s">
        <v>93</v>
      </c>
      <c r="D123" s="83">
        <v>22</v>
      </c>
      <c r="E123" s="83" t="s">
        <v>83</v>
      </c>
      <c r="F123" s="83">
        <v>10</v>
      </c>
      <c r="G123" s="83">
        <v>5</v>
      </c>
      <c r="H123" s="83">
        <v>56</v>
      </c>
      <c r="I123" s="83">
        <v>38</v>
      </c>
      <c r="J123" s="86">
        <v>0.67900000000000005</v>
      </c>
      <c r="K123" s="83">
        <v>467</v>
      </c>
      <c r="L123" s="83">
        <v>12.3</v>
      </c>
      <c r="M123" s="83">
        <v>0</v>
      </c>
      <c r="N123" s="83">
        <v>22</v>
      </c>
      <c r="O123" s="83">
        <v>40</v>
      </c>
      <c r="P123" s="83">
        <v>8.3000000000000007</v>
      </c>
      <c r="Q123" s="83">
        <v>3.8</v>
      </c>
      <c r="R123" s="83">
        <v>46.7</v>
      </c>
      <c r="S123" s="83">
        <v>1</v>
      </c>
    </row>
    <row r="124" spans="1:19" ht="16" x14ac:dyDescent="0.2">
      <c r="A124" s="89">
        <v>119</v>
      </c>
      <c r="B124" s="84" t="s">
        <v>329</v>
      </c>
      <c r="C124" s="84" t="s">
        <v>107</v>
      </c>
      <c r="D124" s="83">
        <v>27</v>
      </c>
      <c r="E124" s="83" t="s">
        <v>83</v>
      </c>
      <c r="F124" s="83">
        <v>16</v>
      </c>
      <c r="G124" s="83">
        <v>13</v>
      </c>
      <c r="H124" s="83">
        <v>69</v>
      </c>
      <c r="I124" s="83">
        <v>38</v>
      </c>
      <c r="J124" s="86">
        <v>0.55100000000000005</v>
      </c>
      <c r="K124" s="83">
        <v>384</v>
      </c>
      <c r="L124" s="83">
        <v>10.1</v>
      </c>
      <c r="M124" s="83">
        <v>3</v>
      </c>
      <c r="N124" s="83">
        <v>16</v>
      </c>
      <c r="O124" s="83">
        <v>41</v>
      </c>
      <c r="P124" s="83">
        <v>5.6</v>
      </c>
      <c r="Q124" s="83">
        <v>2.4</v>
      </c>
      <c r="R124" s="83">
        <v>24</v>
      </c>
      <c r="S124" s="83">
        <v>1</v>
      </c>
    </row>
    <row r="125" spans="1:19" x14ac:dyDescent="0.2">
      <c r="A125" s="89" t="s">
        <v>902</v>
      </c>
      <c r="B125" s="89" t="s">
        <v>903</v>
      </c>
      <c r="C125" s="89" t="s">
        <v>1314</v>
      </c>
      <c r="D125" s="89" t="s">
        <v>905</v>
      </c>
      <c r="E125" s="89" t="s">
        <v>906</v>
      </c>
      <c r="F125" s="89" t="s">
        <v>1315</v>
      </c>
      <c r="G125" s="89" t="s">
        <v>1316</v>
      </c>
      <c r="H125" s="89" t="s">
        <v>2314</v>
      </c>
      <c r="I125" s="89" t="s">
        <v>2092</v>
      </c>
      <c r="J125" s="89" t="s">
        <v>2093</v>
      </c>
      <c r="K125" s="89" t="s">
        <v>799</v>
      </c>
      <c r="L125" s="89" t="s">
        <v>2315</v>
      </c>
      <c r="M125" s="89" t="s">
        <v>800</v>
      </c>
      <c r="N125" s="89" t="s">
        <v>1321</v>
      </c>
      <c r="O125" s="89" t="s">
        <v>917</v>
      </c>
      <c r="P125" s="89" t="s">
        <v>2316</v>
      </c>
      <c r="Q125" s="89" t="s">
        <v>2317</v>
      </c>
      <c r="R125" s="89" t="s">
        <v>1325</v>
      </c>
      <c r="S125" s="89" t="s">
        <v>1416</v>
      </c>
    </row>
    <row r="126" spans="1:19" ht="16" x14ac:dyDescent="0.2">
      <c r="A126" s="89">
        <v>120</v>
      </c>
      <c r="B126" s="84" t="s">
        <v>884</v>
      </c>
      <c r="C126" s="84" t="s">
        <v>727</v>
      </c>
      <c r="D126" s="83">
        <v>28</v>
      </c>
      <c r="E126" s="83" t="s">
        <v>83</v>
      </c>
      <c r="F126" s="83">
        <v>12</v>
      </c>
      <c r="G126" s="83">
        <v>11</v>
      </c>
      <c r="H126" s="83">
        <v>66</v>
      </c>
      <c r="I126" s="83">
        <v>38</v>
      </c>
      <c r="J126" s="86">
        <v>0.57599999999999996</v>
      </c>
      <c r="K126" s="83">
        <v>410</v>
      </c>
      <c r="L126" s="83">
        <v>10.8</v>
      </c>
      <c r="M126" s="83">
        <v>1</v>
      </c>
      <c r="N126" s="83">
        <v>22</v>
      </c>
      <c r="O126" s="83">
        <v>39</v>
      </c>
      <c r="P126" s="83">
        <v>6.2</v>
      </c>
      <c r="Q126" s="83">
        <v>3.2</v>
      </c>
      <c r="R126" s="83">
        <v>34.200000000000003</v>
      </c>
      <c r="S126" s="83">
        <v>0</v>
      </c>
    </row>
    <row r="127" spans="1:19" ht="16" x14ac:dyDescent="0.2">
      <c r="A127" s="89">
        <v>121</v>
      </c>
      <c r="B127" s="84" t="s">
        <v>503</v>
      </c>
      <c r="C127" s="84" t="s">
        <v>77</v>
      </c>
      <c r="D127" s="83">
        <v>24</v>
      </c>
      <c r="E127" s="83" t="s">
        <v>83</v>
      </c>
      <c r="F127" s="83">
        <v>16</v>
      </c>
      <c r="G127" s="83">
        <v>7</v>
      </c>
      <c r="H127" s="83">
        <v>57</v>
      </c>
      <c r="I127" s="83">
        <v>38</v>
      </c>
      <c r="J127" s="86">
        <v>0.66700000000000004</v>
      </c>
      <c r="K127" s="83">
        <v>476</v>
      </c>
      <c r="L127" s="83">
        <v>12.5</v>
      </c>
      <c r="M127" s="83">
        <v>4</v>
      </c>
      <c r="N127" s="83">
        <v>23</v>
      </c>
      <c r="O127" s="83">
        <v>46</v>
      </c>
      <c r="P127" s="83">
        <v>8.4</v>
      </c>
      <c r="Q127" s="83">
        <v>2.4</v>
      </c>
      <c r="R127" s="83">
        <v>29.8</v>
      </c>
      <c r="S127" s="83">
        <v>1</v>
      </c>
    </row>
    <row r="128" spans="1:19" ht="16" x14ac:dyDescent="0.2">
      <c r="A128" s="89">
        <v>122</v>
      </c>
      <c r="B128" s="84" t="s">
        <v>253</v>
      </c>
      <c r="C128" s="84" t="s">
        <v>1122</v>
      </c>
      <c r="D128" s="83">
        <v>28</v>
      </c>
      <c r="E128" s="83" t="s">
        <v>83</v>
      </c>
      <c r="F128" s="83">
        <v>15</v>
      </c>
      <c r="G128" s="83">
        <v>13</v>
      </c>
      <c r="H128" s="83">
        <v>64</v>
      </c>
      <c r="I128" s="83">
        <v>37</v>
      </c>
      <c r="J128" s="86">
        <v>0.57799999999999996</v>
      </c>
      <c r="K128" s="83">
        <v>473</v>
      </c>
      <c r="L128" s="83">
        <v>12.8</v>
      </c>
      <c r="M128" s="83">
        <v>3</v>
      </c>
      <c r="N128" s="83">
        <v>23</v>
      </c>
      <c r="O128" s="83">
        <v>44</v>
      </c>
      <c r="P128" s="83">
        <v>7.4</v>
      </c>
      <c r="Q128" s="83">
        <v>2.5</v>
      </c>
      <c r="R128" s="83">
        <v>31.5</v>
      </c>
      <c r="S128" s="83">
        <v>0</v>
      </c>
    </row>
    <row r="129" spans="1:19" ht="16" x14ac:dyDescent="0.2">
      <c r="A129" s="89">
        <v>123</v>
      </c>
      <c r="B129" s="84" t="s">
        <v>2645</v>
      </c>
      <c r="C129" s="84" t="s">
        <v>78</v>
      </c>
      <c r="D129" s="83">
        <v>26</v>
      </c>
      <c r="E129" s="83" t="s">
        <v>68</v>
      </c>
      <c r="F129" s="83">
        <v>15</v>
      </c>
      <c r="G129" s="83">
        <v>6</v>
      </c>
      <c r="H129" s="83">
        <v>39</v>
      </c>
      <c r="I129" s="83">
        <v>37</v>
      </c>
      <c r="J129" s="86">
        <v>0.94899999999999995</v>
      </c>
      <c r="K129" s="83">
        <v>375</v>
      </c>
      <c r="L129" s="83">
        <v>10.1</v>
      </c>
      <c r="M129" s="83">
        <v>3</v>
      </c>
      <c r="N129" s="83">
        <v>18</v>
      </c>
      <c r="O129" s="83">
        <v>45</v>
      </c>
      <c r="P129" s="83">
        <v>9.6</v>
      </c>
      <c r="Q129" s="83">
        <v>2.5</v>
      </c>
      <c r="R129" s="83">
        <v>25</v>
      </c>
      <c r="S129" s="83">
        <v>2</v>
      </c>
    </row>
    <row r="130" spans="1:19" ht="16" x14ac:dyDescent="0.2">
      <c r="A130" s="89">
        <v>124</v>
      </c>
      <c r="B130" s="84" t="s">
        <v>194</v>
      </c>
      <c r="C130" s="84" t="s">
        <v>92</v>
      </c>
      <c r="D130" s="83">
        <v>28</v>
      </c>
      <c r="E130" s="83" t="s">
        <v>83</v>
      </c>
      <c r="F130" s="83">
        <v>14</v>
      </c>
      <c r="G130" s="83">
        <v>14</v>
      </c>
      <c r="H130" s="83">
        <v>76</v>
      </c>
      <c r="I130" s="83">
        <v>37</v>
      </c>
      <c r="J130" s="86">
        <v>0.48699999999999999</v>
      </c>
      <c r="K130" s="83">
        <v>521</v>
      </c>
      <c r="L130" s="83">
        <v>14.1</v>
      </c>
      <c r="M130" s="83">
        <v>0</v>
      </c>
      <c r="N130" s="83">
        <v>27</v>
      </c>
      <c r="O130" s="83">
        <v>36</v>
      </c>
      <c r="P130" s="83">
        <v>6.9</v>
      </c>
      <c r="Q130" s="83">
        <v>2.6</v>
      </c>
      <c r="R130" s="83">
        <v>37.200000000000003</v>
      </c>
      <c r="S130" s="83">
        <v>0</v>
      </c>
    </row>
    <row r="131" spans="1:19" ht="16" x14ac:dyDescent="0.2">
      <c r="A131" s="89">
        <v>125</v>
      </c>
      <c r="B131" s="84" t="s">
        <v>69</v>
      </c>
      <c r="C131" s="84" t="s">
        <v>70</v>
      </c>
      <c r="D131" s="83">
        <v>25</v>
      </c>
      <c r="E131" s="83" t="s">
        <v>68</v>
      </c>
      <c r="F131" s="83">
        <v>7</v>
      </c>
      <c r="G131" s="83">
        <v>7</v>
      </c>
      <c r="H131" s="83">
        <v>41</v>
      </c>
      <c r="I131" s="83">
        <v>37</v>
      </c>
      <c r="J131" s="86">
        <v>0.90200000000000002</v>
      </c>
      <c r="K131" s="83">
        <v>343</v>
      </c>
      <c r="L131" s="83">
        <v>9.3000000000000007</v>
      </c>
      <c r="M131" s="83">
        <v>1</v>
      </c>
      <c r="N131" s="83">
        <v>21</v>
      </c>
      <c r="O131" s="83">
        <v>32</v>
      </c>
      <c r="P131" s="83">
        <v>8.4</v>
      </c>
      <c r="Q131" s="83">
        <v>5.3</v>
      </c>
      <c r="R131" s="83">
        <v>49</v>
      </c>
      <c r="S131" s="83">
        <v>1</v>
      </c>
    </row>
    <row r="132" spans="1:19" ht="16" x14ac:dyDescent="0.2">
      <c r="A132" s="89">
        <v>126</v>
      </c>
      <c r="B132" s="84" t="s">
        <v>283</v>
      </c>
      <c r="C132" s="84" t="s">
        <v>71</v>
      </c>
      <c r="D132" s="83">
        <v>22</v>
      </c>
      <c r="E132" s="83" t="s">
        <v>68</v>
      </c>
      <c r="F132" s="83">
        <v>14</v>
      </c>
      <c r="G132" s="83">
        <v>11</v>
      </c>
      <c r="H132" s="83">
        <v>55</v>
      </c>
      <c r="I132" s="83">
        <v>36</v>
      </c>
      <c r="J132" s="86">
        <v>0.65500000000000003</v>
      </c>
      <c r="K132" s="83">
        <v>325</v>
      </c>
      <c r="L132" s="83">
        <v>9</v>
      </c>
      <c r="M132" s="83">
        <v>0</v>
      </c>
      <c r="N132" s="83">
        <v>16</v>
      </c>
      <c r="O132" s="83">
        <v>23</v>
      </c>
      <c r="P132" s="83">
        <v>5.9</v>
      </c>
      <c r="Q132" s="83">
        <v>2.6</v>
      </c>
      <c r="R132" s="83">
        <v>23.2</v>
      </c>
      <c r="S132" s="83">
        <v>1</v>
      </c>
    </row>
    <row r="133" spans="1:19" ht="16" x14ac:dyDescent="0.2">
      <c r="A133" s="89">
        <v>127</v>
      </c>
      <c r="B133" s="84" t="s">
        <v>3097</v>
      </c>
      <c r="C133" s="84" t="s">
        <v>1257</v>
      </c>
      <c r="D133" s="83">
        <v>24</v>
      </c>
      <c r="E133" s="83" t="s">
        <v>83</v>
      </c>
      <c r="F133" s="83">
        <v>13</v>
      </c>
      <c r="G133" s="83">
        <v>1</v>
      </c>
      <c r="H133" s="83">
        <v>59</v>
      </c>
      <c r="I133" s="83">
        <v>36</v>
      </c>
      <c r="J133" s="86">
        <v>0.61</v>
      </c>
      <c r="K133" s="83">
        <v>570</v>
      </c>
      <c r="L133" s="83">
        <v>15.8</v>
      </c>
      <c r="M133" s="83">
        <v>3</v>
      </c>
      <c r="N133" s="83">
        <v>23</v>
      </c>
      <c r="O133" s="83">
        <v>72</v>
      </c>
      <c r="P133" s="83">
        <v>9.6999999999999993</v>
      </c>
      <c r="Q133" s="83">
        <v>2.8</v>
      </c>
      <c r="R133" s="83">
        <v>43.8</v>
      </c>
      <c r="S133" s="83">
        <v>2</v>
      </c>
    </row>
    <row r="134" spans="1:19" ht="16" x14ac:dyDescent="0.2">
      <c r="A134" s="89">
        <v>128</v>
      </c>
      <c r="B134" s="84" t="s">
        <v>2126</v>
      </c>
      <c r="C134" s="84" t="s">
        <v>976</v>
      </c>
      <c r="D134" s="83">
        <v>23</v>
      </c>
      <c r="E134" s="83" t="s">
        <v>83</v>
      </c>
      <c r="F134" s="83">
        <v>17</v>
      </c>
      <c r="G134" s="83">
        <v>3</v>
      </c>
      <c r="H134" s="83">
        <v>55</v>
      </c>
      <c r="I134" s="83">
        <v>36</v>
      </c>
      <c r="J134" s="86">
        <v>0.65500000000000003</v>
      </c>
      <c r="K134" s="83">
        <v>360</v>
      </c>
      <c r="L134" s="83">
        <v>10</v>
      </c>
      <c r="M134" s="83">
        <v>0</v>
      </c>
      <c r="N134" s="83">
        <v>14</v>
      </c>
      <c r="O134" s="83">
        <v>31</v>
      </c>
      <c r="P134" s="83">
        <v>6.5</v>
      </c>
      <c r="Q134" s="83">
        <v>2.1</v>
      </c>
      <c r="R134" s="83">
        <v>21.2</v>
      </c>
      <c r="S134" s="83">
        <v>0</v>
      </c>
    </row>
    <row r="135" spans="1:19" ht="16" x14ac:dyDescent="0.2">
      <c r="A135" s="89">
        <v>129</v>
      </c>
      <c r="B135" s="84" t="s">
        <v>392</v>
      </c>
      <c r="C135" s="84" t="s">
        <v>82</v>
      </c>
      <c r="D135" s="83">
        <v>25</v>
      </c>
      <c r="E135" s="83" t="s">
        <v>88</v>
      </c>
      <c r="F135" s="83">
        <v>16</v>
      </c>
      <c r="G135" s="83">
        <v>11</v>
      </c>
      <c r="H135" s="83">
        <v>53</v>
      </c>
      <c r="I135" s="83">
        <v>36</v>
      </c>
      <c r="J135" s="86">
        <v>0.67900000000000005</v>
      </c>
      <c r="K135" s="83">
        <v>475</v>
      </c>
      <c r="L135" s="83">
        <v>13.2</v>
      </c>
      <c r="M135" s="83">
        <v>4</v>
      </c>
      <c r="N135" s="83">
        <v>17</v>
      </c>
      <c r="O135" s="83">
        <v>71</v>
      </c>
      <c r="P135" s="83">
        <v>9</v>
      </c>
      <c r="Q135" s="83">
        <v>2.2999999999999998</v>
      </c>
      <c r="R135" s="83">
        <v>29.7</v>
      </c>
      <c r="S135" s="83">
        <v>0</v>
      </c>
    </row>
    <row r="136" spans="1:19" ht="16" x14ac:dyDescent="0.2">
      <c r="A136" s="89">
        <v>130</v>
      </c>
      <c r="B136" s="84" t="s">
        <v>260</v>
      </c>
      <c r="C136" s="84" t="s">
        <v>92</v>
      </c>
      <c r="D136" s="83">
        <v>28</v>
      </c>
      <c r="E136" s="83" t="s">
        <v>83</v>
      </c>
      <c r="F136" s="83">
        <v>7</v>
      </c>
      <c r="G136" s="83">
        <v>6</v>
      </c>
      <c r="H136" s="83">
        <v>53</v>
      </c>
      <c r="I136" s="83">
        <v>36</v>
      </c>
      <c r="J136" s="86">
        <v>0.67900000000000005</v>
      </c>
      <c r="K136" s="83">
        <v>366</v>
      </c>
      <c r="L136" s="83">
        <v>10.199999999999999</v>
      </c>
      <c r="M136" s="83">
        <v>1</v>
      </c>
      <c r="N136" s="83">
        <v>19</v>
      </c>
      <c r="O136" s="83">
        <v>37</v>
      </c>
      <c r="P136" s="83">
        <v>6.9</v>
      </c>
      <c r="Q136" s="83">
        <v>5.0999999999999996</v>
      </c>
      <c r="R136" s="83">
        <v>52.3</v>
      </c>
      <c r="S136" s="83">
        <v>0</v>
      </c>
    </row>
    <row r="137" spans="1:19" ht="16" x14ac:dyDescent="0.2">
      <c r="A137" s="89">
        <v>131</v>
      </c>
      <c r="B137" s="84" t="s">
        <v>481</v>
      </c>
      <c r="C137" s="83" t="s">
        <v>1726</v>
      </c>
      <c r="D137" s="83">
        <v>26</v>
      </c>
      <c r="E137" s="83" t="s">
        <v>83</v>
      </c>
      <c r="F137" s="83">
        <v>11</v>
      </c>
      <c r="G137" s="83">
        <v>4</v>
      </c>
      <c r="H137" s="83">
        <v>52</v>
      </c>
      <c r="I137" s="83">
        <v>35</v>
      </c>
      <c r="J137" s="86">
        <v>0.67300000000000004</v>
      </c>
      <c r="K137" s="83">
        <v>408</v>
      </c>
      <c r="L137" s="83">
        <v>11.7</v>
      </c>
      <c r="M137" s="83">
        <v>0</v>
      </c>
      <c r="N137" s="83">
        <v>20</v>
      </c>
      <c r="O137" s="83">
        <v>28</v>
      </c>
      <c r="P137" s="83">
        <v>7.8</v>
      </c>
      <c r="Q137" s="83">
        <v>3.2</v>
      </c>
      <c r="R137" s="83">
        <v>37.1</v>
      </c>
      <c r="S137" s="83">
        <v>1</v>
      </c>
    </row>
    <row r="138" spans="1:19" ht="16" x14ac:dyDescent="0.2">
      <c r="A138" s="89">
        <v>132</v>
      </c>
      <c r="B138" s="84" t="s">
        <v>331</v>
      </c>
      <c r="C138" s="84" t="s">
        <v>98</v>
      </c>
      <c r="D138" s="83">
        <v>22</v>
      </c>
      <c r="E138" s="83" t="s">
        <v>83</v>
      </c>
      <c r="F138" s="83">
        <v>16</v>
      </c>
      <c r="G138" s="83">
        <v>4</v>
      </c>
      <c r="H138" s="83">
        <v>63</v>
      </c>
      <c r="I138" s="83">
        <v>35</v>
      </c>
      <c r="J138" s="86">
        <v>0.55600000000000005</v>
      </c>
      <c r="K138" s="83">
        <v>549</v>
      </c>
      <c r="L138" s="83">
        <v>15.7</v>
      </c>
      <c r="M138" s="83">
        <v>6</v>
      </c>
      <c r="N138" s="83">
        <v>29</v>
      </c>
      <c r="O138" s="83">
        <v>49</v>
      </c>
      <c r="P138" s="83">
        <v>8.6999999999999993</v>
      </c>
      <c r="Q138" s="83">
        <v>2.2000000000000002</v>
      </c>
      <c r="R138" s="83">
        <v>34.299999999999997</v>
      </c>
      <c r="S138" s="83">
        <v>0</v>
      </c>
    </row>
    <row r="139" spans="1:19" ht="16" x14ac:dyDescent="0.2">
      <c r="A139" s="89">
        <v>133</v>
      </c>
      <c r="B139" s="84" t="s">
        <v>2103</v>
      </c>
      <c r="C139" s="84" t="s">
        <v>729</v>
      </c>
      <c r="D139" s="83">
        <v>25</v>
      </c>
      <c r="E139" s="83" t="s">
        <v>83</v>
      </c>
      <c r="F139" s="83">
        <v>9</v>
      </c>
      <c r="G139" s="83">
        <v>8</v>
      </c>
      <c r="H139" s="83">
        <v>62</v>
      </c>
      <c r="I139" s="83">
        <v>35</v>
      </c>
      <c r="J139" s="86">
        <v>0.56499999999999995</v>
      </c>
      <c r="K139" s="83">
        <v>445</v>
      </c>
      <c r="L139" s="83">
        <v>12.7</v>
      </c>
      <c r="M139" s="83">
        <v>2</v>
      </c>
      <c r="N139" s="83">
        <v>23</v>
      </c>
      <c r="O139" s="83">
        <v>41</v>
      </c>
      <c r="P139" s="83">
        <v>7.2</v>
      </c>
      <c r="Q139" s="83">
        <v>3.9</v>
      </c>
      <c r="R139" s="83">
        <v>49.4</v>
      </c>
      <c r="S139" s="83">
        <v>0</v>
      </c>
    </row>
    <row r="140" spans="1:19" ht="16" x14ac:dyDescent="0.2">
      <c r="A140" s="89">
        <v>134</v>
      </c>
      <c r="B140" s="84" t="s">
        <v>1587</v>
      </c>
      <c r="C140" s="84" t="s">
        <v>73</v>
      </c>
      <c r="D140" s="83">
        <v>26</v>
      </c>
      <c r="E140" s="83" t="s">
        <v>68</v>
      </c>
      <c r="F140" s="83">
        <v>13</v>
      </c>
      <c r="G140" s="83">
        <v>13</v>
      </c>
      <c r="H140" s="83">
        <v>49</v>
      </c>
      <c r="I140" s="83">
        <v>34</v>
      </c>
      <c r="J140" s="86">
        <v>0.69399999999999995</v>
      </c>
      <c r="K140" s="83">
        <v>224</v>
      </c>
      <c r="L140" s="83">
        <v>6.6</v>
      </c>
      <c r="M140" s="83">
        <v>0</v>
      </c>
      <c r="N140" s="83">
        <v>9</v>
      </c>
      <c r="O140" s="83">
        <v>24</v>
      </c>
      <c r="P140" s="83">
        <v>4.5999999999999996</v>
      </c>
      <c r="Q140" s="83">
        <v>2.6</v>
      </c>
      <c r="R140" s="83">
        <v>17.2</v>
      </c>
      <c r="S140" s="83">
        <v>3</v>
      </c>
    </row>
    <row r="141" spans="1:19" ht="16" x14ac:dyDescent="0.2">
      <c r="A141" s="89">
        <v>135</v>
      </c>
      <c r="B141" s="84" t="s">
        <v>243</v>
      </c>
      <c r="C141" s="84" t="s">
        <v>71</v>
      </c>
      <c r="D141" s="83">
        <v>26</v>
      </c>
      <c r="E141" s="83" t="s">
        <v>83</v>
      </c>
      <c r="F141" s="83">
        <v>9</v>
      </c>
      <c r="G141" s="83">
        <v>9</v>
      </c>
      <c r="H141" s="83">
        <v>59</v>
      </c>
      <c r="I141" s="83">
        <v>34</v>
      </c>
      <c r="J141" s="86">
        <v>0.57599999999999996</v>
      </c>
      <c r="K141" s="83">
        <v>492</v>
      </c>
      <c r="L141" s="83">
        <v>14.5</v>
      </c>
      <c r="M141" s="83">
        <v>4</v>
      </c>
      <c r="N141" s="83">
        <v>23</v>
      </c>
      <c r="O141" s="83">
        <v>53</v>
      </c>
      <c r="P141" s="83">
        <v>8.3000000000000007</v>
      </c>
      <c r="Q141" s="83">
        <v>3.8</v>
      </c>
      <c r="R141" s="83">
        <v>54.7</v>
      </c>
      <c r="S141" s="83">
        <v>2</v>
      </c>
    </row>
    <row r="142" spans="1:19" ht="16" x14ac:dyDescent="0.2">
      <c r="A142" s="89">
        <v>136</v>
      </c>
      <c r="B142" s="84" t="s">
        <v>315</v>
      </c>
      <c r="C142" s="84" t="s">
        <v>1267</v>
      </c>
      <c r="D142" s="83">
        <v>23</v>
      </c>
      <c r="E142" s="83" t="s">
        <v>68</v>
      </c>
      <c r="F142" s="83">
        <v>17</v>
      </c>
      <c r="G142" s="83">
        <v>2</v>
      </c>
      <c r="H142" s="83">
        <v>37</v>
      </c>
      <c r="I142" s="83">
        <v>34</v>
      </c>
      <c r="J142" s="86">
        <v>0.91900000000000004</v>
      </c>
      <c r="K142" s="83">
        <v>313</v>
      </c>
      <c r="L142" s="83">
        <v>9.1999999999999993</v>
      </c>
      <c r="M142" s="83">
        <v>2</v>
      </c>
      <c r="N142" s="83">
        <v>15</v>
      </c>
      <c r="O142" s="83">
        <v>50</v>
      </c>
      <c r="P142" s="83">
        <v>8.5</v>
      </c>
      <c r="Q142" s="83">
        <v>2</v>
      </c>
      <c r="R142" s="83">
        <v>18.399999999999999</v>
      </c>
      <c r="S142" s="83">
        <v>2</v>
      </c>
    </row>
    <row r="143" spans="1:19" ht="16" x14ac:dyDescent="0.2">
      <c r="A143" s="89">
        <v>137</v>
      </c>
      <c r="B143" s="84" t="s">
        <v>2102</v>
      </c>
      <c r="C143" s="84" t="s">
        <v>933</v>
      </c>
      <c r="D143" s="83">
        <v>23</v>
      </c>
      <c r="E143" s="83" t="s">
        <v>83</v>
      </c>
      <c r="F143" s="83">
        <v>16</v>
      </c>
      <c r="G143" s="83">
        <v>12</v>
      </c>
      <c r="H143" s="83">
        <v>59</v>
      </c>
      <c r="I143" s="83">
        <v>34</v>
      </c>
      <c r="J143" s="86">
        <v>0.57599999999999996</v>
      </c>
      <c r="K143" s="83">
        <v>571</v>
      </c>
      <c r="L143" s="83">
        <v>16.8</v>
      </c>
      <c r="M143" s="83">
        <v>3</v>
      </c>
      <c r="N143" s="83">
        <v>26</v>
      </c>
      <c r="O143" s="83">
        <v>51</v>
      </c>
      <c r="P143" s="83">
        <v>9.6999999999999993</v>
      </c>
      <c r="Q143" s="83">
        <v>2.1</v>
      </c>
      <c r="R143" s="83">
        <v>35.700000000000003</v>
      </c>
      <c r="S143" s="83">
        <v>1</v>
      </c>
    </row>
    <row r="144" spans="1:19" ht="16" x14ac:dyDescent="0.2">
      <c r="A144" s="89">
        <v>138</v>
      </c>
      <c r="B144" s="84" t="s">
        <v>368</v>
      </c>
      <c r="C144" s="84" t="s">
        <v>77</v>
      </c>
      <c r="D144" s="83">
        <v>26</v>
      </c>
      <c r="E144" s="83" t="s">
        <v>1824</v>
      </c>
      <c r="F144" s="83">
        <v>15</v>
      </c>
      <c r="G144" s="83">
        <v>1</v>
      </c>
      <c r="H144" s="83">
        <v>43</v>
      </c>
      <c r="I144" s="83">
        <v>34</v>
      </c>
      <c r="J144" s="86">
        <v>0.79100000000000004</v>
      </c>
      <c r="K144" s="83">
        <v>291</v>
      </c>
      <c r="L144" s="83">
        <v>8.6</v>
      </c>
      <c r="M144" s="83">
        <v>2</v>
      </c>
      <c r="N144" s="83">
        <v>15</v>
      </c>
      <c r="O144" s="83">
        <v>24</v>
      </c>
      <c r="P144" s="83">
        <v>6.8</v>
      </c>
      <c r="Q144" s="83">
        <v>2.2999999999999998</v>
      </c>
      <c r="R144" s="83">
        <v>19.399999999999999</v>
      </c>
      <c r="S144" s="83">
        <v>2</v>
      </c>
    </row>
    <row r="145" spans="1:19" ht="16" x14ac:dyDescent="0.2">
      <c r="A145" s="89">
        <v>139</v>
      </c>
      <c r="B145" s="84" t="s">
        <v>1772</v>
      </c>
      <c r="C145" s="84" t="s">
        <v>725</v>
      </c>
      <c r="D145" s="83">
        <v>29</v>
      </c>
      <c r="E145" s="83" t="s">
        <v>68</v>
      </c>
      <c r="F145" s="83">
        <v>16</v>
      </c>
      <c r="G145" s="83">
        <v>8</v>
      </c>
      <c r="H145" s="83">
        <v>42</v>
      </c>
      <c r="I145" s="83">
        <v>34</v>
      </c>
      <c r="J145" s="86">
        <v>0.81</v>
      </c>
      <c r="K145" s="83">
        <v>190</v>
      </c>
      <c r="L145" s="83">
        <v>5.6</v>
      </c>
      <c r="M145" s="83">
        <v>1</v>
      </c>
      <c r="N145" s="83">
        <v>9</v>
      </c>
      <c r="O145" s="83">
        <v>15</v>
      </c>
      <c r="P145" s="83">
        <v>4.5</v>
      </c>
      <c r="Q145" s="83">
        <v>2.1</v>
      </c>
      <c r="R145" s="83">
        <v>11.9</v>
      </c>
      <c r="S145" s="83">
        <v>0</v>
      </c>
    </row>
    <row r="146" spans="1:19" ht="16" x14ac:dyDescent="0.2">
      <c r="A146" s="89">
        <v>140</v>
      </c>
      <c r="B146" s="84" t="s">
        <v>385</v>
      </c>
      <c r="C146" s="84" t="s">
        <v>71</v>
      </c>
      <c r="D146" s="83">
        <v>24</v>
      </c>
      <c r="E146" s="83" t="s">
        <v>68</v>
      </c>
      <c r="F146" s="83">
        <v>16</v>
      </c>
      <c r="G146" s="83">
        <v>3</v>
      </c>
      <c r="H146" s="83">
        <v>55</v>
      </c>
      <c r="I146" s="83">
        <v>34</v>
      </c>
      <c r="J146" s="86">
        <v>0.61799999999999999</v>
      </c>
      <c r="K146" s="83">
        <v>372</v>
      </c>
      <c r="L146" s="83">
        <v>10.9</v>
      </c>
      <c r="M146" s="83">
        <v>2</v>
      </c>
      <c r="N146" s="83">
        <v>20</v>
      </c>
      <c r="O146" s="83">
        <v>23</v>
      </c>
      <c r="P146" s="83">
        <v>6.8</v>
      </c>
      <c r="Q146" s="83">
        <v>2.1</v>
      </c>
      <c r="R146" s="83">
        <v>23.3</v>
      </c>
      <c r="S146" s="83">
        <v>2</v>
      </c>
    </row>
    <row r="147" spans="1:19" ht="16" x14ac:dyDescent="0.2">
      <c r="A147" s="89">
        <v>141</v>
      </c>
      <c r="B147" s="84" t="s">
        <v>376</v>
      </c>
      <c r="C147" s="84" t="s">
        <v>82</v>
      </c>
      <c r="D147" s="83">
        <v>22</v>
      </c>
      <c r="E147" s="83" t="s">
        <v>83</v>
      </c>
      <c r="F147" s="83">
        <v>14</v>
      </c>
      <c r="G147" s="83">
        <v>9</v>
      </c>
      <c r="H147" s="83">
        <v>58</v>
      </c>
      <c r="I147" s="83">
        <v>34</v>
      </c>
      <c r="J147" s="86">
        <v>0.58599999999999997</v>
      </c>
      <c r="K147" s="83">
        <v>597</v>
      </c>
      <c r="L147" s="83">
        <v>17.600000000000001</v>
      </c>
      <c r="M147" s="83">
        <v>3</v>
      </c>
      <c r="N147" s="83">
        <v>26</v>
      </c>
      <c r="O147" s="83">
        <v>60</v>
      </c>
      <c r="P147" s="83">
        <v>10.3</v>
      </c>
      <c r="Q147" s="83">
        <v>2.4</v>
      </c>
      <c r="R147" s="83">
        <v>42.6</v>
      </c>
      <c r="S147" s="83">
        <v>2</v>
      </c>
    </row>
    <row r="148" spans="1:19" ht="16" x14ac:dyDescent="0.2">
      <c r="A148" s="89">
        <v>142</v>
      </c>
      <c r="B148" s="84" t="s">
        <v>413</v>
      </c>
      <c r="C148" s="84" t="s">
        <v>142</v>
      </c>
      <c r="D148" s="83">
        <v>26</v>
      </c>
      <c r="E148" s="83" t="s">
        <v>88</v>
      </c>
      <c r="F148" s="83">
        <v>17</v>
      </c>
      <c r="G148" s="83">
        <v>12</v>
      </c>
      <c r="H148" s="83">
        <v>41</v>
      </c>
      <c r="I148" s="83">
        <v>34</v>
      </c>
      <c r="J148" s="86">
        <v>0.82899999999999996</v>
      </c>
      <c r="K148" s="83">
        <v>357</v>
      </c>
      <c r="L148" s="83">
        <v>10.5</v>
      </c>
      <c r="M148" s="83">
        <v>0</v>
      </c>
      <c r="N148" s="83">
        <v>15</v>
      </c>
      <c r="O148" s="83">
        <v>25</v>
      </c>
      <c r="P148" s="83">
        <v>8.6999999999999993</v>
      </c>
      <c r="Q148" s="83">
        <v>2</v>
      </c>
      <c r="R148" s="83">
        <v>21</v>
      </c>
      <c r="S148" s="83">
        <v>0</v>
      </c>
    </row>
    <row r="149" spans="1:19" ht="16" x14ac:dyDescent="0.2">
      <c r="A149" s="89">
        <v>143</v>
      </c>
      <c r="B149" s="84" t="s">
        <v>342</v>
      </c>
      <c r="C149" s="84" t="s">
        <v>122</v>
      </c>
      <c r="D149" s="83">
        <v>22</v>
      </c>
      <c r="E149" s="83" t="s">
        <v>83</v>
      </c>
      <c r="F149" s="83">
        <v>14</v>
      </c>
      <c r="G149" s="83">
        <v>8</v>
      </c>
      <c r="H149" s="83">
        <v>60</v>
      </c>
      <c r="I149" s="83">
        <v>33</v>
      </c>
      <c r="J149" s="86">
        <v>0.55000000000000004</v>
      </c>
      <c r="K149" s="83">
        <v>446</v>
      </c>
      <c r="L149" s="83">
        <v>13.5</v>
      </c>
      <c r="M149" s="83">
        <v>1</v>
      </c>
      <c r="N149" s="83">
        <v>22</v>
      </c>
      <c r="O149" s="83">
        <v>32</v>
      </c>
      <c r="P149" s="83">
        <v>7.4</v>
      </c>
      <c r="Q149" s="83">
        <v>2.4</v>
      </c>
      <c r="R149" s="83">
        <v>31.9</v>
      </c>
      <c r="S149" s="83">
        <v>0</v>
      </c>
    </row>
    <row r="150" spans="1:19" ht="16" x14ac:dyDescent="0.2">
      <c r="A150" s="89">
        <v>144</v>
      </c>
      <c r="B150" s="84" t="s">
        <v>3090</v>
      </c>
      <c r="C150" s="84" t="s">
        <v>725</v>
      </c>
      <c r="D150" s="83">
        <v>24</v>
      </c>
      <c r="E150" s="83" t="s">
        <v>83</v>
      </c>
      <c r="F150" s="83">
        <v>16</v>
      </c>
      <c r="G150" s="83">
        <v>7</v>
      </c>
      <c r="H150" s="83">
        <v>47</v>
      </c>
      <c r="I150" s="83">
        <v>33</v>
      </c>
      <c r="J150" s="86">
        <v>0.70199999999999996</v>
      </c>
      <c r="K150" s="83">
        <v>272</v>
      </c>
      <c r="L150" s="83">
        <v>8.1999999999999993</v>
      </c>
      <c r="M150" s="83">
        <v>2</v>
      </c>
      <c r="N150" s="83">
        <v>14</v>
      </c>
      <c r="O150" s="83">
        <v>21</v>
      </c>
      <c r="P150" s="83">
        <v>5.8</v>
      </c>
      <c r="Q150" s="83">
        <v>2.1</v>
      </c>
      <c r="R150" s="83">
        <v>17</v>
      </c>
      <c r="S150" s="83">
        <v>1</v>
      </c>
    </row>
    <row r="151" spans="1:19" ht="16" x14ac:dyDescent="0.2">
      <c r="A151" s="89">
        <v>145</v>
      </c>
      <c r="B151" s="84" t="s">
        <v>373</v>
      </c>
      <c r="C151" s="84" t="s">
        <v>102</v>
      </c>
      <c r="D151" s="83">
        <v>22</v>
      </c>
      <c r="E151" s="83" t="s">
        <v>68</v>
      </c>
      <c r="F151" s="83">
        <v>16</v>
      </c>
      <c r="G151" s="83">
        <v>1</v>
      </c>
      <c r="H151" s="83">
        <v>50</v>
      </c>
      <c r="I151" s="83">
        <v>33</v>
      </c>
      <c r="J151" s="86">
        <v>0.66</v>
      </c>
      <c r="K151" s="83">
        <v>253</v>
      </c>
      <c r="L151" s="83">
        <v>7.7</v>
      </c>
      <c r="M151" s="83">
        <v>1</v>
      </c>
      <c r="N151" s="83">
        <v>14</v>
      </c>
      <c r="O151" s="83">
        <v>19</v>
      </c>
      <c r="P151" s="83">
        <v>5.0999999999999996</v>
      </c>
      <c r="Q151" s="83">
        <v>2.1</v>
      </c>
      <c r="R151" s="83">
        <v>15.8</v>
      </c>
      <c r="S151" s="83">
        <v>2</v>
      </c>
    </row>
    <row r="152" spans="1:19" ht="16" x14ac:dyDescent="0.2">
      <c r="A152" s="89">
        <v>146</v>
      </c>
      <c r="B152" s="84" t="s">
        <v>632</v>
      </c>
      <c r="C152" s="84" t="s">
        <v>93</v>
      </c>
      <c r="D152" s="83">
        <v>23</v>
      </c>
      <c r="E152" s="83" t="s">
        <v>88</v>
      </c>
      <c r="F152" s="83">
        <v>14</v>
      </c>
      <c r="G152" s="83">
        <v>6</v>
      </c>
      <c r="H152" s="83">
        <v>40</v>
      </c>
      <c r="I152" s="83">
        <v>33</v>
      </c>
      <c r="J152" s="86">
        <v>0.82499999999999996</v>
      </c>
      <c r="K152" s="83">
        <v>330</v>
      </c>
      <c r="L152" s="83">
        <v>10</v>
      </c>
      <c r="M152" s="83">
        <v>2</v>
      </c>
      <c r="N152" s="83">
        <v>15</v>
      </c>
      <c r="O152" s="83">
        <v>64</v>
      </c>
      <c r="P152" s="83">
        <v>8.3000000000000007</v>
      </c>
      <c r="Q152" s="83">
        <v>2.4</v>
      </c>
      <c r="R152" s="83">
        <v>23.6</v>
      </c>
      <c r="S152" s="83">
        <v>1</v>
      </c>
    </row>
    <row r="153" spans="1:19" ht="16" x14ac:dyDescent="0.2">
      <c r="A153" s="89">
        <v>147</v>
      </c>
      <c r="B153" s="84" t="s">
        <v>2108</v>
      </c>
      <c r="C153" s="84" t="s">
        <v>118</v>
      </c>
      <c r="D153" s="83">
        <v>23</v>
      </c>
      <c r="E153" s="83" t="s">
        <v>83</v>
      </c>
      <c r="F153" s="83">
        <v>17</v>
      </c>
      <c r="G153" s="83">
        <v>5</v>
      </c>
      <c r="H153" s="83">
        <v>49</v>
      </c>
      <c r="I153" s="83">
        <v>33</v>
      </c>
      <c r="J153" s="86">
        <v>0.67300000000000004</v>
      </c>
      <c r="K153" s="83">
        <v>353</v>
      </c>
      <c r="L153" s="83">
        <v>10.7</v>
      </c>
      <c r="M153" s="83">
        <v>4</v>
      </c>
      <c r="N153" s="83">
        <v>18</v>
      </c>
      <c r="O153" s="83">
        <v>36</v>
      </c>
      <c r="P153" s="83">
        <v>7.2</v>
      </c>
      <c r="Q153" s="83">
        <v>1.9</v>
      </c>
      <c r="R153" s="83">
        <v>20.8</v>
      </c>
      <c r="S153" s="83">
        <v>0</v>
      </c>
    </row>
    <row r="154" spans="1:19" ht="16" x14ac:dyDescent="0.2">
      <c r="A154" s="89">
        <v>148</v>
      </c>
      <c r="B154" s="84" t="s">
        <v>271</v>
      </c>
      <c r="C154" s="84" t="s">
        <v>102</v>
      </c>
      <c r="D154" s="83">
        <v>22</v>
      </c>
      <c r="E154" s="83" t="s">
        <v>83</v>
      </c>
      <c r="F154" s="83">
        <v>17</v>
      </c>
      <c r="G154" s="83">
        <v>13</v>
      </c>
      <c r="H154" s="83">
        <v>57</v>
      </c>
      <c r="I154" s="83">
        <v>33</v>
      </c>
      <c r="J154" s="86">
        <v>0.57899999999999996</v>
      </c>
      <c r="K154" s="83">
        <v>299</v>
      </c>
      <c r="L154" s="83">
        <v>9.1</v>
      </c>
      <c r="M154" s="83">
        <v>2</v>
      </c>
      <c r="N154" s="83">
        <v>13</v>
      </c>
      <c r="O154" s="83">
        <v>34</v>
      </c>
      <c r="P154" s="83">
        <v>5.2</v>
      </c>
      <c r="Q154" s="83">
        <v>1.9</v>
      </c>
      <c r="R154" s="83">
        <v>17.600000000000001</v>
      </c>
      <c r="S154" s="83">
        <v>2</v>
      </c>
    </row>
    <row r="155" spans="1:19" ht="16" customHeight="1" x14ac:dyDescent="0.2">
      <c r="A155" s="89">
        <v>149</v>
      </c>
      <c r="B155" s="84" t="s">
        <v>498</v>
      </c>
      <c r="C155" s="84" t="s">
        <v>1052</v>
      </c>
      <c r="D155" s="83">
        <v>26</v>
      </c>
      <c r="E155" s="83" t="s">
        <v>83</v>
      </c>
      <c r="F155" s="83">
        <v>12</v>
      </c>
      <c r="G155" s="83">
        <v>7</v>
      </c>
      <c r="H155" s="83">
        <v>51</v>
      </c>
      <c r="I155" s="83">
        <v>33</v>
      </c>
      <c r="J155" s="86">
        <v>0.64700000000000002</v>
      </c>
      <c r="K155" s="83">
        <v>434</v>
      </c>
      <c r="L155" s="83">
        <v>13.2</v>
      </c>
      <c r="M155" s="83">
        <v>1</v>
      </c>
      <c r="N155" s="83">
        <v>22</v>
      </c>
      <c r="O155" s="83">
        <v>41</v>
      </c>
      <c r="P155" s="83">
        <v>8.5</v>
      </c>
      <c r="Q155" s="83">
        <v>2.8</v>
      </c>
      <c r="R155" s="83">
        <v>36.200000000000003</v>
      </c>
      <c r="S155" s="83">
        <v>0</v>
      </c>
    </row>
    <row r="156" spans="1:19" x14ac:dyDescent="0.2">
      <c r="A156" s="89" t="s">
        <v>902</v>
      </c>
      <c r="B156" s="89" t="s">
        <v>903</v>
      </c>
      <c r="C156" s="89" t="s">
        <v>1314</v>
      </c>
      <c r="D156" s="89" t="s">
        <v>905</v>
      </c>
      <c r="E156" s="89" t="s">
        <v>906</v>
      </c>
      <c r="F156" s="89" t="s">
        <v>1315</v>
      </c>
      <c r="G156" s="89" t="s">
        <v>1316</v>
      </c>
      <c r="H156" s="89" t="s">
        <v>2314</v>
      </c>
      <c r="I156" s="89" t="s">
        <v>2092</v>
      </c>
      <c r="J156" s="89" t="s">
        <v>2093</v>
      </c>
      <c r="K156" s="89" t="s">
        <v>799</v>
      </c>
      <c r="L156" s="89" t="s">
        <v>2315</v>
      </c>
      <c r="M156" s="89" t="s">
        <v>800</v>
      </c>
      <c r="N156" s="89" t="s">
        <v>1321</v>
      </c>
      <c r="O156" s="89" t="s">
        <v>917</v>
      </c>
      <c r="P156" s="89" t="s">
        <v>2316</v>
      </c>
      <c r="Q156" s="89" t="s">
        <v>2317</v>
      </c>
      <c r="R156" s="89" t="s">
        <v>1325</v>
      </c>
      <c r="S156" s="89" t="s">
        <v>1416</v>
      </c>
    </row>
    <row r="157" spans="1:19" ht="16" x14ac:dyDescent="0.2">
      <c r="A157" s="89">
        <v>150</v>
      </c>
      <c r="B157" s="84" t="s">
        <v>249</v>
      </c>
      <c r="C157" s="84" t="s">
        <v>122</v>
      </c>
      <c r="D157" s="83">
        <v>30</v>
      </c>
      <c r="E157" s="83" t="s">
        <v>68</v>
      </c>
      <c r="F157" s="83">
        <v>13</v>
      </c>
      <c r="G157" s="83">
        <v>4</v>
      </c>
      <c r="H157" s="83">
        <v>42</v>
      </c>
      <c r="I157" s="83">
        <v>32</v>
      </c>
      <c r="J157" s="86">
        <v>0.76200000000000001</v>
      </c>
      <c r="K157" s="83">
        <v>225</v>
      </c>
      <c r="L157" s="83">
        <v>7</v>
      </c>
      <c r="M157" s="83">
        <v>1</v>
      </c>
      <c r="N157" s="83">
        <v>11</v>
      </c>
      <c r="O157" s="83">
        <v>16</v>
      </c>
      <c r="P157" s="83">
        <v>5.4</v>
      </c>
      <c r="Q157" s="83">
        <v>2.5</v>
      </c>
      <c r="R157" s="83">
        <v>17.3</v>
      </c>
      <c r="S157" s="83">
        <v>1</v>
      </c>
    </row>
    <row r="158" spans="1:19" ht="16" x14ac:dyDescent="0.2">
      <c r="A158" s="89">
        <v>151</v>
      </c>
      <c r="B158" s="84" t="s">
        <v>356</v>
      </c>
      <c r="C158" s="84" t="s">
        <v>73</v>
      </c>
      <c r="D158" s="83">
        <v>23</v>
      </c>
      <c r="E158" s="83" t="s">
        <v>68</v>
      </c>
      <c r="F158" s="83">
        <v>16</v>
      </c>
      <c r="G158" s="83">
        <v>4</v>
      </c>
      <c r="H158" s="83">
        <v>39</v>
      </c>
      <c r="I158" s="83">
        <v>32</v>
      </c>
      <c r="J158" s="86">
        <v>0.82099999999999995</v>
      </c>
      <c r="K158" s="83">
        <v>228</v>
      </c>
      <c r="L158" s="83">
        <v>7.1</v>
      </c>
      <c r="M158" s="83">
        <v>1</v>
      </c>
      <c r="N158" s="83">
        <v>10</v>
      </c>
      <c r="O158" s="83">
        <v>24</v>
      </c>
      <c r="P158" s="83">
        <v>5.8</v>
      </c>
      <c r="Q158" s="83">
        <v>2</v>
      </c>
      <c r="R158" s="83">
        <v>14.3</v>
      </c>
      <c r="S158" s="83">
        <v>1</v>
      </c>
    </row>
    <row r="159" spans="1:19" ht="16" x14ac:dyDescent="0.2">
      <c r="A159" s="89">
        <v>152</v>
      </c>
      <c r="B159" s="84" t="s">
        <v>266</v>
      </c>
      <c r="C159" s="84" t="s">
        <v>1257</v>
      </c>
      <c r="D159" s="83">
        <v>25</v>
      </c>
      <c r="E159" s="83" t="s">
        <v>83</v>
      </c>
      <c r="F159" s="83">
        <v>11</v>
      </c>
      <c r="G159" s="83">
        <v>6</v>
      </c>
      <c r="H159" s="83">
        <v>50</v>
      </c>
      <c r="I159" s="83">
        <v>32</v>
      </c>
      <c r="J159" s="86">
        <v>0.64</v>
      </c>
      <c r="K159" s="83">
        <v>377</v>
      </c>
      <c r="L159" s="83">
        <v>11.8</v>
      </c>
      <c r="M159" s="83">
        <v>3</v>
      </c>
      <c r="N159" s="83">
        <v>18</v>
      </c>
      <c r="O159" s="83">
        <v>34</v>
      </c>
      <c r="P159" s="83">
        <v>7.5</v>
      </c>
      <c r="Q159" s="83">
        <v>2.9</v>
      </c>
      <c r="R159" s="83">
        <v>34.299999999999997</v>
      </c>
      <c r="S159" s="83">
        <v>1</v>
      </c>
    </row>
    <row r="160" spans="1:19" ht="16" x14ac:dyDescent="0.2">
      <c r="A160" s="89">
        <v>153</v>
      </c>
      <c r="B160" s="84" t="s">
        <v>305</v>
      </c>
      <c r="C160" s="84" t="s">
        <v>118</v>
      </c>
      <c r="D160" s="83">
        <v>24</v>
      </c>
      <c r="E160" s="83" t="s">
        <v>83</v>
      </c>
      <c r="F160" s="83">
        <v>16</v>
      </c>
      <c r="G160" s="83">
        <v>2</v>
      </c>
      <c r="H160" s="83">
        <v>48</v>
      </c>
      <c r="I160" s="83">
        <v>31</v>
      </c>
      <c r="J160" s="86">
        <v>0.64600000000000002</v>
      </c>
      <c r="K160" s="83">
        <v>448</v>
      </c>
      <c r="L160" s="83">
        <v>14.5</v>
      </c>
      <c r="M160" s="83">
        <v>3</v>
      </c>
      <c r="N160" s="83">
        <v>21</v>
      </c>
      <c r="O160" s="83">
        <v>59</v>
      </c>
      <c r="P160" s="83">
        <v>9.3000000000000007</v>
      </c>
      <c r="Q160" s="83">
        <v>1.9</v>
      </c>
      <c r="R160" s="83">
        <v>28</v>
      </c>
      <c r="S160" s="83">
        <v>1</v>
      </c>
    </row>
    <row r="161" spans="1:19" ht="16" x14ac:dyDescent="0.2">
      <c r="A161" s="89">
        <v>154</v>
      </c>
      <c r="B161" s="84" t="s">
        <v>143</v>
      </c>
      <c r="C161" s="84" t="s">
        <v>77</v>
      </c>
      <c r="D161" s="83">
        <v>32</v>
      </c>
      <c r="E161" s="83" t="s">
        <v>83</v>
      </c>
      <c r="F161" s="83">
        <v>10</v>
      </c>
      <c r="G161" s="83">
        <v>10</v>
      </c>
      <c r="H161" s="83">
        <v>48</v>
      </c>
      <c r="I161" s="83">
        <v>31</v>
      </c>
      <c r="J161" s="86">
        <v>0.64600000000000002</v>
      </c>
      <c r="K161" s="83">
        <v>434</v>
      </c>
      <c r="L161" s="83">
        <v>14</v>
      </c>
      <c r="M161" s="83">
        <v>1</v>
      </c>
      <c r="N161" s="83">
        <v>19</v>
      </c>
      <c r="O161" s="83">
        <v>51</v>
      </c>
      <c r="P161" s="83">
        <v>9</v>
      </c>
      <c r="Q161" s="83">
        <v>3.1</v>
      </c>
      <c r="R161" s="83">
        <v>43.4</v>
      </c>
      <c r="S161" s="83">
        <v>0</v>
      </c>
    </row>
    <row r="162" spans="1:19" ht="16" x14ac:dyDescent="0.2">
      <c r="A162" s="89">
        <v>155</v>
      </c>
      <c r="B162" s="84" t="s">
        <v>100</v>
      </c>
      <c r="C162" s="84" t="s">
        <v>101</v>
      </c>
      <c r="D162" s="83">
        <v>27</v>
      </c>
      <c r="E162" s="83" t="s">
        <v>83</v>
      </c>
      <c r="F162" s="83">
        <v>5</v>
      </c>
      <c r="G162" s="83">
        <v>5</v>
      </c>
      <c r="H162" s="83">
        <v>52</v>
      </c>
      <c r="I162" s="83">
        <v>31</v>
      </c>
      <c r="J162" s="86">
        <v>0.59599999999999997</v>
      </c>
      <c r="K162" s="83">
        <v>281</v>
      </c>
      <c r="L162" s="83">
        <v>9.1</v>
      </c>
      <c r="M162" s="83">
        <v>2</v>
      </c>
      <c r="N162" s="83">
        <v>16</v>
      </c>
      <c r="O162" s="83">
        <v>22</v>
      </c>
      <c r="P162" s="83">
        <v>5.4</v>
      </c>
      <c r="Q162" s="83">
        <v>6.2</v>
      </c>
      <c r="R162" s="83">
        <v>56.2</v>
      </c>
      <c r="S162" s="83">
        <v>0</v>
      </c>
    </row>
    <row r="163" spans="1:19" ht="16" x14ac:dyDescent="0.2">
      <c r="A163" s="89">
        <v>156</v>
      </c>
      <c r="B163" s="84" t="s">
        <v>240</v>
      </c>
      <c r="C163" s="84" t="s">
        <v>1052</v>
      </c>
      <c r="D163" s="83">
        <v>23</v>
      </c>
      <c r="E163" s="83" t="s">
        <v>68</v>
      </c>
      <c r="F163" s="83">
        <v>14</v>
      </c>
      <c r="G163" s="83">
        <v>13</v>
      </c>
      <c r="H163" s="83">
        <v>46</v>
      </c>
      <c r="I163" s="83">
        <v>31</v>
      </c>
      <c r="J163" s="86">
        <v>0.67400000000000004</v>
      </c>
      <c r="K163" s="83">
        <v>222</v>
      </c>
      <c r="L163" s="83">
        <v>7.2</v>
      </c>
      <c r="M163" s="83">
        <v>0</v>
      </c>
      <c r="N163" s="83">
        <v>9</v>
      </c>
      <c r="O163" s="83">
        <v>26</v>
      </c>
      <c r="P163" s="83">
        <v>4.8</v>
      </c>
      <c r="Q163" s="83">
        <v>2.2000000000000002</v>
      </c>
      <c r="R163" s="83">
        <v>15.9</v>
      </c>
      <c r="S163" s="83">
        <v>4</v>
      </c>
    </row>
    <row r="164" spans="1:19" ht="16" x14ac:dyDescent="0.2">
      <c r="A164" s="89">
        <v>157</v>
      </c>
      <c r="B164" s="84" t="s">
        <v>635</v>
      </c>
      <c r="C164" s="84" t="s">
        <v>77</v>
      </c>
      <c r="D164" s="83">
        <v>28</v>
      </c>
      <c r="E164" s="83" t="s">
        <v>88</v>
      </c>
      <c r="F164" s="83">
        <v>16</v>
      </c>
      <c r="G164" s="83">
        <v>16</v>
      </c>
      <c r="H164" s="83">
        <v>40</v>
      </c>
      <c r="I164" s="83">
        <v>31</v>
      </c>
      <c r="J164" s="86">
        <v>0.77500000000000002</v>
      </c>
      <c r="K164" s="83">
        <v>210</v>
      </c>
      <c r="L164" s="83">
        <v>6.8</v>
      </c>
      <c r="M164" s="83">
        <v>3</v>
      </c>
      <c r="N164" s="83">
        <v>12</v>
      </c>
      <c r="O164" s="83">
        <v>26</v>
      </c>
      <c r="P164" s="83">
        <v>5.3</v>
      </c>
      <c r="Q164" s="83">
        <v>1.9</v>
      </c>
      <c r="R164" s="83">
        <v>13.1</v>
      </c>
      <c r="S164" s="83">
        <v>0</v>
      </c>
    </row>
    <row r="165" spans="1:19" ht="16" x14ac:dyDescent="0.2">
      <c r="A165" s="89">
        <v>158</v>
      </c>
      <c r="B165" s="84" t="s">
        <v>318</v>
      </c>
      <c r="C165" s="84" t="s">
        <v>101</v>
      </c>
      <c r="D165" s="83">
        <v>24</v>
      </c>
      <c r="E165" s="83" t="s">
        <v>83</v>
      </c>
      <c r="F165" s="83">
        <v>17</v>
      </c>
      <c r="G165" s="83">
        <v>8</v>
      </c>
      <c r="H165" s="83">
        <v>53</v>
      </c>
      <c r="I165" s="83">
        <v>31</v>
      </c>
      <c r="J165" s="86">
        <v>0.58499999999999996</v>
      </c>
      <c r="K165" s="83">
        <v>406</v>
      </c>
      <c r="L165" s="83">
        <v>13.1</v>
      </c>
      <c r="M165" s="83">
        <v>3</v>
      </c>
      <c r="N165" s="83">
        <v>22</v>
      </c>
      <c r="O165" s="83">
        <v>49</v>
      </c>
      <c r="P165" s="83">
        <v>7.7</v>
      </c>
      <c r="Q165" s="83">
        <v>1.8</v>
      </c>
      <c r="R165" s="83">
        <v>23.9</v>
      </c>
      <c r="S165" s="83">
        <v>0</v>
      </c>
    </row>
    <row r="166" spans="1:19" ht="16" x14ac:dyDescent="0.2">
      <c r="A166" s="89">
        <v>159</v>
      </c>
      <c r="B166" s="84" t="s">
        <v>2117</v>
      </c>
      <c r="C166" s="84" t="s">
        <v>976</v>
      </c>
      <c r="D166" s="83">
        <v>30</v>
      </c>
      <c r="E166" s="83" t="s">
        <v>88</v>
      </c>
      <c r="F166" s="83">
        <v>17</v>
      </c>
      <c r="G166" s="83">
        <v>3</v>
      </c>
      <c r="H166" s="83">
        <v>57</v>
      </c>
      <c r="I166" s="83">
        <v>30</v>
      </c>
      <c r="J166" s="86">
        <v>0.52600000000000002</v>
      </c>
      <c r="K166" s="83">
        <v>245</v>
      </c>
      <c r="L166" s="83">
        <v>8.1999999999999993</v>
      </c>
      <c r="M166" s="83">
        <v>4</v>
      </c>
      <c r="N166" s="83">
        <v>15</v>
      </c>
      <c r="O166" s="83">
        <v>18</v>
      </c>
      <c r="P166" s="83">
        <v>4.3</v>
      </c>
      <c r="Q166" s="83">
        <v>1.8</v>
      </c>
      <c r="R166" s="83">
        <v>14.4</v>
      </c>
      <c r="S166" s="83">
        <v>0</v>
      </c>
    </row>
    <row r="167" spans="1:19" ht="16" x14ac:dyDescent="0.2">
      <c r="A167" s="89">
        <v>160</v>
      </c>
      <c r="B167" s="84" t="s">
        <v>1487</v>
      </c>
      <c r="C167" s="84" t="s">
        <v>933</v>
      </c>
      <c r="D167" s="83">
        <v>27</v>
      </c>
      <c r="E167" s="83" t="s">
        <v>68</v>
      </c>
      <c r="F167" s="83">
        <v>12</v>
      </c>
      <c r="G167" s="83">
        <v>2</v>
      </c>
      <c r="H167" s="83">
        <v>40</v>
      </c>
      <c r="I167" s="83">
        <v>30</v>
      </c>
      <c r="J167" s="86">
        <v>0.75</v>
      </c>
      <c r="K167" s="83">
        <v>291</v>
      </c>
      <c r="L167" s="83">
        <v>9.6999999999999993</v>
      </c>
      <c r="M167" s="83">
        <v>1</v>
      </c>
      <c r="N167" s="83">
        <v>12</v>
      </c>
      <c r="O167" s="83">
        <v>31</v>
      </c>
      <c r="P167" s="83">
        <v>7.3</v>
      </c>
      <c r="Q167" s="83">
        <v>2.5</v>
      </c>
      <c r="R167" s="83">
        <v>24.3</v>
      </c>
      <c r="S167" s="83">
        <v>1</v>
      </c>
    </row>
    <row r="168" spans="1:19" ht="16" x14ac:dyDescent="0.2">
      <c r="A168" s="89">
        <v>161</v>
      </c>
      <c r="B168" s="84" t="s">
        <v>1823</v>
      </c>
      <c r="C168" s="84" t="s">
        <v>1087</v>
      </c>
      <c r="D168" s="83">
        <v>30</v>
      </c>
      <c r="E168" s="83" t="s">
        <v>1824</v>
      </c>
      <c r="F168" s="83">
        <v>17</v>
      </c>
      <c r="G168" s="83">
        <v>16</v>
      </c>
      <c r="H168" s="83">
        <v>38</v>
      </c>
      <c r="I168" s="83">
        <v>30</v>
      </c>
      <c r="J168" s="86">
        <v>0.78900000000000003</v>
      </c>
      <c r="K168" s="83">
        <v>296</v>
      </c>
      <c r="L168" s="83">
        <v>9.9</v>
      </c>
      <c r="M168" s="83">
        <v>1</v>
      </c>
      <c r="N168" s="83">
        <v>16</v>
      </c>
      <c r="O168" s="83">
        <v>26</v>
      </c>
      <c r="P168" s="83">
        <v>7.8</v>
      </c>
      <c r="Q168" s="83">
        <v>1.8</v>
      </c>
      <c r="R168" s="83">
        <v>17.399999999999999</v>
      </c>
      <c r="S168" s="83">
        <v>0</v>
      </c>
    </row>
    <row r="169" spans="1:19" ht="16" x14ac:dyDescent="0.2">
      <c r="A169" s="89">
        <v>162</v>
      </c>
      <c r="B169" s="84" t="s">
        <v>2133</v>
      </c>
      <c r="C169" s="84" t="s">
        <v>933</v>
      </c>
      <c r="D169" s="83">
        <v>24</v>
      </c>
      <c r="E169" s="83" t="s">
        <v>88</v>
      </c>
      <c r="F169" s="83">
        <v>17</v>
      </c>
      <c r="G169" s="83">
        <v>11</v>
      </c>
      <c r="H169" s="83">
        <v>44</v>
      </c>
      <c r="I169" s="83">
        <v>30</v>
      </c>
      <c r="J169" s="86">
        <v>0.68200000000000005</v>
      </c>
      <c r="K169" s="83">
        <v>373</v>
      </c>
      <c r="L169" s="83">
        <v>12.4</v>
      </c>
      <c r="M169" s="83">
        <v>3</v>
      </c>
      <c r="N169" s="83">
        <v>16</v>
      </c>
      <c r="O169" s="83">
        <v>44</v>
      </c>
      <c r="P169" s="83">
        <v>8.5</v>
      </c>
      <c r="Q169" s="83">
        <v>1.8</v>
      </c>
      <c r="R169" s="83">
        <v>21.9</v>
      </c>
      <c r="S169" s="83">
        <v>1</v>
      </c>
    </row>
    <row r="170" spans="1:19" ht="16" x14ac:dyDescent="0.2">
      <c r="A170" s="89">
        <v>163</v>
      </c>
      <c r="B170" s="84" t="s">
        <v>488</v>
      </c>
      <c r="C170" s="84" t="s">
        <v>77</v>
      </c>
      <c r="D170" s="83">
        <v>27</v>
      </c>
      <c r="E170" s="83" t="s">
        <v>83</v>
      </c>
      <c r="F170" s="83">
        <v>16</v>
      </c>
      <c r="G170" s="83">
        <v>2</v>
      </c>
      <c r="H170" s="83">
        <v>43</v>
      </c>
      <c r="I170" s="83">
        <v>30</v>
      </c>
      <c r="J170" s="86">
        <v>0.69799999999999995</v>
      </c>
      <c r="K170" s="83">
        <v>301</v>
      </c>
      <c r="L170" s="83">
        <v>10</v>
      </c>
      <c r="M170" s="83">
        <v>1</v>
      </c>
      <c r="N170" s="83">
        <v>12</v>
      </c>
      <c r="O170" s="83">
        <v>39</v>
      </c>
      <c r="P170" s="83">
        <v>7</v>
      </c>
      <c r="Q170" s="83">
        <v>1.9</v>
      </c>
      <c r="R170" s="83">
        <v>18.8</v>
      </c>
      <c r="S170" s="83">
        <v>4</v>
      </c>
    </row>
    <row r="171" spans="1:19" ht="16" x14ac:dyDescent="0.2">
      <c r="A171" s="89">
        <v>164</v>
      </c>
      <c r="B171" s="84" t="s">
        <v>2320</v>
      </c>
      <c r="C171" s="84" t="s">
        <v>119</v>
      </c>
      <c r="D171" s="83">
        <v>26</v>
      </c>
      <c r="E171" s="83" t="s">
        <v>88</v>
      </c>
      <c r="F171" s="83">
        <v>13</v>
      </c>
      <c r="G171" s="83">
        <v>6</v>
      </c>
      <c r="H171" s="83">
        <v>49</v>
      </c>
      <c r="I171" s="83">
        <v>30</v>
      </c>
      <c r="J171" s="86">
        <v>0.61199999999999999</v>
      </c>
      <c r="K171" s="83">
        <v>271</v>
      </c>
      <c r="L171" s="83">
        <v>9</v>
      </c>
      <c r="M171" s="83">
        <v>2</v>
      </c>
      <c r="N171" s="83">
        <v>14</v>
      </c>
      <c r="O171" s="83">
        <v>39</v>
      </c>
      <c r="P171" s="83">
        <v>5.5</v>
      </c>
      <c r="Q171" s="83">
        <v>2.2999999999999998</v>
      </c>
      <c r="R171" s="83">
        <v>20.8</v>
      </c>
      <c r="S171" s="83">
        <v>0</v>
      </c>
    </row>
    <row r="172" spans="1:19" ht="16" x14ac:dyDescent="0.2">
      <c r="A172" s="89">
        <v>165</v>
      </c>
      <c r="B172" s="84" t="s">
        <v>355</v>
      </c>
      <c r="C172" s="84" t="s">
        <v>107</v>
      </c>
      <c r="D172" s="83">
        <v>31</v>
      </c>
      <c r="E172" s="83" t="s">
        <v>88</v>
      </c>
      <c r="F172" s="83">
        <v>17</v>
      </c>
      <c r="G172" s="83">
        <v>14</v>
      </c>
      <c r="H172" s="83">
        <v>43</v>
      </c>
      <c r="I172" s="83">
        <v>29</v>
      </c>
      <c r="J172" s="86">
        <v>0.67400000000000004</v>
      </c>
      <c r="K172" s="83">
        <v>302</v>
      </c>
      <c r="L172" s="83">
        <v>10.4</v>
      </c>
      <c r="M172" s="83">
        <v>3</v>
      </c>
      <c r="N172" s="83">
        <v>18</v>
      </c>
      <c r="O172" s="83">
        <v>34</v>
      </c>
      <c r="P172" s="83">
        <v>7</v>
      </c>
      <c r="Q172" s="83">
        <v>1.7</v>
      </c>
      <c r="R172" s="83">
        <v>17.8</v>
      </c>
      <c r="S172" s="83">
        <v>0</v>
      </c>
    </row>
    <row r="173" spans="1:19" ht="16" x14ac:dyDescent="0.2">
      <c r="A173" s="89">
        <v>166</v>
      </c>
      <c r="B173" s="84" t="s">
        <v>888</v>
      </c>
      <c r="C173" s="84" t="s">
        <v>730</v>
      </c>
      <c r="D173" s="83">
        <v>24</v>
      </c>
      <c r="E173" s="83" t="s">
        <v>68</v>
      </c>
      <c r="F173" s="83">
        <v>12</v>
      </c>
      <c r="G173" s="83">
        <v>10</v>
      </c>
      <c r="H173" s="83">
        <v>40</v>
      </c>
      <c r="I173" s="83">
        <v>29</v>
      </c>
      <c r="J173" s="86">
        <v>0.72499999999999998</v>
      </c>
      <c r="K173" s="83">
        <v>176</v>
      </c>
      <c r="L173" s="83">
        <v>6.1</v>
      </c>
      <c r="M173" s="83">
        <v>3</v>
      </c>
      <c r="N173" s="83">
        <v>8</v>
      </c>
      <c r="O173" s="83">
        <v>25</v>
      </c>
      <c r="P173" s="83">
        <v>4.4000000000000004</v>
      </c>
      <c r="Q173" s="83">
        <v>2.4</v>
      </c>
      <c r="R173" s="83">
        <v>14.7</v>
      </c>
      <c r="S173" s="83">
        <v>0</v>
      </c>
    </row>
    <row r="174" spans="1:19" ht="16" x14ac:dyDescent="0.2">
      <c r="A174" s="89">
        <v>167</v>
      </c>
      <c r="B174" s="84" t="s">
        <v>346</v>
      </c>
      <c r="C174" s="83" t="s">
        <v>1726</v>
      </c>
      <c r="D174" s="83">
        <v>26</v>
      </c>
      <c r="E174" s="83" t="s">
        <v>83</v>
      </c>
      <c r="F174" s="83">
        <v>12</v>
      </c>
      <c r="G174" s="83">
        <v>5</v>
      </c>
      <c r="H174" s="83">
        <v>49</v>
      </c>
      <c r="I174" s="83">
        <v>29</v>
      </c>
      <c r="J174" s="86">
        <v>0.59199999999999997</v>
      </c>
      <c r="K174" s="83">
        <v>396</v>
      </c>
      <c r="L174" s="83">
        <v>13.7</v>
      </c>
      <c r="M174" s="83">
        <v>2</v>
      </c>
      <c r="N174" s="83">
        <v>21</v>
      </c>
      <c r="O174" s="83">
        <v>39</v>
      </c>
      <c r="P174" s="83">
        <v>8.1</v>
      </c>
      <c r="Q174" s="83">
        <v>2.4</v>
      </c>
      <c r="R174" s="83">
        <v>33</v>
      </c>
      <c r="S174" s="83">
        <v>0</v>
      </c>
    </row>
    <row r="175" spans="1:19" ht="16" x14ac:dyDescent="0.2">
      <c r="A175" s="89">
        <v>168</v>
      </c>
      <c r="B175" s="84" t="s">
        <v>277</v>
      </c>
      <c r="C175" s="84" t="s">
        <v>1267</v>
      </c>
      <c r="D175" s="83">
        <v>31</v>
      </c>
      <c r="E175" s="83" t="s">
        <v>83</v>
      </c>
      <c r="F175" s="83">
        <v>12</v>
      </c>
      <c r="G175" s="83">
        <v>3</v>
      </c>
      <c r="H175" s="83">
        <v>39</v>
      </c>
      <c r="I175" s="83">
        <v>28</v>
      </c>
      <c r="J175" s="86">
        <v>0.71799999999999997</v>
      </c>
      <c r="K175" s="83">
        <v>375</v>
      </c>
      <c r="L175" s="83">
        <v>13.4</v>
      </c>
      <c r="M175" s="83">
        <v>5</v>
      </c>
      <c r="N175" s="83">
        <v>21</v>
      </c>
      <c r="O175" s="83">
        <v>54</v>
      </c>
      <c r="P175" s="83">
        <v>9.6</v>
      </c>
      <c r="Q175" s="83">
        <v>2.2999999999999998</v>
      </c>
      <c r="R175" s="83">
        <v>31.3</v>
      </c>
      <c r="S175" s="83">
        <v>1</v>
      </c>
    </row>
    <row r="176" spans="1:19" ht="16" x14ac:dyDescent="0.2">
      <c r="A176" s="89">
        <v>169</v>
      </c>
      <c r="B176" s="84" t="s">
        <v>901</v>
      </c>
      <c r="C176" s="84" t="s">
        <v>71</v>
      </c>
      <c r="D176" s="83">
        <v>28</v>
      </c>
      <c r="E176" s="83" t="s">
        <v>83</v>
      </c>
      <c r="F176" s="83">
        <v>15</v>
      </c>
      <c r="G176" s="83">
        <v>11</v>
      </c>
      <c r="H176" s="83">
        <v>51</v>
      </c>
      <c r="I176" s="83">
        <v>28</v>
      </c>
      <c r="J176" s="86">
        <v>0.54900000000000004</v>
      </c>
      <c r="K176" s="83">
        <v>449</v>
      </c>
      <c r="L176" s="83">
        <v>16</v>
      </c>
      <c r="M176" s="83">
        <v>1</v>
      </c>
      <c r="N176" s="83">
        <v>20</v>
      </c>
      <c r="O176" s="83">
        <v>54</v>
      </c>
      <c r="P176" s="83">
        <v>8.8000000000000007</v>
      </c>
      <c r="Q176" s="83">
        <v>1.9</v>
      </c>
      <c r="R176" s="83">
        <v>29.9</v>
      </c>
      <c r="S176" s="83">
        <v>0</v>
      </c>
    </row>
    <row r="177" spans="1:19" ht="16" x14ac:dyDescent="0.2">
      <c r="A177" s="89">
        <v>170</v>
      </c>
      <c r="B177" s="84" t="s">
        <v>886</v>
      </c>
      <c r="C177" s="84" t="s">
        <v>93</v>
      </c>
      <c r="D177" s="83">
        <v>28</v>
      </c>
      <c r="E177" s="83" t="s">
        <v>68</v>
      </c>
      <c r="F177" s="83">
        <v>16</v>
      </c>
      <c r="G177" s="83">
        <v>16</v>
      </c>
      <c r="H177" s="83">
        <v>38</v>
      </c>
      <c r="I177" s="83">
        <v>28</v>
      </c>
      <c r="J177" s="86">
        <v>0.73699999999999999</v>
      </c>
      <c r="K177" s="83">
        <v>213</v>
      </c>
      <c r="L177" s="83">
        <v>7.6</v>
      </c>
      <c r="M177" s="83">
        <v>2</v>
      </c>
      <c r="N177" s="83">
        <v>9</v>
      </c>
      <c r="O177" s="83">
        <v>30</v>
      </c>
      <c r="P177" s="83">
        <v>5.6</v>
      </c>
      <c r="Q177" s="83">
        <v>1.8</v>
      </c>
      <c r="R177" s="83">
        <v>13.3</v>
      </c>
      <c r="S177" s="83">
        <v>3</v>
      </c>
    </row>
    <row r="178" spans="1:19" ht="16" x14ac:dyDescent="0.2">
      <c r="A178" s="89">
        <v>171</v>
      </c>
      <c r="B178" s="84" t="s">
        <v>547</v>
      </c>
      <c r="C178" s="84" t="s">
        <v>77</v>
      </c>
      <c r="D178" s="83">
        <v>26</v>
      </c>
      <c r="E178" s="83" t="s">
        <v>68</v>
      </c>
      <c r="F178" s="83">
        <v>14</v>
      </c>
      <c r="G178" s="83">
        <v>0</v>
      </c>
      <c r="H178" s="83">
        <v>38</v>
      </c>
      <c r="I178" s="83">
        <v>28</v>
      </c>
      <c r="J178" s="86">
        <v>0.73699999999999999</v>
      </c>
      <c r="K178" s="83">
        <v>240</v>
      </c>
      <c r="L178" s="83">
        <v>8.6</v>
      </c>
      <c r="M178" s="83">
        <v>1</v>
      </c>
      <c r="N178" s="83">
        <v>11</v>
      </c>
      <c r="O178" s="83">
        <v>27</v>
      </c>
      <c r="P178" s="83">
        <v>6.3</v>
      </c>
      <c r="Q178" s="83">
        <v>2</v>
      </c>
      <c r="R178" s="83">
        <v>17.100000000000001</v>
      </c>
      <c r="S178" s="83">
        <v>0</v>
      </c>
    </row>
    <row r="179" spans="1:19" ht="16" x14ac:dyDescent="0.2">
      <c r="A179" s="89">
        <v>172</v>
      </c>
      <c r="B179" s="84" t="s">
        <v>339</v>
      </c>
      <c r="C179" s="84" t="s">
        <v>1122</v>
      </c>
      <c r="D179" s="83">
        <v>26</v>
      </c>
      <c r="E179" s="83" t="s">
        <v>88</v>
      </c>
      <c r="F179" s="83">
        <v>16</v>
      </c>
      <c r="G179" s="83">
        <v>11</v>
      </c>
      <c r="H179" s="83">
        <v>45</v>
      </c>
      <c r="I179" s="83">
        <v>28</v>
      </c>
      <c r="J179" s="86">
        <v>0.622</v>
      </c>
      <c r="K179" s="83">
        <v>294</v>
      </c>
      <c r="L179" s="83">
        <v>10.5</v>
      </c>
      <c r="M179" s="83">
        <v>1</v>
      </c>
      <c r="N179" s="83">
        <v>15</v>
      </c>
      <c r="O179" s="83">
        <v>28</v>
      </c>
      <c r="P179" s="83">
        <v>6.5</v>
      </c>
      <c r="Q179" s="83">
        <v>1.8</v>
      </c>
      <c r="R179" s="83">
        <v>18.399999999999999</v>
      </c>
      <c r="S179" s="83">
        <v>1</v>
      </c>
    </row>
    <row r="180" spans="1:19" ht="16" x14ac:dyDescent="0.2">
      <c r="A180" s="89">
        <v>173</v>
      </c>
      <c r="B180" s="84" t="s">
        <v>678</v>
      </c>
      <c r="C180" s="84" t="s">
        <v>71</v>
      </c>
      <c r="D180" s="83">
        <v>31</v>
      </c>
      <c r="E180" s="83" t="s">
        <v>88</v>
      </c>
      <c r="F180" s="83">
        <v>14</v>
      </c>
      <c r="G180" s="83">
        <v>12</v>
      </c>
      <c r="H180" s="83">
        <v>42</v>
      </c>
      <c r="I180" s="83">
        <v>27</v>
      </c>
      <c r="J180" s="86">
        <v>0.64300000000000002</v>
      </c>
      <c r="K180" s="83">
        <v>261</v>
      </c>
      <c r="L180" s="83">
        <v>9.6999999999999993</v>
      </c>
      <c r="M180" s="83">
        <v>2</v>
      </c>
      <c r="N180" s="83">
        <v>14</v>
      </c>
      <c r="O180" s="83">
        <v>29</v>
      </c>
      <c r="P180" s="83">
        <v>6.2</v>
      </c>
      <c r="Q180" s="83">
        <v>1.9</v>
      </c>
      <c r="R180" s="83">
        <v>18.600000000000001</v>
      </c>
      <c r="S180" s="83">
        <v>1</v>
      </c>
    </row>
    <row r="181" spans="1:19" ht="16" x14ac:dyDescent="0.2">
      <c r="A181" s="89">
        <v>174</v>
      </c>
      <c r="B181" s="84" t="s">
        <v>1420</v>
      </c>
      <c r="C181" s="83" t="s">
        <v>1726</v>
      </c>
      <c r="D181" s="83">
        <v>32</v>
      </c>
      <c r="E181" s="83" t="s">
        <v>68</v>
      </c>
      <c r="F181" s="83">
        <v>14</v>
      </c>
      <c r="G181" s="83">
        <v>10</v>
      </c>
      <c r="H181" s="83">
        <v>35</v>
      </c>
      <c r="I181" s="83">
        <v>27</v>
      </c>
      <c r="J181" s="86">
        <v>0.77100000000000002</v>
      </c>
      <c r="K181" s="83">
        <v>162</v>
      </c>
      <c r="L181" s="83">
        <v>6</v>
      </c>
      <c r="M181" s="83">
        <v>0</v>
      </c>
      <c r="N181" s="83">
        <v>9</v>
      </c>
      <c r="O181" s="83">
        <v>34</v>
      </c>
      <c r="P181" s="83">
        <v>4.5999999999999996</v>
      </c>
      <c r="Q181" s="83">
        <v>1.9</v>
      </c>
      <c r="R181" s="83">
        <v>11.6</v>
      </c>
      <c r="S181" s="83">
        <v>1</v>
      </c>
    </row>
    <row r="182" spans="1:19" ht="16" x14ac:dyDescent="0.2">
      <c r="A182" s="89">
        <v>175</v>
      </c>
      <c r="B182" s="84" t="s">
        <v>341</v>
      </c>
      <c r="C182" s="84" t="s">
        <v>74</v>
      </c>
      <c r="D182" s="83">
        <v>26</v>
      </c>
      <c r="E182" s="83" t="s">
        <v>68</v>
      </c>
      <c r="F182" s="83">
        <v>16</v>
      </c>
      <c r="G182" s="83">
        <v>0</v>
      </c>
      <c r="H182" s="83">
        <v>31</v>
      </c>
      <c r="I182" s="83">
        <v>27</v>
      </c>
      <c r="J182" s="86">
        <v>0.871</v>
      </c>
      <c r="K182" s="83">
        <v>196</v>
      </c>
      <c r="L182" s="83">
        <v>7.3</v>
      </c>
      <c r="M182" s="83">
        <v>1</v>
      </c>
      <c r="N182" s="83">
        <v>9</v>
      </c>
      <c r="O182" s="83">
        <v>23</v>
      </c>
      <c r="P182" s="83">
        <v>6.3</v>
      </c>
      <c r="Q182" s="83">
        <v>1.7</v>
      </c>
      <c r="R182" s="83">
        <v>12.3</v>
      </c>
      <c r="S182" s="83">
        <v>0</v>
      </c>
    </row>
    <row r="183" spans="1:19" ht="16" x14ac:dyDescent="0.2">
      <c r="A183" s="89">
        <v>176</v>
      </c>
      <c r="B183" s="84" t="s">
        <v>416</v>
      </c>
      <c r="C183" s="84" t="s">
        <v>1257</v>
      </c>
      <c r="D183" s="83">
        <v>24</v>
      </c>
      <c r="E183" s="83" t="s">
        <v>88</v>
      </c>
      <c r="F183" s="83">
        <v>13</v>
      </c>
      <c r="G183" s="83">
        <v>10</v>
      </c>
      <c r="H183" s="83">
        <v>43</v>
      </c>
      <c r="I183" s="83">
        <v>27</v>
      </c>
      <c r="J183" s="86">
        <v>0.628</v>
      </c>
      <c r="K183" s="83">
        <v>263</v>
      </c>
      <c r="L183" s="83">
        <v>9.6999999999999993</v>
      </c>
      <c r="M183" s="83">
        <v>2</v>
      </c>
      <c r="N183" s="83">
        <v>13</v>
      </c>
      <c r="O183" s="83">
        <v>32</v>
      </c>
      <c r="P183" s="83">
        <v>6.1</v>
      </c>
      <c r="Q183" s="83">
        <v>2.1</v>
      </c>
      <c r="R183" s="83">
        <v>20.2</v>
      </c>
      <c r="S183" s="83">
        <v>1</v>
      </c>
    </row>
    <row r="184" spans="1:19" ht="16" x14ac:dyDescent="0.2">
      <c r="A184" s="89">
        <v>177</v>
      </c>
      <c r="B184" s="84" t="s">
        <v>869</v>
      </c>
      <c r="C184" s="84" t="s">
        <v>725</v>
      </c>
      <c r="D184" s="83">
        <v>28</v>
      </c>
      <c r="E184" s="83" t="s">
        <v>83</v>
      </c>
      <c r="F184" s="83">
        <v>13</v>
      </c>
      <c r="G184" s="83">
        <v>9</v>
      </c>
      <c r="H184" s="83">
        <v>49</v>
      </c>
      <c r="I184" s="83">
        <v>27</v>
      </c>
      <c r="J184" s="86">
        <v>0.55100000000000005</v>
      </c>
      <c r="K184" s="83">
        <v>394</v>
      </c>
      <c r="L184" s="83">
        <v>14.6</v>
      </c>
      <c r="M184" s="83">
        <v>1</v>
      </c>
      <c r="N184" s="83">
        <v>17</v>
      </c>
      <c r="O184" s="83">
        <v>49</v>
      </c>
      <c r="P184" s="83">
        <v>8</v>
      </c>
      <c r="Q184" s="83">
        <v>2.1</v>
      </c>
      <c r="R184" s="83">
        <v>30.3</v>
      </c>
      <c r="S184" s="83">
        <v>1</v>
      </c>
    </row>
    <row r="185" spans="1:19" ht="16" x14ac:dyDescent="0.2">
      <c r="A185" s="89">
        <v>178</v>
      </c>
      <c r="B185" s="84" t="s">
        <v>1964</v>
      </c>
      <c r="C185" s="84" t="s">
        <v>727</v>
      </c>
      <c r="D185" s="83">
        <v>28</v>
      </c>
      <c r="E185" s="83" t="s">
        <v>83</v>
      </c>
      <c r="F185" s="83">
        <v>17</v>
      </c>
      <c r="G185" s="83">
        <v>4</v>
      </c>
      <c r="H185" s="83">
        <v>38</v>
      </c>
      <c r="I185" s="83">
        <v>26</v>
      </c>
      <c r="J185" s="86">
        <v>0.68400000000000005</v>
      </c>
      <c r="K185" s="83">
        <v>329</v>
      </c>
      <c r="L185" s="83">
        <v>12.7</v>
      </c>
      <c r="M185" s="83">
        <v>1</v>
      </c>
      <c r="N185" s="83">
        <v>18</v>
      </c>
      <c r="O185" s="83">
        <v>54</v>
      </c>
      <c r="P185" s="83">
        <v>8.6999999999999993</v>
      </c>
      <c r="Q185" s="83">
        <v>1.5</v>
      </c>
      <c r="R185" s="83">
        <v>19.399999999999999</v>
      </c>
      <c r="S185" s="83">
        <v>1</v>
      </c>
    </row>
    <row r="186" spans="1:19" ht="16" x14ac:dyDescent="0.2">
      <c r="A186" s="89">
        <v>179</v>
      </c>
      <c r="B186" s="84" t="s">
        <v>335</v>
      </c>
      <c r="C186" s="84" t="s">
        <v>101</v>
      </c>
      <c r="D186" s="83">
        <v>28</v>
      </c>
      <c r="E186" s="83" t="s">
        <v>88</v>
      </c>
      <c r="F186" s="83">
        <v>13</v>
      </c>
      <c r="G186" s="83">
        <v>5</v>
      </c>
      <c r="H186" s="83">
        <v>31</v>
      </c>
      <c r="I186" s="83">
        <v>26</v>
      </c>
      <c r="J186" s="86">
        <v>0.83899999999999997</v>
      </c>
      <c r="K186" s="83">
        <v>221</v>
      </c>
      <c r="L186" s="83">
        <v>8.5</v>
      </c>
      <c r="M186" s="83">
        <v>3</v>
      </c>
      <c r="N186" s="83">
        <v>11</v>
      </c>
      <c r="O186" s="83">
        <v>33</v>
      </c>
      <c r="P186" s="83">
        <v>7.1</v>
      </c>
      <c r="Q186" s="83">
        <v>2</v>
      </c>
      <c r="R186" s="83">
        <v>17</v>
      </c>
      <c r="S186" s="83">
        <v>3</v>
      </c>
    </row>
    <row r="187" spans="1:19" x14ac:dyDescent="0.2">
      <c r="A187" s="89" t="s">
        <v>902</v>
      </c>
      <c r="B187" s="89" t="s">
        <v>903</v>
      </c>
      <c r="C187" s="89" t="s">
        <v>1314</v>
      </c>
      <c r="D187" s="89" t="s">
        <v>905</v>
      </c>
      <c r="E187" s="89" t="s">
        <v>906</v>
      </c>
      <c r="F187" s="89" t="s">
        <v>1315</v>
      </c>
      <c r="G187" s="89" t="s">
        <v>1316</v>
      </c>
      <c r="H187" s="89" t="s">
        <v>2314</v>
      </c>
      <c r="I187" s="89" t="s">
        <v>2092</v>
      </c>
      <c r="J187" s="89" t="s">
        <v>2093</v>
      </c>
      <c r="K187" s="89" t="s">
        <v>799</v>
      </c>
      <c r="L187" s="89" t="s">
        <v>2315</v>
      </c>
      <c r="M187" s="89" t="s">
        <v>800</v>
      </c>
      <c r="N187" s="89" t="s">
        <v>1321</v>
      </c>
      <c r="O187" s="89" t="s">
        <v>917</v>
      </c>
      <c r="P187" s="89" t="s">
        <v>2316</v>
      </c>
      <c r="Q187" s="89" t="s">
        <v>2317</v>
      </c>
      <c r="R187" s="89" t="s">
        <v>1325</v>
      </c>
      <c r="S187" s="89" t="s">
        <v>1416</v>
      </c>
    </row>
    <row r="188" spans="1:19" ht="16" x14ac:dyDescent="0.2">
      <c r="A188" s="89">
        <v>180</v>
      </c>
      <c r="B188" s="84" t="s">
        <v>602</v>
      </c>
      <c r="C188" s="84" t="s">
        <v>92</v>
      </c>
      <c r="D188" s="83">
        <v>32</v>
      </c>
      <c r="E188" s="83" t="s">
        <v>88</v>
      </c>
      <c r="F188" s="83">
        <v>16</v>
      </c>
      <c r="G188" s="83">
        <v>13</v>
      </c>
      <c r="H188" s="83">
        <v>39</v>
      </c>
      <c r="I188" s="83">
        <v>26</v>
      </c>
      <c r="J188" s="86">
        <v>0.66700000000000004</v>
      </c>
      <c r="K188" s="83">
        <v>257</v>
      </c>
      <c r="L188" s="83">
        <v>9.9</v>
      </c>
      <c r="M188" s="83">
        <v>1</v>
      </c>
      <c r="N188" s="83">
        <v>12</v>
      </c>
      <c r="O188" s="83">
        <v>60</v>
      </c>
      <c r="P188" s="83">
        <v>6.6</v>
      </c>
      <c r="Q188" s="83">
        <v>1.6</v>
      </c>
      <c r="R188" s="83">
        <v>16.100000000000001</v>
      </c>
      <c r="S188" s="83">
        <v>0</v>
      </c>
    </row>
    <row r="189" spans="1:19" ht="16" x14ac:dyDescent="0.2">
      <c r="A189" s="89">
        <v>181</v>
      </c>
      <c r="B189" s="84" t="s">
        <v>160</v>
      </c>
      <c r="C189" s="84" t="s">
        <v>102</v>
      </c>
      <c r="D189" s="83">
        <v>24</v>
      </c>
      <c r="E189" s="83" t="s">
        <v>68</v>
      </c>
      <c r="F189" s="83">
        <v>12</v>
      </c>
      <c r="G189" s="83">
        <v>12</v>
      </c>
      <c r="H189" s="83">
        <v>34</v>
      </c>
      <c r="I189" s="83">
        <v>26</v>
      </c>
      <c r="J189" s="86">
        <v>0.76500000000000001</v>
      </c>
      <c r="K189" s="83">
        <v>158</v>
      </c>
      <c r="L189" s="83">
        <v>6.1</v>
      </c>
      <c r="M189" s="83">
        <v>0</v>
      </c>
      <c r="N189" s="83">
        <v>6</v>
      </c>
      <c r="O189" s="83">
        <v>25</v>
      </c>
      <c r="P189" s="83">
        <v>4.5999999999999996</v>
      </c>
      <c r="Q189" s="83">
        <v>2.2000000000000002</v>
      </c>
      <c r="R189" s="83">
        <v>13.2</v>
      </c>
      <c r="S189" s="83">
        <v>1</v>
      </c>
    </row>
    <row r="190" spans="1:19" ht="16" x14ac:dyDescent="0.2">
      <c r="A190" s="89">
        <v>182</v>
      </c>
      <c r="B190" s="84" t="s">
        <v>310</v>
      </c>
      <c r="C190" s="84" t="s">
        <v>92</v>
      </c>
      <c r="D190" s="83">
        <v>24</v>
      </c>
      <c r="E190" s="83" t="s">
        <v>83</v>
      </c>
      <c r="F190" s="83">
        <v>13</v>
      </c>
      <c r="G190" s="83">
        <v>5</v>
      </c>
      <c r="H190" s="83">
        <v>58</v>
      </c>
      <c r="I190" s="83">
        <v>26</v>
      </c>
      <c r="J190" s="86">
        <v>0.44800000000000001</v>
      </c>
      <c r="K190" s="83">
        <v>339</v>
      </c>
      <c r="L190" s="83">
        <v>13</v>
      </c>
      <c r="M190" s="83">
        <v>2</v>
      </c>
      <c r="N190" s="83">
        <v>14</v>
      </c>
      <c r="O190" s="83">
        <v>42</v>
      </c>
      <c r="P190" s="83">
        <v>5.8</v>
      </c>
      <c r="Q190" s="83">
        <v>2</v>
      </c>
      <c r="R190" s="83">
        <v>26.1</v>
      </c>
      <c r="S190" s="83">
        <v>1</v>
      </c>
    </row>
    <row r="191" spans="1:19" ht="32" customHeight="1" x14ac:dyDescent="0.2">
      <c r="A191" s="89">
        <v>183</v>
      </c>
      <c r="B191" s="84" t="s">
        <v>298</v>
      </c>
      <c r="C191" s="84" t="s">
        <v>1267</v>
      </c>
      <c r="D191" s="83">
        <v>27</v>
      </c>
      <c r="E191" s="83" t="s">
        <v>83</v>
      </c>
      <c r="F191" s="83">
        <v>11</v>
      </c>
      <c r="G191" s="83">
        <v>7</v>
      </c>
      <c r="H191" s="83">
        <v>55</v>
      </c>
      <c r="I191" s="83">
        <v>26</v>
      </c>
      <c r="J191" s="86">
        <v>0.47299999999999998</v>
      </c>
      <c r="K191" s="83">
        <v>430</v>
      </c>
      <c r="L191" s="83">
        <v>16.5</v>
      </c>
      <c r="M191" s="83">
        <v>3</v>
      </c>
      <c r="N191" s="83">
        <v>18</v>
      </c>
      <c r="O191" s="83">
        <v>75</v>
      </c>
      <c r="P191" s="83">
        <v>7.8</v>
      </c>
      <c r="Q191" s="83">
        <v>2.4</v>
      </c>
      <c r="R191" s="83">
        <v>39.1</v>
      </c>
      <c r="S191" s="83">
        <v>0</v>
      </c>
    </row>
    <row r="192" spans="1:19" ht="16" x14ac:dyDescent="0.2">
      <c r="A192" s="89">
        <v>184</v>
      </c>
      <c r="B192" s="84" t="s">
        <v>336</v>
      </c>
      <c r="C192" s="84" t="s">
        <v>139</v>
      </c>
      <c r="D192" s="83">
        <v>26</v>
      </c>
      <c r="E192" s="83" t="s">
        <v>68</v>
      </c>
      <c r="F192" s="83">
        <v>13</v>
      </c>
      <c r="G192" s="83">
        <v>11</v>
      </c>
      <c r="H192" s="83">
        <v>28</v>
      </c>
      <c r="I192" s="83">
        <v>26</v>
      </c>
      <c r="J192" s="86">
        <v>0.92900000000000005</v>
      </c>
      <c r="K192" s="83">
        <v>157</v>
      </c>
      <c r="L192" s="83">
        <v>6</v>
      </c>
      <c r="M192" s="83">
        <v>0</v>
      </c>
      <c r="N192" s="83">
        <v>6</v>
      </c>
      <c r="O192" s="83">
        <v>15</v>
      </c>
      <c r="P192" s="83">
        <v>5.6</v>
      </c>
      <c r="Q192" s="83">
        <v>2</v>
      </c>
      <c r="R192" s="83">
        <v>12.1</v>
      </c>
      <c r="S192" s="83">
        <v>1</v>
      </c>
    </row>
    <row r="193" spans="1:19" ht="16" x14ac:dyDescent="0.2">
      <c r="A193" s="89">
        <v>185</v>
      </c>
      <c r="B193" s="84" t="s">
        <v>371</v>
      </c>
      <c r="C193" s="84" t="s">
        <v>122</v>
      </c>
      <c r="D193" s="83">
        <v>31</v>
      </c>
      <c r="E193" s="83" t="s">
        <v>68</v>
      </c>
      <c r="F193" s="83">
        <v>16</v>
      </c>
      <c r="G193" s="83">
        <v>5</v>
      </c>
      <c r="H193" s="83">
        <v>32</v>
      </c>
      <c r="I193" s="83">
        <v>25</v>
      </c>
      <c r="J193" s="86">
        <v>0.78100000000000003</v>
      </c>
      <c r="K193" s="83">
        <v>186</v>
      </c>
      <c r="L193" s="83">
        <v>7.4</v>
      </c>
      <c r="M193" s="83">
        <v>0</v>
      </c>
      <c r="N193" s="83">
        <v>9</v>
      </c>
      <c r="O193" s="83">
        <v>20</v>
      </c>
      <c r="P193" s="83">
        <v>5.8</v>
      </c>
      <c r="Q193" s="83">
        <v>1.6</v>
      </c>
      <c r="R193" s="83">
        <v>11.6</v>
      </c>
      <c r="S193" s="83">
        <v>1</v>
      </c>
    </row>
    <row r="194" spans="1:19" ht="16" x14ac:dyDescent="0.2">
      <c r="A194" s="89">
        <v>186</v>
      </c>
      <c r="B194" s="84" t="s">
        <v>636</v>
      </c>
      <c r="C194" s="84" t="s">
        <v>1267</v>
      </c>
      <c r="D194" s="83">
        <v>24</v>
      </c>
      <c r="E194" s="83" t="s">
        <v>88</v>
      </c>
      <c r="F194" s="83">
        <v>16</v>
      </c>
      <c r="G194" s="83">
        <v>2</v>
      </c>
      <c r="H194" s="83">
        <v>33</v>
      </c>
      <c r="I194" s="83">
        <v>25</v>
      </c>
      <c r="J194" s="86">
        <v>0.75800000000000001</v>
      </c>
      <c r="K194" s="83">
        <v>245</v>
      </c>
      <c r="L194" s="83">
        <v>9.8000000000000007</v>
      </c>
      <c r="M194" s="83">
        <v>2</v>
      </c>
      <c r="N194" s="83">
        <v>9</v>
      </c>
      <c r="O194" s="83">
        <v>62</v>
      </c>
      <c r="P194" s="83">
        <v>7.4</v>
      </c>
      <c r="Q194" s="83">
        <v>1.6</v>
      </c>
      <c r="R194" s="83">
        <v>15.3</v>
      </c>
      <c r="S194" s="83">
        <v>0</v>
      </c>
    </row>
    <row r="195" spans="1:19" ht="16" x14ac:dyDescent="0.2">
      <c r="A195" s="89">
        <v>187</v>
      </c>
      <c r="B195" s="84" t="s">
        <v>381</v>
      </c>
      <c r="C195" s="84" t="s">
        <v>70</v>
      </c>
      <c r="D195" s="83">
        <v>22</v>
      </c>
      <c r="E195" s="83" t="s">
        <v>68</v>
      </c>
      <c r="F195" s="83">
        <v>17</v>
      </c>
      <c r="G195" s="83">
        <v>10</v>
      </c>
      <c r="H195" s="83">
        <v>37</v>
      </c>
      <c r="I195" s="83">
        <v>25</v>
      </c>
      <c r="J195" s="86">
        <v>0.67600000000000005</v>
      </c>
      <c r="K195" s="83">
        <v>174</v>
      </c>
      <c r="L195" s="83">
        <v>7</v>
      </c>
      <c r="M195" s="83">
        <v>1</v>
      </c>
      <c r="N195" s="83">
        <v>8</v>
      </c>
      <c r="O195" s="83">
        <v>33</v>
      </c>
      <c r="P195" s="83">
        <v>4.7</v>
      </c>
      <c r="Q195" s="83">
        <v>1.5</v>
      </c>
      <c r="R195" s="83">
        <v>10.199999999999999</v>
      </c>
      <c r="S195" s="83">
        <v>1</v>
      </c>
    </row>
    <row r="196" spans="1:19" ht="16" x14ac:dyDescent="0.2">
      <c r="A196" s="89">
        <v>188</v>
      </c>
      <c r="B196" s="84" t="s">
        <v>343</v>
      </c>
      <c r="C196" s="84" t="s">
        <v>1040</v>
      </c>
      <c r="D196" s="83">
        <v>27</v>
      </c>
      <c r="E196" s="83" t="s">
        <v>83</v>
      </c>
      <c r="F196" s="83">
        <v>17</v>
      </c>
      <c r="G196" s="83">
        <v>10</v>
      </c>
      <c r="H196" s="83">
        <v>41</v>
      </c>
      <c r="I196" s="83">
        <v>25</v>
      </c>
      <c r="J196" s="86">
        <v>0.61</v>
      </c>
      <c r="K196" s="83">
        <v>264</v>
      </c>
      <c r="L196" s="83">
        <v>10.6</v>
      </c>
      <c r="M196" s="83">
        <v>3</v>
      </c>
      <c r="N196" s="83">
        <v>13</v>
      </c>
      <c r="O196" s="83">
        <v>33</v>
      </c>
      <c r="P196" s="83">
        <v>6.4</v>
      </c>
      <c r="Q196" s="83">
        <v>1.5</v>
      </c>
      <c r="R196" s="83">
        <v>15.5</v>
      </c>
      <c r="S196" s="83">
        <v>0</v>
      </c>
    </row>
    <row r="197" spans="1:19" ht="16" x14ac:dyDescent="0.2">
      <c r="A197" s="89">
        <v>189</v>
      </c>
      <c r="B197" s="84" t="s">
        <v>460</v>
      </c>
      <c r="C197" s="84" t="s">
        <v>101</v>
      </c>
      <c r="D197" s="83">
        <v>27</v>
      </c>
      <c r="E197" s="83" t="s">
        <v>83</v>
      </c>
      <c r="F197" s="83">
        <v>15</v>
      </c>
      <c r="G197" s="83">
        <v>7</v>
      </c>
      <c r="H197" s="83">
        <v>37</v>
      </c>
      <c r="I197" s="83">
        <v>25</v>
      </c>
      <c r="J197" s="86">
        <v>0.67600000000000005</v>
      </c>
      <c r="K197" s="83">
        <v>230</v>
      </c>
      <c r="L197" s="83">
        <v>9.1999999999999993</v>
      </c>
      <c r="M197" s="83">
        <v>0</v>
      </c>
      <c r="N197" s="83">
        <v>14</v>
      </c>
      <c r="O197" s="83">
        <v>17</v>
      </c>
      <c r="P197" s="83">
        <v>6.2</v>
      </c>
      <c r="Q197" s="83">
        <v>1.7</v>
      </c>
      <c r="R197" s="83">
        <v>15.3</v>
      </c>
      <c r="S197" s="83">
        <v>0</v>
      </c>
    </row>
    <row r="198" spans="1:19" ht="16" x14ac:dyDescent="0.2">
      <c r="A198" s="89">
        <v>190</v>
      </c>
      <c r="B198" s="84" t="s">
        <v>387</v>
      </c>
      <c r="C198" s="84" t="s">
        <v>108</v>
      </c>
      <c r="D198" s="83">
        <v>23</v>
      </c>
      <c r="E198" s="83" t="s">
        <v>83</v>
      </c>
      <c r="F198" s="83">
        <v>17</v>
      </c>
      <c r="G198" s="83">
        <v>8</v>
      </c>
      <c r="H198" s="83">
        <v>40</v>
      </c>
      <c r="I198" s="83">
        <v>25</v>
      </c>
      <c r="J198" s="86">
        <v>0.625</v>
      </c>
      <c r="K198" s="83">
        <v>343</v>
      </c>
      <c r="L198" s="83">
        <v>13.7</v>
      </c>
      <c r="M198" s="83">
        <v>4</v>
      </c>
      <c r="N198" s="83">
        <v>12</v>
      </c>
      <c r="O198" s="83">
        <v>68</v>
      </c>
      <c r="P198" s="83">
        <v>8.6</v>
      </c>
      <c r="Q198" s="83">
        <v>1.5</v>
      </c>
      <c r="R198" s="83">
        <v>20.2</v>
      </c>
      <c r="S198" s="83">
        <v>1</v>
      </c>
    </row>
    <row r="199" spans="1:19" ht="32" customHeight="1" x14ac:dyDescent="0.2">
      <c r="A199" s="89">
        <v>191</v>
      </c>
      <c r="B199" s="84" t="s">
        <v>534</v>
      </c>
      <c r="C199" s="84" t="s">
        <v>142</v>
      </c>
      <c r="D199" s="83">
        <v>29</v>
      </c>
      <c r="E199" s="83" t="s">
        <v>83</v>
      </c>
      <c r="F199" s="83">
        <v>14</v>
      </c>
      <c r="G199" s="83">
        <v>5</v>
      </c>
      <c r="H199" s="83">
        <v>39</v>
      </c>
      <c r="I199" s="83">
        <v>25</v>
      </c>
      <c r="J199" s="86">
        <v>0.64100000000000001</v>
      </c>
      <c r="K199" s="83">
        <v>213</v>
      </c>
      <c r="L199" s="83">
        <v>8.5</v>
      </c>
      <c r="M199" s="83">
        <v>0</v>
      </c>
      <c r="N199" s="83">
        <v>10</v>
      </c>
      <c r="O199" s="83">
        <v>64</v>
      </c>
      <c r="P199" s="83">
        <v>5.5</v>
      </c>
      <c r="Q199" s="83">
        <v>1.8</v>
      </c>
      <c r="R199" s="83">
        <v>15.2</v>
      </c>
      <c r="S199" s="83">
        <v>0</v>
      </c>
    </row>
    <row r="200" spans="1:19" ht="16" x14ac:dyDescent="0.2">
      <c r="A200" s="89">
        <v>192</v>
      </c>
      <c r="B200" s="84" t="s">
        <v>434</v>
      </c>
      <c r="C200" s="84" t="s">
        <v>1052</v>
      </c>
      <c r="D200" s="83">
        <v>26</v>
      </c>
      <c r="E200" s="83" t="s">
        <v>83</v>
      </c>
      <c r="F200" s="83">
        <v>10</v>
      </c>
      <c r="G200" s="83">
        <v>2</v>
      </c>
      <c r="H200" s="83">
        <v>39</v>
      </c>
      <c r="I200" s="83">
        <v>24</v>
      </c>
      <c r="J200" s="86">
        <v>0.61499999999999999</v>
      </c>
      <c r="K200" s="83">
        <v>229</v>
      </c>
      <c r="L200" s="83">
        <v>9.5</v>
      </c>
      <c r="M200" s="83">
        <v>1</v>
      </c>
      <c r="N200" s="83">
        <v>14</v>
      </c>
      <c r="O200" s="83">
        <v>29</v>
      </c>
      <c r="P200" s="83">
        <v>5.9</v>
      </c>
      <c r="Q200" s="83">
        <v>2.4</v>
      </c>
      <c r="R200" s="83">
        <v>22.9</v>
      </c>
      <c r="S200" s="83">
        <v>1</v>
      </c>
    </row>
    <row r="201" spans="1:19" ht="16" x14ac:dyDescent="0.2">
      <c r="A201" s="89">
        <v>193</v>
      </c>
      <c r="B201" s="84" t="s">
        <v>364</v>
      </c>
      <c r="C201" s="84" t="s">
        <v>122</v>
      </c>
      <c r="D201" s="83">
        <v>29</v>
      </c>
      <c r="E201" s="83" t="s">
        <v>88</v>
      </c>
      <c r="F201" s="83">
        <v>13</v>
      </c>
      <c r="G201" s="83">
        <v>3</v>
      </c>
      <c r="H201" s="83">
        <v>33</v>
      </c>
      <c r="I201" s="83">
        <v>24</v>
      </c>
      <c r="J201" s="86">
        <v>0.72699999999999998</v>
      </c>
      <c r="K201" s="83">
        <v>214</v>
      </c>
      <c r="L201" s="83">
        <v>8.9</v>
      </c>
      <c r="M201" s="83">
        <v>0</v>
      </c>
      <c r="N201" s="83">
        <v>11</v>
      </c>
      <c r="O201" s="83">
        <v>31</v>
      </c>
      <c r="P201" s="83">
        <v>6.5</v>
      </c>
      <c r="Q201" s="83">
        <v>1.8</v>
      </c>
      <c r="R201" s="83">
        <v>16.5</v>
      </c>
      <c r="S201" s="83">
        <v>2</v>
      </c>
    </row>
    <row r="202" spans="1:19" ht="16" x14ac:dyDescent="0.2">
      <c r="A202" s="89">
        <v>194</v>
      </c>
      <c r="B202" s="84" t="s">
        <v>390</v>
      </c>
      <c r="C202" s="84" t="s">
        <v>107</v>
      </c>
      <c r="D202" s="83">
        <v>28</v>
      </c>
      <c r="E202" s="83" t="s">
        <v>88</v>
      </c>
      <c r="F202" s="83">
        <v>17</v>
      </c>
      <c r="G202" s="83">
        <v>7</v>
      </c>
      <c r="H202" s="83">
        <v>45</v>
      </c>
      <c r="I202" s="83">
        <v>24</v>
      </c>
      <c r="J202" s="86">
        <v>0.53300000000000003</v>
      </c>
      <c r="K202" s="83">
        <v>316</v>
      </c>
      <c r="L202" s="83">
        <v>13.2</v>
      </c>
      <c r="M202" s="83">
        <v>4</v>
      </c>
      <c r="N202" s="83">
        <v>14</v>
      </c>
      <c r="O202" s="83">
        <v>37</v>
      </c>
      <c r="P202" s="83">
        <v>7</v>
      </c>
      <c r="Q202" s="83">
        <v>1.4</v>
      </c>
      <c r="R202" s="83">
        <v>18.600000000000001</v>
      </c>
      <c r="S202" s="83">
        <v>1</v>
      </c>
    </row>
    <row r="203" spans="1:19" ht="16" x14ac:dyDescent="0.2">
      <c r="A203" s="89">
        <v>195</v>
      </c>
      <c r="B203" s="84" t="s">
        <v>1997</v>
      </c>
      <c r="C203" s="84" t="s">
        <v>122</v>
      </c>
      <c r="D203" s="83">
        <v>36</v>
      </c>
      <c r="E203" s="83" t="s">
        <v>83</v>
      </c>
      <c r="F203" s="83">
        <v>8</v>
      </c>
      <c r="G203" s="83">
        <v>0</v>
      </c>
      <c r="H203" s="83">
        <v>38</v>
      </c>
      <c r="I203" s="83">
        <v>24</v>
      </c>
      <c r="J203" s="86">
        <v>0.63200000000000001</v>
      </c>
      <c r="K203" s="83">
        <v>248</v>
      </c>
      <c r="L203" s="83">
        <v>10.3</v>
      </c>
      <c r="M203" s="83">
        <v>3</v>
      </c>
      <c r="N203" s="83">
        <v>10</v>
      </c>
      <c r="O203" s="83">
        <v>39</v>
      </c>
      <c r="P203" s="83">
        <v>6.5</v>
      </c>
      <c r="Q203" s="83">
        <v>3</v>
      </c>
      <c r="R203" s="83">
        <v>31</v>
      </c>
      <c r="S203" s="83">
        <v>1</v>
      </c>
    </row>
    <row r="204" spans="1:19" ht="16" x14ac:dyDescent="0.2">
      <c r="A204" s="89">
        <v>196</v>
      </c>
      <c r="B204" s="84" t="s">
        <v>2137</v>
      </c>
      <c r="C204" s="84" t="s">
        <v>1052</v>
      </c>
      <c r="D204" s="83">
        <v>31</v>
      </c>
      <c r="E204" s="83" t="s">
        <v>83</v>
      </c>
      <c r="F204" s="83">
        <v>13</v>
      </c>
      <c r="G204" s="83">
        <v>3</v>
      </c>
      <c r="H204" s="83">
        <v>37</v>
      </c>
      <c r="I204" s="83">
        <v>24</v>
      </c>
      <c r="J204" s="86">
        <v>0.64900000000000002</v>
      </c>
      <c r="K204" s="83">
        <v>213</v>
      </c>
      <c r="L204" s="83">
        <v>8.9</v>
      </c>
      <c r="M204" s="83">
        <v>1</v>
      </c>
      <c r="N204" s="83">
        <v>11</v>
      </c>
      <c r="O204" s="83">
        <v>25</v>
      </c>
      <c r="P204" s="83">
        <v>5.8</v>
      </c>
      <c r="Q204" s="83">
        <v>1.8</v>
      </c>
      <c r="R204" s="83">
        <v>16.399999999999999</v>
      </c>
      <c r="S204" s="83">
        <v>1</v>
      </c>
    </row>
    <row r="205" spans="1:19" ht="16" x14ac:dyDescent="0.2">
      <c r="A205" s="89">
        <v>197</v>
      </c>
      <c r="B205" s="84" t="s">
        <v>528</v>
      </c>
      <c r="C205" s="84" t="s">
        <v>119</v>
      </c>
      <c r="D205" s="83">
        <v>28</v>
      </c>
      <c r="E205" s="83" t="s">
        <v>83</v>
      </c>
      <c r="F205" s="83">
        <v>17</v>
      </c>
      <c r="G205" s="83">
        <v>6</v>
      </c>
      <c r="H205" s="83">
        <v>44</v>
      </c>
      <c r="I205" s="83">
        <v>24</v>
      </c>
      <c r="J205" s="86">
        <v>0.54500000000000004</v>
      </c>
      <c r="K205" s="83">
        <v>296</v>
      </c>
      <c r="L205" s="83">
        <v>12.3</v>
      </c>
      <c r="M205" s="83">
        <v>3</v>
      </c>
      <c r="N205" s="83">
        <v>17</v>
      </c>
      <c r="O205" s="83">
        <v>26</v>
      </c>
      <c r="P205" s="83">
        <v>6.7</v>
      </c>
      <c r="Q205" s="83">
        <v>1.4</v>
      </c>
      <c r="R205" s="83">
        <v>17.399999999999999</v>
      </c>
      <c r="S205" s="83">
        <v>3</v>
      </c>
    </row>
    <row r="206" spans="1:19" ht="16" x14ac:dyDescent="0.2">
      <c r="A206" s="89">
        <v>198</v>
      </c>
      <c r="B206" s="84" t="s">
        <v>312</v>
      </c>
      <c r="C206" s="84" t="s">
        <v>82</v>
      </c>
      <c r="D206" s="83">
        <v>27</v>
      </c>
      <c r="E206" s="83" t="s">
        <v>83</v>
      </c>
      <c r="F206" s="83">
        <v>15</v>
      </c>
      <c r="G206" s="83">
        <v>4</v>
      </c>
      <c r="H206" s="83">
        <v>47</v>
      </c>
      <c r="I206" s="83">
        <v>24</v>
      </c>
      <c r="J206" s="86">
        <v>0.51100000000000001</v>
      </c>
      <c r="K206" s="83">
        <v>275</v>
      </c>
      <c r="L206" s="83">
        <v>11.5</v>
      </c>
      <c r="M206" s="83">
        <v>1</v>
      </c>
      <c r="N206" s="83">
        <v>16</v>
      </c>
      <c r="O206" s="83">
        <v>21</v>
      </c>
      <c r="P206" s="83">
        <v>5.9</v>
      </c>
      <c r="Q206" s="83">
        <v>1.6</v>
      </c>
      <c r="R206" s="83">
        <v>18.3</v>
      </c>
      <c r="S206" s="83">
        <v>0</v>
      </c>
    </row>
    <row r="207" spans="1:19" ht="16" x14ac:dyDescent="0.2">
      <c r="A207" s="89">
        <v>199</v>
      </c>
      <c r="B207" s="84" t="s">
        <v>439</v>
      </c>
      <c r="C207" s="84" t="s">
        <v>1087</v>
      </c>
      <c r="D207" s="83">
        <v>24</v>
      </c>
      <c r="E207" s="83" t="s">
        <v>83</v>
      </c>
      <c r="F207" s="83">
        <v>16</v>
      </c>
      <c r="G207" s="83">
        <v>1</v>
      </c>
      <c r="H207" s="83">
        <v>38</v>
      </c>
      <c r="I207" s="83">
        <v>24</v>
      </c>
      <c r="J207" s="86">
        <v>0.63200000000000001</v>
      </c>
      <c r="K207" s="83">
        <v>282</v>
      </c>
      <c r="L207" s="83">
        <v>11.8</v>
      </c>
      <c r="M207" s="83">
        <v>5</v>
      </c>
      <c r="N207" s="83">
        <v>15</v>
      </c>
      <c r="O207" s="83">
        <v>34</v>
      </c>
      <c r="P207" s="83">
        <v>7.4</v>
      </c>
      <c r="Q207" s="83">
        <v>1.5</v>
      </c>
      <c r="R207" s="83">
        <v>17.600000000000001</v>
      </c>
      <c r="S207" s="83">
        <v>1</v>
      </c>
    </row>
    <row r="208" spans="1:19" ht="16" x14ac:dyDescent="0.2">
      <c r="A208" s="89">
        <v>200</v>
      </c>
      <c r="B208" s="84" t="s">
        <v>412</v>
      </c>
      <c r="C208" s="84" t="s">
        <v>1052</v>
      </c>
      <c r="D208" s="83">
        <v>29</v>
      </c>
      <c r="E208" s="83" t="s">
        <v>88</v>
      </c>
      <c r="F208" s="83">
        <v>7</v>
      </c>
      <c r="G208" s="83">
        <v>6</v>
      </c>
      <c r="H208" s="83">
        <v>34</v>
      </c>
      <c r="I208" s="83">
        <v>24</v>
      </c>
      <c r="J208" s="86">
        <v>0.70599999999999996</v>
      </c>
      <c r="K208" s="83">
        <v>244</v>
      </c>
      <c r="L208" s="83">
        <v>10.199999999999999</v>
      </c>
      <c r="M208" s="83">
        <v>0</v>
      </c>
      <c r="N208" s="83">
        <v>10</v>
      </c>
      <c r="O208" s="83">
        <v>30</v>
      </c>
      <c r="P208" s="83">
        <v>7.2</v>
      </c>
      <c r="Q208" s="83">
        <v>3.4</v>
      </c>
      <c r="R208" s="83">
        <v>34.9</v>
      </c>
      <c r="S208" s="83">
        <v>0</v>
      </c>
    </row>
    <row r="209" spans="1:19" ht="16" x14ac:dyDescent="0.2">
      <c r="A209" s="89">
        <v>201</v>
      </c>
      <c r="B209" s="84" t="s">
        <v>1869</v>
      </c>
      <c r="C209" s="84" t="s">
        <v>933</v>
      </c>
      <c r="D209" s="83">
        <v>22</v>
      </c>
      <c r="E209" s="83" t="s">
        <v>83</v>
      </c>
      <c r="F209" s="83">
        <v>7</v>
      </c>
      <c r="G209" s="83">
        <v>7</v>
      </c>
      <c r="H209" s="83">
        <v>36</v>
      </c>
      <c r="I209" s="83">
        <v>24</v>
      </c>
      <c r="J209" s="86">
        <v>0.66700000000000004</v>
      </c>
      <c r="K209" s="83">
        <v>469</v>
      </c>
      <c r="L209" s="83">
        <v>19.5</v>
      </c>
      <c r="M209" s="83">
        <v>2</v>
      </c>
      <c r="N209" s="83">
        <v>16</v>
      </c>
      <c r="O209" s="83">
        <v>61</v>
      </c>
      <c r="P209" s="83">
        <v>13</v>
      </c>
      <c r="Q209" s="83">
        <v>3.4</v>
      </c>
      <c r="R209" s="83">
        <v>67</v>
      </c>
      <c r="S209" s="83">
        <v>0</v>
      </c>
    </row>
    <row r="210" spans="1:19" ht="16" x14ac:dyDescent="0.2">
      <c r="A210" s="89">
        <v>202</v>
      </c>
      <c r="B210" s="84" t="s">
        <v>334</v>
      </c>
      <c r="C210" s="84" t="s">
        <v>99</v>
      </c>
      <c r="D210" s="83">
        <v>25</v>
      </c>
      <c r="E210" s="83" t="s">
        <v>83</v>
      </c>
      <c r="F210" s="83">
        <v>15</v>
      </c>
      <c r="G210" s="83">
        <v>2</v>
      </c>
      <c r="H210" s="83">
        <v>44</v>
      </c>
      <c r="I210" s="83">
        <v>24</v>
      </c>
      <c r="J210" s="86">
        <v>0.54500000000000004</v>
      </c>
      <c r="K210" s="83">
        <v>285</v>
      </c>
      <c r="L210" s="83">
        <v>11.9</v>
      </c>
      <c r="M210" s="83">
        <v>2</v>
      </c>
      <c r="N210" s="83">
        <v>9</v>
      </c>
      <c r="O210" s="83">
        <v>42</v>
      </c>
      <c r="P210" s="83">
        <v>6.5</v>
      </c>
      <c r="Q210" s="83">
        <v>1.6</v>
      </c>
      <c r="R210" s="83">
        <v>19</v>
      </c>
      <c r="S210" s="83">
        <v>0</v>
      </c>
    </row>
    <row r="211" spans="1:19" ht="16" x14ac:dyDescent="0.2">
      <c r="A211" s="89">
        <v>203</v>
      </c>
      <c r="B211" s="84" t="s">
        <v>1696</v>
      </c>
      <c r="C211" s="84" t="s">
        <v>976</v>
      </c>
      <c r="D211" s="83">
        <v>30</v>
      </c>
      <c r="E211" s="83" t="s">
        <v>68</v>
      </c>
      <c r="F211" s="83">
        <v>12</v>
      </c>
      <c r="G211" s="83">
        <v>0</v>
      </c>
      <c r="H211" s="83">
        <v>29</v>
      </c>
      <c r="I211" s="83">
        <v>23</v>
      </c>
      <c r="J211" s="86">
        <v>0.79300000000000004</v>
      </c>
      <c r="K211" s="83">
        <v>123</v>
      </c>
      <c r="L211" s="83">
        <v>5.3</v>
      </c>
      <c r="M211" s="83">
        <v>3</v>
      </c>
      <c r="N211" s="83">
        <v>8</v>
      </c>
      <c r="O211" s="83">
        <v>32</v>
      </c>
      <c r="P211" s="83">
        <v>4.2</v>
      </c>
      <c r="Q211" s="83">
        <v>1.9</v>
      </c>
      <c r="R211" s="83">
        <v>10.3</v>
      </c>
      <c r="S211" s="83">
        <v>1</v>
      </c>
    </row>
    <row r="212" spans="1:19" ht="16" x14ac:dyDescent="0.2">
      <c r="A212" s="89">
        <v>204</v>
      </c>
      <c r="B212" s="84" t="s">
        <v>624</v>
      </c>
      <c r="C212" s="84" t="s">
        <v>122</v>
      </c>
      <c r="D212" s="83">
        <v>27</v>
      </c>
      <c r="E212" s="83" t="s">
        <v>88</v>
      </c>
      <c r="F212" s="83">
        <v>15</v>
      </c>
      <c r="G212" s="83">
        <v>12</v>
      </c>
      <c r="H212" s="83">
        <v>34</v>
      </c>
      <c r="I212" s="83">
        <v>23</v>
      </c>
      <c r="J212" s="86">
        <v>0.67600000000000005</v>
      </c>
      <c r="K212" s="83">
        <v>171</v>
      </c>
      <c r="L212" s="83">
        <v>7.4</v>
      </c>
      <c r="M212" s="83">
        <v>0</v>
      </c>
      <c r="N212" s="83">
        <v>6</v>
      </c>
      <c r="O212" s="83">
        <v>29</v>
      </c>
      <c r="P212" s="83">
        <v>5</v>
      </c>
      <c r="Q212" s="83">
        <v>1.5</v>
      </c>
      <c r="R212" s="83">
        <v>11.4</v>
      </c>
      <c r="S212" s="83">
        <v>1</v>
      </c>
    </row>
    <row r="213" spans="1:19" ht="16" x14ac:dyDescent="0.2">
      <c r="A213" s="89">
        <v>205</v>
      </c>
      <c r="B213" s="84" t="s">
        <v>1558</v>
      </c>
      <c r="C213" s="84" t="s">
        <v>1087</v>
      </c>
      <c r="D213" s="83">
        <v>25</v>
      </c>
      <c r="E213" s="83" t="s">
        <v>68</v>
      </c>
      <c r="F213" s="83">
        <v>11</v>
      </c>
      <c r="G213" s="83">
        <v>0</v>
      </c>
      <c r="H213" s="83">
        <v>29</v>
      </c>
      <c r="I213" s="83">
        <v>23</v>
      </c>
      <c r="J213" s="86">
        <v>0.79300000000000004</v>
      </c>
      <c r="K213" s="83">
        <v>157</v>
      </c>
      <c r="L213" s="83">
        <v>6.8</v>
      </c>
      <c r="M213" s="83">
        <v>0</v>
      </c>
      <c r="N213" s="83">
        <v>7</v>
      </c>
      <c r="O213" s="83">
        <v>23</v>
      </c>
      <c r="P213" s="83">
        <v>5.4</v>
      </c>
      <c r="Q213" s="83">
        <v>2.1</v>
      </c>
      <c r="R213" s="83">
        <v>14.3</v>
      </c>
      <c r="S213" s="83">
        <v>2</v>
      </c>
    </row>
    <row r="214" spans="1:19" ht="16" x14ac:dyDescent="0.2">
      <c r="A214" s="89">
        <v>206</v>
      </c>
      <c r="B214" s="84" t="s">
        <v>256</v>
      </c>
      <c r="C214" s="84" t="s">
        <v>107</v>
      </c>
      <c r="D214" s="83">
        <v>32</v>
      </c>
      <c r="E214" s="83" t="s">
        <v>83</v>
      </c>
      <c r="F214" s="83">
        <v>10</v>
      </c>
      <c r="G214" s="83">
        <v>9</v>
      </c>
      <c r="H214" s="83">
        <v>37</v>
      </c>
      <c r="I214" s="83">
        <v>23</v>
      </c>
      <c r="J214" s="86">
        <v>0.622</v>
      </c>
      <c r="K214" s="83">
        <v>331</v>
      </c>
      <c r="L214" s="83">
        <v>14.4</v>
      </c>
      <c r="M214" s="83">
        <v>3</v>
      </c>
      <c r="N214" s="83">
        <v>15</v>
      </c>
      <c r="O214" s="83">
        <v>52</v>
      </c>
      <c r="P214" s="83">
        <v>8.9</v>
      </c>
      <c r="Q214" s="83">
        <v>2.2999999999999998</v>
      </c>
      <c r="R214" s="83">
        <v>33.1</v>
      </c>
      <c r="S214" s="83">
        <v>0</v>
      </c>
    </row>
    <row r="215" spans="1:19" ht="16" x14ac:dyDescent="0.2">
      <c r="A215" s="89">
        <v>207</v>
      </c>
      <c r="B215" s="84" t="s">
        <v>622</v>
      </c>
      <c r="C215" s="84" t="s">
        <v>1267</v>
      </c>
      <c r="D215" s="83">
        <v>37</v>
      </c>
      <c r="E215" s="83" t="s">
        <v>88</v>
      </c>
      <c r="F215" s="83">
        <v>17</v>
      </c>
      <c r="G215" s="83">
        <v>17</v>
      </c>
      <c r="H215" s="83">
        <v>28</v>
      </c>
      <c r="I215" s="83">
        <v>23</v>
      </c>
      <c r="J215" s="86">
        <v>0.82099999999999995</v>
      </c>
      <c r="K215" s="83">
        <v>214</v>
      </c>
      <c r="L215" s="83">
        <v>9.3000000000000007</v>
      </c>
      <c r="M215" s="83">
        <v>0</v>
      </c>
      <c r="N215" s="83">
        <v>10</v>
      </c>
      <c r="O215" s="83">
        <v>23</v>
      </c>
      <c r="P215" s="83">
        <v>7.6</v>
      </c>
      <c r="Q215" s="83">
        <v>1.4</v>
      </c>
      <c r="R215" s="83">
        <v>12.6</v>
      </c>
      <c r="S215" s="83">
        <v>1</v>
      </c>
    </row>
    <row r="216" spans="1:19" ht="16" x14ac:dyDescent="0.2">
      <c r="A216" s="89">
        <v>208</v>
      </c>
      <c r="B216" s="84" t="s">
        <v>270</v>
      </c>
      <c r="C216" s="84" t="s">
        <v>98</v>
      </c>
      <c r="D216" s="83">
        <v>24</v>
      </c>
      <c r="E216" s="83" t="s">
        <v>68</v>
      </c>
      <c r="F216" s="83">
        <v>13</v>
      </c>
      <c r="G216" s="83">
        <v>0</v>
      </c>
      <c r="H216" s="83">
        <v>32</v>
      </c>
      <c r="I216" s="83">
        <v>23</v>
      </c>
      <c r="J216" s="86">
        <v>0.71899999999999997</v>
      </c>
      <c r="K216" s="83">
        <v>197</v>
      </c>
      <c r="L216" s="83">
        <v>8.6</v>
      </c>
      <c r="M216" s="83">
        <v>1</v>
      </c>
      <c r="N216" s="83">
        <v>12</v>
      </c>
      <c r="O216" s="83">
        <v>24</v>
      </c>
      <c r="P216" s="83">
        <v>6.2</v>
      </c>
      <c r="Q216" s="83">
        <v>1.8</v>
      </c>
      <c r="R216" s="83">
        <v>15.2</v>
      </c>
      <c r="S216" s="83">
        <v>2</v>
      </c>
    </row>
    <row r="217" spans="1:19" ht="16" x14ac:dyDescent="0.2">
      <c r="A217" s="89">
        <v>209</v>
      </c>
      <c r="B217" s="84" t="s">
        <v>307</v>
      </c>
      <c r="C217" s="84" t="s">
        <v>122</v>
      </c>
      <c r="D217" s="83">
        <v>29</v>
      </c>
      <c r="E217" s="83" t="s">
        <v>83</v>
      </c>
      <c r="F217" s="83">
        <v>16</v>
      </c>
      <c r="G217" s="83">
        <v>10</v>
      </c>
      <c r="H217" s="83">
        <v>37</v>
      </c>
      <c r="I217" s="83">
        <v>22</v>
      </c>
      <c r="J217" s="86">
        <v>0.59499999999999997</v>
      </c>
      <c r="K217" s="83">
        <v>323</v>
      </c>
      <c r="L217" s="83">
        <v>14.7</v>
      </c>
      <c r="M217" s="83">
        <v>2</v>
      </c>
      <c r="N217" s="83">
        <v>15</v>
      </c>
      <c r="O217" s="83">
        <v>41</v>
      </c>
      <c r="P217" s="83">
        <v>8.6999999999999993</v>
      </c>
      <c r="Q217" s="83">
        <v>1.4</v>
      </c>
      <c r="R217" s="83">
        <v>20.2</v>
      </c>
      <c r="S217" s="83">
        <v>1</v>
      </c>
    </row>
    <row r="218" spans="1:19" x14ac:dyDescent="0.2">
      <c r="A218" s="89" t="s">
        <v>902</v>
      </c>
      <c r="B218" s="89" t="s">
        <v>903</v>
      </c>
      <c r="C218" s="89" t="s">
        <v>1314</v>
      </c>
      <c r="D218" s="89" t="s">
        <v>905</v>
      </c>
      <c r="E218" s="89" t="s">
        <v>906</v>
      </c>
      <c r="F218" s="89" t="s">
        <v>1315</v>
      </c>
      <c r="G218" s="89" t="s">
        <v>1316</v>
      </c>
      <c r="H218" s="89" t="s">
        <v>2314</v>
      </c>
      <c r="I218" s="89" t="s">
        <v>2092</v>
      </c>
      <c r="J218" s="89" t="s">
        <v>2093</v>
      </c>
      <c r="K218" s="89" t="s">
        <v>799</v>
      </c>
      <c r="L218" s="89" t="s">
        <v>2315</v>
      </c>
      <c r="M218" s="89" t="s">
        <v>800</v>
      </c>
      <c r="N218" s="89" t="s">
        <v>1321</v>
      </c>
      <c r="O218" s="89" t="s">
        <v>917</v>
      </c>
      <c r="P218" s="89" t="s">
        <v>2316</v>
      </c>
      <c r="Q218" s="89" t="s">
        <v>2317</v>
      </c>
      <c r="R218" s="89" t="s">
        <v>1325</v>
      </c>
      <c r="S218" s="89" t="s">
        <v>1416</v>
      </c>
    </row>
    <row r="219" spans="1:19" ht="16" x14ac:dyDescent="0.2">
      <c r="A219" s="89">
        <v>210</v>
      </c>
      <c r="B219" s="84" t="s">
        <v>213</v>
      </c>
      <c r="C219" s="84" t="s">
        <v>82</v>
      </c>
      <c r="D219" s="83">
        <v>26</v>
      </c>
      <c r="E219" s="83" t="s">
        <v>68</v>
      </c>
      <c r="F219" s="83">
        <v>8</v>
      </c>
      <c r="G219" s="83">
        <v>1</v>
      </c>
      <c r="H219" s="83">
        <v>27</v>
      </c>
      <c r="I219" s="83">
        <v>22</v>
      </c>
      <c r="J219" s="86">
        <v>0.81499999999999995</v>
      </c>
      <c r="K219" s="83">
        <v>174</v>
      </c>
      <c r="L219" s="83">
        <v>7.9</v>
      </c>
      <c r="M219" s="83">
        <v>0</v>
      </c>
      <c r="N219" s="83">
        <v>10</v>
      </c>
      <c r="O219" s="83">
        <v>23</v>
      </c>
      <c r="P219" s="83">
        <v>6.4</v>
      </c>
      <c r="Q219" s="83">
        <v>2.8</v>
      </c>
      <c r="R219" s="83">
        <v>21.8</v>
      </c>
      <c r="S219" s="83">
        <v>0</v>
      </c>
    </row>
    <row r="220" spans="1:19" ht="16" x14ac:dyDescent="0.2">
      <c r="A220" s="89">
        <v>211</v>
      </c>
      <c r="B220" s="84" t="s">
        <v>362</v>
      </c>
      <c r="C220" s="84" t="s">
        <v>118</v>
      </c>
      <c r="D220" s="83">
        <v>25</v>
      </c>
      <c r="E220" s="83" t="s">
        <v>68</v>
      </c>
      <c r="F220" s="83">
        <v>14</v>
      </c>
      <c r="G220" s="83">
        <v>2</v>
      </c>
      <c r="H220" s="83">
        <v>25</v>
      </c>
      <c r="I220" s="83">
        <v>22</v>
      </c>
      <c r="J220" s="86">
        <v>0.88</v>
      </c>
      <c r="K220" s="83">
        <v>178</v>
      </c>
      <c r="L220" s="83">
        <v>8.1</v>
      </c>
      <c r="M220" s="83">
        <v>0</v>
      </c>
      <c r="N220" s="83">
        <v>8</v>
      </c>
      <c r="O220" s="83">
        <v>25</v>
      </c>
      <c r="P220" s="83">
        <v>7.1</v>
      </c>
      <c r="Q220" s="83">
        <v>1.6</v>
      </c>
      <c r="R220" s="83">
        <v>12.7</v>
      </c>
      <c r="S220" s="83">
        <v>1</v>
      </c>
    </row>
    <row r="221" spans="1:19" ht="16" x14ac:dyDescent="0.2">
      <c r="A221" s="89">
        <v>212</v>
      </c>
      <c r="B221" s="84" t="s">
        <v>375</v>
      </c>
      <c r="C221" s="84" t="s">
        <v>82</v>
      </c>
      <c r="D221" s="83">
        <v>23</v>
      </c>
      <c r="E221" s="83" t="s">
        <v>88</v>
      </c>
      <c r="F221" s="83">
        <v>16</v>
      </c>
      <c r="G221" s="83">
        <v>3</v>
      </c>
      <c r="H221" s="83">
        <v>28</v>
      </c>
      <c r="I221" s="83">
        <v>21</v>
      </c>
      <c r="J221" s="86">
        <v>0.75</v>
      </c>
      <c r="K221" s="83">
        <v>233</v>
      </c>
      <c r="L221" s="83">
        <v>11.1</v>
      </c>
      <c r="M221" s="83">
        <v>3</v>
      </c>
      <c r="N221" s="83">
        <v>14</v>
      </c>
      <c r="O221" s="83">
        <v>41</v>
      </c>
      <c r="P221" s="83">
        <v>8.3000000000000007</v>
      </c>
      <c r="Q221" s="83">
        <v>1.3</v>
      </c>
      <c r="R221" s="83">
        <v>14.6</v>
      </c>
      <c r="S221" s="83">
        <v>0</v>
      </c>
    </row>
    <row r="222" spans="1:19" ht="16" x14ac:dyDescent="0.2">
      <c r="A222" s="89">
        <v>213</v>
      </c>
      <c r="B222" s="84" t="s">
        <v>428</v>
      </c>
      <c r="C222" s="84" t="s">
        <v>108</v>
      </c>
      <c r="D222" s="83">
        <v>23</v>
      </c>
      <c r="E222" s="83" t="s">
        <v>68</v>
      </c>
      <c r="F222" s="83">
        <v>17</v>
      </c>
      <c r="G222" s="83">
        <v>0</v>
      </c>
      <c r="H222" s="83">
        <v>23</v>
      </c>
      <c r="I222" s="83">
        <v>21</v>
      </c>
      <c r="J222" s="86">
        <v>0.91300000000000003</v>
      </c>
      <c r="K222" s="83">
        <v>133</v>
      </c>
      <c r="L222" s="83">
        <v>6.3</v>
      </c>
      <c r="M222" s="83">
        <v>0</v>
      </c>
      <c r="N222" s="83">
        <v>4</v>
      </c>
      <c r="O222" s="83">
        <v>29</v>
      </c>
      <c r="P222" s="83">
        <v>5.8</v>
      </c>
      <c r="Q222" s="83">
        <v>1.2</v>
      </c>
      <c r="R222" s="83">
        <v>7.8</v>
      </c>
      <c r="S222" s="83">
        <v>1</v>
      </c>
    </row>
    <row r="223" spans="1:19" ht="16" x14ac:dyDescent="0.2">
      <c r="A223" s="89">
        <v>214</v>
      </c>
      <c r="B223" s="84" t="s">
        <v>618</v>
      </c>
      <c r="C223" s="84" t="s">
        <v>108</v>
      </c>
      <c r="D223" s="83">
        <v>25</v>
      </c>
      <c r="E223" s="83" t="s">
        <v>88</v>
      </c>
      <c r="F223" s="83">
        <v>15</v>
      </c>
      <c r="G223" s="83">
        <v>14</v>
      </c>
      <c r="H223" s="83">
        <v>26</v>
      </c>
      <c r="I223" s="83">
        <v>21</v>
      </c>
      <c r="J223" s="86">
        <v>0.80800000000000005</v>
      </c>
      <c r="K223" s="83">
        <v>231</v>
      </c>
      <c r="L223" s="83">
        <v>11</v>
      </c>
      <c r="M223" s="83">
        <v>1</v>
      </c>
      <c r="N223" s="83">
        <v>11</v>
      </c>
      <c r="O223" s="83">
        <v>39</v>
      </c>
      <c r="P223" s="83">
        <v>8.9</v>
      </c>
      <c r="Q223" s="83">
        <v>1.4</v>
      </c>
      <c r="R223" s="83">
        <v>15.4</v>
      </c>
      <c r="S223" s="83">
        <v>1</v>
      </c>
    </row>
    <row r="224" spans="1:19" ht="16" x14ac:dyDescent="0.2">
      <c r="A224" s="89">
        <v>215</v>
      </c>
      <c r="B224" s="84" t="s">
        <v>1571</v>
      </c>
      <c r="C224" s="84" t="s">
        <v>730</v>
      </c>
      <c r="D224" s="83">
        <v>26</v>
      </c>
      <c r="E224" s="83" t="s">
        <v>68</v>
      </c>
      <c r="F224" s="83">
        <v>17</v>
      </c>
      <c r="G224" s="83">
        <v>7</v>
      </c>
      <c r="H224" s="83">
        <v>33</v>
      </c>
      <c r="I224" s="83">
        <v>21</v>
      </c>
      <c r="J224" s="86">
        <v>0.63600000000000001</v>
      </c>
      <c r="K224" s="83">
        <v>128</v>
      </c>
      <c r="L224" s="83">
        <v>6.1</v>
      </c>
      <c r="M224" s="83">
        <v>1</v>
      </c>
      <c r="N224" s="83">
        <v>6</v>
      </c>
      <c r="O224" s="83">
        <v>24</v>
      </c>
      <c r="P224" s="83">
        <v>3.9</v>
      </c>
      <c r="Q224" s="83">
        <v>1.2</v>
      </c>
      <c r="R224" s="83">
        <v>7.5</v>
      </c>
      <c r="S224" s="83">
        <v>1</v>
      </c>
    </row>
    <row r="225" spans="1:19" ht="16" x14ac:dyDescent="0.2">
      <c r="A225" s="89">
        <v>216</v>
      </c>
      <c r="B225" s="84" t="s">
        <v>451</v>
      </c>
      <c r="C225" s="84" t="s">
        <v>122</v>
      </c>
      <c r="D225" s="83">
        <v>28</v>
      </c>
      <c r="E225" s="83" t="s">
        <v>83</v>
      </c>
      <c r="F225" s="83">
        <v>12</v>
      </c>
      <c r="G225" s="83">
        <v>1</v>
      </c>
      <c r="H225" s="83">
        <v>22</v>
      </c>
      <c r="I225" s="83">
        <v>21</v>
      </c>
      <c r="J225" s="86">
        <v>0.95499999999999996</v>
      </c>
      <c r="K225" s="83">
        <v>227</v>
      </c>
      <c r="L225" s="83">
        <v>10.8</v>
      </c>
      <c r="M225" s="83">
        <v>2</v>
      </c>
      <c r="N225" s="83">
        <v>6</v>
      </c>
      <c r="O225" s="83">
        <v>67</v>
      </c>
      <c r="P225" s="83">
        <v>10.3</v>
      </c>
      <c r="Q225" s="83">
        <v>1.8</v>
      </c>
      <c r="R225" s="83">
        <v>18.899999999999999</v>
      </c>
      <c r="S225" s="83">
        <v>0</v>
      </c>
    </row>
    <row r="226" spans="1:19" ht="16" x14ac:dyDescent="0.2">
      <c r="A226" s="89">
        <v>217</v>
      </c>
      <c r="B226" s="84" t="s">
        <v>2360</v>
      </c>
      <c r="C226" s="84" t="s">
        <v>119</v>
      </c>
      <c r="D226" s="83">
        <v>24</v>
      </c>
      <c r="E226" s="83" t="s">
        <v>88</v>
      </c>
      <c r="F226" s="83">
        <v>17</v>
      </c>
      <c r="G226" s="83">
        <v>8</v>
      </c>
      <c r="H226" s="83">
        <v>25</v>
      </c>
      <c r="I226" s="83">
        <v>20</v>
      </c>
      <c r="J226" s="86">
        <v>0.8</v>
      </c>
      <c r="K226" s="83">
        <v>249</v>
      </c>
      <c r="L226" s="83">
        <v>12.5</v>
      </c>
      <c r="M226" s="83">
        <v>1</v>
      </c>
      <c r="N226" s="83">
        <v>11</v>
      </c>
      <c r="O226" s="83">
        <v>32</v>
      </c>
      <c r="P226" s="83">
        <v>10</v>
      </c>
      <c r="Q226" s="83">
        <v>1.2</v>
      </c>
      <c r="R226" s="83">
        <v>14.6</v>
      </c>
      <c r="S226" s="83">
        <v>1</v>
      </c>
    </row>
    <row r="227" spans="1:19" ht="16" x14ac:dyDescent="0.2">
      <c r="A227" s="89">
        <v>218</v>
      </c>
      <c r="B227" s="84" t="s">
        <v>1627</v>
      </c>
      <c r="C227" s="84" t="s">
        <v>82</v>
      </c>
      <c r="D227" s="83">
        <v>26</v>
      </c>
      <c r="E227" s="83" t="s">
        <v>68</v>
      </c>
      <c r="F227" s="83">
        <v>14</v>
      </c>
      <c r="G227" s="83">
        <v>14</v>
      </c>
      <c r="H227" s="83">
        <v>25</v>
      </c>
      <c r="I227" s="83">
        <v>20</v>
      </c>
      <c r="J227" s="86">
        <v>0.8</v>
      </c>
      <c r="K227" s="83">
        <v>174</v>
      </c>
      <c r="L227" s="83">
        <v>8.6999999999999993</v>
      </c>
      <c r="M227" s="83">
        <v>1</v>
      </c>
      <c r="N227" s="83">
        <v>9</v>
      </c>
      <c r="O227" s="83">
        <v>40</v>
      </c>
      <c r="P227" s="83">
        <v>7</v>
      </c>
      <c r="Q227" s="83">
        <v>1.4</v>
      </c>
      <c r="R227" s="83">
        <v>12.4</v>
      </c>
      <c r="S227" s="83">
        <v>2</v>
      </c>
    </row>
    <row r="228" spans="1:19" ht="16" x14ac:dyDescent="0.2">
      <c r="A228" s="89">
        <v>219</v>
      </c>
      <c r="B228" s="84" t="s">
        <v>1556</v>
      </c>
      <c r="C228" s="84" t="s">
        <v>727</v>
      </c>
      <c r="D228" s="83">
        <v>31</v>
      </c>
      <c r="E228" s="83" t="s">
        <v>83</v>
      </c>
      <c r="F228" s="83">
        <v>14</v>
      </c>
      <c r="G228" s="83">
        <v>2</v>
      </c>
      <c r="H228" s="83">
        <v>40</v>
      </c>
      <c r="I228" s="83">
        <v>20</v>
      </c>
      <c r="J228" s="86">
        <v>0.5</v>
      </c>
      <c r="K228" s="83">
        <v>313</v>
      </c>
      <c r="L228" s="83">
        <v>15.7</v>
      </c>
      <c r="M228" s="83">
        <v>1</v>
      </c>
      <c r="N228" s="83">
        <v>12</v>
      </c>
      <c r="O228" s="83">
        <v>50</v>
      </c>
      <c r="P228" s="83">
        <v>7.8</v>
      </c>
      <c r="Q228" s="83">
        <v>1.4</v>
      </c>
      <c r="R228" s="83">
        <v>22.4</v>
      </c>
      <c r="S228" s="83">
        <v>1</v>
      </c>
    </row>
    <row r="229" spans="1:19" ht="16" x14ac:dyDescent="0.2">
      <c r="A229" s="89">
        <v>220</v>
      </c>
      <c r="B229" s="84" t="s">
        <v>2031</v>
      </c>
      <c r="C229" s="83" t="s">
        <v>1726</v>
      </c>
      <c r="D229" s="83">
        <v>35</v>
      </c>
      <c r="E229" s="83" t="s">
        <v>83</v>
      </c>
      <c r="F229" s="83">
        <v>16</v>
      </c>
      <c r="G229" s="83">
        <v>4</v>
      </c>
      <c r="H229" s="83">
        <v>34</v>
      </c>
      <c r="I229" s="83">
        <v>20</v>
      </c>
      <c r="J229" s="86">
        <v>0.58799999999999997</v>
      </c>
      <c r="K229" s="83">
        <v>454</v>
      </c>
      <c r="L229" s="83">
        <v>22.7</v>
      </c>
      <c r="M229" s="83">
        <v>2</v>
      </c>
      <c r="N229" s="83">
        <v>12</v>
      </c>
      <c r="O229" s="83">
        <v>75</v>
      </c>
      <c r="P229" s="83">
        <v>13.4</v>
      </c>
      <c r="Q229" s="83">
        <v>1.3</v>
      </c>
      <c r="R229" s="83">
        <v>28.4</v>
      </c>
      <c r="S229" s="83">
        <v>1</v>
      </c>
    </row>
    <row r="230" spans="1:19" ht="16" x14ac:dyDescent="0.2">
      <c r="A230" s="89">
        <v>221</v>
      </c>
      <c r="B230" s="84" t="s">
        <v>637</v>
      </c>
      <c r="C230" s="84" t="s">
        <v>122</v>
      </c>
      <c r="D230" s="83">
        <v>21</v>
      </c>
      <c r="E230" s="83" t="s">
        <v>88</v>
      </c>
      <c r="F230" s="83">
        <v>9</v>
      </c>
      <c r="G230" s="83">
        <v>2</v>
      </c>
      <c r="H230" s="83">
        <v>28</v>
      </c>
      <c r="I230" s="83">
        <v>20</v>
      </c>
      <c r="J230" s="86">
        <v>0.71399999999999997</v>
      </c>
      <c r="K230" s="83">
        <v>178</v>
      </c>
      <c r="L230" s="83">
        <v>8.9</v>
      </c>
      <c r="M230" s="83">
        <v>3</v>
      </c>
      <c r="N230" s="83">
        <v>10</v>
      </c>
      <c r="O230" s="83">
        <v>27</v>
      </c>
      <c r="P230" s="83">
        <v>6.4</v>
      </c>
      <c r="Q230" s="83">
        <v>2.2000000000000002</v>
      </c>
      <c r="R230" s="83">
        <v>19.8</v>
      </c>
      <c r="S230" s="83">
        <v>0</v>
      </c>
    </row>
    <row r="231" spans="1:19" ht="16" x14ac:dyDescent="0.2">
      <c r="A231" s="89">
        <v>222</v>
      </c>
      <c r="B231" s="84" t="s">
        <v>402</v>
      </c>
      <c r="C231" s="84" t="s">
        <v>98</v>
      </c>
      <c r="D231" s="83">
        <v>26</v>
      </c>
      <c r="E231" s="83" t="s">
        <v>83</v>
      </c>
      <c r="F231" s="83">
        <v>15</v>
      </c>
      <c r="G231" s="83">
        <v>2</v>
      </c>
      <c r="H231" s="83">
        <v>26</v>
      </c>
      <c r="I231" s="83">
        <v>20</v>
      </c>
      <c r="J231" s="86">
        <v>0.76900000000000002</v>
      </c>
      <c r="K231" s="83">
        <v>178</v>
      </c>
      <c r="L231" s="83">
        <v>8.9</v>
      </c>
      <c r="M231" s="83">
        <v>1</v>
      </c>
      <c r="N231" s="83">
        <v>13</v>
      </c>
      <c r="O231" s="83">
        <v>28</v>
      </c>
      <c r="P231" s="83">
        <v>6.8</v>
      </c>
      <c r="Q231" s="83">
        <v>1.3</v>
      </c>
      <c r="R231" s="83">
        <v>11.9</v>
      </c>
      <c r="S231" s="83">
        <v>2</v>
      </c>
    </row>
    <row r="232" spans="1:19" ht="16" x14ac:dyDescent="0.2">
      <c r="A232" s="89">
        <v>223</v>
      </c>
      <c r="B232" s="84" t="s">
        <v>2129</v>
      </c>
      <c r="C232" s="84" t="s">
        <v>118</v>
      </c>
      <c r="D232" s="83">
        <v>24</v>
      </c>
      <c r="E232" s="83" t="s">
        <v>88</v>
      </c>
      <c r="F232" s="83">
        <v>14</v>
      </c>
      <c r="G232" s="83">
        <v>9</v>
      </c>
      <c r="H232" s="83">
        <v>27</v>
      </c>
      <c r="I232" s="83">
        <v>20</v>
      </c>
      <c r="J232" s="86">
        <v>0.74099999999999999</v>
      </c>
      <c r="K232" s="83">
        <v>190</v>
      </c>
      <c r="L232" s="83">
        <v>9.5</v>
      </c>
      <c r="M232" s="83">
        <v>3</v>
      </c>
      <c r="N232" s="83">
        <v>13</v>
      </c>
      <c r="O232" s="83">
        <v>22</v>
      </c>
      <c r="P232" s="83">
        <v>7</v>
      </c>
      <c r="Q232" s="83">
        <v>1.4</v>
      </c>
      <c r="R232" s="83">
        <v>13.6</v>
      </c>
      <c r="S232" s="83">
        <v>0</v>
      </c>
    </row>
    <row r="233" spans="1:19" ht="16" x14ac:dyDescent="0.2">
      <c r="A233" s="89">
        <v>224</v>
      </c>
      <c r="B233" s="84" t="s">
        <v>650</v>
      </c>
      <c r="C233" s="84" t="s">
        <v>70</v>
      </c>
      <c r="D233" s="83">
        <v>21</v>
      </c>
      <c r="E233" s="83" t="s">
        <v>88</v>
      </c>
      <c r="F233" s="83">
        <v>16</v>
      </c>
      <c r="G233" s="83">
        <v>11</v>
      </c>
      <c r="H233" s="83">
        <v>35</v>
      </c>
      <c r="I233" s="83">
        <v>20</v>
      </c>
      <c r="J233" s="86">
        <v>0.57099999999999995</v>
      </c>
      <c r="K233" s="83">
        <v>180</v>
      </c>
      <c r="L233" s="83">
        <v>9</v>
      </c>
      <c r="M233" s="83">
        <v>1</v>
      </c>
      <c r="N233" s="83">
        <v>10</v>
      </c>
      <c r="O233" s="83">
        <v>30</v>
      </c>
      <c r="P233" s="83">
        <v>5.0999999999999996</v>
      </c>
      <c r="Q233" s="83">
        <v>1.3</v>
      </c>
      <c r="R233" s="83">
        <v>11.3</v>
      </c>
      <c r="S233" s="83">
        <v>0</v>
      </c>
    </row>
    <row r="234" spans="1:19" ht="16" x14ac:dyDescent="0.2">
      <c r="A234" s="89">
        <v>225</v>
      </c>
      <c r="B234" s="84" t="s">
        <v>151</v>
      </c>
      <c r="C234" s="84" t="s">
        <v>1040</v>
      </c>
      <c r="D234" s="83">
        <v>22</v>
      </c>
      <c r="E234" s="83" t="s">
        <v>68</v>
      </c>
      <c r="F234" s="83">
        <v>10</v>
      </c>
      <c r="G234" s="83">
        <v>10</v>
      </c>
      <c r="H234" s="83">
        <v>23</v>
      </c>
      <c r="I234" s="83">
        <v>19</v>
      </c>
      <c r="J234" s="86">
        <v>0.82599999999999996</v>
      </c>
      <c r="K234" s="83">
        <v>129</v>
      </c>
      <c r="L234" s="83">
        <v>6.8</v>
      </c>
      <c r="M234" s="83">
        <v>2</v>
      </c>
      <c r="N234" s="83">
        <v>8</v>
      </c>
      <c r="O234" s="83">
        <v>29</v>
      </c>
      <c r="P234" s="83">
        <v>5.6</v>
      </c>
      <c r="Q234" s="83">
        <v>1.9</v>
      </c>
      <c r="R234" s="83">
        <v>12.9</v>
      </c>
      <c r="S234" s="83">
        <v>2</v>
      </c>
    </row>
    <row r="235" spans="1:19" ht="16" x14ac:dyDescent="0.2">
      <c r="A235" s="89">
        <v>226</v>
      </c>
      <c r="B235" s="84" t="s">
        <v>670</v>
      </c>
      <c r="C235" s="84" t="s">
        <v>99</v>
      </c>
      <c r="D235" s="83">
        <v>25</v>
      </c>
      <c r="E235" s="83" t="s">
        <v>88</v>
      </c>
      <c r="F235" s="83">
        <v>17</v>
      </c>
      <c r="G235" s="83">
        <v>12</v>
      </c>
      <c r="H235" s="83">
        <v>25</v>
      </c>
      <c r="I235" s="83">
        <v>19</v>
      </c>
      <c r="J235" s="86">
        <v>0.76</v>
      </c>
      <c r="K235" s="83">
        <v>167</v>
      </c>
      <c r="L235" s="83">
        <v>8.8000000000000007</v>
      </c>
      <c r="M235" s="83">
        <v>0</v>
      </c>
      <c r="N235" s="83">
        <v>11</v>
      </c>
      <c r="O235" s="83">
        <v>25</v>
      </c>
      <c r="P235" s="83">
        <v>6.7</v>
      </c>
      <c r="Q235" s="83">
        <v>1.1000000000000001</v>
      </c>
      <c r="R235" s="83">
        <v>9.8000000000000007</v>
      </c>
      <c r="S235" s="83">
        <v>0</v>
      </c>
    </row>
    <row r="236" spans="1:19" ht="16" x14ac:dyDescent="0.2">
      <c r="A236" s="89">
        <v>227</v>
      </c>
      <c r="B236" s="84" t="s">
        <v>576</v>
      </c>
      <c r="C236" s="84" t="s">
        <v>77</v>
      </c>
      <c r="D236" s="83">
        <v>26</v>
      </c>
      <c r="E236" s="83" t="s">
        <v>68</v>
      </c>
      <c r="F236" s="83">
        <v>8</v>
      </c>
      <c r="G236" s="83">
        <v>5</v>
      </c>
      <c r="H236" s="83">
        <v>26</v>
      </c>
      <c r="I236" s="83">
        <v>19</v>
      </c>
      <c r="J236" s="86">
        <v>0.73099999999999998</v>
      </c>
      <c r="K236" s="83">
        <v>87</v>
      </c>
      <c r="L236" s="83">
        <v>4.5999999999999996</v>
      </c>
      <c r="M236" s="83">
        <v>0</v>
      </c>
      <c r="N236" s="83">
        <v>7</v>
      </c>
      <c r="O236" s="83">
        <v>28</v>
      </c>
      <c r="P236" s="83">
        <v>3.3</v>
      </c>
      <c r="Q236" s="83">
        <v>2.4</v>
      </c>
      <c r="R236" s="83">
        <v>10.9</v>
      </c>
      <c r="S236" s="83">
        <v>2</v>
      </c>
    </row>
    <row r="237" spans="1:19" ht="16" x14ac:dyDescent="0.2">
      <c r="A237" s="89">
        <v>228</v>
      </c>
      <c r="B237" s="84" t="s">
        <v>398</v>
      </c>
      <c r="C237" s="84" t="s">
        <v>82</v>
      </c>
      <c r="D237" s="83">
        <v>25</v>
      </c>
      <c r="E237" s="83" t="s">
        <v>68</v>
      </c>
      <c r="F237" s="83">
        <v>17</v>
      </c>
      <c r="G237" s="83">
        <v>2</v>
      </c>
      <c r="H237" s="83">
        <v>25</v>
      </c>
      <c r="I237" s="83">
        <v>19</v>
      </c>
      <c r="J237" s="86">
        <v>0.76</v>
      </c>
      <c r="K237" s="83">
        <v>137</v>
      </c>
      <c r="L237" s="83">
        <v>7.2</v>
      </c>
      <c r="M237" s="83">
        <v>0</v>
      </c>
      <c r="N237" s="83">
        <v>7</v>
      </c>
      <c r="O237" s="83">
        <v>18</v>
      </c>
      <c r="P237" s="83">
        <v>5.5</v>
      </c>
      <c r="Q237" s="83">
        <v>1.1000000000000001</v>
      </c>
      <c r="R237" s="83">
        <v>8.1</v>
      </c>
      <c r="S237" s="83">
        <v>1</v>
      </c>
    </row>
    <row r="238" spans="1:19" ht="16" x14ac:dyDescent="0.2">
      <c r="A238" s="89">
        <v>229</v>
      </c>
      <c r="B238" s="84" t="s">
        <v>1433</v>
      </c>
      <c r="C238" s="84" t="s">
        <v>1087</v>
      </c>
      <c r="D238" s="83">
        <v>23</v>
      </c>
      <c r="E238" s="83" t="s">
        <v>68</v>
      </c>
      <c r="F238" s="83">
        <v>11</v>
      </c>
      <c r="G238" s="83">
        <v>10</v>
      </c>
      <c r="H238" s="83">
        <v>20</v>
      </c>
      <c r="I238" s="83">
        <v>19</v>
      </c>
      <c r="J238" s="86">
        <v>0.95</v>
      </c>
      <c r="K238" s="83">
        <v>137</v>
      </c>
      <c r="L238" s="83">
        <v>7.2</v>
      </c>
      <c r="M238" s="83">
        <v>1</v>
      </c>
      <c r="N238" s="83">
        <v>6</v>
      </c>
      <c r="O238" s="83">
        <v>14</v>
      </c>
      <c r="P238" s="83">
        <v>6.9</v>
      </c>
      <c r="Q238" s="83">
        <v>1.7</v>
      </c>
      <c r="R238" s="83">
        <v>12.5</v>
      </c>
      <c r="S238" s="83">
        <v>0</v>
      </c>
    </row>
    <row r="239" spans="1:19" ht="16" x14ac:dyDescent="0.2">
      <c r="A239" s="89">
        <v>230</v>
      </c>
      <c r="B239" s="84" t="s">
        <v>461</v>
      </c>
      <c r="C239" s="84" t="s">
        <v>78</v>
      </c>
      <c r="D239" s="83">
        <v>24</v>
      </c>
      <c r="E239" s="83" t="s">
        <v>83</v>
      </c>
      <c r="F239" s="83">
        <v>15</v>
      </c>
      <c r="G239" s="83">
        <v>4</v>
      </c>
      <c r="H239" s="83">
        <v>32</v>
      </c>
      <c r="I239" s="83">
        <v>19</v>
      </c>
      <c r="J239" s="86">
        <v>0.59399999999999997</v>
      </c>
      <c r="K239" s="83">
        <v>208</v>
      </c>
      <c r="L239" s="83">
        <v>10.9</v>
      </c>
      <c r="M239" s="83">
        <v>3</v>
      </c>
      <c r="N239" s="83">
        <v>9</v>
      </c>
      <c r="O239" s="83">
        <v>33</v>
      </c>
      <c r="P239" s="83">
        <v>6.5</v>
      </c>
      <c r="Q239" s="83">
        <v>1.3</v>
      </c>
      <c r="R239" s="83">
        <v>13.9</v>
      </c>
      <c r="S239" s="83">
        <v>0</v>
      </c>
    </row>
    <row r="240" spans="1:19" ht="16" x14ac:dyDescent="0.2">
      <c r="A240" s="89">
        <v>231</v>
      </c>
      <c r="B240" s="84" t="s">
        <v>2277</v>
      </c>
      <c r="C240" s="84" t="s">
        <v>82</v>
      </c>
      <c r="D240" s="83">
        <v>23</v>
      </c>
      <c r="E240" s="83" t="s">
        <v>83</v>
      </c>
      <c r="F240" s="83">
        <v>16</v>
      </c>
      <c r="G240" s="83">
        <v>2</v>
      </c>
      <c r="H240" s="83">
        <v>21</v>
      </c>
      <c r="I240" s="83">
        <v>18</v>
      </c>
      <c r="J240" s="86">
        <v>0.85699999999999998</v>
      </c>
      <c r="K240" s="83">
        <v>181</v>
      </c>
      <c r="L240" s="83">
        <v>10.1</v>
      </c>
      <c r="M240" s="83">
        <v>2</v>
      </c>
      <c r="N240" s="83">
        <v>10</v>
      </c>
      <c r="O240" s="83">
        <v>33</v>
      </c>
      <c r="P240" s="83">
        <v>8.6</v>
      </c>
      <c r="Q240" s="83">
        <v>1.1000000000000001</v>
      </c>
      <c r="R240" s="83">
        <v>11.3</v>
      </c>
      <c r="S240" s="83">
        <v>4</v>
      </c>
    </row>
    <row r="241" spans="1:19" ht="16" x14ac:dyDescent="0.2">
      <c r="A241" s="89">
        <v>232</v>
      </c>
      <c r="B241" s="84" t="s">
        <v>244</v>
      </c>
      <c r="C241" s="84" t="s">
        <v>1122</v>
      </c>
      <c r="D241" s="83">
        <v>24</v>
      </c>
      <c r="E241" s="83" t="s">
        <v>68</v>
      </c>
      <c r="F241" s="83">
        <v>15</v>
      </c>
      <c r="G241" s="83">
        <v>15</v>
      </c>
      <c r="H241" s="83">
        <v>21</v>
      </c>
      <c r="I241" s="83">
        <v>18</v>
      </c>
      <c r="J241" s="86">
        <v>0.85699999999999998</v>
      </c>
      <c r="K241" s="83">
        <v>132</v>
      </c>
      <c r="L241" s="83">
        <v>7.3</v>
      </c>
      <c r="M241" s="83">
        <v>0</v>
      </c>
      <c r="N241" s="83">
        <v>4</v>
      </c>
      <c r="O241" s="83">
        <v>21</v>
      </c>
      <c r="P241" s="83">
        <v>6.3</v>
      </c>
      <c r="Q241" s="83">
        <v>1.2</v>
      </c>
      <c r="R241" s="83">
        <v>8.8000000000000007</v>
      </c>
      <c r="S241" s="83">
        <v>2</v>
      </c>
    </row>
    <row r="242" spans="1:19" ht="16" x14ac:dyDescent="0.2">
      <c r="A242" s="89">
        <v>233</v>
      </c>
      <c r="B242" s="84" t="s">
        <v>76</v>
      </c>
      <c r="C242" s="84" t="s">
        <v>77</v>
      </c>
      <c r="D242" s="83">
        <v>27</v>
      </c>
      <c r="E242" s="83" t="s">
        <v>68</v>
      </c>
      <c r="F242" s="83">
        <v>8</v>
      </c>
      <c r="G242" s="83">
        <v>8</v>
      </c>
      <c r="H242" s="83">
        <v>20</v>
      </c>
      <c r="I242" s="83">
        <v>18</v>
      </c>
      <c r="J242" s="86">
        <v>0.9</v>
      </c>
      <c r="K242" s="83">
        <v>154</v>
      </c>
      <c r="L242" s="83">
        <v>8.6</v>
      </c>
      <c r="M242" s="83">
        <v>0</v>
      </c>
      <c r="N242" s="83">
        <v>7</v>
      </c>
      <c r="O242" s="83">
        <v>16</v>
      </c>
      <c r="P242" s="83">
        <v>7.7</v>
      </c>
      <c r="Q242" s="83">
        <v>2.2999999999999998</v>
      </c>
      <c r="R242" s="83">
        <v>19.3</v>
      </c>
      <c r="S242" s="83">
        <v>1</v>
      </c>
    </row>
    <row r="243" spans="1:19" ht="16" x14ac:dyDescent="0.2">
      <c r="A243" s="89">
        <v>234</v>
      </c>
      <c r="B243" s="84" t="s">
        <v>616</v>
      </c>
      <c r="C243" s="84" t="s">
        <v>70</v>
      </c>
      <c r="D243" s="83">
        <v>25</v>
      </c>
      <c r="E243" s="83" t="s">
        <v>88</v>
      </c>
      <c r="F243" s="83">
        <v>17</v>
      </c>
      <c r="G243" s="83">
        <v>13</v>
      </c>
      <c r="H243" s="83">
        <v>30</v>
      </c>
      <c r="I243" s="83">
        <v>18</v>
      </c>
      <c r="J243" s="86">
        <v>0.6</v>
      </c>
      <c r="K243" s="83">
        <v>188</v>
      </c>
      <c r="L243" s="83">
        <v>10.4</v>
      </c>
      <c r="M243" s="83">
        <v>0</v>
      </c>
      <c r="N243" s="83">
        <v>6</v>
      </c>
      <c r="O243" s="83">
        <v>41</v>
      </c>
      <c r="P243" s="83">
        <v>6.3</v>
      </c>
      <c r="Q243" s="83">
        <v>1.1000000000000001</v>
      </c>
      <c r="R243" s="83">
        <v>11.1</v>
      </c>
      <c r="S243" s="83">
        <v>0</v>
      </c>
    </row>
    <row r="244" spans="1:19" ht="16" x14ac:dyDescent="0.2">
      <c r="A244" s="89">
        <v>235</v>
      </c>
      <c r="B244" s="84" t="s">
        <v>257</v>
      </c>
      <c r="C244" s="84" t="s">
        <v>119</v>
      </c>
      <c r="D244" s="83">
        <v>30</v>
      </c>
      <c r="E244" s="83" t="s">
        <v>88</v>
      </c>
      <c r="F244" s="83">
        <v>6</v>
      </c>
      <c r="G244" s="83">
        <v>6</v>
      </c>
      <c r="H244" s="83">
        <v>25</v>
      </c>
      <c r="I244" s="83">
        <v>18</v>
      </c>
      <c r="J244" s="86">
        <v>0.72</v>
      </c>
      <c r="K244" s="83">
        <v>196</v>
      </c>
      <c r="L244" s="83">
        <v>10.9</v>
      </c>
      <c r="M244" s="83">
        <v>3</v>
      </c>
      <c r="N244" s="83">
        <v>10</v>
      </c>
      <c r="O244" s="83">
        <v>35</v>
      </c>
      <c r="P244" s="83">
        <v>7.8</v>
      </c>
      <c r="Q244" s="83">
        <v>3</v>
      </c>
      <c r="R244" s="83">
        <v>32.700000000000003</v>
      </c>
      <c r="S244" s="83">
        <v>1</v>
      </c>
    </row>
    <row r="245" spans="1:19" ht="16" x14ac:dyDescent="0.2">
      <c r="A245" s="89">
        <v>236</v>
      </c>
      <c r="B245" s="84" t="s">
        <v>272</v>
      </c>
      <c r="C245" s="84" t="s">
        <v>1267</v>
      </c>
      <c r="D245" s="83">
        <v>27</v>
      </c>
      <c r="E245" s="83" t="s">
        <v>88</v>
      </c>
      <c r="F245" s="83">
        <v>8</v>
      </c>
      <c r="G245" s="83">
        <v>5</v>
      </c>
      <c r="H245" s="83">
        <v>29</v>
      </c>
      <c r="I245" s="83">
        <v>18</v>
      </c>
      <c r="J245" s="86">
        <v>0.621</v>
      </c>
      <c r="K245" s="83">
        <v>204</v>
      </c>
      <c r="L245" s="83">
        <v>11.3</v>
      </c>
      <c r="M245" s="83">
        <v>2</v>
      </c>
      <c r="N245" s="83">
        <v>10</v>
      </c>
      <c r="O245" s="83">
        <v>33</v>
      </c>
      <c r="P245" s="83">
        <v>7</v>
      </c>
      <c r="Q245" s="83">
        <v>2.2999999999999998</v>
      </c>
      <c r="R245" s="83">
        <v>25.5</v>
      </c>
      <c r="S245" s="83">
        <v>0</v>
      </c>
    </row>
    <row r="246" spans="1:19" ht="16" x14ac:dyDescent="0.2">
      <c r="A246" s="89">
        <v>237</v>
      </c>
      <c r="B246" s="84" t="s">
        <v>495</v>
      </c>
      <c r="C246" s="84" t="s">
        <v>70</v>
      </c>
      <c r="D246" s="83">
        <v>28</v>
      </c>
      <c r="E246" s="83" t="s">
        <v>83</v>
      </c>
      <c r="F246" s="83">
        <v>13</v>
      </c>
      <c r="G246" s="83">
        <v>3</v>
      </c>
      <c r="H246" s="83">
        <v>25</v>
      </c>
      <c r="I246" s="83">
        <v>18</v>
      </c>
      <c r="J246" s="86">
        <v>0.72</v>
      </c>
      <c r="K246" s="83">
        <v>250</v>
      </c>
      <c r="L246" s="83">
        <v>13.9</v>
      </c>
      <c r="M246" s="83">
        <v>1</v>
      </c>
      <c r="N246" s="83">
        <v>10</v>
      </c>
      <c r="O246" s="83">
        <v>55</v>
      </c>
      <c r="P246" s="83">
        <v>10</v>
      </c>
      <c r="Q246" s="83">
        <v>1.4</v>
      </c>
      <c r="R246" s="83">
        <v>19.2</v>
      </c>
      <c r="S246" s="83">
        <v>0</v>
      </c>
    </row>
    <row r="247" spans="1:19" ht="16" x14ac:dyDescent="0.2">
      <c r="A247" s="89">
        <v>238</v>
      </c>
      <c r="B247" s="84" t="s">
        <v>500</v>
      </c>
      <c r="C247" s="84" t="s">
        <v>73</v>
      </c>
      <c r="D247" s="83">
        <v>28</v>
      </c>
      <c r="E247" s="83" t="s">
        <v>1824</v>
      </c>
      <c r="F247" s="83">
        <v>17</v>
      </c>
      <c r="G247" s="83">
        <v>8</v>
      </c>
      <c r="H247" s="83">
        <v>18</v>
      </c>
      <c r="I247" s="83">
        <v>17</v>
      </c>
      <c r="J247" s="86">
        <v>0.94399999999999995</v>
      </c>
      <c r="K247" s="83">
        <v>125</v>
      </c>
      <c r="L247" s="83">
        <v>7.4</v>
      </c>
      <c r="M247" s="83">
        <v>0</v>
      </c>
      <c r="N247" s="83">
        <v>6</v>
      </c>
      <c r="O247" s="83">
        <v>27</v>
      </c>
      <c r="P247" s="83">
        <v>6.9</v>
      </c>
      <c r="Q247" s="83">
        <v>1</v>
      </c>
      <c r="R247" s="83">
        <v>7.4</v>
      </c>
      <c r="S247" s="83">
        <v>0</v>
      </c>
    </row>
    <row r="248" spans="1:19" ht="16" x14ac:dyDescent="0.2">
      <c r="A248" s="89">
        <v>239</v>
      </c>
      <c r="B248" s="84" t="s">
        <v>344</v>
      </c>
      <c r="C248" s="84" t="s">
        <v>70</v>
      </c>
      <c r="D248" s="83">
        <v>21</v>
      </c>
      <c r="E248" s="83" t="s">
        <v>83</v>
      </c>
      <c r="F248" s="83">
        <v>13</v>
      </c>
      <c r="G248" s="83">
        <v>3</v>
      </c>
      <c r="H248" s="83">
        <v>30</v>
      </c>
      <c r="I248" s="83">
        <v>17</v>
      </c>
      <c r="J248" s="86">
        <v>0.56699999999999995</v>
      </c>
      <c r="K248" s="83">
        <v>138</v>
      </c>
      <c r="L248" s="83">
        <v>8.1</v>
      </c>
      <c r="M248" s="83">
        <v>0</v>
      </c>
      <c r="N248" s="83">
        <v>7</v>
      </c>
      <c r="O248" s="83">
        <v>23</v>
      </c>
      <c r="P248" s="83">
        <v>4.5999999999999996</v>
      </c>
      <c r="Q248" s="83">
        <v>1.3</v>
      </c>
      <c r="R248" s="83">
        <v>10.6</v>
      </c>
      <c r="S248" s="83">
        <v>0</v>
      </c>
    </row>
    <row r="249" spans="1:19" x14ac:dyDescent="0.2">
      <c r="A249" s="89" t="s">
        <v>902</v>
      </c>
      <c r="B249" s="89" t="s">
        <v>903</v>
      </c>
      <c r="C249" s="89" t="s">
        <v>1314</v>
      </c>
      <c r="D249" s="89" t="s">
        <v>905</v>
      </c>
      <c r="E249" s="89" t="s">
        <v>906</v>
      </c>
      <c r="F249" s="89" t="s">
        <v>1315</v>
      </c>
      <c r="G249" s="89" t="s">
        <v>1316</v>
      </c>
      <c r="H249" s="89" t="s">
        <v>2314</v>
      </c>
      <c r="I249" s="89" t="s">
        <v>2092</v>
      </c>
      <c r="J249" s="89" t="s">
        <v>2093</v>
      </c>
      <c r="K249" s="89" t="s">
        <v>799</v>
      </c>
      <c r="L249" s="89" t="s">
        <v>2315</v>
      </c>
      <c r="M249" s="89" t="s">
        <v>800</v>
      </c>
      <c r="N249" s="89" t="s">
        <v>1321</v>
      </c>
      <c r="O249" s="89" t="s">
        <v>917</v>
      </c>
      <c r="P249" s="89" t="s">
        <v>2316</v>
      </c>
      <c r="Q249" s="89" t="s">
        <v>2317</v>
      </c>
      <c r="R249" s="89" t="s">
        <v>1325</v>
      </c>
      <c r="S249" s="89" t="s">
        <v>1416</v>
      </c>
    </row>
    <row r="250" spans="1:19" ht="16" x14ac:dyDescent="0.2">
      <c r="A250" s="89">
        <v>240</v>
      </c>
      <c r="B250" s="84" t="s">
        <v>668</v>
      </c>
      <c r="C250" s="84" t="s">
        <v>118</v>
      </c>
      <c r="D250" s="83">
        <v>28</v>
      </c>
      <c r="E250" s="83" t="s">
        <v>88</v>
      </c>
      <c r="F250" s="83">
        <v>17</v>
      </c>
      <c r="G250" s="83">
        <v>4</v>
      </c>
      <c r="H250" s="83">
        <v>19</v>
      </c>
      <c r="I250" s="83">
        <v>16</v>
      </c>
      <c r="J250" s="86">
        <v>0.84199999999999997</v>
      </c>
      <c r="K250" s="83">
        <v>165</v>
      </c>
      <c r="L250" s="83">
        <v>10.3</v>
      </c>
      <c r="M250" s="83">
        <v>1</v>
      </c>
      <c r="N250" s="83">
        <v>9</v>
      </c>
      <c r="O250" s="83">
        <v>34</v>
      </c>
      <c r="P250" s="83">
        <v>8.6999999999999993</v>
      </c>
      <c r="Q250" s="83">
        <v>0.9</v>
      </c>
      <c r="R250" s="83">
        <v>9.6999999999999993</v>
      </c>
      <c r="S250" s="83">
        <v>0</v>
      </c>
    </row>
    <row r="251" spans="1:19" ht="16" x14ac:dyDescent="0.2">
      <c r="A251" s="89">
        <v>241</v>
      </c>
      <c r="B251" s="84" t="s">
        <v>2003</v>
      </c>
      <c r="C251" s="84" t="s">
        <v>729</v>
      </c>
      <c r="D251" s="83">
        <v>25</v>
      </c>
      <c r="E251" s="83" t="s">
        <v>83</v>
      </c>
      <c r="F251" s="83">
        <v>13</v>
      </c>
      <c r="G251" s="83">
        <v>1</v>
      </c>
      <c r="H251" s="83">
        <v>25</v>
      </c>
      <c r="I251" s="83">
        <v>16</v>
      </c>
      <c r="J251" s="86">
        <v>0.64</v>
      </c>
      <c r="K251" s="83">
        <v>184</v>
      </c>
      <c r="L251" s="83">
        <v>11.5</v>
      </c>
      <c r="M251" s="83">
        <v>0</v>
      </c>
      <c r="N251" s="83">
        <v>6</v>
      </c>
      <c r="O251" s="83">
        <v>27</v>
      </c>
      <c r="P251" s="83">
        <v>7.4</v>
      </c>
      <c r="Q251" s="83">
        <v>1.2</v>
      </c>
      <c r="R251" s="83">
        <v>14.2</v>
      </c>
      <c r="S251" s="83">
        <v>0</v>
      </c>
    </row>
    <row r="252" spans="1:19" ht="16" x14ac:dyDescent="0.2">
      <c r="A252" s="89">
        <v>242</v>
      </c>
      <c r="B252" s="84" t="s">
        <v>389</v>
      </c>
      <c r="C252" s="84" t="s">
        <v>108</v>
      </c>
      <c r="D252" s="83">
        <v>23</v>
      </c>
      <c r="E252" s="83" t="s">
        <v>68</v>
      </c>
      <c r="F252" s="83">
        <v>14</v>
      </c>
      <c r="G252" s="83">
        <v>0</v>
      </c>
      <c r="H252" s="83">
        <v>20</v>
      </c>
      <c r="I252" s="83">
        <v>16</v>
      </c>
      <c r="J252" s="86">
        <v>0.8</v>
      </c>
      <c r="K252" s="83">
        <v>161</v>
      </c>
      <c r="L252" s="83">
        <v>10.1</v>
      </c>
      <c r="M252" s="83">
        <v>0</v>
      </c>
      <c r="N252" s="83">
        <v>8</v>
      </c>
      <c r="O252" s="83">
        <v>31</v>
      </c>
      <c r="P252" s="83">
        <v>8.1</v>
      </c>
      <c r="Q252" s="83">
        <v>1.1000000000000001</v>
      </c>
      <c r="R252" s="83">
        <v>11.5</v>
      </c>
      <c r="S252" s="83">
        <v>0</v>
      </c>
    </row>
    <row r="253" spans="1:19" ht="16" x14ac:dyDescent="0.2">
      <c r="A253" s="89">
        <v>243</v>
      </c>
      <c r="B253" s="84" t="s">
        <v>382</v>
      </c>
      <c r="C253" s="84" t="s">
        <v>71</v>
      </c>
      <c r="D253" s="83">
        <v>29</v>
      </c>
      <c r="E253" s="83" t="s">
        <v>88</v>
      </c>
      <c r="F253" s="83">
        <v>9</v>
      </c>
      <c r="G253" s="83">
        <v>6</v>
      </c>
      <c r="H253" s="83">
        <v>25</v>
      </c>
      <c r="I253" s="83">
        <v>16</v>
      </c>
      <c r="J253" s="86">
        <v>0.64</v>
      </c>
      <c r="K253" s="83">
        <v>173</v>
      </c>
      <c r="L253" s="83">
        <v>10.8</v>
      </c>
      <c r="M253" s="83">
        <v>1</v>
      </c>
      <c r="N253" s="83">
        <v>9</v>
      </c>
      <c r="O253" s="83">
        <v>26</v>
      </c>
      <c r="P253" s="83">
        <v>6.9</v>
      </c>
      <c r="Q253" s="83">
        <v>1.8</v>
      </c>
      <c r="R253" s="83">
        <v>19.2</v>
      </c>
      <c r="S253" s="83">
        <v>0</v>
      </c>
    </row>
    <row r="254" spans="1:19" ht="16" x14ac:dyDescent="0.2">
      <c r="A254" s="89">
        <v>244</v>
      </c>
      <c r="B254" s="84" t="s">
        <v>411</v>
      </c>
      <c r="C254" s="84" t="s">
        <v>1257</v>
      </c>
      <c r="D254" s="83">
        <v>28</v>
      </c>
      <c r="E254" s="83" t="s">
        <v>83</v>
      </c>
      <c r="F254" s="83">
        <v>14</v>
      </c>
      <c r="G254" s="83">
        <v>3</v>
      </c>
      <c r="H254" s="83">
        <v>26</v>
      </c>
      <c r="I254" s="83">
        <v>16</v>
      </c>
      <c r="J254" s="86">
        <v>0.61499999999999999</v>
      </c>
      <c r="K254" s="83">
        <v>95</v>
      </c>
      <c r="L254" s="83">
        <v>5.9</v>
      </c>
      <c r="M254" s="83">
        <v>0</v>
      </c>
      <c r="N254" s="83">
        <v>5</v>
      </c>
      <c r="O254" s="83">
        <v>21</v>
      </c>
      <c r="P254" s="83">
        <v>3.7</v>
      </c>
      <c r="Q254" s="83">
        <v>1.1000000000000001</v>
      </c>
      <c r="R254" s="83">
        <v>6.8</v>
      </c>
      <c r="S254" s="83">
        <v>0</v>
      </c>
    </row>
    <row r="255" spans="1:19" ht="16" x14ac:dyDescent="0.2">
      <c r="A255" s="89">
        <v>245</v>
      </c>
      <c r="B255" s="84" t="s">
        <v>2160</v>
      </c>
      <c r="C255" s="84" t="s">
        <v>725</v>
      </c>
      <c r="D255" s="83">
        <v>25</v>
      </c>
      <c r="E255" s="83" t="s">
        <v>83</v>
      </c>
      <c r="F255" s="83">
        <v>14</v>
      </c>
      <c r="G255" s="83">
        <v>0</v>
      </c>
      <c r="H255" s="83">
        <v>20</v>
      </c>
      <c r="I255" s="83">
        <v>16</v>
      </c>
      <c r="J255" s="86">
        <v>0.8</v>
      </c>
      <c r="K255" s="83">
        <v>202</v>
      </c>
      <c r="L255" s="83">
        <v>12.6</v>
      </c>
      <c r="M255" s="83">
        <v>0</v>
      </c>
      <c r="N255" s="83">
        <v>10</v>
      </c>
      <c r="O255" s="83">
        <v>32</v>
      </c>
      <c r="P255" s="83">
        <v>10.1</v>
      </c>
      <c r="Q255" s="83">
        <v>1.1000000000000001</v>
      </c>
      <c r="R255" s="83">
        <v>14.4</v>
      </c>
      <c r="S255" s="83">
        <v>0</v>
      </c>
    </row>
    <row r="256" spans="1:19" ht="16" x14ac:dyDescent="0.2">
      <c r="A256" s="89">
        <v>246</v>
      </c>
      <c r="B256" s="84" t="s">
        <v>1490</v>
      </c>
      <c r="C256" s="84" t="s">
        <v>727</v>
      </c>
      <c r="D256" s="83">
        <v>29</v>
      </c>
      <c r="E256" s="83" t="s">
        <v>68</v>
      </c>
      <c r="F256" s="83">
        <v>12</v>
      </c>
      <c r="G256" s="83">
        <v>2</v>
      </c>
      <c r="H256" s="83">
        <v>23</v>
      </c>
      <c r="I256" s="83">
        <v>16</v>
      </c>
      <c r="J256" s="86">
        <v>0.69599999999999995</v>
      </c>
      <c r="K256" s="83">
        <v>103</v>
      </c>
      <c r="L256" s="83">
        <v>6.4</v>
      </c>
      <c r="M256" s="83">
        <v>1</v>
      </c>
      <c r="N256" s="83">
        <v>3</v>
      </c>
      <c r="O256" s="83">
        <v>23</v>
      </c>
      <c r="P256" s="83">
        <v>4.5</v>
      </c>
      <c r="Q256" s="83">
        <v>1.3</v>
      </c>
      <c r="R256" s="83">
        <v>8.6</v>
      </c>
      <c r="S256" s="83">
        <v>0</v>
      </c>
    </row>
    <row r="257" spans="1:19" ht="16" x14ac:dyDescent="0.2">
      <c r="A257" s="89">
        <v>247</v>
      </c>
      <c r="B257" s="84" t="s">
        <v>626</v>
      </c>
      <c r="C257" s="84" t="s">
        <v>78</v>
      </c>
      <c r="D257" s="83">
        <v>27</v>
      </c>
      <c r="E257" s="83" t="s">
        <v>88</v>
      </c>
      <c r="F257" s="83">
        <v>5</v>
      </c>
      <c r="G257" s="83">
        <v>5</v>
      </c>
      <c r="H257" s="83">
        <v>17</v>
      </c>
      <c r="I257" s="83">
        <v>16</v>
      </c>
      <c r="J257" s="86">
        <v>0.94099999999999995</v>
      </c>
      <c r="K257" s="83">
        <v>193</v>
      </c>
      <c r="L257" s="83">
        <v>12.1</v>
      </c>
      <c r="M257" s="83">
        <v>1</v>
      </c>
      <c r="N257" s="83">
        <v>9</v>
      </c>
      <c r="O257" s="83">
        <v>34</v>
      </c>
      <c r="P257" s="83">
        <v>11.4</v>
      </c>
      <c r="Q257" s="83">
        <v>3.2</v>
      </c>
      <c r="R257" s="83">
        <v>38.6</v>
      </c>
      <c r="S257" s="83">
        <v>0</v>
      </c>
    </row>
    <row r="258" spans="1:19" ht="16" x14ac:dyDescent="0.2">
      <c r="A258" s="89">
        <v>248</v>
      </c>
      <c r="B258" s="84" t="s">
        <v>367</v>
      </c>
      <c r="C258" s="84" t="s">
        <v>139</v>
      </c>
      <c r="D258" s="83">
        <v>23</v>
      </c>
      <c r="E258" s="83" t="s">
        <v>83</v>
      </c>
      <c r="F258" s="83">
        <v>5</v>
      </c>
      <c r="G258" s="83">
        <v>3</v>
      </c>
      <c r="H258" s="83">
        <v>22</v>
      </c>
      <c r="I258" s="83">
        <v>15</v>
      </c>
      <c r="J258" s="86">
        <v>0.68200000000000005</v>
      </c>
      <c r="K258" s="83">
        <v>204</v>
      </c>
      <c r="L258" s="83">
        <v>13.6</v>
      </c>
      <c r="M258" s="83">
        <v>2</v>
      </c>
      <c r="N258" s="83">
        <v>9</v>
      </c>
      <c r="O258" s="83">
        <v>46</v>
      </c>
      <c r="P258" s="83">
        <v>9.3000000000000007</v>
      </c>
      <c r="Q258" s="83">
        <v>3</v>
      </c>
      <c r="R258" s="83">
        <v>40.799999999999997</v>
      </c>
      <c r="S258" s="83">
        <v>0</v>
      </c>
    </row>
    <row r="259" spans="1:19" ht="16" x14ac:dyDescent="0.2">
      <c r="A259" s="89">
        <v>249</v>
      </c>
      <c r="B259" s="84" t="s">
        <v>2289</v>
      </c>
      <c r="C259" s="84" t="s">
        <v>74</v>
      </c>
      <c r="D259" s="83">
        <v>24</v>
      </c>
      <c r="E259" s="83" t="s">
        <v>68</v>
      </c>
      <c r="F259" s="83">
        <v>14</v>
      </c>
      <c r="G259" s="83">
        <v>1</v>
      </c>
      <c r="H259" s="83">
        <v>17</v>
      </c>
      <c r="I259" s="83">
        <v>15</v>
      </c>
      <c r="J259" s="86">
        <v>0.88200000000000001</v>
      </c>
      <c r="K259" s="83">
        <v>151</v>
      </c>
      <c r="L259" s="83">
        <v>10.1</v>
      </c>
      <c r="M259" s="83">
        <v>2</v>
      </c>
      <c r="N259" s="83">
        <v>6</v>
      </c>
      <c r="O259" s="83">
        <v>24</v>
      </c>
      <c r="P259" s="83">
        <v>8.9</v>
      </c>
      <c r="Q259" s="83">
        <v>1.1000000000000001</v>
      </c>
      <c r="R259" s="83">
        <v>10.8</v>
      </c>
      <c r="S259" s="83">
        <v>0</v>
      </c>
    </row>
    <row r="260" spans="1:19" ht="16" x14ac:dyDescent="0.2">
      <c r="A260" s="89">
        <v>250</v>
      </c>
      <c r="B260" s="84" t="s">
        <v>228</v>
      </c>
      <c r="C260" s="84" t="s">
        <v>93</v>
      </c>
      <c r="D260" s="83">
        <v>24</v>
      </c>
      <c r="E260" s="83" t="s">
        <v>83</v>
      </c>
      <c r="F260" s="83">
        <v>16</v>
      </c>
      <c r="G260" s="83">
        <v>1</v>
      </c>
      <c r="H260" s="83">
        <v>23</v>
      </c>
      <c r="I260" s="83">
        <v>15</v>
      </c>
      <c r="J260" s="86">
        <v>0.65200000000000002</v>
      </c>
      <c r="K260" s="83">
        <v>175</v>
      </c>
      <c r="L260" s="83">
        <v>11.7</v>
      </c>
      <c r="M260" s="83">
        <v>1</v>
      </c>
      <c r="N260" s="83">
        <v>10</v>
      </c>
      <c r="O260" s="83">
        <v>40</v>
      </c>
      <c r="P260" s="83">
        <v>7.6</v>
      </c>
      <c r="Q260" s="83">
        <v>0.9</v>
      </c>
      <c r="R260" s="83">
        <v>10.9</v>
      </c>
      <c r="S260" s="83">
        <v>0</v>
      </c>
    </row>
    <row r="261" spans="1:19" ht="16" x14ac:dyDescent="0.2">
      <c r="A261" s="89">
        <v>251</v>
      </c>
      <c r="B261" s="84" t="s">
        <v>384</v>
      </c>
      <c r="C261" s="84" t="s">
        <v>1087</v>
      </c>
      <c r="D261" s="83">
        <v>32</v>
      </c>
      <c r="E261" s="83" t="s">
        <v>83</v>
      </c>
      <c r="F261" s="83">
        <v>8</v>
      </c>
      <c r="G261" s="83">
        <v>0</v>
      </c>
      <c r="H261" s="83">
        <v>24</v>
      </c>
      <c r="I261" s="83">
        <v>15</v>
      </c>
      <c r="J261" s="86">
        <v>0.625</v>
      </c>
      <c r="K261" s="83">
        <v>177</v>
      </c>
      <c r="L261" s="83">
        <v>11.8</v>
      </c>
      <c r="M261" s="83">
        <v>0</v>
      </c>
      <c r="N261" s="83">
        <v>12</v>
      </c>
      <c r="O261" s="83">
        <v>21</v>
      </c>
      <c r="P261" s="83">
        <v>7.4</v>
      </c>
      <c r="Q261" s="83">
        <v>1.9</v>
      </c>
      <c r="R261" s="83">
        <v>22.1</v>
      </c>
      <c r="S261" s="83">
        <v>0</v>
      </c>
    </row>
    <row r="262" spans="1:19" ht="16" x14ac:dyDescent="0.2">
      <c r="A262" s="89">
        <v>252</v>
      </c>
      <c r="B262" s="84" t="s">
        <v>531</v>
      </c>
      <c r="C262" s="84" t="s">
        <v>119</v>
      </c>
      <c r="D262" s="83">
        <v>25</v>
      </c>
      <c r="E262" s="83" t="s">
        <v>83</v>
      </c>
      <c r="F262" s="83">
        <v>14</v>
      </c>
      <c r="G262" s="83">
        <v>3</v>
      </c>
      <c r="H262" s="83">
        <v>23</v>
      </c>
      <c r="I262" s="83">
        <v>15</v>
      </c>
      <c r="J262" s="86">
        <v>0.65200000000000002</v>
      </c>
      <c r="K262" s="83">
        <v>211</v>
      </c>
      <c r="L262" s="83">
        <v>14.1</v>
      </c>
      <c r="M262" s="83">
        <v>2</v>
      </c>
      <c r="N262" s="83">
        <v>11</v>
      </c>
      <c r="O262" s="83">
        <v>43</v>
      </c>
      <c r="P262" s="83">
        <v>9.1999999999999993</v>
      </c>
      <c r="Q262" s="83">
        <v>1.1000000000000001</v>
      </c>
      <c r="R262" s="83">
        <v>15.1</v>
      </c>
      <c r="S262" s="83">
        <v>0</v>
      </c>
    </row>
    <row r="263" spans="1:19" ht="16" x14ac:dyDescent="0.2">
      <c r="A263" s="89">
        <v>253</v>
      </c>
      <c r="B263" s="84" t="s">
        <v>179</v>
      </c>
      <c r="C263" s="84" t="s">
        <v>99</v>
      </c>
      <c r="D263" s="83">
        <v>25</v>
      </c>
      <c r="E263" s="83" t="s">
        <v>83</v>
      </c>
      <c r="F263" s="83">
        <v>5</v>
      </c>
      <c r="G263" s="83">
        <v>5</v>
      </c>
      <c r="H263" s="83">
        <v>28</v>
      </c>
      <c r="I263" s="83">
        <v>15</v>
      </c>
      <c r="J263" s="86">
        <v>0.53600000000000003</v>
      </c>
      <c r="K263" s="83">
        <v>129</v>
      </c>
      <c r="L263" s="83">
        <v>8.6</v>
      </c>
      <c r="M263" s="83">
        <v>0</v>
      </c>
      <c r="N263" s="83">
        <v>6</v>
      </c>
      <c r="O263" s="83">
        <v>24</v>
      </c>
      <c r="P263" s="83">
        <v>4.5999999999999996</v>
      </c>
      <c r="Q263" s="83">
        <v>3</v>
      </c>
      <c r="R263" s="83">
        <v>25.8</v>
      </c>
      <c r="S263" s="83">
        <v>0</v>
      </c>
    </row>
    <row r="264" spans="1:19" ht="16" x14ac:dyDescent="0.2">
      <c r="A264" s="89">
        <v>254</v>
      </c>
      <c r="B264" s="84" t="s">
        <v>2106</v>
      </c>
      <c r="C264" s="84" t="s">
        <v>727</v>
      </c>
      <c r="D264" s="83">
        <v>35</v>
      </c>
      <c r="E264" s="83" t="s">
        <v>88</v>
      </c>
      <c r="F264" s="83">
        <v>15</v>
      </c>
      <c r="G264" s="83">
        <v>6</v>
      </c>
      <c r="H264" s="83">
        <v>23</v>
      </c>
      <c r="I264" s="83">
        <v>14</v>
      </c>
      <c r="J264" s="86">
        <v>0.60899999999999999</v>
      </c>
      <c r="K264" s="83">
        <v>167</v>
      </c>
      <c r="L264" s="83">
        <v>11.9</v>
      </c>
      <c r="M264" s="83">
        <v>3</v>
      </c>
      <c r="N264" s="83">
        <v>10</v>
      </c>
      <c r="O264" s="83">
        <v>28</v>
      </c>
      <c r="P264" s="83">
        <v>7.3</v>
      </c>
      <c r="Q264" s="83">
        <v>0.9</v>
      </c>
      <c r="R264" s="83">
        <v>11.1</v>
      </c>
      <c r="S264" s="83">
        <v>0</v>
      </c>
    </row>
    <row r="265" spans="1:19" ht="16" x14ac:dyDescent="0.2">
      <c r="A265" s="89">
        <v>255</v>
      </c>
      <c r="B265" s="84" t="s">
        <v>2256</v>
      </c>
      <c r="C265" s="84" t="s">
        <v>727</v>
      </c>
      <c r="D265" s="83">
        <v>23</v>
      </c>
      <c r="E265" s="83" t="s">
        <v>68</v>
      </c>
      <c r="F265" s="83">
        <v>17</v>
      </c>
      <c r="G265" s="83">
        <v>2</v>
      </c>
      <c r="H265" s="83">
        <v>16</v>
      </c>
      <c r="I265" s="83">
        <v>14</v>
      </c>
      <c r="J265" s="86">
        <v>0.875</v>
      </c>
      <c r="K265" s="83">
        <v>96</v>
      </c>
      <c r="L265" s="83">
        <v>6.9</v>
      </c>
      <c r="M265" s="83">
        <v>0</v>
      </c>
      <c r="N265" s="83">
        <v>6</v>
      </c>
      <c r="O265" s="83">
        <v>20</v>
      </c>
      <c r="P265" s="83">
        <v>6</v>
      </c>
      <c r="Q265" s="83">
        <v>0.8</v>
      </c>
      <c r="R265" s="83">
        <v>5.6</v>
      </c>
      <c r="S265" s="83">
        <v>1</v>
      </c>
    </row>
    <row r="266" spans="1:19" ht="16" x14ac:dyDescent="0.2">
      <c r="A266" s="89">
        <v>256</v>
      </c>
      <c r="B266" s="84" t="s">
        <v>483</v>
      </c>
      <c r="C266" s="84" t="s">
        <v>142</v>
      </c>
      <c r="D266" s="83">
        <v>28</v>
      </c>
      <c r="E266" s="83" t="s">
        <v>83</v>
      </c>
      <c r="F266" s="83">
        <v>17</v>
      </c>
      <c r="G266" s="83">
        <v>3</v>
      </c>
      <c r="H266" s="83">
        <v>28</v>
      </c>
      <c r="I266" s="83">
        <v>14</v>
      </c>
      <c r="J266" s="86">
        <v>0.5</v>
      </c>
      <c r="K266" s="83">
        <v>223</v>
      </c>
      <c r="L266" s="83">
        <v>15.9</v>
      </c>
      <c r="M266" s="83">
        <v>4</v>
      </c>
      <c r="N266" s="83">
        <v>11</v>
      </c>
      <c r="O266" s="83">
        <v>65</v>
      </c>
      <c r="P266" s="83">
        <v>8</v>
      </c>
      <c r="Q266" s="83">
        <v>0.8</v>
      </c>
      <c r="R266" s="83">
        <v>13.1</v>
      </c>
      <c r="S266" s="83">
        <v>0</v>
      </c>
    </row>
    <row r="267" spans="1:19" ht="32" customHeight="1" x14ac:dyDescent="0.2">
      <c r="A267" s="89">
        <v>257</v>
      </c>
      <c r="B267" s="84" t="s">
        <v>2127</v>
      </c>
      <c r="C267" s="84" t="s">
        <v>976</v>
      </c>
      <c r="D267" s="83">
        <v>27</v>
      </c>
      <c r="E267" s="83" t="s">
        <v>88</v>
      </c>
      <c r="F267" s="83">
        <v>17</v>
      </c>
      <c r="G267" s="83">
        <v>9</v>
      </c>
      <c r="H267" s="83">
        <v>21</v>
      </c>
      <c r="I267" s="83">
        <v>14</v>
      </c>
      <c r="J267" s="86">
        <v>0.66700000000000004</v>
      </c>
      <c r="K267" s="83">
        <v>135</v>
      </c>
      <c r="L267" s="83">
        <v>9.6</v>
      </c>
      <c r="M267" s="83">
        <v>1</v>
      </c>
      <c r="N267" s="83">
        <v>10</v>
      </c>
      <c r="O267" s="83">
        <v>21</v>
      </c>
      <c r="P267" s="83">
        <v>6.4</v>
      </c>
      <c r="Q267" s="83">
        <v>0.8</v>
      </c>
      <c r="R267" s="83">
        <v>7.9</v>
      </c>
      <c r="S267" s="83">
        <v>0</v>
      </c>
    </row>
    <row r="268" spans="1:19" ht="16" x14ac:dyDescent="0.2">
      <c r="A268" s="89">
        <v>258</v>
      </c>
      <c r="B268" s="84" t="s">
        <v>674</v>
      </c>
      <c r="C268" s="84" t="s">
        <v>77</v>
      </c>
      <c r="D268" s="83">
        <v>29</v>
      </c>
      <c r="E268" s="83" t="s">
        <v>88</v>
      </c>
      <c r="F268" s="83">
        <v>16</v>
      </c>
      <c r="G268" s="83">
        <v>9</v>
      </c>
      <c r="H268" s="83">
        <v>18</v>
      </c>
      <c r="I268" s="83">
        <v>14</v>
      </c>
      <c r="J268" s="86">
        <v>0.77800000000000002</v>
      </c>
      <c r="K268" s="83">
        <v>145</v>
      </c>
      <c r="L268" s="83">
        <v>10.4</v>
      </c>
      <c r="M268" s="83">
        <v>3</v>
      </c>
      <c r="N268" s="83">
        <v>10</v>
      </c>
      <c r="O268" s="83">
        <v>22</v>
      </c>
      <c r="P268" s="83">
        <v>8.1</v>
      </c>
      <c r="Q268" s="83">
        <v>0.9</v>
      </c>
      <c r="R268" s="83">
        <v>9.1</v>
      </c>
      <c r="S268" s="83">
        <v>0</v>
      </c>
    </row>
    <row r="269" spans="1:19" ht="16" x14ac:dyDescent="0.2">
      <c r="A269" s="89">
        <v>259</v>
      </c>
      <c r="B269" s="84" t="s">
        <v>409</v>
      </c>
      <c r="C269" s="84" t="s">
        <v>1122</v>
      </c>
      <c r="D269" s="83">
        <v>23</v>
      </c>
      <c r="E269" s="83" t="s">
        <v>68</v>
      </c>
      <c r="F269" s="83">
        <v>12</v>
      </c>
      <c r="G269" s="83">
        <v>2</v>
      </c>
      <c r="H269" s="83">
        <v>18</v>
      </c>
      <c r="I269" s="83">
        <v>14</v>
      </c>
      <c r="J269" s="86">
        <v>0.77800000000000002</v>
      </c>
      <c r="K269" s="83">
        <v>123</v>
      </c>
      <c r="L269" s="83">
        <v>8.8000000000000007</v>
      </c>
      <c r="M269" s="83">
        <v>0</v>
      </c>
      <c r="N269" s="83">
        <v>3</v>
      </c>
      <c r="O269" s="83">
        <v>41</v>
      </c>
      <c r="P269" s="83">
        <v>6.8</v>
      </c>
      <c r="Q269" s="83">
        <v>1.2</v>
      </c>
      <c r="R269" s="83">
        <v>10.3</v>
      </c>
      <c r="S269" s="83">
        <v>2</v>
      </c>
    </row>
    <row r="270" spans="1:19" ht="16" x14ac:dyDescent="0.2">
      <c r="A270" s="89">
        <v>260</v>
      </c>
      <c r="B270" s="84" t="s">
        <v>577</v>
      </c>
      <c r="C270" s="84" t="s">
        <v>107</v>
      </c>
      <c r="D270" s="83">
        <v>24</v>
      </c>
      <c r="E270" s="83" t="s">
        <v>83</v>
      </c>
      <c r="F270" s="83">
        <v>17</v>
      </c>
      <c r="G270" s="83">
        <v>1</v>
      </c>
      <c r="H270" s="83">
        <v>22</v>
      </c>
      <c r="I270" s="83">
        <v>13</v>
      </c>
      <c r="J270" s="86">
        <v>0.59099999999999997</v>
      </c>
      <c r="K270" s="83">
        <v>173</v>
      </c>
      <c r="L270" s="83">
        <v>13.3</v>
      </c>
      <c r="M270" s="83">
        <v>2</v>
      </c>
      <c r="N270" s="83">
        <v>9</v>
      </c>
      <c r="O270" s="83">
        <v>62</v>
      </c>
      <c r="P270" s="83">
        <v>7.9</v>
      </c>
      <c r="Q270" s="83">
        <v>0.8</v>
      </c>
      <c r="R270" s="83">
        <v>10.199999999999999</v>
      </c>
      <c r="S270" s="83">
        <v>0</v>
      </c>
    </row>
    <row r="271" spans="1:19" ht="16" x14ac:dyDescent="0.2">
      <c r="A271" s="89">
        <v>261</v>
      </c>
      <c r="B271" s="84" t="s">
        <v>545</v>
      </c>
      <c r="C271" s="84" t="s">
        <v>139</v>
      </c>
      <c r="D271" s="83">
        <v>26</v>
      </c>
      <c r="E271" s="83" t="s">
        <v>83</v>
      </c>
      <c r="F271" s="83">
        <v>16</v>
      </c>
      <c r="G271" s="83">
        <v>1</v>
      </c>
      <c r="H271" s="83">
        <v>27</v>
      </c>
      <c r="I271" s="83">
        <v>13</v>
      </c>
      <c r="J271" s="86">
        <v>0.48099999999999998</v>
      </c>
      <c r="K271" s="83">
        <v>157</v>
      </c>
      <c r="L271" s="83">
        <v>12.1</v>
      </c>
      <c r="M271" s="83">
        <v>0</v>
      </c>
      <c r="N271" s="83">
        <v>7</v>
      </c>
      <c r="O271" s="83">
        <v>42</v>
      </c>
      <c r="P271" s="83">
        <v>5.8</v>
      </c>
      <c r="Q271" s="83">
        <v>0.8</v>
      </c>
      <c r="R271" s="83">
        <v>9.8000000000000007</v>
      </c>
      <c r="S271" s="83">
        <v>0</v>
      </c>
    </row>
    <row r="272" spans="1:19" ht="16" x14ac:dyDescent="0.2">
      <c r="A272" s="89">
        <v>262</v>
      </c>
      <c r="B272" s="84" t="s">
        <v>380</v>
      </c>
      <c r="C272" s="84" t="s">
        <v>1257</v>
      </c>
      <c r="D272" s="83">
        <v>23</v>
      </c>
      <c r="E272" s="83" t="s">
        <v>83</v>
      </c>
      <c r="F272" s="83">
        <v>10</v>
      </c>
      <c r="G272" s="83">
        <v>4</v>
      </c>
      <c r="H272" s="83">
        <v>18</v>
      </c>
      <c r="I272" s="83">
        <v>13</v>
      </c>
      <c r="J272" s="86">
        <v>0.72199999999999998</v>
      </c>
      <c r="K272" s="83">
        <v>249</v>
      </c>
      <c r="L272" s="83">
        <v>19.2</v>
      </c>
      <c r="M272" s="83">
        <v>2</v>
      </c>
      <c r="N272" s="83">
        <v>9</v>
      </c>
      <c r="O272" s="83">
        <v>56</v>
      </c>
      <c r="P272" s="83">
        <v>13.8</v>
      </c>
      <c r="Q272" s="83">
        <v>1.3</v>
      </c>
      <c r="R272" s="83">
        <v>24.9</v>
      </c>
      <c r="S272" s="83">
        <v>0</v>
      </c>
    </row>
    <row r="273" spans="1:19" ht="16" x14ac:dyDescent="0.2">
      <c r="A273" s="89">
        <v>263</v>
      </c>
      <c r="B273" s="84" t="s">
        <v>544</v>
      </c>
      <c r="C273" s="84" t="s">
        <v>1257</v>
      </c>
      <c r="D273" s="83">
        <v>25</v>
      </c>
      <c r="E273" s="83" t="s">
        <v>83</v>
      </c>
      <c r="F273" s="83">
        <v>14</v>
      </c>
      <c r="G273" s="83">
        <v>2</v>
      </c>
      <c r="H273" s="83">
        <v>22</v>
      </c>
      <c r="I273" s="83">
        <v>13</v>
      </c>
      <c r="J273" s="86">
        <v>0.59099999999999997</v>
      </c>
      <c r="K273" s="83">
        <v>159</v>
      </c>
      <c r="L273" s="83">
        <v>12.2</v>
      </c>
      <c r="M273" s="83">
        <v>4</v>
      </c>
      <c r="N273" s="83">
        <v>12</v>
      </c>
      <c r="O273" s="83">
        <v>27</v>
      </c>
      <c r="P273" s="83">
        <v>7.2</v>
      </c>
      <c r="Q273" s="83">
        <v>0.9</v>
      </c>
      <c r="R273" s="83">
        <v>11.4</v>
      </c>
      <c r="S273" s="83">
        <v>0</v>
      </c>
    </row>
    <row r="274" spans="1:19" ht="16" x14ac:dyDescent="0.2">
      <c r="A274" s="89">
        <v>264</v>
      </c>
      <c r="B274" s="84" t="s">
        <v>378</v>
      </c>
      <c r="C274" s="84" t="s">
        <v>1040</v>
      </c>
      <c r="D274" s="83">
        <v>29</v>
      </c>
      <c r="E274" s="83" t="s">
        <v>68</v>
      </c>
      <c r="F274" s="83">
        <v>13</v>
      </c>
      <c r="G274" s="83">
        <v>0</v>
      </c>
      <c r="H274" s="83">
        <v>20</v>
      </c>
      <c r="I274" s="83">
        <v>13</v>
      </c>
      <c r="J274" s="86">
        <v>0.65</v>
      </c>
      <c r="K274" s="83">
        <v>107</v>
      </c>
      <c r="L274" s="83">
        <v>8.1999999999999993</v>
      </c>
      <c r="M274" s="83">
        <v>1</v>
      </c>
      <c r="N274" s="83">
        <v>6</v>
      </c>
      <c r="O274" s="83">
        <v>14</v>
      </c>
      <c r="P274" s="83">
        <v>5.4</v>
      </c>
      <c r="Q274" s="83">
        <v>1</v>
      </c>
      <c r="R274" s="83">
        <v>8.1999999999999993</v>
      </c>
      <c r="S274" s="83">
        <v>0</v>
      </c>
    </row>
    <row r="275" spans="1:19" ht="16" x14ac:dyDescent="0.2">
      <c r="A275" s="89">
        <v>265</v>
      </c>
      <c r="B275" s="84" t="s">
        <v>440</v>
      </c>
      <c r="C275" s="84" t="s">
        <v>1052</v>
      </c>
      <c r="D275" s="83">
        <v>27</v>
      </c>
      <c r="E275" s="83" t="s">
        <v>68</v>
      </c>
      <c r="F275" s="83">
        <v>17</v>
      </c>
      <c r="G275" s="83">
        <v>2</v>
      </c>
      <c r="H275" s="83">
        <v>21</v>
      </c>
      <c r="I275" s="83">
        <v>13</v>
      </c>
      <c r="J275" s="86">
        <v>0.61899999999999999</v>
      </c>
      <c r="K275" s="83">
        <v>114</v>
      </c>
      <c r="L275" s="83">
        <v>8.8000000000000007</v>
      </c>
      <c r="M275" s="83">
        <v>1</v>
      </c>
      <c r="N275" s="83">
        <v>3</v>
      </c>
      <c r="O275" s="83">
        <v>28</v>
      </c>
      <c r="P275" s="83">
        <v>5.4</v>
      </c>
      <c r="Q275" s="83">
        <v>0.8</v>
      </c>
      <c r="R275" s="83">
        <v>6.7</v>
      </c>
      <c r="S275" s="83">
        <v>0</v>
      </c>
    </row>
    <row r="276" spans="1:19" ht="16" x14ac:dyDescent="0.2">
      <c r="A276" s="89">
        <v>266</v>
      </c>
      <c r="B276" s="84" t="s">
        <v>404</v>
      </c>
      <c r="C276" s="84" t="s">
        <v>102</v>
      </c>
      <c r="D276" s="83">
        <v>26</v>
      </c>
      <c r="E276" s="83" t="s">
        <v>68</v>
      </c>
      <c r="F276" s="83">
        <v>16</v>
      </c>
      <c r="G276" s="83">
        <v>4</v>
      </c>
      <c r="H276" s="83">
        <v>16</v>
      </c>
      <c r="I276" s="83">
        <v>13</v>
      </c>
      <c r="J276" s="86">
        <v>0.81299999999999994</v>
      </c>
      <c r="K276" s="83">
        <v>83</v>
      </c>
      <c r="L276" s="83">
        <v>6.4</v>
      </c>
      <c r="M276" s="83">
        <v>0</v>
      </c>
      <c r="N276" s="83">
        <v>3</v>
      </c>
      <c r="O276" s="83">
        <v>19</v>
      </c>
      <c r="P276" s="83">
        <v>5.2</v>
      </c>
      <c r="Q276" s="83">
        <v>0.8</v>
      </c>
      <c r="R276" s="83">
        <v>5.2</v>
      </c>
      <c r="S276" s="83">
        <v>1</v>
      </c>
    </row>
    <row r="277" spans="1:19" ht="16" x14ac:dyDescent="0.2">
      <c r="A277" s="89">
        <v>267</v>
      </c>
      <c r="B277" s="84" t="s">
        <v>302</v>
      </c>
      <c r="C277" s="84" t="s">
        <v>142</v>
      </c>
      <c r="D277" s="83">
        <v>23</v>
      </c>
      <c r="E277" s="83" t="s">
        <v>68</v>
      </c>
      <c r="F277" s="83">
        <v>12</v>
      </c>
      <c r="G277" s="83">
        <v>0</v>
      </c>
      <c r="H277" s="83">
        <v>19</v>
      </c>
      <c r="I277" s="83">
        <v>12</v>
      </c>
      <c r="J277" s="86">
        <v>0.63200000000000001</v>
      </c>
      <c r="K277" s="83">
        <v>117</v>
      </c>
      <c r="L277" s="83">
        <v>9.8000000000000007</v>
      </c>
      <c r="M277" s="83">
        <v>0</v>
      </c>
      <c r="N277" s="83">
        <v>4</v>
      </c>
      <c r="O277" s="83">
        <v>18</v>
      </c>
      <c r="P277" s="83">
        <v>6.2</v>
      </c>
      <c r="Q277" s="83">
        <v>1</v>
      </c>
      <c r="R277" s="83">
        <v>9.8000000000000007</v>
      </c>
      <c r="S277" s="83">
        <v>0</v>
      </c>
    </row>
    <row r="278" spans="1:19" ht="16" x14ac:dyDescent="0.2">
      <c r="A278" s="89">
        <v>268</v>
      </c>
      <c r="B278" s="84" t="s">
        <v>379</v>
      </c>
      <c r="C278" s="84" t="s">
        <v>119</v>
      </c>
      <c r="D278" s="83">
        <v>22</v>
      </c>
      <c r="E278" s="83" t="s">
        <v>83</v>
      </c>
      <c r="F278" s="83">
        <v>15</v>
      </c>
      <c r="G278" s="83">
        <v>6</v>
      </c>
      <c r="H278" s="83">
        <v>25</v>
      </c>
      <c r="I278" s="83">
        <v>12</v>
      </c>
      <c r="J278" s="86">
        <v>0.48</v>
      </c>
      <c r="K278" s="83">
        <v>165</v>
      </c>
      <c r="L278" s="83">
        <v>13.8</v>
      </c>
      <c r="M278" s="83">
        <v>0</v>
      </c>
      <c r="N278" s="83">
        <v>6</v>
      </c>
      <c r="O278" s="83">
        <v>48</v>
      </c>
      <c r="P278" s="83">
        <v>6.6</v>
      </c>
      <c r="Q278" s="83">
        <v>0.8</v>
      </c>
      <c r="R278" s="83">
        <v>11</v>
      </c>
      <c r="S278" s="83">
        <v>0</v>
      </c>
    </row>
    <row r="279" spans="1:19" ht="16" x14ac:dyDescent="0.2">
      <c r="A279" s="89">
        <v>269</v>
      </c>
      <c r="B279" s="84" t="s">
        <v>292</v>
      </c>
      <c r="C279" s="84" t="s">
        <v>99</v>
      </c>
      <c r="D279" s="83">
        <v>28</v>
      </c>
      <c r="E279" s="83" t="s">
        <v>88</v>
      </c>
      <c r="F279" s="83">
        <v>8</v>
      </c>
      <c r="G279" s="83">
        <v>3</v>
      </c>
      <c r="H279" s="83">
        <v>18</v>
      </c>
      <c r="I279" s="83">
        <v>12</v>
      </c>
      <c r="J279" s="86">
        <v>0.66700000000000004</v>
      </c>
      <c r="K279" s="83">
        <v>84</v>
      </c>
      <c r="L279" s="83">
        <v>7</v>
      </c>
      <c r="M279" s="83">
        <v>1</v>
      </c>
      <c r="N279" s="83">
        <v>6</v>
      </c>
      <c r="O279" s="83">
        <v>19</v>
      </c>
      <c r="P279" s="83">
        <v>4.7</v>
      </c>
      <c r="Q279" s="83">
        <v>1.5</v>
      </c>
      <c r="R279" s="83">
        <v>10.5</v>
      </c>
      <c r="S279" s="83">
        <v>0</v>
      </c>
    </row>
    <row r="280" spans="1:19" x14ac:dyDescent="0.2">
      <c r="A280" s="89" t="s">
        <v>902</v>
      </c>
      <c r="B280" s="89" t="s">
        <v>903</v>
      </c>
      <c r="C280" s="89" t="s">
        <v>1314</v>
      </c>
      <c r="D280" s="89" t="s">
        <v>905</v>
      </c>
      <c r="E280" s="89" t="s">
        <v>906</v>
      </c>
      <c r="F280" s="89" t="s">
        <v>1315</v>
      </c>
      <c r="G280" s="89" t="s">
        <v>1316</v>
      </c>
      <c r="H280" s="89" t="s">
        <v>2314</v>
      </c>
      <c r="I280" s="89" t="s">
        <v>2092</v>
      </c>
      <c r="J280" s="89" t="s">
        <v>2093</v>
      </c>
      <c r="K280" s="89" t="s">
        <v>799</v>
      </c>
      <c r="L280" s="89" t="s">
        <v>2315</v>
      </c>
      <c r="M280" s="89" t="s">
        <v>800</v>
      </c>
      <c r="N280" s="89" t="s">
        <v>1321</v>
      </c>
      <c r="O280" s="89" t="s">
        <v>917</v>
      </c>
      <c r="P280" s="89" t="s">
        <v>2316</v>
      </c>
      <c r="Q280" s="89" t="s">
        <v>2317</v>
      </c>
      <c r="R280" s="89" t="s">
        <v>1325</v>
      </c>
      <c r="S280" s="89" t="s">
        <v>1416</v>
      </c>
    </row>
    <row r="281" spans="1:19" ht="16" x14ac:dyDescent="0.2">
      <c r="A281" s="89">
        <v>270</v>
      </c>
      <c r="B281" s="84" t="s">
        <v>516</v>
      </c>
      <c r="C281" s="84" t="s">
        <v>142</v>
      </c>
      <c r="D281" s="83">
        <v>25</v>
      </c>
      <c r="E281" s="83" t="s">
        <v>83</v>
      </c>
      <c r="F281" s="83">
        <v>13</v>
      </c>
      <c r="G281" s="83">
        <v>2</v>
      </c>
      <c r="H281" s="83">
        <v>17</v>
      </c>
      <c r="I281" s="83">
        <v>12</v>
      </c>
      <c r="J281" s="86">
        <v>0.70599999999999996</v>
      </c>
      <c r="K281" s="83">
        <v>161</v>
      </c>
      <c r="L281" s="83">
        <v>13.4</v>
      </c>
      <c r="M281" s="83">
        <v>2</v>
      </c>
      <c r="N281" s="83">
        <v>7</v>
      </c>
      <c r="O281" s="83">
        <v>52</v>
      </c>
      <c r="P281" s="83">
        <v>9.5</v>
      </c>
      <c r="Q281" s="83">
        <v>0.9</v>
      </c>
      <c r="R281" s="83">
        <v>12.4</v>
      </c>
      <c r="S281" s="83">
        <v>0</v>
      </c>
    </row>
    <row r="282" spans="1:19" ht="16" customHeight="1" x14ac:dyDescent="0.2">
      <c r="A282" s="89">
        <v>271</v>
      </c>
      <c r="B282" s="84" t="s">
        <v>325</v>
      </c>
      <c r="C282" s="84" t="s">
        <v>1122</v>
      </c>
      <c r="D282" s="83">
        <v>24</v>
      </c>
      <c r="E282" s="83" t="s">
        <v>83</v>
      </c>
      <c r="F282" s="83">
        <v>12</v>
      </c>
      <c r="G282" s="83">
        <v>4</v>
      </c>
      <c r="H282" s="83">
        <v>22</v>
      </c>
      <c r="I282" s="83">
        <v>12</v>
      </c>
      <c r="J282" s="86">
        <v>0.54500000000000004</v>
      </c>
      <c r="K282" s="83">
        <v>184</v>
      </c>
      <c r="L282" s="83">
        <v>15.3</v>
      </c>
      <c r="M282" s="83">
        <v>0</v>
      </c>
      <c r="N282" s="83">
        <v>7</v>
      </c>
      <c r="O282" s="83">
        <v>43</v>
      </c>
      <c r="P282" s="83">
        <v>8.4</v>
      </c>
      <c r="Q282" s="83">
        <v>1</v>
      </c>
      <c r="R282" s="83">
        <v>15.3</v>
      </c>
      <c r="S282" s="83">
        <v>1</v>
      </c>
    </row>
    <row r="283" spans="1:19" ht="16" x14ac:dyDescent="0.2">
      <c r="A283" s="89">
        <v>272</v>
      </c>
      <c r="B283" s="84" t="s">
        <v>361</v>
      </c>
      <c r="C283" s="84" t="s">
        <v>1052</v>
      </c>
      <c r="D283" s="83">
        <v>31</v>
      </c>
      <c r="E283" s="83" t="s">
        <v>68</v>
      </c>
      <c r="F283" s="83">
        <v>12</v>
      </c>
      <c r="G283" s="83">
        <v>2</v>
      </c>
      <c r="H283" s="83">
        <v>21</v>
      </c>
      <c r="I283" s="83">
        <v>12</v>
      </c>
      <c r="J283" s="86">
        <v>0.57099999999999995</v>
      </c>
      <c r="K283" s="83">
        <v>65</v>
      </c>
      <c r="L283" s="83">
        <v>5.4</v>
      </c>
      <c r="M283" s="83">
        <v>0</v>
      </c>
      <c r="N283" s="83">
        <v>1</v>
      </c>
      <c r="O283" s="83">
        <v>9</v>
      </c>
      <c r="P283" s="83">
        <v>3.1</v>
      </c>
      <c r="Q283" s="83">
        <v>1</v>
      </c>
      <c r="R283" s="83">
        <v>5.4</v>
      </c>
      <c r="S283" s="83">
        <v>2</v>
      </c>
    </row>
    <row r="284" spans="1:19" ht="16" x14ac:dyDescent="0.2">
      <c r="A284" s="89">
        <v>273</v>
      </c>
      <c r="B284" s="84" t="s">
        <v>1811</v>
      </c>
      <c r="C284" s="84" t="s">
        <v>933</v>
      </c>
      <c r="D284" s="83">
        <v>28</v>
      </c>
      <c r="E284" s="83" t="s">
        <v>68</v>
      </c>
      <c r="F284" s="83">
        <v>10</v>
      </c>
      <c r="G284" s="83">
        <v>0</v>
      </c>
      <c r="H284" s="83">
        <v>14</v>
      </c>
      <c r="I284" s="83">
        <v>12</v>
      </c>
      <c r="J284" s="86">
        <v>0.85699999999999998</v>
      </c>
      <c r="K284" s="83">
        <v>72</v>
      </c>
      <c r="L284" s="83">
        <v>6</v>
      </c>
      <c r="M284" s="83">
        <v>0</v>
      </c>
      <c r="N284" s="83">
        <v>4</v>
      </c>
      <c r="O284" s="83">
        <v>19</v>
      </c>
      <c r="P284" s="83">
        <v>5.0999999999999996</v>
      </c>
      <c r="Q284" s="83">
        <v>1.2</v>
      </c>
      <c r="R284" s="83">
        <v>7.2</v>
      </c>
      <c r="S284" s="83">
        <v>0</v>
      </c>
    </row>
    <row r="285" spans="1:19" ht="16" x14ac:dyDescent="0.2">
      <c r="A285" s="89">
        <v>274</v>
      </c>
      <c r="B285" s="84" t="s">
        <v>628</v>
      </c>
      <c r="C285" s="84" t="s">
        <v>142</v>
      </c>
      <c r="D285" s="83">
        <v>27</v>
      </c>
      <c r="E285" s="83" t="s">
        <v>88</v>
      </c>
      <c r="F285" s="83">
        <v>12</v>
      </c>
      <c r="G285" s="83">
        <v>7</v>
      </c>
      <c r="H285" s="83">
        <v>16</v>
      </c>
      <c r="I285" s="83">
        <v>12</v>
      </c>
      <c r="J285" s="86">
        <v>0.75</v>
      </c>
      <c r="K285" s="83">
        <v>110</v>
      </c>
      <c r="L285" s="83">
        <v>9.1999999999999993</v>
      </c>
      <c r="M285" s="83">
        <v>0</v>
      </c>
      <c r="N285" s="83">
        <v>5</v>
      </c>
      <c r="O285" s="83">
        <v>21</v>
      </c>
      <c r="P285" s="83">
        <v>6.9</v>
      </c>
      <c r="Q285" s="83">
        <v>1</v>
      </c>
      <c r="R285" s="83">
        <v>9.1999999999999993</v>
      </c>
      <c r="S285" s="83">
        <v>0</v>
      </c>
    </row>
    <row r="286" spans="1:19" ht="16" x14ac:dyDescent="0.2">
      <c r="A286" s="89">
        <v>275</v>
      </c>
      <c r="B286" s="84" t="s">
        <v>2464</v>
      </c>
      <c r="C286" s="84" t="s">
        <v>729</v>
      </c>
      <c r="D286" s="83">
        <v>25</v>
      </c>
      <c r="E286" s="83" t="s">
        <v>83</v>
      </c>
      <c r="F286" s="83">
        <v>14</v>
      </c>
      <c r="G286" s="83">
        <v>0</v>
      </c>
      <c r="H286" s="83">
        <v>16</v>
      </c>
      <c r="I286" s="83">
        <v>12</v>
      </c>
      <c r="J286" s="86">
        <v>0.75</v>
      </c>
      <c r="K286" s="83">
        <v>149</v>
      </c>
      <c r="L286" s="83">
        <v>12.4</v>
      </c>
      <c r="M286" s="83">
        <v>3</v>
      </c>
      <c r="N286" s="83">
        <v>8</v>
      </c>
      <c r="O286" s="83">
        <v>61</v>
      </c>
      <c r="P286" s="83">
        <v>9.3000000000000007</v>
      </c>
      <c r="Q286" s="83">
        <v>0.9</v>
      </c>
      <c r="R286" s="83">
        <v>10.6</v>
      </c>
      <c r="S286" s="83">
        <v>0</v>
      </c>
    </row>
    <row r="287" spans="1:19" ht="16" x14ac:dyDescent="0.2">
      <c r="A287" s="89">
        <v>276</v>
      </c>
      <c r="B287" s="84" t="s">
        <v>348</v>
      </c>
      <c r="C287" s="84" t="s">
        <v>1122</v>
      </c>
      <c r="D287" s="83">
        <v>29</v>
      </c>
      <c r="E287" s="83" t="s">
        <v>68</v>
      </c>
      <c r="F287" s="83">
        <v>3</v>
      </c>
      <c r="G287" s="83">
        <v>0</v>
      </c>
      <c r="H287" s="83">
        <v>14</v>
      </c>
      <c r="I287" s="83">
        <v>12</v>
      </c>
      <c r="J287" s="86">
        <v>0.85699999999999998</v>
      </c>
      <c r="K287" s="83">
        <v>94</v>
      </c>
      <c r="L287" s="83">
        <v>7.8</v>
      </c>
      <c r="M287" s="83">
        <v>0</v>
      </c>
      <c r="N287" s="83">
        <v>5</v>
      </c>
      <c r="O287" s="83">
        <v>28</v>
      </c>
      <c r="P287" s="83">
        <v>6.7</v>
      </c>
      <c r="Q287" s="83">
        <v>4</v>
      </c>
      <c r="R287" s="83">
        <v>31.3</v>
      </c>
      <c r="S287" s="83">
        <v>0</v>
      </c>
    </row>
    <row r="288" spans="1:19" ht="16" x14ac:dyDescent="0.2">
      <c r="A288" s="89">
        <v>277</v>
      </c>
      <c r="B288" s="84" t="s">
        <v>2498</v>
      </c>
      <c r="C288" s="84" t="s">
        <v>139</v>
      </c>
      <c r="D288" s="83">
        <v>23</v>
      </c>
      <c r="E288" s="83" t="s">
        <v>88</v>
      </c>
      <c r="F288" s="83">
        <v>10</v>
      </c>
      <c r="G288" s="83">
        <v>5</v>
      </c>
      <c r="H288" s="83">
        <v>17</v>
      </c>
      <c r="I288" s="83">
        <v>12</v>
      </c>
      <c r="J288" s="86">
        <v>0.70599999999999996</v>
      </c>
      <c r="K288" s="83">
        <v>117</v>
      </c>
      <c r="L288" s="83">
        <v>9.8000000000000007</v>
      </c>
      <c r="M288" s="83">
        <v>2</v>
      </c>
      <c r="N288" s="83">
        <v>6</v>
      </c>
      <c r="O288" s="83">
        <v>36</v>
      </c>
      <c r="P288" s="83">
        <v>6.9</v>
      </c>
      <c r="Q288" s="83">
        <v>1.2</v>
      </c>
      <c r="R288" s="83">
        <v>11.7</v>
      </c>
      <c r="S288" s="83">
        <v>0</v>
      </c>
    </row>
    <row r="289" spans="1:19" ht="16" x14ac:dyDescent="0.2">
      <c r="A289" s="89">
        <v>278</v>
      </c>
      <c r="B289" s="84" t="s">
        <v>274</v>
      </c>
      <c r="C289" s="84" t="s">
        <v>71</v>
      </c>
      <c r="D289" s="83">
        <v>28</v>
      </c>
      <c r="E289" s="83" t="s">
        <v>68</v>
      </c>
      <c r="F289" s="83">
        <v>11</v>
      </c>
      <c r="G289" s="83">
        <v>5</v>
      </c>
      <c r="H289" s="83">
        <v>16</v>
      </c>
      <c r="I289" s="83">
        <v>11</v>
      </c>
      <c r="J289" s="86">
        <v>0.68799999999999994</v>
      </c>
      <c r="K289" s="83">
        <v>49</v>
      </c>
      <c r="L289" s="83">
        <v>4.5</v>
      </c>
      <c r="M289" s="83">
        <v>0</v>
      </c>
      <c r="N289" s="83">
        <v>2</v>
      </c>
      <c r="O289" s="83">
        <v>11</v>
      </c>
      <c r="P289" s="83">
        <v>3.1</v>
      </c>
      <c r="Q289" s="83">
        <v>1</v>
      </c>
      <c r="R289" s="83">
        <v>4.5</v>
      </c>
      <c r="S289" s="83">
        <v>0</v>
      </c>
    </row>
    <row r="290" spans="1:19" ht="16" x14ac:dyDescent="0.2">
      <c r="A290" s="89">
        <v>279</v>
      </c>
      <c r="B290" s="84" t="s">
        <v>2303</v>
      </c>
      <c r="C290" s="84" t="s">
        <v>107</v>
      </c>
      <c r="D290" s="83">
        <v>23</v>
      </c>
      <c r="E290" s="83" t="s">
        <v>88</v>
      </c>
      <c r="F290" s="83">
        <v>17</v>
      </c>
      <c r="G290" s="83">
        <v>0</v>
      </c>
      <c r="H290" s="83">
        <v>15</v>
      </c>
      <c r="I290" s="83">
        <v>11</v>
      </c>
      <c r="J290" s="86">
        <v>0.73299999999999998</v>
      </c>
      <c r="K290" s="83">
        <v>106</v>
      </c>
      <c r="L290" s="83">
        <v>9.6</v>
      </c>
      <c r="M290" s="83">
        <v>0</v>
      </c>
      <c r="N290" s="83">
        <v>4</v>
      </c>
      <c r="O290" s="83">
        <v>27</v>
      </c>
      <c r="P290" s="83">
        <v>7.1</v>
      </c>
      <c r="Q290" s="83">
        <v>0.6</v>
      </c>
      <c r="R290" s="83">
        <v>6.2</v>
      </c>
      <c r="S290" s="83">
        <v>0</v>
      </c>
    </row>
    <row r="291" spans="1:19" ht="16" x14ac:dyDescent="0.2">
      <c r="A291" s="89">
        <v>280</v>
      </c>
      <c r="B291" s="84" t="s">
        <v>2648</v>
      </c>
      <c r="C291" s="83" t="s">
        <v>1726</v>
      </c>
      <c r="D291" s="83">
        <v>29</v>
      </c>
      <c r="E291" s="83" t="s">
        <v>83</v>
      </c>
      <c r="F291" s="83">
        <v>15</v>
      </c>
      <c r="G291" s="83">
        <v>0</v>
      </c>
      <c r="H291" s="83">
        <v>17</v>
      </c>
      <c r="I291" s="83">
        <v>11</v>
      </c>
      <c r="J291" s="86">
        <v>0.64700000000000002</v>
      </c>
      <c r="K291" s="83">
        <v>132</v>
      </c>
      <c r="L291" s="83">
        <v>12</v>
      </c>
      <c r="M291" s="83">
        <v>2</v>
      </c>
      <c r="N291" s="83">
        <v>7</v>
      </c>
      <c r="O291" s="83">
        <v>46</v>
      </c>
      <c r="P291" s="83">
        <v>7.8</v>
      </c>
      <c r="Q291" s="83">
        <v>0.7</v>
      </c>
      <c r="R291" s="83">
        <v>8.8000000000000007</v>
      </c>
      <c r="S291" s="83">
        <v>3</v>
      </c>
    </row>
    <row r="292" spans="1:19" ht="16" x14ac:dyDescent="0.2">
      <c r="A292" s="89">
        <v>281</v>
      </c>
      <c r="B292" s="84" t="s">
        <v>2105</v>
      </c>
      <c r="C292" s="84" t="s">
        <v>729</v>
      </c>
      <c r="D292" s="83">
        <v>27</v>
      </c>
      <c r="E292" s="83" t="s">
        <v>88</v>
      </c>
      <c r="F292" s="83">
        <v>8</v>
      </c>
      <c r="G292" s="83">
        <v>5</v>
      </c>
      <c r="H292" s="83">
        <v>17</v>
      </c>
      <c r="I292" s="83">
        <v>11</v>
      </c>
      <c r="J292" s="86">
        <v>0.64700000000000002</v>
      </c>
      <c r="K292" s="83">
        <v>96</v>
      </c>
      <c r="L292" s="83">
        <v>8.6999999999999993</v>
      </c>
      <c r="M292" s="83">
        <v>2</v>
      </c>
      <c r="N292" s="83">
        <v>5</v>
      </c>
      <c r="O292" s="83">
        <v>20</v>
      </c>
      <c r="P292" s="83">
        <v>5.6</v>
      </c>
      <c r="Q292" s="83">
        <v>1.4</v>
      </c>
      <c r="R292" s="83">
        <v>12</v>
      </c>
      <c r="S292" s="83">
        <v>0</v>
      </c>
    </row>
    <row r="293" spans="1:19" ht="16" x14ac:dyDescent="0.2">
      <c r="A293" s="89">
        <v>282</v>
      </c>
      <c r="B293" s="84" t="s">
        <v>366</v>
      </c>
      <c r="C293" s="84" t="s">
        <v>92</v>
      </c>
      <c r="D293" s="83">
        <v>24</v>
      </c>
      <c r="E293" s="83" t="s">
        <v>83</v>
      </c>
      <c r="F293" s="83">
        <v>12</v>
      </c>
      <c r="G293" s="83">
        <v>1</v>
      </c>
      <c r="H293" s="83">
        <v>21</v>
      </c>
      <c r="I293" s="83">
        <v>11</v>
      </c>
      <c r="J293" s="86">
        <v>0.52400000000000002</v>
      </c>
      <c r="K293" s="83">
        <v>105</v>
      </c>
      <c r="L293" s="83">
        <v>9.5</v>
      </c>
      <c r="M293" s="83">
        <v>0</v>
      </c>
      <c r="N293" s="83">
        <v>6</v>
      </c>
      <c r="O293" s="83">
        <v>16</v>
      </c>
      <c r="P293" s="83">
        <v>5</v>
      </c>
      <c r="Q293" s="83">
        <v>0.9</v>
      </c>
      <c r="R293" s="83">
        <v>8.8000000000000007</v>
      </c>
      <c r="S293" s="83">
        <v>0</v>
      </c>
    </row>
    <row r="294" spans="1:19" ht="16" x14ac:dyDescent="0.2">
      <c r="A294" s="89">
        <v>283</v>
      </c>
      <c r="B294" s="84" t="s">
        <v>2060</v>
      </c>
      <c r="C294" s="84" t="s">
        <v>976</v>
      </c>
      <c r="D294" s="83">
        <v>28</v>
      </c>
      <c r="E294" s="83" t="s">
        <v>83</v>
      </c>
      <c r="F294" s="83">
        <v>6</v>
      </c>
      <c r="G294" s="83">
        <v>0</v>
      </c>
      <c r="H294" s="83">
        <v>18</v>
      </c>
      <c r="I294" s="83">
        <v>11</v>
      </c>
      <c r="J294" s="86">
        <v>0.61099999999999999</v>
      </c>
      <c r="K294" s="83">
        <v>167</v>
      </c>
      <c r="L294" s="83">
        <v>15.2</v>
      </c>
      <c r="M294" s="83">
        <v>1</v>
      </c>
      <c r="N294" s="83">
        <v>5</v>
      </c>
      <c r="O294" s="83">
        <v>58</v>
      </c>
      <c r="P294" s="83">
        <v>9.3000000000000007</v>
      </c>
      <c r="Q294" s="83">
        <v>1.8</v>
      </c>
      <c r="R294" s="83">
        <v>27.8</v>
      </c>
      <c r="S294" s="83">
        <v>0</v>
      </c>
    </row>
    <row r="295" spans="1:19" ht="16" x14ac:dyDescent="0.2">
      <c r="A295" s="89">
        <v>284</v>
      </c>
      <c r="B295" s="84" t="s">
        <v>2149</v>
      </c>
      <c r="C295" s="84" t="s">
        <v>92</v>
      </c>
      <c r="D295" s="83">
        <v>26</v>
      </c>
      <c r="E295" s="83" t="s">
        <v>83</v>
      </c>
      <c r="F295" s="83">
        <v>10</v>
      </c>
      <c r="G295" s="83">
        <v>1</v>
      </c>
      <c r="H295" s="83">
        <v>20</v>
      </c>
      <c r="I295" s="83">
        <v>11</v>
      </c>
      <c r="J295" s="86">
        <v>0.55000000000000004</v>
      </c>
      <c r="K295" s="83">
        <v>224</v>
      </c>
      <c r="L295" s="83">
        <v>20.399999999999999</v>
      </c>
      <c r="M295" s="83">
        <v>1</v>
      </c>
      <c r="N295" s="83">
        <v>8</v>
      </c>
      <c r="O295" s="83">
        <v>51</v>
      </c>
      <c r="P295" s="83">
        <v>11.2</v>
      </c>
      <c r="Q295" s="83">
        <v>1.1000000000000001</v>
      </c>
      <c r="R295" s="83">
        <v>22.4</v>
      </c>
      <c r="S295" s="83">
        <v>1</v>
      </c>
    </row>
    <row r="296" spans="1:19" ht="16" x14ac:dyDescent="0.2">
      <c r="A296" s="89">
        <v>285</v>
      </c>
      <c r="B296" s="84" t="s">
        <v>625</v>
      </c>
      <c r="C296" s="84" t="s">
        <v>74</v>
      </c>
      <c r="D296" s="83">
        <v>25</v>
      </c>
      <c r="E296" s="83" t="s">
        <v>88</v>
      </c>
      <c r="F296" s="83">
        <v>17</v>
      </c>
      <c r="G296" s="83">
        <v>8</v>
      </c>
      <c r="H296" s="83">
        <v>15</v>
      </c>
      <c r="I296" s="83">
        <v>11</v>
      </c>
      <c r="J296" s="86">
        <v>0.73299999999999998</v>
      </c>
      <c r="K296" s="83">
        <v>81</v>
      </c>
      <c r="L296" s="83">
        <v>7.4</v>
      </c>
      <c r="M296" s="83">
        <v>0</v>
      </c>
      <c r="N296" s="83">
        <v>3</v>
      </c>
      <c r="O296" s="83">
        <v>19</v>
      </c>
      <c r="P296" s="83">
        <v>5.4</v>
      </c>
      <c r="Q296" s="83">
        <v>0.6</v>
      </c>
      <c r="R296" s="83">
        <v>4.8</v>
      </c>
      <c r="S296" s="83">
        <v>0</v>
      </c>
    </row>
    <row r="297" spans="1:19" ht="16" x14ac:dyDescent="0.2">
      <c r="A297" s="89">
        <v>286</v>
      </c>
      <c r="B297" s="84" t="s">
        <v>2290</v>
      </c>
      <c r="C297" s="84" t="s">
        <v>730</v>
      </c>
      <c r="D297" s="83">
        <v>24</v>
      </c>
      <c r="E297" s="83" t="s">
        <v>83</v>
      </c>
      <c r="F297" s="83">
        <v>14</v>
      </c>
      <c r="G297" s="83">
        <v>1</v>
      </c>
      <c r="H297" s="83">
        <v>20</v>
      </c>
      <c r="I297" s="83">
        <v>11</v>
      </c>
      <c r="J297" s="86">
        <v>0.55000000000000004</v>
      </c>
      <c r="K297" s="83">
        <v>133</v>
      </c>
      <c r="L297" s="83">
        <v>12.1</v>
      </c>
      <c r="M297" s="83">
        <v>0</v>
      </c>
      <c r="N297" s="83">
        <v>7</v>
      </c>
      <c r="O297" s="83">
        <v>35</v>
      </c>
      <c r="P297" s="83">
        <v>6.7</v>
      </c>
      <c r="Q297" s="83">
        <v>0.8</v>
      </c>
      <c r="R297" s="83">
        <v>9.5</v>
      </c>
      <c r="S297" s="83">
        <v>0</v>
      </c>
    </row>
    <row r="298" spans="1:19" ht="16" x14ac:dyDescent="0.2">
      <c r="A298" s="89">
        <v>287</v>
      </c>
      <c r="B298" s="84" t="s">
        <v>1723</v>
      </c>
      <c r="C298" s="84" t="s">
        <v>933</v>
      </c>
      <c r="D298" s="83">
        <v>27</v>
      </c>
      <c r="E298" s="83" t="s">
        <v>68</v>
      </c>
      <c r="F298" s="83">
        <v>10</v>
      </c>
      <c r="G298" s="83">
        <v>1</v>
      </c>
      <c r="H298" s="83">
        <v>13</v>
      </c>
      <c r="I298" s="83">
        <v>10</v>
      </c>
      <c r="J298" s="86">
        <v>0.76900000000000002</v>
      </c>
      <c r="K298" s="83">
        <v>67</v>
      </c>
      <c r="L298" s="83">
        <v>6.7</v>
      </c>
      <c r="M298" s="83">
        <v>0</v>
      </c>
      <c r="N298" s="83">
        <v>3</v>
      </c>
      <c r="O298" s="83">
        <v>23</v>
      </c>
      <c r="P298" s="83">
        <v>5.2</v>
      </c>
      <c r="Q298" s="83">
        <v>1</v>
      </c>
      <c r="R298" s="83">
        <v>6.7</v>
      </c>
      <c r="S298" s="83">
        <v>2</v>
      </c>
    </row>
    <row r="299" spans="1:19" ht="16" x14ac:dyDescent="0.2">
      <c r="A299" s="89">
        <v>288</v>
      </c>
      <c r="B299" s="84" t="s">
        <v>572</v>
      </c>
      <c r="C299" s="84" t="s">
        <v>139</v>
      </c>
      <c r="D299" s="83">
        <v>24</v>
      </c>
      <c r="E299" s="83" t="s">
        <v>83</v>
      </c>
      <c r="F299" s="83">
        <v>8</v>
      </c>
      <c r="G299" s="83">
        <v>2</v>
      </c>
      <c r="H299" s="83">
        <v>22</v>
      </c>
      <c r="I299" s="83">
        <v>10</v>
      </c>
      <c r="J299" s="86">
        <v>0.45500000000000002</v>
      </c>
      <c r="K299" s="83">
        <v>103</v>
      </c>
      <c r="L299" s="83">
        <v>10.3</v>
      </c>
      <c r="M299" s="83">
        <v>0</v>
      </c>
      <c r="N299" s="83">
        <v>4</v>
      </c>
      <c r="O299" s="83">
        <v>24</v>
      </c>
      <c r="P299" s="83">
        <v>4.7</v>
      </c>
      <c r="Q299" s="83">
        <v>1.3</v>
      </c>
      <c r="R299" s="83">
        <v>12.9</v>
      </c>
      <c r="S299" s="83">
        <v>0</v>
      </c>
    </row>
    <row r="300" spans="1:19" ht="16" x14ac:dyDescent="0.2">
      <c r="A300" s="89">
        <v>289</v>
      </c>
      <c r="B300" s="84" t="s">
        <v>316</v>
      </c>
      <c r="C300" s="84" t="s">
        <v>107</v>
      </c>
      <c r="D300" s="83">
        <v>24</v>
      </c>
      <c r="E300" s="83" t="s">
        <v>83</v>
      </c>
      <c r="F300" s="83">
        <v>6</v>
      </c>
      <c r="G300" s="83">
        <v>3</v>
      </c>
      <c r="H300" s="83">
        <v>20</v>
      </c>
      <c r="I300" s="83">
        <v>10</v>
      </c>
      <c r="J300" s="86">
        <v>0.5</v>
      </c>
      <c r="K300" s="83">
        <v>162</v>
      </c>
      <c r="L300" s="83">
        <v>16.2</v>
      </c>
      <c r="M300" s="83">
        <v>1</v>
      </c>
      <c r="N300" s="83">
        <v>7</v>
      </c>
      <c r="O300" s="83">
        <v>51</v>
      </c>
      <c r="P300" s="83">
        <v>8.1</v>
      </c>
      <c r="Q300" s="83">
        <v>1.7</v>
      </c>
      <c r="R300" s="83">
        <v>27</v>
      </c>
      <c r="S300" s="83">
        <v>0</v>
      </c>
    </row>
    <row r="301" spans="1:19" ht="16" x14ac:dyDescent="0.2">
      <c r="A301" s="89">
        <v>290</v>
      </c>
      <c r="B301" s="84" t="s">
        <v>1529</v>
      </c>
      <c r="C301" s="84" t="s">
        <v>108</v>
      </c>
      <c r="D301" s="83">
        <v>24</v>
      </c>
      <c r="E301" s="83" t="s">
        <v>83</v>
      </c>
      <c r="F301" s="83">
        <v>10</v>
      </c>
      <c r="G301" s="83">
        <v>0</v>
      </c>
      <c r="H301" s="83">
        <v>20</v>
      </c>
      <c r="I301" s="83">
        <v>10</v>
      </c>
      <c r="J301" s="86">
        <v>0.5</v>
      </c>
      <c r="K301" s="83">
        <v>64</v>
      </c>
      <c r="L301" s="83">
        <v>6.4</v>
      </c>
      <c r="M301" s="83">
        <v>1</v>
      </c>
      <c r="N301" s="83">
        <v>4</v>
      </c>
      <c r="O301" s="83">
        <v>17</v>
      </c>
      <c r="P301" s="83">
        <v>3.2</v>
      </c>
      <c r="Q301" s="83">
        <v>1</v>
      </c>
      <c r="R301" s="83">
        <v>6.4</v>
      </c>
      <c r="S301" s="83">
        <v>0</v>
      </c>
    </row>
    <row r="302" spans="1:19" ht="16" x14ac:dyDescent="0.2">
      <c r="A302" s="89">
        <v>291</v>
      </c>
      <c r="B302" s="84" t="s">
        <v>370</v>
      </c>
      <c r="C302" s="83" t="s">
        <v>1726</v>
      </c>
      <c r="D302" s="83">
        <v>25</v>
      </c>
      <c r="E302" s="83" t="s">
        <v>68</v>
      </c>
      <c r="F302" s="83">
        <v>15</v>
      </c>
      <c r="G302" s="83">
        <v>0</v>
      </c>
      <c r="H302" s="83">
        <v>16</v>
      </c>
      <c r="I302" s="83">
        <v>10</v>
      </c>
      <c r="J302" s="86">
        <v>0.625</v>
      </c>
      <c r="K302" s="83">
        <v>77</v>
      </c>
      <c r="L302" s="83">
        <v>7.7</v>
      </c>
      <c r="M302" s="83">
        <v>0</v>
      </c>
      <c r="N302" s="83">
        <v>4</v>
      </c>
      <c r="O302" s="83">
        <v>12</v>
      </c>
      <c r="P302" s="83">
        <v>4.8</v>
      </c>
      <c r="Q302" s="83">
        <v>0.7</v>
      </c>
      <c r="R302" s="83">
        <v>5.0999999999999996</v>
      </c>
      <c r="S302" s="83">
        <v>0</v>
      </c>
    </row>
    <row r="303" spans="1:19" ht="16" x14ac:dyDescent="0.2">
      <c r="A303" s="89">
        <v>292</v>
      </c>
      <c r="B303" s="84" t="s">
        <v>2492</v>
      </c>
      <c r="C303" s="84" t="s">
        <v>976</v>
      </c>
      <c r="D303" s="83">
        <v>28</v>
      </c>
      <c r="E303" s="83" t="s">
        <v>83</v>
      </c>
      <c r="F303" s="83">
        <v>5</v>
      </c>
      <c r="G303" s="83">
        <v>3</v>
      </c>
      <c r="H303" s="83">
        <v>12</v>
      </c>
      <c r="I303" s="83">
        <v>10</v>
      </c>
      <c r="J303" s="86">
        <v>0.83299999999999996</v>
      </c>
      <c r="K303" s="83">
        <v>212</v>
      </c>
      <c r="L303" s="83">
        <v>21.2</v>
      </c>
      <c r="M303" s="83">
        <v>2</v>
      </c>
      <c r="N303" s="83">
        <v>8</v>
      </c>
      <c r="O303" s="83">
        <v>62</v>
      </c>
      <c r="P303" s="83">
        <v>17.7</v>
      </c>
      <c r="Q303" s="83">
        <v>2</v>
      </c>
      <c r="R303" s="83">
        <v>42.4</v>
      </c>
      <c r="S303" s="83">
        <v>0</v>
      </c>
    </row>
    <row r="304" spans="1:19" ht="16" x14ac:dyDescent="0.2">
      <c r="A304" s="89">
        <v>293</v>
      </c>
      <c r="B304" s="84" t="s">
        <v>1940</v>
      </c>
      <c r="C304" s="84" t="s">
        <v>933</v>
      </c>
      <c r="D304" s="83">
        <v>25</v>
      </c>
      <c r="E304" s="83" t="s">
        <v>1824</v>
      </c>
      <c r="F304" s="83">
        <v>9</v>
      </c>
      <c r="G304" s="83">
        <v>3</v>
      </c>
      <c r="H304" s="83">
        <v>12</v>
      </c>
      <c r="I304" s="83">
        <v>10</v>
      </c>
      <c r="J304" s="86">
        <v>0.83299999999999996</v>
      </c>
      <c r="K304" s="83">
        <v>85</v>
      </c>
      <c r="L304" s="83">
        <v>8.5</v>
      </c>
      <c r="M304" s="83">
        <v>1</v>
      </c>
      <c r="N304" s="83">
        <v>4</v>
      </c>
      <c r="O304" s="83">
        <v>29</v>
      </c>
      <c r="P304" s="83">
        <v>7.1</v>
      </c>
      <c r="Q304" s="83">
        <v>1.1000000000000001</v>
      </c>
      <c r="R304" s="83">
        <v>9.4</v>
      </c>
      <c r="S304" s="83">
        <v>0</v>
      </c>
    </row>
    <row r="305" spans="1:19" ht="16" x14ac:dyDescent="0.2">
      <c r="A305" s="89">
        <v>294</v>
      </c>
      <c r="B305" s="84" t="s">
        <v>1509</v>
      </c>
      <c r="C305" s="84" t="s">
        <v>976</v>
      </c>
      <c r="D305" s="83">
        <v>24</v>
      </c>
      <c r="E305" s="83" t="s">
        <v>68</v>
      </c>
      <c r="F305" s="83">
        <v>16</v>
      </c>
      <c r="G305" s="83">
        <v>3</v>
      </c>
      <c r="H305" s="83">
        <v>13</v>
      </c>
      <c r="I305" s="83">
        <v>10</v>
      </c>
      <c r="J305" s="86">
        <v>0.76900000000000002</v>
      </c>
      <c r="K305" s="83">
        <v>64</v>
      </c>
      <c r="L305" s="83">
        <v>6.4</v>
      </c>
      <c r="M305" s="83">
        <v>0</v>
      </c>
      <c r="N305" s="83">
        <v>2</v>
      </c>
      <c r="O305" s="83">
        <v>15</v>
      </c>
      <c r="P305" s="83">
        <v>4.9000000000000004</v>
      </c>
      <c r="Q305" s="83">
        <v>0.6</v>
      </c>
      <c r="R305" s="83">
        <v>4</v>
      </c>
      <c r="S305" s="83">
        <v>2</v>
      </c>
    </row>
    <row r="306" spans="1:19" ht="16" x14ac:dyDescent="0.2">
      <c r="A306" s="89">
        <v>295</v>
      </c>
      <c r="B306" s="84" t="s">
        <v>1473</v>
      </c>
      <c r="C306" s="84" t="s">
        <v>725</v>
      </c>
      <c r="D306" s="83">
        <v>31</v>
      </c>
      <c r="E306" s="83" t="s">
        <v>68</v>
      </c>
      <c r="F306" s="83">
        <v>14</v>
      </c>
      <c r="G306" s="83">
        <v>6</v>
      </c>
      <c r="H306" s="83">
        <v>13</v>
      </c>
      <c r="I306" s="83">
        <v>10</v>
      </c>
      <c r="J306" s="86">
        <v>0.76900000000000002</v>
      </c>
      <c r="K306" s="83">
        <v>75</v>
      </c>
      <c r="L306" s="83">
        <v>7.5</v>
      </c>
      <c r="M306" s="83">
        <v>0</v>
      </c>
      <c r="N306" s="83">
        <v>2</v>
      </c>
      <c r="O306" s="83">
        <v>18</v>
      </c>
      <c r="P306" s="83">
        <v>5.8</v>
      </c>
      <c r="Q306" s="83">
        <v>0.7</v>
      </c>
      <c r="R306" s="83">
        <v>5.4</v>
      </c>
      <c r="S306" s="83">
        <v>0</v>
      </c>
    </row>
    <row r="307" spans="1:19" ht="16" x14ac:dyDescent="0.2">
      <c r="A307" s="89">
        <v>296</v>
      </c>
      <c r="B307" s="84" t="s">
        <v>472</v>
      </c>
      <c r="C307" s="84" t="s">
        <v>119</v>
      </c>
      <c r="D307" s="83">
        <v>22</v>
      </c>
      <c r="E307" s="83" t="s">
        <v>68</v>
      </c>
      <c r="F307" s="83">
        <v>17</v>
      </c>
      <c r="G307" s="83">
        <v>1</v>
      </c>
      <c r="H307" s="83">
        <v>11</v>
      </c>
      <c r="I307" s="83">
        <v>10</v>
      </c>
      <c r="J307" s="86">
        <v>0.90900000000000003</v>
      </c>
      <c r="K307" s="83">
        <v>73</v>
      </c>
      <c r="L307" s="83">
        <v>7.3</v>
      </c>
      <c r="M307" s="83">
        <v>0</v>
      </c>
      <c r="N307" s="83">
        <v>5</v>
      </c>
      <c r="O307" s="83">
        <v>12</v>
      </c>
      <c r="P307" s="83">
        <v>6.6</v>
      </c>
      <c r="Q307" s="83">
        <v>0.6</v>
      </c>
      <c r="R307" s="83">
        <v>4.3</v>
      </c>
      <c r="S307" s="83">
        <v>1</v>
      </c>
    </row>
    <row r="308" spans="1:19" ht="16" x14ac:dyDescent="0.2">
      <c r="A308" s="89">
        <v>297</v>
      </c>
      <c r="B308" s="84" t="s">
        <v>552</v>
      </c>
      <c r="C308" s="84" t="s">
        <v>92</v>
      </c>
      <c r="D308" s="83">
        <v>26</v>
      </c>
      <c r="E308" s="83" t="s">
        <v>83</v>
      </c>
      <c r="F308" s="83">
        <v>3</v>
      </c>
      <c r="G308" s="83">
        <v>0</v>
      </c>
      <c r="H308" s="83">
        <v>16</v>
      </c>
      <c r="I308" s="83">
        <v>10</v>
      </c>
      <c r="J308" s="86">
        <v>0.625</v>
      </c>
      <c r="K308" s="83">
        <v>87</v>
      </c>
      <c r="L308" s="83">
        <v>8.6999999999999993</v>
      </c>
      <c r="M308" s="83">
        <v>1</v>
      </c>
      <c r="N308" s="83">
        <v>5</v>
      </c>
      <c r="O308" s="83">
        <v>27</v>
      </c>
      <c r="P308" s="83">
        <v>5.4</v>
      </c>
      <c r="Q308" s="83">
        <v>3.3</v>
      </c>
      <c r="R308" s="83">
        <v>29</v>
      </c>
      <c r="S308" s="83">
        <v>1</v>
      </c>
    </row>
    <row r="309" spans="1:19" ht="16" x14ac:dyDescent="0.2">
      <c r="A309" s="89">
        <v>298</v>
      </c>
      <c r="B309" s="84" t="s">
        <v>423</v>
      </c>
      <c r="C309" s="84" t="s">
        <v>82</v>
      </c>
      <c r="D309" s="83">
        <v>21</v>
      </c>
      <c r="E309" s="83" t="s">
        <v>83</v>
      </c>
      <c r="F309" s="83">
        <v>14</v>
      </c>
      <c r="G309" s="83">
        <v>2</v>
      </c>
      <c r="H309" s="83">
        <v>23</v>
      </c>
      <c r="I309" s="83">
        <v>10</v>
      </c>
      <c r="J309" s="86">
        <v>0.435</v>
      </c>
      <c r="K309" s="83">
        <v>135</v>
      </c>
      <c r="L309" s="83">
        <v>13.5</v>
      </c>
      <c r="M309" s="83">
        <v>1</v>
      </c>
      <c r="N309" s="83">
        <v>6</v>
      </c>
      <c r="O309" s="83">
        <v>44</v>
      </c>
      <c r="P309" s="83">
        <v>5.9</v>
      </c>
      <c r="Q309" s="83">
        <v>0.7</v>
      </c>
      <c r="R309" s="83">
        <v>9.6</v>
      </c>
      <c r="S309" s="83">
        <v>0</v>
      </c>
    </row>
    <row r="310" spans="1:19" ht="16" x14ac:dyDescent="0.2">
      <c r="A310" s="89">
        <v>299</v>
      </c>
      <c r="B310" s="84" t="s">
        <v>383</v>
      </c>
      <c r="C310" s="84" t="s">
        <v>73</v>
      </c>
      <c r="D310" s="83">
        <v>28</v>
      </c>
      <c r="E310" s="83" t="s">
        <v>83</v>
      </c>
      <c r="F310" s="83">
        <v>15</v>
      </c>
      <c r="G310" s="83">
        <v>0</v>
      </c>
      <c r="H310" s="83">
        <v>15</v>
      </c>
      <c r="I310" s="83">
        <v>10</v>
      </c>
      <c r="J310" s="86">
        <v>0.66700000000000004</v>
      </c>
      <c r="K310" s="83">
        <v>68</v>
      </c>
      <c r="L310" s="83">
        <v>6.8</v>
      </c>
      <c r="M310" s="83">
        <v>0</v>
      </c>
      <c r="N310" s="83">
        <v>3</v>
      </c>
      <c r="O310" s="83">
        <v>17</v>
      </c>
      <c r="P310" s="83">
        <v>4.5</v>
      </c>
      <c r="Q310" s="83">
        <v>0.7</v>
      </c>
      <c r="R310" s="83">
        <v>4.5</v>
      </c>
      <c r="S310" s="83">
        <v>2</v>
      </c>
    </row>
    <row r="311" spans="1:19" x14ac:dyDescent="0.2">
      <c r="A311" s="89" t="s">
        <v>902</v>
      </c>
      <c r="B311" s="89" t="s">
        <v>903</v>
      </c>
      <c r="C311" s="89" t="s">
        <v>1314</v>
      </c>
      <c r="D311" s="89" t="s">
        <v>905</v>
      </c>
      <c r="E311" s="89" t="s">
        <v>906</v>
      </c>
      <c r="F311" s="89" t="s">
        <v>1315</v>
      </c>
      <c r="G311" s="89" t="s">
        <v>1316</v>
      </c>
      <c r="H311" s="89" t="s">
        <v>2314</v>
      </c>
      <c r="I311" s="89" t="s">
        <v>2092</v>
      </c>
      <c r="J311" s="89" t="s">
        <v>2093</v>
      </c>
      <c r="K311" s="89" t="s">
        <v>799</v>
      </c>
      <c r="L311" s="89" t="s">
        <v>2315</v>
      </c>
      <c r="M311" s="89" t="s">
        <v>800</v>
      </c>
      <c r="N311" s="89" t="s">
        <v>1321</v>
      </c>
      <c r="O311" s="89" t="s">
        <v>917</v>
      </c>
      <c r="P311" s="89" t="s">
        <v>2316</v>
      </c>
      <c r="Q311" s="89" t="s">
        <v>2317</v>
      </c>
      <c r="R311" s="89" t="s">
        <v>1325</v>
      </c>
      <c r="S311" s="89" t="s">
        <v>1416</v>
      </c>
    </row>
    <row r="312" spans="1:19" ht="16" x14ac:dyDescent="0.2">
      <c r="A312" s="89">
        <v>300</v>
      </c>
      <c r="B312" s="84" t="s">
        <v>648</v>
      </c>
      <c r="C312" s="84" t="s">
        <v>1040</v>
      </c>
      <c r="D312" s="83">
        <v>30</v>
      </c>
      <c r="E312" s="83" t="s">
        <v>88</v>
      </c>
      <c r="F312" s="83">
        <v>16</v>
      </c>
      <c r="G312" s="83">
        <v>5</v>
      </c>
      <c r="H312" s="83">
        <v>13</v>
      </c>
      <c r="I312" s="83">
        <v>9</v>
      </c>
      <c r="J312" s="86">
        <v>0.69199999999999995</v>
      </c>
      <c r="K312" s="83">
        <v>87</v>
      </c>
      <c r="L312" s="83">
        <v>9.6999999999999993</v>
      </c>
      <c r="M312" s="83">
        <v>0</v>
      </c>
      <c r="N312" s="83">
        <v>4</v>
      </c>
      <c r="O312" s="83">
        <v>24</v>
      </c>
      <c r="P312" s="83">
        <v>6.7</v>
      </c>
      <c r="Q312" s="83">
        <v>0.6</v>
      </c>
      <c r="R312" s="83">
        <v>5.4</v>
      </c>
      <c r="S312" s="83">
        <v>0</v>
      </c>
    </row>
    <row r="313" spans="1:19" ht="16" x14ac:dyDescent="0.2">
      <c r="A313" s="89">
        <v>301</v>
      </c>
      <c r="B313" s="84" t="s">
        <v>601</v>
      </c>
      <c r="C313" s="84" t="s">
        <v>108</v>
      </c>
      <c r="D313" s="83">
        <v>27</v>
      </c>
      <c r="E313" s="83" t="s">
        <v>68</v>
      </c>
      <c r="F313" s="83">
        <v>11</v>
      </c>
      <c r="G313" s="83">
        <v>6</v>
      </c>
      <c r="H313" s="83">
        <v>10</v>
      </c>
      <c r="I313" s="83">
        <v>9</v>
      </c>
      <c r="J313" s="86">
        <v>0.9</v>
      </c>
      <c r="K313" s="83">
        <v>87</v>
      </c>
      <c r="L313" s="83">
        <v>9.6999999999999993</v>
      </c>
      <c r="M313" s="83">
        <v>0</v>
      </c>
      <c r="N313" s="83">
        <v>3</v>
      </c>
      <c r="O313" s="83">
        <v>28</v>
      </c>
      <c r="P313" s="83">
        <v>8.6999999999999993</v>
      </c>
      <c r="Q313" s="83">
        <v>0.8</v>
      </c>
      <c r="R313" s="83">
        <v>7.9</v>
      </c>
      <c r="S313" s="83">
        <v>1</v>
      </c>
    </row>
    <row r="314" spans="1:19" ht="16" x14ac:dyDescent="0.2">
      <c r="A314" s="89">
        <v>302</v>
      </c>
      <c r="B314" s="84" t="s">
        <v>1808</v>
      </c>
      <c r="C314" s="84" t="s">
        <v>77</v>
      </c>
      <c r="D314" s="83">
        <v>25</v>
      </c>
      <c r="E314" s="83" t="s">
        <v>68</v>
      </c>
      <c r="F314" s="83">
        <v>9</v>
      </c>
      <c r="G314" s="83">
        <v>3</v>
      </c>
      <c r="H314" s="83">
        <v>11</v>
      </c>
      <c r="I314" s="83">
        <v>9</v>
      </c>
      <c r="J314" s="86">
        <v>0.81799999999999995</v>
      </c>
      <c r="K314" s="83">
        <v>123</v>
      </c>
      <c r="L314" s="83">
        <v>13.7</v>
      </c>
      <c r="M314" s="83">
        <v>0</v>
      </c>
      <c r="N314" s="83">
        <v>6</v>
      </c>
      <c r="O314" s="83">
        <v>39</v>
      </c>
      <c r="P314" s="83">
        <v>11.2</v>
      </c>
      <c r="Q314" s="83">
        <v>1</v>
      </c>
      <c r="R314" s="83">
        <v>13.7</v>
      </c>
      <c r="S314" s="83">
        <v>2</v>
      </c>
    </row>
    <row r="315" spans="1:19" ht="16" x14ac:dyDescent="0.2">
      <c r="A315" s="89">
        <v>303</v>
      </c>
      <c r="B315" s="84" t="s">
        <v>615</v>
      </c>
      <c r="C315" s="84" t="s">
        <v>1052</v>
      </c>
      <c r="D315" s="83">
        <v>28</v>
      </c>
      <c r="E315" s="83" t="s">
        <v>88</v>
      </c>
      <c r="F315" s="83">
        <v>7</v>
      </c>
      <c r="G315" s="83">
        <v>2</v>
      </c>
      <c r="H315" s="83">
        <v>14</v>
      </c>
      <c r="I315" s="83">
        <v>9</v>
      </c>
      <c r="J315" s="86">
        <v>0.64300000000000002</v>
      </c>
      <c r="K315" s="83">
        <v>55</v>
      </c>
      <c r="L315" s="83">
        <v>6.1</v>
      </c>
      <c r="M315" s="83">
        <v>1</v>
      </c>
      <c r="N315" s="83">
        <v>2</v>
      </c>
      <c r="O315" s="83">
        <v>11</v>
      </c>
      <c r="P315" s="83">
        <v>3.9</v>
      </c>
      <c r="Q315" s="83">
        <v>1.3</v>
      </c>
      <c r="R315" s="83">
        <v>7.9</v>
      </c>
      <c r="S315" s="83">
        <v>0</v>
      </c>
    </row>
    <row r="316" spans="1:19" ht="16" x14ac:dyDescent="0.2">
      <c r="A316" s="89">
        <v>304</v>
      </c>
      <c r="B316" s="84" t="s">
        <v>571</v>
      </c>
      <c r="C316" s="84" t="s">
        <v>77</v>
      </c>
      <c r="D316" s="83">
        <v>27</v>
      </c>
      <c r="E316" s="83" t="s">
        <v>83</v>
      </c>
      <c r="F316" s="83">
        <v>7</v>
      </c>
      <c r="G316" s="83">
        <v>3</v>
      </c>
      <c r="H316" s="83">
        <v>19</v>
      </c>
      <c r="I316" s="83">
        <v>9</v>
      </c>
      <c r="J316" s="86">
        <v>0.47399999999999998</v>
      </c>
      <c r="K316" s="83">
        <v>160</v>
      </c>
      <c r="L316" s="83">
        <v>17.8</v>
      </c>
      <c r="M316" s="83">
        <v>0</v>
      </c>
      <c r="N316" s="83">
        <v>7</v>
      </c>
      <c r="O316" s="83">
        <v>50</v>
      </c>
      <c r="P316" s="83">
        <v>8.4</v>
      </c>
      <c r="Q316" s="83">
        <v>1.3</v>
      </c>
      <c r="R316" s="83">
        <v>22.9</v>
      </c>
      <c r="S316" s="83">
        <v>0</v>
      </c>
    </row>
    <row r="317" spans="1:19" ht="16" x14ac:dyDescent="0.2">
      <c r="A317" s="89">
        <v>305</v>
      </c>
      <c r="B317" s="84" t="s">
        <v>2340</v>
      </c>
      <c r="C317" s="84" t="s">
        <v>119</v>
      </c>
      <c r="D317" s="83">
        <v>22</v>
      </c>
      <c r="E317" s="83" t="s">
        <v>83</v>
      </c>
      <c r="F317" s="83">
        <v>13</v>
      </c>
      <c r="G317" s="83">
        <v>1</v>
      </c>
      <c r="H317" s="83">
        <v>14</v>
      </c>
      <c r="I317" s="83">
        <v>9</v>
      </c>
      <c r="J317" s="86">
        <v>0.64300000000000002</v>
      </c>
      <c r="K317" s="83">
        <v>83</v>
      </c>
      <c r="L317" s="83">
        <v>9.1999999999999993</v>
      </c>
      <c r="M317" s="83">
        <v>0</v>
      </c>
      <c r="N317" s="83">
        <v>4</v>
      </c>
      <c r="O317" s="83">
        <v>22</v>
      </c>
      <c r="P317" s="83">
        <v>5.9</v>
      </c>
      <c r="Q317" s="83">
        <v>0.7</v>
      </c>
      <c r="R317" s="83">
        <v>6.4</v>
      </c>
      <c r="S317" s="83">
        <v>1</v>
      </c>
    </row>
    <row r="318" spans="1:19" ht="16" x14ac:dyDescent="0.2">
      <c r="A318" s="89">
        <v>306</v>
      </c>
      <c r="B318" s="84" t="s">
        <v>2319</v>
      </c>
      <c r="C318" s="84" t="s">
        <v>725</v>
      </c>
      <c r="D318" s="83">
        <v>24</v>
      </c>
      <c r="E318" s="83" t="s">
        <v>88</v>
      </c>
      <c r="F318" s="83">
        <v>14</v>
      </c>
      <c r="G318" s="83">
        <v>1</v>
      </c>
      <c r="H318" s="83">
        <v>15</v>
      </c>
      <c r="I318" s="83">
        <v>9</v>
      </c>
      <c r="J318" s="86">
        <v>0.6</v>
      </c>
      <c r="K318" s="83">
        <v>66</v>
      </c>
      <c r="L318" s="83">
        <v>7.3</v>
      </c>
      <c r="M318" s="83">
        <v>0</v>
      </c>
      <c r="N318" s="83">
        <v>4</v>
      </c>
      <c r="O318" s="83">
        <v>19</v>
      </c>
      <c r="P318" s="83">
        <v>4.4000000000000004</v>
      </c>
      <c r="Q318" s="83">
        <v>0.6</v>
      </c>
      <c r="R318" s="83">
        <v>4.7</v>
      </c>
      <c r="S318" s="83">
        <v>1</v>
      </c>
    </row>
    <row r="319" spans="1:19" ht="16" x14ac:dyDescent="0.2">
      <c r="A319" s="89">
        <v>307</v>
      </c>
      <c r="B319" s="84" t="s">
        <v>1901</v>
      </c>
      <c r="C319" s="84" t="s">
        <v>92</v>
      </c>
      <c r="D319" s="83">
        <v>28</v>
      </c>
      <c r="E319" s="83" t="s">
        <v>68</v>
      </c>
      <c r="F319" s="83">
        <v>17</v>
      </c>
      <c r="G319" s="83">
        <v>3</v>
      </c>
      <c r="H319" s="83">
        <v>13</v>
      </c>
      <c r="I319" s="83">
        <v>9</v>
      </c>
      <c r="J319" s="86">
        <v>0.69199999999999995</v>
      </c>
      <c r="K319" s="83">
        <v>30</v>
      </c>
      <c r="L319" s="83">
        <v>3.3</v>
      </c>
      <c r="M319" s="83">
        <v>1</v>
      </c>
      <c r="N319" s="83">
        <v>4</v>
      </c>
      <c r="O319" s="83">
        <v>16</v>
      </c>
      <c r="P319" s="83">
        <v>2.2999999999999998</v>
      </c>
      <c r="Q319" s="83">
        <v>0.5</v>
      </c>
      <c r="R319" s="83">
        <v>1.8</v>
      </c>
      <c r="S319" s="83">
        <v>0</v>
      </c>
    </row>
    <row r="320" spans="1:19" ht="16" x14ac:dyDescent="0.2">
      <c r="A320" s="89">
        <v>308</v>
      </c>
      <c r="B320" s="84" t="s">
        <v>490</v>
      </c>
      <c r="C320" s="84" t="s">
        <v>1087</v>
      </c>
      <c r="D320" s="83">
        <v>25</v>
      </c>
      <c r="E320" s="83" t="s">
        <v>83</v>
      </c>
      <c r="F320" s="83">
        <v>17</v>
      </c>
      <c r="G320" s="83">
        <v>1</v>
      </c>
      <c r="H320" s="83">
        <v>20</v>
      </c>
      <c r="I320" s="83">
        <v>9</v>
      </c>
      <c r="J320" s="86">
        <v>0.45</v>
      </c>
      <c r="K320" s="83">
        <v>87</v>
      </c>
      <c r="L320" s="83">
        <v>9.6999999999999993</v>
      </c>
      <c r="M320" s="83">
        <v>1</v>
      </c>
      <c r="N320" s="83">
        <v>7</v>
      </c>
      <c r="O320" s="83">
        <v>18</v>
      </c>
      <c r="P320" s="83">
        <v>4.4000000000000004</v>
      </c>
      <c r="Q320" s="83">
        <v>0.5</v>
      </c>
      <c r="R320" s="83">
        <v>5.0999999999999996</v>
      </c>
      <c r="S320" s="83">
        <v>0</v>
      </c>
    </row>
    <row r="321" spans="1:19" ht="16" x14ac:dyDescent="0.2">
      <c r="A321" s="89">
        <v>309</v>
      </c>
      <c r="B321" s="84" t="s">
        <v>508</v>
      </c>
      <c r="C321" s="84" t="s">
        <v>101</v>
      </c>
      <c r="D321" s="83">
        <v>29</v>
      </c>
      <c r="E321" s="83" t="s">
        <v>1824</v>
      </c>
      <c r="F321" s="83">
        <v>17</v>
      </c>
      <c r="G321" s="83">
        <v>8</v>
      </c>
      <c r="H321" s="83">
        <v>10</v>
      </c>
      <c r="I321" s="83">
        <v>9</v>
      </c>
      <c r="J321" s="86">
        <v>0.9</v>
      </c>
      <c r="K321" s="83">
        <v>56</v>
      </c>
      <c r="L321" s="83">
        <v>6.2</v>
      </c>
      <c r="M321" s="83">
        <v>0</v>
      </c>
      <c r="N321" s="83">
        <v>3</v>
      </c>
      <c r="O321" s="83">
        <v>11</v>
      </c>
      <c r="P321" s="83">
        <v>5.6</v>
      </c>
      <c r="Q321" s="83">
        <v>0.5</v>
      </c>
      <c r="R321" s="83">
        <v>3.3</v>
      </c>
      <c r="S321" s="83">
        <v>0</v>
      </c>
    </row>
    <row r="322" spans="1:19" ht="16" x14ac:dyDescent="0.2">
      <c r="A322" s="89">
        <v>310</v>
      </c>
      <c r="B322" s="84" t="s">
        <v>620</v>
      </c>
      <c r="C322" s="84" t="s">
        <v>101</v>
      </c>
      <c r="D322" s="83">
        <v>34</v>
      </c>
      <c r="E322" s="83" t="s">
        <v>88</v>
      </c>
      <c r="F322" s="83">
        <v>16</v>
      </c>
      <c r="G322" s="83">
        <v>6</v>
      </c>
      <c r="H322" s="83">
        <v>11</v>
      </c>
      <c r="I322" s="83">
        <v>9</v>
      </c>
      <c r="J322" s="86">
        <v>0.81799999999999995</v>
      </c>
      <c r="K322" s="83">
        <v>65</v>
      </c>
      <c r="L322" s="83">
        <v>7.2</v>
      </c>
      <c r="M322" s="83">
        <v>1</v>
      </c>
      <c r="N322" s="83">
        <v>3</v>
      </c>
      <c r="O322" s="83">
        <v>22</v>
      </c>
      <c r="P322" s="83">
        <v>5.9</v>
      </c>
      <c r="Q322" s="83">
        <v>0.6</v>
      </c>
      <c r="R322" s="83">
        <v>4.0999999999999996</v>
      </c>
      <c r="S322" s="83">
        <v>0</v>
      </c>
    </row>
    <row r="323" spans="1:19" ht="16" x14ac:dyDescent="0.2">
      <c r="A323" s="89">
        <v>311</v>
      </c>
      <c r="B323" s="84" t="s">
        <v>377</v>
      </c>
      <c r="C323" s="84" t="s">
        <v>1267</v>
      </c>
      <c r="D323" s="83">
        <v>25</v>
      </c>
      <c r="E323" s="83" t="s">
        <v>83</v>
      </c>
      <c r="F323" s="83">
        <v>13</v>
      </c>
      <c r="G323" s="83">
        <v>2</v>
      </c>
      <c r="H323" s="83">
        <v>17</v>
      </c>
      <c r="I323" s="83">
        <v>9</v>
      </c>
      <c r="J323" s="86">
        <v>0.52900000000000003</v>
      </c>
      <c r="K323" s="83">
        <v>98</v>
      </c>
      <c r="L323" s="83">
        <v>10.9</v>
      </c>
      <c r="M323" s="83">
        <v>0</v>
      </c>
      <c r="N323" s="83">
        <v>6</v>
      </c>
      <c r="O323" s="83">
        <v>26</v>
      </c>
      <c r="P323" s="83">
        <v>5.8</v>
      </c>
      <c r="Q323" s="83">
        <v>0.7</v>
      </c>
      <c r="R323" s="83">
        <v>7.5</v>
      </c>
      <c r="S323" s="83">
        <v>0</v>
      </c>
    </row>
    <row r="324" spans="1:19" ht="16" x14ac:dyDescent="0.2">
      <c r="A324" s="89">
        <v>312</v>
      </c>
      <c r="B324" s="84" t="s">
        <v>649</v>
      </c>
      <c r="C324" s="84" t="s">
        <v>98</v>
      </c>
      <c r="D324" s="83">
        <v>26</v>
      </c>
      <c r="E324" s="83" t="s">
        <v>88</v>
      </c>
      <c r="F324" s="83">
        <v>13</v>
      </c>
      <c r="G324" s="83">
        <v>3</v>
      </c>
      <c r="H324" s="83">
        <v>12</v>
      </c>
      <c r="I324" s="83">
        <v>9</v>
      </c>
      <c r="J324" s="86">
        <v>0.75</v>
      </c>
      <c r="K324" s="83">
        <v>44</v>
      </c>
      <c r="L324" s="83">
        <v>4.9000000000000004</v>
      </c>
      <c r="M324" s="83">
        <v>1</v>
      </c>
      <c r="N324" s="83">
        <v>3</v>
      </c>
      <c r="O324" s="83">
        <v>13</v>
      </c>
      <c r="P324" s="83">
        <v>3.7</v>
      </c>
      <c r="Q324" s="83">
        <v>0.7</v>
      </c>
      <c r="R324" s="83">
        <v>3.4</v>
      </c>
      <c r="S324" s="83">
        <v>1</v>
      </c>
    </row>
    <row r="325" spans="1:19" ht="16" x14ac:dyDescent="0.2">
      <c r="A325" s="89">
        <v>313</v>
      </c>
      <c r="B325" s="84" t="s">
        <v>638</v>
      </c>
      <c r="C325" s="84" t="s">
        <v>1257</v>
      </c>
      <c r="D325" s="83">
        <v>28</v>
      </c>
      <c r="E325" s="83" t="s">
        <v>88</v>
      </c>
      <c r="F325" s="83">
        <v>7</v>
      </c>
      <c r="G325" s="83">
        <v>2</v>
      </c>
      <c r="H325" s="83">
        <v>15</v>
      </c>
      <c r="I325" s="83">
        <v>9</v>
      </c>
      <c r="J325" s="86">
        <v>0.6</v>
      </c>
      <c r="K325" s="83">
        <v>133</v>
      </c>
      <c r="L325" s="83">
        <v>14.8</v>
      </c>
      <c r="M325" s="83">
        <v>1</v>
      </c>
      <c r="N325" s="83">
        <v>7</v>
      </c>
      <c r="O325" s="83">
        <v>30</v>
      </c>
      <c r="P325" s="83">
        <v>8.9</v>
      </c>
      <c r="Q325" s="83">
        <v>1.3</v>
      </c>
      <c r="R325" s="83">
        <v>19</v>
      </c>
      <c r="S325" s="83">
        <v>0</v>
      </c>
    </row>
    <row r="326" spans="1:19" ht="16" x14ac:dyDescent="0.2">
      <c r="A326" s="89">
        <v>314</v>
      </c>
      <c r="B326" s="84" t="s">
        <v>1482</v>
      </c>
      <c r="C326" s="84" t="s">
        <v>725</v>
      </c>
      <c r="D326" s="83">
        <v>25</v>
      </c>
      <c r="E326" s="83" t="s">
        <v>68</v>
      </c>
      <c r="F326" s="83">
        <v>13</v>
      </c>
      <c r="G326" s="83">
        <v>3</v>
      </c>
      <c r="H326" s="83">
        <v>12</v>
      </c>
      <c r="I326" s="83">
        <v>9</v>
      </c>
      <c r="J326" s="86">
        <v>0.75</v>
      </c>
      <c r="K326" s="83">
        <v>84</v>
      </c>
      <c r="L326" s="83">
        <v>9.3000000000000007</v>
      </c>
      <c r="M326" s="83">
        <v>0</v>
      </c>
      <c r="N326" s="83">
        <v>4</v>
      </c>
      <c r="O326" s="83">
        <v>21</v>
      </c>
      <c r="P326" s="83">
        <v>7</v>
      </c>
      <c r="Q326" s="83">
        <v>0.7</v>
      </c>
      <c r="R326" s="83">
        <v>6.5</v>
      </c>
      <c r="S326" s="83">
        <v>1</v>
      </c>
    </row>
    <row r="327" spans="1:19" ht="16" x14ac:dyDescent="0.2">
      <c r="A327" s="89">
        <v>315</v>
      </c>
      <c r="B327" s="84" t="s">
        <v>2411</v>
      </c>
      <c r="C327" s="84" t="s">
        <v>1040</v>
      </c>
      <c r="D327" s="83">
        <v>27</v>
      </c>
      <c r="E327" s="83" t="s">
        <v>68</v>
      </c>
      <c r="F327" s="83">
        <v>11</v>
      </c>
      <c r="G327" s="83">
        <v>0</v>
      </c>
      <c r="H327" s="83">
        <v>9</v>
      </c>
      <c r="I327" s="83">
        <v>8</v>
      </c>
      <c r="J327" s="86">
        <v>0.88900000000000001</v>
      </c>
      <c r="K327" s="83">
        <v>105</v>
      </c>
      <c r="L327" s="83">
        <v>13.1</v>
      </c>
      <c r="M327" s="83">
        <v>0</v>
      </c>
      <c r="N327" s="83">
        <v>3</v>
      </c>
      <c r="O327" s="83">
        <v>50</v>
      </c>
      <c r="P327" s="83">
        <v>11.7</v>
      </c>
      <c r="Q327" s="83">
        <v>0.7</v>
      </c>
      <c r="R327" s="83">
        <v>9.5</v>
      </c>
      <c r="S327" s="83">
        <v>0</v>
      </c>
    </row>
    <row r="328" spans="1:19" ht="16" x14ac:dyDescent="0.2">
      <c r="A328" s="89">
        <v>316</v>
      </c>
      <c r="B328" s="84" t="s">
        <v>338</v>
      </c>
      <c r="C328" s="84" t="s">
        <v>71</v>
      </c>
      <c r="D328" s="83">
        <v>24</v>
      </c>
      <c r="E328" s="83" t="s">
        <v>83</v>
      </c>
      <c r="F328" s="83">
        <v>11</v>
      </c>
      <c r="G328" s="83">
        <v>3</v>
      </c>
      <c r="H328" s="83">
        <v>23</v>
      </c>
      <c r="I328" s="83">
        <v>8</v>
      </c>
      <c r="J328" s="86">
        <v>0.34799999999999998</v>
      </c>
      <c r="K328" s="83">
        <v>133</v>
      </c>
      <c r="L328" s="83">
        <v>16.600000000000001</v>
      </c>
      <c r="M328" s="83">
        <v>0</v>
      </c>
      <c r="N328" s="83">
        <v>5</v>
      </c>
      <c r="O328" s="83">
        <v>40</v>
      </c>
      <c r="P328" s="83">
        <v>5.8</v>
      </c>
      <c r="Q328" s="83">
        <v>0.7</v>
      </c>
      <c r="R328" s="83">
        <v>12.1</v>
      </c>
      <c r="S328" s="83">
        <v>0</v>
      </c>
    </row>
    <row r="329" spans="1:19" ht="16" x14ac:dyDescent="0.2">
      <c r="A329" s="89">
        <v>317</v>
      </c>
      <c r="B329" s="84" t="s">
        <v>2067</v>
      </c>
      <c r="C329" s="84" t="s">
        <v>725</v>
      </c>
      <c r="D329" s="83">
        <v>27</v>
      </c>
      <c r="E329" s="83" t="s">
        <v>1824</v>
      </c>
      <c r="F329" s="83">
        <v>13</v>
      </c>
      <c r="G329" s="83">
        <v>11</v>
      </c>
      <c r="H329" s="83">
        <v>13</v>
      </c>
      <c r="I329" s="83">
        <v>8</v>
      </c>
      <c r="J329" s="86">
        <v>0.61499999999999999</v>
      </c>
      <c r="K329" s="83">
        <v>63</v>
      </c>
      <c r="L329" s="83">
        <v>7.9</v>
      </c>
      <c r="M329" s="83">
        <v>1</v>
      </c>
      <c r="N329" s="83">
        <v>3</v>
      </c>
      <c r="O329" s="83">
        <v>22</v>
      </c>
      <c r="P329" s="83">
        <v>4.8</v>
      </c>
      <c r="Q329" s="83">
        <v>0.6</v>
      </c>
      <c r="R329" s="83">
        <v>4.8</v>
      </c>
      <c r="S329" s="83">
        <v>0</v>
      </c>
    </row>
    <row r="330" spans="1:19" ht="16" x14ac:dyDescent="0.2">
      <c r="A330" s="89">
        <v>318</v>
      </c>
      <c r="B330" s="84" t="s">
        <v>639</v>
      </c>
      <c r="C330" s="84" t="s">
        <v>93</v>
      </c>
      <c r="D330" s="83">
        <v>27</v>
      </c>
      <c r="E330" s="83" t="s">
        <v>88</v>
      </c>
      <c r="F330" s="83">
        <v>17</v>
      </c>
      <c r="G330" s="83">
        <v>4</v>
      </c>
      <c r="H330" s="83">
        <v>12</v>
      </c>
      <c r="I330" s="83">
        <v>8</v>
      </c>
      <c r="J330" s="86">
        <v>0.66700000000000004</v>
      </c>
      <c r="K330" s="83">
        <v>47</v>
      </c>
      <c r="L330" s="83">
        <v>5.9</v>
      </c>
      <c r="M330" s="83">
        <v>1</v>
      </c>
      <c r="N330" s="83">
        <v>2</v>
      </c>
      <c r="O330" s="83">
        <v>11</v>
      </c>
      <c r="P330" s="83">
        <v>3.9</v>
      </c>
      <c r="Q330" s="83">
        <v>0.5</v>
      </c>
      <c r="R330" s="83">
        <v>2.8</v>
      </c>
      <c r="S330" s="83">
        <v>0</v>
      </c>
    </row>
    <row r="331" spans="1:19" ht="16" x14ac:dyDescent="0.2">
      <c r="A331" s="89">
        <v>319</v>
      </c>
      <c r="B331" s="84" t="s">
        <v>499</v>
      </c>
      <c r="C331" s="84" t="s">
        <v>71</v>
      </c>
      <c r="D331" s="83">
        <v>24</v>
      </c>
      <c r="E331" s="83" t="s">
        <v>83</v>
      </c>
      <c r="F331" s="83">
        <v>12</v>
      </c>
      <c r="G331" s="83">
        <v>3</v>
      </c>
      <c r="H331" s="83">
        <v>17</v>
      </c>
      <c r="I331" s="83">
        <v>8</v>
      </c>
      <c r="J331" s="86">
        <v>0.47099999999999997</v>
      </c>
      <c r="K331" s="83">
        <v>113</v>
      </c>
      <c r="L331" s="83">
        <v>14.1</v>
      </c>
      <c r="M331" s="83">
        <v>0</v>
      </c>
      <c r="N331" s="83">
        <v>6</v>
      </c>
      <c r="O331" s="83">
        <v>35</v>
      </c>
      <c r="P331" s="83">
        <v>6.6</v>
      </c>
      <c r="Q331" s="83">
        <v>0.7</v>
      </c>
      <c r="R331" s="83">
        <v>9.4</v>
      </c>
      <c r="S331" s="83">
        <v>0</v>
      </c>
    </row>
    <row r="332" spans="1:19" ht="16" x14ac:dyDescent="0.2">
      <c r="A332" s="89">
        <v>320</v>
      </c>
      <c r="B332" s="84" t="s">
        <v>2364</v>
      </c>
      <c r="C332" s="84" t="s">
        <v>1267</v>
      </c>
      <c r="D332" s="83">
        <v>25</v>
      </c>
      <c r="E332" s="83" t="s">
        <v>83</v>
      </c>
      <c r="F332" s="83">
        <v>7</v>
      </c>
      <c r="G332" s="83">
        <v>0</v>
      </c>
      <c r="H332" s="83">
        <v>13</v>
      </c>
      <c r="I332" s="83">
        <v>8</v>
      </c>
      <c r="J332" s="86">
        <v>0.61499999999999999</v>
      </c>
      <c r="K332" s="83">
        <v>58</v>
      </c>
      <c r="L332" s="83">
        <v>7.3</v>
      </c>
      <c r="M332" s="83">
        <v>0</v>
      </c>
      <c r="N332" s="83">
        <v>5</v>
      </c>
      <c r="O332" s="83">
        <v>12</v>
      </c>
      <c r="P332" s="83">
        <v>4.5</v>
      </c>
      <c r="Q332" s="83">
        <v>1.1000000000000001</v>
      </c>
      <c r="R332" s="83">
        <v>8.3000000000000007</v>
      </c>
      <c r="S332" s="83">
        <v>2</v>
      </c>
    </row>
    <row r="333" spans="1:19" ht="16" x14ac:dyDescent="0.2">
      <c r="A333" s="89">
        <v>321</v>
      </c>
      <c r="B333" s="84" t="s">
        <v>327</v>
      </c>
      <c r="C333" s="84" t="s">
        <v>98</v>
      </c>
      <c r="D333" s="83">
        <v>26</v>
      </c>
      <c r="E333" s="83" t="s">
        <v>68</v>
      </c>
      <c r="F333" s="83">
        <v>9</v>
      </c>
      <c r="G333" s="83">
        <v>0</v>
      </c>
      <c r="H333" s="83">
        <v>9</v>
      </c>
      <c r="I333" s="83">
        <v>7</v>
      </c>
      <c r="J333" s="86">
        <v>0.77800000000000002</v>
      </c>
      <c r="K333" s="83">
        <v>72</v>
      </c>
      <c r="L333" s="83">
        <v>10.3</v>
      </c>
      <c r="M333" s="83">
        <v>2</v>
      </c>
      <c r="N333" s="83">
        <v>4</v>
      </c>
      <c r="O333" s="83">
        <v>23</v>
      </c>
      <c r="P333" s="83">
        <v>8</v>
      </c>
      <c r="Q333" s="83">
        <v>0.8</v>
      </c>
      <c r="R333" s="83">
        <v>8</v>
      </c>
      <c r="S333" s="83">
        <v>1</v>
      </c>
    </row>
    <row r="334" spans="1:19" ht="16" x14ac:dyDescent="0.2">
      <c r="A334" s="89">
        <v>322</v>
      </c>
      <c r="B334" s="84" t="s">
        <v>891</v>
      </c>
      <c r="C334" s="84" t="s">
        <v>1052</v>
      </c>
      <c r="D334" s="83">
        <v>25</v>
      </c>
      <c r="E334" s="83" t="s">
        <v>83</v>
      </c>
      <c r="F334" s="83">
        <v>4</v>
      </c>
      <c r="G334" s="83">
        <v>4</v>
      </c>
      <c r="H334" s="83">
        <v>22</v>
      </c>
      <c r="I334" s="83">
        <v>7</v>
      </c>
      <c r="J334" s="86">
        <v>0.318</v>
      </c>
      <c r="K334" s="83">
        <v>154</v>
      </c>
      <c r="L334" s="83">
        <v>22</v>
      </c>
      <c r="M334" s="83">
        <v>2</v>
      </c>
      <c r="N334" s="83">
        <v>7</v>
      </c>
      <c r="O334" s="83">
        <v>41</v>
      </c>
      <c r="P334" s="83">
        <v>7</v>
      </c>
      <c r="Q334" s="83">
        <v>1.8</v>
      </c>
      <c r="R334" s="83">
        <v>38.5</v>
      </c>
      <c r="S334" s="83">
        <v>0</v>
      </c>
    </row>
    <row r="335" spans="1:19" ht="16" x14ac:dyDescent="0.2">
      <c r="A335" s="89">
        <v>323</v>
      </c>
      <c r="B335" s="84" t="s">
        <v>2382</v>
      </c>
      <c r="C335" s="83" t="s">
        <v>2530</v>
      </c>
      <c r="D335" s="83">
        <v>28</v>
      </c>
      <c r="E335" s="83" t="s">
        <v>83</v>
      </c>
      <c r="F335" s="83">
        <v>6</v>
      </c>
      <c r="G335" s="83">
        <v>0</v>
      </c>
      <c r="H335" s="83">
        <v>14</v>
      </c>
      <c r="I335" s="83">
        <v>7</v>
      </c>
      <c r="J335" s="86">
        <v>0.5</v>
      </c>
      <c r="K335" s="83">
        <v>110</v>
      </c>
      <c r="L335" s="83">
        <v>15.7</v>
      </c>
      <c r="M335" s="83">
        <v>0</v>
      </c>
      <c r="N335" s="83">
        <v>3</v>
      </c>
      <c r="O335" s="83">
        <v>36</v>
      </c>
      <c r="P335" s="83">
        <v>7.9</v>
      </c>
      <c r="Q335" s="83">
        <v>1.2</v>
      </c>
      <c r="R335" s="83">
        <v>18.3</v>
      </c>
      <c r="S335" s="83">
        <v>0</v>
      </c>
    </row>
    <row r="336" spans="1:19" ht="16" x14ac:dyDescent="0.2">
      <c r="A336" s="89">
        <v>324</v>
      </c>
      <c r="B336" s="84" t="s">
        <v>652</v>
      </c>
      <c r="C336" s="84" t="s">
        <v>1052</v>
      </c>
      <c r="D336" s="83">
        <v>24</v>
      </c>
      <c r="E336" s="83" t="s">
        <v>88</v>
      </c>
      <c r="F336" s="83">
        <v>15</v>
      </c>
      <c r="G336" s="83">
        <v>4</v>
      </c>
      <c r="H336" s="83">
        <v>11</v>
      </c>
      <c r="I336" s="83">
        <v>7</v>
      </c>
      <c r="J336" s="86">
        <v>0.63600000000000001</v>
      </c>
      <c r="K336" s="83">
        <v>56</v>
      </c>
      <c r="L336" s="83">
        <v>8</v>
      </c>
      <c r="M336" s="83">
        <v>0</v>
      </c>
      <c r="N336" s="83">
        <v>3</v>
      </c>
      <c r="O336" s="83">
        <v>21</v>
      </c>
      <c r="P336" s="83">
        <v>5.0999999999999996</v>
      </c>
      <c r="Q336" s="83">
        <v>0.5</v>
      </c>
      <c r="R336" s="83">
        <v>3.7</v>
      </c>
      <c r="S336" s="83">
        <v>1</v>
      </c>
    </row>
    <row r="337" spans="1:19" ht="16" x14ac:dyDescent="0.2">
      <c r="A337" s="89">
        <v>325</v>
      </c>
      <c r="B337" s="84" t="s">
        <v>2359</v>
      </c>
      <c r="C337" s="84" t="s">
        <v>1040</v>
      </c>
      <c r="D337" s="83">
        <v>22</v>
      </c>
      <c r="E337" s="83" t="s">
        <v>88</v>
      </c>
      <c r="F337" s="83">
        <v>16</v>
      </c>
      <c r="G337" s="83">
        <v>1</v>
      </c>
      <c r="H337" s="83">
        <v>10</v>
      </c>
      <c r="I337" s="83">
        <v>7</v>
      </c>
      <c r="J337" s="86">
        <v>0.7</v>
      </c>
      <c r="K337" s="83">
        <v>36</v>
      </c>
      <c r="L337" s="83">
        <v>5.0999999999999996</v>
      </c>
      <c r="M337" s="83">
        <v>1</v>
      </c>
      <c r="N337" s="83">
        <v>2</v>
      </c>
      <c r="O337" s="83">
        <v>8</v>
      </c>
      <c r="P337" s="83">
        <v>3.6</v>
      </c>
      <c r="Q337" s="83">
        <v>0.4</v>
      </c>
      <c r="R337" s="83">
        <v>2.2999999999999998</v>
      </c>
      <c r="S337" s="83">
        <v>0</v>
      </c>
    </row>
    <row r="338" spans="1:19" ht="16" x14ac:dyDescent="0.2">
      <c r="A338" s="89">
        <v>326</v>
      </c>
      <c r="B338" s="84" t="s">
        <v>430</v>
      </c>
      <c r="C338" s="84" t="s">
        <v>108</v>
      </c>
      <c r="D338" s="83">
        <v>25</v>
      </c>
      <c r="E338" s="83" t="s">
        <v>83</v>
      </c>
      <c r="F338" s="83">
        <v>17</v>
      </c>
      <c r="G338" s="83">
        <v>0</v>
      </c>
      <c r="H338" s="83">
        <v>12</v>
      </c>
      <c r="I338" s="83">
        <v>7</v>
      </c>
      <c r="J338" s="86">
        <v>0.58299999999999996</v>
      </c>
      <c r="K338" s="83">
        <v>59</v>
      </c>
      <c r="L338" s="83">
        <v>8.4</v>
      </c>
      <c r="M338" s="83">
        <v>0</v>
      </c>
      <c r="N338" s="83">
        <v>3</v>
      </c>
      <c r="O338" s="83">
        <v>16</v>
      </c>
      <c r="P338" s="83">
        <v>4.9000000000000004</v>
      </c>
      <c r="Q338" s="83">
        <v>0.4</v>
      </c>
      <c r="R338" s="83">
        <v>3.5</v>
      </c>
      <c r="S338" s="83">
        <v>0</v>
      </c>
    </row>
    <row r="339" spans="1:19" ht="16" x14ac:dyDescent="0.2">
      <c r="A339" s="89">
        <v>327</v>
      </c>
      <c r="B339" s="84" t="s">
        <v>2491</v>
      </c>
      <c r="C339" s="84" t="s">
        <v>139</v>
      </c>
      <c r="D339" s="83">
        <v>27</v>
      </c>
      <c r="E339" s="83" t="s">
        <v>3106</v>
      </c>
      <c r="F339" s="83">
        <v>17</v>
      </c>
      <c r="G339" s="83">
        <v>1</v>
      </c>
      <c r="H339" s="83">
        <v>10</v>
      </c>
      <c r="I339" s="83">
        <v>7</v>
      </c>
      <c r="J339" s="86">
        <v>0.7</v>
      </c>
      <c r="K339" s="83">
        <v>60</v>
      </c>
      <c r="L339" s="83">
        <v>8.6</v>
      </c>
      <c r="M339" s="83">
        <v>0</v>
      </c>
      <c r="N339" s="83">
        <v>4</v>
      </c>
      <c r="O339" s="83">
        <v>18</v>
      </c>
      <c r="P339" s="83">
        <v>6</v>
      </c>
      <c r="Q339" s="83">
        <v>0.4</v>
      </c>
      <c r="R339" s="83">
        <v>3.5</v>
      </c>
      <c r="S339" s="83">
        <v>2</v>
      </c>
    </row>
    <row r="340" spans="1:19" ht="16" x14ac:dyDescent="0.2">
      <c r="A340" s="89">
        <v>328</v>
      </c>
      <c r="B340" s="84" t="s">
        <v>2124</v>
      </c>
      <c r="C340" s="84" t="s">
        <v>727</v>
      </c>
      <c r="D340" s="83">
        <v>27</v>
      </c>
      <c r="E340" s="83" t="s">
        <v>88</v>
      </c>
      <c r="F340" s="83">
        <v>14</v>
      </c>
      <c r="G340" s="83">
        <v>9</v>
      </c>
      <c r="H340" s="83">
        <v>8</v>
      </c>
      <c r="I340" s="83">
        <v>7</v>
      </c>
      <c r="J340" s="86">
        <v>0.875</v>
      </c>
      <c r="K340" s="83">
        <v>62</v>
      </c>
      <c r="L340" s="83">
        <v>8.9</v>
      </c>
      <c r="M340" s="83">
        <v>1</v>
      </c>
      <c r="N340" s="83">
        <v>3</v>
      </c>
      <c r="O340" s="83">
        <v>19</v>
      </c>
      <c r="P340" s="83">
        <v>7.8</v>
      </c>
      <c r="Q340" s="83">
        <v>0.5</v>
      </c>
      <c r="R340" s="83">
        <v>4.4000000000000004</v>
      </c>
      <c r="S340" s="83">
        <v>0</v>
      </c>
    </row>
    <row r="341" spans="1:19" ht="16" x14ac:dyDescent="0.2">
      <c r="A341" s="89">
        <v>329</v>
      </c>
      <c r="B341" s="84" t="s">
        <v>2064</v>
      </c>
      <c r="C341" s="84" t="s">
        <v>139</v>
      </c>
      <c r="D341" s="83">
        <v>25</v>
      </c>
      <c r="E341" s="83" t="s">
        <v>68</v>
      </c>
      <c r="F341" s="83">
        <v>5</v>
      </c>
      <c r="G341" s="83">
        <v>2</v>
      </c>
      <c r="H341" s="83">
        <v>8</v>
      </c>
      <c r="I341" s="83">
        <v>7</v>
      </c>
      <c r="J341" s="86">
        <v>0.875</v>
      </c>
      <c r="K341" s="83">
        <v>52</v>
      </c>
      <c r="L341" s="83">
        <v>7.4</v>
      </c>
      <c r="M341" s="83">
        <v>0</v>
      </c>
      <c r="N341" s="83">
        <v>3</v>
      </c>
      <c r="O341" s="83">
        <v>14</v>
      </c>
      <c r="P341" s="83">
        <v>6.5</v>
      </c>
      <c r="Q341" s="83">
        <v>1.4</v>
      </c>
      <c r="R341" s="83">
        <v>10.4</v>
      </c>
      <c r="S341" s="83">
        <v>0</v>
      </c>
    </row>
    <row r="342" spans="1:19" x14ac:dyDescent="0.2">
      <c r="A342" s="89" t="s">
        <v>902</v>
      </c>
      <c r="B342" s="89" t="s">
        <v>903</v>
      </c>
      <c r="C342" s="89" t="s">
        <v>1314</v>
      </c>
      <c r="D342" s="89" t="s">
        <v>905</v>
      </c>
      <c r="E342" s="89" t="s">
        <v>906</v>
      </c>
      <c r="F342" s="89" t="s">
        <v>1315</v>
      </c>
      <c r="G342" s="89" t="s">
        <v>1316</v>
      </c>
      <c r="H342" s="89" t="s">
        <v>2314</v>
      </c>
      <c r="I342" s="89" t="s">
        <v>2092</v>
      </c>
      <c r="J342" s="89" t="s">
        <v>2093</v>
      </c>
      <c r="K342" s="89" t="s">
        <v>799</v>
      </c>
      <c r="L342" s="89" t="s">
        <v>2315</v>
      </c>
      <c r="M342" s="89" t="s">
        <v>800</v>
      </c>
      <c r="N342" s="89" t="s">
        <v>1321</v>
      </c>
      <c r="O342" s="89" t="s">
        <v>917</v>
      </c>
      <c r="P342" s="89" t="s">
        <v>2316</v>
      </c>
      <c r="Q342" s="89" t="s">
        <v>2317</v>
      </c>
      <c r="R342" s="89" t="s">
        <v>1325</v>
      </c>
      <c r="S342" s="89" t="s">
        <v>1416</v>
      </c>
    </row>
    <row r="343" spans="1:19" ht="16" x14ac:dyDescent="0.2">
      <c r="A343" s="89">
        <v>330</v>
      </c>
      <c r="B343" s="84" t="s">
        <v>323</v>
      </c>
      <c r="C343" s="84" t="s">
        <v>102</v>
      </c>
      <c r="D343" s="83">
        <v>26</v>
      </c>
      <c r="E343" s="83" t="s">
        <v>83</v>
      </c>
      <c r="F343" s="83">
        <v>17</v>
      </c>
      <c r="G343" s="83">
        <v>0</v>
      </c>
      <c r="H343" s="83">
        <v>11</v>
      </c>
      <c r="I343" s="83">
        <v>7</v>
      </c>
      <c r="J343" s="86">
        <v>0.63600000000000001</v>
      </c>
      <c r="K343" s="83">
        <v>95</v>
      </c>
      <c r="L343" s="83">
        <v>13.6</v>
      </c>
      <c r="M343" s="83">
        <v>3</v>
      </c>
      <c r="N343" s="83">
        <v>4</v>
      </c>
      <c r="O343" s="83">
        <v>27</v>
      </c>
      <c r="P343" s="83">
        <v>8.6</v>
      </c>
      <c r="Q343" s="83">
        <v>0.4</v>
      </c>
      <c r="R343" s="83">
        <v>5.6</v>
      </c>
      <c r="S343" s="83">
        <v>0</v>
      </c>
    </row>
    <row r="344" spans="1:19" ht="16" x14ac:dyDescent="0.2">
      <c r="A344" s="89">
        <v>331</v>
      </c>
      <c r="B344" s="84" t="s">
        <v>900</v>
      </c>
      <c r="C344" s="84" t="s">
        <v>1087</v>
      </c>
      <c r="D344" s="83">
        <v>26</v>
      </c>
      <c r="E344" s="83" t="s">
        <v>68</v>
      </c>
      <c r="F344" s="83">
        <v>9</v>
      </c>
      <c r="G344" s="83">
        <v>4</v>
      </c>
      <c r="H344" s="83">
        <v>8</v>
      </c>
      <c r="I344" s="83">
        <v>7</v>
      </c>
      <c r="J344" s="86">
        <v>0.875</v>
      </c>
      <c r="K344" s="83">
        <v>31</v>
      </c>
      <c r="L344" s="83">
        <v>4.4000000000000004</v>
      </c>
      <c r="M344" s="83">
        <v>0</v>
      </c>
      <c r="N344" s="83">
        <v>1</v>
      </c>
      <c r="O344" s="83">
        <v>11</v>
      </c>
      <c r="P344" s="83">
        <v>3.9</v>
      </c>
      <c r="Q344" s="83">
        <v>0.8</v>
      </c>
      <c r="R344" s="83">
        <v>3.4</v>
      </c>
      <c r="S344" s="83">
        <v>1</v>
      </c>
    </row>
    <row r="345" spans="1:19" ht="16" x14ac:dyDescent="0.2">
      <c r="A345" s="89">
        <v>332</v>
      </c>
      <c r="B345" s="84" t="s">
        <v>2292</v>
      </c>
      <c r="C345" s="84" t="s">
        <v>78</v>
      </c>
      <c r="D345" s="83">
        <v>22</v>
      </c>
      <c r="E345" s="83" t="s">
        <v>68</v>
      </c>
      <c r="F345" s="83">
        <v>9</v>
      </c>
      <c r="G345" s="83">
        <v>0</v>
      </c>
      <c r="H345" s="83">
        <v>7</v>
      </c>
      <c r="I345" s="83">
        <v>6</v>
      </c>
      <c r="J345" s="86">
        <v>0.85699999999999998</v>
      </c>
      <c r="K345" s="83">
        <v>42</v>
      </c>
      <c r="L345" s="83">
        <v>7</v>
      </c>
      <c r="M345" s="83">
        <v>0</v>
      </c>
      <c r="N345" s="83">
        <v>4</v>
      </c>
      <c r="O345" s="83">
        <v>12</v>
      </c>
      <c r="P345" s="83">
        <v>6</v>
      </c>
      <c r="Q345" s="83">
        <v>0.7</v>
      </c>
      <c r="R345" s="83">
        <v>4.7</v>
      </c>
      <c r="S345" s="83">
        <v>0</v>
      </c>
    </row>
    <row r="346" spans="1:19" ht="16" x14ac:dyDescent="0.2">
      <c r="A346" s="89">
        <v>333</v>
      </c>
      <c r="B346" s="84" t="s">
        <v>158</v>
      </c>
      <c r="C346" s="84" t="s">
        <v>108</v>
      </c>
      <c r="D346" s="83">
        <v>27</v>
      </c>
      <c r="E346" s="83" t="s">
        <v>68</v>
      </c>
      <c r="F346" s="83">
        <v>4</v>
      </c>
      <c r="G346" s="83">
        <v>4</v>
      </c>
      <c r="H346" s="83">
        <v>6</v>
      </c>
      <c r="I346" s="83">
        <v>6</v>
      </c>
      <c r="J346" s="86">
        <v>1</v>
      </c>
      <c r="K346" s="83">
        <v>29</v>
      </c>
      <c r="L346" s="83">
        <v>4.8</v>
      </c>
      <c r="M346" s="83">
        <v>0</v>
      </c>
      <c r="N346" s="83">
        <v>1</v>
      </c>
      <c r="O346" s="83">
        <v>16</v>
      </c>
      <c r="P346" s="83">
        <v>4.8</v>
      </c>
      <c r="Q346" s="83">
        <v>1.5</v>
      </c>
      <c r="R346" s="83">
        <v>7.3</v>
      </c>
      <c r="S346" s="83">
        <v>1</v>
      </c>
    </row>
    <row r="347" spans="1:19" ht="16" x14ac:dyDescent="0.2">
      <c r="A347" s="89">
        <v>334</v>
      </c>
      <c r="B347" s="84" t="s">
        <v>1812</v>
      </c>
      <c r="C347" s="84" t="s">
        <v>729</v>
      </c>
      <c r="D347" s="83">
        <v>27</v>
      </c>
      <c r="E347" s="83" t="s">
        <v>68</v>
      </c>
      <c r="F347" s="83">
        <v>17</v>
      </c>
      <c r="G347" s="83">
        <v>0</v>
      </c>
      <c r="H347" s="83">
        <v>7</v>
      </c>
      <c r="I347" s="83">
        <v>6</v>
      </c>
      <c r="J347" s="86">
        <v>0.85699999999999998</v>
      </c>
      <c r="K347" s="83">
        <v>29</v>
      </c>
      <c r="L347" s="83">
        <v>4.8</v>
      </c>
      <c r="M347" s="83">
        <v>1</v>
      </c>
      <c r="N347" s="83">
        <v>1</v>
      </c>
      <c r="O347" s="83">
        <v>8</v>
      </c>
      <c r="P347" s="83">
        <v>4.0999999999999996</v>
      </c>
      <c r="Q347" s="83">
        <v>0.4</v>
      </c>
      <c r="R347" s="83">
        <v>1.7</v>
      </c>
      <c r="S347" s="83">
        <v>0</v>
      </c>
    </row>
    <row r="348" spans="1:19" ht="16" x14ac:dyDescent="0.2">
      <c r="A348" s="89">
        <v>335</v>
      </c>
      <c r="B348" s="84" t="s">
        <v>2295</v>
      </c>
      <c r="C348" s="84" t="s">
        <v>976</v>
      </c>
      <c r="D348" s="83">
        <v>22</v>
      </c>
      <c r="E348" s="83" t="s">
        <v>83</v>
      </c>
      <c r="F348" s="83">
        <v>9</v>
      </c>
      <c r="G348" s="83">
        <v>0</v>
      </c>
      <c r="H348" s="83">
        <v>12</v>
      </c>
      <c r="I348" s="83">
        <v>6</v>
      </c>
      <c r="J348" s="86">
        <v>0.5</v>
      </c>
      <c r="K348" s="83">
        <v>43</v>
      </c>
      <c r="L348" s="83">
        <v>7.2</v>
      </c>
      <c r="M348" s="83">
        <v>0</v>
      </c>
      <c r="N348" s="83">
        <v>1</v>
      </c>
      <c r="O348" s="83">
        <v>29</v>
      </c>
      <c r="P348" s="83">
        <v>3.6</v>
      </c>
      <c r="Q348" s="83">
        <v>0.7</v>
      </c>
      <c r="R348" s="83">
        <v>4.8</v>
      </c>
      <c r="S348" s="83">
        <v>0</v>
      </c>
    </row>
    <row r="349" spans="1:19" ht="16" x14ac:dyDescent="0.2">
      <c r="A349" s="89">
        <v>336</v>
      </c>
      <c r="B349" s="84" t="s">
        <v>2356</v>
      </c>
      <c r="C349" s="84" t="s">
        <v>139</v>
      </c>
      <c r="D349" s="83">
        <v>25</v>
      </c>
      <c r="E349" s="83" t="s">
        <v>83</v>
      </c>
      <c r="F349" s="83">
        <v>12</v>
      </c>
      <c r="G349" s="83">
        <v>0</v>
      </c>
      <c r="H349" s="83">
        <v>10</v>
      </c>
      <c r="I349" s="83">
        <v>6</v>
      </c>
      <c r="J349" s="86">
        <v>0.6</v>
      </c>
      <c r="K349" s="83">
        <v>54</v>
      </c>
      <c r="L349" s="83">
        <v>9</v>
      </c>
      <c r="M349" s="83">
        <v>0</v>
      </c>
      <c r="N349" s="83">
        <v>2</v>
      </c>
      <c r="O349" s="83">
        <v>15</v>
      </c>
      <c r="P349" s="83">
        <v>5.4</v>
      </c>
      <c r="Q349" s="83">
        <v>0.5</v>
      </c>
      <c r="R349" s="83">
        <v>4.5</v>
      </c>
      <c r="S349" s="83">
        <v>0</v>
      </c>
    </row>
    <row r="350" spans="1:19" ht="16" x14ac:dyDescent="0.2">
      <c r="A350" s="89">
        <v>337</v>
      </c>
      <c r="B350" s="84" t="s">
        <v>634</v>
      </c>
      <c r="C350" s="84" t="s">
        <v>1052</v>
      </c>
      <c r="D350" s="83">
        <v>29</v>
      </c>
      <c r="E350" s="83" t="s">
        <v>88</v>
      </c>
      <c r="F350" s="83">
        <v>17</v>
      </c>
      <c r="G350" s="83">
        <v>10</v>
      </c>
      <c r="H350" s="83">
        <v>9</v>
      </c>
      <c r="I350" s="83">
        <v>6</v>
      </c>
      <c r="J350" s="86">
        <v>0.66700000000000004</v>
      </c>
      <c r="K350" s="83">
        <v>71</v>
      </c>
      <c r="L350" s="83">
        <v>11.8</v>
      </c>
      <c r="M350" s="83">
        <v>1</v>
      </c>
      <c r="N350" s="83">
        <v>4</v>
      </c>
      <c r="O350" s="83">
        <v>22</v>
      </c>
      <c r="P350" s="83">
        <v>7.9</v>
      </c>
      <c r="Q350" s="83">
        <v>0.4</v>
      </c>
      <c r="R350" s="83">
        <v>4.2</v>
      </c>
      <c r="S350" s="83">
        <v>0</v>
      </c>
    </row>
    <row r="351" spans="1:19" ht="16" x14ac:dyDescent="0.2">
      <c r="A351" s="89">
        <v>338</v>
      </c>
      <c r="B351" s="84" t="s">
        <v>2436</v>
      </c>
      <c r="C351" s="84" t="s">
        <v>118</v>
      </c>
      <c r="D351" s="83">
        <v>22</v>
      </c>
      <c r="E351" s="83" t="s">
        <v>88</v>
      </c>
      <c r="F351" s="83">
        <v>11</v>
      </c>
      <c r="G351" s="83">
        <v>4</v>
      </c>
      <c r="H351" s="83">
        <v>8</v>
      </c>
      <c r="I351" s="83">
        <v>6</v>
      </c>
      <c r="J351" s="86">
        <v>0.75</v>
      </c>
      <c r="K351" s="83">
        <v>45</v>
      </c>
      <c r="L351" s="83">
        <v>7.5</v>
      </c>
      <c r="M351" s="83">
        <v>0</v>
      </c>
      <c r="N351" s="83">
        <v>3</v>
      </c>
      <c r="O351" s="83">
        <v>12</v>
      </c>
      <c r="P351" s="83">
        <v>5.6</v>
      </c>
      <c r="Q351" s="83">
        <v>0.5</v>
      </c>
      <c r="R351" s="83">
        <v>4.0999999999999996</v>
      </c>
      <c r="S351" s="83">
        <v>0</v>
      </c>
    </row>
    <row r="352" spans="1:19" ht="16" x14ac:dyDescent="0.2">
      <c r="A352" s="89">
        <v>339</v>
      </c>
      <c r="B352" s="84" t="s">
        <v>293</v>
      </c>
      <c r="C352" s="83" t="s">
        <v>1726</v>
      </c>
      <c r="D352" s="83">
        <v>27</v>
      </c>
      <c r="E352" s="83" t="s">
        <v>83</v>
      </c>
      <c r="F352" s="83">
        <v>3</v>
      </c>
      <c r="G352" s="83">
        <v>1</v>
      </c>
      <c r="H352" s="83">
        <v>12</v>
      </c>
      <c r="I352" s="83">
        <v>6</v>
      </c>
      <c r="J352" s="86">
        <v>0.5</v>
      </c>
      <c r="K352" s="83">
        <v>25</v>
      </c>
      <c r="L352" s="83">
        <v>4.2</v>
      </c>
      <c r="M352" s="83">
        <v>1</v>
      </c>
      <c r="N352" s="83">
        <v>3</v>
      </c>
      <c r="O352" s="83">
        <v>10</v>
      </c>
      <c r="P352" s="83">
        <v>2.1</v>
      </c>
      <c r="Q352" s="83">
        <v>2</v>
      </c>
      <c r="R352" s="83">
        <v>8.3000000000000007</v>
      </c>
      <c r="S352" s="83">
        <v>0</v>
      </c>
    </row>
    <row r="353" spans="1:19" ht="16" x14ac:dyDescent="0.2">
      <c r="A353" s="89">
        <v>340</v>
      </c>
      <c r="B353" s="84" t="s">
        <v>351</v>
      </c>
      <c r="C353" s="84" t="s">
        <v>108</v>
      </c>
      <c r="D353" s="83">
        <v>25</v>
      </c>
      <c r="E353" s="83" t="s">
        <v>68</v>
      </c>
      <c r="F353" s="83">
        <v>10</v>
      </c>
      <c r="G353" s="83">
        <v>6</v>
      </c>
      <c r="H353" s="83">
        <v>8</v>
      </c>
      <c r="I353" s="83">
        <v>6</v>
      </c>
      <c r="J353" s="86">
        <v>0.75</v>
      </c>
      <c r="K353" s="83">
        <v>48</v>
      </c>
      <c r="L353" s="83">
        <v>8</v>
      </c>
      <c r="M353" s="83">
        <v>0</v>
      </c>
      <c r="N353" s="83">
        <v>3</v>
      </c>
      <c r="O353" s="83">
        <v>27</v>
      </c>
      <c r="P353" s="83">
        <v>6</v>
      </c>
      <c r="Q353" s="83">
        <v>0.6</v>
      </c>
      <c r="R353" s="83">
        <v>4.8</v>
      </c>
      <c r="S353" s="83">
        <v>0</v>
      </c>
    </row>
    <row r="354" spans="1:19" ht="16" x14ac:dyDescent="0.2">
      <c r="A354" s="89">
        <v>341</v>
      </c>
      <c r="B354" s="84" t="s">
        <v>262</v>
      </c>
      <c r="C354" s="84" t="s">
        <v>119</v>
      </c>
      <c r="D354" s="83">
        <v>25</v>
      </c>
      <c r="E354" s="83" t="s">
        <v>83</v>
      </c>
      <c r="F354" s="83">
        <v>5</v>
      </c>
      <c r="G354" s="83">
        <v>1</v>
      </c>
      <c r="H354" s="83">
        <v>9</v>
      </c>
      <c r="I354" s="83">
        <v>6</v>
      </c>
      <c r="J354" s="86">
        <v>0.66700000000000004</v>
      </c>
      <c r="K354" s="83">
        <v>27</v>
      </c>
      <c r="L354" s="83">
        <v>4.5</v>
      </c>
      <c r="M354" s="83">
        <v>0</v>
      </c>
      <c r="N354" s="83">
        <v>4</v>
      </c>
      <c r="O354" s="83">
        <v>10</v>
      </c>
      <c r="P354" s="83">
        <v>3</v>
      </c>
      <c r="Q354" s="83">
        <v>1.2</v>
      </c>
      <c r="R354" s="83">
        <v>5.4</v>
      </c>
      <c r="S354" s="83">
        <v>0</v>
      </c>
    </row>
    <row r="355" spans="1:19" ht="16" x14ac:dyDescent="0.2">
      <c r="A355" s="89">
        <v>342</v>
      </c>
      <c r="B355" s="84" t="s">
        <v>421</v>
      </c>
      <c r="C355" s="84" t="s">
        <v>70</v>
      </c>
      <c r="D355" s="83">
        <v>23</v>
      </c>
      <c r="E355" s="83" t="s">
        <v>83</v>
      </c>
      <c r="F355" s="83">
        <v>6</v>
      </c>
      <c r="G355" s="83">
        <v>0</v>
      </c>
      <c r="H355" s="83">
        <v>11</v>
      </c>
      <c r="I355" s="83">
        <v>6</v>
      </c>
      <c r="J355" s="86">
        <v>0.54500000000000004</v>
      </c>
      <c r="K355" s="83">
        <v>104</v>
      </c>
      <c r="L355" s="83">
        <v>17.3</v>
      </c>
      <c r="M355" s="83">
        <v>0</v>
      </c>
      <c r="N355" s="83">
        <v>3</v>
      </c>
      <c r="O355" s="83">
        <v>63</v>
      </c>
      <c r="P355" s="83">
        <v>9.5</v>
      </c>
      <c r="Q355" s="83">
        <v>1</v>
      </c>
      <c r="R355" s="83">
        <v>17.3</v>
      </c>
      <c r="S355" s="83">
        <v>0</v>
      </c>
    </row>
    <row r="356" spans="1:19" ht="16" x14ac:dyDescent="0.2">
      <c r="A356" s="89">
        <v>343</v>
      </c>
      <c r="B356" s="84" t="s">
        <v>2128</v>
      </c>
      <c r="C356" s="84" t="s">
        <v>1257</v>
      </c>
      <c r="D356" s="83">
        <v>29</v>
      </c>
      <c r="E356" s="83" t="s">
        <v>83</v>
      </c>
      <c r="F356" s="83">
        <v>13</v>
      </c>
      <c r="G356" s="83">
        <v>4</v>
      </c>
      <c r="H356" s="83">
        <v>23</v>
      </c>
      <c r="I356" s="83">
        <v>6</v>
      </c>
      <c r="J356" s="86">
        <v>0.26100000000000001</v>
      </c>
      <c r="K356" s="83">
        <v>68</v>
      </c>
      <c r="L356" s="83">
        <v>11.3</v>
      </c>
      <c r="M356" s="83">
        <v>1</v>
      </c>
      <c r="N356" s="83">
        <v>4</v>
      </c>
      <c r="O356" s="83">
        <v>22</v>
      </c>
      <c r="P356" s="83">
        <v>3</v>
      </c>
      <c r="Q356" s="83">
        <v>0.5</v>
      </c>
      <c r="R356" s="83">
        <v>5.2</v>
      </c>
      <c r="S356" s="83">
        <v>0</v>
      </c>
    </row>
    <row r="357" spans="1:19" ht="16" x14ac:dyDescent="0.2">
      <c r="A357" s="89">
        <v>344</v>
      </c>
      <c r="B357" s="84" t="s">
        <v>324</v>
      </c>
      <c r="C357" s="84" t="s">
        <v>142</v>
      </c>
      <c r="D357" s="83">
        <v>24</v>
      </c>
      <c r="E357" s="83" t="s">
        <v>83</v>
      </c>
      <c r="F357" s="83">
        <v>8</v>
      </c>
      <c r="G357" s="83">
        <v>3</v>
      </c>
      <c r="H357" s="83">
        <v>16</v>
      </c>
      <c r="I357" s="83">
        <v>6</v>
      </c>
      <c r="J357" s="86">
        <v>0.375</v>
      </c>
      <c r="K357" s="83">
        <v>71</v>
      </c>
      <c r="L357" s="83">
        <v>11.8</v>
      </c>
      <c r="M357" s="83">
        <v>0</v>
      </c>
      <c r="N357" s="83">
        <v>3</v>
      </c>
      <c r="O357" s="83">
        <v>34</v>
      </c>
      <c r="P357" s="83">
        <v>4.4000000000000004</v>
      </c>
      <c r="Q357" s="83">
        <v>0.8</v>
      </c>
      <c r="R357" s="83">
        <v>8.9</v>
      </c>
      <c r="S357" s="83">
        <v>0</v>
      </c>
    </row>
    <row r="358" spans="1:19" ht="16" x14ac:dyDescent="0.2">
      <c r="A358" s="89">
        <v>345</v>
      </c>
      <c r="B358" s="84" t="s">
        <v>660</v>
      </c>
      <c r="C358" s="84" t="s">
        <v>122</v>
      </c>
      <c r="D358" s="83">
        <v>28</v>
      </c>
      <c r="E358" s="83" t="s">
        <v>88</v>
      </c>
      <c r="F358" s="83">
        <v>16</v>
      </c>
      <c r="G358" s="83">
        <v>13</v>
      </c>
      <c r="H358" s="83">
        <v>5</v>
      </c>
      <c r="I358" s="83">
        <v>5</v>
      </c>
      <c r="J358" s="86">
        <v>1</v>
      </c>
      <c r="K358" s="83">
        <v>47</v>
      </c>
      <c r="L358" s="83">
        <v>9.4</v>
      </c>
      <c r="M358" s="83">
        <v>1</v>
      </c>
      <c r="N358" s="83">
        <v>2</v>
      </c>
      <c r="O358" s="83">
        <v>15</v>
      </c>
      <c r="P358" s="83">
        <v>9.4</v>
      </c>
      <c r="Q358" s="83">
        <v>0.3</v>
      </c>
      <c r="R358" s="83">
        <v>2.9</v>
      </c>
      <c r="S358" s="83">
        <v>0</v>
      </c>
    </row>
    <row r="359" spans="1:19" ht="16" x14ac:dyDescent="0.2">
      <c r="A359" s="89">
        <v>346</v>
      </c>
      <c r="B359" s="84" t="s">
        <v>1741</v>
      </c>
      <c r="C359" s="83" t="s">
        <v>1726</v>
      </c>
      <c r="D359" s="83">
        <v>29</v>
      </c>
      <c r="E359" s="83" t="s">
        <v>68</v>
      </c>
      <c r="F359" s="83">
        <v>8</v>
      </c>
      <c r="G359" s="83">
        <v>0</v>
      </c>
      <c r="H359" s="83">
        <v>7</v>
      </c>
      <c r="I359" s="83">
        <v>5</v>
      </c>
      <c r="J359" s="86">
        <v>0.71399999999999997</v>
      </c>
      <c r="K359" s="83">
        <v>30</v>
      </c>
      <c r="L359" s="83">
        <v>6</v>
      </c>
      <c r="M359" s="83">
        <v>1</v>
      </c>
      <c r="N359" s="83">
        <v>3</v>
      </c>
      <c r="O359" s="83">
        <v>15</v>
      </c>
      <c r="P359" s="83">
        <v>4.3</v>
      </c>
      <c r="Q359" s="83">
        <v>0.6</v>
      </c>
      <c r="R359" s="83">
        <v>3.8</v>
      </c>
      <c r="S359" s="83">
        <v>0</v>
      </c>
    </row>
    <row r="360" spans="1:19" ht="16" x14ac:dyDescent="0.2">
      <c r="A360" s="89">
        <v>347</v>
      </c>
      <c r="B360" s="84" t="s">
        <v>2497</v>
      </c>
      <c r="C360" s="84" t="s">
        <v>77</v>
      </c>
      <c r="D360" s="83">
        <v>24</v>
      </c>
      <c r="E360" s="83" t="s">
        <v>83</v>
      </c>
      <c r="F360" s="83">
        <v>4</v>
      </c>
      <c r="G360" s="83">
        <v>0</v>
      </c>
      <c r="H360" s="83">
        <v>8</v>
      </c>
      <c r="I360" s="83">
        <v>5</v>
      </c>
      <c r="J360" s="86">
        <v>0.625</v>
      </c>
      <c r="K360" s="83">
        <v>49</v>
      </c>
      <c r="L360" s="83">
        <v>9.8000000000000007</v>
      </c>
      <c r="M360" s="83">
        <v>1</v>
      </c>
      <c r="N360" s="83">
        <v>4</v>
      </c>
      <c r="O360" s="83">
        <v>18</v>
      </c>
      <c r="P360" s="83">
        <v>6.1</v>
      </c>
      <c r="Q360" s="83">
        <v>1.3</v>
      </c>
      <c r="R360" s="83">
        <v>12.3</v>
      </c>
      <c r="S360" s="83">
        <v>0</v>
      </c>
    </row>
    <row r="361" spans="1:19" ht="16" x14ac:dyDescent="0.2">
      <c r="A361" s="89">
        <v>348</v>
      </c>
      <c r="B361" s="84" t="s">
        <v>2489</v>
      </c>
      <c r="C361" s="84" t="s">
        <v>1040</v>
      </c>
      <c r="D361" s="83">
        <v>26</v>
      </c>
      <c r="E361" s="83" t="s">
        <v>83</v>
      </c>
      <c r="F361" s="83">
        <v>6</v>
      </c>
      <c r="G361" s="83">
        <v>0</v>
      </c>
      <c r="H361" s="83">
        <v>5</v>
      </c>
      <c r="I361" s="83">
        <v>5</v>
      </c>
      <c r="J361" s="86">
        <v>1</v>
      </c>
      <c r="K361" s="83">
        <v>47</v>
      </c>
      <c r="L361" s="83">
        <v>9.4</v>
      </c>
      <c r="M361" s="83">
        <v>2</v>
      </c>
      <c r="N361" s="83">
        <v>3</v>
      </c>
      <c r="O361" s="83">
        <v>27</v>
      </c>
      <c r="P361" s="83">
        <v>9.4</v>
      </c>
      <c r="Q361" s="83">
        <v>0.8</v>
      </c>
      <c r="R361" s="83">
        <v>7.8</v>
      </c>
      <c r="S361" s="83">
        <v>0</v>
      </c>
    </row>
    <row r="362" spans="1:19" ht="16" x14ac:dyDescent="0.2">
      <c r="A362" s="89">
        <v>349</v>
      </c>
      <c r="B362" s="84" t="s">
        <v>2379</v>
      </c>
      <c r="C362" s="84" t="s">
        <v>1040</v>
      </c>
      <c r="D362" s="83">
        <v>30</v>
      </c>
      <c r="E362" s="83" t="s">
        <v>83</v>
      </c>
      <c r="F362" s="83">
        <v>12</v>
      </c>
      <c r="G362" s="83">
        <v>7</v>
      </c>
      <c r="H362" s="83">
        <v>14</v>
      </c>
      <c r="I362" s="83">
        <v>5</v>
      </c>
      <c r="J362" s="86">
        <v>0.35699999999999998</v>
      </c>
      <c r="K362" s="83">
        <v>32</v>
      </c>
      <c r="L362" s="83">
        <v>6.4</v>
      </c>
      <c r="M362" s="83">
        <v>1</v>
      </c>
      <c r="N362" s="83">
        <v>3</v>
      </c>
      <c r="O362" s="83">
        <v>11</v>
      </c>
      <c r="P362" s="83">
        <v>2.2999999999999998</v>
      </c>
      <c r="Q362" s="83">
        <v>0.4</v>
      </c>
      <c r="R362" s="83">
        <v>2.7</v>
      </c>
      <c r="S362" s="83">
        <v>0</v>
      </c>
    </row>
    <row r="363" spans="1:19" ht="16" x14ac:dyDescent="0.2">
      <c r="A363" s="89">
        <v>350</v>
      </c>
      <c r="B363" s="84" t="s">
        <v>299</v>
      </c>
      <c r="C363" s="84" t="s">
        <v>93</v>
      </c>
      <c r="D363" s="83">
        <v>22</v>
      </c>
      <c r="E363" s="83" t="s">
        <v>83</v>
      </c>
      <c r="F363" s="83">
        <v>3</v>
      </c>
      <c r="G363" s="83">
        <v>2</v>
      </c>
      <c r="H363" s="83">
        <v>10</v>
      </c>
      <c r="I363" s="83">
        <v>5</v>
      </c>
      <c r="J363" s="86">
        <v>0.5</v>
      </c>
      <c r="K363" s="83">
        <v>74</v>
      </c>
      <c r="L363" s="83">
        <v>14.8</v>
      </c>
      <c r="M363" s="83">
        <v>0</v>
      </c>
      <c r="N363" s="83">
        <v>4</v>
      </c>
      <c r="O363" s="83">
        <v>28</v>
      </c>
      <c r="P363" s="83">
        <v>7.4</v>
      </c>
      <c r="Q363" s="83">
        <v>1.7</v>
      </c>
      <c r="R363" s="83">
        <v>24.7</v>
      </c>
      <c r="S363" s="83">
        <v>0</v>
      </c>
    </row>
    <row r="364" spans="1:19" ht="16" x14ac:dyDescent="0.2">
      <c r="A364" s="89">
        <v>351</v>
      </c>
      <c r="B364" s="84" t="s">
        <v>2397</v>
      </c>
      <c r="C364" s="84" t="s">
        <v>101</v>
      </c>
      <c r="D364" s="83">
        <v>26</v>
      </c>
      <c r="E364" s="83" t="s">
        <v>3111</v>
      </c>
      <c r="F364" s="83">
        <v>8</v>
      </c>
      <c r="G364" s="83">
        <v>1</v>
      </c>
      <c r="H364" s="83">
        <v>6</v>
      </c>
      <c r="I364" s="83">
        <v>5</v>
      </c>
      <c r="J364" s="86">
        <v>0.83299999999999996</v>
      </c>
      <c r="K364" s="83">
        <v>43</v>
      </c>
      <c r="L364" s="83">
        <v>8.6</v>
      </c>
      <c r="M364" s="83">
        <v>0</v>
      </c>
      <c r="N364" s="83">
        <v>3</v>
      </c>
      <c r="O364" s="83">
        <v>17</v>
      </c>
      <c r="P364" s="83">
        <v>7.2</v>
      </c>
      <c r="Q364" s="83">
        <v>0.6</v>
      </c>
      <c r="R364" s="83">
        <v>5.4</v>
      </c>
      <c r="S364" s="83">
        <v>0</v>
      </c>
    </row>
    <row r="365" spans="1:19" ht="16" x14ac:dyDescent="0.2">
      <c r="A365" s="89">
        <v>352</v>
      </c>
      <c r="B365" s="84" t="s">
        <v>1465</v>
      </c>
      <c r="C365" s="84" t="s">
        <v>1257</v>
      </c>
      <c r="D365" s="83">
        <v>24</v>
      </c>
      <c r="E365" s="83" t="s">
        <v>68</v>
      </c>
      <c r="F365" s="83">
        <v>11</v>
      </c>
      <c r="G365" s="83">
        <v>4</v>
      </c>
      <c r="H365" s="83">
        <v>8</v>
      </c>
      <c r="I365" s="83">
        <v>5</v>
      </c>
      <c r="J365" s="86">
        <v>0.625</v>
      </c>
      <c r="K365" s="83">
        <v>29</v>
      </c>
      <c r="L365" s="83">
        <v>5.8</v>
      </c>
      <c r="M365" s="83">
        <v>0</v>
      </c>
      <c r="N365" s="83">
        <v>2</v>
      </c>
      <c r="O365" s="83">
        <v>19</v>
      </c>
      <c r="P365" s="83">
        <v>3.6</v>
      </c>
      <c r="Q365" s="83">
        <v>0.5</v>
      </c>
      <c r="R365" s="83">
        <v>2.6</v>
      </c>
      <c r="S365" s="83">
        <v>0</v>
      </c>
    </row>
    <row r="366" spans="1:19" ht="16" x14ac:dyDescent="0.2">
      <c r="A366" s="89">
        <v>353</v>
      </c>
      <c r="B366" s="84" t="s">
        <v>285</v>
      </c>
      <c r="C366" s="84" t="s">
        <v>118</v>
      </c>
      <c r="D366" s="83">
        <v>24</v>
      </c>
      <c r="E366" s="83" t="s">
        <v>68</v>
      </c>
      <c r="F366" s="83">
        <v>10</v>
      </c>
      <c r="G366" s="83">
        <v>0</v>
      </c>
      <c r="H366" s="83">
        <v>6</v>
      </c>
      <c r="I366" s="83">
        <v>5</v>
      </c>
      <c r="J366" s="86">
        <v>0.83299999999999996</v>
      </c>
      <c r="K366" s="83">
        <v>38</v>
      </c>
      <c r="L366" s="83">
        <v>7.6</v>
      </c>
      <c r="M366" s="83">
        <v>0</v>
      </c>
      <c r="N366" s="83">
        <v>1</v>
      </c>
      <c r="O366" s="83">
        <v>17</v>
      </c>
      <c r="P366" s="83">
        <v>6.3</v>
      </c>
      <c r="Q366" s="83">
        <v>0.5</v>
      </c>
      <c r="R366" s="83">
        <v>3.8</v>
      </c>
      <c r="S366" s="83">
        <v>1</v>
      </c>
    </row>
    <row r="367" spans="1:19" ht="16" x14ac:dyDescent="0.2">
      <c r="A367" s="89">
        <v>354</v>
      </c>
      <c r="B367" s="84" t="s">
        <v>898</v>
      </c>
      <c r="C367" s="84" t="s">
        <v>976</v>
      </c>
      <c r="D367" s="83">
        <v>24</v>
      </c>
      <c r="E367" s="83" t="s">
        <v>83</v>
      </c>
      <c r="F367" s="83">
        <v>9</v>
      </c>
      <c r="G367" s="83">
        <v>0</v>
      </c>
      <c r="H367" s="83">
        <v>9</v>
      </c>
      <c r="I367" s="83">
        <v>5</v>
      </c>
      <c r="J367" s="86">
        <v>0.55600000000000005</v>
      </c>
      <c r="K367" s="83">
        <v>38</v>
      </c>
      <c r="L367" s="83">
        <v>7.6</v>
      </c>
      <c r="M367" s="83">
        <v>0</v>
      </c>
      <c r="N367" s="83">
        <v>2</v>
      </c>
      <c r="O367" s="83">
        <v>13</v>
      </c>
      <c r="P367" s="83">
        <v>4.2</v>
      </c>
      <c r="Q367" s="83">
        <v>0.6</v>
      </c>
      <c r="R367" s="83">
        <v>4.2</v>
      </c>
      <c r="S367" s="83">
        <v>0</v>
      </c>
    </row>
    <row r="368" spans="1:19" ht="16" x14ac:dyDescent="0.2">
      <c r="A368" s="89">
        <v>355</v>
      </c>
      <c r="B368" s="84" t="s">
        <v>679</v>
      </c>
      <c r="C368" s="84" t="s">
        <v>108</v>
      </c>
      <c r="D368" s="83">
        <v>22</v>
      </c>
      <c r="E368" s="83" t="s">
        <v>88</v>
      </c>
      <c r="F368" s="83">
        <v>14</v>
      </c>
      <c r="G368" s="83">
        <v>1</v>
      </c>
      <c r="H368" s="83">
        <v>8</v>
      </c>
      <c r="I368" s="83">
        <v>5</v>
      </c>
      <c r="J368" s="86">
        <v>0.625</v>
      </c>
      <c r="K368" s="83">
        <v>33</v>
      </c>
      <c r="L368" s="83">
        <v>6.6</v>
      </c>
      <c r="M368" s="83">
        <v>0</v>
      </c>
      <c r="N368" s="83">
        <v>2</v>
      </c>
      <c r="O368" s="83">
        <v>12</v>
      </c>
      <c r="P368" s="83">
        <v>4.0999999999999996</v>
      </c>
      <c r="Q368" s="83">
        <v>0.4</v>
      </c>
      <c r="R368" s="83">
        <v>2.4</v>
      </c>
      <c r="S368" s="83">
        <v>0</v>
      </c>
    </row>
    <row r="369" spans="1:19" ht="16" x14ac:dyDescent="0.2">
      <c r="A369" s="89">
        <v>356</v>
      </c>
      <c r="B369" s="84" t="s">
        <v>419</v>
      </c>
      <c r="C369" s="84" t="s">
        <v>70</v>
      </c>
      <c r="D369" s="83">
        <v>25</v>
      </c>
      <c r="E369" s="83" t="s">
        <v>68</v>
      </c>
      <c r="F369" s="83">
        <v>2</v>
      </c>
      <c r="G369" s="83">
        <v>0</v>
      </c>
      <c r="H369" s="83">
        <v>5</v>
      </c>
      <c r="I369" s="83">
        <v>5</v>
      </c>
      <c r="J369" s="86">
        <v>1</v>
      </c>
      <c r="K369" s="83">
        <v>48</v>
      </c>
      <c r="L369" s="83">
        <v>9.6</v>
      </c>
      <c r="M369" s="83">
        <v>0</v>
      </c>
      <c r="N369" s="83">
        <v>2</v>
      </c>
      <c r="O369" s="83">
        <v>17</v>
      </c>
      <c r="P369" s="83">
        <v>9.6</v>
      </c>
      <c r="Q369" s="83">
        <v>2.5</v>
      </c>
      <c r="R369" s="83">
        <v>24</v>
      </c>
      <c r="S369" s="83">
        <v>0</v>
      </c>
    </row>
    <row r="370" spans="1:19" ht="16" x14ac:dyDescent="0.2">
      <c r="A370" s="89">
        <v>357</v>
      </c>
      <c r="B370" s="84" t="s">
        <v>396</v>
      </c>
      <c r="C370" s="84" t="s">
        <v>73</v>
      </c>
      <c r="D370" s="83">
        <v>22</v>
      </c>
      <c r="E370" s="83" t="s">
        <v>83</v>
      </c>
      <c r="F370" s="83">
        <v>8</v>
      </c>
      <c r="G370" s="83">
        <v>1</v>
      </c>
      <c r="H370" s="83">
        <v>6</v>
      </c>
      <c r="I370" s="83">
        <v>5</v>
      </c>
      <c r="J370" s="86">
        <v>0.83299999999999996</v>
      </c>
      <c r="K370" s="83">
        <v>116</v>
      </c>
      <c r="L370" s="83">
        <v>23.2</v>
      </c>
      <c r="M370" s="83">
        <v>2</v>
      </c>
      <c r="N370" s="83">
        <v>4</v>
      </c>
      <c r="O370" s="83">
        <v>44</v>
      </c>
      <c r="P370" s="83">
        <v>19.3</v>
      </c>
      <c r="Q370" s="83">
        <v>0.6</v>
      </c>
      <c r="R370" s="83">
        <v>14.5</v>
      </c>
      <c r="S370" s="83">
        <v>0</v>
      </c>
    </row>
    <row r="371" spans="1:19" ht="16" x14ac:dyDescent="0.2">
      <c r="A371" s="89">
        <v>358</v>
      </c>
      <c r="B371" s="84" t="s">
        <v>403</v>
      </c>
      <c r="C371" s="84" t="s">
        <v>74</v>
      </c>
      <c r="D371" s="83">
        <v>27</v>
      </c>
      <c r="E371" s="83" t="s">
        <v>83</v>
      </c>
      <c r="F371" s="83">
        <v>12</v>
      </c>
      <c r="G371" s="83">
        <v>1</v>
      </c>
      <c r="H371" s="83">
        <v>11</v>
      </c>
      <c r="I371" s="83">
        <v>5</v>
      </c>
      <c r="J371" s="86">
        <v>0.45500000000000002</v>
      </c>
      <c r="K371" s="83">
        <v>52</v>
      </c>
      <c r="L371" s="83">
        <v>10.4</v>
      </c>
      <c r="M371" s="83">
        <v>0</v>
      </c>
      <c r="N371" s="83">
        <v>3</v>
      </c>
      <c r="O371" s="83">
        <v>19</v>
      </c>
      <c r="P371" s="83">
        <v>4.7</v>
      </c>
      <c r="Q371" s="83">
        <v>0.4</v>
      </c>
      <c r="R371" s="83">
        <v>4.3</v>
      </c>
      <c r="S371" s="83">
        <v>0</v>
      </c>
    </row>
    <row r="372" spans="1:19" ht="16" x14ac:dyDescent="0.2">
      <c r="A372" s="89">
        <v>359</v>
      </c>
      <c r="B372" s="84" t="s">
        <v>487</v>
      </c>
      <c r="C372" s="84" t="s">
        <v>99</v>
      </c>
      <c r="D372" s="83">
        <v>23</v>
      </c>
      <c r="E372" s="83" t="s">
        <v>83</v>
      </c>
      <c r="F372" s="83">
        <v>15</v>
      </c>
      <c r="G372" s="83">
        <v>0</v>
      </c>
      <c r="H372" s="83">
        <v>6</v>
      </c>
      <c r="I372" s="83">
        <v>5</v>
      </c>
      <c r="J372" s="86">
        <v>0.83299999999999996</v>
      </c>
      <c r="K372" s="83">
        <v>33</v>
      </c>
      <c r="L372" s="83">
        <v>6.6</v>
      </c>
      <c r="M372" s="83">
        <v>0</v>
      </c>
      <c r="N372" s="83">
        <v>3</v>
      </c>
      <c r="O372" s="83">
        <v>11</v>
      </c>
      <c r="P372" s="83">
        <v>5.5</v>
      </c>
      <c r="Q372" s="83">
        <v>0.3</v>
      </c>
      <c r="R372" s="83">
        <v>2.2000000000000002</v>
      </c>
      <c r="S372" s="83">
        <v>0</v>
      </c>
    </row>
    <row r="373" spans="1:19" x14ac:dyDescent="0.2">
      <c r="A373" s="89" t="s">
        <v>902</v>
      </c>
      <c r="B373" s="89" t="s">
        <v>903</v>
      </c>
      <c r="C373" s="89" t="s">
        <v>1314</v>
      </c>
      <c r="D373" s="89" t="s">
        <v>905</v>
      </c>
      <c r="E373" s="89" t="s">
        <v>906</v>
      </c>
      <c r="F373" s="89" t="s">
        <v>1315</v>
      </c>
      <c r="G373" s="89" t="s">
        <v>1316</v>
      </c>
      <c r="H373" s="89" t="s">
        <v>2314</v>
      </c>
      <c r="I373" s="89" t="s">
        <v>2092</v>
      </c>
      <c r="J373" s="89" t="s">
        <v>2093</v>
      </c>
      <c r="K373" s="89" t="s">
        <v>799</v>
      </c>
      <c r="L373" s="89" t="s">
        <v>2315</v>
      </c>
      <c r="M373" s="89" t="s">
        <v>800</v>
      </c>
      <c r="N373" s="89" t="s">
        <v>1321</v>
      </c>
      <c r="O373" s="89" t="s">
        <v>917</v>
      </c>
      <c r="P373" s="89" t="s">
        <v>2316</v>
      </c>
      <c r="Q373" s="89" t="s">
        <v>2317</v>
      </c>
      <c r="R373" s="89" t="s">
        <v>1325</v>
      </c>
      <c r="S373" s="89" t="s">
        <v>1416</v>
      </c>
    </row>
    <row r="374" spans="1:19" ht="16" x14ac:dyDescent="0.2">
      <c r="A374" s="89">
        <v>360</v>
      </c>
      <c r="B374" s="84" t="s">
        <v>655</v>
      </c>
      <c r="C374" s="84" t="s">
        <v>1087</v>
      </c>
      <c r="D374" s="83">
        <v>24</v>
      </c>
      <c r="E374" s="83" t="s">
        <v>88</v>
      </c>
      <c r="F374" s="83">
        <v>17</v>
      </c>
      <c r="G374" s="83">
        <v>3</v>
      </c>
      <c r="H374" s="83">
        <v>6</v>
      </c>
      <c r="I374" s="83">
        <v>5</v>
      </c>
      <c r="J374" s="86">
        <v>0.83299999999999996</v>
      </c>
      <c r="K374" s="83">
        <v>52</v>
      </c>
      <c r="L374" s="83">
        <v>10.4</v>
      </c>
      <c r="M374" s="83">
        <v>0</v>
      </c>
      <c r="N374" s="83">
        <v>3</v>
      </c>
      <c r="O374" s="83">
        <v>27</v>
      </c>
      <c r="P374" s="83">
        <v>8.6999999999999993</v>
      </c>
      <c r="Q374" s="83">
        <v>0.3</v>
      </c>
      <c r="R374" s="83">
        <v>3.1</v>
      </c>
      <c r="S374" s="83">
        <v>0</v>
      </c>
    </row>
    <row r="375" spans="1:19" ht="16" x14ac:dyDescent="0.2">
      <c r="A375" s="89">
        <v>361</v>
      </c>
      <c r="B375" s="84" t="s">
        <v>359</v>
      </c>
      <c r="C375" s="84" t="s">
        <v>101</v>
      </c>
      <c r="D375" s="83">
        <v>25</v>
      </c>
      <c r="E375" s="83" t="s">
        <v>83</v>
      </c>
      <c r="F375" s="83">
        <v>16</v>
      </c>
      <c r="G375" s="83">
        <v>0</v>
      </c>
      <c r="H375" s="83">
        <v>9</v>
      </c>
      <c r="I375" s="83">
        <v>4</v>
      </c>
      <c r="J375" s="86">
        <v>0.44400000000000001</v>
      </c>
      <c r="K375" s="83">
        <v>25</v>
      </c>
      <c r="L375" s="83">
        <v>6.3</v>
      </c>
      <c r="M375" s="83">
        <v>0</v>
      </c>
      <c r="N375" s="83">
        <v>2</v>
      </c>
      <c r="O375" s="83">
        <v>8</v>
      </c>
      <c r="P375" s="83">
        <v>2.8</v>
      </c>
      <c r="Q375" s="83">
        <v>0.3</v>
      </c>
      <c r="R375" s="83">
        <v>1.6</v>
      </c>
      <c r="S375" s="83">
        <v>0</v>
      </c>
    </row>
    <row r="376" spans="1:19" ht="16" x14ac:dyDescent="0.2">
      <c r="A376" s="89">
        <v>362</v>
      </c>
      <c r="B376" s="84" t="s">
        <v>2500</v>
      </c>
      <c r="C376" s="84" t="s">
        <v>730</v>
      </c>
      <c r="D376" s="83">
        <v>26</v>
      </c>
      <c r="E376" s="83" t="s">
        <v>88</v>
      </c>
      <c r="F376" s="83">
        <v>11</v>
      </c>
      <c r="G376" s="83">
        <v>2</v>
      </c>
      <c r="H376" s="83">
        <v>7</v>
      </c>
      <c r="I376" s="83">
        <v>4</v>
      </c>
      <c r="J376" s="86">
        <v>0.57099999999999995</v>
      </c>
      <c r="K376" s="83">
        <v>37</v>
      </c>
      <c r="L376" s="83">
        <v>9.3000000000000007</v>
      </c>
      <c r="M376" s="83">
        <v>0</v>
      </c>
      <c r="N376" s="83">
        <v>2</v>
      </c>
      <c r="O376" s="83">
        <v>23</v>
      </c>
      <c r="P376" s="83">
        <v>5.3</v>
      </c>
      <c r="Q376" s="83">
        <v>0.4</v>
      </c>
      <c r="R376" s="83">
        <v>3.4</v>
      </c>
      <c r="S376" s="83">
        <v>1</v>
      </c>
    </row>
    <row r="377" spans="1:19" ht="16" x14ac:dyDescent="0.2">
      <c r="A377" s="89">
        <v>363</v>
      </c>
      <c r="B377" s="84" t="s">
        <v>459</v>
      </c>
      <c r="C377" s="84" t="s">
        <v>92</v>
      </c>
      <c r="D377" s="83">
        <v>28</v>
      </c>
      <c r="E377" s="83" t="s">
        <v>83</v>
      </c>
      <c r="F377" s="83">
        <v>6</v>
      </c>
      <c r="G377" s="83">
        <v>1</v>
      </c>
      <c r="H377" s="83">
        <v>6</v>
      </c>
      <c r="I377" s="83">
        <v>4</v>
      </c>
      <c r="J377" s="86">
        <v>0.66700000000000004</v>
      </c>
      <c r="K377" s="83">
        <v>51</v>
      </c>
      <c r="L377" s="83">
        <v>12.8</v>
      </c>
      <c r="M377" s="83">
        <v>0</v>
      </c>
      <c r="N377" s="83">
        <v>3</v>
      </c>
      <c r="O377" s="83">
        <v>38</v>
      </c>
      <c r="P377" s="83">
        <v>8.5</v>
      </c>
      <c r="Q377" s="83">
        <v>0.7</v>
      </c>
      <c r="R377" s="83">
        <v>8.5</v>
      </c>
      <c r="S377" s="83">
        <v>0</v>
      </c>
    </row>
    <row r="378" spans="1:19" ht="16" x14ac:dyDescent="0.2">
      <c r="A378" s="89">
        <v>364</v>
      </c>
      <c r="B378" s="84" t="s">
        <v>561</v>
      </c>
      <c r="C378" s="84" t="s">
        <v>82</v>
      </c>
      <c r="D378" s="83">
        <v>25</v>
      </c>
      <c r="E378" s="83" t="s">
        <v>83</v>
      </c>
      <c r="F378" s="83">
        <v>5</v>
      </c>
      <c r="G378" s="83">
        <v>0</v>
      </c>
      <c r="H378" s="83">
        <v>4</v>
      </c>
      <c r="I378" s="83">
        <v>4</v>
      </c>
      <c r="J378" s="86">
        <v>1</v>
      </c>
      <c r="K378" s="83">
        <v>64</v>
      </c>
      <c r="L378" s="83">
        <v>16</v>
      </c>
      <c r="M378" s="83">
        <v>0</v>
      </c>
      <c r="N378" s="83">
        <v>2</v>
      </c>
      <c r="O378" s="83">
        <v>37</v>
      </c>
      <c r="P378" s="83">
        <v>16</v>
      </c>
      <c r="Q378" s="83">
        <v>0.8</v>
      </c>
      <c r="R378" s="83">
        <v>12.8</v>
      </c>
      <c r="S378" s="83">
        <v>0</v>
      </c>
    </row>
    <row r="379" spans="1:19" ht="16" x14ac:dyDescent="0.2">
      <c r="A379" s="89">
        <v>365</v>
      </c>
      <c r="B379" s="84" t="s">
        <v>2005</v>
      </c>
      <c r="C379" s="84" t="s">
        <v>139</v>
      </c>
      <c r="D379" s="83">
        <v>25</v>
      </c>
      <c r="E379" s="83" t="s">
        <v>3110</v>
      </c>
      <c r="F379" s="83">
        <v>14</v>
      </c>
      <c r="G379" s="83">
        <v>4</v>
      </c>
      <c r="H379" s="83">
        <v>7</v>
      </c>
      <c r="I379" s="83">
        <v>4</v>
      </c>
      <c r="J379" s="86">
        <v>0.57099999999999995</v>
      </c>
      <c r="K379" s="83">
        <v>16</v>
      </c>
      <c r="L379" s="83">
        <v>4</v>
      </c>
      <c r="M379" s="83">
        <v>1</v>
      </c>
      <c r="N379" s="83">
        <v>2</v>
      </c>
      <c r="O379" s="83">
        <v>6</v>
      </c>
      <c r="P379" s="83">
        <v>2.2999999999999998</v>
      </c>
      <c r="Q379" s="83">
        <v>0.3</v>
      </c>
      <c r="R379" s="83">
        <v>1.1000000000000001</v>
      </c>
      <c r="S379" s="83">
        <v>0</v>
      </c>
    </row>
    <row r="380" spans="1:19" ht="16" x14ac:dyDescent="0.2">
      <c r="A380" s="89">
        <v>366</v>
      </c>
      <c r="B380" s="84" t="s">
        <v>610</v>
      </c>
      <c r="C380" s="84" t="s">
        <v>92</v>
      </c>
      <c r="D380" s="83">
        <v>26</v>
      </c>
      <c r="E380" s="83" t="s">
        <v>83</v>
      </c>
      <c r="F380" s="83">
        <v>8</v>
      </c>
      <c r="G380" s="83">
        <v>0</v>
      </c>
      <c r="H380" s="83">
        <v>11</v>
      </c>
      <c r="I380" s="83">
        <v>4</v>
      </c>
      <c r="J380" s="86">
        <v>0.36399999999999999</v>
      </c>
      <c r="K380" s="83">
        <v>33</v>
      </c>
      <c r="L380" s="83">
        <v>8.3000000000000007</v>
      </c>
      <c r="M380" s="83">
        <v>0</v>
      </c>
      <c r="N380" s="83">
        <v>1</v>
      </c>
      <c r="O380" s="83">
        <v>15</v>
      </c>
      <c r="P380" s="83">
        <v>3</v>
      </c>
      <c r="Q380" s="83">
        <v>0.5</v>
      </c>
      <c r="R380" s="83">
        <v>4.0999999999999996</v>
      </c>
      <c r="S380" s="83">
        <v>0</v>
      </c>
    </row>
    <row r="381" spans="1:19" ht="16" x14ac:dyDescent="0.2">
      <c r="A381" s="89">
        <v>367</v>
      </c>
      <c r="B381" s="84" t="s">
        <v>2484</v>
      </c>
      <c r="C381" s="84" t="s">
        <v>1267</v>
      </c>
      <c r="D381" s="83">
        <v>24</v>
      </c>
      <c r="E381" s="83" t="s">
        <v>88</v>
      </c>
      <c r="F381" s="83">
        <v>14</v>
      </c>
      <c r="G381" s="83">
        <v>0</v>
      </c>
      <c r="H381" s="83">
        <v>5</v>
      </c>
      <c r="I381" s="83">
        <v>4</v>
      </c>
      <c r="J381" s="86">
        <v>0.8</v>
      </c>
      <c r="K381" s="83">
        <v>35</v>
      </c>
      <c r="L381" s="83">
        <v>8.8000000000000007</v>
      </c>
      <c r="M381" s="83">
        <v>0</v>
      </c>
      <c r="N381" s="83">
        <v>1</v>
      </c>
      <c r="O381" s="83">
        <v>22</v>
      </c>
      <c r="P381" s="83">
        <v>7</v>
      </c>
      <c r="Q381" s="83">
        <v>0.3</v>
      </c>
      <c r="R381" s="83">
        <v>2.5</v>
      </c>
      <c r="S381" s="83">
        <v>0</v>
      </c>
    </row>
    <row r="382" spans="1:19" ht="16" x14ac:dyDescent="0.2">
      <c r="A382" s="89">
        <v>368</v>
      </c>
      <c r="B382" s="84" t="s">
        <v>631</v>
      </c>
      <c r="C382" s="84" t="s">
        <v>1087</v>
      </c>
      <c r="D382" s="83">
        <v>26</v>
      </c>
      <c r="E382" s="83" t="s">
        <v>88</v>
      </c>
      <c r="F382" s="83">
        <v>17</v>
      </c>
      <c r="G382" s="83">
        <v>2</v>
      </c>
      <c r="H382" s="83">
        <v>5</v>
      </c>
      <c r="I382" s="83">
        <v>4</v>
      </c>
      <c r="J382" s="86">
        <v>0.8</v>
      </c>
      <c r="K382" s="83">
        <v>51</v>
      </c>
      <c r="L382" s="83">
        <v>12.8</v>
      </c>
      <c r="M382" s="83">
        <v>1</v>
      </c>
      <c r="N382" s="83">
        <v>2</v>
      </c>
      <c r="O382" s="83">
        <v>21</v>
      </c>
      <c r="P382" s="83">
        <v>10.199999999999999</v>
      </c>
      <c r="Q382" s="83">
        <v>0.2</v>
      </c>
      <c r="R382" s="83">
        <v>3</v>
      </c>
      <c r="S382" s="83">
        <v>0</v>
      </c>
    </row>
    <row r="383" spans="1:19" ht="16" x14ac:dyDescent="0.2">
      <c r="A383" s="89">
        <v>369</v>
      </c>
      <c r="B383" s="84" t="s">
        <v>619</v>
      </c>
      <c r="C383" s="83" t="s">
        <v>1726</v>
      </c>
      <c r="D383" s="83">
        <v>35</v>
      </c>
      <c r="E383" s="83" t="s">
        <v>88</v>
      </c>
      <c r="F383" s="83">
        <v>9</v>
      </c>
      <c r="G383" s="83">
        <v>5</v>
      </c>
      <c r="H383" s="83">
        <v>5</v>
      </c>
      <c r="I383" s="83">
        <v>4</v>
      </c>
      <c r="J383" s="86">
        <v>0.8</v>
      </c>
      <c r="K383" s="83">
        <v>43</v>
      </c>
      <c r="L383" s="83">
        <v>10.8</v>
      </c>
      <c r="M383" s="83">
        <v>0</v>
      </c>
      <c r="N383" s="83">
        <v>2</v>
      </c>
      <c r="O383" s="83">
        <v>24</v>
      </c>
      <c r="P383" s="83">
        <v>8.6</v>
      </c>
      <c r="Q383" s="83">
        <v>0.4</v>
      </c>
      <c r="R383" s="83">
        <v>4.8</v>
      </c>
      <c r="S383" s="83">
        <v>0</v>
      </c>
    </row>
    <row r="384" spans="1:19" ht="16" x14ac:dyDescent="0.2">
      <c r="A384" s="89">
        <v>370</v>
      </c>
      <c r="B384" s="84" t="s">
        <v>890</v>
      </c>
      <c r="C384" s="84" t="s">
        <v>142</v>
      </c>
      <c r="D384" s="83">
        <v>27</v>
      </c>
      <c r="E384" s="83" t="s">
        <v>83</v>
      </c>
      <c r="F384" s="83">
        <v>2</v>
      </c>
      <c r="G384" s="83">
        <v>0</v>
      </c>
      <c r="H384" s="83">
        <v>8</v>
      </c>
      <c r="I384" s="83">
        <v>4</v>
      </c>
      <c r="J384" s="86">
        <v>0.5</v>
      </c>
      <c r="K384" s="83">
        <v>26</v>
      </c>
      <c r="L384" s="83">
        <v>6.5</v>
      </c>
      <c r="M384" s="83">
        <v>0</v>
      </c>
      <c r="N384" s="83">
        <v>3</v>
      </c>
      <c r="O384" s="83">
        <v>10</v>
      </c>
      <c r="P384" s="83">
        <v>3.3</v>
      </c>
      <c r="Q384" s="83">
        <v>2</v>
      </c>
      <c r="R384" s="83">
        <v>13</v>
      </c>
      <c r="S384" s="83">
        <v>0</v>
      </c>
    </row>
    <row r="385" spans="1:19" ht="16" x14ac:dyDescent="0.2">
      <c r="A385" s="89">
        <v>371</v>
      </c>
      <c r="B385" s="84" t="s">
        <v>2431</v>
      </c>
      <c r="C385" s="84" t="s">
        <v>1257</v>
      </c>
      <c r="D385" s="83">
        <v>27</v>
      </c>
      <c r="E385" s="83" t="s">
        <v>88</v>
      </c>
      <c r="F385" s="83">
        <v>13</v>
      </c>
      <c r="G385" s="83">
        <v>6</v>
      </c>
      <c r="H385" s="83">
        <v>4</v>
      </c>
      <c r="I385" s="83">
        <v>4</v>
      </c>
      <c r="J385" s="86">
        <v>1</v>
      </c>
      <c r="K385" s="83">
        <v>39</v>
      </c>
      <c r="L385" s="83">
        <v>9.8000000000000007</v>
      </c>
      <c r="M385" s="83">
        <v>0</v>
      </c>
      <c r="N385" s="83">
        <v>2</v>
      </c>
      <c r="O385" s="83">
        <v>14</v>
      </c>
      <c r="P385" s="83">
        <v>9.8000000000000007</v>
      </c>
      <c r="Q385" s="83">
        <v>0.3</v>
      </c>
      <c r="R385" s="83">
        <v>3</v>
      </c>
      <c r="S385" s="83">
        <v>1</v>
      </c>
    </row>
    <row r="386" spans="1:19" ht="16" x14ac:dyDescent="0.2">
      <c r="A386" s="89">
        <v>372</v>
      </c>
      <c r="B386" s="84" t="s">
        <v>612</v>
      </c>
      <c r="C386" s="84" t="s">
        <v>73</v>
      </c>
      <c r="D386" s="83">
        <v>25</v>
      </c>
      <c r="E386" s="83" t="s">
        <v>1824</v>
      </c>
      <c r="F386" s="83">
        <v>16</v>
      </c>
      <c r="G386" s="83">
        <v>5</v>
      </c>
      <c r="H386" s="83">
        <v>7</v>
      </c>
      <c r="I386" s="83">
        <v>4</v>
      </c>
      <c r="J386" s="86">
        <v>0.57099999999999995</v>
      </c>
      <c r="K386" s="83">
        <v>40</v>
      </c>
      <c r="L386" s="83">
        <v>10</v>
      </c>
      <c r="M386" s="83">
        <v>1</v>
      </c>
      <c r="N386" s="83">
        <v>4</v>
      </c>
      <c r="O386" s="83">
        <v>17</v>
      </c>
      <c r="P386" s="83">
        <v>5.7</v>
      </c>
      <c r="Q386" s="83">
        <v>0.3</v>
      </c>
      <c r="R386" s="83">
        <v>2.5</v>
      </c>
      <c r="S386" s="83">
        <v>0</v>
      </c>
    </row>
    <row r="387" spans="1:19" ht="16" x14ac:dyDescent="0.2">
      <c r="A387" s="89">
        <v>373</v>
      </c>
      <c r="B387" s="84" t="s">
        <v>156</v>
      </c>
      <c r="C387" s="84" t="s">
        <v>1257</v>
      </c>
      <c r="D387" s="83">
        <v>31</v>
      </c>
      <c r="E387" s="83" t="s">
        <v>79</v>
      </c>
      <c r="F387" s="83">
        <v>12</v>
      </c>
      <c r="G387" s="83">
        <v>9</v>
      </c>
      <c r="H387" s="83">
        <v>6</v>
      </c>
      <c r="I387" s="83">
        <v>4</v>
      </c>
      <c r="J387" s="86">
        <v>0.66700000000000004</v>
      </c>
      <c r="K387" s="83">
        <v>52</v>
      </c>
      <c r="L387" s="83">
        <v>13</v>
      </c>
      <c r="M387" s="83">
        <v>0</v>
      </c>
      <c r="N387" s="83">
        <v>4</v>
      </c>
      <c r="O387" s="83">
        <v>15</v>
      </c>
      <c r="P387" s="83">
        <v>8.6999999999999993</v>
      </c>
      <c r="Q387" s="83">
        <v>0.3</v>
      </c>
      <c r="R387" s="83">
        <v>4.3</v>
      </c>
      <c r="S387" s="83">
        <v>2</v>
      </c>
    </row>
    <row r="388" spans="1:19" ht="16" x14ac:dyDescent="0.2">
      <c r="A388" s="89">
        <v>374</v>
      </c>
      <c r="B388" s="84" t="s">
        <v>332</v>
      </c>
      <c r="C388" s="84" t="s">
        <v>1257</v>
      </c>
      <c r="D388" s="83">
        <v>34</v>
      </c>
      <c r="E388" s="83" t="s">
        <v>83</v>
      </c>
      <c r="F388" s="83">
        <v>5</v>
      </c>
      <c r="G388" s="83">
        <v>1</v>
      </c>
      <c r="H388" s="83">
        <v>8</v>
      </c>
      <c r="I388" s="83">
        <v>4</v>
      </c>
      <c r="J388" s="86">
        <v>0.5</v>
      </c>
      <c r="K388" s="83">
        <v>41</v>
      </c>
      <c r="L388" s="83">
        <v>10.3</v>
      </c>
      <c r="M388" s="83">
        <v>1</v>
      </c>
      <c r="N388" s="83">
        <v>2</v>
      </c>
      <c r="O388" s="83">
        <v>16</v>
      </c>
      <c r="P388" s="83">
        <v>5.0999999999999996</v>
      </c>
      <c r="Q388" s="83">
        <v>0.8</v>
      </c>
      <c r="R388" s="83">
        <v>8.1999999999999993</v>
      </c>
      <c r="S388" s="83">
        <v>0</v>
      </c>
    </row>
    <row r="389" spans="1:19" ht="16" x14ac:dyDescent="0.2">
      <c r="A389" s="89">
        <v>375</v>
      </c>
      <c r="B389" s="84" t="s">
        <v>478</v>
      </c>
      <c r="C389" s="84" t="s">
        <v>77</v>
      </c>
      <c r="D389" s="83">
        <v>28</v>
      </c>
      <c r="E389" s="83" t="s">
        <v>83</v>
      </c>
      <c r="F389" s="83">
        <v>3</v>
      </c>
      <c r="G389" s="83">
        <v>1</v>
      </c>
      <c r="H389" s="83">
        <v>7</v>
      </c>
      <c r="I389" s="83">
        <v>4</v>
      </c>
      <c r="J389" s="86">
        <v>0.57099999999999995</v>
      </c>
      <c r="K389" s="83">
        <v>33</v>
      </c>
      <c r="L389" s="83">
        <v>8.3000000000000007</v>
      </c>
      <c r="M389" s="83">
        <v>0</v>
      </c>
      <c r="N389" s="83">
        <v>4</v>
      </c>
      <c r="O389" s="83">
        <v>14</v>
      </c>
      <c r="P389" s="83">
        <v>4.7</v>
      </c>
      <c r="Q389" s="83">
        <v>1.3</v>
      </c>
      <c r="R389" s="83">
        <v>11</v>
      </c>
      <c r="S389" s="83">
        <v>0</v>
      </c>
    </row>
    <row r="390" spans="1:19" ht="16" x14ac:dyDescent="0.2">
      <c r="A390" s="89">
        <v>376</v>
      </c>
      <c r="B390" s="84" t="s">
        <v>2344</v>
      </c>
      <c r="C390" s="84" t="s">
        <v>139</v>
      </c>
      <c r="D390" s="83">
        <v>21</v>
      </c>
      <c r="E390" s="83" t="s">
        <v>68</v>
      </c>
      <c r="F390" s="83">
        <v>7</v>
      </c>
      <c r="G390" s="83">
        <v>0</v>
      </c>
      <c r="H390" s="83">
        <v>5</v>
      </c>
      <c r="I390" s="83">
        <v>4</v>
      </c>
      <c r="J390" s="86">
        <v>0.8</v>
      </c>
      <c r="K390" s="83">
        <v>23</v>
      </c>
      <c r="L390" s="83">
        <v>5.8</v>
      </c>
      <c r="M390" s="83">
        <v>0</v>
      </c>
      <c r="N390" s="83">
        <v>2</v>
      </c>
      <c r="O390" s="83">
        <v>11</v>
      </c>
      <c r="P390" s="83">
        <v>4.5999999999999996</v>
      </c>
      <c r="Q390" s="83">
        <v>0.6</v>
      </c>
      <c r="R390" s="83">
        <v>3.3</v>
      </c>
      <c r="S390" s="83">
        <v>0</v>
      </c>
    </row>
    <row r="391" spans="1:19" ht="16" x14ac:dyDescent="0.2">
      <c r="A391" s="89">
        <v>377</v>
      </c>
      <c r="B391" s="84" t="s">
        <v>1752</v>
      </c>
      <c r="C391" s="84" t="s">
        <v>142</v>
      </c>
      <c r="D391" s="83">
        <v>28</v>
      </c>
      <c r="E391" s="83" t="s">
        <v>68</v>
      </c>
      <c r="F391" s="83">
        <v>5</v>
      </c>
      <c r="G391" s="83">
        <v>4</v>
      </c>
      <c r="H391" s="83">
        <v>5</v>
      </c>
      <c r="I391" s="83">
        <v>4</v>
      </c>
      <c r="J391" s="86">
        <v>0.8</v>
      </c>
      <c r="K391" s="83">
        <v>41</v>
      </c>
      <c r="L391" s="83">
        <v>10.3</v>
      </c>
      <c r="M391" s="83">
        <v>0</v>
      </c>
      <c r="N391" s="83">
        <v>3</v>
      </c>
      <c r="O391" s="83">
        <v>20</v>
      </c>
      <c r="P391" s="83">
        <v>8.1999999999999993</v>
      </c>
      <c r="Q391" s="83">
        <v>0.8</v>
      </c>
      <c r="R391" s="83">
        <v>8.1999999999999993</v>
      </c>
      <c r="S391" s="83">
        <v>0</v>
      </c>
    </row>
    <row r="392" spans="1:19" ht="16" x14ac:dyDescent="0.2">
      <c r="A392" s="89">
        <v>378</v>
      </c>
      <c r="B392" s="84" t="s">
        <v>529</v>
      </c>
      <c r="C392" s="84" t="s">
        <v>1122</v>
      </c>
      <c r="D392" s="83">
        <v>27</v>
      </c>
      <c r="E392" s="83" t="s">
        <v>1824</v>
      </c>
      <c r="F392" s="83">
        <v>17</v>
      </c>
      <c r="G392" s="83">
        <v>6</v>
      </c>
      <c r="H392" s="83">
        <v>5</v>
      </c>
      <c r="I392" s="83">
        <v>4</v>
      </c>
      <c r="J392" s="86">
        <v>0.8</v>
      </c>
      <c r="K392" s="83">
        <v>43</v>
      </c>
      <c r="L392" s="83">
        <v>10.8</v>
      </c>
      <c r="M392" s="83">
        <v>0</v>
      </c>
      <c r="N392" s="83">
        <v>2</v>
      </c>
      <c r="O392" s="83">
        <v>29</v>
      </c>
      <c r="P392" s="83">
        <v>8.6</v>
      </c>
      <c r="Q392" s="83">
        <v>0.2</v>
      </c>
      <c r="R392" s="83">
        <v>2.5</v>
      </c>
      <c r="S392" s="83">
        <v>0</v>
      </c>
    </row>
    <row r="393" spans="1:19" ht="16" x14ac:dyDescent="0.2">
      <c r="A393" s="89">
        <v>379</v>
      </c>
      <c r="B393" s="84" t="s">
        <v>290</v>
      </c>
      <c r="C393" s="83" t="s">
        <v>1726</v>
      </c>
      <c r="D393" s="83">
        <v>27</v>
      </c>
      <c r="E393" s="83" t="s">
        <v>68</v>
      </c>
      <c r="F393" s="83">
        <v>14</v>
      </c>
      <c r="G393" s="83">
        <v>1</v>
      </c>
      <c r="H393" s="83">
        <v>5</v>
      </c>
      <c r="I393" s="83">
        <v>4</v>
      </c>
      <c r="J393" s="86">
        <v>0.8</v>
      </c>
      <c r="K393" s="83">
        <v>45</v>
      </c>
      <c r="L393" s="83">
        <v>11.3</v>
      </c>
      <c r="M393" s="83">
        <v>1</v>
      </c>
      <c r="N393" s="83">
        <v>1</v>
      </c>
      <c r="O393" s="83">
        <v>22</v>
      </c>
      <c r="P393" s="83">
        <v>9</v>
      </c>
      <c r="Q393" s="83">
        <v>0.3</v>
      </c>
      <c r="R393" s="83">
        <v>3.2</v>
      </c>
      <c r="S393" s="83">
        <v>0</v>
      </c>
    </row>
    <row r="394" spans="1:19" ht="16" x14ac:dyDescent="0.2">
      <c r="A394" s="89">
        <v>380</v>
      </c>
      <c r="B394" s="84" t="s">
        <v>2470</v>
      </c>
      <c r="C394" s="84" t="s">
        <v>729</v>
      </c>
      <c r="D394" s="83">
        <v>24</v>
      </c>
      <c r="E394" s="83" t="s">
        <v>88</v>
      </c>
      <c r="F394" s="83">
        <v>9</v>
      </c>
      <c r="G394" s="83">
        <v>2</v>
      </c>
      <c r="H394" s="83">
        <v>6</v>
      </c>
      <c r="I394" s="83">
        <v>4</v>
      </c>
      <c r="J394" s="86">
        <v>0.66700000000000004</v>
      </c>
      <c r="K394" s="83">
        <v>27</v>
      </c>
      <c r="L394" s="83">
        <v>6.8</v>
      </c>
      <c r="M394" s="83">
        <v>1</v>
      </c>
      <c r="N394" s="83">
        <v>2</v>
      </c>
      <c r="O394" s="83">
        <v>12</v>
      </c>
      <c r="P394" s="83">
        <v>4.5</v>
      </c>
      <c r="Q394" s="83">
        <v>0.4</v>
      </c>
      <c r="R394" s="83">
        <v>3</v>
      </c>
      <c r="S394" s="83">
        <v>0</v>
      </c>
    </row>
    <row r="395" spans="1:19" ht="16" x14ac:dyDescent="0.2">
      <c r="A395" s="89">
        <v>381</v>
      </c>
      <c r="B395" s="84" t="s">
        <v>2460</v>
      </c>
      <c r="C395" s="84" t="s">
        <v>73</v>
      </c>
      <c r="D395" s="83">
        <v>23</v>
      </c>
      <c r="E395" s="83" t="s">
        <v>68</v>
      </c>
      <c r="F395" s="83">
        <v>11</v>
      </c>
      <c r="G395" s="83">
        <v>0</v>
      </c>
      <c r="H395" s="83">
        <v>5</v>
      </c>
      <c r="I395" s="83">
        <v>4</v>
      </c>
      <c r="J395" s="86">
        <v>0.8</v>
      </c>
      <c r="K395" s="83">
        <v>9</v>
      </c>
      <c r="L395" s="83">
        <v>2.2999999999999998</v>
      </c>
      <c r="M395" s="83">
        <v>0</v>
      </c>
      <c r="N395" s="83">
        <v>0</v>
      </c>
      <c r="O395" s="83">
        <v>6</v>
      </c>
      <c r="P395" s="83">
        <v>1.8</v>
      </c>
      <c r="Q395" s="83">
        <v>0.4</v>
      </c>
      <c r="R395" s="83">
        <v>0.8</v>
      </c>
      <c r="S395" s="83">
        <v>0</v>
      </c>
    </row>
    <row r="396" spans="1:19" ht="16" x14ac:dyDescent="0.2">
      <c r="A396" s="89">
        <v>382</v>
      </c>
      <c r="B396" s="84" t="s">
        <v>395</v>
      </c>
      <c r="C396" s="84" t="s">
        <v>101</v>
      </c>
      <c r="D396" s="83">
        <v>25</v>
      </c>
      <c r="E396" s="83" t="s">
        <v>68</v>
      </c>
      <c r="F396" s="83">
        <v>8</v>
      </c>
      <c r="G396" s="83">
        <v>0</v>
      </c>
      <c r="H396" s="83">
        <v>6</v>
      </c>
      <c r="I396" s="83">
        <v>4</v>
      </c>
      <c r="J396" s="86">
        <v>0.66700000000000004</v>
      </c>
      <c r="K396" s="83">
        <v>12</v>
      </c>
      <c r="L396" s="83">
        <v>3</v>
      </c>
      <c r="M396" s="83">
        <v>0</v>
      </c>
      <c r="N396" s="83">
        <v>1</v>
      </c>
      <c r="O396" s="83">
        <v>8</v>
      </c>
      <c r="P396" s="83">
        <v>2</v>
      </c>
      <c r="Q396" s="83">
        <v>0.5</v>
      </c>
      <c r="R396" s="83">
        <v>1.5</v>
      </c>
      <c r="S396" s="83">
        <v>1</v>
      </c>
    </row>
    <row r="397" spans="1:19" ht="16" x14ac:dyDescent="0.2">
      <c r="A397" s="89">
        <v>383</v>
      </c>
      <c r="B397" s="84" t="s">
        <v>1655</v>
      </c>
      <c r="C397" s="83" t="s">
        <v>1726</v>
      </c>
      <c r="D397" s="83">
        <v>36</v>
      </c>
      <c r="E397" s="83" t="s">
        <v>68</v>
      </c>
      <c r="F397" s="83">
        <v>4</v>
      </c>
      <c r="G397" s="83">
        <v>3</v>
      </c>
      <c r="H397" s="83">
        <v>4</v>
      </c>
      <c r="I397" s="83">
        <v>4</v>
      </c>
      <c r="J397" s="86">
        <v>1</v>
      </c>
      <c r="K397" s="83">
        <v>8</v>
      </c>
      <c r="L397" s="83">
        <v>2</v>
      </c>
      <c r="M397" s="83">
        <v>0</v>
      </c>
      <c r="N397" s="83">
        <v>0</v>
      </c>
      <c r="O397" s="83">
        <v>5</v>
      </c>
      <c r="P397" s="83">
        <v>2</v>
      </c>
      <c r="Q397" s="83">
        <v>1</v>
      </c>
      <c r="R397" s="83">
        <v>2</v>
      </c>
      <c r="S397" s="83">
        <v>1</v>
      </c>
    </row>
    <row r="398" spans="1:19" ht="16" x14ac:dyDescent="0.2">
      <c r="A398" s="89">
        <v>384</v>
      </c>
      <c r="B398" s="84" t="s">
        <v>599</v>
      </c>
      <c r="C398" s="84" t="s">
        <v>1267</v>
      </c>
      <c r="D398" s="83">
        <v>22</v>
      </c>
      <c r="E398" s="83" t="s">
        <v>83</v>
      </c>
      <c r="F398" s="83">
        <v>16</v>
      </c>
      <c r="G398" s="83">
        <v>1</v>
      </c>
      <c r="H398" s="83">
        <v>8</v>
      </c>
      <c r="I398" s="83">
        <v>4</v>
      </c>
      <c r="J398" s="86">
        <v>0.5</v>
      </c>
      <c r="K398" s="83">
        <v>45</v>
      </c>
      <c r="L398" s="83">
        <v>11.3</v>
      </c>
      <c r="M398" s="83">
        <v>0</v>
      </c>
      <c r="N398" s="83">
        <v>2</v>
      </c>
      <c r="O398" s="83">
        <v>19</v>
      </c>
      <c r="P398" s="83">
        <v>5.6</v>
      </c>
      <c r="Q398" s="83">
        <v>0.3</v>
      </c>
      <c r="R398" s="83">
        <v>2.8</v>
      </c>
      <c r="S398" s="83">
        <v>2</v>
      </c>
    </row>
    <row r="399" spans="1:19" ht="16" x14ac:dyDescent="0.2">
      <c r="A399" s="89">
        <v>385</v>
      </c>
      <c r="B399" s="84" t="s">
        <v>2520</v>
      </c>
      <c r="C399" s="84" t="s">
        <v>119</v>
      </c>
      <c r="D399" s="83">
        <v>27</v>
      </c>
      <c r="E399" s="83" t="s">
        <v>68</v>
      </c>
      <c r="F399" s="83">
        <v>3</v>
      </c>
      <c r="G399" s="83">
        <v>0</v>
      </c>
      <c r="H399" s="83">
        <v>5</v>
      </c>
      <c r="I399" s="83">
        <v>4</v>
      </c>
      <c r="J399" s="86">
        <v>0.8</v>
      </c>
      <c r="K399" s="83">
        <v>22</v>
      </c>
      <c r="L399" s="83">
        <v>5.5</v>
      </c>
      <c r="M399" s="83">
        <v>0</v>
      </c>
      <c r="N399" s="83">
        <v>0</v>
      </c>
      <c r="O399" s="83">
        <v>7</v>
      </c>
      <c r="P399" s="83">
        <v>4.4000000000000004</v>
      </c>
      <c r="Q399" s="83">
        <v>1.3</v>
      </c>
      <c r="R399" s="83">
        <v>7.3</v>
      </c>
      <c r="S399" s="83">
        <v>0</v>
      </c>
    </row>
    <row r="400" spans="1:19" ht="16" x14ac:dyDescent="0.2">
      <c r="A400" s="89">
        <v>386</v>
      </c>
      <c r="B400" s="84" t="s">
        <v>893</v>
      </c>
      <c r="C400" s="83" t="s">
        <v>1726</v>
      </c>
      <c r="D400" s="83">
        <v>29</v>
      </c>
      <c r="E400" s="83" t="s">
        <v>83</v>
      </c>
      <c r="F400" s="83">
        <v>9</v>
      </c>
      <c r="G400" s="83">
        <v>0</v>
      </c>
      <c r="H400" s="83">
        <v>8</v>
      </c>
      <c r="I400" s="83">
        <v>4</v>
      </c>
      <c r="J400" s="86">
        <v>0.5</v>
      </c>
      <c r="K400" s="83">
        <v>38</v>
      </c>
      <c r="L400" s="83">
        <v>9.5</v>
      </c>
      <c r="M400" s="83">
        <v>0</v>
      </c>
      <c r="N400" s="83">
        <v>3</v>
      </c>
      <c r="O400" s="83">
        <v>15</v>
      </c>
      <c r="P400" s="83">
        <v>4.8</v>
      </c>
      <c r="Q400" s="83">
        <v>0.4</v>
      </c>
      <c r="R400" s="83">
        <v>4.2</v>
      </c>
      <c r="S400" s="83">
        <v>0</v>
      </c>
    </row>
    <row r="401" spans="1:19" ht="16" x14ac:dyDescent="0.2">
      <c r="A401" s="89">
        <v>387</v>
      </c>
      <c r="B401" s="84" t="s">
        <v>2404</v>
      </c>
      <c r="C401" s="84" t="s">
        <v>102</v>
      </c>
      <c r="D401" s="83">
        <v>23</v>
      </c>
      <c r="E401" s="83" t="s">
        <v>88</v>
      </c>
      <c r="F401" s="83">
        <v>16</v>
      </c>
      <c r="G401" s="83">
        <v>5</v>
      </c>
      <c r="H401" s="83">
        <v>5</v>
      </c>
      <c r="I401" s="83">
        <v>4</v>
      </c>
      <c r="J401" s="86">
        <v>0.8</v>
      </c>
      <c r="K401" s="83">
        <v>22</v>
      </c>
      <c r="L401" s="83">
        <v>5.5</v>
      </c>
      <c r="M401" s="83">
        <v>0</v>
      </c>
      <c r="N401" s="83">
        <v>0</v>
      </c>
      <c r="O401" s="83">
        <v>9</v>
      </c>
      <c r="P401" s="83">
        <v>4.4000000000000004</v>
      </c>
      <c r="Q401" s="83">
        <v>0.3</v>
      </c>
      <c r="R401" s="83">
        <v>1.4</v>
      </c>
      <c r="S401" s="83">
        <v>0</v>
      </c>
    </row>
    <row r="402" spans="1:19" ht="16" x14ac:dyDescent="0.2">
      <c r="A402" s="89">
        <v>388</v>
      </c>
      <c r="B402" s="84" t="s">
        <v>484</v>
      </c>
      <c r="C402" s="84" t="s">
        <v>1122</v>
      </c>
      <c r="D402" s="83">
        <v>23</v>
      </c>
      <c r="E402" s="83" t="s">
        <v>68</v>
      </c>
      <c r="F402" s="83">
        <v>5</v>
      </c>
      <c r="G402" s="83">
        <v>0</v>
      </c>
      <c r="H402" s="83">
        <v>4</v>
      </c>
      <c r="I402" s="83">
        <v>4</v>
      </c>
      <c r="J402" s="86">
        <v>1</v>
      </c>
      <c r="K402" s="83">
        <v>8</v>
      </c>
      <c r="L402" s="83">
        <v>2</v>
      </c>
      <c r="M402" s="83">
        <v>0</v>
      </c>
      <c r="N402" s="83">
        <v>0</v>
      </c>
      <c r="O402" s="83">
        <v>5</v>
      </c>
      <c r="P402" s="83">
        <v>2</v>
      </c>
      <c r="Q402" s="83">
        <v>0.8</v>
      </c>
      <c r="R402" s="83">
        <v>1.6</v>
      </c>
      <c r="S402" s="83">
        <v>1</v>
      </c>
    </row>
    <row r="403" spans="1:19" ht="16" x14ac:dyDescent="0.2">
      <c r="A403" s="89">
        <v>389</v>
      </c>
      <c r="B403" s="84" t="s">
        <v>1804</v>
      </c>
      <c r="C403" s="84" t="s">
        <v>976</v>
      </c>
      <c r="D403" s="83">
        <v>24</v>
      </c>
      <c r="E403" s="83" t="s">
        <v>68</v>
      </c>
      <c r="F403" s="83">
        <v>12</v>
      </c>
      <c r="G403" s="83">
        <v>1</v>
      </c>
      <c r="H403" s="83">
        <v>8</v>
      </c>
      <c r="I403" s="83">
        <v>4</v>
      </c>
      <c r="J403" s="86">
        <v>0.5</v>
      </c>
      <c r="K403" s="83">
        <v>26</v>
      </c>
      <c r="L403" s="83">
        <v>6.5</v>
      </c>
      <c r="M403" s="83">
        <v>0</v>
      </c>
      <c r="N403" s="83">
        <v>1</v>
      </c>
      <c r="O403" s="83">
        <v>8</v>
      </c>
      <c r="P403" s="83">
        <v>3.3</v>
      </c>
      <c r="Q403" s="83">
        <v>0.3</v>
      </c>
      <c r="R403" s="83">
        <v>2.2000000000000002</v>
      </c>
      <c r="S403" s="83">
        <v>0</v>
      </c>
    </row>
    <row r="404" spans="1:19" x14ac:dyDescent="0.2">
      <c r="A404" s="89" t="s">
        <v>902</v>
      </c>
      <c r="B404" s="89" t="s">
        <v>903</v>
      </c>
      <c r="C404" s="89" t="s">
        <v>1314</v>
      </c>
      <c r="D404" s="89" t="s">
        <v>905</v>
      </c>
      <c r="E404" s="89" t="s">
        <v>906</v>
      </c>
      <c r="F404" s="89" t="s">
        <v>1315</v>
      </c>
      <c r="G404" s="89" t="s">
        <v>1316</v>
      </c>
      <c r="H404" s="89" t="s">
        <v>2314</v>
      </c>
      <c r="I404" s="89" t="s">
        <v>2092</v>
      </c>
      <c r="J404" s="89" t="s">
        <v>2093</v>
      </c>
      <c r="K404" s="89" t="s">
        <v>799</v>
      </c>
      <c r="L404" s="89" t="s">
        <v>2315</v>
      </c>
      <c r="M404" s="89" t="s">
        <v>800</v>
      </c>
      <c r="N404" s="89" t="s">
        <v>1321</v>
      </c>
      <c r="O404" s="89" t="s">
        <v>917</v>
      </c>
      <c r="P404" s="89" t="s">
        <v>2316</v>
      </c>
      <c r="Q404" s="89" t="s">
        <v>2317</v>
      </c>
      <c r="R404" s="89" t="s">
        <v>1325</v>
      </c>
      <c r="S404" s="89" t="s">
        <v>1416</v>
      </c>
    </row>
    <row r="405" spans="1:19" ht="16" x14ac:dyDescent="0.2">
      <c r="A405" s="89">
        <v>390</v>
      </c>
      <c r="B405" s="84" t="s">
        <v>535</v>
      </c>
      <c r="C405" s="84" t="s">
        <v>1122</v>
      </c>
      <c r="D405" s="83">
        <v>24</v>
      </c>
      <c r="E405" s="83" t="s">
        <v>83</v>
      </c>
      <c r="F405" s="83">
        <v>3</v>
      </c>
      <c r="G405" s="83">
        <v>1</v>
      </c>
      <c r="H405" s="83">
        <v>8</v>
      </c>
      <c r="I405" s="83">
        <v>4</v>
      </c>
      <c r="J405" s="86">
        <v>0.5</v>
      </c>
      <c r="K405" s="83">
        <v>42</v>
      </c>
      <c r="L405" s="83">
        <v>10.5</v>
      </c>
      <c r="M405" s="83">
        <v>2</v>
      </c>
      <c r="N405" s="83">
        <v>2</v>
      </c>
      <c r="O405" s="83">
        <v>20</v>
      </c>
      <c r="P405" s="83">
        <v>5.3</v>
      </c>
      <c r="Q405" s="83">
        <v>1.3</v>
      </c>
      <c r="R405" s="83">
        <v>14</v>
      </c>
      <c r="S405" s="83">
        <v>0</v>
      </c>
    </row>
    <row r="406" spans="1:19" ht="16" x14ac:dyDescent="0.2">
      <c r="A406" s="89">
        <v>391</v>
      </c>
      <c r="B406" s="84" t="s">
        <v>465</v>
      </c>
      <c r="C406" s="84" t="s">
        <v>119</v>
      </c>
      <c r="D406" s="83">
        <v>27</v>
      </c>
      <c r="E406" s="83" t="s">
        <v>68</v>
      </c>
      <c r="F406" s="83">
        <v>5</v>
      </c>
      <c r="G406" s="83">
        <v>0</v>
      </c>
      <c r="H406" s="83">
        <v>6</v>
      </c>
      <c r="I406" s="83">
        <v>4</v>
      </c>
      <c r="J406" s="86">
        <v>0.66700000000000004</v>
      </c>
      <c r="K406" s="83">
        <v>28</v>
      </c>
      <c r="L406" s="83">
        <v>7</v>
      </c>
      <c r="M406" s="83">
        <v>0</v>
      </c>
      <c r="N406" s="83">
        <v>2</v>
      </c>
      <c r="O406" s="83">
        <v>19</v>
      </c>
      <c r="P406" s="83">
        <v>4.7</v>
      </c>
      <c r="Q406" s="83">
        <v>0.8</v>
      </c>
      <c r="R406" s="83">
        <v>5.6</v>
      </c>
      <c r="S406" s="83">
        <v>0</v>
      </c>
    </row>
    <row r="407" spans="1:19" ht="16" x14ac:dyDescent="0.2">
      <c r="A407" s="89">
        <v>392</v>
      </c>
      <c r="B407" s="84" t="s">
        <v>1670</v>
      </c>
      <c r="C407" s="84" t="s">
        <v>730</v>
      </c>
      <c r="D407" s="83">
        <v>22</v>
      </c>
      <c r="E407" s="83" t="s">
        <v>68</v>
      </c>
      <c r="F407" s="83">
        <v>1</v>
      </c>
      <c r="G407" s="83">
        <v>0</v>
      </c>
      <c r="H407" s="83">
        <v>3</v>
      </c>
      <c r="I407" s="83">
        <v>3</v>
      </c>
      <c r="J407" s="86">
        <v>1</v>
      </c>
      <c r="K407" s="83">
        <v>10</v>
      </c>
      <c r="L407" s="83">
        <v>3.3</v>
      </c>
      <c r="M407" s="83">
        <v>0</v>
      </c>
      <c r="N407" s="83">
        <v>0</v>
      </c>
      <c r="O407" s="83">
        <v>6</v>
      </c>
      <c r="P407" s="83">
        <v>3.3</v>
      </c>
      <c r="Q407" s="83">
        <v>3</v>
      </c>
      <c r="R407" s="83">
        <v>10</v>
      </c>
      <c r="S407" s="83">
        <v>0</v>
      </c>
    </row>
    <row r="408" spans="1:19" ht="16" x14ac:dyDescent="0.2">
      <c r="A408" s="89">
        <v>393</v>
      </c>
      <c r="B408" s="84" t="s">
        <v>2662</v>
      </c>
      <c r="C408" s="84" t="s">
        <v>1052</v>
      </c>
      <c r="D408" s="83">
        <v>25</v>
      </c>
      <c r="E408" s="83" t="s">
        <v>68</v>
      </c>
      <c r="F408" s="83">
        <v>2</v>
      </c>
      <c r="G408" s="83">
        <v>0</v>
      </c>
      <c r="H408" s="83">
        <v>4</v>
      </c>
      <c r="I408" s="83">
        <v>3</v>
      </c>
      <c r="J408" s="86">
        <v>0.75</v>
      </c>
      <c r="K408" s="83">
        <v>16</v>
      </c>
      <c r="L408" s="83">
        <v>5.3</v>
      </c>
      <c r="M408" s="83">
        <v>0</v>
      </c>
      <c r="N408" s="83">
        <v>1</v>
      </c>
      <c r="O408" s="83">
        <v>9</v>
      </c>
      <c r="P408" s="83">
        <v>4</v>
      </c>
      <c r="Q408" s="83">
        <v>1.5</v>
      </c>
      <c r="R408" s="83">
        <v>8</v>
      </c>
      <c r="S408" s="83">
        <v>0</v>
      </c>
    </row>
    <row r="409" spans="1:19" ht="16" x14ac:dyDescent="0.2">
      <c r="A409" s="89">
        <v>394</v>
      </c>
      <c r="B409" s="84" t="s">
        <v>322</v>
      </c>
      <c r="C409" s="84" t="s">
        <v>142</v>
      </c>
      <c r="D409" s="83">
        <v>28</v>
      </c>
      <c r="E409" s="83" t="s">
        <v>68</v>
      </c>
      <c r="F409" s="83">
        <v>7</v>
      </c>
      <c r="G409" s="83">
        <v>3</v>
      </c>
      <c r="H409" s="83">
        <v>5</v>
      </c>
      <c r="I409" s="83">
        <v>3</v>
      </c>
      <c r="J409" s="86">
        <v>0.6</v>
      </c>
      <c r="K409" s="83">
        <v>10</v>
      </c>
      <c r="L409" s="83">
        <v>3.3</v>
      </c>
      <c r="M409" s="83">
        <v>0</v>
      </c>
      <c r="N409" s="83">
        <v>0</v>
      </c>
      <c r="O409" s="83">
        <v>7</v>
      </c>
      <c r="P409" s="83">
        <v>2</v>
      </c>
      <c r="Q409" s="83">
        <v>0.4</v>
      </c>
      <c r="R409" s="83">
        <v>1.4</v>
      </c>
      <c r="S409" s="83">
        <v>0</v>
      </c>
    </row>
    <row r="410" spans="1:19" ht="16" x14ac:dyDescent="0.2">
      <c r="A410" s="89">
        <v>395</v>
      </c>
      <c r="B410" s="84" t="s">
        <v>564</v>
      </c>
      <c r="C410" s="84" t="s">
        <v>1040</v>
      </c>
      <c r="D410" s="83">
        <v>29</v>
      </c>
      <c r="E410" s="83" t="s">
        <v>68</v>
      </c>
      <c r="F410" s="83">
        <v>16</v>
      </c>
      <c r="G410" s="83">
        <v>0</v>
      </c>
      <c r="H410" s="83">
        <v>3</v>
      </c>
      <c r="I410" s="83">
        <v>3</v>
      </c>
      <c r="J410" s="86">
        <v>1</v>
      </c>
      <c r="K410" s="83">
        <v>31</v>
      </c>
      <c r="L410" s="83">
        <v>10.3</v>
      </c>
      <c r="M410" s="83">
        <v>0</v>
      </c>
      <c r="N410" s="83">
        <v>2</v>
      </c>
      <c r="O410" s="83">
        <v>20</v>
      </c>
      <c r="P410" s="83">
        <v>10.3</v>
      </c>
      <c r="Q410" s="83">
        <v>0.2</v>
      </c>
      <c r="R410" s="83">
        <v>1.9</v>
      </c>
      <c r="S410" s="83">
        <v>0</v>
      </c>
    </row>
    <row r="411" spans="1:19" ht="16" x14ac:dyDescent="0.2">
      <c r="A411" s="89">
        <v>396</v>
      </c>
      <c r="B411" s="84" t="s">
        <v>606</v>
      </c>
      <c r="C411" s="84" t="s">
        <v>78</v>
      </c>
      <c r="D411" s="83">
        <v>23</v>
      </c>
      <c r="E411" s="83" t="s">
        <v>83</v>
      </c>
      <c r="F411" s="83">
        <v>5</v>
      </c>
      <c r="G411" s="83">
        <v>2</v>
      </c>
      <c r="H411" s="83">
        <v>3</v>
      </c>
      <c r="I411" s="83">
        <v>3</v>
      </c>
      <c r="J411" s="86">
        <v>1</v>
      </c>
      <c r="K411" s="83">
        <v>15</v>
      </c>
      <c r="L411" s="83">
        <v>5</v>
      </c>
      <c r="M411" s="83">
        <v>0</v>
      </c>
      <c r="N411" s="83">
        <v>0</v>
      </c>
      <c r="O411" s="83">
        <v>10</v>
      </c>
      <c r="P411" s="83">
        <v>5</v>
      </c>
      <c r="Q411" s="83">
        <v>0.6</v>
      </c>
      <c r="R411" s="83">
        <v>3</v>
      </c>
      <c r="S411" s="83">
        <v>0</v>
      </c>
    </row>
    <row r="412" spans="1:19" ht="16" x14ac:dyDescent="0.2">
      <c r="A412" s="89">
        <v>397</v>
      </c>
      <c r="B412" s="84" t="s">
        <v>447</v>
      </c>
      <c r="C412" s="84" t="s">
        <v>70</v>
      </c>
      <c r="D412" s="83">
        <v>29</v>
      </c>
      <c r="E412" s="83" t="s">
        <v>83</v>
      </c>
      <c r="F412" s="83">
        <v>17</v>
      </c>
      <c r="G412" s="83">
        <v>0</v>
      </c>
      <c r="H412" s="83">
        <v>4</v>
      </c>
      <c r="I412" s="83">
        <v>3</v>
      </c>
      <c r="J412" s="86">
        <v>0.75</v>
      </c>
      <c r="K412" s="83">
        <v>55</v>
      </c>
      <c r="L412" s="83">
        <v>18.3</v>
      </c>
      <c r="M412" s="83">
        <v>0</v>
      </c>
      <c r="N412" s="83">
        <v>2</v>
      </c>
      <c r="O412" s="83">
        <v>25</v>
      </c>
      <c r="P412" s="83">
        <v>13.8</v>
      </c>
      <c r="Q412" s="83">
        <v>0.2</v>
      </c>
      <c r="R412" s="83">
        <v>3.2</v>
      </c>
      <c r="S412" s="83">
        <v>0</v>
      </c>
    </row>
    <row r="413" spans="1:19" ht="16" x14ac:dyDescent="0.2">
      <c r="A413" s="89">
        <v>398</v>
      </c>
      <c r="B413" s="84" t="s">
        <v>671</v>
      </c>
      <c r="C413" s="84" t="s">
        <v>98</v>
      </c>
      <c r="D413" s="83">
        <v>24</v>
      </c>
      <c r="E413" s="83" t="s">
        <v>1824</v>
      </c>
      <c r="F413" s="83">
        <v>16</v>
      </c>
      <c r="G413" s="83">
        <v>5</v>
      </c>
      <c r="H413" s="83">
        <v>5</v>
      </c>
      <c r="I413" s="83">
        <v>3</v>
      </c>
      <c r="J413" s="86">
        <v>0.6</v>
      </c>
      <c r="K413" s="83">
        <v>23</v>
      </c>
      <c r="L413" s="83">
        <v>7.7</v>
      </c>
      <c r="M413" s="83">
        <v>0</v>
      </c>
      <c r="N413" s="83">
        <v>0</v>
      </c>
      <c r="O413" s="83">
        <v>8</v>
      </c>
      <c r="P413" s="83">
        <v>4.5999999999999996</v>
      </c>
      <c r="Q413" s="83">
        <v>0.2</v>
      </c>
      <c r="R413" s="83">
        <v>1.4</v>
      </c>
      <c r="S413" s="83">
        <v>0</v>
      </c>
    </row>
    <row r="414" spans="1:19" ht="16" x14ac:dyDescent="0.2">
      <c r="A414" s="89">
        <v>399</v>
      </c>
      <c r="B414" s="84" t="s">
        <v>2131</v>
      </c>
      <c r="C414" s="84" t="s">
        <v>78</v>
      </c>
      <c r="D414" s="83">
        <v>30</v>
      </c>
      <c r="E414" s="83" t="s">
        <v>88</v>
      </c>
      <c r="F414" s="83">
        <v>14</v>
      </c>
      <c r="G414" s="83">
        <v>4</v>
      </c>
      <c r="H414" s="83">
        <v>6</v>
      </c>
      <c r="I414" s="83">
        <v>3</v>
      </c>
      <c r="J414" s="86">
        <v>0.5</v>
      </c>
      <c r="K414" s="83">
        <v>10</v>
      </c>
      <c r="L414" s="83">
        <v>3.3</v>
      </c>
      <c r="M414" s="83">
        <v>0</v>
      </c>
      <c r="N414" s="83">
        <v>0</v>
      </c>
      <c r="O414" s="83">
        <v>7</v>
      </c>
      <c r="P414" s="83">
        <v>1.7</v>
      </c>
      <c r="Q414" s="83">
        <v>0.2</v>
      </c>
      <c r="R414" s="83">
        <v>0.7</v>
      </c>
      <c r="S414" s="83">
        <v>0</v>
      </c>
    </row>
    <row r="415" spans="1:19" ht="16" x14ac:dyDescent="0.2">
      <c r="A415" s="89">
        <v>400</v>
      </c>
      <c r="B415" s="84" t="s">
        <v>595</v>
      </c>
      <c r="C415" s="84" t="s">
        <v>118</v>
      </c>
      <c r="D415" s="83">
        <v>24</v>
      </c>
      <c r="E415" s="83" t="s">
        <v>3112</v>
      </c>
      <c r="F415" s="83">
        <v>6</v>
      </c>
      <c r="G415" s="83">
        <v>0</v>
      </c>
      <c r="H415" s="83">
        <v>3</v>
      </c>
      <c r="I415" s="83">
        <v>3</v>
      </c>
      <c r="J415" s="86">
        <v>1</v>
      </c>
      <c r="K415" s="83">
        <v>30</v>
      </c>
      <c r="L415" s="83">
        <v>10</v>
      </c>
      <c r="M415" s="83">
        <v>0</v>
      </c>
      <c r="N415" s="83">
        <v>1</v>
      </c>
      <c r="O415" s="83">
        <v>19</v>
      </c>
      <c r="P415" s="83">
        <v>10</v>
      </c>
      <c r="Q415" s="83">
        <v>0.5</v>
      </c>
      <c r="R415" s="83">
        <v>5</v>
      </c>
      <c r="S415" s="83">
        <v>0</v>
      </c>
    </row>
    <row r="416" spans="1:19" ht="16" x14ac:dyDescent="0.2">
      <c r="A416" s="89">
        <v>401</v>
      </c>
      <c r="B416" s="84" t="s">
        <v>2302</v>
      </c>
      <c r="C416" s="84" t="s">
        <v>77</v>
      </c>
      <c r="D416" s="83">
        <v>24</v>
      </c>
      <c r="E416" s="83" t="s">
        <v>88</v>
      </c>
      <c r="F416" s="83">
        <v>5</v>
      </c>
      <c r="G416" s="83">
        <v>0</v>
      </c>
      <c r="H416" s="83">
        <v>6</v>
      </c>
      <c r="I416" s="83">
        <v>3</v>
      </c>
      <c r="J416" s="86">
        <v>0.5</v>
      </c>
      <c r="K416" s="83">
        <v>31</v>
      </c>
      <c r="L416" s="83">
        <v>10.3</v>
      </c>
      <c r="M416" s="83">
        <v>0</v>
      </c>
      <c r="N416" s="83">
        <v>2</v>
      </c>
      <c r="O416" s="83">
        <v>14</v>
      </c>
      <c r="P416" s="83">
        <v>5.2</v>
      </c>
      <c r="Q416" s="83">
        <v>0.6</v>
      </c>
      <c r="R416" s="83">
        <v>6.2</v>
      </c>
      <c r="S416" s="83">
        <v>0</v>
      </c>
    </row>
    <row r="417" spans="1:19" ht="16" x14ac:dyDescent="0.2">
      <c r="A417" s="89">
        <v>402</v>
      </c>
      <c r="B417" s="84" t="s">
        <v>2578</v>
      </c>
      <c r="C417" s="84" t="s">
        <v>102</v>
      </c>
      <c r="D417" s="83">
        <v>24</v>
      </c>
      <c r="E417" s="83" t="s">
        <v>79</v>
      </c>
      <c r="F417" s="83">
        <v>9</v>
      </c>
      <c r="G417" s="83">
        <v>3</v>
      </c>
      <c r="H417" s="83">
        <v>7</v>
      </c>
      <c r="I417" s="83">
        <v>3</v>
      </c>
      <c r="J417" s="86">
        <v>0.42899999999999999</v>
      </c>
      <c r="K417" s="83">
        <v>22</v>
      </c>
      <c r="L417" s="83">
        <v>7.3</v>
      </c>
      <c r="M417" s="83">
        <v>1</v>
      </c>
      <c r="N417" s="83">
        <v>2</v>
      </c>
      <c r="O417" s="83">
        <v>13</v>
      </c>
      <c r="P417" s="83">
        <v>3.1</v>
      </c>
      <c r="Q417" s="83">
        <v>0.3</v>
      </c>
      <c r="R417" s="83">
        <v>2.4</v>
      </c>
      <c r="S417" s="83">
        <v>0</v>
      </c>
    </row>
    <row r="418" spans="1:19" ht="16" x14ac:dyDescent="0.2">
      <c r="A418" s="89">
        <v>403</v>
      </c>
      <c r="B418" s="84" t="s">
        <v>476</v>
      </c>
      <c r="C418" s="84" t="s">
        <v>82</v>
      </c>
      <c r="D418" s="83">
        <v>28</v>
      </c>
      <c r="E418" s="83" t="s">
        <v>68</v>
      </c>
      <c r="F418" s="83">
        <v>13</v>
      </c>
      <c r="G418" s="83">
        <v>3</v>
      </c>
      <c r="H418" s="83">
        <v>4</v>
      </c>
      <c r="I418" s="83">
        <v>3</v>
      </c>
      <c r="J418" s="86">
        <v>0.75</v>
      </c>
      <c r="K418" s="83">
        <v>9</v>
      </c>
      <c r="L418" s="83">
        <v>3</v>
      </c>
      <c r="M418" s="83">
        <v>0</v>
      </c>
      <c r="N418" s="83">
        <v>1</v>
      </c>
      <c r="O418" s="83">
        <v>3</v>
      </c>
      <c r="P418" s="83">
        <v>2.2999999999999998</v>
      </c>
      <c r="Q418" s="83">
        <v>0.2</v>
      </c>
      <c r="R418" s="83">
        <v>0.7</v>
      </c>
      <c r="S418" s="83">
        <v>0</v>
      </c>
    </row>
    <row r="419" spans="1:19" ht="16" x14ac:dyDescent="0.2">
      <c r="A419" s="89">
        <v>404</v>
      </c>
      <c r="B419" s="84" t="s">
        <v>507</v>
      </c>
      <c r="C419" s="84" t="s">
        <v>70</v>
      </c>
      <c r="D419" s="83">
        <v>27</v>
      </c>
      <c r="E419" s="83" t="s">
        <v>83</v>
      </c>
      <c r="F419" s="83">
        <v>3</v>
      </c>
      <c r="G419" s="83">
        <v>0</v>
      </c>
      <c r="H419" s="83">
        <v>7</v>
      </c>
      <c r="I419" s="83">
        <v>3</v>
      </c>
      <c r="J419" s="86">
        <v>0.42899999999999999</v>
      </c>
      <c r="K419" s="83">
        <v>17</v>
      </c>
      <c r="L419" s="83">
        <v>5.7</v>
      </c>
      <c r="M419" s="83">
        <v>0</v>
      </c>
      <c r="N419" s="83">
        <v>1</v>
      </c>
      <c r="O419" s="83">
        <v>7</v>
      </c>
      <c r="P419" s="83">
        <v>2.4</v>
      </c>
      <c r="Q419" s="83">
        <v>1</v>
      </c>
      <c r="R419" s="83">
        <v>5.7</v>
      </c>
      <c r="S419" s="83">
        <v>0</v>
      </c>
    </row>
    <row r="420" spans="1:19" ht="16" x14ac:dyDescent="0.2">
      <c r="A420" s="89">
        <v>405</v>
      </c>
      <c r="B420" s="84" t="s">
        <v>475</v>
      </c>
      <c r="C420" s="84" t="s">
        <v>142</v>
      </c>
      <c r="D420" s="83">
        <v>26</v>
      </c>
      <c r="E420" s="83" t="s">
        <v>68</v>
      </c>
      <c r="F420" s="83">
        <v>6</v>
      </c>
      <c r="G420" s="83">
        <v>0</v>
      </c>
      <c r="H420" s="83">
        <v>3</v>
      </c>
      <c r="I420" s="83">
        <v>3</v>
      </c>
      <c r="J420" s="86">
        <v>1</v>
      </c>
      <c r="K420" s="83">
        <v>17</v>
      </c>
      <c r="L420" s="83">
        <v>5.7</v>
      </c>
      <c r="M420" s="83">
        <v>0</v>
      </c>
      <c r="N420" s="83">
        <v>2</v>
      </c>
      <c r="O420" s="83">
        <v>10</v>
      </c>
      <c r="P420" s="83">
        <v>5.7</v>
      </c>
      <c r="Q420" s="83">
        <v>0.5</v>
      </c>
      <c r="R420" s="83">
        <v>2.8</v>
      </c>
      <c r="S420" s="83">
        <v>0</v>
      </c>
    </row>
    <row r="421" spans="1:19" ht="16" x14ac:dyDescent="0.2">
      <c r="A421" s="89">
        <v>406</v>
      </c>
      <c r="B421" s="84" t="s">
        <v>2532</v>
      </c>
      <c r="C421" s="84" t="s">
        <v>71</v>
      </c>
      <c r="D421" s="83">
        <v>25</v>
      </c>
      <c r="E421" s="83" t="s">
        <v>83</v>
      </c>
      <c r="F421" s="83">
        <v>3</v>
      </c>
      <c r="G421" s="83">
        <v>0</v>
      </c>
      <c r="H421" s="83">
        <v>6</v>
      </c>
      <c r="I421" s="83">
        <v>3</v>
      </c>
      <c r="J421" s="86">
        <v>0.5</v>
      </c>
      <c r="K421" s="83">
        <v>36</v>
      </c>
      <c r="L421" s="83">
        <v>12</v>
      </c>
      <c r="M421" s="83">
        <v>0</v>
      </c>
      <c r="N421" s="83">
        <v>2</v>
      </c>
      <c r="O421" s="83">
        <v>14</v>
      </c>
      <c r="P421" s="83">
        <v>6</v>
      </c>
      <c r="Q421" s="83">
        <v>1</v>
      </c>
      <c r="R421" s="83">
        <v>12</v>
      </c>
      <c r="S421" s="83">
        <v>0</v>
      </c>
    </row>
    <row r="422" spans="1:19" ht="16" x14ac:dyDescent="0.2">
      <c r="A422" s="89">
        <v>407</v>
      </c>
      <c r="B422" s="84" t="s">
        <v>2656</v>
      </c>
      <c r="C422" s="84" t="s">
        <v>118</v>
      </c>
      <c r="D422" s="83">
        <v>26</v>
      </c>
      <c r="E422" s="83" t="s">
        <v>83</v>
      </c>
      <c r="F422" s="83">
        <v>2</v>
      </c>
      <c r="G422" s="83">
        <v>1</v>
      </c>
      <c r="H422" s="83">
        <v>4</v>
      </c>
      <c r="I422" s="83">
        <v>3</v>
      </c>
      <c r="J422" s="86">
        <v>0.75</v>
      </c>
      <c r="K422" s="83">
        <v>56</v>
      </c>
      <c r="L422" s="83">
        <v>18.7</v>
      </c>
      <c r="M422" s="83">
        <v>0</v>
      </c>
      <c r="N422" s="83">
        <v>3</v>
      </c>
      <c r="O422" s="83">
        <v>24</v>
      </c>
      <c r="P422" s="83">
        <v>14</v>
      </c>
      <c r="Q422" s="83">
        <v>1.5</v>
      </c>
      <c r="R422" s="83">
        <v>28</v>
      </c>
      <c r="S422" s="83">
        <v>0</v>
      </c>
    </row>
    <row r="423" spans="1:19" ht="16" x14ac:dyDescent="0.2">
      <c r="A423" s="89">
        <v>408</v>
      </c>
      <c r="B423" s="84" t="s">
        <v>2480</v>
      </c>
      <c r="C423" s="84" t="s">
        <v>92</v>
      </c>
      <c r="D423" s="83">
        <v>26</v>
      </c>
      <c r="E423" s="83" t="s">
        <v>88</v>
      </c>
      <c r="F423" s="83">
        <v>8</v>
      </c>
      <c r="G423" s="83">
        <v>3</v>
      </c>
      <c r="H423" s="83">
        <v>6</v>
      </c>
      <c r="I423" s="83">
        <v>3</v>
      </c>
      <c r="J423" s="86">
        <v>0.5</v>
      </c>
      <c r="K423" s="83">
        <v>17</v>
      </c>
      <c r="L423" s="83">
        <v>5.7</v>
      </c>
      <c r="M423" s="83">
        <v>1</v>
      </c>
      <c r="N423" s="83">
        <v>2</v>
      </c>
      <c r="O423" s="83">
        <v>10</v>
      </c>
      <c r="P423" s="83">
        <v>2.8</v>
      </c>
      <c r="Q423" s="83">
        <v>0.4</v>
      </c>
      <c r="R423" s="83">
        <v>2.1</v>
      </c>
      <c r="S423" s="83">
        <v>0</v>
      </c>
    </row>
    <row r="424" spans="1:19" ht="16" x14ac:dyDescent="0.2">
      <c r="A424" s="89">
        <v>409</v>
      </c>
      <c r="B424" s="84" t="s">
        <v>485</v>
      </c>
      <c r="C424" s="84" t="s">
        <v>118</v>
      </c>
      <c r="D424" s="83">
        <v>24</v>
      </c>
      <c r="E424" s="83" t="s">
        <v>1824</v>
      </c>
      <c r="F424" s="83">
        <v>10</v>
      </c>
      <c r="G424" s="83">
        <v>1</v>
      </c>
      <c r="H424" s="83">
        <v>3</v>
      </c>
      <c r="I424" s="83">
        <v>3</v>
      </c>
      <c r="J424" s="86">
        <v>1</v>
      </c>
      <c r="K424" s="83">
        <v>17</v>
      </c>
      <c r="L424" s="83">
        <v>5.7</v>
      </c>
      <c r="M424" s="83">
        <v>0</v>
      </c>
      <c r="N424" s="83">
        <v>0</v>
      </c>
      <c r="O424" s="83">
        <v>8</v>
      </c>
      <c r="P424" s="83">
        <v>5.7</v>
      </c>
      <c r="Q424" s="83">
        <v>0.3</v>
      </c>
      <c r="R424" s="83">
        <v>1.7</v>
      </c>
      <c r="S424" s="83">
        <v>0</v>
      </c>
    </row>
    <row r="425" spans="1:19" ht="16" x14ac:dyDescent="0.2">
      <c r="A425" s="89">
        <v>410</v>
      </c>
      <c r="B425" s="84" t="s">
        <v>2429</v>
      </c>
      <c r="C425" s="84" t="s">
        <v>1257</v>
      </c>
      <c r="D425" s="83">
        <v>24</v>
      </c>
      <c r="E425" s="83" t="s">
        <v>1824</v>
      </c>
      <c r="F425" s="83">
        <v>7</v>
      </c>
      <c r="G425" s="83">
        <v>3</v>
      </c>
      <c r="H425" s="83">
        <v>3</v>
      </c>
      <c r="I425" s="83">
        <v>3</v>
      </c>
      <c r="J425" s="86">
        <v>1</v>
      </c>
      <c r="K425" s="83">
        <v>16</v>
      </c>
      <c r="L425" s="83">
        <v>5.3</v>
      </c>
      <c r="M425" s="83">
        <v>0</v>
      </c>
      <c r="N425" s="83">
        <v>1</v>
      </c>
      <c r="O425" s="83">
        <v>10</v>
      </c>
      <c r="P425" s="83">
        <v>5.3</v>
      </c>
      <c r="Q425" s="83">
        <v>0.4</v>
      </c>
      <c r="R425" s="83">
        <v>2.2999999999999998</v>
      </c>
      <c r="S425" s="83">
        <v>0</v>
      </c>
    </row>
    <row r="426" spans="1:19" ht="16" x14ac:dyDescent="0.2">
      <c r="A426" s="89">
        <v>411</v>
      </c>
      <c r="B426" s="84" t="s">
        <v>391</v>
      </c>
      <c r="C426" s="84" t="s">
        <v>122</v>
      </c>
      <c r="D426" s="83">
        <v>25</v>
      </c>
      <c r="E426" s="83" t="s">
        <v>68</v>
      </c>
      <c r="F426" s="83">
        <v>3</v>
      </c>
      <c r="G426" s="83">
        <v>0</v>
      </c>
      <c r="H426" s="83">
        <v>4</v>
      </c>
      <c r="I426" s="83">
        <v>3</v>
      </c>
      <c r="J426" s="86">
        <v>0.75</v>
      </c>
      <c r="K426" s="83">
        <v>14</v>
      </c>
      <c r="L426" s="83">
        <v>4.7</v>
      </c>
      <c r="M426" s="83">
        <v>0</v>
      </c>
      <c r="N426" s="83">
        <v>1</v>
      </c>
      <c r="O426" s="83">
        <v>6</v>
      </c>
      <c r="P426" s="83">
        <v>3.5</v>
      </c>
      <c r="Q426" s="83">
        <v>1</v>
      </c>
      <c r="R426" s="83">
        <v>4.7</v>
      </c>
      <c r="S426" s="83">
        <v>0</v>
      </c>
    </row>
    <row r="427" spans="1:19" ht="16" x14ac:dyDescent="0.2">
      <c r="A427" s="89">
        <v>412</v>
      </c>
      <c r="B427" s="84" t="s">
        <v>291</v>
      </c>
      <c r="C427" s="84" t="s">
        <v>1087</v>
      </c>
      <c r="D427" s="83">
        <v>22</v>
      </c>
      <c r="E427" s="83" t="s">
        <v>68</v>
      </c>
      <c r="F427" s="83">
        <v>9</v>
      </c>
      <c r="G427" s="83">
        <v>2</v>
      </c>
      <c r="H427" s="83">
        <v>4</v>
      </c>
      <c r="I427" s="83">
        <v>3</v>
      </c>
      <c r="J427" s="86">
        <v>0.75</v>
      </c>
      <c r="K427" s="83">
        <v>26</v>
      </c>
      <c r="L427" s="83">
        <v>8.6999999999999993</v>
      </c>
      <c r="M427" s="83">
        <v>0</v>
      </c>
      <c r="N427" s="83">
        <v>1</v>
      </c>
      <c r="O427" s="83">
        <v>23</v>
      </c>
      <c r="P427" s="83">
        <v>6.5</v>
      </c>
      <c r="Q427" s="83">
        <v>0.3</v>
      </c>
      <c r="R427" s="83">
        <v>2.9</v>
      </c>
      <c r="S427" s="83">
        <v>0</v>
      </c>
    </row>
    <row r="428" spans="1:19" ht="16" x14ac:dyDescent="0.2">
      <c r="A428" s="89">
        <v>413</v>
      </c>
      <c r="B428" s="84" t="s">
        <v>640</v>
      </c>
      <c r="C428" s="84" t="s">
        <v>92</v>
      </c>
      <c r="D428" s="83">
        <v>24</v>
      </c>
      <c r="E428" s="83" t="s">
        <v>88</v>
      </c>
      <c r="F428" s="83">
        <v>9</v>
      </c>
      <c r="G428" s="83">
        <v>4</v>
      </c>
      <c r="H428" s="83">
        <v>3</v>
      </c>
      <c r="I428" s="83">
        <v>3</v>
      </c>
      <c r="J428" s="86">
        <v>1</v>
      </c>
      <c r="K428" s="83">
        <v>33</v>
      </c>
      <c r="L428" s="83">
        <v>11</v>
      </c>
      <c r="M428" s="83">
        <v>0</v>
      </c>
      <c r="N428" s="83">
        <v>1</v>
      </c>
      <c r="O428" s="83">
        <v>21</v>
      </c>
      <c r="P428" s="83">
        <v>11</v>
      </c>
      <c r="Q428" s="83">
        <v>0.3</v>
      </c>
      <c r="R428" s="83">
        <v>3.7</v>
      </c>
      <c r="S428" s="83">
        <v>0</v>
      </c>
    </row>
    <row r="429" spans="1:19" ht="16" x14ac:dyDescent="0.2">
      <c r="A429" s="89">
        <v>414</v>
      </c>
      <c r="B429" s="84" t="s">
        <v>2162</v>
      </c>
      <c r="C429" s="84" t="s">
        <v>729</v>
      </c>
      <c r="D429" s="83">
        <v>27</v>
      </c>
      <c r="E429" s="83" t="s">
        <v>88</v>
      </c>
      <c r="F429" s="83">
        <v>17</v>
      </c>
      <c r="G429" s="83">
        <v>4</v>
      </c>
      <c r="H429" s="83">
        <v>3</v>
      </c>
      <c r="I429" s="83">
        <v>3</v>
      </c>
      <c r="J429" s="86">
        <v>1</v>
      </c>
      <c r="K429" s="83">
        <v>31</v>
      </c>
      <c r="L429" s="83">
        <v>10.3</v>
      </c>
      <c r="M429" s="83">
        <v>0</v>
      </c>
      <c r="N429" s="83">
        <v>2</v>
      </c>
      <c r="O429" s="83">
        <v>11</v>
      </c>
      <c r="P429" s="83">
        <v>10.3</v>
      </c>
      <c r="Q429" s="83">
        <v>0.2</v>
      </c>
      <c r="R429" s="83">
        <v>1.8</v>
      </c>
      <c r="S429" s="83">
        <v>0</v>
      </c>
    </row>
    <row r="430" spans="1:19" ht="16" x14ac:dyDescent="0.2">
      <c r="A430" s="89">
        <v>415</v>
      </c>
      <c r="B430" s="84" t="s">
        <v>374</v>
      </c>
      <c r="C430" s="84" t="s">
        <v>74</v>
      </c>
      <c r="D430" s="83">
        <v>24</v>
      </c>
      <c r="E430" s="83" t="s">
        <v>83</v>
      </c>
      <c r="F430" s="83">
        <v>7</v>
      </c>
      <c r="G430" s="83">
        <v>0</v>
      </c>
      <c r="H430" s="83">
        <v>4</v>
      </c>
      <c r="I430" s="83">
        <v>3</v>
      </c>
      <c r="J430" s="86">
        <v>0.75</v>
      </c>
      <c r="K430" s="83">
        <v>39</v>
      </c>
      <c r="L430" s="83">
        <v>13</v>
      </c>
      <c r="M430" s="83">
        <v>1</v>
      </c>
      <c r="N430" s="83">
        <v>3</v>
      </c>
      <c r="O430" s="83">
        <v>18</v>
      </c>
      <c r="P430" s="83">
        <v>9.8000000000000007</v>
      </c>
      <c r="Q430" s="83">
        <v>0.4</v>
      </c>
      <c r="R430" s="83">
        <v>5.6</v>
      </c>
      <c r="S430" s="83">
        <v>0</v>
      </c>
    </row>
    <row r="431" spans="1:19" ht="16" x14ac:dyDescent="0.2">
      <c r="A431" s="89">
        <v>416</v>
      </c>
      <c r="B431" s="84" t="s">
        <v>566</v>
      </c>
      <c r="C431" s="84" t="s">
        <v>78</v>
      </c>
      <c r="D431" s="83">
        <v>24</v>
      </c>
      <c r="E431" s="83" t="s">
        <v>68</v>
      </c>
      <c r="F431" s="83">
        <v>13</v>
      </c>
      <c r="G431" s="83">
        <v>0</v>
      </c>
      <c r="H431" s="83">
        <v>4</v>
      </c>
      <c r="I431" s="83">
        <v>3</v>
      </c>
      <c r="J431" s="86">
        <v>0.75</v>
      </c>
      <c r="K431" s="83">
        <v>34</v>
      </c>
      <c r="L431" s="83">
        <v>11.3</v>
      </c>
      <c r="M431" s="83">
        <v>0</v>
      </c>
      <c r="N431" s="83">
        <v>1</v>
      </c>
      <c r="O431" s="83">
        <v>23</v>
      </c>
      <c r="P431" s="83">
        <v>8.5</v>
      </c>
      <c r="Q431" s="83">
        <v>0.2</v>
      </c>
      <c r="R431" s="83">
        <v>2.6</v>
      </c>
      <c r="S431" s="83">
        <v>0</v>
      </c>
    </row>
    <row r="432" spans="1:19" ht="16" x14ac:dyDescent="0.2">
      <c r="A432" s="89">
        <v>417</v>
      </c>
      <c r="B432" s="84" t="s">
        <v>2269</v>
      </c>
      <c r="C432" s="84" t="s">
        <v>99</v>
      </c>
      <c r="D432" s="83">
        <v>29</v>
      </c>
      <c r="E432" s="83" t="s">
        <v>68</v>
      </c>
      <c r="F432" s="83">
        <v>17</v>
      </c>
      <c r="G432" s="83">
        <v>4</v>
      </c>
      <c r="H432" s="83">
        <v>3</v>
      </c>
      <c r="I432" s="83">
        <v>3</v>
      </c>
      <c r="J432" s="86">
        <v>1</v>
      </c>
      <c r="K432" s="83">
        <v>15</v>
      </c>
      <c r="L432" s="83">
        <v>5</v>
      </c>
      <c r="M432" s="83">
        <v>0</v>
      </c>
      <c r="N432" s="83">
        <v>0</v>
      </c>
      <c r="O432" s="83">
        <v>9</v>
      </c>
      <c r="P432" s="83">
        <v>5</v>
      </c>
      <c r="Q432" s="83">
        <v>0.2</v>
      </c>
      <c r="R432" s="83">
        <v>0.9</v>
      </c>
      <c r="S432" s="83">
        <v>0</v>
      </c>
    </row>
    <row r="433" spans="1:19" ht="16" x14ac:dyDescent="0.2">
      <c r="A433" s="89">
        <v>418</v>
      </c>
      <c r="B433" s="84" t="s">
        <v>651</v>
      </c>
      <c r="C433" s="84" t="s">
        <v>71</v>
      </c>
      <c r="D433" s="83">
        <v>26</v>
      </c>
      <c r="E433" s="83" t="s">
        <v>88</v>
      </c>
      <c r="F433" s="83">
        <v>12</v>
      </c>
      <c r="G433" s="83">
        <v>7</v>
      </c>
      <c r="H433" s="83">
        <v>5</v>
      </c>
      <c r="I433" s="83">
        <v>3</v>
      </c>
      <c r="J433" s="86">
        <v>0.6</v>
      </c>
      <c r="K433" s="83">
        <v>35</v>
      </c>
      <c r="L433" s="83">
        <v>11.7</v>
      </c>
      <c r="M433" s="83">
        <v>0</v>
      </c>
      <c r="N433" s="83">
        <v>2</v>
      </c>
      <c r="O433" s="83">
        <v>19</v>
      </c>
      <c r="P433" s="83">
        <v>7</v>
      </c>
      <c r="Q433" s="83">
        <v>0.3</v>
      </c>
      <c r="R433" s="83">
        <v>2.9</v>
      </c>
      <c r="S433" s="83">
        <v>0</v>
      </c>
    </row>
    <row r="434" spans="1:19" ht="16" x14ac:dyDescent="0.2">
      <c r="A434" s="89">
        <v>419</v>
      </c>
      <c r="B434" s="84" t="s">
        <v>2377</v>
      </c>
      <c r="C434" s="84" t="s">
        <v>74</v>
      </c>
      <c r="D434" s="83">
        <v>25</v>
      </c>
      <c r="E434" s="83" t="s">
        <v>88</v>
      </c>
      <c r="F434" s="83">
        <v>15</v>
      </c>
      <c r="G434" s="83">
        <v>1</v>
      </c>
      <c r="H434" s="83">
        <v>5</v>
      </c>
      <c r="I434" s="83">
        <v>3</v>
      </c>
      <c r="J434" s="86">
        <v>0.6</v>
      </c>
      <c r="K434" s="83">
        <v>16</v>
      </c>
      <c r="L434" s="83">
        <v>5.3</v>
      </c>
      <c r="M434" s="83">
        <v>0</v>
      </c>
      <c r="N434" s="83">
        <v>0</v>
      </c>
      <c r="O434" s="83">
        <v>8</v>
      </c>
      <c r="P434" s="83">
        <v>3.2</v>
      </c>
      <c r="Q434" s="83">
        <v>0.2</v>
      </c>
      <c r="R434" s="83">
        <v>1.1000000000000001</v>
      </c>
      <c r="S434" s="83">
        <v>0</v>
      </c>
    </row>
    <row r="435" spans="1:19" x14ac:dyDescent="0.2">
      <c r="A435" s="89" t="s">
        <v>902</v>
      </c>
      <c r="B435" s="89" t="s">
        <v>903</v>
      </c>
      <c r="C435" s="89" t="s">
        <v>1314</v>
      </c>
      <c r="D435" s="89" t="s">
        <v>905</v>
      </c>
      <c r="E435" s="89" t="s">
        <v>906</v>
      </c>
      <c r="F435" s="89" t="s">
        <v>1315</v>
      </c>
      <c r="G435" s="89" t="s">
        <v>1316</v>
      </c>
      <c r="H435" s="89" t="s">
        <v>2314</v>
      </c>
      <c r="I435" s="89" t="s">
        <v>2092</v>
      </c>
      <c r="J435" s="89" t="s">
        <v>2093</v>
      </c>
      <c r="K435" s="89" t="s">
        <v>799</v>
      </c>
      <c r="L435" s="89" t="s">
        <v>2315</v>
      </c>
      <c r="M435" s="89" t="s">
        <v>800</v>
      </c>
      <c r="N435" s="89" t="s">
        <v>1321</v>
      </c>
      <c r="O435" s="89" t="s">
        <v>917</v>
      </c>
      <c r="P435" s="89" t="s">
        <v>2316</v>
      </c>
      <c r="Q435" s="89" t="s">
        <v>2317</v>
      </c>
      <c r="R435" s="89" t="s">
        <v>1325</v>
      </c>
      <c r="S435" s="89" t="s">
        <v>1416</v>
      </c>
    </row>
    <row r="436" spans="1:19" ht="16" x14ac:dyDescent="0.2">
      <c r="A436" s="89">
        <v>420</v>
      </c>
      <c r="B436" s="84" t="s">
        <v>2522</v>
      </c>
      <c r="C436" s="84" t="s">
        <v>139</v>
      </c>
      <c r="D436" s="83">
        <v>25</v>
      </c>
      <c r="E436" s="83" t="s">
        <v>88</v>
      </c>
      <c r="F436" s="83">
        <v>4</v>
      </c>
      <c r="G436" s="83">
        <v>0</v>
      </c>
      <c r="H436" s="83">
        <v>7</v>
      </c>
      <c r="I436" s="83">
        <v>3</v>
      </c>
      <c r="J436" s="86">
        <v>0.42899999999999999</v>
      </c>
      <c r="K436" s="83">
        <v>34</v>
      </c>
      <c r="L436" s="83">
        <v>11.3</v>
      </c>
      <c r="M436" s="83">
        <v>0</v>
      </c>
      <c r="N436" s="83">
        <v>2</v>
      </c>
      <c r="O436" s="83">
        <v>16</v>
      </c>
      <c r="P436" s="83">
        <v>4.9000000000000004</v>
      </c>
      <c r="Q436" s="83">
        <v>0.8</v>
      </c>
      <c r="R436" s="83">
        <v>8.5</v>
      </c>
      <c r="S436" s="83">
        <v>0</v>
      </c>
    </row>
    <row r="437" spans="1:19" ht="16" x14ac:dyDescent="0.2">
      <c r="A437" s="89">
        <v>421</v>
      </c>
      <c r="B437" s="84" t="s">
        <v>554</v>
      </c>
      <c r="C437" s="84" t="s">
        <v>102</v>
      </c>
      <c r="D437" s="83">
        <v>25</v>
      </c>
      <c r="E437" s="83" t="s">
        <v>83</v>
      </c>
      <c r="F437" s="83">
        <v>16</v>
      </c>
      <c r="G437" s="83">
        <v>2</v>
      </c>
      <c r="H437" s="83">
        <v>5</v>
      </c>
      <c r="I437" s="83">
        <v>2</v>
      </c>
      <c r="J437" s="86">
        <v>0.4</v>
      </c>
      <c r="K437" s="83">
        <v>36</v>
      </c>
      <c r="L437" s="83">
        <v>18</v>
      </c>
      <c r="M437" s="83">
        <v>0</v>
      </c>
      <c r="N437" s="83">
        <v>2</v>
      </c>
      <c r="O437" s="83">
        <v>23</v>
      </c>
      <c r="P437" s="83">
        <v>7.2</v>
      </c>
      <c r="Q437" s="83">
        <v>0.1</v>
      </c>
      <c r="R437" s="83">
        <v>2.2999999999999998</v>
      </c>
      <c r="S437" s="83">
        <v>0</v>
      </c>
    </row>
    <row r="438" spans="1:19" ht="16" x14ac:dyDescent="0.2">
      <c r="A438" s="89">
        <v>422</v>
      </c>
      <c r="B438" s="84" t="s">
        <v>525</v>
      </c>
      <c r="C438" s="84" t="s">
        <v>99</v>
      </c>
      <c r="D438" s="83">
        <v>26</v>
      </c>
      <c r="E438" s="83" t="s">
        <v>68</v>
      </c>
      <c r="F438" s="83">
        <v>17</v>
      </c>
      <c r="G438" s="83">
        <v>0</v>
      </c>
      <c r="H438" s="83">
        <v>7</v>
      </c>
      <c r="I438" s="83">
        <v>2</v>
      </c>
      <c r="J438" s="86">
        <v>0.28599999999999998</v>
      </c>
      <c r="K438" s="83">
        <v>8</v>
      </c>
      <c r="L438" s="83">
        <v>4</v>
      </c>
      <c r="M438" s="83">
        <v>0</v>
      </c>
      <c r="N438" s="83">
        <v>0</v>
      </c>
      <c r="O438" s="83">
        <v>6</v>
      </c>
      <c r="P438" s="83">
        <v>1.1000000000000001</v>
      </c>
      <c r="Q438" s="83">
        <v>0.1</v>
      </c>
      <c r="R438" s="83">
        <v>0.5</v>
      </c>
      <c r="S438" s="83">
        <v>0</v>
      </c>
    </row>
    <row r="439" spans="1:19" ht="16" x14ac:dyDescent="0.2">
      <c r="A439" s="89">
        <v>423</v>
      </c>
      <c r="B439" s="84" t="s">
        <v>365</v>
      </c>
      <c r="C439" s="84" t="s">
        <v>77</v>
      </c>
      <c r="D439" s="83">
        <v>26</v>
      </c>
      <c r="E439" s="83" t="s">
        <v>83</v>
      </c>
      <c r="F439" s="83">
        <v>4</v>
      </c>
      <c r="G439" s="83">
        <v>0</v>
      </c>
      <c r="H439" s="83">
        <v>5</v>
      </c>
      <c r="I439" s="83">
        <v>2</v>
      </c>
      <c r="J439" s="86">
        <v>0.4</v>
      </c>
      <c r="K439" s="83">
        <v>15</v>
      </c>
      <c r="L439" s="83">
        <v>7.5</v>
      </c>
      <c r="M439" s="83">
        <v>1</v>
      </c>
      <c r="N439" s="83">
        <v>2</v>
      </c>
      <c r="O439" s="83">
        <v>13</v>
      </c>
      <c r="P439" s="83">
        <v>3</v>
      </c>
      <c r="Q439" s="83">
        <v>0.5</v>
      </c>
      <c r="R439" s="83">
        <v>3.8</v>
      </c>
      <c r="S439" s="83">
        <v>0</v>
      </c>
    </row>
    <row r="440" spans="1:19" ht="16" x14ac:dyDescent="0.2">
      <c r="A440" s="89">
        <v>424</v>
      </c>
      <c r="B440" s="84" t="s">
        <v>489</v>
      </c>
      <c r="C440" s="84" t="s">
        <v>77</v>
      </c>
      <c r="D440" s="83">
        <v>25</v>
      </c>
      <c r="E440" s="83" t="s">
        <v>68</v>
      </c>
      <c r="F440" s="83">
        <v>11</v>
      </c>
      <c r="G440" s="83">
        <v>3</v>
      </c>
      <c r="H440" s="83">
        <v>2</v>
      </c>
      <c r="I440" s="83">
        <v>2</v>
      </c>
      <c r="J440" s="86">
        <v>1</v>
      </c>
      <c r="K440" s="83">
        <v>4</v>
      </c>
      <c r="L440" s="83">
        <v>2</v>
      </c>
      <c r="M440" s="83">
        <v>0</v>
      </c>
      <c r="N440" s="83">
        <v>0</v>
      </c>
      <c r="O440" s="83">
        <v>5</v>
      </c>
      <c r="P440" s="83">
        <v>2</v>
      </c>
      <c r="Q440" s="83">
        <v>0.2</v>
      </c>
      <c r="R440" s="83">
        <v>0.4</v>
      </c>
      <c r="S440" s="83">
        <v>1</v>
      </c>
    </row>
    <row r="441" spans="1:19" ht="16" x14ac:dyDescent="0.2">
      <c r="A441" s="89">
        <v>425</v>
      </c>
      <c r="B441" s="84" t="s">
        <v>607</v>
      </c>
      <c r="C441" s="84" t="s">
        <v>70</v>
      </c>
      <c r="D441" s="83">
        <v>25</v>
      </c>
      <c r="E441" s="83" t="s">
        <v>68</v>
      </c>
      <c r="F441" s="83">
        <v>4</v>
      </c>
      <c r="G441" s="83">
        <v>0</v>
      </c>
      <c r="H441" s="83">
        <v>2</v>
      </c>
      <c r="I441" s="83">
        <v>2</v>
      </c>
      <c r="J441" s="86">
        <v>1</v>
      </c>
      <c r="K441" s="83">
        <v>12</v>
      </c>
      <c r="L441" s="83">
        <v>6</v>
      </c>
      <c r="M441" s="83">
        <v>0</v>
      </c>
      <c r="N441" s="83">
        <v>1</v>
      </c>
      <c r="O441" s="83">
        <v>6</v>
      </c>
      <c r="P441" s="83">
        <v>6</v>
      </c>
      <c r="Q441" s="83">
        <v>0.5</v>
      </c>
      <c r="R441" s="83">
        <v>3</v>
      </c>
      <c r="S441" s="83">
        <v>0</v>
      </c>
    </row>
    <row r="442" spans="1:19" ht="16" x14ac:dyDescent="0.2">
      <c r="A442" s="89">
        <v>426</v>
      </c>
      <c r="B442" s="84" t="s">
        <v>407</v>
      </c>
      <c r="C442" s="84" t="s">
        <v>93</v>
      </c>
      <c r="D442" s="83">
        <v>26</v>
      </c>
      <c r="E442" s="83" t="s">
        <v>68</v>
      </c>
      <c r="F442" s="83">
        <v>8</v>
      </c>
      <c r="G442" s="83">
        <v>0</v>
      </c>
      <c r="H442" s="83">
        <v>2</v>
      </c>
      <c r="I442" s="83">
        <v>2</v>
      </c>
      <c r="J442" s="86">
        <v>1</v>
      </c>
      <c r="K442" s="83">
        <v>22</v>
      </c>
      <c r="L442" s="83">
        <v>11</v>
      </c>
      <c r="M442" s="83">
        <v>0</v>
      </c>
      <c r="N442" s="83">
        <v>1</v>
      </c>
      <c r="O442" s="83">
        <v>19</v>
      </c>
      <c r="P442" s="83">
        <v>11</v>
      </c>
      <c r="Q442" s="83">
        <v>0.3</v>
      </c>
      <c r="R442" s="83">
        <v>2.8</v>
      </c>
      <c r="S442" s="83">
        <v>0</v>
      </c>
    </row>
    <row r="443" spans="1:19" ht="16" x14ac:dyDescent="0.2">
      <c r="A443" s="89">
        <v>427</v>
      </c>
      <c r="B443" s="84" t="s">
        <v>676</v>
      </c>
      <c r="C443" s="84" t="s">
        <v>71</v>
      </c>
      <c r="D443" s="83">
        <v>29</v>
      </c>
      <c r="E443" s="83" t="s">
        <v>83</v>
      </c>
      <c r="F443" s="83">
        <v>12</v>
      </c>
      <c r="G443" s="83">
        <v>0</v>
      </c>
      <c r="H443" s="83">
        <v>2</v>
      </c>
      <c r="I443" s="83">
        <v>2</v>
      </c>
      <c r="J443" s="86">
        <v>1</v>
      </c>
      <c r="K443" s="83">
        <v>29</v>
      </c>
      <c r="L443" s="83">
        <v>14.5</v>
      </c>
      <c r="M443" s="83">
        <v>0</v>
      </c>
      <c r="N443" s="83">
        <v>1</v>
      </c>
      <c r="O443" s="83">
        <v>24</v>
      </c>
      <c r="P443" s="83">
        <v>14.5</v>
      </c>
      <c r="Q443" s="83">
        <v>0.2</v>
      </c>
      <c r="R443" s="83">
        <v>2.4</v>
      </c>
      <c r="S443" s="83">
        <v>0</v>
      </c>
    </row>
    <row r="444" spans="1:19" ht="16" x14ac:dyDescent="0.2">
      <c r="A444" s="89">
        <v>428</v>
      </c>
      <c r="B444" s="84" t="s">
        <v>2150</v>
      </c>
      <c r="C444" s="84" t="s">
        <v>933</v>
      </c>
      <c r="D444" s="83">
        <v>31</v>
      </c>
      <c r="E444" s="83" t="s">
        <v>88</v>
      </c>
      <c r="F444" s="83">
        <v>5</v>
      </c>
      <c r="G444" s="83">
        <v>1</v>
      </c>
      <c r="H444" s="83">
        <v>2</v>
      </c>
      <c r="I444" s="83">
        <v>2</v>
      </c>
      <c r="J444" s="86">
        <v>1</v>
      </c>
      <c r="K444" s="83">
        <v>13</v>
      </c>
      <c r="L444" s="83">
        <v>6.5</v>
      </c>
      <c r="M444" s="83">
        <v>0</v>
      </c>
      <c r="N444" s="83">
        <v>0</v>
      </c>
      <c r="O444" s="83">
        <v>9</v>
      </c>
      <c r="P444" s="83">
        <v>6.5</v>
      </c>
      <c r="Q444" s="83">
        <v>0.4</v>
      </c>
      <c r="R444" s="83">
        <v>2.6</v>
      </c>
      <c r="S444" s="83">
        <v>0</v>
      </c>
    </row>
    <row r="445" spans="1:19" ht="16" x14ac:dyDescent="0.2">
      <c r="A445" s="89">
        <v>429</v>
      </c>
      <c r="B445" s="84" t="s">
        <v>685</v>
      </c>
      <c r="C445" s="84" t="s">
        <v>142</v>
      </c>
      <c r="D445" s="83">
        <v>26</v>
      </c>
      <c r="E445" s="83" t="s">
        <v>88</v>
      </c>
      <c r="F445" s="83">
        <v>16</v>
      </c>
      <c r="G445" s="83">
        <v>1</v>
      </c>
      <c r="H445" s="83">
        <v>2</v>
      </c>
      <c r="I445" s="83">
        <v>2</v>
      </c>
      <c r="J445" s="86">
        <v>1</v>
      </c>
      <c r="K445" s="83">
        <v>16</v>
      </c>
      <c r="L445" s="83">
        <v>8</v>
      </c>
      <c r="M445" s="83">
        <v>0</v>
      </c>
      <c r="N445" s="83">
        <v>0</v>
      </c>
      <c r="O445" s="83">
        <v>8</v>
      </c>
      <c r="P445" s="83">
        <v>8</v>
      </c>
      <c r="Q445" s="83">
        <v>0.1</v>
      </c>
      <c r="R445" s="83">
        <v>1</v>
      </c>
      <c r="S445" s="83">
        <v>0</v>
      </c>
    </row>
    <row r="446" spans="1:19" ht="16" x14ac:dyDescent="0.2">
      <c r="A446" s="89">
        <v>430</v>
      </c>
      <c r="B446" s="84" t="s">
        <v>641</v>
      </c>
      <c r="C446" s="84" t="s">
        <v>1267</v>
      </c>
      <c r="D446" s="83">
        <v>24</v>
      </c>
      <c r="E446" s="83" t="s">
        <v>88</v>
      </c>
      <c r="F446" s="83">
        <v>10</v>
      </c>
      <c r="G446" s="83">
        <v>2</v>
      </c>
      <c r="H446" s="83">
        <v>4</v>
      </c>
      <c r="I446" s="83">
        <v>2</v>
      </c>
      <c r="J446" s="86">
        <v>0.5</v>
      </c>
      <c r="K446" s="83">
        <v>34</v>
      </c>
      <c r="L446" s="83">
        <v>17</v>
      </c>
      <c r="M446" s="83">
        <v>0</v>
      </c>
      <c r="N446" s="83">
        <v>2</v>
      </c>
      <c r="O446" s="83">
        <v>26</v>
      </c>
      <c r="P446" s="83">
        <v>8.5</v>
      </c>
      <c r="Q446" s="83">
        <v>0.2</v>
      </c>
      <c r="R446" s="83">
        <v>3.4</v>
      </c>
      <c r="S446" s="83">
        <v>0</v>
      </c>
    </row>
    <row r="447" spans="1:19" ht="16" x14ac:dyDescent="0.2">
      <c r="A447" s="89">
        <v>431</v>
      </c>
      <c r="B447" s="84" t="s">
        <v>2533</v>
      </c>
      <c r="C447" s="84" t="s">
        <v>139</v>
      </c>
      <c r="D447" s="83">
        <v>28</v>
      </c>
      <c r="E447" s="83" t="s">
        <v>2153</v>
      </c>
      <c r="F447" s="83">
        <v>9</v>
      </c>
      <c r="G447" s="83">
        <v>9</v>
      </c>
      <c r="H447" s="83">
        <v>2</v>
      </c>
      <c r="I447" s="83">
        <v>2</v>
      </c>
      <c r="J447" s="86">
        <v>1</v>
      </c>
      <c r="K447" s="83">
        <v>4</v>
      </c>
      <c r="L447" s="83">
        <v>2</v>
      </c>
      <c r="M447" s="83">
        <v>1</v>
      </c>
      <c r="N447" s="83">
        <v>1</v>
      </c>
      <c r="O447" s="83">
        <v>6</v>
      </c>
      <c r="P447" s="83">
        <v>2</v>
      </c>
      <c r="Q447" s="83">
        <v>0.2</v>
      </c>
      <c r="R447" s="83">
        <v>0.4</v>
      </c>
      <c r="S447" s="83">
        <v>0</v>
      </c>
    </row>
    <row r="448" spans="1:19" ht="16" x14ac:dyDescent="0.2">
      <c r="A448" s="89">
        <v>432</v>
      </c>
      <c r="B448" s="84" t="s">
        <v>337</v>
      </c>
      <c r="C448" s="84" t="s">
        <v>77</v>
      </c>
      <c r="D448" s="83">
        <v>23</v>
      </c>
      <c r="E448" s="83" t="s">
        <v>68</v>
      </c>
      <c r="F448" s="83">
        <v>1</v>
      </c>
      <c r="G448" s="83">
        <v>0</v>
      </c>
      <c r="H448" s="83">
        <v>2</v>
      </c>
      <c r="I448" s="83">
        <v>2</v>
      </c>
      <c r="J448" s="86">
        <v>1</v>
      </c>
      <c r="K448" s="83">
        <v>11</v>
      </c>
      <c r="L448" s="83">
        <v>5.5</v>
      </c>
      <c r="M448" s="83">
        <v>0</v>
      </c>
      <c r="N448" s="83">
        <v>1</v>
      </c>
      <c r="O448" s="83">
        <v>6</v>
      </c>
      <c r="P448" s="83">
        <v>5.5</v>
      </c>
      <c r="Q448" s="83">
        <v>2</v>
      </c>
      <c r="R448" s="83">
        <v>11</v>
      </c>
      <c r="S448" s="83">
        <v>0</v>
      </c>
    </row>
    <row r="449" spans="1:19" ht="16" x14ac:dyDescent="0.2">
      <c r="A449" s="89">
        <v>433</v>
      </c>
      <c r="B449" s="84" t="s">
        <v>2304</v>
      </c>
      <c r="C449" s="84" t="s">
        <v>727</v>
      </c>
      <c r="D449" s="83">
        <v>24</v>
      </c>
      <c r="E449" s="83" t="s">
        <v>83</v>
      </c>
      <c r="F449" s="83">
        <v>7</v>
      </c>
      <c r="G449" s="83">
        <v>0</v>
      </c>
      <c r="H449" s="83">
        <v>3</v>
      </c>
      <c r="I449" s="83">
        <v>2</v>
      </c>
      <c r="J449" s="86">
        <v>0.66700000000000004</v>
      </c>
      <c r="K449" s="83">
        <v>21</v>
      </c>
      <c r="L449" s="83">
        <v>10.5</v>
      </c>
      <c r="M449" s="83">
        <v>2</v>
      </c>
      <c r="N449" s="83">
        <v>2</v>
      </c>
      <c r="O449" s="83">
        <v>19</v>
      </c>
      <c r="P449" s="83">
        <v>7</v>
      </c>
      <c r="Q449" s="83">
        <v>0.3</v>
      </c>
      <c r="R449" s="83">
        <v>3</v>
      </c>
      <c r="S449" s="83">
        <v>0</v>
      </c>
    </row>
    <row r="450" spans="1:19" ht="16" x14ac:dyDescent="0.2">
      <c r="A450" s="89">
        <v>434</v>
      </c>
      <c r="B450" s="84" t="s">
        <v>526</v>
      </c>
      <c r="C450" s="84" t="s">
        <v>102</v>
      </c>
      <c r="D450" s="83">
        <v>27</v>
      </c>
      <c r="E450" s="83" t="s">
        <v>68</v>
      </c>
      <c r="F450" s="83">
        <v>7</v>
      </c>
      <c r="G450" s="83">
        <v>0</v>
      </c>
      <c r="H450" s="83">
        <v>5</v>
      </c>
      <c r="I450" s="83">
        <v>2</v>
      </c>
      <c r="J450" s="86">
        <v>0.4</v>
      </c>
      <c r="K450" s="83">
        <v>19</v>
      </c>
      <c r="L450" s="83">
        <v>9.5</v>
      </c>
      <c r="M450" s="83">
        <v>0</v>
      </c>
      <c r="N450" s="83">
        <v>2</v>
      </c>
      <c r="O450" s="83">
        <v>10</v>
      </c>
      <c r="P450" s="83">
        <v>3.8</v>
      </c>
      <c r="Q450" s="83">
        <v>0.3</v>
      </c>
      <c r="R450" s="83">
        <v>2.7</v>
      </c>
      <c r="S450" s="83">
        <v>0</v>
      </c>
    </row>
    <row r="451" spans="1:19" ht="16" x14ac:dyDescent="0.2">
      <c r="A451" s="89">
        <v>435</v>
      </c>
      <c r="B451" s="84" t="s">
        <v>553</v>
      </c>
      <c r="C451" s="84" t="s">
        <v>74</v>
      </c>
      <c r="D451" s="83">
        <v>26</v>
      </c>
      <c r="E451" s="83" t="s">
        <v>83</v>
      </c>
      <c r="F451" s="83">
        <v>7</v>
      </c>
      <c r="G451" s="83">
        <v>0</v>
      </c>
      <c r="H451" s="83">
        <v>5</v>
      </c>
      <c r="I451" s="83">
        <v>2</v>
      </c>
      <c r="J451" s="86">
        <v>0.4</v>
      </c>
      <c r="K451" s="83">
        <v>34</v>
      </c>
      <c r="L451" s="83">
        <v>17</v>
      </c>
      <c r="M451" s="83">
        <v>0</v>
      </c>
      <c r="N451" s="83">
        <v>1</v>
      </c>
      <c r="O451" s="83">
        <v>25</v>
      </c>
      <c r="P451" s="83">
        <v>6.8</v>
      </c>
      <c r="Q451" s="83">
        <v>0.3</v>
      </c>
      <c r="R451" s="83">
        <v>4.9000000000000004</v>
      </c>
      <c r="S451" s="83">
        <v>0</v>
      </c>
    </row>
    <row r="452" spans="1:19" ht="16" x14ac:dyDescent="0.2">
      <c r="A452" s="89">
        <v>436</v>
      </c>
      <c r="B452" s="84" t="s">
        <v>360</v>
      </c>
      <c r="C452" s="83" t="s">
        <v>1726</v>
      </c>
      <c r="D452" s="83">
        <v>25</v>
      </c>
      <c r="E452" s="83" t="s">
        <v>83</v>
      </c>
      <c r="F452" s="83">
        <v>10</v>
      </c>
      <c r="G452" s="83">
        <v>0</v>
      </c>
      <c r="H452" s="83">
        <v>5</v>
      </c>
      <c r="I452" s="83">
        <v>2</v>
      </c>
      <c r="J452" s="86">
        <v>0.4</v>
      </c>
      <c r="K452" s="83">
        <v>16</v>
      </c>
      <c r="L452" s="83">
        <v>8</v>
      </c>
      <c r="M452" s="83">
        <v>0</v>
      </c>
      <c r="N452" s="83">
        <v>1</v>
      </c>
      <c r="O452" s="83">
        <v>10</v>
      </c>
      <c r="P452" s="83">
        <v>3.2</v>
      </c>
      <c r="Q452" s="83">
        <v>0.2</v>
      </c>
      <c r="R452" s="83">
        <v>1.6</v>
      </c>
      <c r="S452" s="83">
        <v>0</v>
      </c>
    </row>
    <row r="453" spans="1:19" ht="16" x14ac:dyDescent="0.2">
      <c r="A453" s="89">
        <v>437</v>
      </c>
      <c r="B453" s="84" t="s">
        <v>504</v>
      </c>
      <c r="C453" s="84" t="s">
        <v>1040</v>
      </c>
      <c r="D453" s="83">
        <v>26</v>
      </c>
      <c r="E453" s="83" t="s">
        <v>83</v>
      </c>
      <c r="F453" s="83">
        <v>16</v>
      </c>
      <c r="G453" s="83">
        <v>0</v>
      </c>
      <c r="H453" s="83">
        <v>5</v>
      </c>
      <c r="I453" s="83">
        <v>2</v>
      </c>
      <c r="J453" s="86">
        <v>0.4</v>
      </c>
      <c r="K453" s="83">
        <v>24</v>
      </c>
      <c r="L453" s="83">
        <v>12</v>
      </c>
      <c r="M453" s="83">
        <v>0</v>
      </c>
      <c r="N453" s="83">
        <v>1</v>
      </c>
      <c r="O453" s="83">
        <v>16</v>
      </c>
      <c r="P453" s="83">
        <v>4.8</v>
      </c>
      <c r="Q453" s="83">
        <v>0.1</v>
      </c>
      <c r="R453" s="83">
        <v>1.5</v>
      </c>
      <c r="S453" s="83">
        <v>0</v>
      </c>
    </row>
    <row r="454" spans="1:19" ht="16" x14ac:dyDescent="0.2">
      <c r="A454" s="89">
        <v>438</v>
      </c>
      <c r="B454" s="84" t="s">
        <v>514</v>
      </c>
      <c r="C454" s="84" t="s">
        <v>98</v>
      </c>
      <c r="D454" s="83">
        <v>29</v>
      </c>
      <c r="E454" s="83" t="s">
        <v>83</v>
      </c>
      <c r="F454" s="83">
        <v>15</v>
      </c>
      <c r="G454" s="83">
        <v>2</v>
      </c>
      <c r="H454" s="83">
        <v>6</v>
      </c>
      <c r="I454" s="83">
        <v>2</v>
      </c>
      <c r="J454" s="86">
        <v>0.33300000000000002</v>
      </c>
      <c r="K454" s="83">
        <v>28</v>
      </c>
      <c r="L454" s="83">
        <v>14</v>
      </c>
      <c r="M454" s="83">
        <v>0</v>
      </c>
      <c r="N454" s="83">
        <v>2</v>
      </c>
      <c r="O454" s="83">
        <v>15</v>
      </c>
      <c r="P454" s="83">
        <v>4.7</v>
      </c>
      <c r="Q454" s="83">
        <v>0.1</v>
      </c>
      <c r="R454" s="83">
        <v>1.9</v>
      </c>
      <c r="S454" s="83">
        <v>0</v>
      </c>
    </row>
    <row r="455" spans="1:19" ht="16" x14ac:dyDescent="0.2">
      <c r="A455" s="89">
        <v>439</v>
      </c>
      <c r="B455" s="84" t="s">
        <v>352</v>
      </c>
      <c r="C455" s="84" t="s">
        <v>107</v>
      </c>
      <c r="D455" s="83">
        <v>25</v>
      </c>
      <c r="E455" s="83" t="s">
        <v>68</v>
      </c>
      <c r="F455" s="83">
        <v>6</v>
      </c>
      <c r="G455" s="83">
        <v>0</v>
      </c>
      <c r="H455" s="83">
        <v>5</v>
      </c>
      <c r="I455" s="83">
        <v>2</v>
      </c>
      <c r="J455" s="86">
        <v>0.4</v>
      </c>
      <c r="K455" s="83">
        <v>8</v>
      </c>
      <c r="L455" s="83">
        <v>4</v>
      </c>
      <c r="M455" s="83">
        <v>0</v>
      </c>
      <c r="N455" s="83">
        <v>0</v>
      </c>
      <c r="O455" s="83">
        <v>7</v>
      </c>
      <c r="P455" s="83">
        <v>1.6</v>
      </c>
      <c r="Q455" s="83">
        <v>0.3</v>
      </c>
      <c r="R455" s="83">
        <v>1.3</v>
      </c>
      <c r="S455" s="83">
        <v>0</v>
      </c>
    </row>
    <row r="456" spans="1:19" ht="16" x14ac:dyDescent="0.2">
      <c r="A456" s="89">
        <v>440</v>
      </c>
      <c r="B456" s="84" t="s">
        <v>2528</v>
      </c>
      <c r="C456" s="84" t="s">
        <v>77</v>
      </c>
      <c r="D456" s="83">
        <v>22</v>
      </c>
      <c r="E456" s="83" t="s">
        <v>83</v>
      </c>
      <c r="F456" s="83">
        <v>9</v>
      </c>
      <c r="G456" s="83">
        <v>0</v>
      </c>
      <c r="H456" s="83">
        <v>6</v>
      </c>
      <c r="I456" s="83">
        <v>2</v>
      </c>
      <c r="J456" s="86">
        <v>0.33300000000000002</v>
      </c>
      <c r="K456" s="83">
        <v>8</v>
      </c>
      <c r="L456" s="83">
        <v>4</v>
      </c>
      <c r="M456" s="83">
        <v>0</v>
      </c>
      <c r="N456" s="83">
        <v>0</v>
      </c>
      <c r="O456" s="83">
        <v>9</v>
      </c>
      <c r="P456" s="83">
        <v>1.3</v>
      </c>
      <c r="Q456" s="83">
        <v>0.2</v>
      </c>
      <c r="R456" s="83">
        <v>0.9</v>
      </c>
      <c r="S456" s="83">
        <v>1</v>
      </c>
    </row>
    <row r="457" spans="1:19" ht="16" x14ac:dyDescent="0.2">
      <c r="A457" s="89">
        <v>441</v>
      </c>
      <c r="B457" s="84" t="s">
        <v>2132</v>
      </c>
      <c r="C457" s="83" t="s">
        <v>1726</v>
      </c>
      <c r="D457" s="83">
        <v>27</v>
      </c>
      <c r="E457" s="83" t="s">
        <v>83</v>
      </c>
      <c r="F457" s="83">
        <v>11</v>
      </c>
      <c r="G457" s="83">
        <v>0</v>
      </c>
      <c r="H457" s="83">
        <v>3</v>
      </c>
      <c r="I457" s="83">
        <v>2</v>
      </c>
      <c r="J457" s="86">
        <v>0.66700000000000004</v>
      </c>
      <c r="K457" s="83">
        <v>10</v>
      </c>
      <c r="L457" s="83">
        <v>5</v>
      </c>
      <c r="M457" s="83">
        <v>0</v>
      </c>
      <c r="N457" s="83">
        <v>1</v>
      </c>
      <c r="O457" s="83">
        <v>12</v>
      </c>
      <c r="P457" s="83">
        <v>3.3</v>
      </c>
      <c r="Q457" s="83">
        <v>0.2</v>
      </c>
      <c r="R457" s="83">
        <v>0.9</v>
      </c>
      <c r="S457" s="83">
        <v>1</v>
      </c>
    </row>
    <row r="458" spans="1:19" ht="16" x14ac:dyDescent="0.2">
      <c r="A458" s="89">
        <v>442</v>
      </c>
      <c r="B458" s="84" t="s">
        <v>2501</v>
      </c>
      <c r="C458" s="84" t="s">
        <v>74</v>
      </c>
      <c r="D458" s="83">
        <v>25</v>
      </c>
      <c r="E458" s="83" t="s">
        <v>83</v>
      </c>
      <c r="F458" s="83">
        <v>17</v>
      </c>
      <c r="G458" s="83">
        <v>1</v>
      </c>
      <c r="H458" s="83">
        <v>4</v>
      </c>
      <c r="I458" s="83">
        <v>2</v>
      </c>
      <c r="J458" s="86">
        <v>0.5</v>
      </c>
      <c r="K458" s="83">
        <v>11</v>
      </c>
      <c r="L458" s="83">
        <v>5.5</v>
      </c>
      <c r="M458" s="83">
        <v>0</v>
      </c>
      <c r="N458" s="83">
        <v>0</v>
      </c>
      <c r="O458" s="83">
        <v>8</v>
      </c>
      <c r="P458" s="83">
        <v>2.8</v>
      </c>
      <c r="Q458" s="83">
        <v>0.1</v>
      </c>
      <c r="R458" s="83">
        <v>0.6</v>
      </c>
      <c r="S458" s="83">
        <v>0</v>
      </c>
    </row>
    <row r="459" spans="1:19" ht="16" x14ac:dyDescent="0.2">
      <c r="A459" s="89">
        <v>443</v>
      </c>
      <c r="B459" s="84" t="s">
        <v>2617</v>
      </c>
      <c r="C459" s="84" t="s">
        <v>727</v>
      </c>
      <c r="D459" s="83">
        <v>22</v>
      </c>
      <c r="E459" s="83" t="s">
        <v>83</v>
      </c>
      <c r="F459" s="83">
        <v>3</v>
      </c>
      <c r="G459" s="83">
        <v>1</v>
      </c>
      <c r="H459" s="83">
        <v>5</v>
      </c>
      <c r="I459" s="83">
        <v>2</v>
      </c>
      <c r="J459" s="86">
        <v>0.4</v>
      </c>
      <c r="K459" s="83">
        <v>23</v>
      </c>
      <c r="L459" s="83">
        <v>11.5</v>
      </c>
      <c r="M459" s="83">
        <v>0</v>
      </c>
      <c r="N459" s="83">
        <v>1</v>
      </c>
      <c r="O459" s="83">
        <v>13</v>
      </c>
      <c r="P459" s="83">
        <v>4.5999999999999996</v>
      </c>
      <c r="Q459" s="83">
        <v>0.7</v>
      </c>
      <c r="R459" s="83">
        <v>7.7</v>
      </c>
      <c r="S459" s="83">
        <v>0</v>
      </c>
    </row>
    <row r="460" spans="1:19" ht="16" x14ac:dyDescent="0.2">
      <c r="A460" s="89">
        <v>444</v>
      </c>
      <c r="B460" s="84" t="s">
        <v>397</v>
      </c>
      <c r="C460" s="84" t="s">
        <v>1122</v>
      </c>
      <c r="D460" s="83">
        <v>25</v>
      </c>
      <c r="E460" s="83" t="s">
        <v>83</v>
      </c>
      <c r="F460" s="83">
        <v>16</v>
      </c>
      <c r="G460" s="83">
        <v>0</v>
      </c>
      <c r="H460" s="83">
        <v>3</v>
      </c>
      <c r="I460" s="83">
        <v>2</v>
      </c>
      <c r="J460" s="86">
        <v>0.66700000000000004</v>
      </c>
      <c r="K460" s="83">
        <v>31</v>
      </c>
      <c r="L460" s="83">
        <v>15.5</v>
      </c>
      <c r="M460" s="83">
        <v>0</v>
      </c>
      <c r="N460" s="83">
        <v>2</v>
      </c>
      <c r="O460" s="83">
        <v>22</v>
      </c>
      <c r="P460" s="83">
        <v>10.3</v>
      </c>
      <c r="Q460" s="83">
        <v>0.1</v>
      </c>
      <c r="R460" s="83">
        <v>1.9</v>
      </c>
      <c r="S460" s="83">
        <v>3</v>
      </c>
    </row>
    <row r="461" spans="1:19" ht="16" x14ac:dyDescent="0.2">
      <c r="A461" s="89">
        <v>445</v>
      </c>
      <c r="B461" s="84" t="s">
        <v>426</v>
      </c>
      <c r="C461" s="84" t="s">
        <v>107</v>
      </c>
      <c r="D461" s="83">
        <v>23</v>
      </c>
      <c r="E461" s="83" t="s">
        <v>83</v>
      </c>
      <c r="F461" s="83">
        <v>8</v>
      </c>
      <c r="G461" s="83">
        <v>0</v>
      </c>
      <c r="H461" s="83">
        <v>4</v>
      </c>
      <c r="I461" s="83">
        <v>2</v>
      </c>
      <c r="J461" s="86">
        <v>0.5</v>
      </c>
      <c r="K461" s="83">
        <v>21</v>
      </c>
      <c r="L461" s="83">
        <v>10.5</v>
      </c>
      <c r="M461" s="83">
        <v>1</v>
      </c>
      <c r="N461" s="83">
        <v>1</v>
      </c>
      <c r="O461" s="83">
        <v>14</v>
      </c>
      <c r="P461" s="83">
        <v>5.3</v>
      </c>
      <c r="Q461" s="83">
        <v>0.3</v>
      </c>
      <c r="R461" s="83">
        <v>2.6</v>
      </c>
      <c r="S461" s="83">
        <v>0</v>
      </c>
    </row>
    <row r="462" spans="1:19" ht="16" x14ac:dyDescent="0.2">
      <c r="A462" s="89">
        <v>446</v>
      </c>
      <c r="B462" s="84" t="s">
        <v>469</v>
      </c>
      <c r="C462" s="84" t="s">
        <v>122</v>
      </c>
      <c r="D462" s="83">
        <v>24</v>
      </c>
      <c r="E462" s="83" t="s">
        <v>68</v>
      </c>
      <c r="F462" s="83">
        <v>3</v>
      </c>
      <c r="G462" s="83">
        <v>0</v>
      </c>
      <c r="H462" s="83">
        <v>3</v>
      </c>
      <c r="I462" s="83">
        <v>2</v>
      </c>
      <c r="J462" s="86">
        <v>0.66700000000000004</v>
      </c>
      <c r="K462" s="83">
        <v>9</v>
      </c>
      <c r="L462" s="83">
        <v>4.5</v>
      </c>
      <c r="M462" s="83">
        <v>0</v>
      </c>
      <c r="N462" s="83">
        <v>0</v>
      </c>
      <c r="O462" s="83">
        <v>8</v>
      </c>
      <c r="P462" s="83">
        <v>3</v>
      </c>
      <c r="Q462" s="83">
        <v>0.7</v>
      </c>
      <c r="R462" s="83">
        <v>3</v>
      </c>
      <c r="S462" s="83">
        <v>0</v>
      </c>
    </row>
    <row r="463" spans="1:19" ht="16" x14ac:dyDescent="0.2">
      <c r="A463" s="89">
        <v>447</v>
      </c>
      <c r="B463" s="84" t="s">
        <v>2502</v>
      </c>
      <c r="C463" s="84" t="s">
        <v>99</v>
      </c>
      <c r="D463" s="83">
        <v>26</v>
      </c>
      <c r="E463" s="83" t="s">
        <v>88</v>
      </c>
      <c r="F463" s="83">
        <v>6</v>
      </c>
      <c r="G463" s="83">
        <v>1</v>
      </c>
      <c r="H463" s="83">
        <v>3</v>
      </c>
      <c r="I463" s="83">
        <v>2</v>
      </c>
      <c r="J463" s="86">
        <v>0.66700000000000004</v>
      </c>
      <c r="K463" s="83">
        <v>8</v>
      </c>
      <c r="L463" s="83">
        <v>4</v>
      </c>
      <c r="M463" s="83">
        <v>0</v>
      </c>
      <c r="N463" s="83">
        <v>0</v>
      </c>
      <c r="O463" s="83">
        <v>7</v>
      </c>
      <c r="P463" s="83">
        <v>2.7</v>
      </c>
      <c r="Q463" s="83">
        <v>0.3</v>
      </c>
      <c r="R463" s="83">
        <v>1.3</v>
      </c>
      <c r="S463" s="83">
        <v>0</v>
      </c>
    </row>
    <row r="464" spans="1:19" ht="16" x14ac:dyDescent="0.2">
      <c r="A464" s="89">
        <v>448</v>
      </c>
      <c r="B464" s="84" t="s">
        <v>2517</v>
      </c>
      <c r="C464" s="84" t="s">
        <v>933</v>
      </c>
      <c r="D464" s="83">
        <v>25</v>
      </c>
      <c r="E464" s="83" t="s">
        <v>68</v>
      </c>
      <c r="F464" s="83">
        <v>1</v>
      </c>
      <c r="G464" s="83">
        <v>0</v>
      </c>
      <c r="H464" s="83">
        <v>2</v>
      </c>
      <c r="I464" s="83">
        <v>2</v>
      </c>
      <c r="J464" s="86">
        <v>1</v>
      </c>
      <c r="K464" s="83">
        <v>6</v>
      </c>
      <c r="L464" s="83">
        <v>3</v>
      </c>
      <c r="M464" s="83">
        <v>0</v>
      </c>
      <c r="N464" s="83">
        <v>0</v>
      </c>
      <c r="O464" s="83">
        <v>4</v>
      </c>
      <c r="P464" s="83">
        <v>3</v>
      </c>
      <c r="Q464" s="83">
        <v>2</v>
      </c>
      <c r="R464" s="83">
        <v>6</v>
      </c>
      <c r="S464" s="83">
        <v>0</v>
      </c>
    </row>
    <row r="465" spans="1:19" ht="16" x14ac:dyDescent="0.2">
      <c r="A465" s="89">
        <v>449</v>
      </c>
      <c r="B465" s="84" t="s">
        <v>623</v>
      </c>
      <c r="C465" s="84" t="s">
        <v>102</v>
      </c>
      <c r="D465" s="83">
        <v>29</v>
      </c>
      <c r="E465" s="83" t="s">
        <v>88</v>
      </c>
      <c r="F465" s="83">
        <v>3</v>
      </c>
      <c r="G465" s="83">
        <v>0</v>
      </c>
      <c r="H465" s="83">
        <v>2</v>
      </c>
      <c r="I465" s="83">
        <v>2</v>
      </c>
      <c r="J465" s="86">
        <v>1</v>
      </c>
      <c r="K465" s="83">
        <v>11</v>
      </c>
      <c r="L465" s="83">
        <v>5.5</v>
      </c>
      <c r="M465" s="83">
        <v>0</v>
      </c>
      <c r="N465" s="83">
        <v>0</v>
      </c>
      <c r="O465" s="83">
        <v>9</v>
      </c>
      <c r="P465" s="83">
        <v>5.5</v>
      </c>
      <c r="Q465" s="83">
        <v>0.7</v>
      </c>
      <c r="R465" s="83">
        <v>3.7</v>
      </c>
      <c r="S465" s="83">
        <v>0</v>
      </c>
    </row>
    <row r="466" spans="1:19" x14ac:dyDescent="0.2">
      <c r="A466" s="89" t="s">
        <v>902</v>
      </c>
      <c r="B466" s="89" t="s">
        <v>903</v>
      </c>
      <c r="C466" s="89" t="s">
        <v>1314</v>
      </c>
      <c r="D466" s="89" t="s">
        <v>905</v>
      </c>
      <c r="E466" s="89" t="s">
        <v>906</v>
      </c>
      <c r="F466" s="89" t="s">
        <v>1315</v>
      </c>
      <c r="G466" s="89" t="s">
        <v>1316</v>
      </c>
      <c r="H466" s="89" t="s">
        <v>2314</v>
      </c>
      <c r="I466" s="89" t="s">
        <v>2092</v>
      </c>
      <c r="J466" s="89" t="s">
        <v>2093</v>
      </c>
      <c r="K466" s="89" t="s">
        <v>799</v>
      </c>
      <c r="L466" s="89" t="s">
        <v>2315</v>
      </c>
      <c r="M466" s="89" t="s">
        <v>800</v>
      </c>
      <c r="N466" s="89" t="s">
        <v>1321</v>
      </c>
      <c r="O466" s="89" t="s">
        <v>917</v>
      </c>
      <c r="P466" s="89" t="s">
        <v>2316</v>
      </c>
      <c r="Q466" s="89" t="s">
        <v>2317</v>
      </c>
      <c r="R466" s="89" t="s">
        <v>1325</v>
      </c>
      <c r="S466" s="89" t="s">
        <v>1416</v>
      </c>
    </row>
    <row r="467" spans="1:19" ht="16" x14ac:dyDescent="0.2">
      <c r="A467" s="89">
        <v>450</v>
      </c>
      <c r="B467" s="84" t="s">
        <v>519</v>
      </c>
      <c r="C467" s="84" t="s">
        <v>70</v>
      </c>
      <c r="D467" s="83">
        <v>25</v>
      </c>
      <c r="E467" s="83" t="s">
        <v>83</v>
      </c>
      <c r="F467" s="83">
        <v>2</v>
      </c>
      <c r="G467" s="83">
        <v>0</v>
      </c>
      <c r="H467" s="83">
        <v>2</v>
      </c>
      <c r="I467" s="83">
        <v>2</v>
      </c>
      <c r="J467" s="86">
        <v>1</v>
      </c>
      <c r="K467" s="83">
        <v>11</v>
      </c>
      <c r="L467" s="83">
        <v>5.5</v>
      </c>
      <c r="M467" s="83">
        <v>0</v>
      </c>
      <c r="N467" s="83">
        <v>1</v>
      </c>
      <c r="O467" s="83">
        <v>8</v>
      </c>
      <c r="P467" s="83">
        <v>5.5</v>
      </c>
      <c r="Q467" s="83">
        <v>1</v>
      </c>
      <c r="R467" s="83">
        <v>5.5</v>
      </c>
      <c r="S467" s="83">
        <v>0</v>
      </c>
    </row>
    <row r="468" spans="1:19" ht="16" x14ac:dyDescent="0.2">
      <c r="A468" s="89">
        <v>451</v>
      </c>
      <c r="B468" s="84" t="s">
        <v>2336</v>
      </c>
      <c r="C468" s="84" t="s">
        <v>92</v>
      </c>
      <c r="D468" s="83">
        <v>25</v>
      </c>
      <c r="E468" s="83" t="s">
        <v>83</v>
      </c>
      <c r="F468" s="83">
        <v>4</v>
      </c>
      <c r="G468" s="83">
        <v>1</v>
      </c>
      <c r="H468" s="83">
        <v>6</v>
      </c>
      <c r="I468" s="83">
        <v>2</v>
      </c>
      <c r="J468" s="86">
        <v>0.33300000000000002</v>
      </c>
      <c r="K468" s="83">
        <v>17</v>
      </c>
      <c r="L468" s="83">
        <v>8.5</v>
      </c>
      <c r="M468" s="83">
        <v>0</v>
      </c>
      <c r="N468" s="83">
        <v>1</v>
      </c>
      <c r="O468" s="83">
        <v>12</v>
      </c>
      <c r="P468" s="83">
        <v>2.8</v>
      </c>
      <c r="Q468" s="83">
        <v>0.5</v>
      </c>
      <c r="R468" s="83">
        <v>4.3</v>
      </c>
      <c r="S468" s="83">
        <v>0</v>
      </c>
    </row>
    <row r="469" spans="1:19" ht="16" x14ac:dyDescent="0.2">
      <c r="A469" s="89">
        <v>452</v>
      </c>
      <c r="B469" s="84" t="s">
        <v>358</v>
      </c>
      <c r="C469" s="84" t="s">
        <v>99</v>
      </c>
      <c r="D469" s="83">
        <v>23</v>
      </c>
      <c r="E469" s="83" t="s">
        <v>68</v>
      </c>
      <c r="F469" s="83">
        <v>17</v>
      </c>
      <c r="G469" s="83">
        <v>0</v>
      </c>
      <c r="H469" s="83">
        <v>4</v>
      </c>
      <c r="I469" s="83">
        <v>2</v>
      </c>
      <c r="J469" s="86">
        <v>0.5</v>
      </c>
      <c r="K469" s="83">
        <v>13</v>
      </c>
      <c r="L469" s="83">
        <v>6.5</v>
      </c>
      <c r="M469" s="83">
        <v>0</v>
      </c>
      <c r="N469" s="83">
        <v>0</v>
      </c>
      <c r="O469" s="83">
        <v>7</v>
      </c>
      <c r="P469" s="83">
        <v>3.3</v>
      </c>
      <c r="Q469" s="83">
        <v>0.1</v>
      </c>
      <c r="R469" s="83">
        <v>0.8</v>
      </c>
      <c r="S469" s="83">
        <v>0</v>
      </c>
    </row>
    <row r="470" spans="1:19" ht="16" x14ac:dyDescent="0.2">
      <c r="A470" s="89">
        <v>453</v>
      </c>
      <c r="B470" s="84" t="s">
        <v>2381</v>
      </c>
      <c r="C470" s="84" t="s">
        <v>82</v>
      </c>
      <c r="D470" s="83">
        <v>27</v>
      </c>
      <c r="E470" s="83" t="s">
        <v>68</v>
      </c>
      <c r="F470" s="83">
        <v>4</v>
      </c>
      <c r="G470" s="83">
        <v>0</v>
      </c>
      <c r="H470" s="83">
        <v>2</v>
      </c>
      <c r="I470" s="83">
        <v>2</v>
      </c>
      <c r="J470" s="86">
        <v>1</v>
      </c>
      <c r="K470" s="83">
        <v>7</v>
      </c>
      <c r="L470" s="83">
        <v>3.5</v>
      </c>
      <c r="M470" s="83">
        <v>1</v>
      </c>
      <c r="N470" s="83">
        <v>1</v>
      </c>
      <c r="O470" s="83">
        <v>6</v>
      </c>
      <c r="P470" s="83">
        <v>3.5</v>
      </c>
      <c r="Q470" s="83">
        <v>0.5</v>
      </c>
      <c r="R470" s="83">
        <v>1.8</v>
      </c>
      <c r="S470" s="83">
        <v>0</v>
      </c>
    </row>
    <row r="471" spans="1:19" ht="16" x14ac:dyDescent="0.2">
      <c r="A471" s="89">
        <v>454</v>
      </c>
      <c r="B471" s="84" t="s">
        <v>687</v>
      </c>
      <c r="C471" s="84" t="s">
        <v>73</v>
      </c>
      <c r="D471" s="83">
        <v>33</v>
      </c>
      <c r="E471" s="83" t="s">
        <v>88</v>
      </c>
      <c r="F471" s="83">
        <v>12</v>
      </c>
      <c r="G471" s="83">
        <v>0</v>
      </c>
      <c r="H471" s="83">
        <v>2</v>
      </c>
      <c r="I471" s="83">
        <v>2</v>
      </c>
      <c r="J471" s="86">
        <v>1</v>
      </c>
      <c r="K471" s="83">
        <v>12</v>
      </c>
      <c r="L471" s="83">
        <v>6</v>
      </c>
      <c r="M471" s="83">
        <v>0</v>
      </c>
      <c r="N471" s="83">
        <v>0</v>
      </c>
      <c r="O471" s="83">
        <v>7</v>
      </c>
      <c r="P471" s="83">
        <v>6</v>
      </c>
      <c r="Q471" s="83">
        <v>0.2</v>
      </c>
      <c r="R471" s="83">
        <v>1</v>
      </c>
      <c r="S471" s="83">
        <v>0</v>
      </c>
    </row>
    <row r="472" spans="1:19" ht="16" x14ac:dyDescent="0.2">
      <c r="A472" s="89">
        <v>455</v>
      </c>
      <c r="B472" s="84" t="s">
        <v>444</v>
      </c>
      <c r="C472" s="84" t="s">
        <v>107</v>
      </c>
      <c r="D472" s="83">
        <v>24</v>
      </c>
      <c r="E472" s="83" t="s">
        <v>83</v>
      </c>
      <c r="F472" s="83">
        <v>6</v>
      </c>
      <c r="G472" s="83">
        <v>0</v>
      </c>
      <c r="H472" s="83">
        <v>3</v>
      </c>
      <c r="I472" s="83">
        <v>2</v>
      </c>
      <c r="J472" s="86">
        <v>0.66700000000000004</v>
      </c>
      <c r="K472" s="83">
        <v>26</v>
      </c>
      <c r="L472" s="83">
        <v>13</v>
      </c>
      <c r="M472" s="83">
        <v>0</v>
      </c>
      <c r="N472" s="83">
        <v>2</v>
      </c>
      <c r="O472" s="83">
        <v>16</v>
      </c>
      <c r="P472" s="83">
        <v>8.6999999999999993</v>
      </c>
      <c r="Q472" s="83">
        <v>0.3</v>
      </c>
      <c r="R472" s="83">
        <v>4.3</v>
      </c>
      <c r="S472" s="83">
        <v>0</v>
      </c>
    </row>
    <row r="473" spans="1:19" ht="16" x14ac:dyDescent="0.2">
      <c r="A473" s="89">
        <v>456</v>
      </c>
      <c r="B473" s="84" t="s">
        <v>596</v>
      </c>
      <c r="C473" s="84" t="s">
        <v>1267</v>
      </c>
      <c r="D473" s="83">
        <v>26</v>
      </c>
      <c r="E473" s="83" t="s">
        <v>83</v>
      </c>
      <c r="F473" s="83">
        <v>10</v>
      </c>
      <c r="G473" s="83">
        <v>0</v>
      </c>
      <c r="H473" s="83">
        <v>3</v>
      </c>
      <c r="I473" s="83">
        <v>2</v>
      </c>
      <c r="J473" s="86">
        <v>0.66700000000000004</v>
      </c>
      <c r="K473" s="83">
        <v>14</v>
      </c>
      <c r="L473" s="83">
        <v>7</v>
      </c>
      <c r="M473" s="83">
        <v>0</v>
      </c>
      <c r="N473" s="83">
        <v>1</v>
      </c>
      <c r="O473" s="83">
        <v>7</v>
      </c>
      <c r="P473" s="83">
        <v>4.7</v>
      </c>
      <c r="Q473" s="83">
        <v>0.2</v>
      </c>
      <c r="R473" s="83">
        <v>1.4</v>
      </c>
      <c r="S473" s="83">
        <v>1</v>
      </c>
    </row>
    <row r="474" spans="1:19" ht="16" x14ac:dyDescent="0.2">
      <c r="A474" s="89">
        <v>457</v>
      </c>
      <c r="B474" s="84" t="s">
        <v>2465</v>
      </c>
      <c r="C474" s="84" t="s">
        <v>1267</v>
      </c>
      <c r="D474" s="83">
        <v>23</v>
      </c>
      <c r="E474" s="83" t="s">
        <v>68</v>
      </c>
      <c r="F474" s="83">
        <v>9</v>
      </c>
      <c r="G474" s="83">
        <v>0</v>
      </c>
      <c r="H474" s="83">
        <v>2</v>
      </c>
      <c r="I474" s="83">
        <v>2</v>
      </c>
      <c r="J474" s="86">
        <v>1</v>
      </c>
      <c r="K474" s="83">
        <v>3</v>
      </c>
      <c r="L474" s="83">
        <v>1.5</v>
      </c>
      <c r="M474" s="83">
        <v>0</v>
      </c>
      <c r="N474" s="83">
        <v>1</v>
      </c>
      <c r="O474" s="83">
        <v>3</v>
      </c>
      <c r="P474" s="83">
        <v>1.5</v>
      </c>
      <c r="Q474" s="83">
        <v>0.2</v>
      </c>
      <c r="R474" s="83">
        <v>0.3</v>
      </c>
      <c r="S474" s="83">
        <v>0</v>
      </c>
    </row>
    <row r="475" spans="1:19" ht="16" x14ac:dyDescent="0.2">
      <c r="A475" s="89">
        <v>458</v>
      </c>
      <c r="B475" s="84" t="s">
        <v>458</v>
      </c>
      <c r="C475" s="84" t="s">
        <v>74</v>
      </c>
      <c r="D475" s="83">
        <v>27</v>
      </c>
      <c r="E475" s="83" t="s">
        <v>83</v>
      </c>
      <c r="F475" s="83">
        <v>4</v>
      </c>
      <c r="G475" s="83">
        <v>0</v>
      </c>
      <c r="H475" s="83">
        <v>3</v>
      </c>
      <c r="I475" s="83">
        <v>2</v>
      </c>
      <c r="J475" s="86">
        <v>0.66700000000000004</v>
      </c>
      <c r="K475" s="83">
        <v>41</v>
      </c>
      <c r="L475" s="83">
        <v>20.5</v>
      </c>
      <c r="M475" s="83">
        <v>0</v>
      </c>
      <c r="N475" s="83">
        <v>2</v>
      </c>
      <c r="O475" s="83">
        <v>26</v>
      </c>
      <c r="P475" s="83">
        <v>13.7</v>
      </c>
      <c r="Q475" s="83">
        <v>0.5</v>
      </c>
      <c r="R475" s="83">
        <v>10.3</v>
      </c>
      <c r="S475" s="83">
        <v>0</v>
      </c>
    </row>
    <row r="476" spans="1:19" ht="16" x14ac:dyDescent="0.2">
      <c r="A476" s="89">
        <v>459</v>
      </c>
      <c r="B476" s="84" t="s">
        <v>2353</v>
      </c>
      <c r="C476" s="84" t="s">
        <v>725</v>
      </c>
      <c r="D476" s="83">
        <v>22</v>
      </c>
      <c r="E476" s="83" t="s">
        <v>83</v>
      </c>
      <c r="F476" s="83">
        <v>17</v>
      </c>
      <c r="G476" s="83">
        <v>1</v>
      </c>
      <c r="H476" s="83">
        <v>6</v>
      </c>
      <c r="I476" s="83">
        <v>2</v>
      </c>
      <c r="J476" s="86">
        <v>0.33300000000000002</v>
      </c>
      <c r="K476" s="83">
        <v>23</v>
      </c>
      <c r="L476" s="83">
        <v>11.5</v>
      </c>
      <c r="M476" s="83">
        <v>0</v>
      </c>
      <c r="N476" s="83">
        <v>1</v>
      </c>
      <c r="O476" s="83">
        <v>18</v>
      </c>
      <c r="P476" s="83">
        <v>3.8</v>
      </c>
      <c r="Q476" s="83">
        <v>0.1</v>
      </c>
      <c r="R476" s="83">
        <v>1.4</v>
      </c>
      <c r="S476" s="83">
        <v>0</v>
      </c>
    </row>
    <row r="477" spans="1:19" ht="16" x14ac:dyDescent="0.2">
      <c r="A477" s="89">
        <v>460</v>
      </c>
      <c r="B477" s="84" t="s">
        <v>446</v>
      </c>
      <c r="C477" s="84" t="s">
        <v>71</v>
      </c>
      <c r="D477" s="83">
        <v>25</v>
      </c>
      <c r="E477" s="83" t="s">
        <v>68</v>
      </c>
      <c r="F477" s="83">
        <v>4</v>
      </c>
      <c r="G477" s="83">
        <v>0</v>
      </c>
      <c r="H477" s="83">
        <v>3</v>
      </c>
      <c r="I477" s="83">
        <v>2</v>
      </c>
      <c r="J477" s="86">
        <v>0.66700000000000004</v>
      </c>
      <c r="K477" s="83">
        <v>9</v>
      </c>
      <c r="L477" s="83">
        <v>4.5</v>
      </c>
      <c r="M477" s="83">
        <v>0</v>
      </c>
      <c r="N477" s="83">
        <v>1</v>
      </c>
      <c r="O477" s="83">
        <v>11</v>
      </c>
      <c r="P477" s="83">
        <v>3</v>
      </c>
      <c r="Q477" s="83">
        <v>0.5</v>
      </c>
      <c r="R477" s="83">
        <v>2.2999999999999998</v>
      </c>
      <c r="S477" s="83">
        <v>0</v>
      </c>
    </row>
    <row r="478" spans="1:19" ht="16" x14ac:dyDescent="0.2">
      <c r="A478" s="89">
        <v>461</v>
      </c>
      <c r="B478" s="84" t="s">
        <v>605</v>
      </c>
      <c r="C478" s="84" t="s">
        <v>1257</v>
      </c>
      <c r="D478" s="83">
        <v>27</v>
      </c>
      <c r="E478" s="83" t="s">
        <v>68</v>
      </c>
      <c r="F478" s="83">
        <v>14</v>
      </c>
      <c r="G478" s="83">
        <v>0</v>
      </c>
      <c r="H478" s="83">
        <v>2</v>
      </c>
      <c r="I478" s="83">
        <v>2</v>
      </c>
      <c r="J478" s="86">
        <v>1</v>
      </c>
      <c r="K478" s="83">
        <v>12</v>
      </c>
      <c r="L478" s="83">
        <v>6</v>
      </c>
      <c r="M478" s="83">
        <v>0</v>
      </c>
      <c r="N478" s="83">
        <v>0</v>
      </c>
      <c r="O478" s="83">
        <v>6</v>
      </c>
      <c r="P478" s="83">
        <v>6</v>
      </c>
      <c r="Q478" s="83">
        <v>0.1</v>
      </c>
      <c r="R478" s="83">
        <v>0.9</v>
      </c>
      <c r="S478" s="83">
        <v>0</v>
      </c>
    </row>
    <row r="479" spans="1:19" ht="16" x14ac:dyDescent="0.2">
      <c r="A479" s="89">
        <v>462</v>
      </c>
      <c r="B479" s="84" t="s">
        <v>273</v>
      </c>
      <c r="C479" s="84" t="s">
        <v>139</v>
      </c>
      <c r="D479" s="83">
        <v>29</v>
      </c>
      <c r="E479" s="83" t="s">
        <v>83</v>
      </c>
      <c r="F479" s="83">
        <v>1</v>
      </c>
      <c r="G479" s="83">
        <v>1</v>
      </c>
      <c r="H479" s="83">
        <v>3</v>
      </c>
      <c r="I479" s="83">
        <v>2</v>
      </c>
      <c r="J479" s="86">
        <v>0.66700000000000004</v>
      </c>
      <c r="K479" s="83">
        <v>14</v>
      </c>
      <c r="L479" s="83">
        <v>7</v>
      </c>
      <c r="M479" s="83">
        <v>0</v>
      </c>
      <c r="N479" s="83">
        <v>1</v>
      </c>
      <c r="O479" s="83">
        <v>7</v>
      </c>
      <c r="P479" s="83">
        <v>4.7</v>
      </c>
      <c r="Q479" s="83">
        <v>2</v>
      </c>
      <c r="R479" s="83">
        <v>14</v>
      </c>
      <c r="S479" s="83">
        <v>0</v>
      </c>
    </row>
    <row r="480" spans="1:19" ht="16" x14ac:dyDescent="0.2">
      <c r="A480" s="89">
        <v>463</v>
      </c>
      <c r="B480" s="84" t="s">
        <v>2437</v>
      </c>
      <c r="C480" s="84" t="s">
        <v>1257</v>
      </c>
      <c r="D480" s="83">
        <v>26</v>
      </c>
      <c r="E480" s="83" t="s">
        <v>88</v>
      </c>
      <c r="F480" s="83">
        <v>2</v>
      </c>
      <c r="G480" s="83">
        <v>1</v>
      </c>
      <c r="H480" s="83">
        <v>2</v>
      </c>
      <c r="I480" s="83">
        <v>2</v>
      </c>
      <c r="J480" s="86">
        <v>1</v>
      </c>
      <c r="K480" s="83">
        <v>8</v>
      </c>
      <c r="L480" s="83">
        <v>4</v>
      </c>
      <c r="M480" s="83">
        <v>0</v>
      </c>
      <c r="N480" s="83">
        <v>0</v>
      </c>
      <c r="O480" s="83">
        <v>4</v>
      </c>
      <c r="P480" s="83">
        <v>4</v>
      </c>
      <c r="Q480" s="83">
        <v>1</v>
      </c>
      <c r="R480" s="83">
        <v>4</v>
      </c>
      <c r="S480" s="83">
        <v>0</v>
      </c>
    </row>
    <row r="481" spans="1:19" ht="16" x14ac:dyDescent="0.2">
      <c r="A481" s="89">
        <v>464</v>
      </c>
      <c r="B481" s="84" t="s">
        <v>2510</v>
      </c>
      <c r="C481" s="84" t="s">
        <v>71</v>
      </c>
      <c r="D481" s="83">
        <v>23</v>
      </c>
      <c r="E481" s="83" t="s">
        <v>88</v>
      </c>
      <c r="F481" s="83">
        <v>9</v>
      </c>
      <c r="G481" s="83">
        <v>0</v>
      </c>
      <c r="H481" s="83">
        <v>3</v>
      </c>
      <c r="I481" s="83">
        <v>2</v>
      </c>
      <c r="J481" s="86">
        <v>0.66700000000000004</v>
      </c>
      <c r="K481" s="83">
        <v>36</v>
      </c>
      <c r="L481" s="83">
        <v>18</v>
      </c>
      <c r="M481" s="83">
        <v>0</v>
      </c>
      <c r="N481" s="83">
        <v>2</v>
      </c>
      <c r="O481" s="83">
        <v>24</v>
      </c>
      <c r="P481" s="83">
        <v>12</v>
      </c>
      <c r="Q481" s="83">
        <v>0.2</v>
      </c>
      <c r="R481" s="83">
        <v>4</v>
      </c>
      <c r="S481" s="83">
        <v>0</v>
      </c>
    </row>
    <row r="482" spans="1:19" ht="16" x14ac:dyDescent="0.2">
      <c r="A482" s="89">
        <v>465</v>
      </c>
      <c r="B482" s="84" t="s">
        <v>435</v>
      </c>
      <c r="C482" s="83" t="s">
        <v>1726</v>
      </c>
      <c r="D482" s="83">
        <v>27</v>
      </c>
      <c r="E482" s="83" t="s">
        <v>1824</v>
      </c>
      <c r="F482" s="83">
        <v>11</v>
      </c>
      <c r="G482" s="83">
        <v>2</v>
      </c>
      <c r="H482" s="83">
        <v>1</v>
      </c>
      <c r="I482" s="83">
        <v>1</v>
      </c>
      <c r="J482" s="86">
        <v>1</v>
      </c>
      <c r="K482" s="83">
        <v>1</v>
      </c>
      <c r="L482" s="83">
        <v>1</v>
      </c>
      <c r="M482" s="83">
        <v>1</v>
      </c>
      <c r="N482" s="83">
        <v>1</v>
      </c>
      <c r="O482" s="83">
        <v>1</v>
      </c>
      <c r="P482" s="83">
        <v>1</v>
      </c>
      <c r="Q482" s="83">
        <v>0.1</v>
      </c>
      <c r="R482" s="83">
        <v>0.1</v>
      </c>
      <c r="S482" s="83">
        <v>0</v>
      </c>
    </row>
    <row r="483" spans="1:19" ht="16" x14ac:dyDescent="0.2">
      <c r="A483" s="89">
        <v>466</v>
      </c>
      <c r="B483" s="84" t="s">
        <v>2499</v>
      </c>
      <c r="C483" s="84" t="s">
        <v>71</v>
      </c>
      <c r="D483" s="83">
        <v>25</v>
      </c>
      <c r="E483" s="83" t="s">
        <v>68</v>
      </c>
      <c r="F483" s="83">
        <v>9</v>
      </c>
      <c r="G483" s="83">
        <v>1</v>
      </c>
      <c r="H483" s="83">
        <v>1</v>
      </c>
      <c r="I483" s="83">
        <v>1</v>
      </c>
      <c r="J483" s="86">
        <v>1</v>
      </c>
      <c r="K483" s="83">
        <v>20</v>
      </c>
      <c r="L483" s="83">
        <v>20</v>
      </c>
      <c r="M483" s="83">
        <v>0</v>
      </c>
      <c r="N483" s="83">
        <v>1</v>
      </c>
      <c r="O483" s="83">
        <v>20</v>
      </c>
      <c r="P483" s="83">
        <v>20</v>
      </c>
      <c r="Q483" s="83">
        <v>0.1</v>
      </c>
      <c r="R483" s="83">
        <v>2.2000000000000002</v>
      </c>
      <c r="S483" s="83">
        <v>0</v>
      </c>
    </row>
    <row r="484" spans="1:19" ht="16" x14ac:dyDescent="0.2">
      <c r="A484" s="89">
        <v>467</v>
      </c>
      <c r="B484" s="84" t="s">
        <v>467</v>
      </c>
      <c r="C484" s="84" t="s">
        <v>108</v>
      </c>
      <c r="D484" s="83">
        <v>32</v>
      </c>
      <c r="E484" s="83" t="s">
        <v>3110</v>
      </c>
      <c r="F484" s="83">
        <v>17</v>
      </c>
      <c r="G484" s="83">
        <v>0</v>
      </c>
      <c r="H484" s="83">
        <v>1</v>
      </c>
      <c r="I484" s="83">
        <v>1</v>
      </c>
      <c r="J484" s="86">
        <v>1</v>
      </c>
      <c r="K484" s="83">
        <v>4</v>
      </c>
      <c r="L484" s="83">
        <v>4</v>
      </c>
      <c r="M484" s="83">
        <v>0</v>
      </c>
      <c r="N484" s="83">
        <v>0</v>
      </c>
      <c r="O484" s="83">
        <v>4</v>
      </c>
      <c r="P484" s="83">
        <v>4</v>
      </c>
      <c r="Q484" s="83">
        <v>0.1</v>
      </c>
      <c r="R484" s="83">
        <v>0.2</v>
      </c>
      <c r="S484" s="83">
        <v>0</v>
      </c>
    </row>
    <row r="485" spans="1:19" ht="16" x14ac:dyDescent="0.2">
      <c r="A485" s="89">
        <v>468</v>
      </c>
      <c r="B485" s="84" t="s">
        <v>2564</v>
      </c>
      <c r="C485" s="84" t="s">
        <v>71</v>
      </c>
      <c r="D485" s="83">
        <v>23</v>
      </c>
      <c r="E485" s="83" t="s">
        <v>83</v>
      </c>
      <c r="F485" s="83">
        <v>1</v>
      </c>
      <c r="G485" s="83">
        <v>0</v>
      </c>
      <c r="H485" s="83">
        <v>2</v>
      </c>
      <c r="I485" s="83">
        <v>1</v>
      </c>
      <c r="J485" s="86">
        <v>0.5</v>
      </c>
      <c r="K485" s="83">
        <v>10</v>
      </c>
      <c r="L485" s="83">
        <v>10</v>
      </c>
      <c r="M485" s="83">
        <v>0</v>
      </c>
      <c r="N485" s="83">
        <v>1</v>
      </c>
      <c r="O485" s="83">
        <v>10</v>
      </c>
      <c r="P485" s="83">
        <v>5</v>
      </c>
      <c r="Q485" s="83">
        <v>1</v>
      </c>
      <c r="R485" s="83">
        <v>10</v>
      </c>
      <c r="S485" s="83">
        <v>0</v>
      </c>
    </row>
    <row r="486" spans="1:19" ht="16" x14ac:dyDescent="0.2">
      <c r="A486" s="89">
        <v>469</v>
      </c>
      <c r="B486" s="84" t="s">
        <v>2120</v>
      </c>
      <c r="C486" s="84" t="s">
        <v>725</v>
      </c>
      <c r="D486" s="83">
        <v>25</v>
      </c>
      <c r="E486" s="83" t="s">
        <v>83</v>
      </c>
      <c r="F486" s="83">
        <v>8</v>
      </c>
      <c r="G486" s="83">
        <v>0</v>
      </c>
      <c r="H486" s="83">
        <v>1</v>
      </c>
      <c r="I486" s="83">
        <v>1</v>
      </c>
      <c r="J486" s="86">
        <v>1</v>
      </c>
      <c r="K486" s="83">
        <v>6</v>
      </c>
      <c r="L486" s="83">
        <v>6</v>
      </c>
      <c r="M486" s="83">
        <v>0</v>
      </c>
      <c r="N486" s="83">
        <v>0</v>
      </c>
      <c r="O486" s="83">
        <v>6</v>
      </c>
      <c r="P486" s="83">
        <v>6</v>
      </c>
      <c r="Q486" s="83">
        <v>0.1</v>
      </c>
      <c r="R486" s="83">
        <v>0.8</v>
      </c>
      <c r="S486" s="83">
        <v>0</v>
      </c>
    </row>
    <row r="487" spans="1:19" ht="16" x14ac:dyDescent="0.2">
      <c r="A487" s="89">
        <v>470</v>
      </c>
      <c r="B487" s="84" t="s">
        <v>2123</v>
      </c>
      <c r="C487" s="84" t="s">
        <v>725</v>
      </c>
      <c r="D487" s="83">
        <v>28</v>
      </c>
      <c r="E487" s="83" t="s">
        <v>88</v>
      </c>
      <c r="F487" s="83">
        <v>5</v>
      </c>
      <c r="G487" s="83">
        <v>3</v>
      </c>
      <c r="H487" s="83">
        <v>2</v>
      </c>
      <c r="I487" s="83">
        <v>1</v>
      </c>
      <c r="J487" s="86">
        <v>0.5</v>
      </c>
      <c r="K487" s="83">
        <v>2</v>
      </c>
      <c r="L487" s="83">
        <v>2</v>
      </c>
      <c r="M487" s="83">
        <v>0</v>
      </c>
      <c r="N487" s="83">
        <v>0</v>
      </c>
      <c r="O487" s="83">
        <v>2</v>
      </c>
      <c r="P487" s="83">
        <v>1</v>
      </c>
      <c r="Q487" s="83">
        <v>0.2</v>
      </c>
      <c r="R487" s="83">
        <v>0.4</v>
      </c>
      <c r="S487" s="83">
        <v>0</v>
      </c>
    </row>
    <row r="488" spans="1:19" ht="16" x14ac:dyDescent="0.2">
      <c r="A488" s="89">
        <v>471</v>
      </c>
      <c r="B488" s="84" t="s">
        <v>2663</v>
      </c>
      <c r="C488" s="84" t="s">
        <v>73</v>
      </c>
      <c r="D488" s="83">
        <v>26</v>
      </c>
      <c r="E488" s="83" t="s">
        <v>2076</v>
      </c>
      <c r="F488" s="83">
        <v>13</v>
      </c>
      <c r="G488" s="83">
        <v>13</v>
      </c>
      <c r="H488" s="83">
        <v>1</v>
      </c>
      <c r="I488" s="83">
        <v>1</v>
      </c>
      <c r="J488" s="86">
        <v>1</v>
      </c>
      <c r="K488" s="83">
        <v>21</v>
      </c>
      <c r="L488" s="83">
        <v>21</v>
      </c>
      <c r="M488" s="83">
        <v>0</v>
      </c>
      <c r="N488" s="83">
        <v>1</v>
      </c>
      <c r="O488" s="83">
        <v>21</v>
      </c>
      <c r="P488" s="83">
        <v>21</v>
      </c>
      <c r="Q488" s="83">
        <v>0.1</v>
      </c>
      <c r="R488" s="83">
        <v>1.6</v>
      </c>
      <c r="S488" s="83">
        <v>0</v>
      </c>
    </row>
    <row r="489" spans="1:19" ht="16" x14ac:dyDescent="0.2">
      <c r="A489" s="89">
        <v>472</v>
      </c>
      <c r="B489" s="84" t="s">
        <v>393</v>
      </c>
      <c r="C489" s="84" t="s">
        <v>92</v>
      </c>
      <c r="D489" s="83">
        <v>22</v>
      </c>
      <c r="E489" s="83" t="s">
        <v>68</v>
      </c>
      <c r="F489" s="83">
        <v>13</v>
      </c>
      <c r="G489" s="83">
        <v>0</v>
      </c>
      <c r="H489" s="83">
        <v>1</v>
      </c>
      <c r="I489" s="83">
        <v>1</v>
      </c>
      <c r="J489" s="86">
        <v>1</v>
      </c>
      <c r="K489" s="83">
        <v>6</v>
      </c>
      <c r="L489" s="83">
        <v>6</v>
      </c>
      <c r="M489" s="83">
        <v>0</v>
      </c>
      <c r="N489" s="83">
        <v>0</v>
      </c>
      <c r="O489" s="83">
        <v>6</v>
      </c>
      <c r="P489" s="83">
        <v>6</v>
      </c>
      <c r="Q489" s="83">
        <v>0.1</v>
      </c>
      <c r="R489" s="83">
        <v>0.5</v>
      </c>
      <c r="S489" s="83">
        <v>0</v>
      </c>
    </row>
    <row r="490" spans="1:19" ht="16" x14ac:dyDescent="0.2">
      <c r="A490" s="89">
        <v>473</v>
      </c>
      <c r="B490" s="84" t="s">
        <v>313</v>
      </c>
      <c r="C490" s="84" t="s">
        <v>107</v>
      </c>
      <c r="D490" s="83">
        <v>24</v>
      </c>
      <c r="E490" s="83" t="s">
        <v>83</v>
      </c>
      <c r="F490" s="83">
        <v>2</v>
      </c>
      <c r="G490" s="83">
        <v>0</v>
      </c>
      <c r="H490" s="83">
        <v>1</v>
      </c>
      <c r="I490" s="83">
        <v>1</v>
      </c>
      <c r="J490" s="86">
        <v>1</v>
      </c>
      <c r="K490" s="83">
        <v>5</v>
      </c>
      <c r="L490" s="83">
        <v>5</v>
      </c>
      <c r="M490" s="83">
        <v>0</v>
      </c>
      <c r="N490" s="83">
        <v>0</v>
      </c>
      <c r="O490" s="83">
        <v>5</v>
      </c>
      <c r="P490" s="83">
        <v>5</v>
      </c>
      <c r="Q490" s="83">
        <v>0.5</v>
      </c>
      <c r="R490" s="83">
        <v>2.5</v>
      </c>
      <c r="S490" s="83">
        <v>0</v>
      </c>
    </row>
    <row r="491" spans="1:19" ht="16" x14ac:dyDescent="0.2">
      <c r="A491" s="89">
        <v>474</v>
      </c>
      <c r="B491" s="84" t="s">
        <v>630</v>
      </c>
      <c r="C491" s="84" t="s">
        <v>78</v>
      </c>
      <c r="D491" s="83">
        <v>27</v>
      </c>
      <c r="E491" s="83" t="s">
        <v>88</v>
      </c>
      <c r="F491" s="83">
        <v>15</v>
      </c>
      <c r="G491" s="83">
        <v>4</v>
      </c>
      <c r="H491" s="83">
        <v>4</v>
      </c>
      <c r="I491" s="83">
        <v>1</v>
      </c>
      <c r="J491" s="86">
        <v>0.25</v>
      </c>
      <c r="K491" s="83">
        <v>0</v>
      </c>
      <c r="L491" s="83">
        <v>0</v>
      </c>
      <c r="M491" s="83">
        <v>0</v>
      </c>
      <c r="N491" s="83">
        <v>0</v>
      </c>
      <c r="O491" s="83">
        <v>0</v>
      </c>
      <c r="P491" s="83">
        <v>0</v>
      </c>
      <c r="Q491" s="83">
        <v>0.1</v>
      </c>
      <c r="R491" s="83">
        <v>0</v>
      </c>
      <c r="S491" s="83">
        <v>0</v>
      </c>
    </row>
    <row r="492" spans="1:19" ht="16" x14ac:dyDescent="0.2">
      <c r="A492" s="89">
        <v>475</v>
      </c>
      <c r="B492" s="84" t="s">
        <v>410</v>
      </c>
      <c r="C492" s="84" t="s">
        <v>101</v>
      </c>
      <c r="D492" s="83">
        <v>24</v>
      </c>
      <c r="E492" s="83" t="s">
        <v>83</v>
      </c>
      <c r="F492" s="83">
        <v>10</v>
      </c>
      <c r="G492" s="83">
        <v>0</v>
      </c>
      <c r="H492" s="83">
        <v>4</v>
      </c>
      <c r="I492" s="83">
        <v>1</v>
      </c>
      <c r="J492" s="86">
        <v>0.25</v>
      </c>
      <c r="K492" s="83">
        <v>14</v>
      </c>
      <c r="L492" s="83">
        <v>14</v>
      </c>
      <c r="M492" s="83">
        <v>0</v>
      </c>
      <c r="N492" s="83">
        <v>1</v>
      </c>
      <c r="O492" s="83">
        <v>14</v>
      </c>
      <c r="P492" s="83">
        <v>3.5</v>
      </c>
      <c r="Q492" s="83">
        <v>0.1</v>
      </c>
      <c r="R492" s="83">
        <v>1.4</v>
      </c>
      <c r="S492" s="83">
        <v>0</v>
      </c>
    </row>
    <row r="493" spans="1:19" ht="16" x14ac:dyDescent="0.2">
      <c r="A493" s="89">
        <v>476</v>
      </c>
      <c r="B493" s="84" t="s">
        <v>569</v>
      </c>
      <c r="C493" s="84" t="s">
        <v>122</v>
      </c>
      <c r="D493" s="83">
        <v>25</v>
      </c>
      <c r="E493" s="83" t="s">
        <v>83</v>
      </c>
      <c r="F493" s="83">
        <v>2</v>
      </c>
      <c r="G493" s="83">
        <v>1</v>
      </c>
      <c r="H493" s="83">
        <v>3</v>
      </c>
      <c r="I493" s="83">
        <v>1</v>
      </c>
      <c r="J493" s="86">
        <v>0.33300000000000002</v>
      </c>
      <c r="K493" s="83">
        <v>17</v>
      </c>
      <c r="L493" s="83">
        <v>17</v>
      </c>
      <c r="M493" s="83">
        <v>0</v>
      </c>
      <c r="N493" s="83">
        <v>1</v>
      </c>
      <c r="O493" s="83">
        <v>17</v>
      </c>
      <c r="P493" s="83">
        <v>5.7</v>
      </c>
      <c r="Q493" s="83">
        <v>0.5</v>
      </c>
      <c r="R493" s="83">
        <v>8.5</v>
      </c>
      <c r="S493" s="83">
        <v>0</v>
      </c>
    </row>
    <row r="494" spans="1:19" ht="16" x14ac:dyDescent="0.2">
      <c r="A494" s="89">
        <v>477</v>
      </c>
      <c r="B494" s="84" t="s">
        <v>894</v>
      </c>
      <c r="C494" s="83" t="s">
        <v>1726</v>
      </c>
      <c r="D494" s="83">
        <v>27</v>
      </c>
      <c r="E494" s="83" t="s">
        <v>68</v>
      </c>
      <c r="F494" s="83">
        <v>8</v>
      </c>
      <c r="G494" s="83">
        <v>0</v>
      </c>
      <c r="H494" s="83">
        <v>3</v>
      </c>
      <c r="I494" s="83">
        <v>1</v>
      </c>
      <c r="J494" s="86">
        <v>0.33300000000000002</v>
      </c>
      <c r="K494" s="83">
        <v>21</v>
      </c>
      <c r="L494" s="83">
        <v>21</v>
      </c>
      <c r="M494" s="83">
        <v>0</v>
      </c>
      <c r="N494" s="83">
        <v>1</v>
      </c>
      <c r="O494" s="83">
        <v>21</v>
      </c>
      <c r="P494" s="83">
        <v>7</v>
      </c>
      <c r="Q494" s="83">
        <v>0.1</v>
      </c>
      <c r="R494" s="83">
        <v>2.6</v>
      </c>
      <c r="S494" s="83">
        <v>0</v>
      </c>
    </row>
    <row r="495" spans="1:19" ht="16" x14ac:dyDescent="0.2">
      <c r="A495" s="89">
        <v>478</v>
      </c>
      <c r="B495" s="84" t="s">
        <v>539</v>
      </c>
      <c r="C495" s="84" t="s">
        <v>101</v>
      </c>
      <c r="D495" s="83">
        <v>28</v>
      </c>
      <c r="E495" s="83" t="s">
        <v>83</v>
      </c>
      <c r="F495" s="83">
        <v>2</v>
      </c>
      <c r="G495" s="83">
        <v>0</v>
      </c>
      <c r="H495" s="83">
        <v>1</v>
      </c>
      <c r="I495" s="83">
        <v>1</v>
      </c>
      <c r="J495" s="86">
        <v>1</v>
      </c>
      <c r="K495" s="83">
        <v>10</v>
      </c>
      <c r="L495" s="83">
        <v>10</v>
      </c>
      <c r="M495" s="83">
        <v>0</v>
      </c>
      <c r="N495" s="83">
        <v>1</v>
      </c>
      <c r="O495" s="83">
        <v>10</v>
      </c>
      <c r="P495" s="83">
        <v>10</v>
      </c>
      <c r="Q495" s="83">
        <v>0.5</v>
      </c>
      <c r="R495" s="83">
        <v>5</v>
      </c>
      <c r="S495" s="83">
        <v>0</v>
      </c>
    </row>
    <row r="496" spans="1:19" ht="16" x14ac:dyDescent="0.2">
      <c r="A496" s="89">
        <v>479</v>
      </c>
      <c r="B496" s="84" t="s">
        <v>167</v>
      </c>
      <c r="C496" s="84" t="s">
        <v>119</v>
      </c>
      <c r="D496" s="83">
        <v>28</v>
      </c>
      <c r="E496" s="83" t="s">
        <v>79</v>
      </c>
      <c r="F496" s="83">
        <v>16</v>
      </c>
      <c r="G496" s="83">
        <v>15</v>
      </c>
      <c r="H496" s="83">
        <v>1</v>
      </c>
      <c r="I496" s="83">
        <v>1</v>
      </c>
      <c r="J496" s="86">
        <v>1</v>
      </c>
      <c r="K496" s="83">
        <v>-2</v>
      </c>
      <c r="L496" s="83">
        <v>-2</v>
      </c>
      <c r="M496" s="83">
        <v>0</v>
      </c>
      <c r="N496" s="83">
        <v>0</v>
      </c>
      <c r="O496" s="83">
        <v>-2</v>
      </c>
      <c r="P496" s="83">
        <v>-2</v>
      </c>
      <c r="Q496" s="83">
        <v>0.1</v>
      </c>
      <c r="R496" s="83">
        <v>-0.1</v>
      </c>
      <c r="S496" s="83">
        <v>7</v>
      </c>
    </row>
    <row r="497" spans="1:19" x14ac:dyDescent="0.2">
      <c r="A497" s="89" t="s">
        <v>902</v>
      </c>
      <c r="B497" s="89" t="s">
        <v>903</v>
      </c>
      <c r="C497" s="89" t="s">
        <v>1314</v>
      </c>
      <c r="D497" s="89" t="s">
        <v>905</v>
      </c>
      <c r="E497" s="89" t="s">
        <v>906</v>
      </c>
      <c r="F497" s="89" t="s">
        <v>1315</v>
      </c>
      <c r="G497" s="89" t="s">
        <v>1316</v>
      </c>
      <c r="H497" s="89" t="s">
        <v>2314</v>
      </c>
      <c r="I497" s="89" t="s">
        <v>2092</v>
      </c>
      <c r="J497" s="89" t="s">
        <v>2093</v>
      </c>
      <c r="K497" s="89" t="s">
        <v>799</v>
      </c>
      <c r="L497" s="89" t="s">
        <v>2315</v>
      </c>
      <c r="M497" s="89" t="s">
        <v>800</v>
      </c>
      <c r="N497" s="89" t="s">
        <v>1321</v>
      </c>
      <c r="O497" s="89" t="s">
        <v>917</v>
      </c>
      <c r="P497" s="89" t="s">
        <v>2316</v>
      </c>
      <c r="Q497" s="89" t="s">
        <v>2317</v>
      </c>
      <c r="R497" s="89" t="s">
        <v>1325</v>
      </c>
      <c r="S497" s="89" t="s">
        <v>1416</v>
      </c>
    </row>
    <row r="498" spans="1:19" ht="16" x14ac:dyDescent="0.2">
      <c r="A498" s="89">
        <v>480</v>
      </c>
      <c r="B498" s="84" t="s">
        <v>2471</v>
      </c>
      <c r="C498" s="84" t="s">
        <v>933</v>
      </c>
      <c r="D498" s="83">
        <v>26</v>
      </c>
      <c r="E498" s="83" t="s">
        <v>88</v>
      </c>
      <c r="F498" s="83">
        <v>9</v>
      </c>
      <c r="G498" s="83">
        <v>1</v>
      </c>
      <c r="H498" s="83">
        <v>2</v>
      </c>
      <c r="I498" s="83">
        <v>1</v>
      </c>
      <c r="J498" s="86">
        <v>0.5</v>
      </c>
      <c r="K498" s="83">
        <v>-1</v>
      </c>
      <c r="L498" s="83">
        <v>-1</v>
      </c>
      <c r="M498" s="83">
        <v>0</v>
      </c>
      <c r="N498" s="83">
        <v>0</v>
      </c>
      <c r="O498" s="83">
        <v>0</v>
      </c>
      <c r="P498" s="83">
        <v>-0.5</v>
      </c>
      <c r="Q498" s="83">
        <v>0.1</v>
      </c>
      <c r="R498" s="83">
        <v>-0.1</v>
      </c>
      <c r="S498" s="83">
        <v>0</v>
      </c>
    </row>
    <row r="499" spans="1:19" ht="16" x14ac:dyDescent="0.2">
      <c r="A499" s="89">
        <v>481</v>
      </c>
      <c r="B499" s="84" t="s">
        <v>415</v>
      </c>
      <c r="C499" s="84" t="s">
        <v>1267</v>
      </c>
      <c r="D499" s="83">
        <v>23</v>
      </c>
      <c r="E499" s="83" t="s">
        <v>68</v>
      </c>
      <c r="F499" s="83">
        <v>8</v>
      </c>
      <c r="G499" s="83">
        <v>0</v>
      </c>
      <c r="H499" s="83">
        <v>2</v>
      </c>
      <c r="I499" s="83">
        <v>1</v>
      </c>
      <c r="J499" s="86">
        <v>0.5</v>
      </c>
      <c r="K499" s="83">
        <v>5</v>
      </c>
      <c r="L499" s="83">
        <v>5</v>
      </c>
      <c r="M499" s="83">
        <v>0</v>
      </c>
      <c r="N499" s="83">
        <v>0</v>
      </c>
      <c r="O499" s="83">
        <v>5</v>
      </c>
      <c r="P499" s="83">
        <v>2.5</v>
      </c>
      <c r="Q499" s="83">
        <v>0.1</v>
      </c>
      <c r="R499" s="83">
        <v>0.6</v>
      </c>
      <c r="S499" s="83">
        <v>0</v>
      </c>
    </row>
    <row r="500" spans="1:19" ht="16" x14ac:dyDescent="0.2">
      <c r="A500" s="89">
        <v>482</v>
      </c>
      <c r="B500" s="84" t="s">
        <v>2025</v>
      </c>
      <c r="C500" s="84" t="s">
        <v>77</v>
      </c>
      <c r="D500" s="83">
        <v>23</v>
      </c>
      <c r="E500" s="83" t="s">
        <v>3102</v>
      </c>
      <c r="F500" s="83">
        <v>12</v>
      </c>
      <c r="G500" s="83">
        <v>12</v>
      </c>
      <c r="H500" s="83">
        <v>1</v>
      </c>
      <c r="I500" s="83">
        <v>1</v>
      </c>
      <c r="J500" s="86">
        <v>1</v>
      </c>
      <c r="K500" s="83">
        <v>6</v>
      </c>
      <c r="L500" s="83">
        <v>6</v>
      </c>
      <c r="M500" s="83">
        <v>0</v>
      </c>
      <c r="N500" s="83">
        <v>1</v>
      </c>
      <c r="O500" s="83">
        <v>6</v>
      </c>
      <c r="P500" s="83">
        <v>6</v>
      </c>
      <c r="Q500" s="83">
        <v>0.1</v>
      </c>
      <c r="R500" s="83">
        <v>0.5</v>
      </c>
      <c r="S500" s="83">
        <v>0</v>
      </c>
    </row>
    <row r="501" spans="1:19" ht="16" x14ac:dyDescent="0.2">
      <c r="A501" s="89">
        <v>483</v>
      </c>
      <c r="B501" s="84" t="s">
        <v>2581</v>
      </c>
      <c r="C501" s="84" t="s">
        <v>730</v>
      </c>
      <c r="D501" s="83">
        <v>24</v>
      </c>
      <c r="E501" s="83" t="s">
        <v>88</v>
      </c>
      <c r="F501" s="83">
        <v>5</v>
      </c>
      <c r="G501" s="83">
        <v>0</v>
      </c>
      <c r="H501" s="83">
        <v>1</v>
      </c>
      <c r="I501" s="83">
        <v>1</v>
      </c>
      <c r="J501" s="86">
        <v>1</v>
      </c>
      <c r="K501" s="83">
        <v>9</v>
      </c>
      <c r="L501" s="83">
        <v>9</v>
      </c>
      <c r="M501" s="83">
        <v>0</v>
      </c>
      <c r="N501" s="83">
        <v>1</v>
      </c>
      <c r="O501" s="83">
        <v>9</v>
      </c>
      <c r="P501" s="83">
        <v>9</v>
      </c>
      <c r="Q501" s="83">
        <v>0.2</v>
      </c>
      <c r="R501" s="83">
        <v>1.8</v>
      </c>
      <c r="S501" s="83">
        <v>0</v>
      </c>
    </row>
    <row r="502" spans="1:19" ht="16" x14ac:dyDescent="0.2">
      <c r="A502" s="89">
        <v>484</v>
      </c>
      <c r="B502" s="84" t="s">
        <v>608</v>
      </c>
      <c r="C502" s="84" t="s">
        <v>78</v>
      </c>
      <c r="D502" s="83">
        <v>25</v>
      </c>
      <c r="E502" s="83" t="s">
        <v>83</v>
      </c>
      <c r="F502" s="83">
        <v>8</v>
      </c>
      <c r="G502" s="83">
        <v>0</v>
      </c>
      <c r="H502" s="83">
        <v>1</v>
      </c>
      <c r="I502" s="83">
        <v>1</v>
      </c>
      <c r="J502" s="86">
        <v>1</v>
      </c>
      <c r="K502" s="83">
        <v>13</v>
      </c>
      <c r="L502" s="83">
        <v>13</v>
      </c>
      <c r="M502" s="83">
        <v>0</v>
      </c>
      <c r="N502" s="83">
        <v>1</v>
      </c>
      <c r="O502" s="83">
        <v>13</v>
      </c>
      <c r="P502" s="83">
        <v>13</v>
      </c>
      <c r="Q502" s="83">
        <v>0.1</v>
      </c>
      <c r="R502" s="83">
        <v>1.6</v>
      </c>
      <c r="S502" s="83">
        <v>0</v>
      </c>
    </row>
    <row r="503" spans="1:19" ht="16" x14ac:dyDescent="0.2">
      <c r="A503" s="89">
        <v>485</v>
      </c>
      <c r="B503" s="84" t="s">
        <v>2657</v>
      </c>
      <c r="C503" s="84" t="s">
        <v>102</v>
      </c>
      <c r="D503" s="83">
        <v>31</v>
      </c>
      <c r="E503" s="83" t="s">
        <v>3103</v>
      </c>
      <c r="F503" s="83">
        <v>13</v>
      </c>
      <c r="G503" s="83">
        <v>13</v>
      </c>
      <c r="H503" s="83">
        <v>1</v>
      </c>
      <c r="I503" s="83">
        <v>1</v>
      </c>
      <c r="J503" s="86">
        <v>1</v>
      </c>
      <c r="K503" s="83">
        <v>5</v>
      </c>
      <c r="L503" s="83">
        <v>5</v>
      </c>
      <c r="M503" s="83">
        <v>1</v>
      </c>
      <c r="N503" s="83">
        <v>1</v>
      </c>
      <c r="O503" s="83">
        <v>5</v>
      </c>
      <c r="P503" s="83">
        <v>5</v>
      </c>
      <c r="Q503" s="83">
        <v>0.1</v>
      </c>
      <c r="R503" s="83">
        <v>0.4</v>
      </c>
      <c r="S503" s="83">
        <v>0</v>
      </c>
    </row>
    <row r="504" spans="1:19" ht="16" x14ac:dyDescent="0.2">
      <c r="A504" s="89">
        <v>486</v>
      </c>
      <c r="B504" s="84" t="s">
        <v>154</v>
      </c>
      <c r="C504" s="84" t="s">
        <v>92</v>
      </c>
      <c r="D504" s="83">
        <v>24</v>
      </c>
      <c r="E504" s="83" t="s">
        <v>79</v>
      </c>
      <c r="F504" s="83">
        <v>11</v>
      </c>
      <c r="G504" s="83">
        <v>11</v>
      </c>
      <c r="H504" s="83">
        <v>1</v>
      </c>
      <c r="I504" s="83">
        <v>1</v>
      </c>
      <c r="J504" s="86">
        <v>1</v>
      </c>
      <c r="K504" s="83">
        <v>16</v>
      </c>
      <c r="L504" s="83">
        <v>16</v>
      </c>
      <c r="M504" s="83">
        <v>0</v>
      </c>
      <c r="N504" s="83">
        <v>1</v>
      </c>
      <c r="O504" s="83">
        <v>16</v>
      </c>
      <c r="P504" s="83">
        <v>16</v>
      </c>
      <c r="Q504" s="83">
        <v>0.1</v>
      </c>
      <c r="R504" s="83">
        <v>1.5</v>
      </c>
      <c r="S504" s="83">
        <v>7</v>
      </c>
    </row>
    <row r="505" spans="1:19" ht="16" x14ac:dyDescent="0.2">
      <c r="A505" s="89">
        <v>487</v>
      </c>
      <c r="B505" s="84" t="s">
        <v>496</v>
      </c>
      <c r="C505" s="84" t="s">
        <v>142</v>
      </c>
      <c r="D505" s="83">
        <v>29</v>
      </c>
      <c r="E505" s="83" t="s">
        <v>83</v>
      </c>
      <c r="F505" s="83">
        <v>2</v>
      </c>
      <c r="G505" s="83">
        <v>0</v>
      </c>
      <c r="H505" s="83">
        <v>2</v>
      </c>
      <c r="I505" s="83">
        <v>1</v>
      </c>
      <c r="J505" s="86">
        <v>0.5</v>
      </c>
      <c r="K505" s="83">
        <v>7</v>
      </c>
      <c r="L505" s="83">
        <v>7</v>
      </c>
      <c r="M505" s="83">
        <v>0</v>
      </c>
      <c r="N505" s="83">
        <v>1</v>
      </c>
      <c r="O505" s="83">
        <v>7</v>
      </c>
      <c r="P505" s="83">
        <v>3.5</v>
      </c>
      <c r="Q505" s="83">
        <v>0.5</v>
      </c>
      <c r="R505" s="83">
        <v>3.5</v>
      </c>
      <c r="S505" s="83">
        <v>0</v>
      </c>
    </row>
    <row r="506" spans="1:19" ht="16" x14ac:dyDescent="0.2">
      <c r="A506" s="89">
        <v>488</v>
      </c>
      <c r="B506" s="84" t="s">
        <v>165</v>
      </c>
      <c r="C506" s="84" t="s">
        <v>93</v>
      </c>
      <c r="D506" s="83">
        <v>25</v>
      </c>
      <c r="E506" s="83" t="s">
        <v>79</v>
      </c>
      <c r="F506" s="83">
        <v>6</v>
      </c>
      <c r="G506" s="83">
        <v>3</v>
      </c>
      <c r="H506" s="83">
        <v>1</v>
      </c>
      <c r="I506" s="83">
        <v>1</v>
      </c>
      <c r="J506" s="86">
        <v>1</v>
      </c>
      <c r="K506" s="83">
        <v>1</v>
      </c>
      <c r="L506" s="83">
        <v>1</v>
      </c>
      <c r="M506" s="83">
        <v>0</v>
      </c>
      <c r="N506" s="83">
        <v>0</v>
      </c>
      <c r="O506" s="83">
        <v>1</v>
      </c>
      <c r="P506" s="83">
        <v>1</v>
      </c>
      <c r="Q506" s="83">
        <v>0.2</v>
      </c>
      <c r="R506" s="83">
        <v>0.2</v>
      </c>
      <c r="S506" s="83">
        <v>2</v>
      </c>
    </row>
    <row r="507" spans="1:19" ht="16" x14ac:dyDescent="0.2">
      <c r="A507" s="89">
        <v>489</v>
      </c>
      <c r="B507" s="84" t="s">
        <v>2406</v>
      </c>
      <c r="C507" s="84" t="s">
        <v>142</v>
      </c>
      <c r="D507" s="83">
        <v>23</v>
      </c>
      <c r="E507" s="83" t="s">
        <v>88</v>
      </c>
      <c r="F507" s="83">
        <v>7</v>
      </c>
      <c r="G507" s="83">
        <v>2</v>
      </c>
      <c r="H507" s="83">
        <v>3</v>
      </c>
      <c r="I507" s="83">
        <v>1</v>
      </c>
      <c r="J507" s="86">
        <v>0.33300000000000002</v>
      </c>
      <c r="K507" s="83">
        <v>8</v>
      </c>
      <c r="L507" s="83">
        <v>8</v>
      </c>
      <c r="M507" s="83">
        <v>0</v>
      </c>
      <c r="N507" s="83">
        <v>0</v>
      </c>
      <c r="O507" s="83">
        <v>8</v>
      </c>
      <c r="P507" s="83">
        <v>2.7</v>
      </c>
      <c r="Q507" s="83">
        <v>0.1</v>
      </c>
      <c r="R507" s="83">
        <v>1.1000000000000001</v>
      </c>
      <c r="S507" s="83">
        <v>0</v>
      </c>
    </row>
    <row r="508" spans="1:19" ht="16" x14ac:dyDescent="0.2">
      <c r="A508" s="89">
        <v>490</v>
      </c>
      <c r="B508" s="84" t="s">
        <v>2658</v>
      </c>
      <c r="C508" s="84" t="s">
        <v>71</v>
      </c>
      <c r="D508" s="83">
        <v>29</v>
      </c>
      <c r="E508" s="83" t="s">
        <v>3113</v>
      </c>
      <c r="F508" s="83">
        <v>6</v>
      </c>
      <c r="G508" s="83">
        <v>3</v>
      </c>
      <c r="H508" s="83">
        <v>1</v>
      </c>
      <c r="I508" s="83">
        <v>1</v>
      </c>
      <c r="J508" s="86">
        <v>1</v>
      </c>
      <c r="K508" s="83">
        <v>1</v>
      </c>
      <c r="L508" s="83">
        <v>1</v>
      </c>
      <c r="M508" s="83">
        <v>1</v>
      </c>
      <c r="N508" s="83">
        <v>1</v>
      </c>
      <c r="O508" s="83">
        <v>1</v>
      </c>
      <c r="P508" s="83">
        <v>1</v>
      </c>
      <c r="Q508" s="83">
        <v>0.2</v>
      </c>
      <c r="R508" s="83">
        <v>0.2</v>
      </c>
      <c r="S508" s="83">
        <v>0</v>
      </c>
    </row>
    <row r="509" spans="1:19" ht="16" x14ac:dyDescent="0.2">
      <c r="A509" s="89">
        <v>491</v>
      </c>
      <c r="B509" s="84" t="s">
        <v>445</v>
      </c>
      <c r="C509" s="84" t="s">
        <v>99</v>
      </c>
      <c r="D509" s="83">
        <v>22</v>
      </c>
      <c r="E509" s="83" t="s">
        <v>68</v>
      </c>
      <c r="F509" s="83">
        <v>2</v>
      </c>
      <c r="G509" s="83">
        <v>0</v>
      </c>
      <c r="H509" s="83">
        <v>1</v>
      </c>
      <c r="I509" s="83">
        <v>1</v>
      </c>
      <c r="J509" s="86">
        <v>1</v>
      </c>
      <c r="K509" s="83">
        <v>11</v>
      </c>
      <c r="L509" s="83">
        <v>11</v>
      </c>
      <c r="M509" s="83">
        <v>0</v>
      </c>
      <c r="N509" s="83">
        <v>1</v>
      </c>
      <c r="O509" s="83">
        <v>11</v>
      </c>
      <c r="P509" s="83">
        <v>11</v>
      </c>
      <c r="Q509" s="83">
        <v>0.5</v>
      </c>
      <c r="R509" s="83">
        <v>5.5</v>
      </c>
      <c r="S509" s="83">
        <v>0</v>
      </c>
    </row>
    <row r="510" spans="1:19" ht="16" x14ac:dyDescent="0.2">
      <c r="A510" s="89">
        <v>492</v>
      </c>
      <c r="B510" s="84" t="s">
        <v>433</v>
      </c>
      <c r="C510" s="84" t="s">
        <v>142</v>
      </c>
      <c r="D510" s="83">
        <v>24</v>
      </c>
      <c r="E510" s="83" t="s">
        <v>83</v>
      </c>
      <c r="F510" s="83">
        <v>2</v>
      </c>
      <c r="G510" s="83">
        <v>0</v>
      </c>
      <c r="H510" s="83">
        <v>3</v>
      </c>
      <c r="I510" s="83">
        <v>1</v>
      </c>
      <c r="J510" s="86">
        <v>0.33300000000000002</v>
      </c>
      <c r="K510" s="83">
        <v>13</v>
      </c>
      <c r="L510" s="83">
        <v>13</v>
      </c>
      <c r="M510" s="83">
        <v>0</v>
      </c>
      <c r="N510" s="83">
        <v>1</v>
      </c>
      <c r="O510" s="83">
        <v>13</v>
      </c>
      <c r="P510" s="83">
        <v>4.3</v>
      </c>
      <c r="Q510" s="83">
        <v>0.5</v>
      </c>
      <c r="R510" s="83">
        <v>6.5</v>
      </c>
      <c r="S510" s="83">
        <v>0</v>
      </c>
    </row>
    <row r="511" spans="1:19" ht="16" x14ac:dyDescent="0.2">
      <c r="A511" s="89">
        <v>493</v>
      </c>
      <c r="B511" s="84" t="s">
        <v>2139</v>
      </c>
      <c r="C511" s="84" t="s">
        <v>730</v>
      </c>
      <c r="D511" s="83">
        <v>27</v>
      </c>
      <c r="E511" s="83" t="s">
        <v>88</v>
      </c>
      <c r="F511" s="83">
        <v>6</v>
      </c>
      <c r="G511" s="83">
        <v>0</v>
      </c>
      <c r="H511" s="83">
        <v>1</v>
      </c>
      <c r="I511" s="83">
        <v>1</v>
      </c>
      <c r="J511" s="86">
        <v>1</v>
      </c>
      <c r="K511" s="83">
        <v>9</v>
      </c>
      <c r="L511" s="83">
        <v>9</v>
      </c>
      <c r="M511" s="83">
        <v>0</v>
      </c>
      <c r="N511" s="83">
        <v>1</v>
      </c>
      <c r="O511" s="83">
        <v>9</v>
      </c>
      <c r="P511" s="83">
        <v>9</v>
      </c>
      <c r="Q511" s="83">
        <v>0.2</v>
      </c>
      <c r="R511" s="83">
        <v>1.5</v>
      </c>
      <c r="S511" s="83">
        <v>0</v>
      </c>
    </row>
    <row r="512" spans="1:19" ht="16" x14ac:dyDescent="0.2">
      <c r="A512" s="89">
        <v>494</v>
      </c>
      <c r="B512" s="84" t="s">
        <v>1946</v>
      </c>
      <c r="C512" s="84" t="s">
        <v>727</v>
      </c>
      <c r="D512" s="83">
        <v>26</v>
      </c>
      <c r="E512" s="83" t="s">
        <v>68</v>
      </c>
      <c r="F512" s="83">
        <v>9</v>
      </c>
      <c r="G512" s="83">
        <v>0</v>
      </c>
      <c r="H512" s="83">
        <v>1</v>
      </c>
      <c r="I512" s="83">
        <v>1</v>
      </c>
      <c r="J512" s="86">
        <v>1</v>
      </c>
      <c r="K512" s="83">
        <v>4</v>
      </c>
      <c r="L512" s="83">
        <v>4</v>
      </c>
      <c r="M512" s="83">
        <v>0</v>
      </c>
      <c r="N512" s="83">
        <v>0</v>
      </c>
      <c r="O512" s="83">
        <v>4</v>
      </c>
      <c r="P512" s="83">
        <v>4</v>
      </c>
      <c r="Q512" s="83">
        <v>0.1</v>
      </c>
      <c r="R512" s="83">
        <v>0.4</v>
      </c>
      <c r="S512" s="83">
        <v>0</v>
      </c>
    </row>
    <row r="513" spans="1:19" ht="16" x14ac:dyDescent="0.2">
      <c r="A513" s="89">
        <v>495</v>
      </c>
      <c r="B513" s="84" t="s">
        <v>424</v>
      </c>
      <c r="C513" s="83" t="s">
        <v>1726</v>
      </c>
      <c r="D513" s="83">
        <v>25</v>
      </c>
      <c r="E513" s="83" t="s">
        <v>68</v>
      </c>
      <c r="F513" s="83">
        <v>3</v>
      </c>
      <c r="G513" s="83">
        <v>0</v>
      </c>
      <c r="H513" s="83">
        <v>1</v>
      </c>
      <c r="I513" s="83">
        <v>1</v>
      </c>
      <c r="J513" s="86">
        <v>1</v>
      </c>
      <c r="K513" s="83">
        <v>7</v>
      </c>
      <c r="L513" s="83">
        <v>7</v>
      </c>
      <c r="M513" s="83">
        <v>0</v>
      </c>
      <c r="N513" s="83">
        <v>1</v>
      </c>
      <c r="O513" s="83">
        <v>7</v>
      </c>
      <c r="P513" s="83">
        <v>7</v>
      </c>
      <c r="Q513" s="83">
        <v>0.3</v>
      </c>
      <c r="R513" s="83">
        <v>2.2999999999999998</v>
      </c>
      <c r="S513" s="83">
        <v>0</v>
      </c>
    </row>
    <row r="514" spans="1:19" ht="16" x14ac:dyDescent="0.2">
      <c r="A514" s="89">
        <v>496</v>
      </c>
      <c r="B514" s="84" t="s">
        <v>665</v>
      </c>
      <c r="C514" s="84" t="s">
        <v>107</v>
      </c>
      <c r="D514" s="83">
        <v>25</v>
      </c>
      <c r="E514" s="83" t="s">
        <v>1315</v>
      </c>
      <c r="F514" s="83">
        <v>16</v>
      </c>
      <c r="G514" s="83">
        <v>3</v>
      </c>
      <c r="H514" s="83">
        <v>1</v>
      </c>
      <c r="I514" s="83">
        <v>1</v>
      </c>
      <c r="J514" s="86">
        <v>1</v>
      </c>
      <c r="K514" s="83">
        <v>2</v>
      </c>
      <c r="L514" s="83">
        <v>2</v>
      </c>
      <c r="M514" s="83">
        <v>1</v>
      </c>
      <c r="N514" s="83">
        <v>1</v>
      </c>
      <c r="O514" s="83">
        <v>2</v>
      </c>
      <c r="P514" s="83">
        <v>2</v>
      </c>
      <c r="Q514" s="83">
        <v>0.1</v>
      </c>
      <c r="R514" s="83">
        <v>0.1</v>
      </c>
      <c r="S514" s="83">
        <v>0</v>
      </c>
    </row>
    <row r="515" spans="1:19" ht="16" x14ac:dyDescent="0.2">
      <c r="A515" s="89">
        <v>497</v>
      </c>
      <c r="B515" s="84" t="s">
        <v>2412</v>
      </c>
      <c r="C515" s="84" t="s">
        <v>139</v>
      </c>
      <c r="D515" s="83">
        <v>23</v>
      </c>
      <c r="E515" s="83" t="s">
        <v>3106</v>
      </c>
      <c r="F515" s="83">
        <v>15</v>
      </c>
      <c r="G515" s="83">
        <v>2</v>
      </c>
      <c r="H515" s="83">
        <v>1</v>
      </c>
      <c r="I515" s="83">
        <v>1</v>
      </c>
      <c r="J515" s="86">
        <v>1</v>
      </c>
      <c r="K515" s="83">
        <v>17</v>
      </c>
      <c r="L515" s="83">
        <v>17</v>
      </c>
      <c r="M515" s="83">
        <v>0</v>
      </c>
      <c r="N515" s="83">
        <v>1</v>
      </c>
      <c r="O515" s="83">
        <v>17</v>
      </c>
      <c r="P515" s="83">
        <v>17</v>
      </c>
      <c r="Q515" s="83">
        <v>0.1</v>
      </c>
      <c r="R515" s="83">
        <v>1.1000000000000001</v>
      </c>
      <c r="S515" s="83">
        <v>0</v>
      </c>
    </row>
    <row r="516" spans="1:19" ht="16" x14ac:dyDescent="0.2">
      <c r="A516" s="89">
        <v>498</v>
      </c>
      <c r="B516" s="84" t="s">
        <v>2109</v>
      </c>
      <c r="C516" s="84" t="s">
        <v>1040</v>
      </c>
      <c r="D516" s="83">
        <v>32</v>
      </c>
      <c r="E516" s="83" t="s">
        <v>3113</v>
      </c>
      <c r="F516" s="83">
        <v>4</v>
      </c>
      <c r="G516" s="83">
        <v>2</v>
      </c>
      <c r="H516" s="83">
        <v>1</v>
      </c>
      <c r="I516" s="83">
        <v>1</v>
      </c>
      <c r="J516" s="86">
        <v>1</v>
      </c>
      <c r="K516" s="83">
        <v>-2</v>
      </c>
      <c r="L516" s="83">
        <v>-2</v>
      </c>
      <c r="M516" s="83">
        <v>0</v>
      </c>
      <c r="N516" s="83">
        <v>0</v>
      </c>
      <c r="O516" s="83">
        <v>-2</v>
      </c>
      <c r="P516" s="83">
        <v>-2</v>
      </c>
      <c r="Q516" s="83">
        <v>0.3</v>
      </c>
      <c r="R516" s="83">
        <v>-0.5</v>
      </c>
      <c r="S516" s="83">
        <v>0</v>
      </c>
    </row>
    <row r="517" spans="1:19" ht="16" x14ac:dyDescent="0.2">
      <c r="A517" s="89">
        <v>499</v>
      </c>
      <c r="B517" s="84" t="s">
        <v>536</v>
      </c>
      <c r="C517" s="83" t="s">
        <v>1726</v>
      </c>
      <c r="D517" s="83">
        <v>33</v>
      </c>
      <c r="E517" s="83" t="s">
        <v>83</v>
      </c>
      <c r="F517" s="83">
        <v>16</v>
      </c>
      <c r="G517" s="83">
        <v>0</v>
      </c>
      <c r="H517" s="83">
        <v>2</v>
      </c>
      <c r="I517" s="83">
        <v>1</v>
      </c>
      <c r="J517" s="86">
        <v>0.5</v>
      </c>
      <c r="K517" s="83">
        <v>35</v>
      </c>
      <c r="L517" s="83">
        <v>35</v>
      </c>
      <c r="M517" s="83">
        <v>0</v>
      </c>
      <c r="N517" s="83">
        <v>1</v>
      </c>
      <c r="O517" s="83">
        <v>35</v>
      </c>
      <c r="P517" s="83">
        <v>17.5</v>
      </c>
      <c r="Q517" s="83">
        <v>0.1</v>
      </c>
      <c r="R517" s="83">
        <v>2.2000000000000002</v>
      </c>
      <c r="S517" s="83">
        <v>3</v>
      </c>
    </row>
    <row r="518" spans="1:19" ht="16" x14ac:dyDescent="0.2">
      <c r="A518" s="89">
        <v>500</v>
      </c>
      <c r="B518" s="84" t="s">
        <v>1347</v>
      </c>
      <c r="C518" s="84" t="s">
        <v>1267</v>
      </c>
      <c r="D518" s="83">
        <v>38</v>
      </c>
      <c r="E518" s="83" t="s">
        <v>79</v>
      </c>
      <c r="F518" s="83">
        <v>16</v>
      </c>
      <c r="G518" s="83">
        <v>16</v>
      </c>
      <c r="H518" s="83">
        <v>1</v>
      </c>
      <c r="I518" s="83">
        <v>1</v>
      </c>
      <c r="J518" s="86">
        <v>1</v>
      </c>
      <c r="K518" s="83">
        <v>-4</v>
      </c>
      <c r="L518" s="83">
        <v>-4</v>
      </c>
      <c r="M518" s="83">
        <v>0</v>
      </c>
      <c r="N518" s="83">
        <v>0</v>
      </c>
      <c r="O518" s="83">
        <v>-4</v>
      </c>
      <c r="P518" s="83">
        <v>-4</v>
      </c>
      <c r="Q518" s="83">
        <v>0.1</v>
      </c>
      <c r="R518" s="83">
        <v>-0.3</v>
      </c>
      <c r="S518" s="83">
        <v>3</v>
      </c>
    </row>
    <row r="519" spans="1:19" ht="16" x14ac:dyDescent="0.2">
      <c r="A519" s="89">
        <v>501</v>
      </c>
      <c r="B519" s="84" t="s">
        <v>1485</v>
      </c>
      <c r="C519" s="84" t="s">
        <v>118</v>
      </c>
      <c r="D519" s="83">
        <v>22</v>
      </c>
      <c r="E519" s="83" t="s">
        <v>68</v>
      </c>
      <c r="F519" s="83">
        <v>12</v>
      </c>
      <c r="G519" s="83">
        <v>0</v>
      </c>
      <c r="H519" s="83">
        <v>2</v>
      </c>
      <c r="I519" s="83">
        <v>1</v>
      </c>
      <c r="J519" s="86">
        <v>0.5</v>
      </c>
      <c r="K519" s="83">
        <v>-1</v>
      </c>
      <c r="L519" s="83">
        <v>-1</v>
      </c>
      <c r="M519" s="83">
        <v>0</v>
      </c>
      <c r="N519" s="83">
        <v>0</v>
      </c>
      <c r="O519" s="83">
        <v>0</v>
      </c>
      <c r="P519" s="83">
        <v>-0.5</v>
      </c>
      <c r="Q519" s="83">
        <v>0.1</v>
      </c>
      <c r="R519" s="83">
        <v>-0.1</v>
      </c>
      <c r="S519" s="83">
        <v>0</v>
      </c>
    </row>
    <row r="520" spans="1:19" ht="16" x14ac:dyDescent="0.2">
      <c r="A520" s="89">
        <v>502</v>
      </c>
      <c r="B520" s="84" t="s">
        <v>422</v>
      </c>
      <c r="C520" s="84" t="s">
        <v>93</v>
      </c>
      <c r="D520" s="83">
        <v>29</v>
      </c>
      <c r="E520" s="83" t="s">
        <v>83</v>
      </c>
      <c r="F520" s="83">
        <v>15</v>
      </c>
      <c r="G520" s="83">
        <v>0</v>
      </c>
      <c r="H520" s="83">
        <v>4</v>
      </c>
      <c r="I520" s="83">
        <v>1</v>
      </c>
      <c r="J520" s="86">
        <v>0.25</v>
      </c>
      <c r="K520" s="83">
        <v>-3</v>
      </c>
      <c r="L520" s="83">
        <v>-3</v>
      </c>
      <c r="M520" s="83">
        <v>0</v>
      </c>
      <c r="N520" s="83">
        <v>0</v>
      </c>
      <c r="O520" s="83">
        <v>0</v>
      </c>
      <c r="P520" s="83">
        <v>-0.8</v>
      </c>
      <c r="Q520" s="83">
        <v>0.1</v>
      </c>
      <c r="R520" s="83">
        <v>-0.2</v>
      </c>
      <c r="S520" s="83">
        <v>2</v>
      </c>
    </row>
    <row r="521" spans="1:19" ht="16" x14ac:dyDescent="0.2">
      <c r="A521" s="89">
        <v>503</v>
      </c>
      <c r="B521" s="84" t="s">
        <v>2659</v>
      </c>
      <c r="C521" s="84" t="s">
        <v>729</v>
      </c>
      <c r="D521" s="83">
        <v>24</v>
      </c>
      <c r="E521" s="83" t="s">
        <v>3114</v>
      </c>
      <c r="F521" s="83">
        <v>16</v>
      </c>
      <c r="G521" s="83">
        <v>13</v>
      </c>
      <c r="H521" s="83">
        <v>1</v>
      </c>
      <c r="I521" s="83">
        <v>1</v>
      </c>
      <c r="J521" s="86">
        <v>1</v>
      </c>
      <c r="K521" s="83">
        <v>1</v>
      </c>
      <c r="L521" s="83">
        <v>1</v>
      </c>
      <c r="M521" s="83">
        <v>1</v>
      </c>
      <c r="N521" s="83">
        <v>1</v>
      </c>
      <c r="O521" s="83">
        <v>1</v>
      </c>
      <c r="P521" s="83">
        <v>1</v>
      </c>
      <c r="Q521" s="83">
        <v>0.1</v>
      </c>
      <c r="R521" s="83">
        <v>0.1</v>
      </c>
      <c r="S521" s="83">
        <v>0</v>
      </c>
    </row>
    <row r="522" spans="1:19" ht="16" x14ac:dyDescent="0.2">
      <c r="A522" s="89">
        <v>504</v>
      </c>
      <c r="B522" s="84" t="s">
        <v>2503</v>
      </c>
      <c r="C522" s="84" t="s">
        <v>92</v>
      </c>
      <c r="D522" s="83">
        <v>22</v>
      </c>
      <c r="E522" s="83" t="s">
        <v>2153</v>
      </c>
      <c r="F522" s="83">
        <v>13</v>
      </c>
      <c r="G522" s="83">
        <v>13</v>
      </c>
      <c r="H522" s="83">
        <v>1</v>
      </c>
      <c r="I522" s="83">
        <v>1</v>
      </c>
      <c r="J522" s="86">
        <v>1</v>
      </c>
      <c r="K522" s="83">
        <v>2</v>
      </c>
      <c r="L522" s="83">
        <v>2</v>
      </c>
      <c r="M522" s="83">
        <v>1</v>
      </c>
      <c r="N522" s="83">
        <v>1</v>
      </c>
      <c r="O522" s="83">
        <v>2</v>
      </c>
      <c r="P522" s="83">
        <v>2</v>
      </c>
      <c r="Q522" s="83">
        <v>0.1</v>
      </c>
      <c r="R522" s="83">
        <v>0.2</v>
      </c>
      <c r="S522" s="83">
        <v>0</v>
      </c>
    </row>
    <row r="523" spans="1:19" ht="16" x14ac:dyDescent="0.2">
      <c r="A523" s="89">
        <v>505</v>
      </c>
      <c r="B523" s="84" t="s">
        <v>2358</v>
      </c>
      <c r="C523" s="84" t="s">
        <v>725</v>
      </c>
      <c r="D523" s="83">
        <v>29</v>
      </c>
      <c r="E523" s="83" t="s">
        <v>88</v>
      </c>
      <c r="F523" s="83">
        <v>17</v>
      </c>
      <c r="G523" s="83">
        <v>7</v>
      </c>
      <c r="H523" s="83">
        <v>1</v>
      </c>
      <c r="I523" s="83">
        <v>1</v>
      </c>
      <c r="J523" s="86">
        <v>1</v>
      </c>
      <c r="K523" s="83">
        <v>7</v>
      </c>
      <c r="L523" s="83">
        <v>7</v>
      </c>
      <c r="M523" s="83">
        <v>0</v>
      </c>
      <c r="N523" s="83">
        <v>0</v>
      </c>
      <c r="O523" s="83">
        <v>7</v>
      </c>
      <c r="P523" s="83">
        <v>7</v>
      </c>
      <c r="Q523" s="83">
        <v>0.1</v>
      </c>
      <c r="R523" s="83">
        <v>0.4</v>
      </c>
      <c r="S523" s="83">
        <v>0</v>
      </c>
    </row>
    <row r="524" spans="1:19" ht="16" x14ac:dyDescent="0.2">
      <c r="A524" s="89">
        <v>506</v>
      </c>
      <c r="B524" s="84" t="s">
        <v>582</v>
      </c>
      <c r="C524" s="84" t="s">
        <v>1257</v>
      </c>
      <c r="D524" s="83">
        <v>29</v>
      </c>
      <c r="E524" s="83" t="s">
        <v>83</v>
      </c>
      <c r="F524" s="83">
        <v>6</v>
      </c>
      <c r="G524" s="83">
        <v>1</v>
      </c>
      <c r="H524" s="83">
        <v>5</v>
      </c>
      <c r="I524" s="83">
        <v>1</v>
      </c>
      <c r="J524" s="86">
        <v>0.2</v>
      </c>
      <c r="K524" s="83">
        <v>38</v>
      </c>
      <c r="L524" s="83">
        <v>38</v>
      </c>
      <c r="M524" s="83">
        <v>0</v>
      </c>
      <c r="N524" s="83">
        <v>1</v>
      </c>
      <c r="O524" s="83">
        <v>38</v>
      </c>
      <c r="P524" s="83">
        <v>7.6</v>
      </c>
      <c r="Q524" s="83">
        <v>0.2</v>
      </c>
      <c r="R524" s="83">
        <v>6.3</v>
      </c>
      <c r="S524" s="83">
        <v>0</v>
      </c>
    </row>
    <row r="525" spans="1:19" ht="16" x14ac:dyDescent="0.2">
      <c r="A525" s="89">
        <v>507</v>
      </c>
      <c r="B525" s="84" t="s">
        <v>2660</v>
      </c>
      <c r="C525" s="84" t="s">
        <v>142</v>
      </c>
      <c r="D525" s="83">
        <v>26</v>
      </c>
      <c r="E525" s="83" t="s">
        <v>3104</v>
      </c>
      <c r="F525" s="83">
        <v>17</v>
      </c>
      <c r="G525" s="83">
        <v>17</v>
      </c>
      <c r="H525" s="83">
        <v>1</v>
      </c>
      <c r="I525" s="83">
        <v>1</v>
      </c>
      <c r="J525" s="86">
        <v>1</v>
      </c>
      <c r="K525" s="83">
        <v>1</v>
      </c>
      <c r="L525" s="83">
        <v>1</v>
      </c>
      <c r="M525" s="83">
        <v>1</v>
      </c>
      <c r="N525" s="83">
        <v>1</v>
      </c>
      <c r="O525" s="83">
        <v>1</v>
      </c>
      <c r="P525" s="83">
        <v>1</v>
      </c>
      <c r="Q525" s="83">
        <v>0.1</v>
      </c>
      <c r="R525" s="83">
        <v>0.1</v>
      </c>
      <c r="S525" s="83">
        <v>1</v>
      </c>
    </row>
    <row r="526" spans="1:19" ht="16" x14ac:dyDescent="0.2">
      <c r="A526" s="89">
        <v>508</v>
      </c>
      <c r="B526" s="84" t="s">
        <v>580</v>
      </c>
      <c r="C526" s="84" t="s">
        <v>93</v>
      </c>
      <c r="D526" s="83">
        <v>21</v>
      </c>
      <c r="E526" s="83" t="s">
        <v>83</v>
      </c>
      <c r="F526" s="83">
        <v>2</v>
      </c>
      <c r="G526" s="83">
        <v>1</v>
      </c>
      <c r="H526" s="83">
        <v>1</v>
      </c>
      <c r="I526" s="83">
        <v>1</v>
      </c>
      <c r="J526" s="86">
        <v>1</v>
      </c>
      <c r="K526" s="83">
        <v>34</v>
      </c>
      <c r="L526" s="83">
        <v>34</v>
      </c>
      <c r="M526" s="83">
        <v>0</v>
      </c>
      <c r="N526" s="83">
        <v>1</v>
      </c>
      <c r="O526" s="83">
        <v>34</v>
      </c>
      <c r="P526" s="83">
        <v>34</v>
      </c>
      <c r="Q526" s="83">
        <v>0.5</v>
      </c>
      <c r="R526" s="83">
        <v>17</v>
      </c>
      <c r="S526" s="83">
        <v>0</v>
      </c>
    </row>
    <row r="527" spans="1:19" ht="16" x14ac:dyDescent="0.2">
      <c r="A527" s="89">
        <v>509</v>
      </c>
      <c r="B527" s="84" t="s">
        <v>399</v>
      </c>
      <c r="C527" s="84" t="s">
        <v>74</v>
      </c>
      <c r="D527" s="83">
        <v>24</v>
      </c>
      <c r="E527" s="83" t="s">
        <v>68</v>
      </c>
      <c r="F527" s="83">
        <v>5</v>
      </c>
      <c r="G527" s="83">
        <v>0</v>
      </c>
      <c r="H527" s="83">
        <v>2</v>
      </c>
      <c r="I527" s="83">
        <v>1</v>
      </c>
      <c r="J527" s="86">
        <v>0.5</v>
      </c>
      <c r="K527" s="83">
        <v>4</v>
      </c>
      <c r="L527" s="83">
        <v>4</v>
      </c>
      <c r="M527" s="83">
        <v>0</v>
      </c>
      <c r="N527" s="83">
        <v>0</v>
      </c>
      <c r="O527" s="83">
        <v>4</v>
      </c>
      <c r="P527" s="83">
        <v>2</v>
      </c>
      <c r="Q527" s="83">
        <v>0.2</v>
      </c>
      <c r="R527" s="83">
        <v>0.8</v>
      </c>
      <c r="S527" s="83">
        <v>0</v>
      </c>
    </row>
    <row r="528" spans="1:19" x14ac:dyDescent="0.2">
      <c r="A528" s="89" t="s">
        <v>902</v>
      </c>
      <c r="B528" s="89" t="s">
        <v>903</v>
      </c>
      <c r="C528" s="89" t="s">
        <v>1314</v>
      </c>
      <c r="D528" s="89" t="s">
        <v>905</v>
      </c>
      <c r="E528" s="89" t="s">
        <v>906</v>
      </c>
      <c r="F528" s="89" t="s">
        <v>1315</v>
      </c>
      <c r="G528" s="89" t="s">
        <v>1316</v>
      </c>
      <c r="H528" s="89" t="s">
        <v>2314</v>
      </c>
      <c r="I528" s="89" t="s">
        <v>2092</v>
      </c>
      <c r="J528" s="89" t="s">
        <v>2093</v>
      </c>
      <c r="K528" s="89" t="s">
        <v>799</v>
      </c>
      <c r="L528" s="89" t="s">
        <v>2315</v>
      </c>
      <c r="M528" s="89" t="s">
        <v>800</v>
      </c>
      <c r="N528" s="89" t="s">
        <v>1321</v>
      </c>
      <c r="O528" s="89" t="s">
        <v>917</v>
      </c>
      <c r="P528" s="89" t="s">
        <v>2316</v>
      </c>
      <c r="Q528" s="89" t="s">
        <v>2317</v>
      </c>
      <c r="R528" s="89" t="s">
        <v>1325</v>
      </c>
      <c r="S528" s="89" t="s">
        <v>1416</v>
      </c>
    </row>
    <row r="529" spans="1:19" ht="16" x14ac:dyDescent="0.2">
      <c r="A529" s="89">
        <v>510</v>
      </c>
      <c r="B529" s="84" t="s">
        <v>2534</v>
      </c>
      <c r="C529" s="84" t="s">
        <v>1257</v>
      </c>
      <c r="D529" s="83">
        <v>25</v>
      </c>
      <c r="E529" s="83" t="s">
        <v>83</v>
      </c>
      <c r="F529" s="83">
        <v>3</v>
      </c>
      <c r="G529" s="83">
        <v>1</v>
      </c>
      <c r="H529" s="83">
        <v>1</v>
      </c>
      <c r="I529" s="83">
        <v>1</v>
      </c>
      <c r="J529" s="86">
        <v>1</v>
      </c>
      <c r="K529" s="83">
        <v>5</v>
      </c>
      <c r="L529" s="83">
        <v>5</v>
      </c>
      <c r="M529" s="83">
        <v>0</v>
      </c>
      <c r="N529" s="83">
        <v>0</v>
      </c>
      <c r="O529" s="83">
        <v>5</v>
      </c>
      <c r="P529" s="83">
        <v>5</v>
      </c>
      <c r="Q529" s="83">
        <v>0.3</v>
      </c>
      <c r="R529" s="83">
        <v>1.7</v>
      </c>
      <c r="S529" s="83">
        <v>0</v>
      </c>
    </row>
    <row r="530" spans="1:19" ht="16" x14ac:dyDescent="0.2">
      <c r="A530" s="89">
        <v>511</v>
      </c>
      <c r="B530" s="84" t="s">
        <v>2135</v>
      </c>
      <c r="C530" s="84" t="s">
        <v>976</v>
      </c>
      <c r="D530" s="83">
        <v>26</v>
      </c>
      <c r="E530" s="83" t="s">
        <v>88</v>
      </c>
      <c r="F530" s="83">
        <v>5</v>
      </c>
      <c r="G530" s="83">
        <v>0</v>
      </c>
      <c r="H530" s="83">
        <v>1</v>
      </c>
      <c r="I530" s="83">
        <v>1</v>
      </c>
      <c r="J530" s="86">
        <v>1</v>
      </c>
      <c r="K530" s="83">
        <v>0</v>
      </c>
      <c r="L530" s="83">
        <v>0</v>
      </c>
      <c r="M530" s="83">
        <v>0</v>
      </c>
      <c r="N530" s="83">
        <v>0</v>
      </c>
      <c r="O530" s="83">
        <v>0</v>
      </c>
      <c r="P530" s="83">
        <v>0</v>
      </c>
      <c r="Q530" s="83">
        <v>0.2</v>
      </c>
      <c r="R530" s="83">
        <v>0</v>
      </c>
      <c r="S530" s="83">
        <v>0</v>
      </c>
    </row>
    <row r="531" spans="1:19" ht="16" x14ac:dyDescent="0.2">
      <c r="A531" s="89">
        <v>512</v>
      </c>
      <c r="B531" s="84" t="s">
        <v>3115</v>
      </c>
      <c r="C531" s="84" t="s">
        <v>727</v>
      </c>
      <c r="D531" s="83">
        <v>27</v>
      </c>
      <c r="E531" s="83" t="s">
        <v>83</v>
      </c>
      <c r="F531" s="83">
        <v>1</v>
      </c>
      <c r="G531" s="83">
        <v>0</v>
      </c>
      <c r="H531" s="83">
        <v>1</v>
      </c>
      <c r="I531" s="83">
        <v>0</v>
      </c>
      <c r="J531" s="86">
        <v>0</v>
      </c>
      <c r="K531" s="83">
        <v>0</v>
      </c>
      <c r="L531" s="83"/>
      <c r="M531" s="83">
        <v>0</v>
      </c>
      <c r="N531" s="83">
        <v>0</v>
      </c>
      <c r="O531" s="83">
        <v>0</v>
      </c>
      <c r="P531" s="83">
        <v>0</v>
      </c>
      <c r="Q531" s="83">
        <v>0</v>
      </c>
      <c r="R531" s="83">
        <v>0</v>
      </c>
      <c r="S531" s="83">
        <v>0</v>
      </c>
    </row>
    <row r="532" spans="1:19" ht="16" x14ac:dyDescent="0.2">
      <c r="A532" s="89">
        <v>513</v>
      </c>
      <c r="B532" s="84" t="s">
        <v>3116</v>
      </c>
      <c r="C532" s="84" t="s">
        <v>139</v>
      </c>
      <c r="D532" s="83">
        <v>27</v>
      </c>
      <c r="E532" s="83" t="s">
        <v>83</v>
      </c>
      <c r="F532" s="83">
        <v>3</v>
      </c>
      <c r="G532" s="83">
        <v>1</v>
      </c>
      <c r="H532" s="83">
        <v>2</v>
      </c>
      <c r="I532" s="83">
        <v>0</v>
      </c>
      <c r="J532" s="86">
        <v>0</v>
      </c>
      <c r="K532" s="83">
        <v>0</v>
      </c>
      <c r="L532" s="83"/>
      <c r="M532" s="83">
        <v>0</v>
      </c>
      <c r="N532" s="83">
        <v>0</v>
      </c>
      <c r="O532" s="83">
        <v>0</v>
      </c>
      <c r="P532" s="83">
        <v>0</v>
      </c>
      <c r="Q532" s="83">
        <v>0</v>
      </c>
      <c r="R532" s="83">
        <v>0</v>
      </c>
      <c r="S532" s="83">
        <v>0</v>
      </c>
    </row>
    <row r="533" spans="1:19" ht="16" x14ac:dyDescent="0.2">
      <c r="A533" s="89">
        <v>514</v>
      </c>
      <c r="B533" s="84" t="s">
        <v>2426</v>
      </c>
      <c r="C533" s="84" t="s">
        <v>1087</v>
      </c>
      <c r="D533" s="83">
        <v>32</v>
      </c>
      <c r="E533" s="83" t="s">
        <v>83</v>
      </c>
      <c r="F533" s="83">
        <v>10</v>
      </c>
      <c r="G533" s="83">
        <v>0</v>
      </c>
      <c r="H533" s="83">
        <v>5</v>
      </c>
      <c r="I533" s="83">
        <v>0</v>
      </c>
      <c r="J533" s="86">
        <v>0</v>
      </c>
      <c r="K533" s="83">
        <v>0</v>
      </c>
      <c r="L533" s="83"/>
      <c r="M533" s="83">
        <v>0</v>
      </c>
      <c r="N533" s="83">
        <v>0</v>
      </c>
      <c r="O533" s="83">
        <v>0</v>
      </c>
      <c r="P533" s="83">
        <v>0</v>
      </c>
      <c r="Q533" s="83">
        <v>0</v>
      </c>
      <c r="R533" s="83">
        <v>0</v>
      </c>
      <c r="S533" s="83">
        <v>1</v>
      </c>
    </row>
    <row r="534" spans="1:19" ht="16" x14ac:dyDescent="0.2">
      <c r="A534" s="89">
        <v>515</v>
      </c>
      <c r="B534" s="84" t="s">
        <v>3117</v>
      </c>
      <c r="C534" s="84" t="s">
        <v>118</v>
      </c>
      <c r="D534" s="83">
        <v>24</v>
      </c>
      <c r="E534" s="83" t="s">
        <v>1824</v>
      </c>
      <c r="F534" s="83">
        <v>2</v>
      </c>
      <c r="G534" s="83">
        <v>0</v>
      </c>
      <c r="H534" s="83">
        <v>1</v>
      </c>
      <c r="I534" s="83">
        <v>0</v>
      </c>
      <c r="J534" s="86">
        <v>0</v>
      </c>
      <c r="K534" s="83">
        <v>0</v>
      </c>
      <c r="L534" s="83"/>
      <c r="M534" s="83">
        <v>0</v>
      </c>
      <c r="N534" s="83">
        <v>0</v>
      </c>
      <c r="O534" s="83">
        <v>0</v>
      </c>
      <c r="P534" s="83">
        <v>0</v>
      </c>
      <c r="Q534" s="83">
        <v>0</v>
      </c>
      <c r="R534" s="83">
        <v>0</v>
      </c>
      <c r="S534" s="83">
        <v>0</v>
      </c>
    </row>
    <row r="535" spans="1:19" ht="16" x14ac:dyDescent="0.2">
      <c r="A535" s="89">
        <v>516</v>
      </c>
      <c r="B535" s="84" t="s">
        <v>2116</v>
      </c>
      <c r="C535" s="83" t="s">
        <v>2530</v>
      </c>
      <c r="D535" s="83">
        <v>31</v>
      </c>
      <c r="E535" s="83" t="s">
        <v>83</v>
      </c>
      <c r="F535" s="83">
        <v>4</v>
      </c>
      <c r="G535" s="83">
        <v>0</v>
      </c>
      <c r="H535" s="83">
        <v>3</v>
      </c>
      <c r="I535" s="83">
        <v>0</v>
      </c>
      <c r="J535" s="86">
        <v>0</v>
      </c>
      <c r="K535" s="83">
        <v>0</v>
      </c>
      <c r="L535" s="83"/>
      <c r="M535" s="83">
        <v>0</v>
      </c>
      <c r="N535" s="83">
        <v>0</v>
      </c>
      <c r="O535" s="83">
        <v>0</v>
      </c>
      <c r="P535" s="83">
        <v>0</v>
      </c>
      <c r="Q535" s="83">
        <v>0</v>
      </c>
      <c r="R535" s="83">
        <v>0</v>
      </c>
      <c r="S535" s="83">
        <v>0</v>
      </c>
    </row>
    <row r="536" spans="1:19" ht="16" x14ac:dyDescent="0.2">
      <c r="A536" s="89">
        <v>517</v>
      </c>
      <c r="B536" s="84" t="s">
        <v>3118</v>
      </c>
      <c r="C536" s="84" t="s">
        <v>118</v>
      </c>
      <c r="D536" s="83">
        <v>28</v>
      </c>
      <c r="E536" s="83" t="s">
        <v>3119</v>
      </c>
      <c r="F536" s="83">
        <v>16</v>
      </c>
      <c r="G536" s="83">
        <v>7</v>
      </c>
      <c r="H536" s="83">
        <v>1</v>
      </c>
      <c r="I536" s="83">
        <v>0</v>
      </c>
      <c r="J536" s="86">
        <v>0</v>
      </c>
      <c r="K536" s="83">
        <v>0</v>
      </c>
      <c r="L536" s="83"/>
      <c r="M536" s="83">
        <v>0</v>
      </c>
      <c r="N536" s="83">
        <v>0</v>
      </c>
      <c r="O536" s="83">
        <v>0</v>
      </c>
      <c r="P536" s="83">
        <v>0</v>
      </c>
      <c r="Q536" s="83">
        <v>0</v>
      </c>
      <c r="R536" s="83">
        <v>0</v>
      </c>
      <c r="S536" s="83">
        <v>0</v>
      </c>
    </row>
    <row r="537" spans="1:19" ht="16" x14ac:dyDescent="0.2">
      <c r="A537" s="89">
        <v>518</v>
      </c>
      <c r="B537" s="84" t="s">
        <v>590</v>
      </c>
      <c r="C537" s="84" t="s">
        <v>93</v>
      </c>
      <c r="D537" s="83">
        <v>24</v>
      </c>
      <c r="E537" s="83" t="s">
        <v>83</v>
      </c>
      <c r="F537" s="83">
        <v>7</v>
      </c>
      <c r="G537" s="83">
        <v>0</v>
      </c>
      <c r="H537" s="83">
        <v>1</v>
      </c>
      <c r="I537" s="83">
        <v>0</v>
      </c>
      <c r="J537" s="86">
        <v>0</v>
      </c>
      <c r="K537" s="83">
        <v>0</v>
      </c>
      <c r="L537" s="83"/>
      <c r="M537" s="83">
        <v>0</v>
      </c>
      <c r="N537" s="83">
        <v>0</v>
      </c>
      <c r="O537" s="83">
        <v>0</v>
      </c>
      <c r="P537" s="83">
        <v>0</v>
      </c>
      <c r="Q537" s="83">
        <v>0</v>
      </c>
      <c r="R537" s="83">
        <v>0</v>
      </c>
      <c r="S537" s="83">
        <v>0</v>
      </c>
    </row>
    <row r="538" spans="1:19" ht="16" x14ac:dyDescent="0.2">
      <c r="A538" s="89">
        <v>519</v>
      </c>
      <c r="B538" s="84" t="s">
        <v>3120</v>
      </c>
      <c r="C538" s="84" t="s">
        <v>727</v>
      </c>
      <c r="D538" s="83">
        <v>23</v>
      </c>
      <c r="E538" s="83" t="s">
        <v>83</v>
      </c>
      <c r="F538" s="83">
        <v>3</v>
      </c>
      <c r="G538" s="83">
        <v>0</v>
      </c>
      <c r="H538" s="83">
        <v>1</v>
      </c>
      <c r="I538" s="83">
        <v>0</v>
      </c>
      <c r="J538" s="86">
        <v>0</v>
      </c>
      <c r="K538" s="83">
        <v>0</v>
      </c>
      <c r="L538" s="83"/>
      <c r="M538" s="83">
        <v>0</v>
      </c>
      <c r="N538" s="83">
        <v>0</v>
      </c>
      <c r="O538" s="83">
        <v>0</v>
      </c>
      <c r="P538" s="83">
        <v>0</v>
      </c>
      <c r="Q538" s="83">
        <v>0</v>
      </c>
      <c r="R538" s="83">
        <v>0</v>
      </c>
      <c r="S538" s="83">
        <v>0</v>
      </c>
    </row>
    <row r="539" spans="1:19" ht="16" x14ac:dyDescent="0.2">
      <c r="A539" s="89">
        <v>520</v>
      </c>
      <c r="B539" s="84" t="s">
        <v>3121</v>
      </c>
      <c r="C539" s="84" t="s">
        <v>92</v>
      </c>
      <c r="D539" s="83">
        <v>25</v>
      </c>
      <c r="E539" s="83" t="s">
        <v>3106</v>
      </c>
      <c r="F539" s="83">
        <v>16</v>
      </c>
      <c r="G539" s="83">
        <v>0</v>
      </c>
      <c r="H539" s="83">
        <v>1</v>
      </c>
      <c r="I539" s="83">
        <v>0</v>
      </c>
      <c r="J539" s="86">
        <v>0</v>
      </c>
      <c r="K539" s="83">
        <v>0</v>
      </c>
      <c r="L539" s="83"/>
      <c r="M539" s="83">
        <v>0</v>
      </c>
      <c r="N539" s="83">
        <v>0</v>
      </c>
      <c r="O539" s="83">
        <v>0</v>
      </c>
      <c r="P539" s="83">
        <v>0</v>
      </c>
      <c r="Q539" s="83">
        <v>0</v>
      </c>
      <c r="R539" s="83">
        <v>0</v>
      </c>
      <c r="S539" s="83">
        <v>0</v>
      </c>
    </row>
    <row r="540" spans="1:19" ht="16" x14ac:dyDescent="0.2">
      <c r="A540" s="89">
        <v>521</v>
      </c>
      <c r="B540" s="84" t="s">
        <v>3122</v>
      </c>
      <c r="C540" s="84" t="s">
        <v>98</v>
      </c>
      <c r="D540" s="83">
        <v>27</v>
      </c>
      <c r="E540" s="83" t="s">
        <v>2153</v>
      </c>
      <c r="F540" s="83">
        <v>16</v>
      </c>
      <c r="G540" s="83">
        <v>15</v>
      </c>
      <c r="H540" s="83">
        <v>1</v>
      </c>
      <c r="I540" s="83">
        <v>0</v>
      </c>
      <c r="J540" s="86">
        <v>0</v>
      </c>
      <c r="K540" s="83">
        <v>0</v>
      </c>
      <c r="L540" s="83"/>
      <c r="M540" s="83">
        <v>0</v>
      </c>
      <c r="N540" s="83">
        <v>0</v>
      </c>
      <c r="O540" s="83">
        <v>0</v>
      </c>
      <c r="P540" s="83">
        <v>0</v>
      </c>
      <c r="Q540" s="83">
        <v>0</v>
      </c>
      <c r="R540" s="83">
        <v>0</v>
      </c>
      <c r="S540" s="83">
        <v>0</v>
      </c>
    </row>
    <row r="541" spans="1:19" ht="16" x14ac:dyDescent="0.2">
      <c r="A541" s="89">
        <v>522</v>
      </c>
      <c r="B541" s="84" t="s">
        <v>675</v>
      </c>
      <c r="C541" s="84" t="s">
        <v>73</v>
      </c>
      <c r="D541" s="83">
        <v>25</v>
      </c>
      <c r="E541" s="83" t="s">
        <v>88</v>
      </c>
      <c r="F541" s="83">
        <v>5</v>
      </c>
      <c r="G541" s="83">
        <v>0</v>
      </c>
      <c r="H541" s="83">
        <v>1</v>
      </c>
      <c r="I541" s="83">
        <v>0</v>
      </c>
      <c r="J541" s="86">
        <v>0</v>
      </c>
      <c r="K541" s="83">
        <v>0</v>
      </c>
      <c r="L541" s="83"/>
      <c r="M541" s="83">
        <v>0</v>
      </c>
      <c r="N541" s="83">
        <v>0</v>
      </c>
      <c r="O541" s="83">
        <v>0</v>
      </c>
      <c r="P541" s="83">
        <v>0</v>
      </c>
      <c r="Q541" s="83">
        <v>0</v>
      </c>
      <c r="R541" s="83">
        <v>0</v>
      </c>
      <c r="S541" s="83">
        <v>0</v>
      </c>
    </row>
    <row r="542" spans="1:19" ht="16" x14ac:dyDescent="0.2">
      <c r="A542" s="89">
        <v>523</v>
      </c>
      <c r="B542" s="84" t="s">
        <v>470</v>
      </c>
      <c r="C542" s="84" t="s">
        <v>102</v>
      </c>
      <c r="D542" s="83">
        <v>23</v>
      </c>
      <c r="E542" s="83" t="s">
        <v>68</v>
      </c>
      <c r="F542" s="83">
        <v>1</v>
      </c>
      <c r="G542" s="83">
        <v>0</v>
      </c>
      <c r="H542" s="83">
        <v>1</v>
      </c>
      <c r="I542" s="83">
        <v>0</v>
      </c>
      <c r="J542" s="86">
        <v>0</v>
      </c>
      <c r="K542" s="83">
        <v>0</v>
      </c>
      <c r="L542" s="83"/>
      <c r="M542" s="83">
        <v>0</v>
      </c>
      <c r="N542" s="83">
        <v>0</v>
      </c>
      <c r="O542" s="83">
        <v>0</v>
      </c>
      <c r="P542" s="83">
        <v>0</v>
      </c>
      <c r="Q542" s="83">
        <v>0</v>
      </c>
      <c r="R542" s="83">
        <v>0</v>
      </c>
      <c r="S542" s="83">
        <v>0</v>
      </c>
    </row>
    <row r="543" spans="1:19" ht="16" x14ac:dyDescent="0.2">
      <c r="A543" s="89">
        <v>524</v>
      </c>
      <c r="B543" s="84" t="s">
        <v>120</v>
      </c>
      <c r="C543" s="84" t="s">
        <v>102</v>
      </c>
      <c r="D543" s="83">
        <v>23</v>
      </c>
      <c r="E543" s="83" t="s">
        <v>79</v>
      </c>
      <c r="F543" s="83">
        <v>15</v>
      </c>
      <c r="G543" s="83">
        <v>15</v>
      </c>
      <c r="H543" s="83">
        <v>1</v>
      </c>
      <c r="I543" s="83">
        <v>0</v>
      </c>
      <c r="J543" s="86">
        <v>0</v>
      </c>
      <c r="K543" s="83">
        <v>0</v>
      </c>
      <c r="L543" s="83"/>
      <c r="M543" s="83">
        <v>0</v>
      </c>
      <c r="N543" s="83">
        <v>0</v>
      </c>
      <c r="O543" s="83">
        <v>0</v>
      </c>
      <c r="P543" s="83">
        <v>0</v>
      </c>
      <c r="Q543" s="83">
        <v>0</v>
      </c>
      <c r="R543" s="83">
        <v>0</v>
      </c>
      <c r="S543" s="83">
        <v>9</v>
      </c>
    </row>
    <row r="544" spans="1:19" ht="16" x14ac:dyDescent="0.2">
      <c r="A544" s="89">
        <v>525</v>
      </c>
      <c r="B544" s="84" t="s">
        <v>2633</v>
      </c>
      <c r="C544" s="84" t="s">
        <v>976</v>
      </c>
      <c r="D544" s="83">
        <v>29</v>
      </c>
      <c r="E544" s="83" t="s">
        <v>88</v>
      </c>
      <c r="F544" s="83">
        <v>2</v>
      </c>
      <c r="G544" s="83">
        <v>0</v>
      </c>
      <c r="H544" s="83">
        <v>1</v>
      </c>
      <c r="I544" s="83">
        <v>0</v>
      </c>
      <c r="J544" s="86">
        <v>0</v>
      </c>
      <c r="K544" s="83">
        <v>0</v>
      </c>
      <c r="L544" s="83"/>
      <c r="M544" s="83">
        <v>0</v>
      </c>
      <c r="N544" s="83">
        <v>0</v>
      </c>
      <c r="O544" s="83">
        <v>0</v>
      </c>
      <c r="P544" s="83">
        <v>0</v>
      </c>
      <c r="Q544" s="83">
        <v>0</v>
      </c>
      <c r="R544" s="83">
        <v>0</v>
      </c>
      <c r="S544" s="83">
        <v>0</v>
      </c>
    </row>
    <row r="545" spans="1:19" ht="16" x14ac:dyDescent="0.2">
      <c r="A545" s="89">
        <v>526</v>
      </c>
      <c r="B545" s="84" t="s">
        <v>1872</v>
      </c>
      <c r="C545" s="83" t="s">
        <v>1726</v>
      </c>
      <c r="D545" s="83">
        <v>26</v>
      </c>
      <c r="E545" s="83" t="s">
        <v>83</v>
      </c>
      <c r="F545" s="83">
        <v>3</v>
      </c>
      <c r="G545" s="83">
        <v>0</v>
      </c>
      <c r="H545" s="83">
        <v>2</v>
      </c>
      <c r="I545" s="83">
        <v>0</v>
      </c>
      <c r="J545" s="86">
        <v>0</v>
      </c>
      <c r="K545" s="83">
        <v>0</v>
      </c>
      <c r="L545" s="83"/>
      <c r="M545" s="83">
        <v>0</v>
      </c>
      <c r="N545" s="83">
        <v>0</v>
      </c>
      <c r="O545" s="83">
        <v>0</v>
      </c>
      <c r="P545" s="83">
        <v>0</v>
      </c>
      <c r="Q545" s="83">
        <v>0</v>
      </c>
      <c r="R545" s="83">
        <v>0</v>
      </c>
      <c r="S545" s="83">
        <v>0</v>
      </c>
    </row>
    <row r="546" spans="1:19" ht="16" x14ac:dyDescent="0.2">
      <c r="A546" s="89">
        <v>527</v>
      </c>
      <c r="B546" s="84" t="s">
        <v>3123</v>
      </c>
      <c r="C546" s="84" t="s">
        <v>139</v>
      </c>
      <c r="D546" s="83">
        <v>26</v>
      </c>
      <c r="E546" s="83" t="s">
        <v>3103</v>
      </c>
      <c r="F546" s="83">
        <v>13</v>
      </c>
      <c r="G546" s="83">
        <v>11</v>
      </c>
      <c r="H546" s="83">
        <v>1</v>
      </c>
      <c r="I546" s="83">
        <v>0</v>
      </c>
      <c r="J546" s="86">
        <v>0</v>
      </c>
      <c r="K546" s="83">
        <v>0</v>
      </c>
      <c r="L546" s="83"/>
      <c r="M546" s="83">
        <v>0</v>
      </c>
      <c r="N546" s="83">
        <v>0</v>
      </c>
      <c r="O546" s="83">
        <v>0</v>
      </c>
      <c r="P546" s="83">
        <v>0</v>
      </c>
      <c r="Q546" s="83">
        <v>0</v>
      </c>
      <c r="R546" s="83">
        <v>0</v>
      </c>
      <c r="S546" s="83">
        <v>0</v>
      </c>
    </row>
    <row r="547" spans="1:19" ht="16" x14ac:dyDescent="0.2">
      <c r="A547" s="89">
        <v>528</v>
      </c>
      <c r="B547" s="84" t="s">
        <v>2368</v>
      </c>
      <c r="C547" s="84" t="s">
        <v>70</v>
      </c>
      <c r="D547" s="83">
        <v>25</v>
      </c>
      <c r="E547" s="83" t="s">
        <v>1824</v>
      </c>
      <c r="F547" s="83">
        <v>16</v>
      </c>
      <c r="G547" s="83">
        <v>1</v>
      </c>
      <c r="H547" s="83">
        <v>2</v>
      </c>
      <c r="I547" s="83">
        <v>0</v>
      </c>
      <c r="J547" s="86">
        <v>0</v>
      </c>
      <c r="K547" s="83">
        <v>0</v>
      </c>
      <c r="L547" s="83"/>
      <c r="M547" s="83">
        <v>0</v>
      </c>
      <c r="N547" s="83">
        <v>0</v>
      </c>
      <c r="O547" s="83">
        <v>0</v>
      </c>
      <c r="P547" s="83">
        <v>0</v>
      </c>
      <c r="Q547" s="83">
        <v>0</v>
      </c>
      <c r="R547" s="83">
        <v>0</v>
      </c>
      <c r="S547" s="83">
        <v>0</v>
      </c>
    </row>
    <row r="548" spans="1:19" ht="16" x14ac:dyDescent="0.2">
      <c r="A548" s="89">
        <v>529</v>
      </c>
      <c r="B548" s="84" t="s">
        <v>441</v>
      </c>
      <c r="C548" s="83" t="s">
        <v>2530</v>
      </c>
      <c r="D548" s="83">
        <v>24</v>
      </c>
      <c r="E548" s="83" t="s">
        <v>68</v>
      </c>
      <c r="F548" s="83">
        <v>7</v>
      </c>
      <c r="G548" s="83">
        <v>0</v>
      </c>
      <c r="H548" s="83">
        <v>1</v>
      </c>
      <c r="I548" s="83">
        <v>0</v>
      </c>
      <c r="J548" s="86">
        <v>0</v>
      </c>
      <c r="K548" s="83">
        <v>0</v>
      </c>
      <c r="L548" s="83"/>
      <c r="M548" s="83">
        <v>0</v>
      </c>
      <c r="N548" s="83">
        <v>0</v>
      </c>
      <c r="O548" s="83">
        <v>0</v>
      </c>
      <c r="P548" s="83">
        <v>0</v>
      </c>
      <c r="Q548" s="83">
        <v>0</v>
      </c>
      <c r="R548" s="83">
        <v>0</v>
      </c>
      <c r="S548" s="83">
        <v>0</v>
      </c>
    </row>
    <row r="549" spans="1:19" ht="16" x14ac:dyDescent="0.2">
      <c r="A549" s="89">
        <v>530</v>
      </c>
      <c r="B549" s="84" t="s">
        <v>594</v>
      </c>
      <c r="C549" s="84" t="s">
        <v>1052</v>
      </c>
      <c r="D549" s="83">
        <v>29</v>
      </c>
      <c r="E549" s="83" t="s">
        <v>83</v>
      </c>
      <c r="F549" s="83">
        <v>4</v>
      </c>
      <c r="G549" s="83">
        <v>0</v>
      </c>
      <c r="H549" s="83">
        <v>1</v>
      </c>
      <c r="I549" s="83">
        <v>0</v>
      </c>
      <c r="J549" s="86">
        <v>0</v>
      </c>
      <c r="K549" s="83">
        <v>0</v>
      </c>
      <c r="L549" s="83"/>
      <c r="M549" s="83">
        <v>0</v>
      </c>
      <c r="N549" s="83">
        <v>0</v>
      </c>
      <c r="O549" s="83">
        <v>0</v>
      </c>
      <c r="P549" s="83">
        <v>0</v>
      </c>
      <c r="Q549" s="83">
        <v>0</v>
      </c>
      <c r="R549" s="83">
        <v>0</v>
      </c>
      <c r="S549" s="83">
        <v>0</v>
      </c>
    </row>
    <row r="550" spans="1:19" ht="16" x14ac:dyDescent="0.2">
      <c r="A550" s="89">
        <v>531</v>
      </c>
      <c r="B550" s="84" t="s">
        <v>437</v>
      </c>
      <c r="C550" s="84" t="s">
        <v>71</v>
      </c>
      <c r="D550" s="83">
        <v>25</v>
      </c>
      <c r="E550" s="83" t="s">
        <v>83</v>
      </c>
      <c r="F550" s="83">
        <v>2</v>
      </c>
      <c r="G550" s="83">
        <v>0</v>
      </c>
      <c r="H550" s="83">
        <v>1</v>
      </c>
      <c r="I550" s="83">
        <v>0</v>
      </c>
      <c r="J550" s="86">
        <v>0</v>
      </c>
      <c r="K550" s="83">
        <v>0</v>
      </c>
      <c r="L550" s="83"/>
      <c r="M550" s="83">
        <v>0</v>
      </c>
      <c r="N550" s="83">
        <v>0</v>
      </c>
      <c r="O550" s="83">
        <v>0</v>
      </c>
      <c r="P550" s="83">
        <v>0</v>
      </c>
      <c r="Q550" s="83">
        <v>0</v>
      </c>
      <c r="R550" s="83">
        <v>0</v>
      </c>
      <c r="S550" s="83">
        <v>0</v>
      </c>
    </row>
    <row r="551" spans="1:19" ht="16" x14ac:dyDescent="0.2">
      <c r="A551" s="89">
        <v>532</v>
      </c>
      <c r="B551" s="84" t="s">
        <v>431</v>
      </c>
      <c r="C551" s="84" t="s">
        <v>70</v>
      </c>
      <c r="D551" s="83">
        <v>25</v>
      </c>
      <c r="E551" s="83" t="s">
        <v>88</v>
      </c>
      <c r="F551" s="83">
        <v>3</v>
      </c>
      <c r="G551" s="83">
        <v>0</v>
      </c>
      <c r="H551" s="83">
        <v>1</v>
      </c>
      <c r="I551" s="83">
        <v>0</v>
      </c>
      <c r="J551" s="86">
        <v>0</v>
      </c>
      <c r="K551" s="83">
        <v>0</v>
      </c>
      <c r="L551" s="83"/>
      <c r="M551" s="83">
        <v>0</v>
      </c>
      <c r="N551" s="83">
        <v>0</v>
      </c>
      <c r="O551" s="83">
        <v>0</v>
      </c>
      <c r="P551" s="83">
        <v>0</v>
      </c>
      <c r="Q551" s="83">
        <v>0</v>
      </c>
      <c r="R551" s="83">
        <v>0</v>
      </c>
      <c r="S551" s="83">
        <v>0</v>
      </c>
    </row>
    <row r="552" spans="1:19" ht="16" x14ac:dyDescent="0.2">
      <c r="A552" s="89">
        <v>533</v>
      </c>
      <c r="B552" s="84" t="s">
        <v>680</v>
      </c>
      <c r="C552" s="84" t="s">
        <v>70</v>
      </c>
      <c r="D552" s="83">
        <v>28</v>
      </c>
      <c r="E552" s="83" t="s">
        <v>88</v>
      </c>
      <c r="F552" s="83">
        <v>11</v>
      </c>
      <c r="G552" s="83">
        <v>2</v>
      </c>
      <c r="H552" s="83">
        <v>1</v>
      </c>
      <c r="I552" s="83">
        <v>0</v>
      </c>
      <c r="J552" s="86">
        <v>0</v>
      </c>
      <c r="K552" s="83">
        <v>0</v>
      </c>
      <c r="L552" s="83"/>
      <c r="M552" s="83">
        <v>0</v>
      </c>
      <c r="N552" s="83">
        <v>0</v>
      </c>
      <c r="O552" s="83">
        <v>0</v>
      </c>
      <c r="P552" s="83">
        <v>0</v>
      </c>
      <c r="Q552" s="83">
        <v>0</v>
      </c>
      <c r="R552" s="83">
        <v>0</v>
      </c>
      <c r="S552" s="83">
        <v>0</v>
      </c>
    </row>
    <row r="553" spans="1:19" ht="16" x14ac:dyDescent="0.2">
      <c r="A553" s="89">
        <v>534</v>
      </c>
      <c r="B553" s="84" t="s">
        <v>3124</v>
      </c>
      <c r="C553" s="84" t="s">
        <v>1087</v>
      </c>
      <c r="D553" s="83">
        <v>33</v>
      </c>
      <c r="E553" s="83" t="s">
        <v>2153</v>
      </c>
      <c r="F553" s="83">
        <v>15</v>
      </c>
      <c r="G553" s="83">
        <v>15</v>
      </c>
      <c r="H553" s="83">
        <v>1</v>
      </c>
      <c r="I553" s="83">
        <v>0</v>
      </c>
      <c r="J553" s="86">
        <v>0</v>
      </c>
      <c r="K553" s="83">
        <v>0</v>
      </c>
      <c r="L553" s="83"/>
      <c r="M553" s="83">
        <v>0</v>
      </c>
      <c r="N553" s="83">
        <v>0</v>
      </c>
      <c r="O553" s="83">
        <v>0</v>
      </c>
      <c r="P553" s="83">
        <v>0</v>
      </c>
      <c r="Q553" s="83">
        <v>0</v>
      </c>
      <c r="R553" s="83">
        <v>0</v>
      </c>
      <c r="S553" s="83">
        <v>0</v>
      </c>
    </row>
    <row r="554" spans="1:19" ht="16" x14ac:dyDescent="0.2">
      <c r="A554" s="89">
        <v>535</v>
      </c>
      <c r="B554" s="84" t="s">
        <v>169</v>
      </c>
      <c r="C554" s="84" t="s">
        <v>71</v>
      </c>
      <c r="D554" s="83">
        <v>22</v>
      </c>
      <c r="E554" s="83" t="s">
        <v>79</v>
      </c>
      <c r="F554" s="83">
        <v>13</v>
      </c>
      <c r="G554" s="83">
        <v>13</v>
      </c>
      <c r="H554" s="83">
        <v>1</v>
      </c>
      <c r="I554" s="83">
        <v>0</v>
      </c>
      <c r="J554" s="86">
        <v>0</v>
      </c>
      <c r="K554" s="83">
        <v>0</v>
      </c>
      <c r="L554" s="83"/>
      <c r="M554" s="83">
        <v>0</v>
      </c>
      <c r="N554" s="83">
        <v>0</v>
      </c>
      <c r="O554" s="83">
        <v>0</v>
      </c>
      <c r="P554" s="83">
        <v>0</v>
      </c>
      <c r="Q554" s="83">
        <v>0</v>
      </c>
      <c r="R554" s="83">
        <v>0</v>
      </c>
      <c r="S554" s="83">
        <v>5</v>
      </c>
    </row>
  </sheetData>
  <mergeCells count="1">
    <mergeCell ref="A1:S1"/>
  </mergeCells>
  <hyperlinks>
    <hyperlink ref="B3" r:id="rId1" display="file:///players/K/KuppCo00.htm" xr:uid="{9935098D-BBCA-7945-90C3-3D2C3F664FE8}"/>
    <hyperlink ref="C3" r:id="rId2" tooltip="Los Angeles Rams" display="file:///teams/ram/2021.htm" xr:uid="{F0D40DFF-7BE2-3945-96A7-BDD771112EE5}"/>
    <hyperlink ref="B4" r:id="rId3" display="file:///players/A/AdamDa01.htm" xr:uid="{96622603-226E-C640-A650-5AD8C54A59BE}"/>
    <hyperlink ref="C4" r:id="rId4" tooltip="Green Bay Packers" display="file:///teams/gnb/2021.htm" xr:uid="{52C477C1-1AC0-F143-B7CA-AA30BE776E22}"/>
    <hyperlink ref="B5" r:id="rId5" display="file:///players/H/HillTy00.htm" xr:uid="{7C9BFE4C-5311-AD41-A13C-E88EBB3CE36C}"/>
    <hyperlink ref="C5" r:id="rId6" tooltip="Kansas City Chiefs" display="file:///teams/kan/2021.htm" xr:uid="{B2CFE024-F77C-764E-AB8B-7120C997D49B}"/>
    <hyperlink ref="B6" r:id="rId7" display="file:///players/J/JeffJu00.htm" xr:uid="{85489607-7CFB-5440-9E36-384566E5ADAC}"/>
    <hyperlink ref="C6" r:id="rId8" tooltip="Minnesota Vikings" display="file:///teams/min/2021.htm" xr:uid="{51336B5A-0668-AA41-BFA9-55996E6ED399}"/>
    <hyperlink ref="B7" r:id="rId9" display="file:///players/A/AndrMa00.htm" xr:uid="{06C4C8AA-11C1-9D4E-8D25-737EA4B2E89F}"/>
    <hyperlink ref="C7" r:id="rId10" tooltip="Baltimore Ravens" display="file:///teams/rav/2021.htm" xr:uid="{5DF44838-2517-254A-8151-874BC3E55EE8}"/>
    <hyperlink ref="B8" r:id="rId11" display="file:///players/J/JohnDi01.htm" xr:uid="{3101EDB5-81FF-784D-9C06-0B9C9E82C3E9}"/>
    <hyperlink ref="C8" r:id="rId12" tooltip="Pittsburgh Steelers" display="file:///teams/pit/2021.htm" xr:uid="{30D86DBA-0C75-054C-A30A-B352602756C5}"/>
    <hyperlink ref="B9" r:id="rId13" display="file:///players/A/AlleKe00.htm" xr:uid="{DBAC65CD-B35A-1D44-9562-358861D3C227}"/>
    <hyperlink ref="C9" r:id="rId14" tooltip="Los Angeles Chargers" display="file:///teams/sdg/2021.htm" xr:uid="{639D43D2-9549-3641-BD9C-1E4005553B79}"/>
    <hyperlink ref="B10" r:id="rId15" display="file:///players/W/WaddJa00.htm" xr:uid="{C0419E75-0916-A94E-8B69-4111C1B6A6DD}"/>
    <hyperlink ref="C10" r:id="rId16" tooltip="Miami Dolphins" display="file:///teams/mia/2021.htm" xr:uid="{F19EC3D3-260C-7E44-A878-68E473A1DEDB}"/>
    <hyperlink ref="B11" r:id="rId17" display="file:///players/D/DiggSt00.htm" xr:uid="{E03A5D14-7FC7-3E48-AF92-8930D24FB623}"/>
    <hyperlink ref="C11" r:id="rId18" tooltip="Buffalo Bills" display="file:///teams/buf/2021.htm" xr:uid="{AE06037D-CC41-F244-80DA-B25B2D64D513}"/>
    <hyperlink ref="B12" r:id="rId19" display="file:///players/R/RenfHu00.htm" xr:uid="{79C45039-4C91-0C42-9552-3F4E46F6DA3F}"/>
    <hyperlink ref="C12" r:id="rId20" tooltip="Las Vegas Raiders" display="file:///teams/rai/2021.htm" xr:uid="{5964ACA9-F3E0-154F-84EB-EAAF5998084C}"/>
    <hyperlink ref="B13" r:id="rId21" display="file:///players/G/GodwCh00.htm" xr:uid="{BB0B7576-718A-0F4F-B53C-9ED450B19B08}"/>
    <hyperlink ref="C13" r:id="rId22" tooltip="Tampa Bay Buccaneers" display="file:///teams/tam/2021.htm" xr:uid="{2ACB7A59-A52D-374A-9831-0C42FE747144}"/>
    <hyperlink ref="B14" r:id="rId23" display="file:///players/M/MoorD.00.htm" xr:uid="{00D196D5-7D8D-FA4F-9A29-D5235CFD19A3}"/>
    <hyperlink ref="C14" r:id="rId24" tooltip="Carolina Panthers" display="file:///teams/car/2021.htm" xr:uid="{59CB5560-FB33-9E4C-B1ED-C753FB1E4F2F}"/>
    <hyperlink ref="B15" r:id="rId25" display="file:///players/K/KelcTr00.htm" xr:uid="{D9153B61-DBB7-0E49-B6FF-0B3A52753A4F}"/>
    <hyperlink ref="C15" r:id="rId26" tooltip="Kansas City Chiefs" display="file:///teams/kan/2021.htm" xr:uid="{1A00D865-7E8D-424B-9D24-6A5B70B615EB}"/>
    <hyperlink ref="B16" r:id="rId27" display="file:///players/B/BrowMa04.htm" xr:uid="{EE65FD3D-709D-224F-BE40-987270E1AC4F}"/>
    <hyperlink ref="C16" r:id="rId28" tooltip="Baltimore Ravens" display="file:///teams/rav/2021.htm" xr:uid="{92A01874-419D-9847-A6CA-F321660150EE}"/>
    <hyperlink ref="B17" r:id="rId29" display="file:///players/C/CookBr00.htm" xr:uid="{CBEA03D8-C80E-5543-8416-8FC6DDB8ACDE}"/>
    <hyperlink ref="C17" r:id="rId30" tooltip="Houston Texans" display="file:///teams/htx/2021.htm" xr:uid="{3BC25EA2-AE1F-5C4C-B66E-543D2DAEF203}"/>
    <hyperlink ref="B18" r:id="rId31" display="file:///players/S/StxxAm00.htm" xr:uid="{1C163F1F-DF7B-9049-9A05-3E31E2A7DE7E}"/>
    <hyperlink ref="C18" r:id="rId32" tooltip="Detroit Lions" display="file:///teams/det/2021.htm" xr:uid="{0645DEB7-B5CE-354C-9D0D-8339D0A96F28}"/>
    <hyperlink ref="B19" r:id="rId33" display="file:///players/P/PittMi01.htm" xr:uid="{B328268F-5BF2-F14D-8DBA-FF4735A07849}"/>
    <hyperlink ref="C19" r:id="rId34" tooltip="Indianapolis Colts" display="file:///teams/clt/2021.htm" xr:uid="{9BA54DDD-BDAC-AD46-B209-7F516C5BFE73}"/>
    <hyperlink ref="B20" r:id="rId35" display="file:///players/M/MeyeJa01.htm" xr:uid="{C3743D08-D496-F540-96E4-3F811BE24F42}"/>
    <hyperlink ref="C20" r:id="rId36" tooltip="New England Patriots" display="file:///teams/nwe/2021.htm" xr:uid="{2838076A-C84E-C34C-A237-725769FCB28D}"/>
    <hyperlink ref="B21" r:id="rId37" display="file:///players/B/BeasCo00.htm" xr:uid="{92E51A09-C219-A64D-8968-316979B6874F}"/>
    <hyperlink ref="C21" r:id="rId38" tooltip="Buffalo Bills" display="file:///teams/buf/2021.htm" xr:uid="{56E04C4E-5CBC-6640-91C4-BE86648408EB}"/>
    <hyperlink ref="B22" r:id="rId39" display="file:///players/C/ChasJa00.htm" xr:uid="{5E790D53-453C-2D40-A37F-BC9C86AB8D69}"/>
    <hyperlink ref="C22" r:id="rId40" tooltip="Cincinnati Bengals" display="file:///teams/cin/2021.htm" xr:uid="{9B7C86F4-10BC-2149-ABFD-5B211D2C4267}"/>
    <hyperlink ref="B23" r:id="rId41" display="file:///players/M/MoonDa00.htm" xr:uid="{13A410D3-A790-DF40-9945-F723140CB9FB}"/>
    <hyperlink ref="C23" r:id="rId42" tooltip="Chicago Bears" display="file:///teams/chi/2021.htm" xr:uid="{5B81FECF-379A-EB47-BE3E-B8BDC29A8118}"/>
    <hyperlink ref="B24" r:id="rId43" display="file:///players/L/LambCe00.htm" xr:uid="{B7066D43-35D6-2249-AE85-C107679164A4}"/>
    <hyperlink ref="C24" r:id="rId44" tooltip="Dallas Cowboys" display="file:///teams/dal/2021.htm" xr:uid="{63A21207-179A-C84C-8414-3B2B613DCB1D}"/>
    <hyperlink ref="B25" r:id="rId45" display="file:///players/S/SchuDa00.htm" xr:uid="{6BC089E7-C185-DD4B-A26A-845C03CCC7E9}"/>
    <hyperlink ref="C25" r:id="rId46" tooltip="Dallas Cowboys" display="file:///teams/dal/2021.htm" xr:uid="{59181E9C-1863-C74E-BDC1-DEF49B0B9A97}"/>
    <hyperlink ref="B26" r:id="rId47" display="file:///players/K/KirkCh01.htm" xr:uid="{FBAF130D-A2D3-0648-8AB7-E5B99E7329D1}"/>
    <hyperlink ref="C26" r:id="rId48" tooltip="Arizona Cardinals" display="file:///teams/crd/2021.htm" xr:uid="{EB6FCBCF-70A4-F943-895A-144E9E73489D}"/>
    <hyperlink ref="B27" r:id="rId49" display="file:///players/M/McLaTe00.htm" xr:uid="{8B047E36-8E9C-1F48-8948-4EF3357CD7CF}"/>
    <hyperlink ref="C27" r:id="rId50" tooltip="Washington Football Team" display="file:///teams/was/2021.htm" xr:uid="{53A19CA7-2356-584E-A097-B04CB8A627A5}"/>
    <hyperlink ref="B28" r:id="rId51" display="file:///players/S/SamuDe00.htm" xr:uid="{1AAABB54-4AB9-7A4D-B489-63BD1C3A670B}"/>
    <hyperlink ref="C28" r:id="rId52" tooltip="San Francisco 49ers" display="file:///teams/sfo/2021.htm" xr:uid="{019EA521-51F8-1148-8B51-BB99618B7F2D}"/>
    <hyperlink ref="B29" r:id="rId53" display="file:///players/W/WillMi07.htm" xr:uid="{25D9EE84-EDC3-3B45-9F99-4ECDFDE44B60}"/>
    <hyperlink ref="C29" r:id="rId54" tooltip="Los Angeles Chargers" display="file:///teams/sdg/2021.htm" xr:uid="{A3039641-6789-6D40-A84B-9C105F5E991E}"/>
    <hyperlink ref="B30" r:id="rId55" display="file:///players/M/MetcDK00.htm" xr:uid="{BFAAF2F0-3784-9F41-AEB3-36C5FAEEE4CF}"/>
    <hyperlink ref="C30" r:id="rId56" tooltip="Seattle Seahawks" display="file:///teams/sea/2021.htm" xr:uid="{C6C22CAC-D281-2D42-A7E4-00C886589A5D}"/>
    <hyperlink ref="B31" r:id="rId57" display="file:///players/E/ErtzZa00.htm" xr:uid="{EAB65682-F90D-4E4E-B113-B954F4AE150A}"/>
    <hyperlink ref="B33" r:id="rId58" display="file:///players/E/EvanMi00.htm" xr:uid="{B7212E3A-D836-FB45-870D-643A4316AC4A}"/>
    <hyperlink ref="C33" r:id="rId59" tooltip="Tampa Bay Buccaneers" display="file:///teams/tam/2021.htm" xr:uid="{9665B52B-0A63-9047-8730-2E779F1C18EF}"/>
    <hyperlink ref="B34" r:id="rId60" display="file:///players/H/HarrNa00.htm" xr:uid="{DCA1B9BD-DC67-724F-8E63-C25FE2939A64}"/>
    <hyperlink ref="C34" r:id="rId61" tooltip="Pittsburgh Steelers" display="file:///teams/pit/2021.htm" xr:uid="{F69263A6-19D8-8D4F-A962-646945436217}"/>
    <hyperlink ref="B35" r:id="rId62" display="file:///players/H/HiggTe00.htm" xr:uid="{5D042CB3-65C2-5C42-81CE-68DE0FFE257A}"/>
    <hyperlink ref="C35" r:id="rId63" tooltip="Cincinnati Bengals" display="file:///teams/cin/2021.htm" xr:uid="{47432129-5FC0-EA41-8546-76A804481FA1}"/>
    <hyperlink ref="B36" r:id="rId64" display="file:///players/G/GesiMi00.htm" xr:uid="{7FBB6D38-FBBA-514A-9AB9-F9BDFA5409A8}"/>
    <hyperlink ref="C36" r:id="rId65" tooltip="Miami Dolphins" display="file:///teams/mia/2021.htm" xr:uid="{2C76C63C-105E-ED4F-904C-463B2BAEFC00}"/>
    <hyperlink ref="B37" r:id="rId66" display="file:///players/J/JoneMa02.htm" xr:uid="{C4194BB3-DB5B-CC40-AE46-B973E9BD557F}"/>
    <hyperlink ref="C37" r:id="rId67" tooltip="Jacksonville Jaguars" display="file:///teams/jax/2021.htm" xr:uid="{5D7FE012-5A7F-CA47-BE5C-DFF0C7456380}"/>
    <hyperlink ref="B38" r:id="rId68" display="file:///players/L/LockTy00.htm" xr:uid="{CDF20922-401D-4845-A4EF-86391354A21A}"/>
    <hyperlink ref="C38" r:id="rId69" tooltip="Seattle Seahawks" display="file:///teams/sea/2021.htm" xr:uid="{9DEE34CA-65F6-CD4D-AB53-42F0A0C90DF7}"/>
    <hyperlink ref="B39" r:id="rId70" display="file:///players/K/KittGe00.htm" xr:uid="{E582DF0C-F210-3647-95CA-9091DA54DCD6}"/>
    <hyperlink ref="C39" r:id="rId71" tooltip="San Francisco 49ers" display="file:///teams/sfo/2021.htm" xr:uid="{AE6A361A-B553-CA49-9A5B-2BD80971AF56}"/>
    <hyperlink ref="B40" r:id="rId72" display="file:///players/E/EkelAu00.htm" xr:uid="{E4FE1997-0575-7644-97A3-85AF89F8AA95}"/>
    <hyperlink ref="C40" r:id="rId73" tooltip="Los Angeles Chargers" display="file:///teams/sdg/2021.htm" xr:uid="{C4831399-239B-954B-8371-27056AC59B3C}"/>
    <hyperlink ref="B41" r:id="rId74" display="file:///players/F/FourLe00.htm" xr:uid="{13C85DF9-7BA6-3A48-BEA3-F132C4ECC162}"/>
    <hyperlink ref="C41" r:id="rId75" tooltip="Tampa Bay Buccaneers" display="file:///teams/tam/2021.htm" xr:uid="{CD72B8D0-7D6C-FE47-BBD9-9E285A80B27C}"/>
    <hyperlink ref="B42" r:id="rId76" display="file:///players/C/CoopAm00.htm" xr:uid="{72E39286-02FC-9F4A-B1C6-9C4C9AB0379E}"/>
    <hyperlink ref="C42" r:id="rId77" tooltip="Dallas Cowboys" display="file:///teams/dal/2021.htm" xr:uid="{D1FFF31B-5A98-FA41-BE16-E6320C4E92E3}"/>
    <hyperlink ref="B43" r:id="rId78" display="file:///players/F/FantNo00.htm" xr:uid="{9E573C68-A653-5746-8AF1-77B9649D031C}"/>
    <hyperlink ref="C43" r:id="rId79" tooltip="Denver Broncos" display="file:///teams/den/2021.htm" xr:uid="{292A076F-379F-3C49-8060-F10EDAB48BF6}"/>
    <hyperlink ref="B44" r:id="rId80" display="file:///players/P/PittKy00.htm" xr:uid="{B4E2B1F7-9E82-124F-88EB-4F72D91453A4}"/>
    <hyperlink ref="C44" r:id="rId81" tooltip="Atlanta Falcons" display="file:///teams/atl/2021.htm" xr:uid="{B7B82957-5DDD-B247-B1FC-3097B1712CE9}"/>
    <hyperlink ref="B45" r:id="rId82" display="file:///players/B/BoydTy00.htm" xr:uid="{0E362859-2716-5642-A900-A42882097B6D}"/>
    <hyperlink ref="C45" r:id="rId83" tooltip="Cincinnati Bengals" display="file:///teams/cin/2021.htm" xr:uid="{73B92391-C0DA-7744-B74E-A42BEBECF731}"/>
    <hyperlink ref="B46" r:id="rId84" display="file:///players/T/ThieAd00.htm" xr:uid="{6713D459-D913-224F-8412-232A005144C3}"/>
    <hyperlink ref="C46" r:id="rId85" tooltip="Minnesota Vikings" display="file:///teams/min/2021.htm" xr:uid="{672B026A-88B2-994C-BFFE-DC42B032328F}"/>
    <hyperlink ref="B47" r:id="rId86" display="file:///players/G/GageRu00.htm" xr:uid="{C3F5193F-5CD0-D248-A8F9-00FD3C5964AB}"/>
    <hyperlink ref="C47" r:id="rId87" tooltip="Atlanta Falcons" display="file:///teams/atl/2021.htm" xr:uid="{318588AE-7A22-CF42-91C4-5462BDBA4BEE}"/>
    <hyperlink ref="B48" r:id="rId88" display="file:///players/S/SmitDe07.htm" xr:uid="{86697CE1-53AC-4449-BB91-FE6A62D776B4}"/>
    <hyperlink ref="C48" r:id="rId89" tooltip="Philadelphia Eagles" display="file:///teams/phi/2021.htm" xr:uid="{35BA60BB-DB7A-074E-B9E3-9F6D50574647}"/>
    <hyperlink ref="B49" r:id="rId90" display="file:///players/B/BrowAJ00.htm" xr:uid="{9C2D5628-9E9C-8F4A-96BB-61D5DA061E21}"/>
    <hyperlink ref="C49" r:id="rId91" tooltip="Tennessee Titans" display="file:///teams/oti/2021.htm" xr:uid="{205F777B-BF71-2447-994E-10B6040D10A6}"/>
    <hyperlink ref="B50" r:id="rId92" display="file:///players/S/ShenLa00.htm" xr:uid="{79CE430F-487B-8543-A9C2-1422DBF8C64D}"/>
    <hyperlink ref="C50" r:id="rId93" tooltip="Jacksonville Jaguars" display="file:///teams/jax/2021.htm" xr:uid="{0F6A7136-01DD-424E-B45D-FB71E0204DC1}"/>
    <hyperlink ref="B51" r:id="rId94" display="file:///players/S/SwifDA00.htm" xr:uid="{67150EA6-552E-DA42-A49A-A07BF0132EF6}"/>
    <hyperlink ref="C51" r:id="rId95" tooltip="Detroit Lions" display="file:///teams/det/2021.htm" xr:uid="{2FB8F827-FEA6-6346-AEF4-84B6C73CFA97}"/>
    <hyperlink ref="B52" r:id="rId96" display="file:///players/C/ConkTy00.htm" xr:uid="{BF0ABFFA-124F-E343-9D62-9D501520A2D0}"/>
    <hyperlink ref="C52" r:id="rId97" tooltip="Minnesota Vikings" display="file:///teams/min/2021.htm" xr:uid="{6A060E3D-07B7-DC4E-B99C-5E68F1184898}"/>
    <hyperlink ref="B53" r:id="rId98" display="file:///players/H/HigbTy00.htm" xr:uid="{C8F3E7FD-623F-B145-ACFC-3D5763CED55C}"/>
    <hyperlink ref="C53" r:id="rId99" tooltip="Los Angeles Rams" display="file:///teams/ram/2021.htm" xr:uid="{2B794F20-6EF2-0D46-A76F-C4BAABFAAE47}"/>
    <hyperlink ref="B54" r:id="rId100" display="file:///players/H/HockTJ00.htm" xr:uid="{1FDE1D56-B93E-A94F-A17F-52295A0A893D}"/>
    <hyperlink ref="C54" r:id="rId101" tooltip="Detroit Lions" display="file:///teams/det/2021.htm" xr:uid="{6591D689-02FA-7E49-A03D-58C62C821AC4}"/>
    <hyperlink ref="B55" r:id="rId102" display="file:///players/F/FreiPa00.htm" xr:uid="{39DEA18F-87F0-5741-94BC-6458B603E33C}"/>
    <hyperlink ref="C55" r:id="rId103" tooltip="Pittsburgh Steelers" display="file:///teams/pit/2021.htm" xr:uid="{1D63B1A1-FAEC-264A-AC7E-7AD795D07B8F}"/>
    <hyperlink ref="B56" r:id="rId104" display="file:///players/K/KmetCo00.htm" xr:uid="{58230850-7BA8-7042-BF4F-239A992FB3B3}"/>
    <hyperlink ref="C56" r:id="rId105" tooltip="Chicago Bears" display="file:///teams/chi/2021.htm" xr:uid="{F218F859-A183-6845-A437-70F2E4A9D456}"/>
    <hyperlink ref="B57" r:id="rId106" display="file:///players/C/ClayCh01.htm" xr:uid="{11602DB9-6DF9-3A42-93B4-BDFF42FA3DDE}"/>
    <hyperlink ref="C57" r:id="rId107" tooltip="Pittsburgh Steelers" display="file:///teams/pit/2021.htm" xr:uid="{2FC54355-7723-6840-A9F6-98C33EA1F027}"/>
    <hyperlink ref="B58" r:id="rId108" display="file:///players/H/HardMe00.htm" xr:uid="{935F5953-F6A5-E34D-B9FA-37751A719715}"/>
    <hyperlink ref="C58" r:id="rId109" tooltip="Kansas City Chiefs" display="file:///teams/kan/2021.htm" xr:uid="{75A89173-F5E6-BB4E-97BF-0C681537C6C5}"/>
    <hyperlink ref="B59" r:id="rId110" display="file:///players/S/SuttCo00.htm" xr:uid="{72D0B530-1908-0A43-ABFA-0F631F945800}"/>
    <hyperlink ref="C59" r:id="rId111" tooltip="Denver Broncos" display="file:///teams/den/2021.htm" xr:uid="{5016A081-15AD-6440-B0AB-A2C2CCA284EB}"/>
    <hyperlink ref="B60" r:id="rId112" display="file:///players/A/AiyuBr00.htm" xr:uid="{5A8C7711-CC38-5D41-8478-A8DC89048C68}"/>
    <hyperlink ref="C60" r:id="rId113" tooltip="San Francisco 49ers" display="file:///teams/sfo/2021.htm" xr:uid="{80F44A49-FA4D-9A4D-BE1D-4FFB20DE6EBB}"/>
    <hyperlink ref="B61" r:id="rId114" display="file:///players/G/GoedDa00.htm" xr:uid="{C76DD211-5ADA-F64D-88C6-28D58D85A6F2}"/>
    <hyperlink ref="C61" r:id="rId115" tooltip="Philadelphia Eagles" display="file:///teams/phi/2021.htm" xr:uid="{8F097C91-B66B-4D41-AE6B-91866C7C8714}"/>
    <hyperlink ref="B62" r:id="rId116" display="file:///players/B/BourKe00.htm" xr:uid="{B7410066-DDE6-7E4E-B3E1-29318EDF5ABC}"/>
    <hyperlink ref="C62" r:id="rId117" tooltip="New England Patriots" display="file:///teams/nwe/2021.htm" xr:uid="{E8BB7730-A970-C347-A8B4-A8CF2FDABD54}"/>
    <hyperlink ref="B64" r:id="rId118" display="file:///players/G/GronRo00.htm" xr:uid="{463398F8-1519-FE4D-BF2D-8000FAC499B0}"/>
    <hyperlink ref="C64" r:id="rId119" tooltip="Tampa Bay Buccaneers" display="file:///teams/tam/2021.htm" xr:uid="{34ECC26C-C766-BE46-949C-3E661D92EA3F}"/>
    <hyperlink ref="B65" r:id="rId120" display="file:///players/W/WallDa01.htm" xr:uid="{E173AD3B-E77B-BB4F-9006-DA9F03A8E13F}"/>
    <hyperlink ref="C65" r:id="rId121" tooltip="Las Vegas Raiders" display="file:///teams/rai/2021.htm" xr:uid="{9CB4BBC9-783B-454F-89C4-9B830E898926}"/>
    <hyperlink ref="B66" r:id="rId122" display="file:///players/G/GreeA.00.htm" xr:uid="{EC8D57A1-05F2-9545-B52F-9514111C6D58}"/>
    <hyperlink ref="C66" r:id="rId123" tooltip="Arizona Cardinals" display="file:///teams/crd/2021.htm" xr:uid="{721EF223-8927-A44A-BD5B-AE27E211FEB5}"/>
    <hyperlink ref="B67" r:id="rId124" display="file:///players/J/JacoJo01.htm" xr:uid="{AED3311B-2BDA-AB47-9991-C670A9672085}"/>
    <hyperlink ref="C67" r:id="rId125" tooltip="Las Vegas Raiders" display="file:///teams/rai/2021.htm" xr:uid="{DD85A508-F462-5049-BF29-8081FA28E50F}"/>
    <hyperlink ref="B68" r:id="rId126" display="file:///players/M/MoorRo02.htm" xr:uid="{1A3F728A-E941-AC4D-8AB3-8FA1E981DC21}"/>
    <hyperlink ref="C68" r:id="rId127" tooltip="Arizona Cardinals" display="file:///teams/crd/2021.htm" xr:uid="{2B53DA61-0FF3-FF46-AB4E-141ADC2BB41F}"/>
    <hyperlink ref="B69" r:id="rId128" display="file:///players/A/AndeRo04.htm" xr:uid="{0E0A59F1-19FD-8143-BB83-16FDB0BBEF5C}"/>
    <hyperlink ref="C69" r:id="rId129" tooltip="Carolina Panthers" display="file:///teams/car/2021.htm" xr:uid="{F009EFEA-BB3A-8641-93D5-98C254DA646B}"/>
    <hyperlink ref="B70" r:id="rId130" display="file:///players/P/PatrTi00.htm" xr:uid="{564421C3-9DEF-F34E-A23E-047EF86A4055}"/>
    <hyperlink ref="C70" r:id="rId131" tooltip="Denver Broncos" display="file:///teams/den/2021.htm" xr:uid="{FB02BA09-6572-0245-B334-DE199E7883C8}"/>
    <hyperlink ref="B71" r:id="rId132" display="file:///players/J/JoneAa00.htm" xr:uid="{7FAF4DD6-E240-6041-B8E6-8E1CF756BB43}"/>
    <hyperlink ref="C71" r:id="rId133" tooltip="Green Bay Packers" display="file:///teams/gnb/2021.htm" xr:uid="{32690366-CD2A-F449-AD3A-BE2A40B2868B}"/>
    <hyperlink ref="B72" r:id="rId134" display="file:///players/L/LandJa00.htm" xr:uid="{1D16D79E-58A3-DE4A-A0B0-9DF578DEE596}"/>
    <hyperlink ref="C72" r:id="rId135" tooltip="Cleveland Browns" display="file:///teams/cle/2021.htm" xr:uid="{6367019D-D345-CB4F-B2ED-B8E3F3F3CFF5}"/>
    <hyperlink ref="B73" r:id="rId136" display="file:///players/P/PattCo00.htm" xr:uid="{7B7F6690-2F3B-A943-8CD0-8D400313F9FD}"/>
    <hyperlink ref="C73" r:id="rId137" tooltip="Atlanta Falcons" display="file:///teams/atl/2021.htm" xr:uid="{98155DAA-5176-1343-87A1-9465F1637783}"/>
    <hyperlink ref="B74" r:id="rId138" display="file:///players/C/CrowJa00.htm" xr:uid="{9027F64F-D4FE-C542-B70C-974AADF0DEF8}"/>
    <hyperlink ref="C74" r:id="rId139" tooltip="New York Jets" display="file:///teams/nyj/2021.htm" xr:uid="{9BC4CAD2-E0B6-F247-972C-776DCA037541}"/>
    <hyperlink ref="B75" r:id="rId140" display="file:///players/H/HenrHu00.htm" xr:uid="{9E97ADBE-8C34-C04B-9611-B2CB5B1D2FB2}"/>
    <hyperlink ref="C75" r:id="rId141" tooltip="New England Patriots" display="file:///teams/nwe/2021.htm" xr:uid="{CDBB12E3-3534-1D46-A1E0-CD594FE1B375}"/>
    <hyperlink ref="B76" r:id="rId142" display="file:///players/J/JeffVa00.htm" xr:uid="{96143C57-87EF-7B4E-BAC4-16E0997C4915}"/>
    <hyperlink ref="C76" r:id="rId143" tooltip="Los Angeles Rams" display="file:///teams/ram/2021.htm" xr:uid="{BF119D8D-C46F-964C-8DF3-B7E5DAA15865}"/>
    <hyperlink ref="B77" r:id="rId144" display="file:///players/O/OsboKJ00.htm" xr:uid="{A294BEDE-93AC-214B-9EE9-83EE2CD99B51}"/>
    <hyperlink ref="C77" r:id="rId145" tooltip="Minnesota Vikings" display="file:///teams/min/2021.htm" xr:uid="{6AED684C-FE0C-BA47-97AC-EB1AD09478C3}"/>
    <hyperlink ref="B78" r:id="rId146" display="file:///players/G/GaskMy00.htm" xr:uid="{C5437439-0A0F-5248-867A-B275268663F6}"/>
    <hyperlink ref="C78" r:id="rId147" tooltip="Miami Dolphins" display="file:///teams/mia/2021.htm" xr:uid="{DBAA511A-E3E7-794D-BE2F-A93C36AADDAF}"/>
    <hyperlink ref="B79" r:id="rId148" display="file:///players/K/KnoxDa00.htm" xr:uid="{7CC6E7EC-594C-164C-885B-6C1C0538E363}"/>
    <hyperlink ref="C79" r:id="rId149" tooltip="Buffalo Bills" display="file:///teams/buf/2021.htm" xr:uid="{8EED2282-C3C0-DE4B-BB9B-FC786FBCF7C8}"/>
    <hyperlink ref="B80" r:id="rId150" display="file:///players/U/UzomC.00.htm" xr:uid="{1A3A8819-CA72-6647-B6A2-2BC165867D93}"/>
    <hyperlink ref="C80" r:id="rId151" tooltip="Cincinnati Bengals" display="file:///teams/cin/2021.htm" xr:uid="{A92BC405-F8FD-7147-B88A-D7EED6FBAEF0}"/>
    <hyperlink ref="B81" r:id="rId152" display="file:///players/C/CookJa02.htm" xr:uid="{0879A333-7916-2B43-86D6-0FD72782BD4A}"/>
    <hyperlink ref="C81" r:id="rId153" tooltip="Los Angeles Chargers" display="file:///teams/sdg/2021.htm" xr:uid="{39DF1C56-1176-144C-BCC6-907DDABE36BC}"/>
    <hyperlink ref="B82" r:id="rId154" display="file:///players/E/EverGe00.htm" xr:uid="{0672924A-9156-2F45-9145-2201683B798B}"/>
    <hyperlink ref="C82" r:id="rId155" tooltip="Seattle Seahawks" display="file:///teams/sea/2021.htm" xr:uid="{3E2E0857-6811-3647-8D40-D4C9EA62E2F8}"/>
    <hyperlink ref="B83" r:id="rId156" display="file:///players/R/RaymKa00.htm" xr:uid="{99B26B63-9CD2-E748-B47F-FFDC555DE1CF}"/>
    <hyperlink ref="C83" r:id="rId157" tooltip="Detroit Lions" display="file:///teams/det/2021.htm" xr:uid="{6CE6A3F7-A182-6D4B-B601-8BD523BA029C}"/>
    <hyperlink ref="B84" r:id="rId158" display="file:///players/E/ElliEz00.htm" xr:uid="{5598B7E6-1FF3-0145-8067-1F559A2317D9}"/>
    <hyperlink ref="C84" r:id="rId159" tooltip="Dallas Cowboys" display="file:///teams/dal/2021.htm" xr:uid="{948AD4DD-F004-FC4D-8560-EC66B38E1B15}"/>
    <hyperlink ref="B85" r:id="rId160" display="file:///players/J/JoneZa00.htm" xr:uid="{F4F1A3E0-8C69-6C44-BB93-C1936DD758A2}"/>
    <hyperlink ref="C85" r:id="rId161" tooltip="Las Vegas Raiders" display="file:///teams/rai/2021.htm" xr:uid="{2965EA72-646A-324B-931C-7C5C58100DD1}"/>
    <hyperlink ref="B86" r:id="rId162" display="file:///players/K/KamaAl00.htm" xr:uid="{0B302F5F-9A86-0048-846F-DCFD777B294E}"/>
    <hyperlink ref="C86" r:id="rId163" tooltip="New Orleans Saints" display="file:///teams/nor/2021.htm" xr:uid="{A4680483-184C-374B-B43C-43C2664484C6}"/>
    <hyperlink ref="B87" r:id="rId164" display="file:///players/W/WillDa10.htm" xr:uid="{9C17497D-9B22-0E4E-9C21-ED0139456250}"/>
    <hyperlink ref="C87" r:id="rId165" tooltip="Kansas City Chiefs" display="file:///teams/kan/2021.htm" xr:uid="{65FA3B2C-053A-494C-97E2-7D85F940A05E}"/>
    <hyperlink ref="B88" r:id="rId166" display="file:///players/B/BateRa00.htm" xr:uid="{A938E3FB-F19F-434A-9FFF-AB5ECCD680C6}"/>
    <hyperlink ref="C88" r:id="rId167" tooltip="Baltimore Ravens" display="file:///teams/rav/2021.htm" xr:uid="{C834B75D-C522-A24C-8BB0-CE1239595875}"/>
    <hyperlink ref="B89" r:id="rId168" display="file:///players/B/BerrBr00.htm" xr:uid="{28549E59-4791-D147-ADFD-3B621666B1E8}"/>
    <hyperlink ref="C89" r:id="rId169" tooltip="New York Jets" display="file:///teams/nyj/2021.htm" xr:uid="{9FE1CC6D-DA32-0549-A53B-91EF39E069CA}"/>
    <hyperlink ref="B90" r:id="rId170" display="file:///players/C/CallMa01.htm" xr:uid="{BFCDFBC0-479D-084D-A2E9-256FC33CC424}"/>
    <hyperlink ref="C90" r:id="rId171" tooltip="New Orleans Saints" display="file:///teams/nor/2021.htm" xr:uid="{4748931B-12E3-284D-ACD7-6449EC7F0955}"/>
    <hyperlink ref="B91" r:id="rId172" display="file:///players/E/EngrEv00.htm" xr:uid="{798743EE-0025-1843-AA61-BCF4F46389B3}"/>
    <hyperlink ref="C91" r:id="rId173" tooltip="New York Giants" display="file:///teams/nyg/2021.htm" xr:uid="{23E5BD8E-2876-724B-9D97-C981166658D2}"/>
    <hyperlink ref="B92" r:id="rId174" display="file:///players/W/WilsCe01.htm" xr:uid="{0C5CFC56-E2B0-E84E-A2A4-8E4039F2AC42}"/>
    <hyperlink ref="C92" r:id="rId175" tooltip="Dallas Cowboys" display="file:///teams/dal/2021.htm" xr:uid="{835B5E5F-D3B8-2B41-A34E-2C972F6B2772}"/>
    <hyperlink ref="B93" r:id="rId176" display="file:///players/W/WoodRo02.htm" xr:uid="{87180DF6-6F1C-1949-9ADC-1517C95D0A03}"/>
    <hyperlink ref="C93" r:id="rId177" tooltip="Los Angeles Rams" display="file:///teams/ram/2021.htm" xr:uid="{D2D30AF7-EA18-D543-ABA8-31C9F3506CF3}"/>
    <hyperlink ref="B95" r:id="rId178" display="file:///players/B/BeckOd00.htm" xr:uid="{7BDF49DE-1032-6C4C-9357-DDE8FB048435}"/>
    <hyperlink ref="B96" r:id="rId179" display="file:///players/D/DaviMi01.htm" xr:uid="{70DE6723-CEDB-D042-9D98-5D6E8E144011}"/>
    <hyperlink ref="C96" r:id="rId180" tooltip="Atlanta Falcons" display="file:///teams/atl/2021.htm" xr:uid="{21D81FA1-58E0-0247-A458-7DDB566C9235}"/>
    <hyperlink ref="B97" r:id="rId181" display="file:///players/E/EdmoCh00.htm" xr:uid="{66655723-FA91-4943-A039-BA12E2DD6F78}"/>
    <hyperlink ref="C97" r:id="rId182" tooltip="Arizona Cardinals" display="file:///teams/crd/2021.htm" xr:uid="{58C9B617-2F1B-B24C-9B6D-46C4EC411ED0}"/>
    <hyperlink ref="B98" r:id="rId183" display="file:///players/M/McKiJ.00.htm" xr:uid="{51CDD8ED-8272-C249-9071-3D36AAE7613A}"/>
    <hyperlink ref="C98" r:id="rId184" tooltip="Washington Football Team" display="file:///teams/was/2021.htm" xr:uid="{91805DB1-FFB3-814A-8DE0-17D75F2E85FB}"/>
    <hyperlink ref="B99" r:id="rId185" display="file:///players/M/MoorEl00.htm" xr:uid="{E720A253-6F87-2749-86E2-A7DA9090F58F}"/>
    <hyperlink ref="C99" r:id="rId186" tooltip="New York Jets" display="file:///teams/nyj/2021.htm" xr:uid="{82E116DF-9FA7-9247-A47A-18A3452BF50C}"/>
    <hyperlink ref="B100" r:id="rId187" display="file:///players/W/WatkQu00.htm" xr:uid="{B07C24DE-5CF3-7349-A5CA-EE603F5B2EE8}"/>
    <hyperlink ref="C100" r:id="rId188" tooltip="Philadelphia Eagles" display="file:///teams/phi/2021.htm" xr:uid="{05715BC7-A8DB-7544-A2EA-F2096D5201EC}"/>
    <hyperlink ref="B101" r:id="rId189" display="file:///players/W/WillJa10.htm" xr:uid="{6EFE95C7-52AE-9B44-8D38-97E4F47B9D79}"/>
    <hyperlink ref="C101" r:id="rId190" tooltip="Denver Broncos" display="file:///teams/den/2021.htm" xr:uid="{8F93854A-7303-944D-B96C-EBD5ADDBEE12}"/>
    <hyperlink ref="B102" r:id="rId191" display="file:///players/B/BrowAn04.htm" xr:uid="{63A80834-793A-964C-9FCF-46721F43F8AE}"/>
    <hyperlink ref="C102" r:id="rId192" tooltip="Tampa Bay Buccaneers" display="file:///teams/tam/2021.htm" xr:uid="{835F2DD7-468F-3240-B7C9-0A06BFAE2DA4}"/>
    <hyperlink ref="B103" r:id="rId193" display="file:///players/G/GibsAn00.htm" xr:uid="{8F926E31-CDE5-7A4D-B537-85363EFC41D4}"/>
    <hyperlink ref="C103" r:id="rId194" tooltip="Washington Football Team" display="file:///teams/was/2021.htm" xr:uid="{D07EB192-5171-3046-AF00-37C6E9AAA03C}"/>
    <hyperlink ref="B104" r:id="rId195" display="file:///players/H/HopkDe00.htm" xr:uid="{FD18B74F-C82E-DD47-8D88-2253A9047421}"/>
    <hyperlink ref="C104" r:id="rId196" tooltip="Arizona Cardinals" display="file:///teams/crd/2021.htm" xr:uid="{7954E262-E59C-4A46-A8D2-C87B1E2CF29D}"/>
    <hyperlink ref="B105" r:id="rId197" display="file:///players/M/MixoJo00.htm" xr:uid="{7626281B-D6F5-5A44-8590-1A40F1224505}"/>
    <hyperlink ref="C105" r:id="rId198" tooltip="Cincinnati Bengals" display="file:///teams/cin/2021.htm" xr:uid="{55EDDF17-57C7-8546-8B9E-108DAF6D6734}"/>
    <hyperlink ref="B106" r:id="rId199" display="file:///players/M/MontDa01.htm" xr:uid="{1F25643A-AF51-624B-BB5E-535657D0982A}"/>
    <hyperlink ref="C106" r:id="rId200" tooltip="Chicago Bears" display="file:///teams/chi/2021.htm" xr:uid="{8678C654-D2FF-CC40-8A52-9A90C332D826}"/>
    <hyperlink ref="B107" r:id="rId201" display="file:///players/P/PrinBy00.htm" xr:uid="{F7F0B863-24D8-FC4C-BFF0-9AFC020CC59B}"/>
    <hyperlink ref="C107" r:id="rId202" tooltip="Kansas City Chiefs" display="file:///teams/kan/2021.htm" xr:uid="{74E1DAD0-2898-6C46-9C6B-AEAE6B6D2EBA}"/>
    <hyperlink ref="B108" r:id="rId203" display="file:///players/S/SandEm00.htm" xr:uid="{5C3DA16F-971D-E74C-83EA-A32104845101}"/>
    <hyperlink ref="C108" r:id="rId204" tooltip="Buffalo Bills" display="file:///teams/buf/2021.htm" xr:uid="{E1B8F603-0A40-074C-ADA0-7BC43357808F}"/>
    <hyperlink ref="B109" r:id="rId205" display="file:///players/B/BarkSa00.htm" xr:uid="{C079207E-6599-224A-9179-312D9FC3EC9A}"/>
    <hyperlink ref="C109" r:id="rId206" tooltip="New York Giants" display="file:///teams/nyg/2021.htm" xr:uid="{C77DFC4C-8932-5F4F-AAE4-92192DC1C8F0}"/>
    <hyperlink ref="B110" r:id="rId207" display="file:///players/B/BoldBr00.htm" xr:uid="{4F668336-7224-F84A-84A8-402F9920580B}"/>
    <hyperlink ref="C110" r:id="rId208" tooltip="New England Patriots" display="file:///teams/nwe/2021.htm" xr:uid="{56EF5E94-3BCD-D243-8FD5-5407DD86C094}"/>
    <hyperlink ref="B111" r:id="rId209" display="file:///players/H/HumpAd00.htm" xr:uid="{78416453-F87A-264C-A3F5-665884CCBD35}"/>
    <hyperlink ref="C111" r:id="rId210" tooltip="Washington Football Team" display="file:///teams/was/2021.htm" xr:uid="{A746F48A-6A3D-9340-8762-37C914899F37}"/>
    <hyperlink ref="B112" r:id="rId211" display="file:///players/B/BookDe00.htm" xr:uid="{D3157806-C6AF-1643-8602-48F81E3D4B07}"/>
    <hyperlink ref="C112" r:id="rId212" tooltip="New York Giants" display="file:///teams/nyg/2021.htm" xr:uid="{58BCD72D-5CD2-6840-891B-4990311EC69D}"/>
    <hyperlink ref="B113" r:id="rId213" display="file:///players/H/HineNy00.htm" xr:uid="{BA7C7A59-4C7D-5D4F-B20A-5C5990DCC7CF}"/>
    <hyperlink ref="C113" r:id="rId214" tooltip="Indianapolis Colts" display="file:///teams/clt/2021.htm" xr:uid="{6423B82E-8AFC-9A40-9D80-CA669F0DEF49}"/>
    <hyperlink ref="B114" r:id="rId215" display="file:///players/L/LazaAl00.htm" xr:uid="{B7D34460-DA5A-7B4C-89F0-5D22DC1D8086}"/>
    <hyperlink ref="C114" r:id="rId216" tooltip="Green Bay Packers" display="file:///teams/gnb/2021.htm" xr:uid="{E92BCC5F-6E63-084E-9405-BA82C911C828}"/>
    <hyperlink ref="B115" r:id="rId217" display="file:///players/P/ParkDe01.htm" xr:uid="{B5F7819B-EB00-D946-A85A-A591582FE610}"/>
    <hyperlink ref="C115" r:id="rId218" tooltip="Miami Dolphins" display="file:///teams/mia/2021.htm" xr:uid="{5BDE9CD7-C75E-C540-83CF-376E90CE66E3}"/>
    <hyperlink ref="B116" r:id="rId219" display="file:///players/S/SingDe00.htm" xr:uid="{E1AF8395-A66B-7248-8207-3BEDF3F9E2A7}"/>
    <hyperlink ref="C116" r:id="rId220" tooltip="Buffalo Bills" display="file:///teams/buf/2021.htm" xr:uid="{1C272624-5287-AA47-9B8A-85243E31890B}"/>
    <hyperlink ref="B117" r:id="rId221" display="file:///players/T/TaylJo02.htm" xr:uid="{88DE6A4B-433D-6343-967B-2126181E5F39}"/>
    <hyperlink ref="C117" r:id="rId222" tooltip="Indianapolis Colts" display="file:///teams/clt/2021.htm" xr:uid="{807FCDDA-5588-9F41-8FF2-359EB95F9BA2}"/>
    <hyperlink ref="B118" r:id="rId223" display="file:///players/M/McClRa00.htm" xr:uid="{4058CBF8-5B27-C941-B7A6-CF97C095FA0E}"/>
    <hyperlink ref="C118" r:id="rId224" tooltip="Pittsburgh Steelers" display="file:///teams/pit/2021.htm" xr:uid="{82740A67-C90D-1E4F-98E9-A22A1BF98F58}"/>
    <hyperlink ref="B119" r:id="rId225" display="file:///players/P/PollTo00.htm" xr:uid="{5842D8CD-F3BB-354A-ACE2-EEF732879287}"/>
    <hyperlink ref="C119" r:id="rId226" tooltip="Dallas Cowboys" display="file:///teams/dal/2021.htm" xr:uid="{12989B2A-B027-414E-B9C2-09943930DDBD}"/>
    <hyperlink ref="B120" r:id="rId227" display="file:///players/T/ToneKa00.htm" xr:uid="{C9AA2D64-BC47-9E49-84C0-AB4B50D4DD84}"/>
    <hyperlink ref="C120" r:id="rId228" tooltip="New York Giants" display="file:///teams/nyg/2021.htm" xr:uid="{5E75AE8D-708E-6344-8FF8-8FCDB14C10E1}"/>
    <hyperlink ref="B121" r:id="rId229" display="file:///players/A/AbduAm00.htm" xr:uid="{2DD17AFC-BE16-424E-94F4-14F968AF06B4}"/>
    <hyperlink ref="B122" r:id="rId230" display="file:///players/H/HoopAu00.htm" xr:uid="{B37115EB-7870-C644-B644-B7109DB8B7EC}"/>
    <hyperlink ref="C122" r:id="rId231" tooltip="Cleveland Browns" display="file:///teams/cle/2021.htm" xr:uid="{15A95BB2-77CA-C840-BF99-BADE73A22982}"/>
    <hyperlink ref="B123" r:id="rId232" display="file:///players/J/JeudJe00.htm" xr:uid="{CB89D931-D4E0-394D-BE22-29B10E49D3A1}"/>
    <hyperlink ref="C123" r:id="rId233" tooltip="Denver Broncos" display="file:///teams/den/2021.htm" xr:uid="{74D98116-542E-4249-A5A6-2297FC951A84}"/>
    <hyperlink ref="B124" r:id="rId234" display="file:///players/P/PascZa00.htm" xr:uid="{D711A13C-CD0B-004B-9578-716695865F14}"/>
    <hyperlink ref="C124" r:id="rId235" tooltip="Indianapolis Colts" display="file:///teams/clt/2021.htm" xr:uid="{057A72A0-4EF9-384E-8A16-D3E435A18C3F}"/>
    <hyperlink ref="B126" r:id="rId236" display="file:///players/R/RobiAl02.htm" xr:uid="{513BCBF3-2BEE-3944-9EE3-23D886068AE1}"/>
    <hyperlink ref="C126" r:id="rId237" tooltip="Chicago Bears" display="file:///teams/chi/2021.htm" xr:uid="{E0A13890-BF2A-B140-9718-7DB857D9CE07}"/>
    <hyperlink ref="B127" r:id="rId238" display="file:///players/W/WestNi00.htm" xr:uid="{30EAA75F-5E9B-FE4D-B35B-E52D37A659A7}"/>
    <hyperlink ref="C127" r:id="rId239" tooltip="Tennessee Titans" display="file:///teams/oti/2021.htm" xr:uid="{CF62737F-6D18-8D4C-AC87-A5E0D44D9281}"/>
    <hyperlink ref="B128" r:id="rId240" display="file:///players/A/AghoNe00.htm" xr:uid="{A5C85AEC-67C3-E444-9B95-EA01E7496A30}"/>
    <hyperlink ref="C128" r:id="rId241" tooltip="New England Patriots" display="file:///teams/nwe/2021.htm" xr:uid="{D4897706-A2E9-A843-A318-65D8279F459A}"/>
    <hyperlink ref="B129" r:id="rId242" display="file:///players/C/ConnJa00.htm" xr:uid="{331F23B7-9613-CB44-867F-1875014A0210}"/>
    <hyperlink ref="C129" r:id="rId243" tooltip="Arizona Cardinals" display="file:///teams/crd/2021.htm" xr:uid="{E0373C1E-AB83-1244-AC00-3065B2045127}"/>
    <hyperlink ref="B130" r:id="rId244" display="file:///players/G/GollKe00.htm" xr:uid="{1FCC74EA-14E8-8947-8788-4C3EC3A7E9B7}"/>
    <hyperlink ref="C130" r:id="rId245" tooltip="New York Giants" display="file:///teams/nyg/2021.htm" xr:uid="{2DECE1BF-3997-3540-883D-CC364C233C64}"/>
    <hyperlink ref="B131" r:id="rId246" display="file:///players/M/McCaCh01.htm" xr:uid="{68CD68FD-733E-7141-B4E3-98F4AF1D0AD3}"/>
    <hyperlink ref="C131" r:id="rId247" tooltip="Carolina Panthers" display="file:///teams/car/2021.htm" xr:uid="{7EF57499-12F4-E846-A6AB-A28487B893B4}"/>
    <hyperlink ref="B132" r:id="rId248" display="file:///players/C/CartMi03.htm" xr:uid="{8679C08B-D17A-EB47-911C-12FD156200DF}"/>
    <hyperlink ref="C132" r:id="rId249" tooltip="New York Jets" display="file:///teams/nyj/2021.htm" xr:uid="{486CA951-89F5-0043-A847-0129B103A607}"/>
    <hyperlink ref="B133" r:id="rId250" display="file:///players/H/HarrDe07.htm" xr:uid="{239B355F-CF7F-494E-82DF-3BC9188C854F}"/>
    <hyperlink ref="C133" r:id="rId251" tooltip="New Orleans Saints" display="file:///teams/nor/2021.htm" xr:uid="{F33F3EC7-E5AB-9446-A4EA-7CBBC07C68F5}"/>
    <hyperlink ref="B134" r:id="rId252" display="file:///players/J/JohnTy00.htm" xr:uid="{A48A440E-DCE7-F44B-95BA-DC9D701B2146}"/>
    <hyperlink ref="C134" r:id="rId253" tooltip="Tampa Bay Buccaneers" display="file:///teams/tam/2021.htm" xr:uid="{BEECE3EC-3103-7244-9544-7FA9CB3FF78D}"/>
    <hyperlink ref="B135" r:id="rId254" display="file:///players/N/NjokDa00.htm" xr:uid="{BF1A8545-E42D-A347-9381-80153140743D}"/>
    <hyperlink ref="C135" r:id="rId255" tooltip="Cleveland Browns" display="file:///teams/cle/2021.htm" xr:uid="{479ED0A6-956C-E44E-A49E-D8583A0F7EA6}"/>
    <hyperlink ref="B136" r:id="rId256" display="file:///players/S/ShepSt00.htm" xr:uid="{B485C6AC-9C1E-3244-A30A-BE1712F63134}"/>
    <hyperlink ref="C136" r:id="rId257" tooltip="New York Giants" display="file:///teams/nyg/2021.htm" xr:uid="{9DBD739F-1A55-D144-9D5D-128B9A454E08}"/>
    <hyperlink ref="B137" r:id="rId258" display="file:///players/A/ArnoDa00.htm" xr:uid="{1B90B051-5BF9-0F41-8CE9-35B6D2C08BF2}"/>
    <hyperlink ref="B138" r:id="rId259" display="file:///players/D/DaviGa01.htm" xr:uid="{EAB7A9B3-6D3F-5A41-B40C-D05275F8BD4D}"/>
    <hyperlink ref="C138" r:id="rId260" tooltip="Buffalo Bills" display="file:///teams/buf/2021.htm" xr:uid="{9EF8620E-B2EE-1E49-8AAF-48D6A13DDB26}"/>
    <hyperlink ref="B139" r:id="rId261" display="file:///players/G/GallMi00.htm" xr:uid="{A2607292-C907-DD49-AA16-AECAD777FCE9}"/>
    <hyperlink ref="C139" r:id="rId262" tooltip="Dallas Cowboys" display="file:///teams/dal/2021.htm" xr:uid="{1593AFD8-0526-794E-9455-E783081F5AC0}"/>
    <hyperlink ref="B140" r:id="rId263" display="file:///players/C/CookDa01.htm" xr:uid="{6002401D-08D4-CD40-BD72-AFA3ABA84B27}"/>
    <hyperlink ref="C140" r:id="rId264" tooltip="Minnesota Vikings" display="file:///teams/min/2021.htm" xr:uid="{815AD2C2-8394-DC48-810D-9A62BB6C180A}"/>
    <hyperlink ref="B141" r:id="rId265" display="file:///players/D/DaviCo03.htm" xr:uid="{9C04D2C2-5EC0-F340-871C-60851AEB6072}"/>
    <hyperlink ref="C141" r:id="rId266" tooltip="New York Jets" display="file:///teams/nyj/2021.htm" xr:uid="{604D9D1E-F8CE-B342-9825-538CEEBCD9A2}"/>
    <hyperlink ref="B142" r:id="rId267" display="file:///players/D/DillAJ00.htm" xr:uid="{58CC6CEE-3BFC-3749-ABF5-4A2D1986B4BA}"/>
    <hyperlink ref="C142" r:id="rId268" tooltip="Green Bay Packers" display="file:///teams/gnb/2021.htm" xr:uid="{1CEA3250-F9D4-AF43-8567-0E14C869CE41}"/>
    <hyperlink ref="B143" r:id="rId269" display="file:///players/E/EdwaBr01.htm" xr:uid="{8AC15629-CEE0-F64E-A96C-164FBC44407F}"/>
    <hyperlink ref="C143" r:id="rId270" tooltip="Las Vegas Raiders" display="file:///teams/rai/2021.htm" xr:uid="{A6ED041D-7327-F949-95C7-43AA8F9E9239}"/>
    <hyperlink ref="B144" r:id="rId271" display="file:///players/F/FirkAn00.htm" xr:uid="{F0BA4944-E136-5E41-B8B8-5D8EE8F7E6E4}"/>
    <hyperlink ref="C144" r:id="rId272" tooltip="Tennessee Titans" display="file:///teams/oti/2021.htm" xr:uid="{9303736F-D8FF-364A-A05F-F5637DA39079}"/>
    <hyperlink ref="B145" r:id="rId273" display="file:///players/F/FreeDe00.htm" xr:uid="{FAB37E82-A4BD-2E43-8C35-35E8D6EC027B}"/>
    <hyperlink ref="C145" r:id="rId274" tooltip="Baltimore Ravens" display="file:///teams/rav/2021.htm" xr:uid="{78669076-E9EA-EE44-9B41-E170CDEB335B}"/>
    <hyperlink ref="B146" r:id="rId275" display="file:///players/J/JohnTy02.htm" xr:uid="{A0D63563-7BBB-1348-9BF4-3135F3064ED6}"/>
    <hyperlink ref="C146" r:id="rId276" tooltip="New York Jets" display="file:///teams/nyj/2021.htm" xr:uid="{A21DDBD6-4EAF-E941-8D1C-5D7527AD7DEC}"/>
    <hyperlink ref="B147" r:id="rId277" display="file:///players/P/PeopDo00.htm" xr:uid="{25848CFE-D444-6544-B680-4DBF8ED62220}"/>
    <hyperlink ref="C147" r:id="rId278" tooltip="Cleveland Browns" display="file:///teams/cle/2021.htm" xr:uid="{6DFB489D-36C9-7440-8E2F-59297923A26D}"/>
    <hyperlink ref="B148" r:id="rId279" display="file:///players/S/SmytDu00.htm" xr:uid="{9ACA02EF-E670-9F4B-A7D1-C420D3B37BE7}"/>
    <hyperlink ref="C148" r:id="rId280" tooltip="Miami Dolphins" display="file:///teams/mia/2021.htm" xr:uid="{F0B092EC-6E92-B74F-A2D8-FF0CEB83F65A}"/>
    <hyperlink ref="B149" r:id="rId281" display="file:///players/C/CollNi00.htm" xr:uid="{49C5D25F-0AA2-8E4E-BB38-E379538196E0}"/>
    <hyperlink ref="C149" r:id="rId282" tooltip="Houston Texans" display="file:///teams/htx/2021.htm" xr:uid="{C8F821EF-B135-7443-BA05-DD416E9DB0CE}"/>
    <hyperlink ref="B150" r:id="rId283" display="file:///players/D/DuveDe00.htm" xr:uid="{25BB7804-7EE4-7C45-9B26-DB1174D43C49}"/>
    <hyperlink ref="C150" r:id="rId284" tooltip="Baltimore Ravens" display="file:///teams/rav/2021.htm" xr:uid="{EE45983E-D71A-3044-AB69-43EE32D335C4}"/>
    <hyperlink ref="B151" r:id="rId285" display="file:///players/G/GainKe00.htm" xr:uid="{12BC48DB-FD67-BF49-94C0-D28E24FFCEF8}"/>
    <hyperlink ref="C151" r:id="rId286" tooltip="Philadelphia Eagles" display="file:///teams/phi/2021.htm" xr:uid="{05E475D6-9ADC-BB40-AE51-543B8149356D}"/>
    <hyperlink ref="B152" r:id="rId287" display="file:///players/O/OkwuAl00.htm" xr:uid="{47BF7086-ECB6-E248-B5A0-85B6116F65DB}"/>
    <hyperlink ref="C152" r:id="rId288" tooltip="Denver Broncos" display="file:///teams/den/2021.htm" xr:uid="{00A7F2DD-F4FC-8F4B-B68E-8A0AD5EB1747}"/>
    <hyperlink ref="B153" r:id="rId289" display="file:///players/P/PalmJo00.htm" xr:uid="{2BEA0E2C-A5AD-FC45-AF49-C73E9AFE1A07}"/>
    <hyperlink ref="C153" r:id="rId290" tooltip="Los Angeles Chargers" display="file:///teams/sdg/2021.htm" xr:uid="{A619D780-8E1E-BB49-9452-1D68414C1A21}"/>
    <hyperlink ref="B154" r:id="rId291" display="file:///players/R/ReagJa00.htm" xr:uid="{4811DC8F-718E-B94A-B91A-AD8376A1A30E}"/>
    <hyperlink ref="C154" r:id="rId292" tooltip="Philadelphia Eagles" display="file:///teams/phi/2021.htm" xr:uid="{055ED0A2-6664-334D-BC42-153AE15BF9BD}"/>
    <hyperlink ref="B155" r:id="rId293" display="file:///players/T/TreaLa00.htm" xr:uid="{EF22070E-7572-DA49-A7A3-26C06749D99A}"/>
    <hyperlink ref="C155" r:id="rId294" tooltip="Jacksonville Jaguars" display="file:///teams/jax/2021.htm" xr:uid="{DC181314-794B-EF4A-B36E-790B399A1D62}"/>
    <hyperlink ref="B157" r:id="rId295" display="file:///players/J/JohnDa08.htm" xr:uid="{F4A4EF12-80D6-834B-A05C-16D022554065}"/>
    <hyperlink ref="C157" r:id="rId296" tooltip="Houston Texans" display="file:///teams/htx/2021.htm" xr:uid="{6571A6DA-0016-934A-A131-5F75D17BB6B6}"/>
    <hyperlink ref="B158" r:id="rId297" display="file:///players/M/MattAl01.htm" xr:uid="{45E782F1-DEB9-0149-A90D-1492344FD124}"/>
    <hyperlink ref="C158" r:id="rId298" tooltip="Minnesota Vikings" display="file:///teams/min/2021.htm" xr:uid="{138B11F7-4E6A-E945-8419-1ECC30D160F3}"/>
    <hyperlink ref="B159" r:id="rId299" display="file:///players/S/SmitTr03.htm" xr:uid="{5A5150A1-DC68-CD49-93CB-1566A95DCC4F}"/>
    <hyperlink ref="C159" r:id="rId300" tooltip="New Orleans Saints" display="file:///teams/nor/2021.htm" xr:uid="{671ACB2C-73C1-0948-BB0D-D811DDF759B9}"/>
    <hyperlink ref="B160" r:id="rId301" display="file:///players/G/GuytJa01.htm" xr:uid="{98FF4840-13F7-FE4E-BDBC-8D34AA988F3F}"/>
    <hyperlink ref="C160" r:id="rId302" tooltip="Los Angeles Chargers" display="file:///teams/sdg/2021.htm" xr:uid="{3CBD7A26-90FB-B643-ADC3-07B79FE176B0}"/>
    <hyperlink ref="B161" r:id="rId303" display="file:///players/J/JoneJu02.htm" xr:uid="{E7E2FE9E-9FF0-714A-8FA7-EA822AB64EAE}"/>
    <hyperlink ref="C161" r:id="rId304" tooltip="Tennessee Titans" display="file:///teams/oti/2021.htm" xr:uid="{1590C9E3-2C0E-BD44-BF0E-C4B4997C1B08}"/>
    <hyperlink ref="B162" r:id="rId305" display="file:///players/R/RidlCa00.htm" xr:uid="{62A421C6-B526-1B47-BE28-5C48764739A3}"/>
    <hyperlink ref="C162" r:id="rId306" tooltip="Atlanta Falcons" display="file:///teams/atl/2021.htm" xr:uid="{3D5EC121-93B7-6F48-9BC1-890531EEED84}"/>
    <hyperlink ref="B163" r:id="rId307" display="file:///players/R/RobiJa00.htm" xr:uid="{DD6626CE-D0AC-F64E-8234-0D9DEF6709A8}"/>
    <hyperlink ref="C163" r:id="rId308" tooltip="Jacksonville Jaguars" display="file:///teams/jax/2021.htm" xr:uid="{3A5E73F9-4643-584E-B54F-FFB307F83B34}"/>
    <hyperlink ref="B164" r:id="rId309" display="file:///players/S/SwaiGe00.htm" xr:uid="{FEEC894F-6868-FE42-B5DB-7E6E7686E54A}"/>
    <hyperlink ref="C164" r:id="rId310" tooltip="Tennessee Titans" display="file:///teams/oti/2021.htm" xr:uid="{5E22EA4D-8E73-A34B-8745-C9837120E2E4}"/>
    <hyperlink ref="B165" r:id="rId311" display="file:///players/Z/ZaccOl01.htm" xr:uid="{0613047C-8CE4-2B47-8366-C934E7004AF3}"/>
    <hyperlink ref="C165" r:id="rId312" tooltip="Atlanta Falcons" display="file:///teams/atl/2021.htm" xr:uid="{7F175FA1-EB7C-0E4F-8BCE-5BF6649DDF90}"/>
    <hyperlink ref="B166" r:id="rId313" display="file:///players/B/BratCa00.htm" xr:uid="{26DB4B68-EC02-504C-A147-503D1BF019D6}"/>
    <hyperlink ref="C166" r:id="rId314" tooltip="Tampa Bay Buccaneers" display="file:///teams/tam/2021.htm" xr:uid="{500D110B-1F0D-6445-8C4E-323B349563AC}"/>
    <hyperlink ref="B167" r:id="rId315" display="file:///players/D/DrakKe00.htm" xr:uid="{DCD69B11-62B8-7D4A-8279-06CF5843D475}"/>
    <hyperlink ref="C167" r:id="rId316" tooltip="Las Vegas Raiders" display="file:///teams/rai/2021.htm" xr:uid="{910E9DB9-387C-9344-9D68-C3081B77C0A8}"/>
    <hyperlink ref="B168" r:id="rId317" display="file:///players/J/JuszKy00.htm" xr:uid="{6A9AA806-4E4F-0D40-9FAE-6291C32BFE8F}"/>
    <hyperlink ref="C168" r:id="rId318" tooltip="San Francisco 49ers" display="file:///teams/sfo/2021.htm" xr:uid="{08D9963D-E57E-A748-A6C7-F75C5A69A091}"/>
    <hyperlink ref="B169" r:id="rId319" display="file:///players/M/MoreFo00.htm" xr:uid="{765EF032-88C3-7D42-AA53-1B696E6EE9E3}"/>
    <hyperlink ref="C169" r:id="rId320" tooltip="Las Vegas Raiders" display="file:///teams/rai/2021.htm" xr:uid="{A00446B5-5B74-3F4E-B100-CD37BD895CB3}"/>
    <hyperlink ref="B170" r:id="rId321" display="file:///players/R/RogeCh02.htm" xr:uid="{97FE4556-3D27-DC43-9BF9-64376CFC7B88}"/>
    <hyperlink ref="C170" r:id="rId322" tooltip="Tennessee Titans" display="file:///teams/oti/2021.htm" xr:uid="{4210E5E8-2284-C845-8647-A7A127C02734}"/>
    <hyperlink ref="B171" r:id="rId323" display="file:///players/S/SealRi00.htm" xr:uid="{B7E16B5D-F474-7942-8857-5D5DB024AD2A}"/>
    <hyperlink ref="C171" r:id="rId324" tooltip="Washington Football Team" display="file:///teams/was/2021.htm" xr:uid="{C2CEA841-1E76-EF44-8926-B214A6C936D3}"/>
    <hyperlink ref="B172" r:id="rId325" display="file:///players/D/DoylJa00.htm" xr:uid="{95333254-2751-E243-8BA9-49F2493C3061}"/>
    <hyperlink ref="C172" r:id="rId326" tooltip="Indianapolis Colts" display="file:///teams/clt/2021.htm" xr:uid="{DBF20D59-4E2B-C945-856F-44DDFC6FB3CD}"/>
    <hyperlink ref="B173" r:id="rId327" display="file:///players/H/HendDa00.htm" xr:uid="{7FFA1D93-0A9B-9A4E-BE37-C8A4D038F893}"/>
    <hyperlink ref="C173" r:id="rId328" tooltip="Los Angeles Rams" display="file:///teams/ram/2021.htm" xr:uid="{70F0A0E1-8252-434A-BADC-3A62D5FD1228}"/>
    <hyperlink ref="B174" r:id="rId329" display="file:///players/R/ReynJo00.htm" xr:uid="{7039A70B-E5AE-D748-9587-2107624999C8}"/>
    <hyperlink ref="B175" r:id="rId330" display="file:///players/C/CobbRa00.htm" xr:uid="{0FA05E6A-B8F8-AC4A-8128-119A94F0914D}"/>
    <hyperlink ref="C175" r:id="rId331" tooltip="Green Bay Packers" display="file:///teams/gnb/2021.htm" xr:uid="{E25F3918-ED4D-A845-92C3-2A8A4FC40A3F}"/>
    <hyperlink ref="B176" r:id="rId332" display="file:///players/C/ColeKe00.htm" xr:uid="{09425763-8382-134B-B9C7-8E93DFF053EE}"/>
    <hyperlink ref="C176" r:id="rId333" tooltip="New York Jets" display="file:///teams/nyj/2021.htm" xr:uid="{6C62B659-0931-D440-9BBA-799372859AFD}"/>
    <hyperlink ref="B177" r:id="rId334" display="file:///players/G/GordMe00.htm" xr:uid="{68799148-D8D6-774C-A4CE-32652AEF771E}"/>
    <hyperlink ref="C177" r:id="rId335" tooltip="Denver Broncos" display="file:///teams/den/2021.htm" xr:uid="{DA2F61EA-93C6-4644-95AC-65BFA14A3DD5}"/>
    <hyperlink ref="B178" r:id="rId336" display="file:///players/M/McNiJe00.htm" xr:uid="{382CFD35-C209-6348-8FFD-5BB362C6104B}"/>
    <hyperlink ref="C178" r:id="rId337" tooltip="Tennessee Titans" display="file:///teams/oti/2021.htm" xr:uid="{EA287BA8-DBB1-7D42-91F1-89891D4F020C}"/>
    <hyperlink ref="B179" r:id="rId338" display="file:///players/S/SmitJo01.htm" xr:uid="{AEC698A2-E915-6649-A6BF-8DD79FFD44D3}"/>
    <hyperlink ref="C179" r:id="rId339" tooltip="New England Patriots" display="file:///teams/nwe/2021.htm" xr:uid="{79069DB0-D1E4-E94A-BCBF-FD379D8FCFE5}"/>
    <hyperlink ref="B180" r:id="rId340" display="file:///players/G/GrifRy00.htm" xr:uid="{D9509ABD-5C5E-BB40-9B3C-160325680068}"/>
    <hyperlink ref="C180" r:id="rId341" tooltip="New York Jets" display="file:///teams/nyj/2021.htm" xr:uid="{380D9350-A60C-6E4F-8F9D-029BD2FB1134}"/>
    <hyperlink ref="B181" r:id="rId342" display="file:///players/I/IngrMa01.htm" xr:uid="{8AEF0574-D7A7-BC4B-A113-09E2AF818E0B}"/>
    <hyperlink ref="B182" r:id="rId343" display="file:///players/P/PeriSa00.htm" xr:uid="{BEB518B5-C405-3A41-A6D2-2E9E09C3BD38}"/>
    <hyperlink ref="C182" r:id="rId344" tooltip="Cincinnati Bengals" display="file:///teams/cin/2021.htm" xr:uid="{4F082F9C-52B0-B94E-808F-E44522472E60}"/>
    <hyperlink ref="B183" r:id="rId345" display="file:///players/T/TrauAd00.htm" xr:uid="{331BC9A4-37A8-5A43-866E-753778385102}"/>
    <hyperlink ref="C183" r:id="rId346" tooltip="New Orleans Saints" display="file:///teams/nor/2021.htm" xr:uid="{FEC2AD94-D707-4242-9223-5A253F88B3C5}"/>
    <hyperlink ref="B184" r:id="rId347" display="file:///players/W/WatkSa00.htm" xr:uid="{37228ACD-EADF-2C48-AFEE-1361D57A2662}"/>
    <hyperlink ref="C184" r:id="rId348" tooltip="Baltimore Ravens" display="file:///teams/rav/2021.htm" xr:uid="{05216006-D705-B247-98EF-15BE503A216A}"/>
    <hyperlink ref="B185" r:id="rId349" display="file:///players/B/ByrdDa00.htm" xr:uid="{15B69098-F092-D341-8BEE-44ECCC5F7A14}"/>
    <hyperlink ref="C185" r:id="rId350" tooltip="Chicago Bears" display="file:///teams/chi/2021.htm" xr:uid="{A51CCB47-49DA-834A-A4D0-BCC4114788A8}"/>
    <hyperlink ref="B186" r:id="rId351" display="file:///players/H/HursHa00.htm" xr:uid="{9042BC1D-B787-7D4C-94DC-7630940812DC}"/>
    <hyperlink ref="C186" r:id="rId352" tooltip="Atlanta Falcons" display="file:///teams/atl/2021.htm" xr:uid="{D3404BF1-C65A-2B4D-8D5C-54F825CACF32}"/>
    <hyperlink ref="B188" r:id="rId353" display="file:///players/R/RudoKy00.htm" xr:uid="{F749742E-0982-C043-BCD9-7A9D7D737C94}"/>
    <hyperlink ref="C188" r:id="rId354" tooltip="New York Giants" display="file:///teams/nyg/2021.htm" xr:uid="{3CD68AEF-9114-3248-A763-BB6F598849DC}"/>
    <hyperlink ref="B189" r:id="rId355" display="file:///players/S/SandMi01.htm" xr:uid="{EEBC47E8-E2DE-C743-8736-0C228E8AA2A2}"/>
    <hyperlink ref="C189" r:id="rId356" tooltip="Philadelphia Eagles" display="file:///teams/phi/2021.htm" xr:uid="{3D31D7E5-57E1-7E4B-89D3-D3783E4532B5}"/>
    <hyperlink ref="B190" r:id="rId357" display="file:///players/S/SlayDa01.htm" xr:uid="{D785AD1A-150E-4A44-A70F-ABE1212471EB}"/>
    <hyperlink ref="C190" r:id="rId358" tooltip="New York Giants" display="file:///teams/nyg/2021.htm" xr:uid="{7421E249-BA30-F942-85CC-CFEA45A0FD8C}"/>
    <hyperlink ref="B191" r:id="rId359" display="file:///players/V/ValdMa00.htm" xr:uid="{E2EF8DD8-E648-7245-A15E-F35EEEFE7A28}"/>
    <hyperlink ref="C191" r:id="rId360" tooltip="Green Bay Packers" display="file:///teams/gnb/2021.htm" xr:uid="{ABE50655-6E1A-164A-8266-50EE832FCC36}"/>
    <hyperlink ref="B192" r:id="rId361" display="file:///players/W/WillJa06.htm" xr:uid="{91F89F4C-C49A-944D-8728-9EEF53530190}"/>
    <hyperlink ref="C192" r:id="rId362" tooltip="Detroit Lions" display="file:///teams/det/2021.htm" xr:uid="{5BB5AD6C-E92B-8A4B-973C-53B528033A92}"/>
    <hyperlink ref="B193" r:id="rId363" display="file:///players/B/BurkRe00.htm" xr:uid="{5EFE0296-DBAC-FC41-A394-A220FD0E6E00}"/>
    <hyperlink ref="C193" r:id="rId364" tooltip="Houston Texans" display="file:///teams/htx/2021.htm" xr:uid="{6AA3FEB1-5095-F645-BA9D-33B6F3598AF3}"/>
    <hyperlink ref="B194" r:id="rId365" display="file:///players/D/DeguJo00.htm" xr:uid="{711510AF-7823-6E4D-BFAD-BEBBCE96F484}"/>
    <hyperlink ref="C194" r:id="rId366" tooltip="Green Bay Packers" display="file:///teams/gnb/2021.htm" xr:uid="{8136DBDA-08D2-B34A-B9DA-3F65ACC88127}"/>
    <hyperlink ref="B195" r:id="rId367" display="file:///players/H/HubbCh01.htm" xr:uid="{39A1161C-4936-A34F-BA9A-7275726AAC47}"/>
    <hyperlink ref="C195" r:id="rId368" tooltip="Carolina Panthers" display="file:///teams/car/2021.htm" xr:uid="{F5C92362-9848-5E4A-AC0D-54F14D70CD07}"/>
    <hyperlink ref="B196" r:id="rId369" display="file:///players/R/RobiDe01.htm" xr:uid="{92F2C6BC-EAEA-C34C-978A-50C34CA49CCC}"/>
    <hyperlink ref="C196" r:id="rId370" tooltip="Kansas City Chiefs" display="file:///teams/kan/2021.htm" xr:uid="{B4EDCB8D-F4AA-DB43-97FF-3C1640EE54AB}"/>
    <hyperlink ref="B197" r:id="rId371" display="file:///players/S/SharTa00.htm" xr:uid="{E73F00CE-B401-3147-8333-9F4F610DA915}"/>
    <hyperlink ref="C197" r:id="rId372" tooltip="Atlanta Falcons" display="file:///teams/atl/2021.htm" xr:uid="{57E4A77F-EF82-2443-8B2C-846E156AD8F9}"/>
    <hyperlink ref="B198" r:id="rId373" display="file:///players/S/SwaiFr00.htm" xr:uid="{3C305654-52F9-4B4D-AD76-BACFB08DD72F}"/>
    <hyperlink ref="C198" r:id="rId374" tooltip="Seattle Seahawks" display="file:///teams/sea/2021.htm" xr:uid="{F9EDB093-670D-C94A-B39E-83DD84DFB459}"/>
    <hyperlink ref="B199" r:id="rId375" display="file:///players/W/WilsAl02.htm" xr:uid="{3E130814-118C-2F47-8250-3ED584EAF247}"/>
    <hyperlink ref="C199" r:id="rId376" tooltip="Miami Dolphins" display="file:///teams/mia/2021.htm" xr:uid="{8E5B3EF5-7A8B-FF4A-91F3-A10B211765A2}"/>
    <hyperlink ref="B200" r:id="rId377" display="file:///players/A/AgneJa00.htm" xr:uid="{0D07D98B-AFBC-C24B-A0CD-C929151813B7}"/>
    <hyperlink ref="C200" r:id="rId378" tooltip="Jacksonville Jaguars" display="file:///teams/jax/2021.htm" xr:uid="{79C8F3AD-3219-8D4A-A1C4-38F5ECA6D35F}"/>
    <hyperlink ref="B201" r:id="rId379" display="file:///players/A/AkinJo00.htm" xr:uid="{407BE571-97CC-0E4E-8965-1C4D6EB56E5F}"/>
    <hyperlink ref="C201" r:id="rId380" tooltip="Houston Texans" display="file:///teams/htx/2021.htm" xr:uid="{D699430C-D263-164D-B747-9C6E84921598}"/>
    <hyperlink ref="B202" r:id="rId381" display="file:///players/A/AlieMo00.htm" xr:uid="{146C7061-37E6-4B49-B6C7-BDFD729EAD0E}"/>
    <hyperlink ref="C202" r:id="rId382" tooltip="Indianapolis Colts" display="file:///teams/clt/2021.htm" xr:uid="{7D719A72-05B9-4841-BA20-3F2514B222A5}"/>
    <hyperlink ref="B203" r:id="rId383" display="file:///players/A/AmenDa00.htm" xr:uid="{0AD5BE2E-DBD2-194B-A81F-5153958F3230}"/>
    <hyperlink ref="C203" r:id="rId384" tooltip="Houston Texans" display="file:///teams/htx/2021.htm" xr:uid="{23E5D853-9471-4C4D-A460-5BF392B87BA1}"/>
    <hyperlink ref="B204" r:id="rId385" display="file:///players/A/AustTa00.htm" xr:uid="{1C8A27F6-569E-9643-A83C-2DEEDDCFB4EE}"/>
    <hyperlink ref="C204" r:id="rId386" tooltip="Jacksonville Jaguars" display="file:///teams/jax/2021.htm" xr:uid="{4E920DA8-0BEC-0C44-8D0E-DBD44D563C72}"/>
    <hyperlink ref="B205" r:id="rId387" display="file:///players/C/CartDe02.htm" xr:uid="{2ED70DB9-5098-3141-9CA7-158B5FB27256}"/>
    <hyperlink ref="C205" r:id="rId388" tooltip="Washington Football Team" display="file:///teams/was/2021.htm" xr:uid="{50B1C4A0-CC4B-8146-934B-8C91415EB1D6}"/>
    <hyperlink ref="B206" r:id="rId389" display="file:///players/H/HiggRa00.htm" xr:uid="{F52D7ACD-D492-FD4E-B274-887C20911154}"/>
    <hyperlink ref="C206" r:id="rId390" tooltip="Cleveland Browns" display="file:///teams/cle/2021.htm" xr:uid="{C41C6065-9635-3146-99A1-8DB80B2F37C2}"/>
    <hyperlink ref="B207" r:id="rId391" display="file:///players/J/JennJa00.htm" xr:uid="{FC841E0B-5A39-F841-8C10-6BF11486BBFE}"/>
    <hyperlink ref="C207" r:id="rId392" tooltip="San Francisco 49ers" display="file:///teams/sfo/2021.htm" xr:uid="{CB82F337-ADE9-C748-B95A-4C3CAB895A91}"/>
    <hyperlink ref="B208" r:id="rId393" display="file:///players/O/O'ShJa00.htm" xr:uid="{48A07F91-289A-B940-89EA-6820CB8610B7}"/>
    <hyperlink ref="C208" r:id="rId394" tooltip="Jacksonville Jaguars" display="file:///teams/jax/2021.htm" xr:uid="{BBDFAEED-15E6-F748-BC1A-E2BB06CFBEB4}"/>
    <hyperlink ref="B209" r:id="rId395" display="file:///players/R/RuggHe00.htm" xr:uid="{DAF843BC-AE3E-F847-A36E-6427CE11B3A4}"/>
    <hyperlink ref="C209" r:id="rId396" tooltip="Las Vegas Raiders" display="file:///teams/rai/2021.htm" xr:uid="{ABAC935E-40AD-2849-B3AE-F7BCD7FB883D}"/>
    <hyperlink ref="B210" r:id="rId397" display="file:///players/W/WashJa00.htm" xr:uid="{D7C4C300-3995-2B4A-AE8E-9CA39FD95AB5}"/>
    <hyperlink ref="C210" r:id="rId398" tooltip="Pittsburgh Steelers" display="file:///teams/pit/2021.htm" xr:uid="{283BB2A3-57D2-804A-AF6B-4786246996DE}"/>
    <hyperlink ref="B211" r:id="rId399" display="file:///players/B/BernGi00.htm" xr:uid="{88A73704-8CDC-4942-8FD3-B8E4B5272724}"/>
    <hyperlink ref="C211" r:id="rId400" tooltip="Tampa Bay Buccaneers" display="file:///teams/tam/2021.htm" xr:uid="{C4F3B821-6E87-264A-BF0F-EAEE80C1891A}"/>
    <hyperlink ref="B212" r:id="rId401" display="file:///players/B/BrowPh01.htm" xr:uid="{1480E0CB-D5ED-5A4D-9856-05C105BD3876}"/>
    <hyperlink ref="C212" r:id="rId402" tooltip="Houston Texans" display="file:///teams/htx/2021.htm" xr:uid="{4C90CF49-7A2D-F248-8BBD-66893880CCAE}"/>
    <hyperlink ref="B213" r:id="rId403" display="file:///players/H/HastJa02.htm" xr:uid="{E0E0F1F7-8482-9444-9D02-4F059D82D0CD}"/>
    <hyperlink ref="C213" r:id="rId404" tooltip="San Francisco 49ers" display="file:///teams/sfo/2021.htm" xr:uid="{1A5B97C8-DD09-3B41-AA24-8E546A02E5C7}"/>
    <hyperlink ref="B214" r:id="rId405" display="file:///players/H/HiltT.00.htm" xr:uid="{B113D274-027F-704B-8620-7CA3034200A1}"/>
    <hyperlink ref="C214" r:id="rId406" tooltip="Indianapolis Colts" display="file:///teams/clt/2021.htm" xr:uid="{C7D332C8-C2FC-B94C-812E-F8444B9D5EEE}"/>
    <hyperlink ref="B215" r:id="rId407" display="file:///players/L/LewiMa00.htm" xr:uid="{E626D77E-1BF9-2949-8753-78952F899FB8}"/>
    <hyperlink ref="C215" r:id="rId408" tooltip="Green Bay Packers" display="file:///teams/gnb/2021.htm" xr:uid="{AD6104CC-17CF-1640-A2E8-35C162BCE661}"/>
    <hyperlink ref="B216" r:id="rId409" display="file:///players/M/MossZa00.htm" xr:uid="{1BBBED5B-49F6-274C-AD35-DFC09C0BB2A3}"/>
    <hyperlink ref="C216" r:id="rId410" tooltip="Buffalo Bills" display="file:///teams/buf/2021.htm" xr:uid="{379B541D-66D4-FE4B-98BA-F60E66B1FD83}"/>
    <hyperlink ref="B217" r:id="rId411" display="file:///players/C/ConlCh00.htm" xr:uid="{2197EC2E-FFD6-9D4A-A0B4-40C769569220}"/>
    <hyperlink ref="C217" r:id="rId412" tooltip="Houston Texans" display="file:///teams/htx/2021.htm" xr:uid="{856D0B8B-6F7C-F24E-B62B-9729F160C3A3}"/>
    <hyperlink ref="B219" r:id="rId413" display="file:///players/H/HuntKa00.htm" xr:uid="{1F363A39-4191-F04E-9D24-84DE1A25ECC8}"/>
    <hyperlink ref="C219" r:id="rId414" tooltip="Cleveland Browns" display="file:///teams/cle/2021.htm" xr:uid="{A40434EF-E9DB-8E4C-8485-582BA189B145}"/>
    <hyperlink ref="B220" r:id="rId415" display="file:///players/J/JackJu01.htm" xr:uid="{C36174CC-182D-E946-A283-CB9EDC53318F}"/>
    <hyperlink ref="C220" r:id="rId416" tooltip="Los Angeles Chargers" display="file:///teams/sdg/2021.htm" xr:uid="{3DD16EBF-9303-C44A-92FE-BFCB6A47F376}"/>
    <hyperlink ref="B221" r:id="rId417" display="file:///players/B/BryaHa00.htm" xr:uid="{A866B09D-E263-154A-B1C0-21B013970521}"/>
    <hyperlink ref="C221" r:id="rId418" tooltip="Cleveland Browns" display="file:///teams/cle/2021.htm" xr:uid="{CECED8C7-5853-8E48-A5D5-5DE5DE34D9C6}"/>
    <hyperlink ref="B222" r:id="rId419" display="file:///players/D/DallDe00.htm" xr:uid="{C160BCEE-DDBF-AC4F-8D72-FCA2FE160DC7}"/>
    <hyperlink ref="C222" r:id="rId420" tooltip="Seattle Seahawks" display="file:///teams/sea/2021.htm" xr:uid="{FB4B96AA-AE53-664C-A7BB-BD5DDB5FBD29}"/>
    <hyperlink ref="B223" r:id="rId421" display="file:///players/D/DissWi00.htm" xr:uid="{FCAF2614-D532-3B4F-A7DD-99FD7245E6A2}"/>
    <hyperlink ref="C223" r:id="rId422" tooltip="Seattle Seahawks" display="file:///teams/sea/2021.htm" xr:uid="{6AF83C30-593A-AD4F-85C3-FB373A47DA1B}"/>
    <hyperlink ref="B224" r:id="rId423" display="file:///players/M/MichSo00.htm" xr:uid="{35597151-7401-594F-B41F-1AD0866186A5}"/>
    <hyperlink ref="C224" r:id="rId424" tooltip="Los Angeles Rams" display="file:///teams/ram/2021.htm" xr:uid="{BACFA3C4-2077-2748-85E4-AF7F113CE4ED}"/>
    <hyperlink ref="B225" r:id="rId425" display="file:///players/M/MoorCh00.htm" xr:uid="{65013460-AB74-D94E-BFEB-FF150A105E42}"/>
    <hyperlink ref="C225" r:id="rId426" tooltip="Houston Texans" display="file:///teams/htx/2021.htm" xr:uid="{0AEC871B-2C39-1A40-817C-D17CE332CAE6}"/>
    <hyperlink ref="B226" r:id="rId427" display="file:///players/B/BateJo00.htm" xr:uid="{BC9141DB-9445-204D-B3B7-43E6725D71C9}"/>
    <hyperlink ref="C226" r:id="rId428" tooltip="Washington Football Team" display="file:///teams/was/2021.htm" xr:uid="{2B972BDF-BC59-E247-8761-C162EA74D122}"/>
    <hyperlink ref="B227" r:id="rId429" display="file:///players/C/ChubNi00.htm" xr:uid="{46B8B3EF-1C30-9D4D-A389-1AE3588FCD47}"/>
    <hyperlink ref="C227" r:id="rId430" tooltip="Cleveland Browns" display="file:///teams/cle/2021.htm" xr:uid="{15292B16-F014-784E-B7DF-D4462D65252D}"/>
    <hyperlink ref="B228" r:id="rId431" display="file:///players/G/GoodMa00.htm" xr:uid="{4CD6B57F-AFB4-FC4F-A9DD-345621D80EF3}"/>
    <hyperlink ref="C228" r:id="rId432" tooltip="Chicago Bears" display="file:///teams/chi/2021.htm" xr:uid="{E3145EB1-921C-1743-8F75-1920A3F2A03E}"/>
    <hyperlink ref="B229" r:id="rId433" display="file:///players/J/JackDe00.htm" xr:uid="{671FAA34-E534-1B43-A609-78EF816D5D73}"/>
    <hyperlink ref="B230" r:id="rId434" display="file:///players/J/JordBr00.htm" xr:uid="{EB42BC3F-93FC-994F-A34C-470CCE2ED566}"/>
    <hyperlink ref="C230" r:id="rId435" tooltip="Houston Texans" display="file:///teams/htx/2021.htm" xr:uid="{FB258E91-2822-B44C-9EF7-747A994F3F36}"/>
    <hyperlink ref="B231" r:id="rId436" display="file:///players/M/McKeIs00.htm" xr:uid="{F2E4B952-0464-8541-8D74-C0C6E2A93692}"/>
    <hyperlink ref="C231" r:id="rId437" tooltip="Buffalo Bills" display="file:///teams/buf/2021.htm" xr:uid="{5497301E-039B-3D4C-BBB4-2EF2F85B94DF}"/>
    <hyperlink ref="B232" r:id="rId438" display="file:///players/P/ParhDo00.htm" xr:uid="{3EE0CD65-F984-5543-AEFA-2908D394B6BB}"/>
    <hyperlink ref="C232" r:id="rId439" tooltip="Los Angeles Chargers" display="file:///teams/sdg/2021.htm" xr:uid="{050418AF-FD85-4644-9D54-2009F440BC05}"/>
    <hyperlink ref="B233" r:id="rId440" display="file:///players/T/TremTo00.htm" xr:uid="{9BB8BD65-7151-814C-9611-EA6843BAE808}"/>
    <hyperlink ref="C233" r:id="rId441" tooltip="Carolina Panthers" display="file:///teams/car/2021.htm" xr:uid="{0E98F3F7-1EF5-AC46-8B70-F65355ECE796}"/>
    <hyperlink ref="B234" r:id="rId442" display="file:///players/E/EdwaCl00.htm" xr:uid="{4FF0FA20-9416-8944-9AAB-A36ECC426DE4}"/>
    <hyperlink ref="C234" r:id="rId443" tooltip="Kansas City Chiefs" display="file:///teams/kan/2021.htm" xr:uid="{2768797E-2A27-3341-B186-6AED38B1428A}"/>
    <hyperlink ref="B235" r:id="rId444" display="file:///players/G/GentZa00.htm" xr:uid="{5821AB57-6172-B547-A75E-C638C17C11EB}"/>
    <hyperlink ref="C235" r:id="rId445" tooltip="Pittsburgh Steelers" display="file:///teams/pit/2021.htm" xr:uid="{0776822D-EEB0-6E41-9D2A-5345D96D66D9}"/>
    <hyperlink ref="B236" r:id="rId446" display="file:///players/H/HillDo00.htm" xr:uid="{518D7647-DD80-804D-A8C9-CCB9525C0051}"/>
    <hyperlink ref="C236" r:id="rId447" tooltip="Tennessee Titans" display="file:///teams/oti/2021.htm" xr:uid="{28735228-2B1E-D84D-9489-F312429937D5}"/>
    <hyperlink ref="B237" r:id="rId448" display="file:///players/J/JohnDE04.htm" xr:uid="{2F201826-DAC0-0A4A-9B4F-FCBA5D95EF2B}"/>
    <hyperlink ref="C237" r:id="rId449" tooltip="Cleveland Browns" display="file:///teams/cle/2021.htm" xr:uid="{DD8E6BB5-C5CE-394D-9BDA-81A09A1E9C3F}"/>
    <hyperlink ref="B238" r:id="rId450" display="file:///players/M/MitcEl00.htm" xr:uid="{64E61F1D-1C2A-0745-833F-39489A3F247E}"/>
    <hyperlink ref="C238" r:id="rId451" tooltip="San Francisco 49ers" display="file:///teams/sfo/2021.htm" xr:uid="{62625FBD-3B77-0242-8034-36844164079F}"/>
    <hyperlink ref="B239" r:id="rId452" display="file:///players/W/WeslAn01.htm" xr:uid="{38B39B80-3980-FA40-95A2-57455D762F60}"/>
    <hyperlink ref="C239" r:id="rId453" tooltip="Arizona Cardinals" display="file:///teams/crd/2021.htm" xr:uid="{CD0B88B3-9E5F-BE4C-B5EC-C078B9A7A4F3}"/>
    <hyperlink ref="B240" r:id="rId454" display="file:///players/F/FeltDe00.htm" xr:uid="{E08A9C43-859D-6F4E-B443-0476AD9C526D}"/>
    <hyperlink ref="C240" r:id="rId455" tooltip="Cleveland Browns" display="file:///teams/cle/2021.htm" xr:uid="{394AB342-2897-DB4E-8B88-6A19DC02AEEC}"/>
    <hyperlink ref="B241" r:id="rId456" display="file:///players/H/HarrDa06.htm" xr:uid="{79C7C50A-663F-BF4C-9FC7-6BDCCFD67D14}"/>
    <hyperlink ref="C241" r:id="rId457" tooltip="New England Patriots" display="file:///teams/nwe/2021.htm" xr:uid="{47682DC8-74D8-ED40-8346-6F6D4B90BA08}"/>
    <hyperlink ref="B242" r:id="rId458" display="file:///players/H/HenrDe00.htm" xr:uid="{68E68146-E0E9-444B-9BEF-A6E7B606366D}"/>
    <hyperlink ref="C242" r:id="rId459" tooltip="Tennessee Titans" display="file:///teams/oti/2021.htm" xr:uid="{834BE0B6-4069-DD4F-B0AF-B5A9804FACE1}"/>
    <hyperlink ref="B243" r:id="rId460" display="file:///players/T/ThomIa00.htm" xr:uid="{AD4242B3-6D36-794A-9B4F-74A9DB59FE10}"/>
    <hyperlink ref="C243" r:id="rId461" tooltip="Carolina Panthers" display="file:///teams/car/2021.htm" xr:uid="{EC0F3471-344F-A54D-97E3-A60DFB179BF9}"/>
    <hyperlink ref="B244" r:id="rId462" display="file:///players/T/ThomLo00.htm" xr:uid="{083376E0-9316-D04B-B669-771EED42DAEE}"/>
    <hyperlink ref="C244" r:id="rId463" tooltip="Washington Football Team" display="file:///teams/was/2021.htm" xr:uid="{87D5B0E3-07A6-6E44-AA59-26D04211520B}"/>
    <hyperlink ref="B245" r:id="rId464" display="file:///players/T/TonyRo00.htm" xr:uid="{CCE5BAF4-1E5B-3846-AB0D-2DEE4280FCE7}"/>
    <hyperlink ref="C245" r:id="rId465" tooltip="Green Bay Packers" display="file:///teams/gnb/2021.htm" xr:uid="{FE3F7D11-AB86-AF45-9279-138946F3A633}"/>
    <hyperlink ref="B246" r:id="rId466" display="file:///players/Z/ZylsBr00.htm" xr:uid="{F0D858EC-23AA-6D47-8765-9E5B5D290E5F}"/>
    <hyperlink ref="C246" r:id="rId467" tooltip="Carolina Panthers" display="file:///teams/car/2021.htm" xr:uid="{67327599-3D73-CB4C-A4ED-ACF1213D99C1}"/>
    <hyperlink ref="B247" r:id="rId468" display="file:///players/H/HamxC.00.htm" xr:uid="{762FE1E1-8485-8A40-A04D-5A7E1EF56146}"/>
    <hyperlink ref="C247" r:id="rId469" tooltip="Minnesota Vikings" display="file:///teams/min/2021.htm" xr:uid="{5399E911-B751-774A-AD58-EFCFFDB04A03}"/>
    <hyperlink ref="B248" r:id="rId470" display="file:///players/M/MarsTe00.htm" xr:uid="{C252BFF6-ED29-CA47-8E61-228319F13520}"/>
    <hyperlink ref="C248" r:id="rId471" tooltip="Carolina Panthers" display="file:///teams/car/2021.htm" xr:uid="{8C09155E-F502-994F-8363-07B6A2CCD70C}"/>
    <hyperlink ref="B250" r:id="rId472" display="file:///players/A/AndeSt01.htm" xr:uid="{537FE913-AA15-F144-B24E-166BB865CA5B}"/>
    <hyperlink ref="C250" r:id="rId473" tooltip="Los Angeles Chargers" display="file:///teams/sdg/2021.htm" xr:uid="{68603BE9-A28C-8242-BAAD-3D346D05AF82}"/>
    <hyperlink ref="B251" r:id="rId474" display="file:///players/B/BrowNo00.htm" xr:uid="{924ABAAC-13A0-E04B-ACD7-6014F0CD64E8}"/>
    <hyperlink ref="C251" r:id="rId475" tooltip="Dallas Cowboys" display="file:///teams/dal/2021.htm" xr:uid="{F34D033B-AC01-EF46-B390-4842052B2927}"/>
    <hyperlink ref="B252" r:id="rId476" display="file:///players/H/HomeTr00.htm" xr:uid="{203064E2-EFDD-BE4A-8C60-240F4AF40FAD}"/>
    <hyperlink ref="C252" r:id="rId477" tooltip="Seattle Seahawks" display="file:///teams/sea/2021.htm" xr:uid="{167E4697-E7CB-C34B-AA78-30485F336B4D}"/>
    <hyperlink ref="B253" r:id="rId478" display="file:///players/K/KrofTy00.htm" xr:uid="{7C3870BB-E383-EC43-8C02-867A2410A463}"/>
    <hyperlink ref="C253" r:id="rId479" tooltip="New York Jets" display="file:///teams/nyj/2021.htm" xr:uid="{2A0135E1-397D-A741-BCBA-900F385AEF73}"/>
    <hyperlink ref="B254" r:id="rId480" display="file:///players/M/MontTy01.htm" xr:uid="{F15F5817-2808-5544-9FD3-021663CACF61}"/>
    <hyperlink ref="C254" r:id="rId481" tooltip="New Orleans Saints" display="file:///teams/nor/2021.htm" xr:uid="{A63495C3-F8AC-364F-B8AC-521967CB93CF}"/>
    <hyperlink ref="B255" r:id="rId482" display="file:///players/P/ProcJa00.htm" xr:uid="{68249B43-1288-7247-861C-B8A88E94B64E}"/>
    <hyperlink ref="C255" r:id="rId483" tooltip="Baltimore Ravens" display="file:///teams/rav/2021.htm" xr:uid="{63C0A2E8-51FF-D440-83A7-77D98ED9C95E}"/>
    <hyperlink ref="B256" r:id="rId484" display="file:///players/W/WillDa05.htm" xr:uid="{767BEFAF-A271-0148-A820-BD80C709254B}"/>
    <hyperlink ref="C256" r:id="rId485" tooltip="Chicago Bears" display="file:///teams/chi/2021.htm" xr:uid="{E63C4635-1FA1-D642-9EBD-BEE15C1F39B0}"/>
    <hyperlink ref="B257" r:id="rId486" display="file:///players/W/WillMa04.htm" xr:uid="{4521B775-191A-8549-93EF-D209ECF69296}"/>
    <hyperlink ref="C257" r:id="rId487" tooltip="Arizona Cardinals" display="file:///teams/crd/2021.htm" xr:uid="{D0B5B8A2-9737-4C47-951D-9A3F07838986}"/>
    <hyperlink ref="B258" r:id="rId488" display="file:///players/C/CephQu00.htm" xr:uid="{829FED18-E363-D544-9B02-2B79F0FB9340}"/>
    <hyperlink ref="C258" r:id="rId489" tooltip="Detroit Lions" display="file:///teams/det/2021.htm" xr:uid="{F68808EF-6063-A24B-A647-FA606B7AC8F2}"/>
    <hyperlink ref="B259" r:id="rId490" display="file:///players/E/EvanCh02.htm" xr:uid="{7A224FE2-570F-6F4D-B01A-26582D83F91E}"/>
    <hyperlink ref="C259" r:id="rId491" tooltip="Cincinnati Bengals" display="file:///teams/cin/2021.htm" xr:uid="{7229344C-7C14-5C4E-833C-07E703B88246}"/>
    <hyperlink ref="B260" r:id="rId492" display="file:///players/H/HintKe00.htm" xr:uid="{CD781489-6180-DD45-956F-1F0256EB223B}"/>
    <hyperlink ref="C260" r:id="rId493" tooltip="Denver Broncos" display="file:///teams/den/2021.htm" xr:uid="{5287C236-6AFC-604C-A67B-BBF58F740291}"/>
    <hyperlink ref="B261" r:id="rId494" display="file:///players/S/SanuMo00.htm" xr:uid="{D348C053-0974-C140-AF5D-F7848CE46714}"/>
    <hyperlink ref="C261" r:id="rId495" tooltip="San Francisco 49ers" display="file:///teams/sfo/2021.htm" xr:uid="{F4DD404B-1A20-0647-8F18-6D626FB9B5F7}"/>
    <hyperlink ref="B262" r:id="rId496" display="file:///players/S/SimsCa00.htm" xr:uid="{DDD3463A-0F3C-834B-A25C-2D3FD6D2809C}"/>
    <hyperlink ref="C262" r:id="rId497" tooltip="Washington Football Team" display="file:///teams/was/2021.htm" xr:uid="{12C9A4A4-1C06-384E-972D-A6C4AC42D24B}"/>
    <hyperlink ref="B263" r:id="rId498" display="file:///players/S/SmitJu00.htm" xr:uid="{0B75E18C-E613-7A44-BF81-C3452B0364F7}"/>
    <hyperlink ref="C263" r:id="rId499" tooltip="Pittsburgh Steelers" display="file:///teams/pit/2021.htm" xr:uid="{CD821136-9237-7740-BAF9-A0F87D9778D3}"/>
    <hyperlink ref="B264" r:id="rId500" display="file:///players/G/GrahJi00.htm" xr:uid="{608A6FC0-9D4F-6147-B975-DE67925AD1D2}"/>
    <hyperlink ref="C264" r:id="rId501" tooltip="Chicago Bears" display="file:///teams/chi/2021.htm" xr:uid="{7CC5AE0C-867B-234D-B620-189B9493E933}"/>
    <hyperlink ref="B265" r:id="rId502" display="file:///players/H/HerbKh00.htm" xr:uid="{31E11DC4-9ADC-C544-B318-1FAD1D8C9070}"/>
    <hyperlink ref="C265" r:id="rId503" tooltip="Chicago Bears" display="file:///teams/chi/2021.htm" xr:uid="{701B56B7-21E7-234A-BF21-6B0BF9956FF5}"/>
    <hyperlink ref="B266" r:id="rId504" display="file:///players/H/HollMa00.htm" xr:uid="{C64BA544-4CB7-F948-9369-C984461B1D78}"/>
    <hyperlink ref="C266" r:id="rId505" tooltip="Miami Dolphins" display="file:///teams/mia/2021.htm" xr:uid="{C14F1F20-FF88-2641-AC55-694479F0521E}"/>
    <hyperlink ref="B267" r:id="rId506" display="file:///players/H/HowaO.00.htm" xr:uid="{4A3EFBF7-B329-994D-8F82-A7AF5C5825CB}"/>
    <hyperlink ref="C267" r:id="rId507" tooltip="Tampa Bay Buccaneers" display="file:///teams/tam/2021.htm" xr:uid="{8105E7AA-0197-394C-92CB-90FD7350A74B}"/>
    <hyperlink ref="B268" r:id="rId508" display="file:///players/P/PruiMy00.htm" xr:uid="{149BC93D-7F21-2D45-8164-C1B071B70854}"/>
    <hyperlink ref="C268" r:id="rId509" tooltip="Tennessee Titans" display="file:///teams/oti/2021.htm" xr:uid="{2E4371EE-6688-F643-BEF5-E25F47C74B59}"/>
    <hyperlink ref="B269" r:id="rId510" display="file:///players/S/StevRh00.htm" xr:uid="{8C7E13F6-91B4-DC45-AAEE-66F13AAC8A20}"/>
    <hyperlink ref="C269" r:id="rId511" tooltip="New England Patriots" display="file:///teams/nwe/2021.htm" xr:uid="{4D662EDD-7B4D-5140-85D9-3B3245AD05DE}"/>
    <hyperlink ref="B270" r:id="rId512" display="file:///players/D/DuliAs00.htm" xr:uid="{18CF8A22-D941-0D49-B596-4F706C9BBEEC}"/>
    <hyperlink ref="C270" r:id="rId513" tooltip="Indianapolis Colts" display="file:///teams/clt/2021.htm" xr:uid="{5840DAD6-5F44-3B4F-B385-907D4A80494B}"/>
    <hyperlink ref="B271" r:id="rId514" display="file:///players/H/HodgKh00.htm" xr:uid="{A65825DD-C305-E345-A67D-5F537A39E94A}"/>
    <hyperlink ref="C271" r:id="rId515" tooltip="Detroit Lions" display="file:///teams/det/2021.htm" xr:uid="{C4FC1B57-DB82-534D-8B1A-771418820D02}"/>
    <hyperlink ref="B272" r:id="rId516" display="file:///players/H/HumpLi01.htm" xr:uid="{BA9FFDD4-EA6B-8D4A-8993-F931C3CFF405}"/>
    <hyperlink ref="C272" r:id="rId517" tooltip="New Orleans Saints" display="file:///teams/nor/2021.htm" xr:uid="{3EDBCB29-09A8-4147-B7C4-835B21449C6E}"/>
    <hyperlink ref="B273" r:id="rId518" display="file:///players/J/JohnJu02.htm" xr:uid="{BBBE28E2-0A5E-2047-B0F4-AD96EFABE914}"/>
    <hyperlink ref="C273" r:id="rId519" tooltip="New Orleans Saints" display="file:///teams/nor/2021.htm" xr:uid="{A0802166-6D07-A946-8061-B01174C55838}"/>
    <hyperlink ref="B274" r:id="rId520" display="file:///players/M/McKiJe00.htm" xr:uid="{AE23DA08-7F7C-0141-B22E-4607CD410692}"/>
    <hyperlink ref="C274" r:id="rId521" tooltip="Kansas City Chiefs" display="file:///teams/kan/2021.htm" xr:uid="{43E52643-2622-5441-B918-5CDADB797B35}"/>
    <hyperlink ref="B275" r:id="rId522" display="file:///players/O/OgunDa00.htm" xr:uid="{031EAA7B-15C2-C740-A480-E56360AFBB16}"/>
    <hyperlink ref="C275" r:id="rId523" tooltip="Jacksonville Jaguars" display="file:///teams/jax/2021.htm" xr:uid="{D9C04713-060D-6E4C-9AA0-94CA001C6F1D}"/>
    <hyperlink ref="B276" r:id="rId524" display="file:///players/S/ScotBo02.htm" xr:uid="{CD6281FB-3260-8F44-A2BB-701BB671CBA1}"/>
    <hyperlink ref="C276" r:id="rId525" tooltip="Philadelphia Eagles" display="file:///teams/phi/2021.htm" xr:uid="{7A1B9BB9-9935-2745-9A99-F0C8A120357F}"/>
    <hyperlink ref="B277" r:id="rId526" display="file:///players/A/AhmeSa01.htm" xr:uid="{4E205CFD-C4AE-2242-AF13-EC4734C70500}"/>
    <hyperlink ref="C277" r:id="rId527" tooltip="Miami Dolphins" display="file:///teams/mia/2021.htm" xr:uid="{8BD454F9-CFE3-F24A-BB19-9ADFD738EA1C}"/>
    <hyperlink ref="B278" r:id="rId528" display="file:///players/B/BrowDy00.htm" xr:uid="{E5A625A5-2258-374B-8146-A73D598EB719}"/>
    <hyperlink ref="C278" r:id="rId529" tooltip="Washington Football Team" display="file:///teams/was/2021.htm" xr:uid="{39B07B58-1EF9-CB4E-9571-335A3D1070B9}"/>
    <hyperlink ref="B279" r:id="rId530" display="file:///players/E/EbroEr00.htm" xr:uid="{6937AFF5-48A9-E649-8D5C-74EF692D479F}"/>
    <hyperlink ref="C279" r:id="rId531" tooltip="Pittsburgh Steelers" display="file:///teams/pit/2021.htm" xr:uid="{1A2BD6EF-DE25-AD44-8E2B-343EC1CD5B72}"/>
    <hyperlink ref="B281" r:id="rId532" display="file:///players/F/FordIs00.htm" xr:uid="{44695589-433B-924E-94A6-7F2B9798A043}"/>
    <hyperlink ref="C281" r:id="rId533" tooltip="Miami Dolphins" display="file:///teams/mia/2021.htm" xr:uid="{8D035494-FB6A-4144-B4A7-539AA7283919}"/>
    <hyperlink ref="B282" r:id="rId534" display="file:///players/H/HarrNK00.htm" xr:uid="{94121E6D-87DA-A348-811C-DD8C61B24E68}"/>
    <hyperlink ref="C282" r:id="rId535" tooltip="New England Patriots" display="file:///teams/nwe/2021.htm" xr:uid="{2D8645D1-9887-8E4E-BF4F-8544D69BE496}"/>
    <hyperlink ref="B283" r:id="rId536" display="file:///players/H/HydeCa00.htm" xr:uid="{F18D758A-ED23-6047-80D6-CFBFDB7A2F5A}"/>
    <hyperlink ref="C283" r:id="rId537" tooltip="Jacksonville Jaguars" display="file:///teams/jax/2021.htm" xr:uid="{E614E172-3A19-B343-AF1F-63EB5EF6C8D2}"/>
    <hyperlink ref="B284" r:id="rId538" display="file:///players/R/RichJa01.htm" xr:uid="{0DBD4014-EC39-D347-9643-76715F62A9FF}"/>
    <hyperlink ref="C284" r:id="rId539" tooltip="Las Vegas Raiders" display="file:///teams/rai/2021.htm" xr:uid="{4E586A11-B84A-1841-A362-E505C24B0F1F}"/>
    <hyperlink ref="B285" r:id="rId540" display="file:///players/S/ShahAd00.htm" xr:uid="{CC373C55-B687-F744-89B8-1A4EC269F1DD}"/>
    <hyperlink ref="C285" r:id="rId541" tooltip="Miami Dolphins" display="file:///teams/mia/2021.htm" xr:uid="{3951452A-8BB9-8943-B20C-74F8A12CD442}"/>
    <hyperlink ref="B286" r:id="rId542" display="file:///players/T/TurnMa00.htm" xr:uid="{B9A48A82-4B1A-B84C-BE76-422ED40DA6B1}"/>
    <hyperlink ref="C286" r:id="rId543" tooltip="Dallas Cowboys" display="file:///teams/dal/2021.htm" xr:uid="{DBAAFC0C-3982-D94C-BDBB-5D43DF2E9006}"/>
    <hyperlink ref="B287" r:id="rId544" display="file:///players/W/WhitJa02.htm" xr:uid="{696ADB44-24EB-A947-B182-3766D517C58F}"/>
    <hyperlink ref="C287" r:id="rId545" tooltip="New England Patriots" display="file:///teams/nwe/2021.htm" xr:uid="{7831BAA1-BA2A-A945-8687-F49BE9D8B8F8}"/>
    <hyperlink ref="B288" r:id="rId546" display="file:///players/W/WrigBr01.htm" xr:uid="{6E4F9AA8-2977-DB49-8D87-9AF1074227A0}"/>
    <hyperlink ref="C288" r:id="rId547" tooltip="Detroit Lions" display="file:///teams/det/2021.htm" xr:uid="{45FC3AD1-B613-2044-B832-DFF399BF12B6}"/>
    <hyperlink ref="B289" r:id="rId548" display="file:///players/C/ColeTe01.htm" xr:uid="{C147F0DA-0A1B-3A4E-A8A1-5F566D649899}"/>
    <hyperlink ref="C289" r:id="rId549" tooltip="New York Jets" display="file:///teams/nyj/2021.htm" xr:uid="{E4D4737F-6DC2-E440-B41A-E07052632040}"/>
    <hyperlink ref="B290" r:id="rId550" display="file:///players/G/GranKy00.htm" xr:uid="{4A021380-2B3A-9D47-8ED2-65ED85323EE1}"/>
    <hyperlink ref="C290" r:id="rId551" tooltip="Indianapolis Colts" display="file:///teams/clt/2021.htm" xr:uid="{DBE869BF-6BFA-A648-92FE-89296E37E318}"/>
    <hyperlink ref="B291" r:id="rId552" display="file:///players/G/GranJa00.htm" xr:uid="{D763FA4B-63C0-9144-90FD-9F268AAFA03B}"/>
    <hyperlink ref="B292" r:id="rId553" display="file:///players/J/JarwBl00.htm" xr:uid="{5C05F0B8-0BDC-CE49-9D95-A43B51AB551B}"/>
    <hyperlink ref="C292" r:id="rId554" tooltip="Dallas Cowboys" display="file:///teams/dal/2021.htm" xr:uid="{4DFD4A01-00E3-5C4F-8831-FE763842ECCF}"/>
    <hyperlink ref="B293" r:id="rId555" display="file:///players/J/JohnCo01.htm" xr:uid="{3084D1E3-9060-3B42-9143-A4C45FD2FC2C}"/>
    <hyperlink ref="C293" r:id="rId556" tooltip="New York Giants" display="file:///teams/nyg/2021.htm" xr:uid="{A6DCF5EE-5258-224A-88DF-8B43221C7FA6}"/>
    <hyperlink ref="B294" r:id="rId557" display="file:///players/P/PerrBr02.htm" xr:uid="{12CB202F-B161-8B43-AC71-E46B0F6A84FE}"/>
    <hyperlink ref="C294" r:id="rId558" tooltip="Tampa Bay Buccaneers" display="file:///teams/tam/2021.htm" xr:uid="{347F916E-9C0D-6D4C-9F19-C1E7F0B5CC42}"/>
    <hyperlink ref="B295" r:id="rId559" display="file:///players/R/RossJo00.htm" xr:uid="{4EDF0ED5-E533-5F42-9BA3-8B3409889044}"/>
    <hyperlink ref="C295" r:id="rId560" tooltip="New York Giants" display="file:///teams/nyg/2021.htm" xr:uid="{918AD61B-9DA2-2E48-BDAC-AE320EE40D11}"/>
    <hyperlink ref="B296" r:id="rId561" display="file:///players/S/SampDr00.htm" xr:uid="{EDF072F7-7C97-8E4D-B54F-FA9E9745E7B8}"/>
    <hyperlink ref="C296" r:id="rId562" tooltip="Cincinnati Bengals" display="file:///teams/cin/2021.htm" xr:uid="{B3D978E0-CB3D-DC40-A81A-D6F73E2C5E19}"/>
    <hyperlink ref="B297" r:id="rId563" display="file:///players/S/SkowBe00.htm" xr:uid="{739C4982-68FE-C844-A62E-CEA135E0CB17}"/>
    <hyperlink ref="C297" r:id="rId564" tooltip="Los Angeles Rams" display="file:///teams/ram/2021.htm" xr:uid="{3EF70D8E-C286-5049-8960-D12FD1265340}"/>
    <hyperlink ref="B298" r:id="rId565" display="file:///players/B/BarbPe01.htm" xr:uid="{64BB7DD4-A04E-F34E-9248-B23BBCDEF904}"/>
    <hyperlink ref="C298" r:id="rId566" tooltip="Las Vegas Raiders" display="file:///teams/rai/2021.htm" xr:uid="{61FAFE42-B629-644A-B053-69D49622A70B}"/>
    <hyperlink ref="B299" r:id="rId567" display="file:///players/B/BensTr00.htm" xr:uid="{15845FB3-D52E-0D44-A68E-BDA0B1F3F048}"/>
    <hyperlink ref="C299" r:id="rId568" tooltip="Detroit Lions" display="file:///teams/det/2021.htm" xr:uid="{C6AF8AF6-3E62-5C43-962B-03C3D8515993}"/>
    <hyperlink ref="B300" r:id="rId569" display="file:///players/C/CampPa00.htm" xr:uid="{E03711FF-96F2-4A4D-8365-E03F997C4602}"/>
    <hyperlink ref="C300" r:id="rId570" tooltip="Indianapolis Colts" display="file:///teams/clt/2021.htm" xr:uid="{C07F8AED-86A8-D84D-B3B9-5019C7384283}"/>
    <hyperlink ref="B301" r:id="rId571" display="file:///players/E/EskrDW00.htm" xr:uid="{6E979220-5825-F84B-9D10-371B750EE8BE}"/>
    <hyperlink ref="C301" r:id="rId572" tooltip="Seattle Seahawks" display="file:///teams/sea/2021.htm" xr:uid="{1A895B81-D1B3-884A-A197-D8C58C7C9354}"/>
    <hyperlink ref="B302" r:id="rId573" display="file:///players/F/FreeRo00.htm" xr:uid="{22B2958D-5A77-0141-A1A5-F0261CD5954B}"/>
    <hyperlink ref="B303" r:id="rId574" display="file:///players/G/GrayCy01.htm" xr:uid="{A1421E68-75AC-ED40-8DD9-A42331D96FA8}"/>
    <hyperlink ref="C303" r:id="rId575" tooltip="Tampa Bay Buccaneers" display="file:///teams/tam/2021.htm" xr:uid="{3F53E795-5922-4A44-8DC6-EBACF7F7128F}"/>
    <hyperlink ref="B304" r:id="rId576" display="file:///players/I/IngoAl01.htm" xr:uid="{410F954F-5CD5-644A-93B6-0CD2BD172719}"/>
    <hyperlink ref="C304" r:id="rId577" tooltip="Las Vegas Raiders" display="file:///teams/rai/2021.htm" xr:uid="{EF5FC00D-7FB0-EB4E-95C3-64D43376B61D}"/>
    <hyperlink ref="B305" r:id="rId578" display="file:///players/J/JoneRo01.htm" xr:uid="{B36E796E-2A4A-414F-A055-4906EC80DBC1}"/>
    <hyperlink ref="C305" r:id="rId579" tooltip="Tampa Bay Buccaneers" display="file:///teams/tam/2021.htm" xr:uid="{6B07659A-192D-C749-8EAF-77E7B8E759D9}"/>
    <hyperlink ref="B306" r:id="rId580" display="file:///players/M/MurrLa00.htm" xr:uid="{60FB495A-81FC-2240-830A-A300E957EC51}"/>
    <hyperlink ref="C306" r:id="rId581" tooltip="Baltimore Ravens" display="file:///teams/rav/2021.htm" xr:uid="{4FC30448-A8CB-DB46-84F3-2C028CB4EDEF}"/>
    <hyperlink ref="B307" r:id="rId582" display="file:///players/P/PattJa01.htm" xr:uid="{1BF34D36-F6A8-B049-B002-10E703CDA1C5}"/>
    <hyperlink ref="C307" r:id="rId583" tooltip="Washington Football Team" display="file:///teams/was/2021.htm" xr:uid="{19C43B0A-8F9D-FE47-BAEC-A653C0153AE4}"/>
    <hyperlink ref="B308" r:id="rId584" display="file:///players/P/PettDa00.htm" xr:uid="{1AA8BBA9-78F0-7E41-B697-52053076A41A}"/>
    <hyperlink ref="C308" r:id="rId585" tooltip="New York Giants" display="file:///teams/nyg/2021.htm" xr:uid="{0E69A963-335F-5D46-9A30-89E2E859B87F}"/>
    <hyperlink ref="B309" r:id="rId586" display="file:///players/S/SchwAn00.htm" xr:uid="{05900AFD-ECB5-5B43-9C60-B718ECCD06A3}"/>
    <hyperlink ref="C309" r:id="rId587" tooltip="Cleveland Browns" display="file:///teams/cle/2021.htm" xr:uid="{FF0C1265-C4A8-2549-9EA2-CD84C1E99F25}"/>
    <hyperlink ref="B310" r:id="rId588" display="file:///players/W/WestDe00.htm" xr:uid="{0A8A94C1-D6BF-F14B-8236-688747067BD3}"/>
    <hyperlink ref="C310" r:id="rId589" tooltip="Minnesota Vikings" display="file:///teams/min/2021.htm" xr:uid="{E052CD47-D72D-8648-A14B-81988AD1D05E}"/>
    <hyperlink ref="B312" r:id="rId590" display="file:///players/B/BellBl00.htm" xr:uid="{2E8DFA73-CAC2-6F44-808B-716B9AEB7BD3}"/>
    <hyperlink ref="C312" r:id="rId591" tooltip="Kansas City Chiefs" display="file:///teams/kan/2021.htm" xr:uid="{695AE820-A288-504C-A5DF-929E4F499FD9}"/>
    <hyperlink ref="B313" r:id="rId592" display="file:///players/C/CollAl00.htm" xr:uid="{42DE3F83-4573-2043-852F-97AC6F37D060}"/>
    <hyperlink ref="C313" r:id="rId593" tooltip="Seattle Seahawks" display="file:///teams/sea/2021.htm" xr:uid="{25A61A77-B5D5-FF4C-9354-CAEABD8DC916}"/>
    <hyperlink ref="B314" r:id="rId594" display="file:///players/F/ForeDO00.htm" xr:uid="{16DE4059-4254-BE49-B3CE-710A47063256}"/>
    <hyperlink ref="C314" r:id="rId595" tooltip="Tennessee Titans" display="file:///teams/oti/2021.htm" xr:uid="{900EC419-E61F-F044-B7E3-600BB1168118}"/>
    <hyperlink ref="B315" r:id="rId596" display="file:///players/H/HollJa03.htm" xr:uid="{624B4A7B-FB53-594F-825C-E2811EE5A80B}"/>
    <hyperlink ref="C315" r:id="rId597" tooltip="Jacksonville Jaguars" display="file:///teams/jax/2021.htm" xr:uid="{DECEDD5D-CEA6-3444-B4DC-63EAC1E401C1}"/>
    <hyperlink ref="B316" r:id="rId598" display="file:///players/J/JohnMa07.htm" xr:uid="{F64CB015-5913-6044-BB2D-CAE865134213}"/>
    <hyperlink ref="C316" r:id="rId599" tooltip="Tennessee Titans" display="file:///teams/oti/2021.htm" xr:uid="{9296A113-88DC-5B40-86AE-7979CA49CE81}"/>
    <hyperlink ref="B317" r:id="rId600" display="file:///players/M/MilnDa00.htm" xr:uid="{4938AA8D-9972-4B48-89E4-8D7B1A08AEF8}"/>
    <hyperlink ref="C317" r:id="rId601" tooltip="Washington Football Team" display="file:///teams/was/2021.htm" xr:uid="{A52FFFC1-2148-EA4E-AB1D-12D2533F28D7}"/>
    <hyperlink ref="B318" r:id="rId602" display="file:///players/O/OlivJo00.htm" xr:uid="{46E6F400-9438-A54A-8917-23AE9536755A}"/>
    <hyperlink ref="C318" r:id="rId603" tooltip="Baltimore Ravens" display="file:///teams/rav/2021.htm" xr:uid="{244F57D4-49F7-6B42-8BBC-E78650F7182B}"/>
    <hyperlink ref="B319" r:id="rId604" display="file:///players/P/PennEl00.htm" xr:uid="{28DFC4E4-1ED6-1740-9E5F-EBECD2D45E84}"/>
    <hyperlink ref="C319" r:id="rId605" tooltip="New York Giants" display="file:///teams/nyg/2021.htm" xr:uid="{16CD2A92-22BC-144C-B3C5-7425ECFA2738}"/>
    <hyperlink ref="B320" r:id="rId606" display="file:///players/S/SherTr00.htm" xr:uid="{B09B8F07-7502-0844-82D2-5CD2DB60B8D8}"/>
    <hyperlink ref="C320" r:id="rId607" tooltip="San Francisco 49ers" display="file:///teams/sfo/2021.htm" xr:uid="{44BA97AF-708F-784F-96B0-89DE04B6A375}"/>
    <hyperlink ref="B321" r:id="rId608" display="file:///players/S/SmitKe03.htm" xr:uid="{4FEC1B3D-499F-3741-AE47-2ECA9D171504}"/>
    <hyperlink ref="C321" r:id="rId609" tooltip="Atlanta Falcons" display="file:///teams/atl/2021.htm" xr:uid="{9E4E8826-45E4-9346-8EBF-2174BEA2A443}"/>
    <hyperlink ref="B322" r:id="rId610" display="file:///players/S/SmitLe00.htm" xr:uid="{32A97B91-89BF-8641-8D28-8CDF96B51B38}"/>
    <hyperlink ref="C322" r:id="rId611" tooltip="Atlanta Falcons" display="file:///teams/atl/2021.htm" xr:uid="{D6105248-D848-3343-ADAC-3604A5C81E5E}"/>
    <hyperlink ref="B323" r:id="rId612" display="file:///players/S/St.BEq00.htm" xr:uid="{971CCDE7-F7BA-564F-B44D-C32365482061}"/>
    <hyperlink ref="C323" r:id="rId613" tooltip="Green Bay Packers" display="file:///teams/gnb/2021.htm" xr:uid="{2E8C6181-4AD8-014E-BCB9-5AB84ED69661}"/>
    <hyperlink ref="B324" r:id="rId614" display="file:///players/S/SweeTo00.htm" xr:uid="{E2A3ED71-8BF0-0049-9ECE-BFE70950E3ED}"/>
    <hyperlink ref="C324" r:id="rId615" tooltip="Buffalo Bills" display="file:///teams/buf/2021.htm" xr:uid="{0E9FD7BE-2313-3C42-8177-33A51E97CF40}"/>
    <hyperlink ref="B325" r:id="rId616" display="file:///players/V/VannNi00.htm" xr:uid="{16F0091B-0C14-A64F-A770-623E7C8E1F64}"/>
    <hyperlink ref="C325" r:id="rId617" tooltip="New Orleans Saints" display="file:///teams/nor/2021.htm" xr:uid="{7B45DF82-8CA5-B040-86D6-75BD010EC7F8}"/>
    <hyperlink ref="B326" r:id="rId618" display="file:///players/W/WillTy01.htm" xr:uid="{0894B670-F872-4E42-98C8-96FAC3D3625A}"/>
    <hyperlink ref="C326" r:id="rId619" tooltip="Baltimore Ravens" display="file:///teams/rav/2021.htm" xr:uid="{D987C3EC-B282-514D-8B09-F5CCC893FA46}"/>
    <hyperlink ref="B327" r:id="rId620" display="file:///players/G/GoreDe00.htm" xr:uid="{FA06A946-EFC2-A444-88AD-0BAB9A967DBF}"/>
    <hyperlink ref="C327" r:id="rId621" tooltip="Kansas City Chiefs" display="file:///teams/kan/2021.htm" xr:uid="{2F266805-CAD9-B34D-9003-9B0FAD710868}"/>
    <hyperlink ref="B328" r:id="rId622" display="file:///players/M/MimsDe00.htm" xr:uid="{A5930DEE-8453-114A-AC69-6F9BE1E0DCD8}"/>
    <hyperlink ref="C328" r:id="rId623" tooltip="New York Jets" display="file:///teams/nyj/2021.htm" xr:uid="{E87449D3-7A29-C847-84FC-614F92F9D253}"/>
    <hyperlink ref="B329" r:id="rId624" display="file:///players/R/RicaPa00.htm" xr:uid="{C9581ACC-4674-BF4B-BF25-46E8B6C8C7C3}"/>
    <hyperlink ref="C329" r:id="rId625" tooltip="Baltimore Ravens" display="file:///teams/rav/2021.htm" xr:uid="{AAEDE363-BB40-F843-A646-1F7E547CC2B5}"/>
    <hyperlink ref="B330" r:id="rId626" display="file:///players/S/SaubEr00.htm" xr:uid="{83FB4D5A-1740-4540-A9BB-3BA23C460488}"/>
    <hyperlink ref="C330" r:id="rId627" tooltip="Denver Broncos" display="file:///teams/den/2021.htm" xr:uid="{CA53389C-EA55-1A45-9888-75D776B9EBE0}"/>
    <hyperlink ref="B331" r:id="rId628" display="file:///players/S/SmitJe03.htm" xr:uid="{9F183F99-9437-F94D-AEA8-65BADD36D1E2}"/>
    <hyperlink ref="C331" r:id="rId629" tooltip="New York Jets" display="file:///teams/nyj/2021.htm" xr:uid="{60C9DF0D-1B30-0045-AAB9-2DB22FF76F59}"/>
    <hyperlink ref="B332" r:id="rId630" display="file:///players/W/WinfJu00.htm" xr:uid="{0DB417A4-A45B-3D41-BF80-E9C3D3489993}"/>
    <hyperlink ref="C332" r:id="rId631" tooltip="Green Bay Packers" display="file:///teams/gnb/2021.htm" xr:uid="{4EA615FB-985B-CD4A-8EF6-A19094404386}"/>
    <hyperlink ref="B333" r:id="rId632" display="file:///players/B/BreiMa00.htm" xr:uid="{1C3F65F9-F527-044C-8C22-8D79F5E2F6D9}"/>
    <hyperlink ref="C333" r:id="rId633" tooltip="Buffalo Bills" display="file:///teams/buf/2021.htm" xr:uid="{BF14CE05-8382-5446-BB71-9366D0C809E1}"/>
    <hyperlink ref="B334" r:id="rId634" display="file:///players/C/CharDJ00.htm" xr:uid="{EECD64C0-F877-554B-8E22-6EC8D1DA9663}"/>
    <hyperlink ref="C334" r:id="rId635" tooltip="Jacksonville Jaguars" display="file:///teams/jax/2021.htm" xr:uid="{9480DCC6-6248-8841-A8D6-420455B5A9BE}"/>
    <hyperlink ref="B335" r:id="rId636" display="file:///players/D/DorsPh00.htm" xr:uid="{DEB4ED45-2F25-0E42-AFB6-9D629E2C2EDB}"/>
    <hyperlink ref="B336" r:id="rId637" display="file:///players/F/FarrLu00.htm" xr:uid="{9C31BDAF-F31B-C34C-9299-9090DC57E100}"/>
    <hyperlink ref="C336" r:id="rId638" tooltip="Jacksonville Jaguars" display="file:///teams/jax/2021.htm" xr:uid="{CD3713AE-8D60-684C-AD94-516021B83271}"/>
    <hyperlink ref="B337" r:id="rId639" display="file:///players/G/GrayNo00.htm" xr:uid="{8C883FE6-FDA9-A347-AC6F-6298AD6777DC}"/>
    <hyperlink ref="C337" r:id="rId640" tooltip="Kansas City Chiefs" display="file:///teams/kan/2021.htm" xr:uid="{ADF1E34B-C5D4-C546-8D5E-DC3EC4339071}"/>
    <hyperlink ref="B338" r:id="rId641" display="file:///players/H/HartPe01.htm" xr:uid="{4A7D2A26-D727-BC4E-8D66-84D12DECEF01}"/>
    <hyperlink ref="C338" r:id="rId642" tooltip="Seattle Seahawks" display="file:///teams/sea/2021.htm" xr:uid="{D838EAF0-C765-184A-AA88-B28D2E065C31}"/>
    <hyperlink ref="B339" r:id="rId643" display="file:///players/I/IgweGo00.htm" xr:uid="{848B8D8A-C56A-6341-BAA3-E7F77B10F4D8}"/>
    <hyperlink ref="C339" r:id="rId644" tooltip="Detroit Lions" display="file:///teams/det/2021.htm" xr:uid="{B874FAB9-F04B-1E4F-AF8A-14693D9891F7}"/>
    <hyperlink ref="B340" r:id="rId645" display="file:///players/J/JameJe00.htm" xr:uid="{215F0904-288D-D144-B600-666D1ECC5AC1}"/>
    <hyperlink ref="C340" r:id="rId646" tooltip="Chicago Bears" display="file:///teams/chi/2021.htm" xr:uid="{5C850117-62F8-2B43-A2F5-2855E775EDD1}"/>
    <hyperlink ref="B341" r:id="rId647" display="file:///players/R/ReynCr00.htm" xr:uid="{D024E3D8-209B-364E-870B-2924660A1DF5}"/>
    <hyperlink ref="C341" r:id="rId648" tooltip="Detroit Lions" display="file:///teams/det/2021.htm" xr:uid="{52E40FE7-FBA1-9840-8C47-D18748AA554A}"/>
    <hyperlink ref="B343" r:id="rId649" display="file:///players/W/WardGr02.htm" xr:uid="{6DC580E8-A871-AB45-A6DD-4EEEB970C471}"/>
    <hyperlink ref="C343" r:id="rId650" tooltip="Philadelphia Eagles" display="file:///teams/phi/2021.htm" xr:uid="{C1A2FA71-CB2F-0C47-B6B5-3A23480A3AFE}"/>
    <hyperlink ref="B344" r:id="rId651" display="file:///players/W/WilsJe01.htm" xr:uid="{8933AA53-E40D-7446-8FAC-E06A79C4B5FB}"/>
    <hyperlink ref="C344" r:id="rId652" tooltip="San Francisco 49ers" display="file:///teams/sfo/2021.htm" xr:uid="{F1C51FF1-A79D-6844-B1C0-C899B66A2567}"/>
    <hyperlink ref="B345" r:id="rId653" display="file:///players/B/BenjEn00.htm" xr:uid="{0BD501D9-1257-8C41-A0C9-B7AE4017BA0A}"/>
    <hyperlink ref="C345" r:id="rId654" tooltip="Arizona Cardinals" display="file:///teams/crd/2021.htm" xr:uid="{AE4A8760-5BBB-7844-88BD-C7418EB2FF15}"/>
    <hyperlink ref="B346" r:id="rId655" display="file:///players/C/CarsCh00.htm" xr:uid="{30C78AE8-14D2-0B4B-8147-2496322438CA}"/>
    <hyperlink ref="C346" r:id="rId656" tooltip="Seattle Seahawks" display="file:///teams/sea/2021.htm" xr:uid="{23B4E9C3-779C-7D45-88DA-A973C445572D}"/>
    <hyperlink ref="B347" r:id="rId657" display="file:///players/C/ClemCo00.htm" xr:uid="{C4768CB2-78BB-1A4D-B511-381777FA40C8}"/>
    <hyperlink ref="C347" r:id="rId658" tooltip="Dallas Cowboys" display="file:///teams/dal/2021.htm" xr:uid="{A18A61A9-4869-8643-9A31-AE4A02134EF5}"/>
    <hyperlink ref="B348" r:id="rId659" display="file:///players/D/DardJa00.htm" xr:uid="{A4B06E1B-E092-184E-88BC-120067C94627}"/>
    <hyperlink ref="C348" r:id="rId660" tooltip="Tampa Bay Buccaneers" display="file:///teams/tam/2021.htm" xr:uid="{0B86452B-1B89-0346-85F0-DFCDD7018147}"/>
    <hyperlink ref="B349" r:id="rId661" display="file:///players/K/KennTo01.htm" xr:uid="{2E6153BC-D6E3-F649-AF02-42EB87804E7E}"/>
    <hyperlink ref="C349" r:id="rId662" tooltip="Detroit Lions" display="file:///teams/det/2021.htm" xr:uid="{C0C21B51-8050-FE46-A0C0-A0CAA1DD96B3}"/>
    <hyperlink ref="B350" r:id="rId663" display="file:///players/M/ManhCh00.htm" xr:uid="{AAEB0AD3-0616-8843-BEF7-C7BBB7CF95CF}"/>
    <hyperlink ref="C350" r:id="rId664" tooltip="Jacksonville Jaguars" display="file:///teams/jax/2021.htm" xr:uid="{83AC8E5B-670C-2145-BB97-5D9ADEB87030}"/>
    <hyperlink ref="B351" r:id="rId665" display="file:///players/M/McKiTr00.htm" xr:uid="{2466E135-B345-F54B-A916-4C0DF14E2B35}"/>
    <hyperlink ref="C351" r:id="rId666" tooltip="Los Angeles Chargers" display="file:///teams/sdg/2021.htm" xr:uid="{6B5598AA-0771-FC4A-A833-DCF3B0B655A2}"/>
    <hyperlink ref="B352" r:id="rId667" display="file:///players/M/MillAn02.htm" xr:uid="{599F18FD-9E40-134D-B6B7-0091FB6A8E4A}"/>
    <hyperlink ref="B353" r:id="rId668" display="file:///players/P/PennRa00.htm" xr:uid="{8022741C-2977-C749-8774-5646C1AC5489}"/>
    <hyperlink ref="C353" r:id="rId669" tooltip="Seattle Seahawks" display="file:///teams/sea/2021.htm" xr:uid="{F2F7EA79-C9F9-4B40-9513-00E665538B9A}"/>
    <hyperlink ref="B354" r:id="rId670" display="file:///players/S/SamuCu00.htm" xr:uid="{179E3336-8F28-3F4E-AAD3-60B71ACE8632}"/>
    <hyperlink ref="C354" r:id="rId671" tooltip="Washington Football Team" display="file:///teams/was/2021.htm" xr:uid="{55D6D64A-1097-2B44-BECA-ABC3A85F9D1B}"/>
    <hyperlink ref="B355" r:id="rId672" display="file:///players/S/SmitSh03.htm" xr:uid="{F9719A25-9A5E-9E47-89A0-DFCAB330530B}"/>
    <hyperlink ref="C355" r:id="rId673" tooltip="Carolina Panthers" display="file:///teams/car/2021.htm" xr:uid="{56E9867F-0731-3D48-B0D5-DB4F06A44328}"/>
    <hyperlink ref="B356" r:id="rId674" display="file:///players/S/StilKe00.htm" xr:uid="{03D27048-F929-4E42-BB01-492A46E9C8DC}"/>
    <hyperlink ref="C356" r:id="rId675" tooltip="New Orleans Saints" display="file:///teams/nor/2021.htm" xr:uid="{65AC054A-25B7-EB40-BFEE-107687DA14C2}"/>
    <hyperlink ref="B357" r:id="rId676" display="file:///players/W/WillPr01.htm" xr:uid="{ED451870-403B-8843-ACB3-53DFBF479D84}"/>
    <hyperlink ref="C357" r:id="rId677" tooltip="Miami Dolphins" display="file:///teams/mia/2021.htm" xr:uid="{37775801-FC9C-2B4D-AD68-DDFAFAB4E861}"/>
    <hyperlink ref="B358" r:id="rId678" display="file:///players/A/AuclAn00.htm" xr:uid="{AE47A5C1-73E8-8641-A115-7CD49153F72D}"/>
    <hyperlink ref="C358" r:id="rId679" tooltip="Houston Texans" display="file:///teams/htx/2021.htm" xr:uid="{8446F77B-A0C4-EF4B-A9E2-241E690D5C9A}"/>
    <hyperlink ref="B359" r:id="rId680" display="file:///players/B/BellLe00.htm" xr:uid="{BD256826-37AF-8B4A-8E1D-295EB7EBCA85}"/>
    <hyperlink ref="B360" r:id="rId681" display="file:///players/F/FitzDe00.htm" xr:uid="{CB735049-B899-7D48-B4D4-7A2AAEB4BBE1}"/>
    <hyperlink ref="C360" r:id="rId682" tooltip="Tennessee Titans" display="file:///teams/oti/2021.htm" xr:uid="{9E5D68EE-6CED-064B-93A8-9E504FF8BBAF}"/>
    <hyperlink ref="B361" r:id="rId683" display="file:///players/F/FortJo01.htm" xr:uid="{A7B4038F-747F-2B4E-B4AC-D6DEBC5F1179}"/>
    <hyperlink ref="C361" r:id="rId684" tooltip="Kansas City Chiefs" display="file:///teams/kan/2021.htm" xr:uid="{7BAB1D2F-24E6-0443-AEE5-9510D0CBBC85}"/>
    <hyperlink ref="B362" r:id="rId685" display="file:///players/G/GordJo02.htm" xr:uid="{6A20C516-04C4-9C47-B66A-F10486A9DBC0}"/>
    <hyperlink ref="C362" r:id="rId686" tooltip="Kansas City Chiefs" display="file:///teams/kan/2021.htm" xr:uid="{46AC0F1B-44C9-974F-8F15-78D69167E1DB}"/>
    <hyperlink ref="B363" r:id="rId687" display="file:///players/H/HamlKJ00.htm" xr:uid="{6804A363-429D-364E-BC6D-46A2B1DFE95F}"/>
    <hyperlink ref="C363" r:id="rId688" tooltip="Denver Broncos" display="file:///teams/den/2021.htm" xr:uid="{A43883B0-4A2E-3C42-9D8A-90111C4D75D7}"/>
    <hyperlink ref="B364" r:id="rId689" display="file:///players/H/HessPa00.htm" xr:uid="{07EEAE96-B8BD-634F-B79F-FED4C41981BE}"/>
    <hyperlink ref="C364" r:id="rId690" tooltip="Atlanta Falcons" display="file:///teams/atl/2021.htm" xr:uid="{A523C534-FBC9-4440-A0B2-9536A949C2D9}"/>
    <hyperlink ref="B365" r:id="rId691" display="file:///players/J/JoneTo04.htm" xr:uid="{4A5E8520-529A-6E45-9E6A-38BCE65EBB16}"/>
    <hyperlink ref="C365" r:id="rId692" tooltip="New Orleans Saints" display="file:///teams/nor/2021.htm" xr:uid="{BF766ED1-2EF8-EC4D-A02D-4A6A7FDBA77B}"/>
    <hyperlink ref="B366" r:id="rId693" display="file:///players/K/KellJo01.htm" xr:uid="{A48A408E-9CDC-A047-85B8-B950191482F8}"/>
    <hyperlink ref="C366" r:id="rId694" tooltip="Los Angeles Chargers" display="file:///teams/sdg/2021.htm" xr:uid="{49125CAC-C797-2C47-B76B-0AF70E5C0D6F}"/>
    <hyperlink ref="B367" r:id="rId695" display="file:///players/M/MillSc01.htm" xr:uid="{152A4A4D-A824-B544-A341-08FC636BC5AE}"/>
    <hyperlink ref="C367" r:id="rId696" tooltip="Tampa Bay Buccaneers" display="file:///teams/tam/2021.htm" xr:uid="{120BC373-9193-8C49-B5EE-F788FE600390}"/>
    <hyperlink ref="B368" r:id="rId697" display="file:///players/P/ParkCo02.htm" xr:uid="{F082DDC5-A689-604D-9BEF-AD08D460AFF3}"/>
    <hyperlink ref="C368" r:id="rId698" tooltip="Seattle Seahawks" display="file:///teams/sea/2021.htm" xr:uid="{4975DC1C-CAB5-0941-9A3C-326CC0CCA871}"/>
    <hyperlink ref="B369" r:id="rId699" display="file:///players/S/SmitRo08.htm" xr:uid="{32239C60-7FCD-3044-BECC-C5B9282366C1}"/>
    <hyperlink ref="C369" r:id="rId700" tooltip="Carolina Panthers" display="file:///teams/car/2021.htm" xr:uid="{39C00116-C024-E344-819A-3B1C71503453}"/>
    <hyperlink ref="B370" r:id="rId701" display="file:///players/S/SmitIh00.htm" xr:uid="{260298DD-63EE-9A47-AB10-6AC15230E7D1}"/>
    <hyperlink ref="C370" r:id="rId702" tooltip="Minnesota Vikings" display="file:///teams/min/2021.htm" xr:uid="{7965AA17-4441-C740-B2C9-4BBBF30FC2D6}"/>
    <hyperlink ref="B371" r:id="rId703" display="file:///players/T/ThomMi04.htm" xr:uid="{3AD254E1-DB97-E248-B543-527C8F0D8BC5}"/>
    <hyperlink ref="C371" r:id="rId704" tooltip="Cincinnati Bengals" display="file:///teams/cin/2021.htm" xr:uid="{9B161434-1E4D-7A42-B763-E45F38C71B59}"/>
    <hyperlink ref="B372" r:id="rId705" display="file:///players/W/WhitCo05.htm" xr:uid="{44AE8647-426B-0F43-8A5F-9C5926BB6E58}"/>
    <hyperlink ref="C372" r:id="rId706" tooltip="Pittsburgh Steelers" display="file:///teams/pit/2021.htm" xr:uid="{06A54ADD-73EA-F94A-9A16-566545AC0C36}"/>
    <hyperlink ref="B374" r:id="rId707" display="file:///players/W/WoerCh00.htm" xr:uid="{851DAA12-3015-8D40-B0C7-728A939511EF}"/>
    <hyperlink ref="C374" r:id="rId708" tooltip="San Francisco 49ers" display="file:///teams/sfo/2021.htm" xr:uid="{214E475B-F8B8-E349-B61A-7C8A68CB3EEA}"/>
    <hyperlink ref="B375" r:id="rId709" display="file:///players/B/BlakCh00.htm" xr:uid="{8563B565-1042-954E-BCCC-2D8DAE6355B4}"/>
    <hyperlink ref="C375" r:id="rId710" tooltip="Atlanta Falcons" display="file:///teams/atl/2021.htm" xr:uid="{608BB22F-58F0-3640-8665-4B3FAB4C45FB}"/>
    <hyperlink ref="B376" r:id="rId711" display="file:///players/B/BlanKe01.htm" xr:uid="{E87BFE5B-169F-544E-92B8-C2BDA584C4A9}"/>
    <hyperlink ref="C376" r:id="rId712" tooltip="Los Angeles Rams" display="file:///teams/ram/2021.htm" xr:uid="{12F2E3A8-6C4C-6D43-A348-EACAC17742E1}"/>
    <hyperlink ref="B377" r:id="rId713" display="file:///players/B/BoarC.00.htm" xr:uid="{C9E480A3-5974-6344-B26C-109102CD225E}"/>
    <hyperlink ref="C377" r:id="rId714" tooltip="New York Giants" display="file:///teams/nyg/2021.htm" xr:uid="{51CDE618-9847-5245-86AF-11CF1C96D15D}"/>
    <hyperlink ref="B378" r:id="rId715" display="file:///players/B/BradJa01.htm" xr:uid="{322BF1AB-037F-A94D-B4C3-297E68D631D6}"/>
    <hyperlink ref="C378" r:id="rId716" tooltip="Cleveland Browns" display="file:///teams/cle/2021.htm" xr:uid="{D6A884AE-8678-9745-B99B-969EC96EF85C}"/>
    <hyperlink ref="B379" r:id="rId717" display="file:///players/C/CabiJa00.htm" xr:uid="{42B0C013-21AE-0A4F-9E18-369D8D3D760C}"/>
    <hyperlink ref="C379" r:id="rId718" tooltip="Detroit Lions" display="file:///teams/det/2021.htm" xr:uid="{ED9772D2-4B83-5B4D-8880-BC95C0EF09A9}"/>
    <hyperlink ref="B380" r:id="rId719" display="file:///players/C/CoopPh00.htm" xr:uid="{74B7E140-9810-6C46-B86C-3A6B37F06F28}"/>
    <hyperlink ref="C380" r:id="rId720" tooltip="New York Giants" display="file:///teams/nyg/2021.htm" xr:uid="{47D2BE07-8988-D149-9BF1-4118F53B2245}"/>
    <hyperlink ref="B381" r:id="rId721" display="file:///players/D/DaviTy02.htm" xr:uid="{923E1B58-2A50-7547-8ED4-27E24480381A}"/>
    <hyperlink ref="C381" r:id="rId722" tooltip="Green Bay Packers" display="file:///teams/gnb/2021.htm" xr:uid="{1D242FCF-B40B-B142-89F1-532359D8BBB5}"/>
    <hyperlink ref="B382" r:id="rId723" display="file:///players/D/DwelRo00.htm" xr:uid="{F2C5DD7C-2906-4E48-8E68-B40FC980D96E}"/>
    <hyperlink ref="C382" r:id="rId724" tooltip="San Francisco 49ers" display="file:///teams/sfo/2021.htm" xr:uid="{E44A3854-D851-0247-857A-CC33954D308B}"/>
    <hyperlink ref="B383" r:id="rId725" display="file:///players/F/FellDa01.htm" xr:uid="{C6EDD02B-5E43-9644-81AE-6558F75FF506}"/>
    <hyperlink ref="B384" r:id="rId726" display="file:///players/F/FullWi01.htm" xr:uid="{8A672B3E-7929-0E44-9663-7C33CDD25C3B}"/>
    <hyperlink ref="C384" r:id="rId727" tooltip="Miami Dolphins" display="file:///teams/mia/2021.htm" xr:uid="{72F32285-D700-9E40-AC28-C386106FA1E6}"/>
    <hyperlink ref="B385" r:id="rId728" display="file:///players/G/GrifGa00.htm" xr:uid="{FA2C6DBC-F932-9747-88EE-3C61A1F65C32}"/>
    <hyperlink ref="C385" r:id="rId729" tooltip="New Orleans Saints" display="file:///teams/nor/2021.htm" xr:uid="{E6FC1B23-063E-5048-ABB5-88B9D988E612}"/>
    <hyperlink ref="B386" r:id="rId730" display="file:///players/H/HernCh00.htm" xr:uid="{338395A1-4705-CA4C-82F1-F203235999CF}"/>
    <hyperlink ref="C386" r:id="rId731" tooltip="Minnesota Vikings" display="file:///teams/min/2021.htm" xr:uid="{55B8DBFA-F7FB-094F-B758-7CC9A0F33F9D}"/>
    <hyperlink ref="B387" r:id="rId732" display="file:///players/H/HillTa00.htm" xr:uid="{D6880AD9-190E-9B47-B318-52B82D9CC715}"/>
    <hyperlink ref="C387" r:id="rId733" tooltip="New Orleans Saints" display="file:///teams/nor/2021.htm" xr:uid="{A52CAA30-90E5-C54A-BCD0-246FBCA1E895}"/>
    <hyperlink ref="B388" r:id="rId734" display="file:///players/H/HogaCh00.htm" xr:uid="{07E4B01A-FC6D-8D48-9FCC-A4553C36B779}"/>
    <hyperlink ref="C388" r:id="rId735" tooltip="New Orleans Saints" display="file:///teams/nor/2021.htm" xr:uid="{F6947F1F-1B20-0D44-A3E2-C4F635C288EC}"/>
    <hyperlink ref="B389" r:id="rId736" display="file:///players/H/HollCo00.htm" xr:uid="{67FC2457-CFB3-004A-9050-87B7A9F25D5C}"/>
    <hyperlink ref="C389" r:id="rId737" tooltip="Tennessee Titans" display="file:///teams/oti/2021.htm" xr:uid="{1EB86FF7-5816-6D41-845E-B59C22AF49D3}"/>
    <hyperlink ref="B390" r:id="rId738" display="file:///players/J/JeffJe00.htm" xr:uid="{274E09A0-BC85-9C44-BEFA-AB6E407A3CE0}"/>
    <hyperlink ref="C390" r:id="rId739" tooltip="Detroit Lions" display="file:///teams/det/2021.htm" xr:uid="{030588CB-962E-0A49-B882-2583937F02B3}"/>
    <hyperlink ref="B391" r:id="rId740" display="file:///players/J/JohnDu00.htm" xr:uid="{1095703C-7ABC-5B42-85CE-A3EB1FEAB382}"/>
    <hyperlink ref="C391" r:id="rId741" tooltip="Miami Dolphins" display="file:///teams/mia/2021.htm" xr:uid="{57932D85-F8C6-C14B-841D-83CF9E4A1E18}"/>
    <hyperlink ref="B392" r:id="rId742" display="file:///players/J/JohnJa12.htm" xr:uid="{7655A552-FF54-2C47-8EB9-D8F103569A01}"/>
    <hyperlink ref="C392" r:id="rId743" tooltip="New England Patriots" display="file:///teams/nwe/2021.htm" xr:uid="{F57A3332-8F3A-3042-8AF0-F7E79FC21E4D}"/>
    <hyperlink ref="B393" r:id="rId744" display="file:///players/L/LindPh00.htm" xr:uid="{38E232F2-98C4-A445-9027-DBBC054095A4}"/>
    <hyperlink ref="B394" r:id="rId745" display="file:///players/M/McKeSe01.htm" xr:uid="{6C8BA4A2-99BC-0C42-A3D4-F589C1AE7EDB}"/>
    <hyperlink ref="C394" r:id="rId746" tooltip="Dallas Cowboys" display="file:///teams/dal/2021.htm" xr:uid="{84FA6F8B-11C0-A84E-8DFC-C8A66531F634}"/>
    <hyperlink ref="B395" r:id="rId747" display="file:///players/N/NwanKe00.htm" xr:uid="{73A82A79-2DB3-CE4F-B7D0-1323FC6DED0B}"/>
    <hyperlink ref="C395" r:id="rId748" tooltip="Minnesota Vikings" display="file:///teams/min/2021.htm" xr:uid="{817B65FC-2865-064A-BBC2-FE6F0A4392B4}"/>
    <hyperlink ref="B396" r:id="rId749" display="file:///players/O/OlliQa00.htm" xr:uid="{232BB42B-8CB4-FD4B-B7AA-2D0731B248B2}"/>
    <hyperlink ref="C396" r:id="rId750" tooltip="Atlanta Falcons" display="file:///teams/atl/2021.htm" xr:uid="{4C3A3D69-18EB-374B-8AAC-1D134CF04BA5}"/>
    <hyperlink ref="B397" r:id="rId751" display="file:///players/P/PeteAd01.htm" xr:uid="{6E9823D0-9CC2-9C43-92A7-F3F90B0BF07F}"/>
    <hyperlink ref="B398" r:id="rId752" display="file:///players/R/RodgAm00.htm" xr:uid="{0B01B657-E89F-C142-9A34-FBBB25A75C4B}"/>
    <hyperlink ref="C398" r:id="rId753" tooltip="Green Bay Packers" display="file:///teams/gnb/2021.htm" xr:uid="{422A5304-1487-5244-BFE0-7F4EB19F31A6}"/>
    <hyperlink ref="B399" r:id="rId754" display="file:///players/S/SmalWe00.htm" xr:uid="{EDFA1587-D890-3D4A-8A8D-B52391D20E9E}"/>
    <hyperlink ref="C399" r:id="rId755" tooltip="Washington Football Team" display="file:///teams/was/2021.htm" xr:uid="{CD76E641-D514-A149-8D14-7434F37B93ED}"/>
    <hyperlink ref="B400" r:id="rId756" display="file:///players/S/SneaWi00.htm" xr:uid="{90C03416-3552-AC4E-9118-2CC550D14F21}"/>
    <hyperlink ref="B401" r:id="rId757" display="file:///players/S/StolJa00.htm" xr:uid="{33C81F1E-B373-EB41-8349-B2DEFCE021A0}"/>
    <hyperlink ref="C401" r:id="rId758" tooltip="Philadelphia Eagles" display="file:///teams/phi/2021.htm" xr:uid="{5EBC298B-42E9-BD4D-B028-63F577F6890E}"/>
    <hyperlink ref="B402" r:id="rId759" display="file:///players/T/TaylJJ01.htm" xr:uid="{B59F6E21-AC5B-7D40-B2A7-4C395C6E21B6}"/>
    <hyperlink ref="C402" r:id="rId760" tooltip="New England Patriots" display="file:///teams/nwe/2021.htm" xr:uid="{0D958DFC-E9E9-4C4F-BFC5-70EE1064A75C}"/>
    <hyperlink ref="B403" r:id="rId761" display="file:///players/V/VaugKe00.htm" xr:uid="{45F6832D-D01E-BC44-A7DD-3DC1912FEEBA}"/>
    <hyperlink ref="C403" r:id="rId762" tooltip="Tampa Bay Buccaneers" display="file:///teams/tam/2021.htm" xr:uid="{6151CED5-24E1-344D-A7FC-A75A02A824CD}"/>
    <hyperlink ref="B405" r:id="rId763" display="file:///players/W/WilkKr00.htm" xr:uid="{21ADA0FC-3BB8-C443-A61A-368A1BDF7DF9}"/>
    <hyperlink ref="C405" r:id="rId764" tooltip="New England Patriots" display="file:///teams/nwe/2021.htm" xr:uid="{1898F473-FCDF-8C4C-BDCB-DF55826FFACD}"/>
    <hyperlink ref="B406" r:id="rId765" display="file:///players/W/WillJo07.htm" xr:uid="{9858B08E-D38D-BA4C-ACFC-6B8A3EC9CE23}"/>
    <hyperlink ref="C406" r:id="rId766" tooltip="Washington Football Team" display="file:///teams/was/2021.htm" xr:uid="{4C45FCB4-D0BD-D440-87DC-1DC677806D62}"/>
    <hyperlink ref="B407" r:id="rId767" display="file:///players/A/AkerCa00.htm" xr:uid="{F5F48BE2-B7EE-9E48-81E4-89BD761D80E2}"/>
    <hyperlink ref="C407" r:id="rId768" tooltip="Los Angeles Rams" display="file:///teams/ram/2021.htm" xr:uid="{1DC13CA5-E1C5-FC4B-A078-DEB6C2E1C3AF}"/>
    <hyperlink ref="B408" r:id="rId769" display="file:///players/A/ArmsRy00.htm" xr:uid="{F320AFFF-C3C9-CC4F-85E2-AD142A85A3AB}"/>
    <hyperlink ref="C408" r:id="rId770" tooltip="Jacksonville Jaguars" display="file:///teams/jax/2021.htm" xr:uid="{3FD8C883-5462-7946-B122-1CE756B4172F}"/>
    <hyperlink ref="B409" r:id="rId771" display="file:///players/B/BrowMa03.htm" xr:uid="{D7CBD1BA-53D1-0343-BF0C-A61D31FDB964}"/>
    <hyperlink ref="C409" r:id="rId772" tooltip="Miami Dolphins" display="file:///teams/mia/2021.htm" xr:uid="{84B86B9F-8038-EA43-92E1-34547C3DA0B3}"/>
    <hyperlink ref="B410" r:id="rId773" display="file:///players/B/BurtMi00.htm" xr:uid="{8565F6AB-0B57-0A4A-85BC-9E158D1D1F37}"/>
    <hyperlink ref="C410" r:id="rId774" tooltip="Kansas City Chiefs" display="file:///teams/kan/2021.htm" xr:uid="{1E996BC7-3A1C-D548-882B-4E43D7C7AF88}"/>
    <hyperlink ref="B411" r:id="rId775" display="file:///players/D/DortGr01.htm" xr:uid="{99D0E056-A77B-734F-ABE9-D6819A86772A}"/>
    <hyperlink ref="C411" r:id="rId776" tooltip="Arizona Cardinals" display="file:///teams/crd/2021.htm" xr:uid="{FA87E621-4F19-A84A-B6BA-3889EF86F443}"/>
    <hyperlink ref="B412" r:id="rId777" display="file:///players/E/EricAl01.htm" xr:uid="{28DA45B5-1013-2A4F-B950-8251B0D8AC98}"/>
    <hyperlink ref="C412" r:id="rId778" tooltip="Carolina Panthers" display="file:///teams/car/2021.htm" xr:uid="{B453025E-0CE8-8F4C-8E9A-D27CBB3AB759}"/>
    <hyperlink ref="B413" r:id="rId779" display="file:///players/G/GillRe00.htm" xr:uid="{694D3575-F646-2546-9C60-3BCF21054B8F}"/>
    <hyperlink ref="C413" r:id="rId780" tooltip="Buffalo Bills" display="file:///teams/buf/2021.htm" xr:uid="{5C909805-E120-2849-9474-5118AA6CFC03}"/>
    <hyperlink ref="B414" r:id="rId781" display="file:///players/H/HarrDe03.htm" xr:uid="{8FB97FEC-D3F8-1649-9743-7673908094E7}"/>
    <hyperlink ref="C414" r:id="rId782" tooltip="Arizona Cardinals" display="file:///teams/crd/2021.htm" xr:uid="{FAEC973C-E229-C148-88E9-EC0387FEF124}"/>
    <hyperlink ref="B415" r:id="rId783" display="file:///players/H/HillKJ00.htm" xr:uid="{CA094E1C-A0EF-104C-949F-0E6E2A5A3C77}"/>
    <hyperlink ref="C415" r:id="rId784" tooltip="Los Angeles Chargers" display="file:///teams/sdg/2021.htm" xr:uid="{B9F5C485-296F-5743-96C6-8974CC1454B5}"/>
    <hyperlink ref="B416" r:id="rId785" display="file:///players/H/HudsTo00.htm" xr:uid="{B2D890CF-013A-8248-8115-235CD4C75270}"/>
    <hyperlink ref="C416" r:id="rId786" tooltip="Tennessee Titans" display="file:///teams/oti/2021.htm" xr:uid="{B6A0CB5F-A321-704F-BBB3-D47DE8140EF8}"/>
    <hyperlink ref="B417" r:id="rId787" display="file:///players/J/JackTy01.htm" xr:uid="{207BBAD1-756E-9C4E-A568-0E7FC5F27DBD}"/>
    <hyperlink ref="C417" r:id="rId788" tooltip="Philadelphia Eagles" display="file:///teams/phi/2021.htm" xr:uid="{E29A930C-B7D6-484B-AD3B-69E309E9CCA1}"/>
    <hyperlink ref="B418" r:id="rId789" display="file:///players/J/JanoAn00.htm" xr:uid="{DACEEC81-2ADA-5242-BB98-9D2799FB3BAE}"/>
    <hyperlink ref="C418" r:id="rId790" tooltip="Cleveland Browns" display="file:///teams/cle/2021.htm" xr:uid="{94CBDB15-18E9-6842-A0B7-C332BA87FF1A}"/>
    <hyperlink ref="B419" r:id="rId791" display="file:///players/K/KirkKe00.htm" xr:uid="{FEF9A12D-B5D7-1E4F-80D3-6EDD0F288D01}"/>
    <hyperlink ref="C419" r:id="rId792" tooltip="Carolina Panthers" display="file:///teams/car/2021.htm" xr:uid="{975BE696-E2DD-5045-8445-E2C818856D21}"/>
    <hyperlink ref="B420" r:id="rId793" display="file:///players/L/LairPa00.htm" xr:uid="{4DE8BA22-2C32-484D-90FD-AA01BE351848}"/>
    <hyperlink ref="C420" r:id="rId794" tooltip="Miami Dolphins" display="file:///teams/mia/2021.htm" xr:uid="{33BD4BBA-FEB5-7E41-ABB4-A05343E75DC9}"/>
    <hyperlink ref="B421" r:id="rId795" display="file:///players/M/MontDJ01.htm" xr:uid="{F53184CD-0B76-D145-986D-332904AAECBD}"/>
    <hyperlink ref="C421" r:id="rId796" tooltip="New York Jets" display="file:///teams/nyj/2021.htm" xr:uid="{DC8EE516-7C74-FE40-9B0D-F984FECA97AF}"/>
    <hyperlink ref="B422" r:id="rId797" display="file:///players/M/MoorJa02.htm" xr:uid="{D9B71F56-1D4B-C547-BE5A-F505D8E5C27E}"/>
    <hyperlink ref="C422" r:id="rId798" tooltip="Los Angeles Chargers" display="file:///teams/sdg/2021.htm" xr:uid="{A68FC61C-45C4-2446-BBD8-61435E1821BB}"/>
    <hyperlink ref="B423" r:id="rId799" display="file:///players/M/MyarCh00.htm" xr:uid="{2D9126BA-8ACA-2044-8404-F18902D3A0B5}"/>
    <hyperlink ref="C423" r:id="rId800" tooltip="New York Giants" display="file:///teams/nyg/2021.htm" xr:uid="{AF062442-298C-654D-A9EC-3C3866E488A6}"/>
    <hyperlink ref="B424" r:id="rId801" display="file:///players/N/NabeGa00.htm" xr:uid="{DDECB97F-C9BF-0D48-A143-651A39561011}"/>
    <hyperlink ref="C424" r:id="rId802" tooltip="Los Angeles Chargers" display="file:///teams/sdg/2021.htm" xr:uid="{ED579B60-4ECB-3345-B2B7-D40E4B4CB772}"/>
    <hyperlink ref="B425" r:id="rId803" display="file:///players/P/PrenAd00.htm" xr:uid="{6049A29B-3441-F54D-BAAB-DC1A2FCB5AB4}"/>
    <hyperlink ref="C425" r:id="rId804" tooltip="New Orleans Saints" display="file:///teams/nor/2021.htm" xr:uid="{4D853691-85EC-424E-A8C3-8F9F0EAF31C6}"/>
    <hyperlink ref="B426" r:id="rId805" display="file:///players/S/SamuJa00.htm" xr:uid="{44141EB4-D179-6D43-8142-2FA0F697CE6A}"/>
    <hyperlink ref="C426" r:id="rId806" tooltip="Houston Texans" display="file:///teams/htx/2021.htm" xr:uid="{25CCD73F-E559-DE4F-8BFC-EF4B475D7FA5}"/>
    <hyperlink ref="B427" r:id="rId807" display="file:///players/S/SermTr00.htm" xr:uid="{992BB223-3129-AB4E-9335-B1EF2B91B4DE}"/>
    <hyperlink ref="C427" r:id="rId808" tooltip="San Francisco 49ers" display="file:///teams/sfo/2021.htm" xr:uid="{989B5D5A-D086-AE42-B89D-97773477DBB9}"/>
    <hyperlink ref="B428" r:id="rId809" display="file:///players/S/SmitKa00.htm" xr:uid="{925A51DF-B2DF-BE4D-9ED9-4697238AE09D}"/>
    <hyperlink ref="C428" r:id="rId810" tooltip="New York Giants" display="file:///teams/nyg/2021.htm" xr:uid="{CDDA298A-1E0D-8744-9745-79E62E909136}"/>
    <hyperlink ref="B429" r:id="rId811" display="file:///players/S/SpriJe00.htm" xr:uid="{2B5F5C71-58B4-1741-AAFB-ADC10B07470F}"/>
    <hyperlink ref="C429" r:id="rId812" tooltip="Dallas Cowboys" display="file:///teams/dal/2021.htm" xr:uid="{3AB40E57-3AA3-A64D-A9E3-813896C7D191}"/>
    <hyperlink ref="B430" r:id="rId813" display="file:///players/T/TateAu00.htm" xr:uid="{1E768747-B779-BD47-A13A-C7876CACFDA9}"/>
    <hyperlink ref="C430" r:id="rId814" tooltip="Cincinnati Bengals" display="file:///teams/cin/2021.htm" xr:uid="{968EA4D0-B0CB-F84E-B24F-183E4109C8D1}"/>
    <hyperlink ref="B431" r:id="rId815" display="file:///players/W/WardJo00.htm" xr:uid="{CDA2FEFD-445B-8D4D-AE10-3D401F31A0CF}"/>
    <hyperlink ref="C431" r:id="rId816" tooltip="Arizona Cardinals" display="file:///teams/crd/2021.htm" xr:uid="{AF4EFE87-BEF8-1849-8015-08E09B8CB3D1}"/>
    <hyperlink ref="B432" r:id="rId817" display="file:///players/W/WattDe00.htm" xr:uid="{7ACEF752-9167-0143-8C78-770D44415D15}"/>
    <hyperlink ref="C432" r:id="rId818" tooltip="Pittsburgh Steelers" display="file:///teams/pit/2021.htm" xr:uid="{B6CC3AA3-6DD3-A040-B268-B3FE698CAAB3}"/>
    <hyperlink ref="B433" r:id="rId819" display="file:///players/W/WescTr00.htm" xr:uid="{6597DB61-28DA-4541-B15B-7E235EE768DB}"/>
    <hyperlink ref="C433" r:id="rId820" tooltip="New York Jets" display="file:///teams/nyj/2021.htm" xr:uid="{46B022E3-A7F2-1A41-9424-D218309B29AC}"/>
    <hyperlink ref="B434" r:id="rId821" display="file:///players/W/WilcMi01.htm" xr:uid="{99157C51-FFFC-B344-909A-09B857A12940}"/>
    <hyperlink ref="C434" r:id="rId822" tooltip="Cincinnati Bengals" display="file:///teams/cin/2021.htm" xr:uid="{2570142D-6B07-C645-9678-001FC6DFA13D}"/>
    <hyperlink ref="B436" r:id="rId823" display="file:///players/Z/ZylsSh00.htm" xr:uid="{BE458662-1E8D-8647-8B51-EBC956C3B373}"/>
    <hyperlink ref="C436" r:id="rId824" tooltip="Detroit Lions" display="file:///teams/det/2021.htm" xr:uid="{BE334751-D001-D84B-BB99-5B8B14FA618C}"/>
    <hyperlink ref="B437" r:id="rId825" display="file:///players/A/ArceJJ00.htm" xr:uid="{1D4F2A00-D88B-8D4C-985A-E6DBC23CD084}"/>
    <hyperlink ref="C437" r:id="rId826" tooltip="Philadelphia Eagles" display="file:///teams/phi/2021.htm" xr:uid="{DCC70055-F39C-2347-A8EE-F49AED96410C}"/>
    <hyperlink ref="B438" r:id="rId827" display="file:///players/B/BallKa00.htm" xr:uid="{6ACD7FF5-646C-C643-9D66-800D570E3118}"/>
    <hyperlink ref="C438" r:id="rId828" tooltip="Pittsburgh Steelers" display="file:///teams/pit/2021.htm" xr:uid="{1704E224-4C1E-FC4D-B0C1-DF301EA7E298}"/>
    <hyperlink ref="B439" r:id="rId829" display="file:///players/B/BatsCa00.htm" xr:uid="{E6B80271-03F3-8549-A147-8416E54CEC1A}"/>
    <hyperlink ref="C439" r:id="rId830" tooltip="Tennessee Titans" display="file:///teams/oti/2021.htm" xr:uid="{7745A7C3-41BF-2B43-9A34-E96B3302BC78}"/>
    <hyperlink ref="B440" r:id="rId831" display="file:///players/B/BlasKh00.htm" xr:uid="{A9CBE575-C4A4-A34C-9925-7C783D7B0218}"/>
    <hyperlink ref="C440" r:id="rId832" tooltip="Tennessee Titans" display="file:///teams/oti/2021.htm" xr:uid="{EB80171A-0752-A842-853E-2BC3255EBDB1}"/>
    <hyperlink ref="B441" r:id="rId833" display="file:///players/B/BonnRe00.htm" xr:uid="{41C335F7-E690-D14B-98D2-F18E020D9F88}"/>
    <hyperlink ref="C441" r:id="rId834" tooltip="Carolina Panthers" display="file:///teams/car/2021.htm" xr:uid="{E18C3C76-ABCB-394A-984E-C6123C5B29BE}"/>
    <hyperlink ref="B442" r:id="rId835" display="file:///players/B/BoonMi00.htm" xr:uid="{F4CB344E-A67E-5946-8DAE-E9C408BBEA8A}"/>
    <hyperlink ref="C442" r:id="rId836" tooltip="Denver Broncos" display="file:///teams/den/2021.htm" xr:uid="{D30D1F01-48C7-3141-8BB9-613318496135}"/>
    <hyperlink ref="B443" r:id="rId837" display="file:///players/B/BrowDa04.htm" xr:uid="{9F72E868-DB5C-4242-AE91-458FB5BB468B}"/>
    <hyperlink ref="C443" r:id="rId838" tooltip="New York Jets" display="file:///teams/nyj/2021.htm" xr:uid="{491E1213-05C8-C944-A4E8-049D4B1783F5}"/>
    <hyperlink ref="B444" r:id="rId839" display="file:///players/C/CarrDe00.htm" xr:uid="{B132E77C-FCD6-6743-8FA9-29ED21220F3A}"/>
    <hyperlink ref="C444" r:id="rId840" tooltip="Las Vegas Raiders" display="file:///teams/rai/2021.htm" xr:uid="{2F762533-C8BD-3840-83E4-22B27E263018}"/>
    <hyperlink ref="B445" r:id="rId841" display="file:///players/C/CartCe00.htm" xr:uid="{AA6494E7-95F5-F142-AD81-26778933F814}"/>
    <hyperlink ref="C445" r:id="rId842" tooltip="Miami Dolphins" display="file:///teams/mia/2021.htm" xr:uid="{C20667ED-BA1F-2B4A-8BC5-00CAA44BD019}"/>
    <hyperlink ref="B446" r:id="rId843" display="file:///players/D/DafnDo00.htm" xr:uid="{1F6F7B4F-3C86-1146-88A6-1706885FCBD0}"/>
    <hyperlink ref="C446" r:id="rId844" tooltip="Green Bay Packers" display="file:///teams/gnb/2021.htm" xr:uid="{F3CEDA5D-4763-D44E-8544-7E4F491CC6F3}"/>
    <hyperlink ref="B447" r:id="rId845" display="file:///players/D/DeckTa00.htm" xr:uid="{05710129-1389-264B-816C-20713BFCD922}"/>
    <hyperlink ref="C447" r:id="rId846" tooltip="Detroit Lions" display="file:///teams/det/2021.htm" xr:uid="{682A9BA4-71AF-6B4A-B87A-7F8AEA397F4E}"/>
    <hyperlink ref="B448" r:id="rId847" display="file:///players/E/EvanDa02.htm" xr:uid="{2FDECA12-74C0-4245-A45E-7FA006486C10}"/>
    <hyperlink ref="C448" r:id="rId848" tooltip="Tennessee Titans" display="file:///teams/oti/2021.htm" xr:uid="{FB6A1BB6-D1CE-8D4A-BB29-F9393FF076A4}"/>
    <hyperlink ref="B449" r:id="rId849" display="file:///players/H/HorsJe00.htm" xr:uid="{75E82177-4B91-0E4E-A744-6D834FBCA9F5}"/>
    <hyperlink ref="C449" r:id="rId850" tooltip="Chicago Bears" display="file:///teams/chi/2021.htm" xr:uid="{1116F216-3945-CC4F-82DE-2CD9CAADCDD6}"/>
    <hyperlink ref="B450" r:id="rId851" display="file:///players/H/HowaJo00.htm" xr:uid="{040EDDCD-BD20-C741-BD7F-6BBBB548BC10}"/>
    <hyperlink ref="C450" r:id="rId852" tooltip="Philadelphia Eagles" display="file:///teams/phi/2021.htm" xr:uid="{D56FE1A4-1B53-3946-B584-0FF0C308B13D}"/>
    <hyperlink ref="B451" r:id="rId853" display="file:///players/I/IrwiTr00.htm" xr:uid="{577BBB53-4A8F-0949-892A-CA220FB4F67F}"/>
    <hyperlink ref="C451" r:id="rId854" tooltip="Cincinnati Bengals" display="file:///teams/cin/2021.htm" xr:uid="{4B29CF28-4C86-CF43-95B2-0ED4777E77DC}"/>
    <hyperlink ref="B452" r:id="rId855" display="file:///players/J/JohnTy03.htm" xr:uid="{55B25398-52E3-1943-9226-6D05C3D1E37F}"/>
    <hyperlink ref="B453" r:id="rId856" display="file:///players/K/KempMa00.htm" xr:uid="{1D3D3A69-545F-3241-89CE-A25E194CB37C}"/>
    <hyperlink ref="C453" r:id="rId857" tooltip="Kansas City Chiefs" display="file:///teams/kan/2021.htm" xr:uid="{37C36411-A022-F444-A6AA-2A916690CA6B}"/>
    <hyperlink ref="B454" r:id="rId858" display="file:///players/K/KumeJa00.htm" xr:uid="{FB683893-E0E6-2147-B4C0-C863476D29B2}"/>
    <hyperlink ref="C454" r:id="rId859" tooltip="Buffalo Bills" display="file:///teams/buf/2021.htm" xr:uid="{B5F2DCAA-AB77-8947-BD4F-5FB4C0242E1E}"/>
    <hyperlink ref="B455" r:id="rId860" display="file:///players/M/MackMa00.htm" xr:uid="{0BF5BEB5-C21C-B249-8D98-B3E7FD9FED38}"/>
    <hyperlink ref="C455" r:id="rId861" tooltip="Indianapolis Colts" display="file:///teams/clt/2021.htm" xr:uid="{836EF71D-FF22-3147-96F7-9D192E294CE4}"/>
    <hyperlink ref="B456" r:id="rId862" display="file:///players/M/McMaRa00.htm" xr:uid="{DE8E494A-30E4-074D-9F41-77777B744C7F}"/>
    <hyperlink ref="C456" r:id="rId863" tooltip="Tennessee Titans" display="file:///teams/oti/2021.htm" xr:uid="{E3077EEA-E8E5-894F-AD09-9FC36E0FA807}"/>
    <hyperlink ref="B457" r:id="rId864" display="file:///players/M/MickJa01.htm" xr:uid="{2516E72A-38BA-2E40-A511-8361533CB17B}"/>
    <hyperlink ref="B458" r:id="rId865" display="file:///players/M/MorgSt02.htm" xr:uid="{CC64DCC3-383C-2449-9926-ECD3177A6C97}"/>
    <hyperlink ref="C458" r:id="rId866" tooltip="Cincinnati Bengals" display="file:///teams/cin/2021.htm" xr:uid="{3669C776-7AB1-1E4C-904A-C2F4EB3325F6}"/>
    <hyperlink ref="B459" r:id="rId867" display="file:///players/N/NewsDa00.htm" xr:uid="{EA413428-99E3-3548-8D9B-4263A7CCFD02}"/>
    <hyperlink ref="C459" r:id="rId868" tooltip="Chicago Bears" display="file:///teams/chi/2021.htm" xr:uid="{566C77C7-6B72-934E-88CB-F81BEA4F454C}"/>
    <hyperlink ref="B460" r:id="rId869" display="file:///players/O/OlszGu00.htm" xr:uid="{2E2408C4-36CE-0E42-B9E9-2BA6515F72BD}"/>
    <hyperlink ref="C460" r:id="rId870" tooltip="New England Patriots" display="file:///teams/nwe/2021.htm" xr:uid="{03663CDB-FD5F-2347-95C4-FCC2D84E880E}"/>
    <hyperlink ref="B461" r:id="rId871" display="file:///players/P/PatmDe00.htm" xr:uid="{0DE592A2-147C-4846-B38B-DC3B003AFB3C}"/>
    <hyperlink ref="C461" r:id="rId872" tooltip="Indianapolis Colts" display="file:///teams/clt/2021.htm" xr:uid="{BAE067E6-E9EE-0547-9C57-08AFD30CCAEA}"/>
    <hyperlink ref="B462" r:id="rId873" display="file:///players/P/PhilSc01.htm" xr:uid="{FE5C1677-26AB-5842-B599-791ADCB2FB88}"/>
    <hyperlink ref="C462" r:id="rId874" tooltip="Houston Texans" display="file:///teams/htx/2021.htm" xr:uid="{2572DE30-CA4E-A045-A3E4-CE5EB9DC2575}"/>
    <hyperlink ref="B463" r:id="rId875" display="file:///players/R/RadeKe00.htm" xr:uid="{3AD9ED5A-7810-0D44-9EFB-5C16517CB602}"/>
    <hyperlink ref="C463" r:id="rId876" tooltip="Pittsburgh Steelers" display="file:///teams/pit/2021.htm" xr:uid="{0F359CFD-2771-584F-84BD-7DA4F553AE52}"/>
    <hyperlink ref="B464" r:id="rId877" display="file:///players/R/RagaTr00.htm" xr:uid="{5B911CB2-5956-5F42-BE97-F5E8D96B71FD}"/>
    <hyperlink ref="C464" r:id="rId878" tooltip="Las Vegas Raiders" display="file:///teams/rai/2021.htm" xr:uid="{855E59BF-7304-1845-915D-66FA1908E832}"/>
    <hyperlink ref="B465" r:id="rId879" display="file:///players/R/RodgRi00.htm" xr:uid="{81DBF0DD-0E78-934C-9784-57964C778367}"/>
    <hyperlink ref="C465" r:id="rId880" tooltip="Philadelphia Eagles" display="file:///teams/phi/2021.htm" xr:uid="{CA1E8500-DDBD-CF49-A833-150B00B888D7}"/>
    <hyperlink ref="B467" r:id="rId881" display="file:///players/S/SaunCJ00.htm" xr:uid="{467EBFBB-4DC7-614F-955C-0A11EF59C148}"/>
    <hyperlink ref="C467" r:id="rId882" tooltip="Carolina Panthers" display="file:///teams/car/2021.htm" xr:uid="{E743A742-217F-5044-AB5E-FD54D9CCE716}"/>
    <hyperlink ref="B468" r:id="rId883" display="file:///players/S/SillDa01.htm" xr:uid="{6CAEA9F4-A9FC-3443-BB61-79A476DC0E9C}"/>
    <hyperlink ref="C468" r:id="rId884" tooltip="New York Giants" display="file:///teams/nyg/2021.htm" xr:uid="{9AF864F1-14C3-B14D-833B-453F1B611D74}"/>
    <hyperlink ref="B469" r:id="rId885" display="file:///players/S/SnelBe00.htm" xr:uid="{C1178173-DE6D-7843-881B-AEA5058722F5}"/>
    <hyperlink ref="C469" r:id="rId886" tooltip="Pittsburgh Steelers" display="file:///teams/pit/2021.htm" xr:uid="{9A3A998A-FC14-2448-A108-9E51339777C4}"/>
    <hyperlink ref="B470" r:id="rId887" display="file:///players/S/StanJo02.htm" xr:uid="{5BE25738-2AED-7E42-AA62-956C12D71B17}"/>
    <hyperlink ref="C470" r:id="rId888" tooltip="Cleveland Browns" display="file:///teams/cle/2021.htm" xr:uid="{811AC36A-E795-A248-BFAF-B6D0E99220F7}"/>
    <hyperlink ref="B471" r:id="rId889" display="file:///players/S/StocLu00.htm" xr:uid="{44A375BE-B275-A048-9179-8700252BE2FC}"/>
    <hyperlink ref="C471" r:id="rId890" tooltip="Minnesota Vikings" display="file:///teams/min/2021.htm" xr:uid="{8C3BE44F-3352-8D47-81E3-456F2FFB4058}"/>
    <hyperlink ref="B472" r:id="rId891" display="file:///players/S/StraMi03.htm" xr:uid="{A75EB9F2-2543-2D4C-9970-4D4151D980D3}"/>
    <hyperlink ref="C472" r:id="rId892" tooltip="Indianapolis Colts" display="file:///teams/clt/2021.htm" xr:uid="{50D7802D-D279-B44A-A291-AE172312D67E}"/>
    <hyperlink ref="B473" r:id="rId893" display="file:///players/T/TaylMa01.htm" xr:uid="{654E15EC-8616-CB4A-8683-52992260010E}"/>
    <hyperlink ref="C473" r:id="rId894" tooltip="Green Bay Packers" display="file:///teams/gnb/2021.htm" xr:uid="{AAD23C91-9890-6742-95F2-E69AC41C36E5}"/>
    <hyperlink ref="B474" r:id="rId895" display="file:///players/T/TaylPa01.htm" xr:uid="{4F70BDB3-0B4B-1F46-B4D3-E94F9D47C977}"/>
    <hyperlink ref="C474" r:id="rId896" tooltip="Green Bay Packers" display="file:///teams/gnb/2021.htm" xr:uid="{DC1742E8-E7B9-C749-8BB9-584020F732C2}"/>
    <hyperlink ref="B475" r:id="rId897" display="file:///players/T/TaylTr02.htm" xr:uid="{BDC137FC-EF99-DF45-A39E-9F2EF55115B9}"/>
    <hyperlink ref="C475" r:id="rId898" tooltip="Cincinnati Bengals" display="file:///teams/cin/2021.htm" xr:uid="{E9B6CFF8-AAAA-5743-8F4D-A414C284588A}"/>
    <hyperlink ref="B476" r:id="rId899" display="file:///players/W/WallTy00.htm" xr:uid="{780BF825-66D0-BC46-8B5F-43449430897C}"/>
    <hyperlink ref="C476" r:id="rId900" tooltip="Baltimore Ravens" display="file:///teams/rav/2021.htm" xr:uid="{8890C497-8826-C84D-9423-6AA19B0E50EC}"/>
    <hyperlink ref="B477" r:id="rId901" display="file:///players/W/WaltAu00.htm" xr:uid="{DED4F1D5-3655-AF40-B283-7AB95EE64D31}"/>
    <hyperlink ref="C477" r:id="rId902" tooltip="New York Jets" display="file:///teams/nyj/2021.htm" xr:uid="{14C16660-A5D0-BE4C-97B6-702BA680B00B}"/>
    <hyperlink ref="B478" r:id="rId903" display="file:///players/W/WashDw00.htm" xr:uid="{5F1D6E57-8430-D141-AB5C-F102DB6B72A2}"/>
    <hyperlink ref="C478" r:id="rId904" tooltip="New Orleans Saints" display="file:///teams/nor/2021.htm" xr:uid="{B9AD3E1C-BA63-8D4B-8091-1A30E58F6EF7}"/>
    <hyperlink ref="B479" r:id="rId905" display="file:///players/W/WillTy00.htm" xr:uid="{003A4907-5D68-D045-93FD-764A901F6A30}"/>
    <hyperlink ref="C479" r:id="rId906" tooltip="Detroit Lions" display="file:///teams/det/2021.htm" xr:uid="{E840BBEE-9FC6-7D49-8ADC-8A8DCF878C8E}"/>
    <hyperlink ref="B480" r:id="rId907" display="file:///players/W/WolfEt00.htm" xr:uid="{87610605-926C-0545-95DF-2E9F025597B9}"/>
    <hyperlink ref="C480" r:id="rId908" tooltip="New Orleans Saints" display="file:///teams/nor/2021.htm" xr:uid="{4C9FB79A-4C39-9A40-A38B-E62B5357F6D5}"/>
    <hyperlink ref="B481" r:id="rId909" display="file:///players/Y/YeboKe00.htm" xr:uid="{4187D3C3-36CD-ED46-8B61-D7ADCE1ACF4D}"/>
    <hyperlink ref="C481" r:id="rId910" tooltip="New York Jets" display="file:///teams/nyj/2021.htm" xr:uid="{DE000D2C-29F2-704B-B7A7-002721B299E4}"/>
    <hyperlink ref="B482" r:id="rId911" display="file:///players/A/ArmaAl00.htm" xr:uid="{03B562E0-4EFD-BE47-86D9-0C837D2AB01D}"/>
    <hyperlink ref="B483" r:id="rId912" display="file:///players/B/BawdNi00.htm" xr:uid="{9BDD4609-0004-4443-B79D-044D38F95BF8}"/>
    <hyperlink ref="C483" r:id="rId913" tooltip="New York Jets" display="file:///teams/nyj/2021.htm" xr:uid="{9B5E873D-4C68-2A43-A141-97A59CCDA966}"/>
    <hyperlink ref="B484" r:id="rId914" display="file:///players/B/BellNi01.htm" xr:uid="{4911CFC4-1BB1-FC43-B002-3693BF8D8A55}"/>
    <hyperlink ref="C484" r:id="rId915" tooltip="Seattle Seahawks" display="file:///teams/sea/2021.htm" xr:uid="{E788CBC2-1AB4-5D4D-8F21-922DB6EA51E9}"/>
    <hyperlink ref="B485" r:id="rId916" display="file:///players/B/BlacTa00.htm" xr:uid="{B31BD7B1-C79E-DA43-8E58-8E9E1BDE561B}"/>
    <hyperlink ref="C485" r:id="rId917" tooltip="New York Jets" display="file:///teams/nyj/2021.htm" xr:uid="{89331C2C-5A6A-F044-B4B3-1F44340703BA}"/>
    <hyperlink ref="B486" r:id="rId918" display="file:///players/B/BoykMi00.htm" xr:uid="{69F0D9BB-4861-0740-9418-E6119FE897C9}"/>
    <hyperlink ref="C486" r:id="rId919" tooltip="Baltimore Ravens" display="file:///teams/rav/2021.htm" xr:uid="{69D121FE-D3DF-6E40-ACB6-CD9EB9CE1171}"/>
    <hyperlink ref="B487" r:id="rId920" display="file:///players/B/BoylNi00.htm" xr:uid="{B9C665F7-F3C9-BB4E-8701-65C14E51E5A5}"/>
    <hyperlink ref="C487" r:id="rId921" tooltip="Baltimore Ravens" display="file:///teams/rav/2021.htm" xr:uid="{30FBB751-3280-6A49-B90C-050BBADE0107}"/>
    <hyperlink ref="B488" r:id="rId922" display="file:///players/B/BradGa00.htm" xr:uid="{B73C139F-5233-DD4C-A0DF-96B25C19E72F}"/>
    <hyperlink ref="C488" r:id="rId923" tooltip="Minnesota Vikings" display="file:///teams/min/2021.htm" xr:uid="{CAD09FC6-403B-5343-AF58-821B8B1663D9}"/>
    <hyperlink ref="B489" r:id="rId924" display="file:///players/B/BrigGa00.htm" xr:uid="{BF18F86A-A6D8-9A4C-B7DF-6C054DCFFF3B}"/>
    <hyperlink ref="C489" r:id="rId925" tooltip="New York Giants" display="file:///teams/nyg/2021.htm" xr:uid="{B9F98172-EE97-4F45-9718-E965017164DE}"/>
    <hyperlink ref="B490" r:id="rId926" display="file:///players/C/CoutKe00.htm" xr:uid="{6E612F35-EF8C-C64E-8CA2-9CEBDF7AB50C}"/>
    <hyperlink ref="C490" r:id="rId927" tooltip="Indianapolis Colts" display="file:///teams/clt/2021.htm" xr:uid="{631DD1FF-B694-314C-9256-084CC519F121}"/>
    <hyperlink ref="B491" r:id="rId928" display="file:///players/D/DaniDa02.htm" xr:uid="{C9E39225-03A2-4C4A-8B01-05CED21168A8}"/>
    <hyperlink ref="C491" r:id="rId929" tooltip="Arizona Cardinals" display="file:///teams/crd/2021.htm" xr:uid="{F5CA7AE2-2A10-EF4B-912E-2AD86D5BCD7B}"/>
    <hyperlink ref="B492" r:id="rId930" display="file:///players/D/DarbFr00.htm" xr:uid="{F0D9E3C6-DC60-9345-9BAD-147A1A5D5F36}"/>
    <hyperlink ref="C492" r:id="rId931" tooltip="Atlanta Falcons" display="file:///teams/atl/2021.htm" xr:uid="{D3FD22C7-C7F0-D04A-8CBA-5E39BEE0B04E}"/>
    <hyperlink ref="B493" r:id="rId932" display="file:///players/D/DaviDa03.htm" xr:uid="{AFF80D7A-0F8A-9840-BAFD-7DEB433C6549}"/>
    <hyperlink ref="C493" r:id="rId933" tooltip="Houston Texans" display="file:///teams/htx/2021.htm" xr:uid="{1479D9E4-CC93-5642-A835-76674A9CD607}"/>
    <hyperlink ref="B494" r:id="rId934" display="file:///players/G/GallWa00.htm" xr:uid="{4BF90D18-4F0B-974B-9B07-22F423F79852}"/>
    <hyperlink ref="B495" r:id="rId935" display="file:///players/H/HallMa02.htm" xr:uid="{E4B08C85-E270-9A4D-A534-C58D86E5189F}"/>
    <hyperlink ref="C495" r:id="rId936" tooltip="Atlanta Falcons" display="file:///teams/atl/2021.htm" xr:uid="{66F37A2B-1375-3246-9933-DB8341BB9D80}"/>
    <hyperlink ref="B496" r:id="rId937" display="file:///players/H/HeinTa00.htm" xr:uid="{9F9AA5AB-C487-7B4D-900D-D1F5895B6CF7}"/>
    <hyperlink ref="C496" r:id="rId938" tooltip="Washington Football Team" display="file:///teams/was/2021.htm" xr:uid="{831663CB-40A1-7448-BEFB-C5CA8420D82E}"/>
    <hyperlink ref="B498" r:id="rId939" display="file:///players/H/HelmDa01.htm" xr:uid="{1053A39E-5C5A-B34D-80BA-7E476B2AEDA9}"/>
    <hyperlink ref="C498" r:id="rId940" tooltip="Las Vegas Raiders" display="file:///teams/rai/2021.htm" xr:uid="{075FD2DB-66CE-9644-95BA-A29B15556CCA}"/>
    <hyperlink ref="B499" r:id="rId941" display="file:///players/H/HillKy00.htm" xr:uid="{C9D6D20B-4160-334A-A3B2-495E7D1567AF}"/>
    <hyperlink ref="C499" r:id="rId942" tooltip="Green Bay Packers" display="file:///teams/gnb/2021.htm" xr:uid="{42DADA94-7724-B44D-9531-8F42CDD3C842}"/>
    <hyperlink ref="B500" r:id="rId943" display="file:///players/H/HookAm00.htm" xr:uid="{88F368D7-D110-C841-AC30-D2ACCEB84245}"/>
    <hyperlink ref="C500" r:id="rId944" tooltip="Tennessee Titans" display="file:///teams/oti/2021.htm" xr:uid="{73C2EE98-8557-054A-B9AB-AD2E2F231EF6}"/>
    <hyperlink ref="B501" r:id="rId945" display="file:///players/H/HopkBr01.htm" xr:uid="{7051D035-EB47-9F4E-914B-91E8CF3AFFE7}"/>
    <hyperlink ref="C501" r:id="rId946" tooltip="Los Angeles Rams" display="file:///teams/ram/2021.htm" xr:uid="{6E61B080-6456-624B-BBF9-C0D768B063C1}"/>
    <hyperlink ref="B502" r:id="rId947" display="file:///players/I/IsabAn00.htm" xr:uid="{57862D71-8430-604C-B4EE-CF294F7FED3F}"/>
    <hyperlink ref="C502" r:id="rId948" tooltip="Arizona Cardinals" display="file:///teams/crd/2021.htm" xr:uid="{1C3F21C5-BB24-A042-B566-70D71CB871BA}"/>
    <hyperlink ref="B503" r:id="rId949" display="file:///players/J/JohnLa01.htm" xr:uid="{C1B40693-9E2F-394D-BF52-235353421771}"/>
    <hyperlink ref="C503" r:id="rId950" tooltip="Philadelphia Eagles" display="file:///teams/phi/2021.htm" xr:uid="{B7751AB2-E0DC-2D47-B424-055645A85CF0}"/>
    <hyperlink ref="B504" r:id="rId951" display="file:///players/J/JoneDa05.htm" xr:uid="{DDC35406-080B-D64C-BD8D-E92F8E5C0DA5}"/>
    <hyperlink ref="C504" r:id="rId952" tooltip="New York Giants" display="file:///teams/nyg/2021.htm" xr:uid="{527A58F5-7CF7-9744-88DE-77022BC54156}"/>
    <hyperlink ref="B505" r:id="rId953" display="file:///players/L/LewiTo00.htm" xr:uid="{F9770A76-146A-C442-9F3B-4B9A9AE4A89C}"/>
    <hyperlink ref="C505" r:id="rId954" tooltip="Miami Dolphins" display="file:///teams/mia/2021.htm" xr:uid="{F063DFE2-55BB-F548-BA38-464805162FBD}"/>
    <hyperlink ref="B506" r:id="rId955" display="file:///players/L/LockDr00.htm" xr:uid="{F94D3E55-082A-5646-AB4B-3D6D0F1BA73F}"/>
    <hyperlink ref="C506" r:id="rId956" tooltip="Denver Broncos" display="file:///teams/den/2021.htm" xr:uid="{8BC45304-B83B-8C4A-BF88-B03AF87B8AE7}"/>
    <hyperlink ref="B507" r:id="rId957" display="file:///players/L/LongHu00.htm" xr:uid="{19FE7C0F-E10A-744A-AC5A-16CE59542259}"/>
    <hyperlink ref="C507" r:id="rId958" tooltip="Miami Dolphins" display="file:///teams/mia/2021.htm" xr:uid="{9B395DF6-0F61-7B47-A421-142CF55CB047}"/>
    <hyperlink ref="B508" r:id="rId959" display="file:///players/M/McDeCo00.htm" xr:uid="{C707DC70-B27D-3849-954C-8A877AD153D1}"/>
    <hyperlink ref="C508" r:id="rId960" tooltip="New York Jets" display="file:///teams/nyj/2021.htm" xr:uid="{679DE08E-83CF-C547-8FBE-C8F1557DA640}"/>
    <hyperlink ref="B509" r:id="rId961" display="file:///players/M/McFaAn00.htm" xr:uid="{BD0BFB7C-B7C9-2042-BC02-BDD44B6B6F18}"/>
    <hyperlink ref="C509" r:id="rId962" tooltip="Pittsburgh Steelers" display="file:///teams/pit/2021.htm" xr:uid="{D81EF5E0-5956-C34F-98BF-ED9F524B5D7B}"/>
    <hyperlink ref="B510" r:id="rId963" display="file:///players/M/MerrKi00.htm" xr:uid="{E1443C8D-8695-5E4B-A6C2-4D85D09B8C48}"/>
    <hyperlink ref="C510" r:id="rId964" tooltip="Miami Dolphins" display="file:///teams/mia/2021.htm" xr:uid="{E074FFDB-8B3D-F347-A97B-31B600AFF31E}"/>
    <hyperlink ref="B511" r:id="rId965" display="file:///players/M/MundJo00.htm" xr:uid="{5B19CC19-B69F-6146-85A7-214A002F2A5A}"/>
    <hyperlink ref="C511" r:id="rId966" tooltip="Los Angeles Rams" display="file:///teams/ram/2021.htm" xr:uid="{216F9B03-B8A6-5F4C-BB56-6406468B42A7}"/>
    <hyperlink ref="B512" r:id="rId967" display="file:///players/N/NallRy00.htm" xr:uid="{1840C563-08AF-D142-8270-DC18A8DC0A65}"/>
    <hyperlink ref="C512" r:id="rId968" tooltip="Chicago Bears" display="file:///teams/chi/2021.htm" xr:uid="{F168295D-98D1-F646-9A6D-F0BF6543EF19}"/>
    <hyperlink ref="B513" r:id="rId969" display="file:///players/O/OzigDe01.htm" xr:uid="{CA678A34-F5B3-0241-A294-F1457589BE15}"/>
    <hyperlink ref="B514" r:id="rId970" display="file:///players/P/PintDa00.htm" xr:uid="{1685997A-A6F9-C444-94BE-47993BFE2D3B}"/>
    <hyperlink ref="C514" r:id="rId971" tooltip="Indianapolis Colts" display="file:///teams/clt/2021.htm" xr:uid="{0418823C-D012-CB43-9DDB-D11B4B5FB377}"/>
    <hyperlink ref="B515" r:id="rId972" display="file:///players/P/PricBo00.htm" xr:uid="{A2A527C5-7FA5-8340-9C1E-299D7594344B}"/>
    <hyperlink ref="C515" r:id="rId973" tooltip="Detroit Lions" display="file:///teams/det/2021.htm" xr:uid="{6A5830CB-7DFC-D54B-853D-6E1AEFCEFE9D}"/>
    <hyperlink ref="B516" r:id="rId974" display="file:///players/R/RemmMi00.htm" xr:uid="{8A08ADA3-9FA5-EE4F-909F-DD938B0EDE56}"/>
    <hyperlink ref="C516" r:id="rId975" tooltip="Kansas City Chiefs" display="file:///teams/kan/2021.htm" xr:uid="{6594096C-F361-8848-B682-1D74DDF443E4}"/>
    <hyperlink ref="B517" r:id="rId976" display="file:///players/R/RobeAn00.htm" xr:uid="{9ACCDAB1-2B99-8D4B-95A2-A6AAC963858F}"/>
    <hyperlink ref="B518" r:id="rId977" display="file:///players/R/RodgAa00.htm" xr:uid="{9DAE9E23-E186-A94D-AD9E-C38EFE213725}"/>
    <hyperlink ref="C518" r:id="rId978" tooltip="Green Bay Packers" display="file:///teams/gnb/2021.htm" xr:uid="{4E55493D-BB54-C045-8491-0D457AEC1D4B}"/>
    <hyperlink ref="B519" r:id="rId979" display="file:///players/R/RounLa00.htm" xr:uid="{9BB7F70B-7402-5D42-85F8-7BF45BB63929}"/>
    <hyperlink ref="C519" r:id="rId980" tooltip="Los Angeles Chargers" display="file:///teams/sdg/2021.htm" xr:uid="{D11DC906-F5EA-A344-81F4-57BF830AB5C3}"/>
    <hyperlink ref="B520" r:id="rId981" display="file:///players/S/SpenDi00.htm" xr:uid="{41C1915C-CFC5-B14B-8E41-0E55C56B1D08}"/>
    <hyperlink ref="C520" r:id="rId982" tooltip="Denver Broncos" display="file:///teams/den/2021.htm" xr:uid="{A89D41ED-4364-CD46-8DB4-D0E824A46B88}"/>
    <hyperlink ref="B521" r:id="rId983" display="file:///players/S/SteeTe01.htm" xr:uid="{BA6850AA-3CA9-7345-A78D-9F14FA102D43}"/>
    <hyperlink ref="C521" r:id="rId984" tooltip="Dallas Cowboys" display="file:///teams/dal/2021.htm" xr:uid="{1C92495A-F25B-F341-9A2B-8C0AB17083E0}"/>
    <hyperlink ref="B522" r:id="rId985" display="file:///players/T/ThomAn02.htm" xr:uid="{3A8C8195-8892-064B-ADCC-B05C7E068067}"/>
    <hyperlink ref="C522" r:id="rId986" tooltip="New York Giants" display="file:///teams/nyg/2021.htm" xr:uid="{D6CA49F8-7633-EA46-B622-8940C8C44CD1}"/>
    <hyperlink ref="B523" r:id="rId987" display="file:///players/T/TomlEr01.htm" xr:uid="{E0F84AF2-A11E-9B41-9802-0AFC11A9EF5A}"/>
    <hyperlink ref="C523" r:id="rId988" tooltip="Baltimore Ravens" display="file:///teams/rav/2021.htm" xr:uid="{0686F3F6-DD29-1D48-B313-DB472F35B89B}"/>
    <hyperlink ref="B524" r:id="rId989" display="file:///players/W/WhitKe00.htm" xr:uid="{AF42321B-C04D-384A-9EDC-2A49B9AA430A}"/>
    <hyperlink ref="C524" r:id="rId990" tooltip="New Orleans Saints" display="file:///teams/nor/2021.htm" xr:uid="{CD13D17B-3B5B-B545-8D82-92D15DC1C249}"/>
    <hyperlink ref="B525" r:id="rId991" display="file:///players/W/WilkCh00.htm" xr:uid="{3AB83482-09E2-3247-9CF3-08ADC0A22A59}"/>
    <hyperlink ref="C525" r:id="rId992" tooltip="Miami Dolphins" display="file:///teams/mia/2021.htm" xr:uid="{26A5785B-DCA5-3D44-A964-EB64E9ADD242}"/>
    <hyperlink ref="B526" r:id="rId993" display="file:///players/W/WillSe00.htm" xr:uid="{B7C533AA-7245-1F4B-81DC-229468298775}"/>
    <hyperlink ref="C526" r:id="rId994" tooltip="Denver Broncos" display="file:///teams/den/2021.htm" xr:uid="{5A44E8A9-7DF5-0544-8000-6909BA726180}"/>
    <hyperlink ref="B527" r:id="rId995" display="file:///players/W/WillTr06.htm" xr:uid="{831625D1-2520-9B4A-8C68-D6E398C4A74C}"/>
    <hyperlink ref="C527" r:id="rId996" tooltip="Cincinnati Bengals" display="file:///teams/cin/2021.htm" xr:uid="{E8AC0F8A-5432-7A45-ACAE-9285A9AD04A2}"/>
    <hyperlink ref="B529" r:id="rId997" display="file:///players/W/WinsEa00.htm" xr:uid="{B60D56DE-EB57-ED4F-A3C4-E67C850FF98C}"/>
    <hyperlink ref="C529" r:id="rId998" tooltip="New Orleans Saints" display="file:///teams/nor/2021.htm" xr:uid="{54400F14-984A-9349-9AE3-F2EF615890AC}"/>
    <hyperlink ref="B530" r:id="rId999" display="file:///players/Y/YeldDe00.htm" xr:uid="{0C5B85F7-6AAA-E841-A995-204142078615}"/>
    <hyperlink ref="C530" r:id="rId1000" tooltip="Tampa Bay Buccaneers" display="file:///teams/tam/2021.htm" xr:uid="{E21A6F49-6C53-5946-8767-F060FC279A9A}"/>
    <hyperlink ref="B531" r:id="rId1001" display="file:///players/A/AdamRo01.htm" xr:uid="{71E6418F-49CD-644C-A4A6-DE350886A5A4}"/>
    <hyperlink ref="C531" r:id="rId1002" tooltip="Chicago Bears" display="file:///teams/chi/2021.htm" xr:uid="{33E7C730-5165-8243-8F10-FD4651805830}"/>
    <hyperlink ref="B532" r:id="rId1003" display="file:///players/A/AlliGe01.htm" xr:uid="{E328E5D3-8A40-064E-9737-D20ED1074740}"/>
    <hyperlink ref="C532" r:id="rId1004" tooltip="Detroit Lions" display="file:///teams/det/2021.htm" xr:uid="{D55143C6-8CF8-9642-BFAB-9FE957647B08}"/>
    <hyperlink ref="B533" r:id="rId1005" display="file:///players/B/BenjTr00.htm" xr:uid="{F3E8D974-022C-A549-AA7A-1BA6F0696CE0}"/>
    <hyperlink ref="C533" r:id="rId1006" tooltip="San Francisco 49ers" display="file:///teams/sfo/2021.htm" xr:uid="{B6FDB9DF-D0D7-074D-9BD8-11E0F98DB6E3}"/>
    <hyperlink ref="B534" r:id="rId1007" display="file:///players/B/BradDa00.htm" xr:uid="{A1303D73-B738-3E48-BB30-C463F9E88C55}"/>
    <hyperlink ref="C534" r:id="rId1008" tooltip="Los Angeles Chargers" display="file:///teams/sdg/2021.htm" xr:uid="{82A15918-5D92-D24E-9E54-D94206AAD456}"/>
    <hyperlink ref="B535" r:id="rId1009" display="file:///players/B/BrowJo02.htm" xr:uid="{BB31FCC0-89FC-AE4A-92AE-C6996BF97B1C}"/>
    <hyperlink ref="B536" r:id="rId1010" display="file:///players/C/CampTe00.htm" xr:uid="{2D61D8F2-3F8C-F246-AA75-29830922A2B7}"/>
    <hyperlink ref="C536" r:id="rId1011" tooltip="Los Angeles Chargers" display="file:///teams/sdg/2021.htm" xr:uid="{9B343827-7582-7145-BFB0-3014F17A14E7}"/>
    <hyperlink ref="B537" r:id="rId1012" display="file:///players/C/ClevTy00.htm" xr:uid="{D02886A4-7613-2C4C-BE90-EAE4B1CCB3DF}"/>
    <hyperlink ref="C537" r:id="rId1013" tooltip="Denver Broncos" display="file:///teams/den/2021.htm" xr:uid="{EE257A1E-FE14-D247-94B7-C04EF89A0C33}"/>
    <hyperlink ref="B538" r:id="rId1014" display="file:///players/C/CoulIs00.htm" xr:uid="{669D21DE-7FDE-2A4B-AA1F-F6F34CD08C0F}"/>
    <hyperlink ref="C538" r:id="rId1015" tooltip="Chicago Bears" display="file:///teams/chi/2021.htm" xr:uid="{C23C73D0-1127-0842-962F-019E9E2A437C}"/>
    <hyperlink ref="B539" r:id="rId1016" display="file:///players/C/CrosKe00.htm" xr:uid="{90C82EF5-DCAA-F344-86AE-AA9442F32ECC}"/>
    <hyperlink ref="C539" r:id="rId1017" tooltip="New York Giants" display="file:///teams/nyg/2021.htm" xr:uid="{6B1FA39C-E159-3C44-9613-1BE1493534CB}"/>
    <hyperlink ref="B540" r:id="rId1018" display="file:///players/D/DawkDi00.htm" xr:uid="{FD70E853-07EF-944C-B800-ABCB067CF917}"/>
    <hyperlink ref="C540" r:id="rId1019" tooltip="Buffalo Bills" display="file:///teams/buf/2021.htm" xr:uid="{C9E2BB22-AE43-9F4A-9F55-BEE0DF788040}"/>
    <hyperlink ref="B541" r:id="rId1020" display="file:///players/E/ElleBe00.htm" xr:uid="{C92D0CA2-5718-254B-89AA-CD0279651B74}"/>
    <hyperlink ref="C541" r:id="rId1021" tooltip="Minnesota Vikings" display="file:///teams/min/2021.htm" xr:uid="{D0DE602F-DEF2-604F-80F3-D0960A583301}"/>
    <hyperlink ref="B542" r:id="rId1022" display="file:///players/H/HuntJa01.htm" xr:uid="{F77D2E67-FEEF-CC4A-AD73-2B176ED2E565}"/>
    <hyperlink ref="C542" r:id="rId1023" tooltip="Philadelphia Eagles" display="file:///teams/phi/2021.htm" xr:uid="{F9E50911-123C-A245-9994-AA8392923F66}"/>
    <hyperlink ref="B543" r:id="rId1024" display="file:///players/H/HurtJa00.htm" xr:uid="{A7D98B3A-BEB2-7B40-A08E-331DCC469BF5}"/>
    <hyperlink ref="C543" r:id="rId1025" tooltip="Philadelphia Eagles" display="file:///teams/phi/2021.htm" xr:uid="{8538CEC2-2DB6-224B-88DC-02A5EB7BD7B2}"/>
    <hyperlink ref="B544" r:id="rId1026" display="file:///players/M/McElCo00.htm" xr:uid="{F048DD85-3E7C-F042-A3FB-60FFE575EEA2}"/>
    <hyperlink ref="C544" r:id="rId1027" tooltip="Tampa Bay Buccaneers" display="file:///teams/tam/2021.htm" xr:uid="{785ED39D-FDD8-9D4C-A725-A952C0B50ADA}"/>
    <hyperlink ref="B545" r:id="rId1028" display="file:///players/M/MoorDa03.htm" xr:uid="{81A6571F-CC64-0A42-A203-F79D36BDEC2B}"/>
    <hyperlink ref="B546" r:id="rId1029" display="file:///players/N/NelsMa00.htm" xr:uid="{A03FCB64-2C0E-7243-8D34-EED5B26E5317}"/>
    <hyperlink ref="C546" r:id="rId1030" tooltip="Detroit Lions" display="file:///teams/det/2021.htm" xr:uid="{04FB8FCE-4FCB-9947-B92C-FBA218F28585}"/>
    <hyperlink ref="B547" r:id="rId1031" display="file:///players/R/RiccGi00.htm" xr:uid="{F0C1D9A6-74E9-2C41-9941-A3120DD9AEA2}"/>
    <hyperlink ref="C547" r:id="rId1032" tooltip="Carolina Panthers" display="file:///teams/car/2021.htm" xr:uid="{20DCEEDE-3D7D-0140-9828-2CC24B9538E0}"/>
    <hyperlink ref="B548" r:id="rId1033" display="file:///players/S/SargMe00.htm" xr:uid="{FA3CCA0F-97C5-2E4B-B4B0-99C1A08055D8}"/>
    <hyperlink ref="B549" r:id="rId1034" display="file:///players/S/SmitDe04.htm" xr:uid="{9FC83B29-5E70-6E48-B56B-4F9F266DD0C6}"/>
    <hyperlink ref="C549" r:id="rId1035" tooltip="Jacksonville Jaguars" display="file:///teams/jax/2021.htm" xr:uid="{1C52A607-CF60-2846-A46F-3D9796393AF6}"/>
    <hyperlink ref="B550" r:id="rId1036" display="file:///players/S/SmitVy00.htm" xr:uid="{41B3B32E-471C-FE46-A183-1F593E091B64}"/>
    <hyperlink ref="C550" r:id="rId1037" tooltip="New York Jets" display="file:///teams/nyj/2021.htm" xr:uid="{B46F9DD6-B912-C046-BEE3-ABEBF8E0697A}"/>
    <hyperlink ref="B551" r:id="rId1038" display="file:///players/S/SullSt00.htm" xr:uid="{3175ABFA-A303-394F-AC3C-72467D03DAF2}"/>
    <hyperlink ref="C551" r:id="rId1039" tooltip="Carolina Panthers" display="file:///teams/car/2021.htm" xr:uid="{1C830DA8-A114-BB40-A63B-377DA49426A5}"/>
    <hyperlink ref="B552" r:id="rId1040" display="file:///players/T/ThomCo03.htm" xr:uid="{91FB86D6-88E1-D440-8926-0DC41EA3C78F}"/>
    <hyperlink ref="C552" r:id="rId1041" tooltip="Carolina Panthers" display="file:///teams/car/2021.htm" xr:uid="{218A0127-DDBA-794F-88D0-FAB2A28F007C}"/>
    <hyperlink ref="B553" r:id="rId1042" display="file:///players/W/WillTr21.htm" xr:uid="{1C7CDC27-BCEE-C448-ABC0-52C8C66EED95}"/>
    <hyperlink ref="C553" r:id="rId1043" tooltip="San Francisco 49ers" display="file:///teams/sfo/2021.htm" xr:uid="{33C4EBC0-430F-854D-B4AB-989AFDBFD19A}"/>
    <hyperlink ref="B554" r:id="rId1044" display="file:///players/W/WilsZa00.htm" xr:uid="{8C8BECE4-9E9D-594B-A9E8-889404C89976}"/>
    <hyperlink ref="C554" r:id="rId1045" tooltip="New York Jets" display="file:///teams/nyj/2021.htm" xr:uid="{A1526A1B-5AB9-BC4B-9025-9136D0E2C50F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T500"/>
  <sheetViews>
    <sheetView workbookViewId="0"/>
  </sheetViews>
  <sheetFormatPr baseColWidth="10" defaultColWidth="8.83203125" defaultRowHeight="15" x14ac:dyDescent="0.2"/>
  <cols>
    <col min="1" max="1" width="5.5" bestFit="1" customWidth="1"/>
    <col min="2" max="3" width="24.33203125" bestFit="1" customWidth="1"/>
    <col min="4" max="4" width="8.1640625" bestFit="1" customWidth="1"/>
    <col min="5" max="5" width="6.6640625" bestFit="1" customWidth="1"/>
    <col min="6" max="6" width="6.5" bestFit="1" customWidth="1"/>
    <col min="7" max="7" width="9.5" bestFit="1" customWidth="1"/>
    <col min="8" max="8" width="16.5" bestFit="1" customWidth="1"/>
    <col min="9" max="9" width="9.6640625" bestFit="1" customWidth="1"/>
    <col min="10" max="10" width="6.5" bestFit="1" customWidth="1"/>
    <col min="11" max="11" width="8.6640625" bestFit="1" customWidth="1"/>
    <col min="12" max="12" width="6.5" bestFit="1" customWidth="1"/>
    <col min="13" max="13" width="10.5" bestFit="1" customWidth="1"/>
    <col min="14" max="15" width="5.5" bestFit="1" customWidth="1"/>
    <col min="16" max="16" width="6.33203125" bestFit="1" customWidth="1"/>
    <col min="17" max="17" width="10" bestFit="1" customWidth="1"/>
    <col min="18" max="19" width="10.5" bestFit="1" customWidth="1"/>
    <col min="20" max="20" width="7.1640625" bestFit="1" customWidth="1"/>
  </cols>
  <sheetData>
    <row r="1" spans="1:20" x14ac:dyDescent="0.2">
      <c r="A1" t="s">
        <v>902</v>
      </c>
      <c r="B1" t="s">
        <v>903</v>
      </c>
      <c r="C1" t="s">
        <v>27</v>
      </c>
      <c r="D1" t="s">
        <v>21</v>
      </c>
      <c r="E1" t="s">
        <v>905</v>
      </c>
      <c r="F1" t="s">
        <v>906</v>
      </c>
      <c r="G1" t="s">
        <v>907</v>
      </c>
      <c r="H1" t="s">
        <v>908</v>
      </c>
      <c r="I1" t="s">
        <v>2091</v>
      </c>
      <c r="J1" t="s">
        <v>2092</v>
      </c>
      <c r="K1" t="s">
        <v>2093</v>
      </c>
      <c r="L1" t="s">
        <v>799</v>
      </c>
      <c r="M1" t="s">
        <v>2094</v>
      </c>
      <c r="N1" t="s">
        <v>800</v>
      </c>
      <c r="O1" t="s">
        <v>1321</v>
      </c>
      <c r="P1" t="s">
        <v>917</v>
      </c>
      <c r="Q1" t="s">
        <v>2095</v>
      </c>
      <c r="R1" t="s">
        <v>2096</v>
      </c>
      <c r="S1" t="s">
        <v>2097</v>
      </c>
      <c r="T1" t="s">
        <v>1416</v>
      </c>
    </row>
    <row r="2" spans="1:20" x14ac:dyDescent="0.2">
      <c r="A2">
        <v>1</v>
      </c>
      <c r="B2" t="s">
        <v>2011</v>
      </c>
      <c r="C2" t="s">
        <v>105</v>
      </c>
      <c r="D2" t="s">
        <v>98</v>
      </c>
      <c r="E2">
        <v>27</v>
      </c>
      <c r="F2" t="s">
        <v>83</v>
      </c>
      <c r="G2">
        <v>16</v>
      </c>
      <c r="H2">
        <v>15</v>
      </c>
      <c r="I2">
        <v>166</v>
      </c>
      <c r="J2">
        <v>127</v>
      </c>
      <c r="K2">
        <v>0.76500000000000001</v>
      </c>
      <c r="L2">
        <v>1535</v>
      </c>
      <c r="M2">
        <v>12.1</v>
      </c>
      <c r="N2">
        <v>8</v>
      </c>
      <c r="O2">
        <v>73</v>
      </c>
      <c r="P2">
        <v>55</v>
      </c>
      <c r="Q2">
        <v>9.1999999999999993</v>
      </c>
      <c r="R2">
        <v>7.9</v>
      </c>
      <c r="S2">
        <v>95.9</v>
      </c>
      <c r="T2">
        <v>0</v>
      </c>
    </row>
    <row r="3" spans="1:20" x14ac:dyDescent="0.2">
      <c r="A3">
        <v>2</v>
      </c>
      <c r="B3" t="s">
        <v>2110</v>
      </c>
      <c r="C3" t="s">
        <v>84</v>
      </c>
      <c r="D3" t="s">
        <v>1267</v>
      </c>
      <c r="E3">
        <v>28</v>
      </c>
      <c r="F3" t="s">
        <v>83</v>
      </c>
      <c r="G3">
        <v>14</v>
      </c>
      <c r="H3">
        <v>14</v>
      </c>
      <c r="I3">
        <v>149</v>
      </c>
      <c r="J3">
        <v>115</v>
      </c>
      <c r="K3">
        <v>0.77200000000000002</v>
      </c>
      <c r="L3">
        <v>1374</v>
      </c>
      <c r="M3">
        <v>11.9</v>
      </c>
      <c r="N3">
        <v>18</v>
      </c>
      <c r="O3">
        <v>73</v>
      </c>
      <c r="P3">
        <v>56</v>
      </c>
      <c r="Q3">
        <v>9.1999999999999993</v>
      </c>
      <c r="R3">
        <v>8.1999999999999993</v>
      </c>
      <c r="S3">
        <v>98.1</v>
      </c>
      <c r="T3">
        <v>1</v>
      </c>
    </row>
    <row r="4" spans="1:20" x14ac:dyDescent="0.2">
      <c r="A4">
        <v>3</v>
      </c>
      <c r="B4" t="s">
        <v>2027</v>
      </c>
      <c r="C4" t="s">
        <v>96</v>
      </c>
      <c r="D4" t="s">
        <v>78</v>
      </c>
      <c r="E4">
        <v>28</v>
      </c>
      <c r="F4" t="s">
        <v>83</v>
      </c>
      <c r="G4">
        <v>16</v>
      </c>
      <c r="H4">
        <v>16</v>
      </c>
      <c r="I4">
        <v>160</v>
      </c>
      <c r="J4">
        <v>115</v>
      </c>
      <c r="K4">
        <v>0.71899999999999997</v>
      </c>
      <c r="L4">
        <v>1407</v>
      </c>
      <c r="M4">
        <v>12.2</v>
      </c>
      <c r="N4">
        <v>6</v>
      </c>
      <c r="O4">
        <v>75</v>
      </c>
      <c r="P4">
        <v>60</v>
      </c>
      <c r="Q4">
        <v>8.8000000000000007</v>
      </c>
      <c r="R4">
        <v>7.2</v>
      </c>
      <c r="S4">
        <v>87.9</v>
      </c>
      <c r="T4">
        <v>3</v>
      </c>
    </row>
    <row r="5" spans="1:20" x14ac:dyDescent="0.2">
      <c r="A5">
        <v>4</v>
      </c>
      <c r="B5" t="s">
        <v>2111</v>
      </c>
      <c r="C5" t="s">
        <v>2098</v>
      </c>
      <c r="D5" t="s">
        <v>933</v>
      </c>
      <c r="E5">
        <v>28</v>
      </c>
      <c r="F5" t="s">
        <v>88</v>
      </c>
      <c r="G5">
        <v>16</v>
      </c>
      <c r="H5">
        <v>15</v>
      </c>
      <c r="I5">
        <v>145</v>
      </c>
      <c r="J5">
        <v>107</v>
      </c>
      <c r="K5">
        <v>0.73799999999999999</v>
      </c>
      <c r="L5">
        <v>1196</v>
      </c>
      <c r="M5">
        <v>11.2</v>
      </c>
      <c r="N5">
        <v>9</v>
      </c>
      <c r="O5">
        <v>69</v>
      </c>
      <c r="P5">
        <v>38</v>
      </c>
      <c r="Q5">
        <v>8.1999999999999993</v>
      </c>
      <c r="R5">
        <v>6.7</v>
      </c>
      <c r="S5">
        <v>74.8</v>
      </c>
      <c r="T5">
        <v>2</v>
      </c>
    </row>
    <row r="6" spans="1:20" x14ac:dyDescent="0.2">
      <c r="A6">
        <v>5</v>
      </c>
      <c r="B6" t="s">
        <v>1394</v>
      </c>
      <c r="C6" t="s">
        <v>89</v>
      </c>
      <c r="D6" t="s">
        <v>1040</v>
      </c>
      <c r="E6">
        <v>31</v>
      </c>
      <c r="F6" t="s">
        <v>88</v>
      </c>
      <c r="G6">
        <v>15</v>
      </c>
      <c r="H6">
        <v>15</v>
      </c>
      <c r="I6">
        <v>145</v>
      </c>
      <c r="J6">
        <v>105</v>
      </c>
      <c r="K6">
        <v>0.72399999999999998</v>
      </c>
      <c r="L6">
        <v>1416</v>
      </c>
      <c r="M6">
        <v>13.5</v>
      </c>
      <c r="N6">
        <v>11</v>
      </c>
      <c r="O6">
        <v>79</v>
      </c>
      <c r="P6">
        <v>45</v>
      </c>
      <c r="Q6">
        <v>9.8000000000000007</v>
      </c>
      <c r="R6">
        <v>7</v>
      </c>
      <c r="S6">
        <v>94.4</v>
      </c>
      <c r="T6">
        <v>1</v>
      </c>
    </row>
    <row r="7" spans="1:20" x14ac:dyDescent="0.2">
      <c r="A7">
        <v>6</v>
      </c>
      <c r="B7" t="s">
        <v>884</v>
      </c>
      <c r="C7" t="s">
        <v>884</v>
      </c>
      <c r="D7" t="s">
        <v>727</v>
      </c>
      <c r="E7">
        <v>27</v>
      </c>
      <c r="F7" t="s">
        <v>83</v>
      </c>
      <c r="G7">
        <v>16</v>
      </c>
      <c r="H7">
        <v>16</v>
      </c>
      <c r="I7">
        <v>151</v>
      </c>
      <c r="J7">
        <v>102</v>
      </c>
      <c r="K7">
        <v>0.67500000000000004</v>
      </c>
      <c r="L7">
        <v>1250</v>
      </c>
      <c r="M7">
        <v>12.3</v>
      </c>
      <c r="N7">
        <v>6</v>
      </c>
      <c r="O7">
        <v>68</v>
      </c>
      <c r="P7">
        <v>42</v>
      </c>
      <c r="Q7">
        <v>8.3000000000000007</v>
      </c>
      <c r="R7">
        <v>6.4</v>
      </c>
      <c r="S7">
        <v>78.099999999999994</v>
      </c>
      <c r="T7">
        <v>0</v>
      </c>
    </row>
    <row r="8" spans="1:20" x14ac:dyDescent="0.2">
      <c r="A8">
        <v>7</v>
      </c>
      <c r="B8" t="s">
        <v>1397</v>
      </c>
      <c r="C8" t="s">
        <v>125</v>
      </c>
      <c r="D8" t="s">
        <v>118</v>
      </c>
      <c r="E8">
        <v>28</v>
      </c>
      <c r="F8" t="s">
        <v>83</v>
      </c>
      <c r="G8">
        <v>14</v>
      </c>
      <c r="H8">
        <v>13</v>
      </c>
      <c r="I8">
        <v>147</v>
      </c>
      <c r="J8">
        <v>100</v>
      </c>
      <c r="K8">
        <v>0.68</v>
      </c>
      <c r="L8">
        <v>992</v>
      </c>
      <c r="M8">
        <v>9.9</v>
      </c>
      <c r="N8">
        <v>8</v>
      </c>
      <c r="O8">
        <v>61</v>
      </c>
      <c r="P8">
        <v>28</v>
      </c>
      <c r="Q8">
        <v>6.7</v>
      </c>
      <c r="R8">
        <v>7.1</v>
      </c>
      <c r="S8">
        <v>70.900000000000006</v>
      </c>
      <c r="T8">
        <v>3</v>
      </c>
    </row>
    <row r="9" spans="1:20" x14ac:dyDescent="0.2">
      <c r="A9">
        <v>8</v>
      </c>
      <c r="B9" t="s">
        <v>150</v>
      </c>
      <c r="C9" t="s">
        <v>150</v>
      </c>
      <c r="D9" t="s">
        <v>108</v>
      </c>
      <c r="E9">
        <v>28</v>
      </c>
      <c r="F9" t="s">
        <v>83</v>
      </c>
      <c r="G9">
        <v>16</v>
      </c>
      <c r="H9">
        <v>16</v>
      </c>
      <c r="I9">
        <v>132</v>
      </c>
      <c r="J9">
        <v>100</v>
      </c>
      <c r="K9">
        <v>0.75800000000000001</v>
      </c>
      <c r="L9">
        <v>1054</v>
      </c>
      <c r="M9">
        <v>10.5</v>
      </c>
      <c r="N9">
        <v>10</v>
      </c>
      <c r="O9">
        <v>57</v>
      </c>
      <c r="P9">
        <v>47</v>
      </c>
      <c r="Q9">
        <v>8</v>
      </c>
      <c r="R9">
        <v>6.3</v>
      </c>
      <c r="S9">
        <v>65.900000000000006</v>
      </c>
      <c r="T9">
        <v>1</v>
      </c>
    </row>
    <row r="10" spans="1:20" x14ac:dyDescent="0.2">
      <c r="A10">
        <v>9</v>
      </c>
      <c r="B10" t="s">
        <v>179</v>
      </c>
      <c r="C10" t="s">
        <v>179</v>
      </c>
      <c r="D10" t="s">
        <v>99</v>
      </c>
      <c r="E10">
        <v>24</v>
      </c>
      <c r="F10" t="s">
        <v>83</v>
      </c>
      <c r="G10">
        <v>16</v>
      </c>
      <c r="H10">
        <v>14</v>
      </c>
      <c r="I10">
        <v>128</v>
      </c>
      <c r="J10">
        <v>97</v>
      </c>
      <c r="K10">
        <v>0.75800000000000001</v>
      </c>
      <c r="L10">
        <v>831</v>
      </c>
      <c r="M10">
        <v>8.6</v>
      </c>
      <c r="N10">
        <v>9</v>
      </c>
      <c r="O10">
        <v>48</v>
      </c>
      <c r="P10">
        <v>31</v>
      </c>
      <c r="Q10">
        <v>6.5</v>
      </c>
      <c r="R10">
        <v>6.1</v>
      </c>
      <c r="S10">
        <v>51.9</v>
      </c>
      <c r="T10">
        <v>3</v>
      </c>
    </row>
    <row r="11" spans="1:20" x14ac:dyDescent="0.2">
      <c r="A11">
        <v>10</v>
      </c>
      <c r="B11" t="s">
        <v>196</v>
      </c>
      <c r="C11" t="s">
        <v>196</v>
      </c>
      <c r="D11" t="s">
        <v>70</v>
      </c>
      <c r="E11">
        <v>27</v>
      </c>
      <c r="F11" t="s">
        <v>83</v>
      </c>
      <c r="G11">
        <v>16</v>
      </c>
      <c r="H11">
        <v>16</v>
      </c>
      <c r="I11">
        <v>136</v>
      </c>
      <c r="J11">
        <v>95</v>
      </c>
      <c r="K11">
        <v>0.69899999999999995</v>
      </c>
      <c r="L11">
        <v>1096</v>
      </c>
      <c r="M11">
        <v>11.5</v>
      </c>
      <c r="N11">
        <v>3</v>
      </c>
      <c r="O11">
        <v>49</v>
      </c>
      <c r="P11">
        <v>75</v>
      </c>
      <c r="Q11">
        <v>8.1</v>
      </c>
      <c r="R11">
        <v>5.9</v>
      </c>
      <c r="S11">
        <v>68.5</v>
      </c>
      <c r="T11">
        <v>1</v>
      </c>
    </row>
    <row r="12" spans="1:20" x14ac:dyDescent="0.2">
      <c r="A12">
        <v>11</v>
      </c>
      <c r="B12" t="s">
        <v>1895</v>
      </c>
      <c r="C12" t="s">
        <v>1895</v>
      </c>
      <c r="D12" t="s">
        <v>729</v>
      </c>
      <c r="E12">
        <v>26</v>
      </c>
      <c r="F12" t="s">
        <v>83</v>
      </c>
      <c r="G12">
        <v>16</v>
      </c>
      <c r="H12">
        <v>15</v>
      </c>
      <c r="I12">
        <v>130</v>
      </c>
      <c r="J12">
        <v>92</v>
      </c>
      <c r="K12">
        <v>0.70799999999999996</v>
      </c>
      <c r="L12">
        <v>1114</v>
      </c>
      <c r="M12">
        <v>12.1</v>
      </c>
      <c r="N12">
        <v>5</v>
      </c>
      <c r="O12">
        <v>54</v>
      </c>
      <c r="P12">
        <v>69</v>
      </c>
      <c r="Q12">
        <v>8.6</v>
      </c>
      <c r="R12">
        <v>5.8</v>
      </c>
      <c r="S12">
        <v>69.599999999999994</v>
      </c>
      <c r="T12">
        <v>0</v>
      </c>
    </row>
    <row r="13" spans="1:20" x14ac:dyDescent="0.2">
      <c r="A13">
        <v>12</v>
      </c>
      <c r="B13" t="s">
        <v>1928</v>
      </c>
      <c r="C13" t="s">
        <v>1928</v>
      </c>
      <c r="D13" t="s">
        <v>730</v>
      </c>
      <c r="E13">
        <v>27</v>
      </c>
      <c r="F13" t="s">
        <v>83</v>
      </c>
      <c r="G13">
        <v>15</v>
      </c>
      <c r="H13">
        <v>12</v>
      </c>
      <c r="I13">
        <v>124</v>
      </c>
      <c r="J13">
        <v>92</v>
      </c>
      <c r="K13">
        <v>0.74199999999999999</v>
      </c>
      <c r="L13">
        <v>974</v>
      </c>
      <c r="M13">
        <v>10.6</v>
      </c>
      <c r="N13">
        <v>3</v>
      </c>
      <c r="O13">
        <v>44</v>
      </c>
      <c r="P13">
        <v>55</v>
      </c>
      <c r="Q13">
        <v>7.9</v>
      </c>
      <c r="R13">
        <v>6.1</v>
      </c>
      <c r="S13">
        <v>64.900000000000006</v>
      </c>
      <c r="T13">
        <v>1</v>
      </c>
    </row>
    <row r="14" spans="1:20" x14ac:dyDescent="0.2">
      <c r="A14">
        <v>13</v>
      </c>
      <c r="B14" t="s">
        <v>100</v>
      </c>
      <c r="C14" t="s">
        <v>100</v>
      </c>
      <c r="D14" t="s">
        <v>101</v>
      </c>
      <c r="E14">
        <v>26</v>
      </c>
      <c r="F14" t="s">
        <v>83</v>
      </c>
      <c r="G14">
        <v>15</v>
      </c>
      <c r="H14">
        <v>15</v>
      </c>
      <c r="I14">
        <v>143</v>
      </c>
      <c r="J14">
        <v>90</v>
      </c>
      <c r="K14">
        <v>0.629</v>
      </c>
      <c r="L14">
        <v>1374</v>
      </c>
      <c r="M14">
        <v>15.3</v>
      </c>
      <c r="N14">
        <v>9</v>
      </c>
      <c r="O14">
        <v>65</v>
      </c>
      <c r="P14">
        <v>63</v>
      </c>
      <c r="Q14">
        <v>9.6</v>
      </c>
      <c r="R14">
        <v>6</v>
      </c>
      <c r="S14">
        <v>91.6</v>
      </c>
      <c r="T14">
        <v>1</v>
      </c>
    </row>
    <row r="15" spans="1:20" x14ac:dyDescent="0.2">
      <c r="A15">
        <v>14</v>
      </c>
      <c r="B15" t="s">
        <v>1582</v>
      </c>
      <c r="C15" t="s">
        <v>1582</v>
      </c>
      <c r="D15" t="s">
        <v>730</v>
      </c>
      <c r="E15">
        <v>28</v>
      </c>
      <c r="F15" t="s">
        <v>83</v>
      </c>
      <c r="G15">
        <v>16</v>
      </c>
      <c r="H15">
        <v>16</v>
      </c>
      <c r="I15">
        <v>129</v>
      </c>
      <c r="J15">
        <v>90</v>
      </c>
      <c r="K15">
        <v>0.69799999999999995</v>
      </c>
      <c r="L15">
        <v>936</v>
      </c>
      <c r="M15">
        <v>10.4</v>
      </c>
      <c r="N15">
        <v>6</v>
      </c>
      <c r="O15">
        <v>44</v>
      </c>
      <c r="P15">
        <v>56</v>
      </c>
      <c r="Q15">
        <v>7.3</v>
      </c>
      <c r="R15">
        <v>5.6</v>
      </c>
      <c r="S15">
        <v>58.5</v>
      </c>
      <c r="T15">
        <v>2</v>
      </c>
    </row>
    <row r="16" spans="1:20" x14ac:dyDescent="0.2">
      <c r="A16">
        <v>15</v>
      </c>
      <c r="B16" t="s">
        <v>2033</v>
      </c>
      <c r="C16" t="s">
        <v>104</v>
      </c>
      <c r="D16" t="s">
        <v>73</v>
      </c>
      <c r="E16">
        <v>21</v>
      </c>
      <c r="F16" t="s">
        <v>83</v>
      </c>
      <c r="G16">
        <v>16</v>
      </c>
      <c r="H16">
        <v>14</v>
      </c>
      <c r="I16">
        <v>125</v>
      </c>
      <c r="J16">
        <v>88</v>
      </c>
      <c r="K16">
        <v>0.70399999999999996</v>
      </c>
      <c r="L16">
        <v>1400</v>
      </c>
      <c r="M16">
        <v>15.9</v>
      </c>
      <c r="N16">
        <v>7</v>
      </c>
      <c r="O16">
        <v>58</v>
      </c>
      <c r="P16">
        <v>71</v>
      </c>
      <c r="Q16">
        <v>11.2</v>
      </c>
      <c r="R16">
        <v>5.5</v>
      </c>
      <c r="S16">
        <v>87.5</v>
      </c>
      <c r="T16">
        <v>1</v>
      </c>
    </row>
    <row r="17" spans="1:20" x14ac:dyDescent="0.2">
      <c r="A17">
        <v>16</v>
      </c>
      <c r="B17" t="s">
        <v>162</v>
      </c>
      <c r="C17" t="s">
        <v>162</v>
      </c>
      <c r="D17" t="s">
        <v>99</v>
      </c>
      <c r="E17">
        <v>24</v>
      </c>
      <c r="F17" t="s">
        <v>83</v>
      </c>
      <c r="G17">
        <v>15</v>
      </c>
      <c r="H17">
        <v>13</v>
      </c>
      <c r="I17">
        <v>144</v>
      </c>
      <c r="J17">
        <v>88</v>
      </c>
      <c r="K17">
        <v>0.61099999999999999</v>
      </c>
      <c r="L17">
        <v>923</v>
      </c>
      <c r="M17">
        <v>10.5</v>
      </c>
      <c r="N17">
        <v>7</v>
      </c>
      <c r="O17">
        <v>45</v>
      </c>
      <c r="P17">
        <v>47</v>
      </c>
      <c r="Q17">
        <v>6.4</v>
      </c>
      <c r="R17">
        <v>5.9</v>
      </c>
      <c r="S17">
        <v>61.5</v>
      </c>
      <c r="T17">
        <v>2</v>
      </c>
    </row>
    <row r="18" spans="1:20" x14ac:dyDescent="0.2">
      <c r="A18">
        <v>17</v>
      </c>
      <c r="B18" t="s">
        <v>1838</v>
      </c>
      <c r="C18" t="s">
        <v>90</v>
      </c>
      <c r="D18" t="s">
        <v>1040</v>
      </c>
      <c r="E18">
        <v>26</v>
      </c>
      <c r="F18" t="s">
        <v>83</v>
      </c>
      <c r="G18">
        <v>15</v>
      </c>
      <c r="H18">
        <v>15</v>
      </c>
      <c r="I18">
        <v>135</v>
      </c>
      <c r="J18">
        <v>87</v>
      </c>
      <c r="K18">
        <v>0.64400000000000002</v>
      </c>
      <c r="L18">
        <v>1276</v>
      </c>
      <c r="M18">
        <v>14.7</v>
      </c>
      <c r="N18">
        <v>15</v>
      </c>
      <c r="O18">
        <v>57</v>
      </c>
      <c r="P18">
        <v>75</v>
      </c>
      <c r="Q18">
        <v>9.5</v>
      </c>
      <c r="R18">
        <v>5.8</v>
      </c>
      <c r="S18">
        <v>85.1</v>
      </c>
      <c r="T18">
        <v>1</v>
      </c>
    </row>
    <row r="19" spans="1:20" x14ac:dyDescent="0.2">
      <c r="A19">
        <v>18</v>
      </c>
      <c r="B19" t="s">
        <v>147</v>
      </c>
      <c r="C19" t="s">
        <v>147</v>
      </c>
      <c r="D19" t="s">
        <v>119</v>
      </c>
      <c r="E19">
        <v>25</v>
      </c>
      <c r="F19" t="s">
        <v>83</v>
      </c>
      <c r="G19">
        <v>15</v>
      </c>
      <c r="H19">
        <v>15</v>
      </c>
      <c r="I19">
        <v>134</v>
      </c>
      <c r="J19">
        <v>87</v>
      </c>
      <c r="K19">
        <v>0.64900000000000002</v>
      </c>
      <c r="L19">
        <v>1118</v>
      </c>
      <c r="M19">
        <v>12.9</v>
      </c>
      <c r="N19">
        <v>4</v>
      </c>
      <c r="O19">
        <v>51</v>
      </c>
      <c r="P19">
        <v>68</v>
      </c>
      <c r="Q19">
        <v>8.3000000000000007</v>
      </c>
      <c r="R19">
        <v>5.8</v>
      </c>
      <c r="S19">
        <v>74.5</v>
      </c>
      <c r="T19">
        <v>1</v>
      </c>
    </row>
    <row r="20" spans="1:20" x14ac:dyDescent="0.2">
      <c r="A20">
        <v>19</v>
      </c>
      <c r="B20" t="s">
        <v>1635</v>
      </c>
      <c r="C20" t="s">
        <v>87</v>
      </c>
      <c r="D20" t="s">
        <v>1257</v>
      </c>
      <c r="E20">
        <v>25</v>
      </c>
      <c r="F20" t="s">
        <v>1392</v>
      </c>
      <c r="G20">
        <v>15</v>
      </c>
      <c r="H20">
        <v>10</v>
      </c>
      <c r="I20">
        <v>107</v>
      </c>
      <c r="J20">
        <v>83</v>
      </c>
      <c r="K20">
        <v>0.77600000000000002</v>
      </c>
      <c r="L20">
        <v>756</v>
      </c>
      <c r="M20">
        <v>9.1</v>
      </c>
      <c r="N20">
        <v>5</v>
      </c>
      <c r="O20">
        <v>35</v>
      </c>
      <c r="P20">
        <v>52</v>
      </c>
      <c r="Q20">
        <v>7.1</v>
      </c>
      <c r="R20">
        <v>5.5</v>
      </c>
      <c r="S20">
        <v>50.4</v>
      </c>
      <c r="T20">
        <v>1</v>
      </c>
    </row>
    <row r="21" spans="1:20" x14ac:dyDescent="0.2">
      <c r="A21">
        <v>20</v>
      </c>
      <c r="B21" t="s">
        <v>2112</v>
      </c>
      <c r="C21" t="s">
        <v>885</v>
      </c>
      <c r="D21" t="s">
        <v>108</v>
      </c>
      <c r="E21">
        <v>23</v>
      </c>
      <c r="F21" t="s">
        <v>83</v>
      </c>
      <c r="G21">
        <v>16</v>
      </c>
      <c r="H21">
        <v>16</v>
      </c>
      <c r="I21">
        <v>129</v>
      </c>
      <c r="J21">
        <v>83</v>
      </c>
      <c r="K21">
        <v>0.64300000000000002</v>
      </c>
      <c r="L21">
        <v>1303</v>
      </c>
      <c r="M21">
        <v>15.7</v>
      </c>
      <c r="N21">
        <v>10</v>
      </c>
      <c r="O21">
        <v>63</v>
      </c>
      <c r="P21">
        <v>62</v>
      </c>
      <c r="Q21">
        <v>10.1</v>
      </c>
      <c r="R21">
        <v>5.2</v>
      </c>
      <c r="S21">
        <v>81.400000000000006</v>
      </c>
      <c r="T21">
        <v>1</v>
      </c>
    </row>
    <row r="22" spans="1:20" x14ac:dyDescent="0.2">
      <c r="A22">
        <v>21</v>
      </c>
      <c r="B22" t="s">
        <v>265</v>
      </c>
      <c r="C22" t="s">
        <v>265</v>
      </c>
      <c r="D22" t="s">
        <v>98</v>
      </c>
      <c r="E22">
        <v>31</v>
      </c>
      <c r="F22" t="s">
        <v>1298</v>
      </c>
      <c r="G22">
        <v>15</v>
      </c>
      <c r="H22">
        <v>10</v>
      </c>
      <c r="I22">
        <v>107</v>
      </c>
      <c r="J22">
        <v>82</v>
      </c>
      <c r="K22">
        <v>0.76600000000000001</v>
      </c>
      <c r="L22">
        <v>967</v>
      </c>
      <c r="M22">
        <v>11.8</v>
      </c>
      <c r="N22">
        <v>4</v>
      </c>
      <c r="O22">
        <v>53</v>
      </c>
      <c r="P22">
        <v>35</v>
      </c>
      <c r="Q22">
        <v>9</v>
      </c>
      <c r="R22">
        <v>5.5</v>
      </c>
      <c r="S22">
        <v>64.5</v>
      </c>
      <c r="T22">
        <v>0</v>
      </c>
    </row>
    <row r="23" spans="1:20" x14ac:dyDescent="0.2">
      <c r="A23">
        <v>22</v>
      </c>
      <c r="B23" t="s">
        <v>186</v>
      </c>
      <c r="C23" t="s">
        <v>186</v>
      </c>
      <c r="D23" t="s">
        <v>122</v>
      </c>
      <c r="E23">
        <v>27</v>
      </c>
      <c r="F23" t="s">
        <v>83</v>
      </c>
      <c r="G23">
        <v>15</v>
      </c>
      <c r="H23">
        <v>15</v>
      </c>
      <c r="I23">
        <v>119</v>
      </c>
      <c r="J23">
        <v>81</v>
      </c>
      <c r="K23">
        <v>0.68100000000000005</v>
      </c>
      <c r="L23">
        <v>1150</v>
      </c>
      <c r="M23">
        <v>14.2</v>
      </c>
      <c r="N23">
        <v>6</v>
      </c>
      <c r="O23">
        <v>51</v>
      </c>
      <c r="P23">
        <v>57</v>
      </c>
      <c r="Q23">
        <v>9.6999999999999993</v>
      </c>
      <c r="R23">
        <v>5.4</v>
      </c>
      <c r="S23">
        <v>76.7</v>
      </c>
      <c r="T23">
        <v>0</v>
      </c>
    </row>
    <row r="24" spans="1:20" x14ac:dyDescent="0.2">
      <c r="A24">
        <v>23</v>
      </c>
      <c r="B24" t="s">
        <v>301</v>
      </c>
      <c r="C24" t="s">
        <v>301</v>
      </c>
      <c r="D24" t="s">
        <v>119</v>
      </c>
      <c r="E24">
        <v>27</v>
      </c>
      <c r="F24" t="s">
        <v>1392</v>
      </c>
      <c r="G24">
        <v>16</v>
      </c>
      <c r="H24">
        <v>7</v>
      </c>
      <c r="I24">
        <v>110</v>
      </c>
      <c r="J24">
        <v>80</v>
      </c>
      <c r="K24">
        <v>0.72699999999999998</v>
      </c>
      <c r="L24">
        <v>589</v>
      </c>
      <c r="M24">
        <v>7.4</v>
      </c>
      <c r="N24">
        <v>2</v>
      </c>
      <c r="O24">
        <v>32</v>
      </c>
      <c r="P24">
        <v>29</v>
      </c>
      <c r="Q24">
        <v>5.4</v>
      </c>
      <c r="R24">
        <v>5</v>
      </c>
      <c r="S24">
        <v>36.799999999999997</v>
      </c>
      <c r="T24">
        <v>3</v>
      </c>
    </row>
    <row r="25" spans="1:20" x14ac:dyDescent="0.2">
      <c r="A25">
        <v>24</v>
      </c>
      <c r="B25" t="s">
        <v>241</v>
      </c>
      <c r="C25" t="s">
        <v>241</v>
      </c>
      <c r="D25" t="s">
        <v>74</v>
      </c>
      <c r="E25">
        <v>26</v>
      </c>
      <c r="F25" t="s">
        <v>1298</v>
      </c>
      <c r="G25">
        <v>15</v>
      </c>
      <c r="H25">
        <v>8</v>
      </c>
      <c r="I25">
        <v>110</v>
      </c>
      <c r="J25">
        <v>79</v>
      </c>
      <c r="K25">
        <v>0.71799999999999997</v>
      </c>
      <c r="L25">
        <v>841</v>
      </c>
      <c r="M25">
        <v>10.6</v>
      </c>
      <c r="N25">
        <v>4</v>
      </c>
      <c r="O25">
        <v>43</v>
      </c>
      <c r="P25">
        <v>72</v>
      </c>
      <c r="Q25">
        <v>7.6</v>
      </c>
      <c r="R25">
        <v>5.3</v>
      </c>
      <c r="S25">
        <v>56.1</v>
      </c>
      <c r="T25">
        <v>1</v>
      </c>
    </row>
    <row r="26" spans="1:20" x14ac:dyDescent="0.2">
      <c r="A26">
        <v>25</v>
      </c>
      <c r="B26" t="s">
        <v>262</v>
      </c>
      <c r="C26" t="s">
        <v>262</v>
      </c>
      <c r="D26" t="s">
        <v>70</v>
      </c>
      <c r="E26">
        <v>24</v>
      </c>
      <c r="F26" t="s">
        <v>1298</v>
      </c>
      <c r="G26">
        <v>15</v>
      </c>
      <c r="H26">
        <v>5</v>
      </c>
      <c r="I26">
        <v>97</v>
      </c>
      <c r="J26">
        <v>77</v>
      </c>
      <c r="K26">
        <v>0.79400000000000004</v>
      </c>
      <c r="L26">
        <v>851</v>
      </c>
      <c r="M26">
        <v>11.1</v>
      </c>
      <c r="N26">
        <v>3</v>
      </c>
      <c r="O26">
        <v>39</v>
      </c>
      <c r="P26">
        <v>44</v>
      </c>
      <c r="Q26">
        <v>8.8000000000000007</v>
      </c>
      <c r="R26">
        <v>5.0999999999999996</v>
      </c>
      <c r="S26">
        <v>56.7</v>
      </c>
      <c r="T26">
        <v>1</v>
      </c>
    </row>
    <row r="27" spans="1:20" x14ac:dyDescent="0.2">
      <c r="A27">
        <v>26</v>
      </c>
      <c r="B27" t="s">
        <v>889</v>
      </c>
      <c r="C27" t="s">
        <v>889</v>
      </c>
      <c r="D27" t="s">
        <v>139</v>
      </c>
      <c r="E27">
        <v>30</v>
      </c>
      <c r="F27" t="s">
        <v>83</v>
      </c>
      <c r="G27">
        <v>16</v>
      </c>
      <c r="H27">
        <v>16</v>
      </c>
      <c r="I27">
        <v>115</v>
      </c>
      <c r="J27">
        <v>76</v>
      </c>
      <c r="K27">
        <v>0.66100000000000003</v>
      </c>
      <c r="L27">
        <v>978</v>
      </c>
      <c r="M27">
        <v>12.9</v>
      </c>
      <c r="N27">
        <v>9</v>
      </c>
      <c r="O27">
        <v>52</v>
      </c>
      <c r="P27">
        <v>43</v>
      </c>
      <c r="Q27">
        <v>8.5</v>
      </c>
      <c r="R27">
        <v>4.8</v>
      </c>
      <c r="S27">
        <v>61.1</v>
      </c>
      <c r="T27">
        <v>0</v>
      </c>
    </row>
    <row r="28" spans="1:20" x14ac:dyDescent="0.2">
      <c r="A28">
        <v>27</v>
      </c>
      <c r="B28" t="s">
        <v>1851</v>
      </c>
      <c r="C28" t="s">
        <v>1851</v>
      </c>
      <c r="D28" t="s">
        <v>729</v>
      </c>
      <c r="E28">
        <v>21</v>
      </c>
      <c r="F28" t="s">
        <v>83</v>
      </c>
      <c r="G28">
        <v>16</v>
      </c>
      <c r="H28">
        <v>14</v>
      </c>
      <c r="I28">
        <v>111</v>
      </c>
      <c r="J28">
        <v>74</v>
      </c>
      <c r="K28">
        <v>0.66700000000000004</v>
      </c>
      <c r="L28">
        <v>935</v>
      </c>
      <c r="M28">
        <v>12.6</v>
      </c>
      <c r="N28">
        <v>5</v>
      </c>
      <c r="O28">
        <v>46</v>
      </c>
      <c r="P28">
        <v>52</v>
      </c>
      <c r="Q28">
        <v>8.4</v>
      </c>
      <c r="R28">
        <v>4.5999999999999996</v>
      </c>
      <c r="S28">
        <v>58.4</v>
      </c>
      <c r="T28">
        <v>2</v>
      </c>
    </row>
    <row r="29" spans="1:20" x14ac:dyDescent="0.2">
      <c r="A29">
        <v>28</v>
      </c>
      <c r="B29" t="s">
        <v>129</v>
      </c>
      <c r="C29" t="s">
        <v>129</v>
      </c>
      <c r="D29" t="s">
        <v>73</v>
      </c>
      <c r="E29">
        <v>30</v>
      </c>
      <c r="F29" t="s">
        <v>83</v>
      </c>
      <c r="G29">
        <v>15</v>
      </c>
      <c r="H29">
        <v>15</v>
      </c>
      <c r="I29">
        <v>108</v>
      </c>
      <c r="J29">
        <v>74</v>
      </c>
      <c r="K29">
        <v>0.68500000000000005</v>
      </c>
      <c r="L29">
        <v>925</v>
      </c>
      <c r="M29">
        <v>12.5</v>
      </c>
      <c r="N29">
        <v>14</v>
      </c>
      <c r="O29">
        <v>52</v>
      </c>
      <c r="P29">
        <v>51</v>
      </c>
      <c r="Q29">
        <v>8.6</v>
      </c>
      <c r="R29">
        <v>4.9000000000000004</v>
      </c>
      <c r="S29">
        <v>61.7</v>
      </c>
      <c r="T29">
        <v>0</v>
      </c>
    </row>
    <row r="30" spans="1:20" x14ac:dyDescent="0.2">
      <c r="A30">
        <v>29</v>
      </c>
      <c r="B30" t="s">
        <v>251</v>
      </c>
      <c r="C30" t="s">
        <v>251</v>
      </c>
      <c r="D30" t="s">
        <v>101</v>
      </c>
      <c r="E30">
        <v>24</v>
      </c>
      <c r="F30" t="s">
        <v>1298</v>
      </c>
      <c r="G30">
        <v>16</v>
      </c>
      <c r="H30">
        <v>8</v>
      </c>
      <c r="I30">
        <v>109</v>
      </c>
      <c r="J30">
        <v>72</v>
      </c>
      <c r="K30">
        <v>0.66100000000000003</v>
      </c>
      <c r="L30">
        <v>786</v>
      </c>
      <c r="M30">
        <v>10.9</v>
      </c>
      <c r="N30">
        <v>4</v>
      </c>
      <c r="O30">
        <v>50</v>
      </c>
      <c r="P30">
        <v>35</v>
      </c>
      <c r="Q30">
        <v>7.2</v>
      </c>
      <c r="R30">
        <v>4.5</v>
      </c>
      <c r="S30">
        <v>49.1</v>
      </c>
      <c r="T30">
        <v>0</v>
      </c>
    </row>
    <row r="31" spans="1:20" x14ac:dyDescent="0.2">
      <c r="A31">
        <v>30</v>
      </c>
      <c r="B31" t="s">
        <v>178</v>
      </c>
      <c r="C31" t="s">
        <v>178</v>
      </c>
      <c r="D31" t="s">
        <v>82</v>
      </c>
      <c r="E31">
        <v>28</v>
      </c>
      <c r="F31" t="s">
        <v>83</v>
      </c>
      <c r="G31">
        <v>15</v>
      </c>
      <c r="H31">
        <v>14</v>
      </c>
      <c r="I31">
        <v>101</v>
      </c>
      <c r="J31">
        <v>72</v>
      </c>
      <c r="K31">
        <v>0.71299999999999997</v>
      </c>
      <c r="L31">
        <v>840</v>
      </c>
      <c r="M31">
        <v>11.7</v>
      </c>
      <c r="N31">
        <v>3</v>
      </c>
      <c r="O31">
        <v>46</v>
      </c>
      <c r="P31">
        <v>32</v>
      </c>
      <c r="Q31">
        <v>8.3000000000000007</v>
      </c>
      <c r="R31">
        <v>4.8</v>
      </c>
      <c r="S31">
        <v>56</v>
      </c>
      <c r="T31">
        <v>2</v>
      </c>
    </row>
    <row r="32" spans="1:20" x14ac:dyDescent="0.2">
      <c r="A32">
        <v>31</v>
      </c>
      <c r="B32" t="s">
        <v>257</v>
      </c>
      <c r="C32" t="s">
        <v>257</v>
      </c>
      <c r="D32" t="s">
        <v>119</v>
      </c>
      <c r="E32">
        <v>29</v>
      </c>
      <c r="F32" t="s">
        <v>88</v>
      </c>
      <c r="G32">
        <v>16</v>
      </c>
      <c r="H32">
        <v>15</v>
      </c>
      <c r="I32">
        <v>110</v>
      </c>
      <c r="J32">
        <v>72</v>
      </c>
      <c r="K32">
        <v>0.65500000000000003</v>
      </c>
      <c r="L32">
        <v>670</v>
      </c>
      <c r="M32">
        <v>9.3000000000000007</v>
      </c>
      <c r="N32">
        <v>6</v>
      </c>
      <c r="O32">
        <v>36</v>
      </c>
      <c r="P32">
        <v>30</v>
      </c>
      <c r="Q32">
        <v>6.1</v>
      </c>
      <c r="R32">
        <v>4.5</v>
      </c>
      <c r="S32">
        <v>41.9</v>
      </c>
      <c r="T32">
        <v>0</v>
      </c>
    </row>
    <row r="33" spans="1:20" x14ac:dyDescent="0.2">
      <c r="A33">
        <v>32</v>
      </c>
      <c r="B33" t="s">
        <v>2113</v>
      </c>
      <c r="C33" t="s">
        <v>109</v>
      </c>
      <c r="D33" t="s">
        <v>77</v>
      </c>
      <c r="E33">
        <v>23</v>
      </c>
      <c r="F33" t="s">
        <v>83</v>
      </c>
      <c r="G33">
        <v>14</v>
      </c>
      <c r="H33">
        <v>12</v>
      </c>
      <c r="I33">
        <v>106</v>
      </c>
      <c r="J33">
        <v>70</v>
      </c>
      <c r="K33">
        <v>0.66</v>
      </c>
      <c r="L33">
        <v>1075</v>
      </c>
      <c r="M33">
        <v>15.4</v>
      </c>
      <c r="N33">
        <v>11</v>
      </c>
      <c r="O33">
        <v>55</v>
      </c>
      <c r="P33">
        <v>73</v>
      </c>
      <c r="Q33">
        <v>10.1</v>
      </c>
      <c r="R33">
        <v>5</v>
      </c>
      <c r="S33">
        <v>76.8</v>
      </c>
      <c r="T33">
        <v>2</v>
      </c>
    </row>
    <row r="34" spans="1:20" x14ac:dyDescent="0.2">
      <c r="A34">
        <v>33</v>
      </c>
      <c r="B34" t="s">
        <v>866</v>
      </c>
      <c r="C34" t="s">
        <v>866</v>
      </c>
      <c r="D34" t="s">
        <v>976</v>
      </c>
      <c r="E34">
        <v>27</v>
      </c>
      <c r="F34" t="s">
        <v>83</v>
      </c>
      <c r="G34">
        <v>16</v>
      </c>
      <c r="H34">
        <v>16</v>
      </c>
      <c r="I34">
        <v>109</v>
      </c>
      <c r="J34">
        <v>70</v>
      </c>
      <c r="K34">
        <v>0.64200000000000002</v>
      </c>
      <c r="L34">
        <v>1006</v>
      </c>
      <c r="M34">
        <v>14.4</v>
      </c>
      <c r="N34">
        <v>13</v>
      </c>
      <c r="O34">
        <v>55</v>
      </c>
      <c r="P34">
        <v>50</v>
      </c>
      <c r="Q34">
        <v>9.1999999999999993</v>
      </c>
      <c r="R34">
        <v>4.4000000000000004</v>
      </c>
      <c r="S34">
        <v>62.9</v>
      </c>
      <c r="T34">
        <v>0</v>
      </c>
    </row>
    <row r="35" spans="1:20" x14ac:dyDescent="0.2">
      <c r="A35">
        <v>34</v>
      </c>
      <c r="B35" t="s">
        <v>236</v>
      </c>
      <c r="C35" t="s">
        <v>236</v>
      </c>
      <c r="D35" t="s">
        <v>74</v>
      </c>
      <c r="E35">
        <v>21</v>
      </c>
      <c r="F35" t="s">
        <v>83</v>
      </c>
      <c r="G35">
        <v>16</v>
      </c>
      <c r="H35">
        <v>14</v>
      </c>
      <c r="I35">
        <v>108</v>
      </c>
      <c r="J35">
        <v>67</v>
      </c>
      <c r="K35">
        <v>0.62</v>
      </c>
      <c r="L35">
        <v>908</v>
      </c>
      <c r="M35">
        <v>13.6</v>
      </c>
      <c r="N35">
        <v>6</v>
      </c>
      <c r="O35">
        <v>52</v>
      </c>
      <c r="P35">
        <v>67</v>
      </c>
      <c r="Q35">
        <v>8.4</v>
      </c>
      <c r="R35">
        <v>4.2</v>
      </c>
      <c r="S35">
        <v>56.8</v>
      </c>
      <c r="T35">
        <v>1</v>
      </c>
    </row>
    <row r="36" spans="1:20" x14ac:dyDescent="0.2">
      <c r="A36">
        <v>35</v>
      </c>
      <c r="B36" t="s">
        <v>2023</v>
      </c>
      <c r="C36" t="s">
        <v>246</v>
      </c>
      <c r="D36" t="s">
        <v>139</v>
      </c>
      <c r="E36">
        <v>23</v>
      </c>
      <c r="F36" t="s">
        <v>88</v>
      </c>
      <c r="G36">
        <v>16</v>
      </c>
      <c r="H36">
        <v>16</v>
      </c>
      <c r="I36">
        <v>101</v>
      </c>
      <c r="J36">
        <v>67</v>
      </c>
      <c r="K36">
        <v>0.66300000000000003</v>
      </c>
      <c r="L36">
        <v>723</v>
      </c>
      <c r="M36">
        <v>10.8</v>
      </c>
      <c r="N36">
        <v>6</v>
      </c>
      <c r="O36">
        <v>40</v>
      </c>
      <c r="P36">
        <v>51</v>
      </c>
      <c r="Q36">
        <v>7.2</v>
      </c>
      <c r="R36">
        <v>4.2</v>
      </c>
      <c r="S36">
        <v>45.2</v>
      </c>
      <c r="T36">
        <v>1</v>
      </c>
    </row>
    <row r="37" spans="1:20" x14ac:dyDescent="0.2">
      <c r="A37">
        <v>36</v>
      </c>
      <c r="B37" t="s">
        <v>882</v>
      </c>
      <c r="C37" t="s">
        <v>882</v>
      </c>
      <c r="D37" t="s">
        <v>70</v>
      </c>
      <c r="E37">
        <v>23</v>
      </c>
      <c r="F37" t="s">
        <v>83</v>
      </c>
      <c r="G37">
        <v>15</v>
      </c>
      <c r="H37">
        <v>14</v>
      </c>
      <c r="I37">
        <v>118</v>
      </c>
      <c r="J37">
        <v>66</v>
      </c>
      <c r="K37">
        <v>0.55900000000000005</v>
      </c>
      <c r="L37">
        <v>1193</v>
      </c>
      <c r="M37">
        <v>18.100000000000001</v>
      </c>
      <c r="N37">
        <v>4</v>
      </c>
      <c r="O37">
        <v>53</v>
      </c>
      <c r="P37">
        <v>74</v>
      </c>
      <c r="Q37">
        <v>10.1</v>
      </c>
      <c r="R37">
        <v>4.4000000000000004</v>
      </c>
      <c r="S37">
        <v>79.5</v>
      </c>
      <c r="T37">
        <v>0</v>
      </c>
    </row>
    <row r="38" spans="1:20" x14ac:dyDescent="0.2">
      <c r="A38">
        <v>37</v>
      </c>
      <c r="B38" t="s">
        <v>260</v>
      </c>
      <c r="C38" t="s">
        <v>260</v>
      </c>
      <c r="D38" t="s">
        <v>92</v>
      </c>
      <c r="E38">
        <v>27</v>
      </c>
      <c r="F38" t="s">
        <v>83</v>
      </c>
      <c r="G38">
        <v>12</v>
      </c>
      <c r="H38">
        <v>12</v>
      </c>
      <c r="I38">
        <v>90</v>
      </c>
      <c r="J38">
        <v>66</v>
      </c>
      <c r="K38">
        <v>0.73299999999999998</v>
      </c>
      <c r="L38">
        <v>656</v>
      </c>
      <c r="M38">
        <v>9.9</v>
      </c>
      <c r="N38">
        <v>3</v>
      </c>
      <c r="O38">
        <v>37</v>
      </c>
      <c r="P38">
        <v>29</v>
      </c>
      <c r="Q38">
        <v>7.3</v>
      </c>
      <c r="R38">
        <v>5.5</v>
      </c>
      <c r="S38">
        <v>54.7</v>
      </c>
      <c r="T38">
        <v>0</v>
      </c>
    </row>
    <row r="39" spans="1:20" x14ac:dyDescent="0.2">
      <c r="A39">
        <v>38</v>
      </c>
      <c r="B39" t="s">
        <v>243</v>
      </c>
      <c r="C39" t="s">
        <v>243</v>
      </c>
      <c r="D39" t="s">
        <v>77</v>
      </c>
      <c r="E39">
        <v>25</v>
      </c>
      <c r="F39" t="s">
        <v>83</v>
      </c>
      <c r="G39">
        <v>14</v>
      </c>
      <c r="H39">
        <v>12</v>
      </c>
      <c r="I39">
        <v>92</v>
      </c>
      <c r="J39">
        <v>65</v>
      </c>
      <c r="K39">
        <v>0.70699999999999996</v>
      </c>
      <c r="L39">
        <v>984</v>
      </c>
      <c r="M39">
        <v>15.1</v>
      </c>
      <c r="N39">
        <v>5</v>
      </c>
      <c r="O39">
        <v>49</v>
      </c>
      <c r="P39">
        <v>75</v>
      </c>
      <c r="Q39">
        <v>10.7</v>
      </c>
      <c r="R39">
        <v>4.5999999999999996</v>
      </c>
      <c r="S39">
        <v>70.3</v>
      </c>
      <c r="T39">
        <v>1</v>
      </c>
    </row>
    <row r="40" spans="1:20" x14ac:dyDescent="0.2">
      <c r="A40">
        <v>39</v>
      </c>
      <c r="B40" t="s">
        <v>812</v>
      </c>
      <c r="C40" t="s">
        <v>812</v>
      </c>
      <c r="D40" t="s">
        <v>976</v>
      </c>
      <c r="E40">
        <v>24</v>
      </c>
      <c r="F40" t="s">
        <v>83</v>
      </c>
      <c r="G40">
        <v>12</v>
      </c>
      <c r="H40">
        <v>12</v>
      </c>
      <c r="I40">
        <v>84</v>
      </c>
      <c r="J40">
        <v>65</v>
      </c>
      <c r="K40">
        <v>0.77400000000000002</v>
      </c>
      <c r="L40">
        <v>840</v>
      </c>
      <c r="M40">
        <v>12.9</v>
      </c>
      <c r="N40">
        <v>7</v>
      </c>
      <c r="O40">
        <v>43</v>
      </c>
      <c r="P40">
        <v>47</v>
      </c>
      <c r="Q40">
        <v>10</v>
      </c>
      <c r="R40">
        <v>5.4</v>
      </c>
      <c r="S40">
        <v>70</v>
      </c>
      <c r="T40">
        <v>1</v>
      </c>
    </row>
    <row r="41" spans="1:20" x14ac:dyDescent="0.2">
      <c r="A41">
        <v>40</v>
      </c>
      <c r="B41" t="s">
        <v>1897</v>
      </c>
      <c r="C41" t="s">
        <v>303</v>
      </c>
      <c r="D41" t="s">
        <v>92</v>
      </c>
      <c r="E41">
        <v>26</v>
      </c>
      <c r="F41" t="s">
        <v>88</v>
      </c>
      <c r="G41">
        <v>16</v>
      </c>
      <c r="H41">
        <v>14</v>
      </c>
      <c r="I41">
        <v>109</v>
      </c>
      <c r="J41">
        <v>63</v>
      </c>
      <c r="K41">
        <v>0.57799999999999996</v>
      </c>
      <c r="L41">
        <v>654</v>
      </c>
      <c r="M41">
        <v>10.4</v>
      </c>
      <c r="N41">
        <v>1</v>
      </c>
      <c r="O41">
        <v>29</v>
      </c>
      <c r="P41">
        <v>53</v>
      </c>
      <c r="Q41">
        <v>6</v>
      </c>
      <c r="R41">
        <v>3.9</v>
      </c>
      <c r="S41">
        <v>40.9</v>
      </c>
      <c r="T41">
        <v>1</v>
      </c>
    </row>
    <row r="42" spans="1:20" x14ac:dyDescent="0.2">
      <c r="A42">
        <v>41</v>
      </c>
      <c r="B42" t="s">
        <v>268</v>
      </c>
      <c r="C42" t="s">
        <v>268</v>
      </c>
      <c r="D42" t="s">
        <v>107</v>
      </c>
      <c r="E42">
        <v>24</v>
      </c>
      <c r="F42" t="s">
        <v>1392</v>
      </c>
      <c r="G42">
        <v>16</v>
      </c>
      <c r="H42">
        <v>2</v>
      </c>
      <c r="I42">
        <v>76</v>
      </c>
      <c r="J42">
        <v>63</v>
      </c>
      <c r="K42">
        <v>0.82899999999999996</v>
      </c>
      <c r="L42">
        <v>482</v>
      </c>
      <c r="M42">
        <v>7.7</v>
      </c>
      <c r="N42">
        <v>4</v>
      </c>
      <c r="O42">
        <v>24</v>
      </c>
      <c r="P42">
        <v>29</v>
      </c>
      <c r="Q42">
        <v>6.3</v>
      </c>
      <c r="R42">
        <v>3.9</v>
      </c>
      <c r="S42">
        <v>30.1</v>
      </c>
      <c r="T42">
        <v>0</v>
      </c>
    </row>
    <row r="43" spans="1:20" x14ac:dyDescent="0.2">
      <c r="A43">
        <v>42</v>
      </c>
      <c r="B43" t="s">
        <v>202</v>
      </c>
      <c r="C43" t="s">
        <v>202</v>
      </c>
      <c r="D43" t="s">
        <v>142</v>
      </c>
      <c r="E43">
        <v>27</v>
      </c>
      <c r="F43" t="s">
        <v>83</v>
      </c>
      <c r="G43">
        <v>14</v>
      </c>
      <c r="H43">
        <v>11</v>
      </c>
      <c r="I43">
        <v>103</v>
      </c>
      <c r="J43">
        <v>63</v>
      </c>
      <c r="K43">
        <v>0.61199999999999999</v>
      </c>
      <c r="L43">
        <v>793</v>
      </c>
      <c r="M43">
        <v>12.6</v>
      </c>
      <c r="N43">
        <v>4</v>
      </c>
      <c r="O43">
        <v>45</v>
      </c>
      <c r="P43">
        <v>31</v>
      </c>
      <c r="Q43">
        <v>7.7</v>
      </c>
      <c r="R43">
        <v>4.5</v>
      </c>
      <c r="S43">
        <v>56.6</v>
      </c>
      <c r="T43">
        <v>1</v>
      </c>
    </row>
    <row r="44" spans="1:20" x14ac:dyDescent="0.2">
      <c r="A44">
        <v>43</v>
      </c>
      <c r="B44" t="s">
        <v>2101</v>
      </c>
      <c r="C44" t="s">
        <v>2101</v>
      </c>
      <c r="D44" t="s">
        <v>729</v>
      </c>
      <c r="E44">
        <v>24</v>
      </c>
      <c r="F44" t="s">
        <v>88</v>
      </c>
      <c r="G44">
        <v>16</v>
      </c>
      <c r="H44">
        <v>14</v>
      </c>
      <c r="I44">
        <v>89</v>
      </c>
      <c r="J44">
        <v>63</v>
      </c>
      <c r="K44">
        <v>0.70799999999999996</v>
      </c>
      <c r="L44">
        <v>615</v>
      </c>
      <c r="M44">
        <v>9.8000000000000007</v>
      </c>
      <c r="N44">
        <v>4</v>
      </c>
      <c r="O44">
        <v>33</v>
      </c>
      <c r="P44">
        <v>28</v>
      </c>
      <c r="Q44">
        <v>6.9</v>
      </c>
      <c r="R44">
        <v>3.9</v>
      </c>
      <c r="S44">
        <v>38.4</v>
      </c>
      <c r="T44">
        <v>1</v>
      </c>
    </row>
    <row r="45" spans="1:20" x14ac:dyDescent="0.2">
      <c r="A45">
        <v>44</v>
      </c>
      <c r="B45" t="s">
        <v>222</v>
      </c>
      <c r="C45" t="s">
        <v>222</v>
      </c>
      <c r="D45" t="s">
        <v>99</v>
      </c>
      <c r="E45">
        <v>22</v>
      </c>
      <c r="F45" t="s">
        <v>1298</v>
      </c>
      <c r="G45">
        <v>16</v>
      </c>
      <c r="H45">
        <v>6</v>
      </c>
      <c r="I45">
        <v>109</v>
      </c>
      <c r="J45">
        <v>62</v>
      </c>
      <c r="K45">
        <v>0.56899999999999995</v>
      </c>
      <c r="L45">
        <v>873</v>
      </c>
      <c r="M45">
        <v>14.1</v>
      </c>
      <c r="N45">
        <v>9</v>
      </c>
      <c r="O45">
        <v>41</v>
      </c>
      <c r="P45">
        <v>84</v>
      </c>
      <c r="Q45">
        <v>8</v>
      </c>
      <c r="R45">
        <v>3.9</v>
      </c>
      <c r="S45">
        <v>54.6</v>
      </c>
      <c r="T45">
        <v>3</v>
      </c>
    </row>
    <row r="46" spans="1:20" x14ac:dyDescent="0.2">
      <c r="A46">
        <v>45</v>
      </c>
      <c r="B46" t="s">
        <v>267</v>
      </c>
      <c r="C46" t="s">
        <v>267</v>
      </c>
      <c r="D46" t="s">
        <v>93</v>
      </c>
      <c r="E46">
        <v>23</v>
      </c>
      <c r="F46" t="s">
        <v>88</v>
      </c>
      <c r="G46">
        <v>15</v>
      </c>
      <c r="H46">
        <v>14</v>
      </c>
      <c r="I46">
        <v>93</v>
      </c>
      <c r="J46">
        <v>62</v>
      </c>
      <c r="K46">
        <v>0.66700000000000004</v>
      </c>
      <c r="L46">
        <v>673</v>
      </c>
      <c r="M46">
        <v>10.9</v>
      </c>
      <c r="N46">
        <v>3</v>
      </c>
      <c r="O46">
        <v>34</v>
      </c>
      <c r="P46">
        <v>37</v>
      </c>
      <c r="Q46">
        <v>7.2</v>
      </c>
      <c r="R46">
        <v>4.0999999999999996</v>
      </c>
      <c r="S46">
        <v>44.9</v>
      </c>
      <c r="T46">
        <v>0</v>
      </c>
    </row>
    <row r="47" spans="1:20" x14ac:dyDescent="0.2">
      <c r="A47">
        <v>46</v>
      </c>
      <c r="B47" t="s">
        <v>1934</v>
      </c>
      <c r="C47" t="s">
        <v>1934</v>
      </c>
      <c r="D47" t="s">
        <v>727</v>
      </c>
      <c r="E47">
        <v>23</v>
      </c>
      <c r="F47" t="s">
        <v>1298</v>
      </c>
      <c r="G47">
        <v>16</v>
      </c>
      <c r="H47">
        <v>9</v>
      </c>
      <c r="I47">
        <v>98</v>
      </c>
      <c r="J47">
        <v>61</v>
      </c>
      <c r="K47">
        <v>0.622</v>
      </c>
      <c r="L47">
        <v>631</v>
      </c>
      <c r="M47">
        <v>10.3</v>
      </c>
      <c r="N47">
        <v>4</v>
      </c>
      <c r="O47">
        <v>33</v>
      </c>
      <c r="P47">
        <v>53</v>
      </c>
      <c r="Q47">
        <v>6.4</v>
      </c>
      <c r="R47">
        <v>3.8</v>
      </c>
      <c r="S47">
        <v>39.4</v>
      </c>
      <c r="T47">
        <v>1</v>
      </c>
    </row>
    <row r="48" spans="1:20" x14ac:dyDescent="0.2">
      <c r="A48">
        <v>47</v>
      </c>
      <c r="B48" t="s">
        <v>282</v>
      </c>
      <c r="C48" t="s">
        <v>282</v>
      </c>
      <c r="D48" t="s">
        <v>1257</v>
      </c>
      <c r="E48">
        <v>33</v>
      </c>
      <c r="F48" t="s">
        <v>1298</v>
      </c>
      <c r="G48">
        <v>14</v>
      </c>
      <c r="H48">
        <v>5</v>
      </c>
      <c r="I48">
        <v>82</v>
      </c>
      <c r="J48">
        <v>61</v>
      </c>
      <c r="K48">
        <v>0.74399999999999999</v>
      </c>
      <c r="L48">
        <v>726</v>
      </c>
      <c r="M48">
        <v>11.9</v>
      </c>
      <c r="N48">
        <v>5</v>
      </c>
      <c r="O48">
        <v>33</v>
      </c>
      <c r="P48">
        <v>51</v>
      </c>
      <c r="Q48">
        <v>8.9</v>
      </c>
      <c r="R48">
        <v>4.4000000000000004</v>
      </c>
      <c r="S48">
        <v>51.9</v>
      </c>
      <c r="T48">
        <v>1</v>
      </c>
    </row>
    <row r="49" spans="1:20" x14ac:dyDescent="0.2">
      <c r="A49">
        <v>48</v>
      </c>
      <c r="B49" t="s">
        <v>174</v>
      </c>
      <c r="C49" t="s">
        <v>174</v>
      </c>
      <c r="D49" t="s">
        <v>1087</v>
      </c>
      <c r="E49">
        <v>22</v>
      </c>
      <c r="F49" t="s">
        <v>83</v>
      </c>
      <c r="G49">
        <v>12</v>
      </c>
      <c r="H49">
        <v>11</v>
      </c>
      <c r="I49">
        <v>96</v>
      </c>
      <c r="J49">
        <v>60</v>
      </c>
      <c r="K49">
        <v>0.625</v>
      </c>
      <c r="L49">
        <v>748</v>
      </c>
      <c r="M49">
        <v>12.5</v>
      </c>
      <c r="N49">
        <v>5</v>
      </c>
      <c r="O49">
        <v>42</v>
      </c>
      <c r="P49">
        <v>49</v>
      </c>
      <c r="Q49">
        <v>7.8</v>
      </c>
      <c r="R49">
        <v>5</v>
      </c>
      <c r="S49">
        <v>62.3</v>
      </c>
      <c r="T49">
        <v>0</v>
      </c>
    </row>
    <row r="50" spans="1:20" x14ac:dyDescent="0.2">
      <c r="A50">
        <v>49</v>
      </c>
      <c r="B50" t="s">
        <v>287</v>
      </c>
      <c r="C50" t="s">
        <v>287</v>
      </c>
      <c r="D50" t="s">
        <v>118</v>
      </c>
      <c r="E50">
        <v>26</v>
      </c>
      <c r="F50" t="s">
        <v>88</v>
      </c>
      <c r="G50">
        <v>14</v>
      </c>
      <c r="H50">
        <v>14</v>
      </c>
      <c r="I50">
        <v>93</v>
      </c>
      <c r="J50">
        <v>60</v>
      </c>
      <c r="K50">
        <v>0.64500000000000002</v>
      </c>
      <c r="L50">
        <v>613</v>
      </c>
      <c r="M50">
        <v>10.199999999999999</v>
      </c>
      <c r="N50">
        <v>4</v>
      </c>
      <c r="O50">
        <v>35</v>
      </c>
      <c r="P50">
        <v>33</v>
      </c>
      <c r="Q50">
        <v>6.6</v>
      </c>
      <c r="R50">
        <v>4.3</v>
      </c>
      <c r="S50">
        <v>43.8</v>
      </c>
      <c r="T50">
        <v>0</v>
      </c>
    </row>
    <row r="51" spans="1:20" x14ac:dyDescent="0.2">
      <c r="A51">
        <v>50</v>
      </c>
      <c r="B51" t="s">
        <v>237</v>
      </c>
      <c r="C51" t="s">
        <v>237</v>
      </c>
      <c r="D51" t="s">
        <v>71</v>
      </c>
      <c r="E51">
        <v>27</v>
      </c>
      <c r="F51" t="s">
        <v>1298</v>
      </c>
      <c r="G51">
        <v>12</v>
      </c>
      <c r="H51">
        <v>7</v>
      </c>
      <c r="I51">
        <v>89</v>
      </c>
      <c r="J51">
        <v>59</v>
      </c>
      <c r="K51">
        <v>0.66300000000000003</v>
      </c>
      <c r="L51">
        <v>699</v>
      </c>
      <c r="M51">
        <v>11.8</v>
      </c>
      <c r="N51">
        <v>6</v>
      </c>
      <c r="O51">
        <v>32</v>
      </c>
      <c r="P51">
        <v>69</v>
      </c>
      <c r="Q51">
        <v>7.9</v>
      </c>
      <c r="R51">
        <v>4.9000000000000004</v>
      </c>
      <c r="S51">
        <v>58.3</v>
      </c>
      <c r="T51">
        <v>0</v>
      </c>
    </row>
    <row r="52" spans="1:20" x14ac:dyDescent="0.2">
      <c r="A52">
        <v>51</v>
      </c>
      <c r="B52" t="s">
        <v>198</v>
      </c>
      <c r="C52" t="s">
        <v>198</v>
      </c>
      <c r="D52" t="s">
        <v>70</v>
      </c>
      <c r="E52">
        <v>27</v>
      </c>
      <c r="F52" t="s">
        <v>68</v>
      </c>
      <c r="G52">
        <v>15</v>
      </c>
      <c r="H52">
        <v>12</v>
      </c>
      <c r="I52">
        <v>70</v>
      </c>
      <c r="J52">
        <v>59</v>
      </c>
      <c r="K52">
        <v>0.84299999999999997</v>
      </c>
      <c r="L52">
        <v>373</v>
      </c>
      <c r="M52">
        <v>6.3</v>
      </c>
      <c r="N52">
        <v>2</v>
      </c>
      <c r="O52">
        <v>17</v>
      </c>
      <c r="P52">
        <v>23</v>
      </c>
      <c r="Q52">
        <v>5.3</v>
      </c>
      <c r="R52">
        <v>3.9</v>
      </c>
      <c r="S52">
        <v>24.9</v>
      </c>
      <c r="T52">
        <v>1</v>
      </c>
    </row>
    <row r="53" spans="1:20" x14ac:dyDescent="0.2">
      <c r="A53">
        <v>52</v>
      </c>
      <c r="B53" t="s">
        <v>2103</v>
      </c>
      <c r="C53" t="s">
        <v>2103</v>
      </c>
      <c r="D53" t="s">
        <v>729</v>
      </c>
      <c r="E53">
        <v>24</v>
      </c>
      <c r="F53" t="s">
        <v>83</v>
      </c>
      <c r="G53">
        <v>16</v>
      </c>
      <c r="H53">
        <v>15</v>
      </c>
      <c r="I53">
        <v>105</v>
      </c>
      <c r="J53">
        <v>59</v>
      </c>
      <c r="K53">
        <v>0.56200000000000006</v>
      </c>
      <c r="L53">
        <v>843</v>
      </c>
      <c r="M53">
        <v>14.3</v>
      </c>
      <c r="N53">
        <v>5</v>
      </c>
      <c r="O53">
        <v>44</v>
      </c>
      <c r="P53">
        <v>55</v>
      </c>
      <c r="Q53">
        <v>8</v>
      </c>
      <c r="R53">
        <v>3.7</v>
      </c>
      <c r="S53">
        <v>52.7</v>
      </c>
      <c r="T53">
        <v>0</v>
      </c>
    </row>
    <row r="54" spans="1:20" x14ac:dyDescent="0.2">
      <c r="A54">
        <v>53</v>
      </c>
      <c r="B54" t="s">
        <v>269</v>
      </c>
      <c r="C54" t="s">
        <v>269</v>
      </c>
      <c r="D54" t="s">
        <v>1122</v>
      </c>
      <c r="E54">
        <v>24</v>
      </c>
      <c r="F54" t="s">
        <v>1298</v>
      </c>
      <c r="G54">
        <v>14</v>
      </c>
      <c r="H54">
        <v>9</v>
      </c>
      <c r="I54">
        <v>81</v>
      </c>
      <c r="J54">
        <v>59</v>
      </c>
      <c r="K54">
        <v>0.72799999999999998</v>
      </c>
      <c r="L54">
        <v>729</v>
      </c>
      <c r="M54">
        <v>12.4</v>
      </c>
      <c r="N54">
        <v>0</v>
      </c>
      <c r="O54">
        <v>37</v>
      </c>
      <c r="P54">
        <v>35</v>
      </c>
      <c r="Q54">
        <v>9</v>
      </c>
      <c r="R54">
        <v>4.2</v>
      </c>
      <c r="S54">
        <v>52.1</v>
      </c>
      <c r="T54">
        <v>1</v>
      </c>
    </row>
    <row r="55" spans="1:20" x14ac:dyDescent="0.2">
      <c r="A55">
        <v>54</v>
      </c>
      <c r="B55" t="s">
        <v>2104</v>
      </c>
      <c r="C55" t="s">
        <v>2104</v>
      </c>
      <c r="D55" t="s">
        <v>725</v>
      </c>
      <c r="E55">
        <v>25</v>
      </c>
      <c r="F55" t="s">
        <v>1577</v>
      </c>
      <c r="G55">
        <v>14</v>
      </c>
      <c r="H55">
        <v>2</v>
      </c>
      <c r="I55">
        <v>88</v>
      </c>
      <c r="J55">
        <v>58</v>
      </c>
      <c r="K55">
        <v>0.65900000000000003</v>
      </c>
      <c r="L55">
        <v>701</v>
      </c>
      <c r="M55">
        <v>12.1</v>
      </c>
      <c r="N55">
        <v>7</v>
      </c>
      <c r="O55">
        <v>37</v>
      </c>
      <c r="P55">
        <v>39</v>
      </c>
      <c r="Q55">
        <v>8</v>
      </c>
      <c r="R55">
        <v>4.0999999999999996</v>
      </c>
      <c r="S55">
        <v>50.1</v>
      </c>
      <c r="T55">
        <v>2</v>
      </c>
    </row>
    <row r="56" spans="1:20" x14ac:dyDescent="0.2">
      <c r="A56">
        <v>55</v>
      </c>
      <c r="B56" t="s">
        <v>1544</v>
      </c>
      <c r="C56" t="s">
        <v>1544</v>
      </c>
      <c r="D56" t="s">
        <v>725</v>
      </c>
      <c r="E56">
        <v>23</v>
      </c>
      <c r="F56" t="s">
        <v>83</v>
      </c>
      <c r="G56">
        <v>16</v>
      </c>
      <c r="H56">
        <v>14</v>
      </c>
      <c r="I56">
        <v>100</v>
      </c>
      <c r="J56">
        <v>58</v>
      </c>
      <c r="K56">
        <v>0.57999999999999996</v>
      </c>
      <c r="L56">
        <v>769</v>
      </c>
      <c r="M56">
        <v>13.3</v>
      </c>
      <c r="N56">
        <v>8</v>
      </c>
      <c r="O56">
        <v>35</v>
      </c>
      <c r="P56">
        <v>70</v>
      </c>
      <c r="Q56">
        <v>7.7</v>
      </c>
      <c r="R56">
        <v>3.6</v>
      </c>
      <c r="S56">
        <v>48.1</v>
      </c>
      <c r="T56">
        <v>0</v>
      </c>
    </row>
    <row r="57" spans="1:20" x14ac:dyDescent="0.2">
      <c r="A57">
        <v>56</v>
      </c>
      <c r="B57" t="s">
        <v>258</v>
      </c>
      <c r="C57" t="s">
        <v>258</v>
      </c>
      <c r="D57" t="s">
        <v>1052</v>
      </c>
      <c r="E57">
        <v>22</v>
      </c>
      <c r="F57" t="s">
        <v>83</v>
      </c>
      <c r="G57">
        <v>14</v>
      </c>
      <c r="H57">
        <v>12</v>
      </c>
      <c r="I57">
        <v>79</v>
      </c>
      <c r="J57">
        <v>58</v>
      </c>
      <c r="K57">
        <v>0.73399999999999999</v>
      </c>
      <c r="L57">
        <v>600</v>
      </c>
      <c r="M57">
        <v>10.3</v>
      </c>
      <c r="N57">
        <v>5</v>
      </c>
      <c r="O57">
        <v>33</v>
      </c>
      <c r="P57">
        <v>36</v>
      </c>
      <c r="Q57">
        <v>7.6</v>
      </c>
      <c r="R57">
        <v>4.0999999999999996</v>
      </c>
      <c r="S57">
        <v>42.9</v>
      </c>
      <c r="T57">
        <v>0</v>
      </c>
    </row>
    <row r="58" spans="1:20" x14ac:dyDescent="0.2">
      <c r="A58">
        <v>57</v>
      </c>
      <c r="B58" t="s">
        <v>292</v>
      </c>
      <c r="C58" t="s">
        <v>292</v>
      </c>
      <c r="D58" t="s">
        <v>99</v>
      </c>
      <c r="E58">
        <v>27</v>
      </c>
      <c r="F58" t="s">
        <v>1577</v>
      </c>
      <c r="G58">
        <v>15</v>
      </c>
      <c r="H58">
        <v>9</v>
      </c>
      <c r="I58">
        <v>91</v>
      </c>
      <c r="J58">
        <v>56</v>
      </c>
      <c r="K58">
        <v>0.61499999999999999</v>
      </c>
      <c r="L58">
        <v>558</v>
      </c>
      <c r="M58">
        <v>10</v>
      </c>
      <c r="N58">
        <v>5</v>
      </c>
      <c r="O58">
        <v>30</v>
      </c>
      <c r="P58">
        <v>27</v>
      </c>
      <c r="Q58">
        <v>6.1</v>
      </c>
      <c r="R58">
        <v>3.7</v>
      </c>
      <c r="S58">
        <v>37.200000000000003</v>
      </c>
      <c r="T58">
        <v>1</v>
      </c>
    </row>
    <row r="59" spans="1:20" x14ac:dyDescent="0.2">
      <c r="A59">
        <v>58</v>
      </c>
      <c r="B59" t="s">
        <v>256</v>
      </c>
      <c r="C59" t="s">
        <v>256</v>
      </c>
      <c r="D59" t="s">
        <v>107</v>
      </c>
      <c r="E59">
        <v>31</v>
      </c>
      <c r="F59" t="s">
        <v>83</v>
      </c>
      <c r="G59">
        <v>15</v>
      </c>
      <c r="H59">
        <v>15</v>
      </c>
      <c r="I59">
        <v>93</v>
      </c>
      <c r="J59">
        <v>56</v>
      </c>
      <c r="K59">
        <v>0.60199999999999998</v>
      </c>
      <c r="L59">
        <v>762</v>
      </c>
      <c r="M59">
        <v>13.6</v>
      </c>
      <c r="N59">
        <v>5</v>
      </c>
      <c r="O59">
        <v>42</v>
      </c>
      <c r="P59">
        <v>50</v>
      </c>
      <c r="Q59">
        <v>8.1999999999999993</v>
      </c>
      <c r="R59">
        <v>3.7</v>
      </c>
      <c r="S59">
        <v>50.8</v>
      </c>
      <c r="T59">
        <v>0</v>
      </c>
    </row>
    <row r="60" spans="1:20" x14ac:dyDescent="0.2">
      <c r="A60">
        <v>59</v>
      </c>
      <c r="B60" t="s">
        <v>335</v>
      </c>
      <c r="C60" t="s">
        <v>335</v>
      </c>
      <c r="D60" t="s">
        <v>101</v>
      </c>
      <c r="E60">
        <v>27</v>
      </c>
      <c r="F60" t="s">
        <v>1577</v>
      </c>
      <c r="G60">
        <v>16</v>
      </c>
      <c r="H60">
        <v>9</v>
      </c>
      <c r="I60">
        <v>88</v>
      </c>
      <c r="J60">
        <v>56</v>
      </c>
      <c r="K60">
        <v>0.63600000000000001</v>
      </c>
      <c r="L60">
        <v>571</v>
      </c>
      <c r="M60">
        <v>10.199999999999999</v>
      </c>
      <c r="N60">
        <v>6</v>
      </c>
      <c r="O60">
        <v>35</v>
      </c>
      <c r="P60">
        <v>42</v>
      </c>
      <c r="Q60">
        <v>6.5</v>
      </c>
      <c r="R60">
        <v>3.5</v>
      </c>
      <c r="S60">
        <v>35.700000000000003</v>
      </c>
      <c r="T60">
        <v>0</v>
      </c>
    </row>
    <row r="61" spans="1:20" x14ac:dyDescent="0.2">
      <c r="A61">
        <v>60</v>
      </c>
      <c r="B61" t="s">
        <v>2100</v>
      </c>
      <c r="C61" t="s">
        <v>2100</v>
      </c>
      <c r="D61" t="s">
        <v>933</v>
      </c>
      <c r="E61">
        <v>25</v>
      </c>
      <c r="F61" t="s">
        <v>1298</v>
      </c>
      <c r="G61">
        <v>16</v>
      </c>
      <c r="H61">
        <v>6</v>
      </c>
      <c r="I61">
        <v>77</v>
      </c>
      <c r="J61">
        <v>56</v>
      </c>
      <c r="K61">
        <v>0.72699999999999998</v>
      </c>
      <c r="L61">
        <v>656</v>
      </c>
      <c r="M61">
        <v>11.7</v>
      </c>
      <c r="N61">
        <v>2</v>
      </c>
      <c r="O61">
        <v>32</v>
      </c>
      <c r="P61">
        <v>53</v>
      </c>
      <c r="Q61">
        <v>8.5</v>
      </c>
      <c r="R61">
        <v>3.5</v>
      </c>
      <c r="S61">
        <v>41</v>
      </c>
      <c r="T61">
        <v>2</v>
      </c>
    </row>
    <row r="62" spans="1:20" x14ac:dyDescent="0.2">
      <c r="A62">
        <v>61</v>
      </c>
      <c r="B62" t="s">
        <v>901</v>
      </c>
      <c r="C62" t="s">
        <v>901</v>
      </c>
      <c r="D62" t="s">
        <v>1052</v>
      </c>
      <c r="E62">
        <v>27</v>
      </c>
      <c r="F62" t="s">
        <v>1298</v>
      </c>
      <c r="G62">
        <v>16</v>
      </c>
      <c r="H62">
        <v>5</v>
      </c>
      <c r="I62">
        <v>88</v>
      </c>
      <c r="J62">
        <v>55</v>
      </c>
      <c r="K62">
        <v>0.625</v>
      </c>
      <c r="L62">
        <v>642</v>
      </c>
      <c r="M62">
        <v>11.7</v>
      </c>
      <c r="N62">
        <v>5</v>
      </c>
      <c r="O62">
        <v>34</v>
      </c>
      <c r="P62">
        <v>51</v>
      </c>
      <c r="Q62">
        <v>7.3</v>
      </c>
      <c r="R62">
        <v>3.4</v>
      </c>
      <c r="S62">
        <v>40.1</v>
      </c>
      <c r="T62">
        <v>0</v>
      </c>
    </row>
    <row r="63" spans="1:20" x14ac:dyDescent="0.2">
      <c r="A63">
        <v>62</v>
      </c>
      <c r="B63" t="s">
        <v>145</v>
      </c>
      <c r="C63" t="s">
        <v>145</v>
      </c>
      <c r="D63" t="s">
        <v>118</v>
      </c>
      <c r="E63">
        <v>25</v>
      </c>
      <c r="F63" t="s">
        <v>1392</v>
      </c>
      <c r="G63">
        <v>10</v>
      </c>
      <c r="H63">
        <v>10</v>
      </c>
      <c r="I63">
        <v>65</v>
      </c>
      <c r="J63">
        <v>54</v>
      </c>
      <c r="K63">
        <v>0.83099999999999996</v>
      </c>
      <c r="L63">
        <v>403</v>
      </c>
      <c r="M63">
        <v>7.5</v>
      </c>
      <c r="N63">
        <v>2</v>
      </c>
      <c r="O63">
        <v>20</v>
      </c>
      <c r="P63">
        <v>28</v>
      </c>
      <c r="Q63">
        <v>6.2</v>
      </c>
      <c r="R63">
        <v>5.4</v>
      </c>
      <c r="S63">
        <v>40.299999999999997</v>
      </c>
      <c r="T63">
        <v>1</v>
      </c>
    </row>
    <row r="64" spans="1:20" x14ac:dyDescent="0.2">
      <c r="A64">
        <v>63</v>
      </c>
      <c r="B64" t="s">
        <v>2114</v>
      </c>
      <c r="C64" t="s">
        <v>2114</v>
      </c>
      <c r="D64" t="s">
        <v>78</v>
      </c>
      <c r="E64">
        <v>37</v>
      </c>
      <c r="F64" t="s">
        <v>83</v>
      </c>
      <c r="G64">
        <v>13</v>
      </c>
      <c r="H64">
        <v>13</v>
      </c>
      <c r="I64">
        <v>72</v>
      </c>
      <c r="J64">
        <v>54</v>
      </c>
      <c r="K64">
        <v>0.75</v>
      </c>
      <c r="L64">
        <v>409</v>
      </c>
      <c r="M64">
        <v>7.6</v>
      </c>
      <c r="N64">
        <v>1</v>
      </c>
      <c r="O64">
        <v>25</v>
      </c>
      <c r="P64">
        <v>18</v>
      </c>
      <c r="Q64">
        <v>5.7</v>
      </c>
      <c r="R64">
        <v>4.2</v>
      </c>
      <c r="S64">
        <v>31.5</v>
      </c>
      <c r="T64">
        <v>0</v>
      </c>
    </row>
    <row r="65" spans="1:20" x14ac:dyDescent="0.2">
      <c r="A65">
        <v>64</v>
      </c>
      <c r="B65" t="s">
        <v>1446</v>
      </c>
      <c r="C65" t="s">
        <v>1446</v>
      </c>
      <c r="D65" t="s">
        <v>727</v>
      </c>
      <c r="E65">
        <v>23</v>
      </c>
      <c r="F65" t="s">
        <v>68</v>
      </c>
      <c r="G65">
        <v>15</v>
      </c>
      <c r="H65">
        <v>14</v>
      </c>
      <c r="I65">
        <v>68</v>
      </c>
      <c r="J65">
        <v>54</v>
      </c>
      <c r="K65">
        <v>0.79400000000000004</v>
      </c>
      <c r="L65">
        <v>438</v>
      </c>
      <c r="M65">
        <v>8.1</v>
      </c>
      <c r="N65">
        <v>2</v>
      </c>
      <c r="O65">
        <v>25</v>
      </c>
      <c r="P65">
        <v>28</v>
      </c>
      <c r="Q65">
        <v>6.4</v>
      </c>
      <c r="R65">
        <v>3.6</v>
      </c>
      <c r="S65">
        <v>29.2</v>
      </c>
      <c r="T65">
        <v>1</v>
      </c>
    </row>
    <row r="66" spans="1:20" x14ac:dyDescent="0.2">
      <c r="A66">
        <v>65</v>
      </c>
      <c r="B66" t="s">
        <v>891</v>
      </c>
      <c r="C66" t="s">
        <v>891</v>
      </c>
      <c r="D66" t="s">
        <v>1052</v>
      </c>
      <c r="E66">
        <v>24</v>
      </c>
      <c r="F66" t="s">
        <v>83</v>
      </c>
      <c r="G66">
        <v>13</v>
      </c>
      <c r="H66">
        <v>12</v>
      </c>
      <c r="I66">
        <v>93</v>
      </c>
      <c r="J66">
        <v>53</v>
      </c>
      <c r="K66">
        <v>0.56999999999999995</v>
      </c>
      <c r="L66">
        <v>706</v>
      </c>
      <c r="M66">
        <v>13.3</v>
      </c>
      <c r="N66">
        <v>5</v>
      </c>
      <c r="O66">
        <v>37</v>
      </c>
      <c r="P66">
        <v>73</v>
      </c>
      <c r="Q66">
        <v>7.6</v>
      </c>
      <c r="R66">
        <v>4.0999999999999996</v>
      </c>
      <c r="S66">
        <v>54.3</v>
      </c>
      <c r="T66">
        <v>0</v>
      </c>
    </row>
    <row r="67" spans="1:20" x14ac:dyDescent="0.2">
      <c r="A67">
        <v>66</v>
      </c>
      <c r="B67" t="s">
        <v>239</v>
      </c>
      <c r="C67" t="s">
        <v>239</v>
      </c>
      <c r="D67" t="s">
        <v>78</v>
      </c>
      <c r="E67">
        <v>24</v>
      </c>
      <c r="F67" t="s">
        <v>1392</v>
      </c>
      <c r="G67">
        <v>16</v>
      </c>
      <c r="H67">
        <v>2</v>
      </c>
      <c r="I67">
        <v>67</v>
      </c>
      <c r="J67">
        <v>53</v>
      </c>
      <c r="K67">
        <v>0.79100000000000004</v>
      </c>
      <c r="L67">
        <v>402</v>
      </c>
      <c r="M67">
        <v>7.6</v>
      </c>
      <c r="N67">
        <v>4</v>
      </c>
      <c r="O67">
        <v>21</v>
      </c>
      <c r="P67">
        <v>30</v>
      </c>
      <c r="Q67">
        <v>6</v>
      </c>
      <c r="R67">
        <v>3.3</v>
      </c>
      <c r="S67">
        <v>25.1</v>
      </c>
      <c r="T67">
        <v>2</v>
      </c>
    </row>
    <row r="68" spans="1:20" x14ac:dyDescent="0.2">
      <c r="A68">
        <v>67</v>
      </c>
      <c r="B68" t="s">
        <v>890</v>
      </c>
      <c r="C68" t="s">
        <v>890</v>
      </c>
      <c r="D68" t="s">
        <v>122</v>
      </c>
      <c r="E68">
        <v>26</v>
      </c>
      <c r="F68" t="s">
        <v>83</v>
      </c>
      <c r="G68">
        <v>11</v>
      </c>
      <c r="H68">
        <v>11</v>
      </c>
      <c r="I68">
        <v>75</v>
      </c>
      <c r="J68">
        <v>53</v>
      </c>
      <c r="K68">
        <v>0.70699999999999996</v>
      </c>
      <c r="L68">
        <v>879</v>
      </c>
      <c r="M68">
        <v>16.600000000000001</v>
      </c>
      <c r="N68">
        <v>8</v>
      </c>
      <c r="O68">
        <v>38</v>
      </c>
      <c r="P68">
        <v>77</v>
      </c>
      <c r="Q68">
        <v>11.7</v>
      </c>
      <c r="R68">
        <v>4.8</v>
      </c>
      <c r="S68">
        <v>79.900000000000006</v>
      </c>
      <c r="T68">
        <v>0</v>
      </c>
    </row>
    <row r="69" spans="1:20" x14ac:dyDescent="0.2">
      <c r="A69">
        <v>68</v>
      </c>
      <c r="B69" t="s">
        <v>261</v>
      </c>
      <c r="C69" t="s">
        <v>261</v>
      </c>
      <c r="D69" t="s">
        <v>142</v>
      </c>
      <c r="E69">
        <v>25</v>
      </c>
      <c r="F69" t="s">
        <v>1577</v>
      </c>
      <c r="G69">
        <v>15</v>
      </c>
      <c r="H69">
        <v>9</v>
      </c>
      <c r="I69">
        <v>85</v>
      </c>
      <c r="J69">
        <v>53</v>
      </c>
      <c r="K69">
        <v>0.624</v>
      </c>
      <c r="L69">
        <v>703</v>
      </c>
      <c r="M69">
        <v>13.3</v>
      </c>
      <c r="N69">
        <v>6</v>
      </c>
      <c r="O69">
        <v>36</v>
      </c>
      <c r="P69">
        <v>70</v>
      </c>
      <c r="Q69">
        <v>8.3000000000000007</v>
      </c>
      <c r="R69">
        <v>3.5</v>
      </c>
      <c r="S69">
        <v>46.9</v>
      </c>
      <c r="T69">
        <v>0</v>
      </c>
    </row>
    <row r="70" spans="1:20" x14ac:dyDescent="0.2">
      <c r="A70">
        <v>69</v>
      </c>
      <c r="B70" t="s">
        <v>323</v>
      </c>
      <c r="C70" t="s">
        <v>323</v>
      </c>
      <c r="D70" t="s">
        <v>102</v>
      </c>
      <c r="E70">
        <v>25</v>
      </c>
      <c r="F70" t="s">
        <v>1298</v>
      </c>
      <c r="G70">
        <v>16</v>
      </c>
      <c r="H70">
        <v>10</v>
      </c>
      <c r="I70">
        <v>79</v>
      </c>
      <c r="J70">
        <v>53</v>
      </c>
      <c r="K70">
        <v>0.67100000000000004</v>
      </c>
      <c r="L70">
        <v>419</v>
      </c>
      <c r="M70">
        <v>7.9</v>
      </c>
      <c r="N70">
        <v>6</v>
      </c>
      <c r="O70">
        <v>24</v>
      </c>
      <c r="P70">
        <v>32</v>
      </c>
      <c r="Q70">
        <v>5.3</v>
      </c>
      <c r="R70">
        <v>3.3</v>
      </c>
      <c r="S70">
        <v>26.2</v>
      </c>
      <c r="T70">
        <v>2</v>
      </c>
    </row>
    <row r="71" spans="1:20" x14ac:dyDescent="0.2">
      <c r="A71">
        <v>70</v>
      </c>
      <c r="B71" t="s">
        <v>1460</v>
      </c>
      <c r="C71" t="s">
        <v>1460</v>
      </c>
      <c r="D71" t="s">
        <v>729</v>
      </c>
      <c r="E71">
        <v>25</v>
      </c>
      <c r="F71" t="s">
        <v>68</v>
      </c>
      <c r="G71">
        <v>15</v>
      </c>
      <c r="H71">
        <v>15</v>
      </c>
      <c r="I71">
        <v>71</v>
      </c>
      <c r="J71">
        <v>52</v>
      </c>
      <c r="K71">
        <v>0.73199999999999998</v>
      </c>
      <c r="L71">
        <v>338</v>
      </c>
      <c r="M71">
        <v>6.5</v>
      </c>
      <c r="N71">
        <v>2</v>
      </c>
      <c r="O71">
        <v>20</v>
      </c>
      <c r="P71">
        <v>19</v>
      </c>
      <c r="Q71">
        <v>4.8</v>
      </c>
      <c r="R71">
        <v>3.5</v>
      </c>
      <c r="S71">
        <v>22.5</v>
      </c>
      <c r="T71">
        <v>6</v>
      </c>
    </row>
    <row r="72" spans="1:20" x14ac:dyDescent="0.2">
      <c r="A72">
        <v>71</v>
      </c>
      <c r="B72" t="s">
        <v>259</v>
      </c>
      <c r="C72" t="s">
        <v>259</v>
      </c>
      <c r="D72" t="s">
        <v>93</v>
      </c>
      <c r="E72">
        <v>21</v>
      </c>
      <c r="F72" t="s">
        <v>83</v>
      </c>
      <c r="G72">
        <v>16</v>
      </c>
      <c r="H72">
        <v>14</v>
      </c>
      <c r="I72">
        <v>113</v>
      </c>
      <c r="J72">
        <v>52</v>
      </c>
      <c r="K72">
        <v>0.46</v>
      </c>
      <c r="L72">
        <v>856</v>
      </c>
      <c r="M72">
        <v>16.5</v>
      </c>
      <c r="N72">
        <v>3</v>
      </c>
      <c r="O72">
        <v>39</v>
      </c>
      <c r="P72">
        <v>92</v>
      </c>
      <c r="Q72">
        <v>7.6</v>
      </c>
      <c r="R72">
        <v>3.3</v>
      </c>
      <c r="S72">
        <v>53.5</v>
      </c>
      <c r="T72">
        <v>2</v>
      </c>
    </row>
    <row r="73" spans="1:20" x14ac:dyDescent="0.2">
      <c r="A73">
        <v>72</v>
      </c>
      <c r="B73" t="s">
        <v>346</v>
      </c>
      <c r="C73" t="s">
        <v>346</v>
      </c>
      <c r="D73" t="s">
        <v>730</v>
      </c>
      <c r="E73">
        <v>25</v>
      </c>
      <c r="F73" t="s">
        <v>83</v>
      </c>
      <c r="G73">
        <v>16</v>
      </c>
      <c r="H73">
        <v>13</v>
      </c>
      <c r="I73">
        <v>81</v>
      </c>
      <c r="J73">
        <v>52</v>
      </c>
      <c r="K73">
        <v>0.64200000000000002</v>
      </c>
      <c r="L73">
        <v>618</v>
      </c>
      <c r="M73">
        <v>11.9</v>
      </c>
      <c r="N73">
        <v>2</v>
      </c>
      <c r="O73">
        <v>29</v>
      </c>
      <c r="P73">
        <v>40</v>
      </c>
      <c r="Q73">
        <v>7.6</v>
      </c>
      <c r="R73">
        <v>3.3</v>
      </c>
      <c r="S73">
        <v>38.6</v>
      </c>
      <c r="T73">
        <v>2</v>
      </c>
    </row>
    <row r="74" spans="1:20" x14ac:dyDescent="0.2">
      <c r="A74">
        <v>73</v>
      </c>
      <c r="B74" t="s">
        <v>272</v>
      </c>
      <c r="C74" t="s">
        <v>272</v>
      </c>
      <c r="D74" t="s">
        <v>1267</v>
      </c>
      <c r="E74">
        <v>26</v>
      </c>
      <c r="F74" t="s">
        <v>1577</v>
      </c>
      <c r="G74">
        <v>16</v>
      </c>
      <c r="H74">
        <v>8</v>
      </c>
      <c r="I74">
        <v>59</v>
      </c>
      <c r="J74">
        <v>52</v>
      </c>
      <c r="K74">
        <v>0.88100000000000001</v>
      </c>
      <c r="L74">
        <v>586</v>
      </c>
      <c r="M74">
        <v>11.3</v>
      </c>
      <c r="N74">
        <v>11</v>
      </c>
      <c r="O74">
        <v>33</v>
      </c>
      <c r="P74">
        <v>45</v>
      </c>
      <c r="Q74">
        <v>9.9</v>
      </c>
      <c r="R74">
        <v>3.3</v>
      </c>
      <c r="S74">
        <v>36.6</v>
      </c>
      <c r="T74">
        <v>0</v>
      </c>
    </row>
    <row r="75" spans="1:20" x14ac:dyDescent="0.2">
      <c r="A75">
        <v>74</v>
      </c>
      <c r="B75" t="s">
        <v>143</v>
      </c>
      <c r="C75" t="s">
        <v>143</v>
      </c>
      <c r="D75" t="s">
        <v>101</v>
      </c>
      <c r="E75">
        <v>31</v>
      </c>
      <c r="F75" t="s">
        <v>1298</v>
      </c>
      <c r="G75">
        <v>9</v>
      </c>
      <c r="H75">
        <v>9</v>
      </c>
      <c r="I75">
        <v>68</v>
      </c>
      <c r="J75">
        <v>51</v>
      </c>
      <c r="K75">
        <v>0.75</v>
      </c>
      <c r="L75">
        <v>771</v>
      </c>
      <c r="M75">
        <v>15.1</v>
      </c>
      <c r="N75">
        <v>3</v>
      </c>
      <c r="O75">
        <v>36</v>
      </c>
      <c r="P75">
        <v>44</v>
      </c>
      <c r="Q75">
        <v>11.3</v>
      </c>
      <c r="R75">
        <v>5.7</v>
      </c>
      <c r="S75">
        <v>85.7</v>
      </c>
      <c r="T75">
        <v>0</v>
      </c>
    </row>
    <row r="76" spans="1:20" x14ac:dyDescent="0.2">
      <c r="A76">
        <v>75</v>
      </c>
      <c r="B76" t="s">
        <v>345</v>
      </c>
      <c r="C76" t="s">
        <v>345</v>
      </c>
      <c r="D76" t="s">
        <v>93</v>
      </c>
      <c r="E76">
        <v>27</v>
      </c>
      <c r="F76" t="s">
        <v>83</v>
      </c>
      <c r="G76">
        <v>15</v>
      </c>
      <c r="H76">
        <v>15</v>
      </c>
      <c r="I76">
        <v>79</v>
      </c>
      <c r="J76">
        <v>51</v>
      </c>
      <c r="K76">
        <v>0.64600000000000002</v>
      </c>
      <c r="L76">
        <v>742</v>
      </c>
      <c r="M76">
        <v>14.5</v>
      </c>
      <c r="N76">
        <v>6</v>
      </c>
      <c r="O76">
        <v>33</v>
      </c>
      <c r="P76">
        <v>61</v>
      </c>
      <c r="Q76">
        <v>9.4</v>
      </c>
      <c r="R76">
        <v>3.4</v>
      </c>
      <c r="S76">
        <v>49.5</v>
      </c>
      <c r="T76">
        <v>0</v>
      </c>
    </row>
    <row r="77" spans="1:20" x14ac:dyDescent="0.2">
      <c r="A77">
        <v>76</v>
      </c>
      <c r="B77" t="s">
        <v>2106</v>
      </c>
      <c r="C77" t="s">
        <v>2106</v>
      </c>
      <c r="D77" t="s">
        <v>727</v>
      </c>
      <c r="E77">
        <v>34</v>
      </c>
      <c r="F77" t="s">
        <v>88</v>
      </c>
      <c r="G77">
        <v>16</v>
      </c>
      <c r="H77">
        <v>15</v>
      </c>
      <c r="I77">
        <v>76</v>
      </c>
      <c r="J77">
        <v>50</v>
      </c>
      <c r="K77">
        <v>0.65800000000000003</v>
      </c>
      <c r="L77">
        <v>456</v>
      </c>
      <c r="M77">
        <v>9.1</v>
      </c>
      <c r="N77">
        <v>8</v>
      </c>
      <c r="O77">
        <v>32</v>
      </c>
      <c r="P77">
        <v>30</v>
      </c>
      <c r="Q77">
        <v>6</v>
      </c>
      <c r="R77">
        <v>3.1</v>
      </c>
      <c r="S77">
        <v>28.5</v>
      </c>
      <c r="T77">
        <v>1</v>
      </c>
    </row>
    <row r="78" spans="1:20" x14ac:dyDescent="0.2">
      <c r="A78">
        <v>77</v>
      </c>
      <c r="B78" t="s">
        <v>310</v>
      </c>
      <c r="C78" t="s">
        <v>310</v>
      </c>
      <c r="D78" t="s">
        <v>92</v>
      </c>
      <c r="E78">
        <v>23</v>
      </c>
      <c r="F78" t="s">
        <v>83</v>
      </c>
      <c r="G78">
        <v>16</v>
      </c>
      <c r="H78">
        <v>15</v>
      </c>
      <c r="I78">
        <v>96</v>
      </c>
      <c r="J78">
        <v>50</v>
      </c>
      <c r="K78">
        <v>0.52100000000000002</v>
      </c>
      <c r="L78">
        <v>751</v>
      </c>
      <c r="M78">
        <v>15</v>
      </c>
      <c r="N78">
        <v>3</v>
      </c>
      <c r="O78">
        <v>38</v>
      </c>
      <c r="P78">
        <v>41</v>
      </c>
      <c r="Q78">
        <v>7.8</v>
      </c>
      <c r="R78">
        <v>3.1</v>
      </c>
      <c r="S78">
        <v>46.9</v>
      </c>
      <c r="T78">
        <v>1</v>
      </c>
    </row>
    <row r="79" spans="1:20" x14ac:dyDescent="0.2">
      <c r="A79">
        <v>78</v>
      </c>
      <c r="B79" t="s">
        <v>333</v>
      </c>
      <c r="C79" t="s">
        <v>333</v>
      </c>
      <c r="D79" t="s">
        <v>1087</v>
      </c>
      <c r="E79">
        <v>25</v>
      </c>
      <c r="F79" t="s">
        <v>1298</v>
      </c>
      <c r="G79">
        <v>15</v>
      </c>
      <c r="H79">
        <v>5</v>
      </c>
      <c r="I79">
        <v>74</v>
      </c>
      <c r="J79">
        <v>49</v>
      </c>
      <c r="K79">
        <v>0.66200000000000003</v>
      </c>
      <c r="L79">
        <v>667</v>
      </c>
      <c r="M79">
        <v>13.6</v>
      </c>
      <c r="N79">
        <v>2</v>
      </c>
      <c r="O79">
        <v>35</v>
      </c>
      <c r="P79">
        <v>49</v>
      </c>
      <c r="Q79">
        <v>9</v>
      </c>
      <c r="R79">
        <v>3.3</v>
      </c>
      <c r="S79">
        <v>44.5</v>
      </c>
      <c r="T79">
        <v>0</v>
      </c>
    </row>
    <row r="80" spans="1:20" x14ac:dyDescent="0.2">
      <c r="A80">
        <v>79</v>
      </c>
      <c r="B80" t="s">
        <v>293</v>
      </c>
      <c r="C80" t="s">
        <v>293</v>
      </c>
      <c r="D80" t="s">
        <v>727</v>
      </c>
      <c r="E80">
        <v>26</v>
      </c>
      <c r="F80" t="s">
        <v>1298</v>
      </c>
      <c r="G80">
        <v>16</v>
      </c>
      <c r="H80">
        <v>6</v>
      </c>
      <c r="I80">
        <v>76</v>
      </c>
      <c r="J80">
        <v>49</v>
      </c>
      <c r="K80">
        <v>0.64500000000000002</v>
      </c>
      <c r="L80">
        <v>485</v>
      </c>
      <c r="M80">
        <v>9.9</v>
      </c>
      <c r="N80">
        <v>2</v>
      </c>
      <c r="O80">
        <v>23</v>
      </c>
      <c r="P80">
        <v>34</v>
      </c>
      <c r="Q80">
        <v>6.4</v>
      </c>
      <c r="R80">
        <v>3.1</v>
      </c>
      <c r="S80">
        <v>30.3</v>
      </c>
      <c r="T80">
        <v>2</v>
      </c>
    </row>
    <row r="81" spans="1:20" x14ac:dyDescent="0.2">
      <c r="A81">
        <v>80</v>
      </c>
      <c r="B81" t="s">
        <v>240</v>
      </c>
      <c r="C81" t="s">
        <v>240</v>
      </c>
      <c r="D81" t="s">
        <v>1052</v>
      </c>
      <c r="E81">
        <v>22</v>
      </c>
      <c r="F81" t="s">
        <v>68</v>
      </c>
      <c r="G81">
        <v>14</v>
      </c>
      <c r="H81">
        <v>14</v>
      </c>
      <c r="I81">
        <v>60</v>
      </c>
      <c r="J81">
        <v>49</v>
      </c>
      <c r="K81">
        <v>0.81699999999999995</v>
      </c>
      <c r="L81">
        <v>344</v>
      </c>
      <c r="M81">
        <v>7</v>
      </c>
      <c r="N81">
        <v>3</v>
      </c>
      <c r="O81">
        <v>15</v>
      </c>
      <c r="P81">
        <v>28</v>
      </c>
      <c r="Q81">
        <v>5.7</v>
      </c>
      <c r="R81">
        <v>3.5</v>
      </c>
      <c r="S81">
        <v>24.6</v>
      </c>
      <c r="T81">
        <v>3</v>
      </c>
    </row>
    <row r="82" spans="1:20" x14ac:dyDescent="0.2">
      <c r="A82">
        <v>81</v>
      </c>
      <c r="B82" t="s">
        <v>348</v>
      </c>
      <c r="C82" t="s">
        <v>348</v>
      </c>
      <c r="D82" t="s">
        <v>1122</v>
      </c>
      <c r="E82">
        <v>28</v>
      </c>
      <c r="G82">
        <v>14</v>
      </c>
      <c r="H82">
        <v>0</v>
      </c>
      <c r="I82">
        <v>62</v>
      </c>
      <c r="J82">
        <v>49</v>
      </c>
      <c r="K82">
        <v>0.79</v>
      </c>
      <c r="L82">
        <v>375</v>
      </c>
      <c r="M82">
        <v>7.7</v>
      </c>
      <c r="N82">
        <v>1</v>
      </c>
      <c r="O82">
        <v>20</v>
      </c>
      <c r="P82">
        <v>34</v>
      </c>
      <c r="Q82">
        <v>6</v>
      </c>
      <c r="R82">
        <v>3.5</v>
      </c>
      <c r="S82">
        <v>26.8</v>
      </c>
      <c r="T82">
        <v>1</v>
      </c>
    </row>
    <row r="83" spans="1:20" x14ac:dyDescent="0.2">
      <c r="A83">
        <v>82</v>
      </c>
      <c r="B83" t="s">
        <v>253</v>
      </c>
      <c r="C83" t="s">
        <v>253</v>
      </c>
      <c r="D83" t="s">
        <v>933</v>
      </c>
      <c r="E83">
        <v>27</v>
      </c>
      <c r="F83" t="s">
        <v>83</v>
      </c>
      <c r="G83">
        <v>16</v>
      </c>
      <c r="H83">
        <v>13</v>
      </c>
      <c r="I83">
        <v>82</v>
      </c>
      <c r="J83">
        <v>48</v>
      </c>
      <c r="K83">
        <v>0.58499999999999996</v>
      </c>
      <c r="L83">
        <v>896</v>
      </c>
      <c r="M83">
        <v>18.7</v>
      </c>
      <c r="N83">
        <v>8</v>
      </c>
      <c r="O83">
        <v>37</v>
      </c>
      <c r="P83">
        <v>85</v>
      </c>
      <c r="Q83">
        <v>10.9</v>
      </c>
      <c r="R83">
        <v>3</v>
      </c>
      <c r="S83">
        <v>56</v>
      </c>
      <c r="T83">
        <v>0</v>
      </c>
    </row>
    <row r="84" spans="1:20" x14ac:dyDescent="0.2">
      <c r="A84">
        <v>83</v>
      </c>
      <c r="B84" t="s">
        <v>295</v>
      </c>
      <c r="C84" t="s">
        <v>295</v>
      </c>
      <c r="D84" t="s">
        <v>78</v>
      </c>
      <c r="E84">
        <v>24</v>
      </c>
      <c r="F84" t="s">
        <v>1298</v>
      </c>
      <c r="G84">
        <v>14</v>
      </c>
      <c r="H84">
        <v>10</v>
      </c>
      <c r="I84">
        <v>79</v>
      </c>
      <c r="J84">
        <v>48</v>
      </c>
      <c r="K84">
        <v>0.60799999999999998</v>
      </c>
      <c r="L84">
        <v>621</v>
      </c>
      <c r="M84">
        <v>12.9</v>
      </c>
      <c r="N84">
        <v>6</v>
      </c>
      <c r="O84">
        <v>30</v>
      </c>
      <c r="P84">
        <v>80</v>
      </c>
      <c r="Q84">
        <v>7.9</v>
      </c>
      <c r="R84">
        <v>3.4</v>
      </c>
      <c r="S84">
        <v>44.4</v>
      </c>
      <c r="T84">
        <v>1</v>
      </c>
    </row>
    <row r="85" spans="1:20" x14ac:dyDescent="0.2">
      <c r="A85">
        <v>84</v>
      </c>
      <c r="B85" t="s">
        <v>137</v>
      </c>
      <c r="C85" t="s">
        <v>137</v>
      </c>
      <c r="D85" t="s">
        <v>1087</v>
      </c>
      <c r="E85">
        <v>27</v>
      </c>
      <c r="F85" t="s">
        <v>1577</v>
      </c>
      <c r="G85">
        <v>8</v>
      </c>
      <c r="H85">
        <v>8</v>
      </c>
      <c r="I85">
        <v>63</v>
      </c>
      <c r="J85">
        <v>48</v>
      </c>
      <c r="K85">
        <v>0.76200000000000001</v>
      </c>
      <c r="L85">
        <v>634</v>
      </c>
      <c r="M85">
        <v>13.2</v>
      </c>
      <c r="N85">
        <v>2</v>
      </c>
      <c r="O85">
        <v>32</v>
      </c>
      <c r="P85">
        <v>44</v>
      </c>
      <c r="Q85">
        <v>10.1</v>
      </c>
      <c r="R85">
        <v>6</v>
      </c>
      <c r="S85">
        <v>79.3</v>
      </c>
      <c r="T85">
        <v>0</v>
      </c>
    </row>
    <row r="86" spans="1:20" x14ac:dyDescent="0.2">
      <c r="A86">
        <v>85</v>
      </c>
      <c r="B86" t="s">
        <v>247</v>
      </c>
      <c r="C86" t="s">
        <v>247</v>
      </c>
      <c r="D86" t="s">
        <v>118</v>
      </c>
      <c r="E86">
        <v>26</v>
      </c>
      <c r="F86" t="s">
        <v>83</v>
      </c>
      <c r="G86">
        <v>15</v>
      </c>
      <c r="H86">
        <v>11</v>
      </c>
      <c r="I86">
        <v>85</v>
      </c>
      <c r="J86">
        <v>48</v>
      </c>
      <c r="K86">
        <v>0.56499999999999995</v>
      </c>
      <c r="L86">
        <v>756</v>
      </c>
      <c r="M86">
        <v>15.8</v>
      </c>
      <c r="N86">
        <v>5</v>
      </c>
      <c r="O86">
        <v>35</v>
      </c>
      <c r="P86">
        <v>64</v>
      </c>
      <c r="Q86">
        <v>8.9</v>
      </c>
      <c r="R86">
        <v>3.2</v>
      </c>
      <c r="S86">
        <v>50.4</v>
      </c>
      <c r="T86">
        <v>0</v>
      </c>
    </row>
    <row r="87" spans="1:20" x14ac:dyDescent="0.2">
      <c r="A87">
        <v>86</v>
      </c>
      <c r="B87" t="s">
        <v>1696</v>
      </c>
      <c r="C87" t="s">
        <v>1696</v>
      </c>
      <c r="D87" t="s">
        <v>74</v>
      </c>
      <c r="E87">
        <v>29</v>
      </c>
      <c r="F87" t="s">
        <v>1392</v>
      </c>
      <c r="G87">
        <v>16</v>
      </c>
      <c r="H87">
        <v>10</v>
      </c>
      <c r="I87">
        <v>59</v>
      </c>
      <c r="J87">
        <v>47</v>
      </c>
      <c r="K87">
        <v>0.79700000000000004</v>
      </c>
      <c r="L87">
        <v>355</v>
      </c>
      <c r="M87">
        <v>7.6</v>
      </c>
      <c r="N87">
        <v>3</v>
      </c>
      <c r="O87">
        <v>15</v>
      </c>
      <c r="P87">
        <v>42</v>
      </c>
      <c r="Q87">
        <v>6</v>
      </c>
      <c r="R87">
        <v>2.9</v>
      </c>
      <c r="S87">
        <v>22.2</v>
      </c>
      <c r="T87">
        <v>1</v>
      </c>
    </row>
    <row r="88" spans="1:20" x14ac:dyDescent="0.2">
      <c r="A88">
        <v>87</v>
      </c>
      <c r="B88" t="s">
        <v>1964</v>
      </c>
      <c r="C88" t="s">
        <v>1964</v>
      </c>
      <c r="D88" t="s">
        <v>1122</v>
      </c>
      <c r="E88">
        <v>27</v>
      </c>
      <c r="F88" t="s">
        <v>83</v>
      </c>
      <c r="G88">
        <v>16</v>
      </c>
      <c r="H88">
        <v>14</v>
      </c>
      <c r="I88">
        <v>77</v>
      </c>
      <c r="J88">
        <v>47</v>
      </c>
      <c r="K88">
        <v>0.61</v>
      </c>
      <c r="L88">
        <v>604</v>
      </c>
      <c r="M88">
        <v>12.9</v>
      </c>
      <c r="N88">
        <v>1</v>
      </c>
      <c r="O88">
        <v>29</v>
      </c>
      <c r="P88">
        <v>42</v>
      </c>
      <c r="Q88">
        <v>7.8</v>
      </c>
      <c r="R88">
        <v>2.9</v>
      </c>
      <c r="S88">
        <v>37.799999999999997</v>
      </c>
      <c r="T88">
        <v>3</v>
      </c>
    </row>
    <row r="89" spans="1:20" x14ac:dyDescent="0.2">
      <c r="A89">
        <v>88</v>
      </c>
      <c r="B89" t="s">
        <v>276</v>
      </c>
      <c r="C89" t="s">
        <v>276</v>
      </c>
      <c r="D89" t="s">
        <v>74</v>
      </c>
      <c r="E89">
        <v>32</v>
      </c>
      <c r="F89" t="s">
        <v>83</v>
      </c>
      <c r="G89">
        <v>16</v>
      </c>
      <c r="H89">
        <v>14</v>
      </c>
      <c r="I89">
        <v>104</v>
      </c>
      <c r="J89">
        <v>47</v>
      </c>
      <c r="K89">
        <v>0.45200000000000001</v>
      </c>
      <c r="L89">
        <v>523</v>
      </c>
      <c r="M89">
        <v>11.1</v>
      </c>
      <c r="N89">
        <v>2</v>
      </c>
      <c r="O89">
        <v>34</v>
      </c>
      <c r="P89">
        <v>33</v>
      </c>
      <c r="Q89">
        <v>5</v>
      </c>
      <c r="R89">
        <v>2.9</v>
      </c>
      <c r="S89">
        <v>32.700000000000003</v>
      </c>
      <c r="T89">
        <v>0</v>
      </c>
    </row>
    <row r="90" spans="1:20" x14ac:dyDescent="0.2">
      <c r="A90">
        <v>89</v>
      </c>
      <c r="B90" t="s">
        <v>1614</v>
      </c>
      <c r="C90" t="s">
        <v>126</v>
      </c>
      <c r="D90" t="s">
        <v>1267</v>
      </c>
      <c r="E90">
        <v>26</v>
      </c>
      <c r="F90" t="s">
        <v>68</v>
      </c>
      <c r="G90">
        <v>14</v>
      </c>
      <c r="H90">
        <v>14</v>
      </c>
      <c r="I90">
        <v>63</v>
      </c>
      <c r="J90">
        <v>47</v>
      </c>
      <c r="K90">
        <v>0.746</v>
      </c>
      <c r="L90">
        <v>355</v>
      </c>
      <c r="M90">
        <v>7.6</v>
      </c>
      <c r="N90">
        <v>2</v>
      </c>
      <c r="O90">
        <v>15</v>
      </c>
      <c r="P90">
        <v>30</v>
      </c>
      <c r="Q90">
        <v>5.6</v>
      </c>
      <c r="R90">
        <v>3.4</v>
      </c>
      <c r="S90">
        <v>25.4</v>
      </c>
      <c r="T90">
        <v>2</v>
      </c>
    </row>
    <row r="91" spans="1:20" x14ac:dyDescent="0.2">
      <c r="A91">
        <v>90</v>
      </c>
      <c r="B91" t="s">
        <v>1997</v>
      </c>
      <c r="C91" t="s">
        <v>1997</v>
      </c>
      <c r="D91" t="s">
        <v>139</v>
      </c>
      <c r="E91">
        <v>35</v>
      </c>
      <c r="F91" t="s">
        <v>1298</v>
      </c>
      <c r="G91">
        <v>14</v>
      </c>
      <c r="H91">
        <v>5</v>
      </c>
      <c r="I91">
        <v>69</v>
      </c>
      <c r="J91">
        <v>46</v>
      </c>
      <c r="K91">
        <v>0.66700000000000004</v>
      </c>
      <c r="L91">
        <v>602</v>
      </c>
      <c r="M91">
        <v>13.1</v>
      </c>
      <c r="N91">
        <v>0</v>
      </c>
      <c r="O91">
        <v>30</v>
      </c>
      <c r="P91">
        <v>50</v>
      </c>
      <c r="Q91">
        <v>8.6999999999999993</v>
      </c>
      <c r="R91">
        <v>3.3</v>
      </c>
      <c r="S91">
        <v>43</v>
      </c>
      <c r="T91">
        <v>0</v>
      </c>
    </row>
    <row r="92" spans="1:20" x14ac:dyDescent="0.2">
      <c r="A92">
        <v>91</v>
      </c>
      <c r="B92" t="s">
        <v>238</v>
      </c>
      <c r="C92" t="s">
        <v>238</v>
      </c>
      <c r="D92" t="s">
        <v>102</v>
      </c>
      <c r="E92">
        <v>25</v>
      </c>
      <c r="F92" t="s">
        <v>1577</v>
      </c>
      <c r="G92">
        <v>11</v>
      </c>
      <c r="H92">
        <v>9</v>
      </c>
      <c r="I92">
        <v>65</v>
      </c>
      <c r="J92">
        <v>46</v>
      </c>
      <c r="K92">
        <v>0.70799999999999996</v>
      </c>
      <c r="L92">
        <v>524</v>
      </c>
      <c r="M92">
        <v>11.4</v>
      </c>
      <c r="N92">
        <v>3</v>
      </c>
      <c r="O92">
        <v>28</v>
      </c>
      <c r="P92">
        <v>41</v>
      </c>
      <c r="Q92">
        <v>8.1</v>
      </c>
      <c r="R92">
        <v>4.2</v>
      </c>
      <c r="S92">
        <v>47.6</v>
      </c>
      <c r="T92">
        <v>0</v>
      </c>
    </row>
    <row r="93" spans="1:20" x14ac:dyDescent="0.2">
      <c r="A93">
        <v>92</v>
      </c>
      <c r="B93" t="s">
        <v>304</v>
      </c>
      <c r="C93" t="s">
        <v>304</v>
      </c>
      <c r="D93" t="s">
        <v>82</v>
      </c>
      <c r="E93">
        <v>26</v>
      </c>
      <c r="F93" t="s">
        <v>88</v>
      </c>
      <c r="G93">
        <v>13</v>
      </c>
      <c r="H93">
        <v>13</v>
      </c>
      <c r="I93">
        <v>70</v>
      </c>
      <c r="J93">
        <v>46</v>
      </c>
      <c r="K93">
        <v>0.65700000000000003</v>
      </c>
      <c r="L93">
        <v>435</v>
      </c>
      <c r="M93">
        <v>9.5</v>
      </c>
      <c r="N93">
        <v>4</v>
      </c>
      <c r="O93">
        <v>27</v>
      </c>
      <c r="P93">
        <v>36</v>
      </c>
      <c r="Q93">
        <v>6.2</v>
      </c>
      <c r="R93">
        <v>3.5</v>
      </c>
      <c r="S93">
        <v>33.5</v>
      </c>
      <c r="T93">
        <v>0</v>
      </c>
    </row>
    <row r="94" spans="1:20" x14ac:dyDescent="0.2">
      <c r="A94">
        <v>93</v>
      </c>
      <c r="B94" t="s">
        <v>180</v>
      </c>
      <c r="C94" t="s">
        <v>180</v>
      </c>
      <c r="D94" t="s">
        <v>139</v>
      </c>
      <c r="E94">
        <v>21</v>
      </c>
      <c r="F94" t="s">
        <v>1392</v>
      </c>
      <c r="G94">
        <v>13</v>
      </c>
      <c r="H94">
        <v>4</v>
      </c>
      <c r="I94">
        <v>57</v>
      </c>
      <c r="J94">
        <v>46</v>
      </c>
      <c r="K94">
        <v>0.80700000000000005</v>
      </c>
      <c r="L94">
        <v>357</v>
      </c>
      <c r="M94">
        <v>7.8</v>
      </c>
      <c r="N94">
        <v>2</v>
      </c>
      <c r="O94">
        <v>15</v>
      </c>
      <c r="P94">
        <v>26</v>
      </c>
      <c r="Q94">
        <v>6.3</v>
      </c>
      <c r="R94">
        <v>3.5</v>
      </c>
      <c r="S94">
        <v>27.5</v>
      </c>
      <c r="T94">
        <v>3</v>
      </c>
    </row>
    <row r="95" spans="1:20" x14ac:dyDescent="0.2">
      <c r="A95">
        <v>94</v>
      </c>
      <c r="B95" t="s">
        <v>1543</v>
      </c>
      <c r="C95" t="s">
        <v>1543</v>
      </c>
      <c r="D95" t="s">
        <v>976</v>
      </c>
      <c r="E95">
        <v>32</v>
      </c>
      <c r="F95" t="s">
        <v>1298</v>
      </c>
      <c r="G95">
        <v>8</v>
      </c>
      <c r="H95">
        <v>4</v>
      </c>
      <c r="I95">
        <v>62</v>
      </c>
      <c r="J95">
        <v>45</v>
      </c>
      <c r="K95">
        <v>0.72599999999999998</v>
      </c>
      <c r="L95">
        <v>483</v>
      </c>
      <c r="M95">
        <v>10.7</v>
      </c>
      <c r="N95">
        <v>4</v>
      </c>
      <c r="O95">
        <v>27</v>
      </c>
      <c r="P95">
        <v>46</v>
      </c>
      <c r="Q95">
        <v>7.8</v>
      </c>
      <c r="R95">
        <v>5.6</v>
      </c>
      <c r="S95">
        <v>60.4</v>
      </c>
      <c r="T95">
        <v>0</v>
      </c>
    </row>
    <row r="96" spans="1:20" x14ac:dyDescent="0.2">
      <c r="A96">
        <v>95</v>
      </c>
      <c r="B96" t="s">
        <v>2099</v>
      </c>
      <c r="C96" t="s">
        <v>2099</v>
      </c>
      <c r="D96" t="s">
        <v>976</v>
      </c>
      <c r="E96">
        <v>31</v>
      </c>
      <c r="F96" t="s">
        <v>88</v>
      </c>
      <c r="G96">
        <v>16</v>
      </c>
      <c r="H96">
        <v>16</v>
      </c>
      <c r="I96">
        <v>77</v>
      </c>
      <c r="J96">
        <v>45</v>
      </c>
      <c r="K96">
        <v>0.58399999999999996</v>
      </c>
      <c r="L96">
        <v>623</v>
      </c>
      <c r="M96">
        <v>13.8</v>
      </c>
      <c r="N96">
        <v>7</v>
      </c>
      <c r="O96">
        <v>29</v>
      </c>
      <c r="P96">
        <v>48</v>
      </c>
      <c r="Q96">
        <v>8.1</v>
      </c>
      <c r="R96">
        <v>2.8</v>
      </c>
      <c r="S96">
        <v>38.9</v>
      </c>
      <c r="T96">
        <v>1</v>
      </c>
    </row>
    <row r="97" spans="1:20" x14ac:dyDescent="0.2">
      <c r="A97">
        <v>96</v>
      </c>
      <c r="B97" t="s">
        <v>343</v>
      </c>
      <c r="C97" t="s">
        <v>343</v>
      </c>
      <c r="D97" t="s">
        <v>1040</v>
      </c>
      <c r="E97">
        <v>26</v>
      </c>
      <c r="F97" t="s">
        <v>1298</v>
      </c>
      <c r="G97">
        <v>16</v>
      </c>
      <c r="H97">
        <v>9</v>
      </c>
      <c r="I97">
        <v>59</v>
      </c>
      <c r="J97">
        <v>45</v>
      </c>
      <c r="K97">
        <v>0.76300000000000001</v>
      </c>
      <c r="L97">
        <v>466</v>
      </c>
      <c r="M97">
        <v>10.4</v>
      </c>
      <c r="N97">
        <v>3</v>
      </c>
      <c r="O97">
        <v>26</v>
      </c>
      <c r="P97">
        <v>28</v>
      </c>
      <c r="Q97">
        <v>7.9</v>
      </c>
      <c r="R97">
        <v>2.8</v>
      </c>
      <c r="S97">
        <v>29.1</v>
      </c>
      <c r="T97">
        <v>2</v>
      </c>
    </row>
    <row r="98" spans="1:20" x14ac:dyDescent="0.2">
      <c r="A98">
        <v>97</v>
      </c>
      <c r="B98" t="s">
        <v>1587</v>
      </c>
      <c r="C98" t="s">
        <v>72</v>
      </c>
      <c r="D98" t="s">
        <v>73</v>
      </c>
      <c r="E98">
        <v>25</v>
      </c>
      <c r="F98" t="s">
        <v>68</v>
      </c>
      <c r="G98">
        <v>14</v>
      </c>
      <c r="H98">
        <v>14</v>
      </c>
      <c r="I98">
        <v>54</v>
      </c>
      <c r="J98">
        <v>44</v>
      </c>
      <c r="K98">
        <v>0.81499999999999995</v>
      </c>
      <c r="L98">
        <v>361</v>
      </c>
      <c r="M98">
        <v>8.1999999999999993</v>
      </c>
      <c r="N98">
        <v>1</v>
      </c>
      <c r="O98">
        <v>17</v>
      </c>
      <c r="P98">
        <v>50</v>
      </c>
      <c r="Q98">
        <v>6.7</v>
      </c>
      <c r="R98">
        <v>3.1</v>
      </c>
      <c r="S98">
        <v>25.8</v>
      </c>
      <c r="T98">
        <v>5</v>
      </c>
    </row>
    <row r="99" spans="1:20" x14ac:dyDescent="0.2">
      <c r="A99">
        <v>98</v>
      </c>
      <c r="B99" t="s">
        <v>2020</v>
      </c>
      <c r="C99" t="s">
        <v>2020</v>
      </c>
      <c r="D99" t="s">
        <v>730</v>
      </c>
      <c r="E99">
        <v>27</v>
      </c>
      <c r="F99" t="s">
        <v>88</v>
      </c>
      <c r="G99">
        <v>15</v>
      </c>
      <c r="H99">
        <v>15</v>
      </c>
      <c r="I99">
        <v>60</v>
      </c>
      <c r="J99">
        <v>44</v>
      </c>
      <c r="K99">
        <v>0.73299999999999998</v>
      </c>
      <c r="L99">
        <v>521</v>
      </c>
      <c r="M99">
        <v>11.8</v>
      </c>
      <c r="N99">
        <v>5</v>
      </c>
      <c r="O99">
        <v>26</v>
      </c>
      <c r="P99">
        <v>44</v>
      </c>
      <c r="Q99">
        <v>8.6999999999999993</v>
      </c>
      <c r="R99">
        <v>2.9</v>
      </c>
      <c r="S99">
        <v>34.700000000000003</v>
      </c>
      <c r="T99">
        <v>0</v>
      </c>
    </row>
    <row r="100" spans="1:20" x14ac:dyDescent="0.2">
      <c r="A100">
        <v>99</v>
      </c>
      <c r="B100" t="s">
        <v>329</v>
      </c>
      <c r="C100" t="s">
        <v>329</v>
      </c>
      <c r="D100" t="s">
        <v>107</v>
      </c>
      <c r="E100">
        <v>26</v>
      </c>
      <c r="F100" t="s">
        <v>83</v>
      </c>
      <c r="G100">
        <v>16</v>
      </c>
      <c r="H100">
        <v>14</v>
      </c>
      <c r="I100">
        <v>71</v>
      </c>
      <c r="J100">
        <v>44</v>
      </c>
      <c r="K100">
        <v>0.62</v>
      </c>
      <c r="L100">
        <v>629</v>
      </c>
      <c r="M100">
        <v>14.3</v>
      </c>
      <c r="N100">
        <v>5</v>
      </c>
      <c r="O100">
        <v>29</v>
      </c>
      <c r="P100">
        <v>42</v>
      </c>
      <c r="Q100">
        <v>8.9</v>
      </c>
      <c r="R100">
        <v>2.8</v>
      </c>
      <c r="S100">
        <v>39.299999999999997</v>
      </c>
      <c r="T100">
        <v>0</v>
      </c>
    </row>
    <row r="101" spans="1:20" x14ac:dyDescent="0.2">
      <c r="A101">
        <v>100</v>
      </c>
      <c r="B101" t="s">
        <v>363</v>
      </c>
      <c r="C101" t="s">
        <v>363</v>
      </c>
      <c r="D101" t="s">
        <v>730</v>
      </c>
      <c r="E101">
        <v>26</v>
      </c>
      <c r="F101" t="s">
        <v>1577</v>
      </c>
      <c r="G101">
        <v>16</v>
      </c>
      <c r="H101">
        <v>7</v>
      </c>
      <c r="I101">
        <v>62</v>
      </c>
      <c r="J101">
        <v>41</v>
      </c>
      <c r="K101">
        <v>0.66100000000000003</v>
      </c>
      <c r="L101">
        <v>417</v>
      </c>
      <c r="M101">
        <v>10.199999999999999</v>
      </c>
      <c r="N101">
        <v>1</v>
      </c>
      <c r="O101">
        <v>24</v>
      </c>
      <c r="P101">
        <v>40</v>
      </c>
      <c r="Q101">
        <v>6.7</v>
      </c>
      <c r="R101">
        <v>2.6</v>
      </c>
      <c r="S101">
        <v>26.1</v>
      </c>
      <c r="T101">
        <v>1</v>
      </c>
    </row>
    <row r="102" spans="1:20" x14ac:dyDescent="0.2">
      <c r="A102">
        <v>101</v>
      </c>
      <c r="B102" t="s">
        <v>224</v>
      </c>
      <c r="C102" t="s">
        <v>224</v>
      </c>
      <c r="D102" t="s">
        <v>142</v>
      </c>
      <c r="E102">
        <v>23</v>
      </c>
      <c r="F102" t="s">
        <v>1392</v>
      </c>
      <c r="G102">
        <v>10</v>
      </c>
      <c r="H102">
        <v>7</v>
      </c>
      <c r="I102">
        <v>47</v>
      </c>
      <c r="J102">
        <v>41</v>
      </c>
      <c r="K102">
        <v>0.872</v>
      </c>
      <c r="L102">
        <v>388</v>
      </c>
      <c r="M102">
        <v>9.5</v>
      </c>
      <c r="N102">
        <v>2</v>
      </c>
      <c r="O102">
        <v>12</v>
      </c>
      <c r="P102">
        <v>59</v>
      </c>
      <c r="Q102">
        <v>8.3000000000000007</v>
      </c>
      <c r="R102">
        <v>4.0999999999999996</v>
      </c>
      <c r="S102">
        <v>38.799999999999997</v>
      </c>
      <c r="T102">
        <v>2</v>
      </c>
    </row>
    <row r="103" spans="1:20" x14ac:dyDescent="0.2">
      <c r="A103">
        <v>102</v>
      </c>
      <c r="B103" t="s">
        <v>275</v>
      </c>
      <c r="C103" t="s">
        <v>275</v>
      </c>
      <c r="D103" t="s">
        <v>1040</v>
      </c>
      <c r="E103">
        <v>22</v>
      </c>
      <c r="F103" t="s">
        <v>1298</v>
      </c>
      <c r="G103">
        <v>16</v>
      </c>
      <c r="H103">
        <v>8</v>
      </c>
      <c r="I103">
        <v>62</v>
      </c>
      <c r="J103">
        <v>41</v>
      </c>
      <c r="K103">
        <v>0.66100000000000003</v>
      </c>
      <c r="L103">
        <v>560</v>
      </c>
      <c r="M103">
        <v>13.7</v>
      </c>
      <c r="N103">
        <v>4</v>
      </c>
      <c r="O103">
        <v>23</v>
      </c>
      <c r="P103">
        <v>49</v>
      </c>
      <c r="Q103">
        <v>9</v>
      </c>
      <c r="R103">
        <v>2.6</v>
      </c>
      <c r="S103">
        <v>35</v>
      </c>
      <c r="T103">
        <v>2</v>
      </c>
    </row>
    <row r="104" spans="1:20" x14ac:dyDescent="0.2">
      <c r="A104">
        <v>103</v>
      </c>
      <c r="B104" t="s">
        <v>339</v>
      </c>
      <c r="C104" t="s">
        <v>339</v>
      </c>
      <c r="D104" t="s">
        <v>77</v>
      </c>
      <c r="E104">
        <v>25</v>
      </c>
      <c r="F104" t="s">
        <v>88</v>
      </c>
      <c r="G104">
        <v>15</v>
      </c>
      <c r="H104">
        <v>14</v>
      </c>
      <c r="I104">
        <v>65</v>
      </c>
      <c r="J104">
        <v>41</v>
      </c>
      <c r="K104">
        <v>0.63100000000000001</v>
      </c>
      <c r="L104">
        <v>448</v>
      </c>
      <c r="M104">
        <v>10.9</v>
      </c>
      <c r="N104">
        <v>8</v>
      </c>
      <c r="O104">
        <v>25</v>
      </c>
      <c r="P104">
        <v>63</v>
      </c>
      <c r="Q104">
        <v>6.9</v>
      </c>
      <c r="R104">
        <v>2.7</v>
      </c>
      <c r="S104">
        <v>29.9</v>
      </c>
      <c r="T104">
        <v>0</v>
      </c>
    </row>
    <row r="105" spans="1:20" x14ac:dyDescent="0.2">
      <c r="A105">
        <v>104</v>
      </c>
      <c r="B105" t="s">
        <v>307</v>
      </c>
      <c r="C105" t="s">
        <v>307</v>
      </c>
      <c r="D105" t="s">
        <v>1052</v>
      </c>
      <c r="E105">
        <v>28</v>
      </c>
      <c r="F105" t="s">
        <v>1298</v>
      </c>
      <c r="G105">
        <v>15</v>
      </c>
      <c r="H105">
        <v>4</v>
      </c>
      <c r="I105">
        <v>63</v>
      </c>
      <c r="J105">
        <v>40</v>
      </c>
      <c r="K105">
        <v>0.63500000000000001</v>
      </c>
      <c r="L105">
        <v>471</v>
      </c>
      <c r="M105">
        <v>11.8</v>
      </c>
      <c r="N105">
        <v>2</v>
      </c>
      <c r="O105">
        <v>24</v>
      </c>
      <c r="P105">
        <v>51</v>
      </c>
      <c r="Q105">
        <v>7.5</v>
      </c>
      <c r="R105">
        <v>2.7</v>
      </c>
      <c r="S105">
        <v>31.4</v>
      </c>
      <c r="T105">
        <v>1</v>
      </c>
    </row>
    <row r="106" spans="1:20" x14ac:dyDescent="0.2">
      <c r="A106">
        <v>105</v>
      </c>
      <c r="B106" t="s">
        <v>284</v>
      </c>
      <c r="C106" t="s">
        <v>284</v>
      </c>
      <c r="D106" t="s">
        <v>107</v>
      </c>
      <c r="E106">
        <v>23</v>
      </c>
      <c r="F106" t="s">
        <v>1298</v>
      </c>
      <c r="G106">
        <v>13</v>
      </c>
      <c r="H106">
        <v>8</v>
      </c>
      <c r="I106">
        <v>61</v>
      </c>
      <c r="J106">
        <v>40</v>
      </c>
      <c r="K106">
        <v>0.65600000000000003</v>
      </c>
      <c r="L106">
        <v>503</v>
      </c>
      <c r="M106">
        <v>12.6</v>
      </c>
      <c r="N106">
        <v>1</v>
      </c>
      <c r="O106">
        <v>22</v>
      </c>
      <c r="P106">
        <v>45</v>
      </c>
      <c r="Q106">
        <v>8.1999999999999993</v>
      </c>
      <c r="R106">
        <v>3.1</v>
      </c>
      <c r="S106">
        <v>38.700000000000003</v>
      </c>
      <c r="T106">
        <v>0</v>
      </c>
    </row>
    <row r="107" spans="1:20" x14ac:dyDescent="0.2">
      <c r="A107">
        <v>106</v>
      </c>
      <c r="B107" t="s">
        <v>625</v>
      </c>
      <c r="C107" t="s">
        <v>625</v>
      </c>
      <c r="D107" t="s">
        <v>74</v>
      </c>
      <c r="E107">
        <v>24</v>
      </c>
      <c r="F107" t="s">
        <v>88</v>
      </c>
      <c r="G107">
        <v>16</v>
      </c>
      <c r="H107">
        <v>13</v>
      </c>
      <c r="I107">
        <v>53</v>
      </c>
      <c r="J107">
        <v>40</v>
      </c>
      <c r="K107">
        <v>0.755</v>
      </c>
      <c r="L107">
        <v>349</v>
      </c>
      <c r="M107">
        <v>8.6999999999999993</v>
      </c>
      <c r="N107">
        <v>1</v>
      </c>
      <c r="O107">
        <v>16</v>
      </c>
      <c r="P107">
        <v>23</v>
      </c>
      <c r="Q107">
        <v>6.6</v>
      </c>
      <c r="R107">
        <v>2.5</v>
      </c>
      <c r="S107">
        <v>21.8</v>
      </c>
      <c r="T107">
        <v>1</v>
      </c>
    </row>
    <row r="108" spans="1:20" x14ac:dyDescent="0.2">
      <c r="A108">
        <v>107</v>
      </c>
      <c r="B108" t="s">
        <v>175</v>
      </c>
      <c r="C108" t="s">
        <v>175</v>
      </c>
      <c r="D108" t="s">
        <v>1257</v>
      </c>
      <c r="E108">
        <v>27</v>
      </c>
      <c r="F108" t="s">
        <v>1298</v>
      </c>
      <c r="G108">
        <v>7</v>
      </c>
      <c r="H108">
        <v>5</v>
      </c>
      <c r="I108">
        <v>55</v>
      </c>
      <c r="J108">
        <v>40</v>
      </c>
      <c r="K108">
        <v>0.72699999999999998</v>
      </c>
      <c r="L108">
        <v>438</v>
      </c>
      <c r="M108">
        <v>11</v>
      </c>
      <c r="N108">
        <v>0</v>
      </c>
      <c r="O108">
        <v>25</v>
      </c>
      <c r="P108">
        <v>24</v>
      </c>
      <c r="Q108">
        <v>8</v>
      </c>
      <c r="R108">
        <v>5.7</v>
      </c>
      <c r="S108">
        <v>62.6</v>
      </c>
      <c r="T108">
        <v>0</v>
      </c>
    </row>
    <row r="109" spans="1:20" x14ac:dyDescent="0.2">
      <c r="A109">
        <v>108</v>
      </c>
      <c r="B109" t="s">
        <v>368</v>
      </c>
      <c r="C109" t="s">
        <v>368</v>
      </c>
      <c r="D109" t="s">
        <v>77</v>
      </c>
      <c r="E109">
        <v>25</v>
      </c>
      <c r="F109" t="s">
        <v>1577</v>
      </c>
      <c r="G109">
        <v>16</v>
      </c>
      <c r="H109">
        <v>1</v>
      </c>
      <c r="I109">
        <v>53</v>
      </c>
      <c r="J109">
        <v>39</v>
      </c>
      <c r="K109">
        <v>0.73599999999999999</v>
      </c>
      <c r="L109">
        <v>387</v>
      </c>
      <c r="M109">
        <v>9.9</v>
      </c>
      <c r="N109">
        <v>1</v>
      </c>
      <c r="O109">
        <v>26</v>
      </c>
      <c r="P109">
        <v>45</v>
      </c>
      <c r="Q109">
        <v>7.3</v>
      </c>
      <c r="R109">
        <v>2.4</v>
      </c>
      <c r="S109">
        <v>24.2</v>
      </c>
      <c r="T109">
        <v>0</v>
      </c>
    </row>
    <row r="110" spans="1:20" x14ac:dyDescent="0.2">
      <c r="A110">
        <v>109</v>
      </c>
      <c r="B110" t="s">
        <v>277</v>
      </c>
      <c r="C110" t="s">
        <v>277</v>
      </c>
      <c r="D110" t="s">
        <v>122</v>
      </c>
      <c r="E110">
        <v>30</v>
      </c>
      <c r="F110" t="s">
        <v>1298</v>
      </c>
      <c r="G110">
        <v>10</v>
      </c>
      <c r="H110">
        <v>2</v>
      </c>
      <c r="I110">
        <v>48</v>
      </c>
      <c r="J110">
        <v>38</v>
      </c>
      <c r="K110">
        <v>0.79200000000000004</v>
      </c>
      <c r="L110">
        <v>441</v>
      </c>
      <c r="M110">
        <v>11.6</v>
      </c>
      <c r="N110">
        <v>3</v>
      </c>
      <c r="O110">
        <v>20</v>
      </c>
      <c r="P110">
        <v>34</v>
      </c>
      <c r="Q110">
        <v>9.1999999999999993</v>
      </c>
      <c r="R110">
        <v>3.8</v>
      </c>
      <c r="S110">
        <v>44.1</v>
      </c>
      <c r="T110">
        <v>0</v>
      </c>
    </row>
    <row r="111" spans="1:20" x14ac:dyDescent="0.2">
      <c r="A111">
        <v>110</v>
      </c>
      <c r="B111" t="s">
        <v>300</v>
      </c>
      <c r="C111" t="s">
        <v>300</v>
      </c>
      <c r="D111" t="s">
        <v>102</v>
      </c>
      <c r="E111">
        <v>25</v>
      </c>
      <c r="F111" t="s">
        <v>1298</v>
      </c>
      <c r="G111">
        <v>13</v>
      </c>
      <c r="H111">
        <v>8</v>
      </c>
      <c r="I111">
        <v>67</v>
      </c>
      <c r="J111">
        <v>38</v>
      </c>
      <c r="K111">
        <v>0.56699999999999995</v>
      </c>
      <c r="L111">
        <v>539</v>
      </c>
      <c r="M111">
        <v>14.2</v>
      </c>
      <c r="N111">
        <v>4</v>
      </c>
      <c r="O111">
        <v>26</v>
      </c>
      <c r="P111">
        <v>42</v>
      </c>
      <c r="Q111">
        <v>8</v>
      </c>
      <c r="R111">
        <v>2.9</v>
      </c>
      <c r="S111">
        <v>41.5</v>
      </c>
      <c r="T111">
        <v>0</v>
      </c>
    </row>
    <row r="112" spans="1:20" x14ac:dyDescent="0.2">
      <c r="A112">
        <v>111</v>
      </c>
      <c r="B112" t="s">
        <v>213</v>
      </c>
      <c r="C112" t="s">
        <v>213</v>
      </c>
      <c r="D112" t="s">
        <v>82</v>
      </c>
      <c r="E112">
        <v>25</v>
      </c>
      <c r="F112" t="s">
        <v>1392</v>
      </c>
      <c r="G112">
        <v>16</v>
      </c>
      <c r="H112">
        <v>5</v>
      </c>
      <c r="I112">
        <v>51</v>
      </c>
      <c r="J112">
        <v>38</v>
      </c>
      <c r="K112">
        <v>0.745</v>
      </c>
      <c r="L112">
        <v>304</v>
      </c>
      <c r="M112">
        <v>8</v>
      </c>
      <c r="N112">
        <v>5</v>
      </c>
      <c r="O112">
        <v>19</v>
      </c>
      <c r="P112">
        <v>26</v>
      </c>
      <c r="Q112">
        <v>6</v>
      </c>
      <c r="R112">
        <v>2.4</v>
      </c>
      <c r="S112">
        <v>19</v>
      </c>
      <c r="T112">
        <v>2</v>
      </c>
    </row>
    <row r="113" spans="1:20" x14ac:dyDescent="0.2">
      <c r="A113">
        <v>112</v>
      </c>
      <c r="B113" t="s">
        <v>280</v>
      </c>
      <c r="C113" t="s">
        <v>280</v>
      </c>
      <c r="D113" t="s">
        <v>98</v>
      </c>
      <c r="E113">
        <v>23</v>
      </c>
      <c r="F113" t="s">
        <v>68</v>
      </c>
      <c r="G113">
        <v>16</v>
      </c>
      <c r="H113">
        <v>16</v>
      </c>
      <c r="I113">
        <v>50</v>
      </c>
      <c r="J113">
        <v>38</v>
      </c>
      <c r="K113">
        <v>0.76</v>
      </c>
      <c r="L113">
        <v>269</v>
      </c>
      <c r="M113">
        <v>7.1</v>
      </c>
      <c r="N113">
        <v>0</v>
      </c>
      <c r="O113">
        <v>8</v>
      </c>
      <c r="P113">
        <v>34</v>
      </c>
      <c r="Q113">
        <v>5.4</v>
      </c>
      <c r="R113">
        <v>2.4</v>
      </c>
      <c r="S113">
        <v>16.8</v>
      </c>
      <c r="T113">
        <v>1</v>
      </c>
    </row>
    <row r="114" spans="1:20" x14ac:dyDescent="0.2">
      <c r="A114">
        <v>113</v>
      </c>
      <c r="B114" t="s">
        <v>364</v>
      </c>
      <c r="C114" t="s">
        <v>364</v>
      </c>
      <c r="D114" t="s">
        <v>122</v>
      </c>
      <c r="E114">
        <v>28</v>
      </c>
      <c r="F114" t="s">
        <v>1577</v>
      </c>
      <c r="G114">
        <v>13</v>
      </c>
      <c r="H114">
        <v>5</v>
      </c>
      <c r="I114">
        <v>49</v>
      </c>
      <c r="J114">
        <v>37</v>
      </c>
      <c r="K114">
        <v>0.755</v>
      </c>
      <c r="L114">
        <v>403</v>
      </c>
      <c r="M114">
        <v>10.9</v>
      </c>
      <c r="N114">
        <v>1</v>
      </c>
      <c r="O114">
        <v>20</v>
      </c>
      <c r="P114">
        <v>26</v>
      </c>
      <c r="Q114">
        <v>8.1999999999999993</v>
      </c>
      <c r="R114">
        <v>2.8</v>
      </c>
      <c r="S114">
        <v>31</v>
      </c>
      <c r="T114">
        <v>0</v>
      </c>
    </row>
    <row r="115" spans="1:20" x14ac:dyDescent="0.2">
      <c r="A115">
        <v>114</v>
      </c>
      <c r="B115" t="s">
        <v>418</v>
      </c>
      <c r="C115" t="s">
        <v>418</v>
      </c>
      <c r="D115" t="s">
        <v>71</v>
      </c>
      <c r="E115">
        <v>25</v>
      </c>
      <c r="F115" t="s">
        <v>1298</v>
      </c>
      <c r="G115">
        <v>16</v>
      </c>
      <c r="H115">
        <v>2</v>
      </c>
      <c r="I115">
        <v>55</v>
      </c>
      <c r="J115">
        <v>37</v>
      </c>
      <c r="K115">
        <v>0.67300000000000004</v>
      </c>
      <c r="L115">
        <v>394</v>
      </c>
      <c r="M115">
        <v>10.6</v>
      </c>
      <c r="N115">
        <v>3</v>
      </c>
      <c r="O115">
        <v>19</v>
      </c>
      <c r="P115">
        <v>43</v>
      </c>
      <c r="Q115">
        <v>7.2</v>
      </c>
      <c r="R115">
        <v>2.2999999999999998</v>
      </c>
      <c r="S115">
        <v>24.6</v>
      </c>
      <c r="T115">
        <v>0</v>
      </c>
    </row>
    <row r="116" spans="1:20" x14ac:dyDescent="0.2">
      <c r="A116">
        <v>115</v>
      </c>
      <c r="B116" t="s">
        <v>158</v>
      </c>
      <c r="C116" t="s">
        <v>158</v>
      </c>
      <c r="D116" t="s">
        <v>108</v>
      </c>
      <c r="E116">
        <v>26</v>
      </c>
      <c r="F116" t="s">
        <v>68</v>
      </c>
      <c r="G116">
        <v>12</v>
      </c>
      <c r="H116">
        <v>12</v>
      </c>
      <c r="I116">
        <v>46</v>
      </c>
      <c r="J116">
        <v>37</v>
      </c>
      <c r="K116">
        <v>0.80400000000000005</v>
      </c>
      <c r="L116">
        <v>287</v>
      </c>
      <c r="M116">
        <v>7.8</v>
      </c>
      <c r="N116">
        <v>4</v>
      </c>
      <c r="O116">
        <v>14</v>
      </c>
      <c r="P116">
        <v>29</v>
      </c>
      <c r="Q116">
        <v>6.2</v>
      </c>
      <c r="R116">
        <v>3.1</v>
      </c>
      <c r="S116">
        <v>23.9</v>
      </c>
      <c r="T116">
        <v>1</v>
      </c>
    </row>
    <row r="117" spans="1:20" x14ac:dyDescent="0.2">
      <c r="A117">
        <v>116</v>
      </c>
      <c r="B117" t="s">
        <v>297</v>
      </c>
      <c r="C117" t="s">
        <v>297</v>
      </c>
      <c r="D117" t="s">
        <v>1257</v>
      </c>
      <c r="E117">
        <v>33</v>
      </c>
      <c r="F117" t="s">
        <v>1577</v>
      </c>
      <c r="G117">
        <v>15</v>
      </c>
      <c r="H117">
        <v>5</v>
      </c>
      <c r="I117">
        <v>60</v>
      </c>
      <c r="J117">
        <v>37</v>
      </c>
      <c r="K117">
        <v>0.61699999999999999</v>
      </c>
      <c r="L117">
        <v>504</v>
      </c>
      <c r="M117">
        <v>13.6</v>
      </c>
      <c r="N117">
        <v>7</v>
      </c>
      <c r="O117">
        <v>27</v>
      </c>
      <c r="P117">
        <v>46</v>
      </c>
      <c r="Q117">
        <v>8.4</v>
      </c>
      <c r="R117">
        <v>2.5</v>
      </c>
      <c r="S117">
        <v>33.6</v>
      </c>
      <c r="T117">
        <v>1</v>
      </c>
    </row>
    <row r="118" spans="1:20" x14ac:dyDescent="0.2">
      <c r="A118">
        <v>117</v>
      </c>
      <c r="B118" t="s">
        <v>312</v>
      </c>
      <c r="C118" t="s">
        <v>312</v>
      </c>
      <c r="D118" t="s">
        <v>82</v>
      </c>
      <c r="E118">
        <v>26</v>
      </c>
      <c r="F118" t="s">
        <v>1298</v>
      </c>
      <c r="G118">
        <v>13</v>
      </c>
      <c r="H118">
        <v>6</v>
      </c>
      <c r="I118">
        <v>52</v>
      </c>
      <c r="J118">
        <v>37</v>
      </c>
      <c r="K118">
        <v>0.71199999999999997</v>
      </c>
      <c r="L118">
        <v>599</v>
      </c>
      <c r="M118">
        <v>16.2</v>
      </c>
      <c r="N118">
        <v>4</v>
      </c>
      <c r="O118">
        <v>26</v>
      </c>
      <c r="P118">
        <v>43</v>
      </c>
      <c r="Q118">
        <v>11.5</v>
      </c>
      <c r="R118">
        <v>2.8</v>
      </c>
      <c r="S118">
        <v>46.1</v>
      </c>
      <c r="T118">
        <v>3</v>
      </c>
    </row>
    <row r="119" spans="1:20" x14ac:dyDescent="0.2">
      <c r="A119">
        <v>118</v>
      </c>
      <c r="B119" t="s">
        <v>869</v>
      </c>
      <c r="C119" t="s">
        <v>869</v>
      </c>
      <c r="D119" t="s">
        <v>1040</v>
      </c>
      <c r="E119">
        <v>27</v>
      </c>
      <c r="F119" t="s">
        <v>1298</v>
      </c>
      <c r="G119">
        <v>10</v>
      </c>
      <c r="H119">
        <v>9</v>
      </c>
      <c r="I119">
        <v>55</v>
      </c>
      <c r="J119">
        <v>37</v>
      </c>
      <c r="K119">
        <v>0.67300000000000004</v>
      </c>
      <c r="L119">
        <v>421</v>
      </c>
      <c r="M119">
        <v>11.4</v>
      </c>
      <c r="N119">
        <v>2</v>
      </c>
      <c r="O119">
        <v>27</v>
      </c>
      <c r="P119">
        <v>37</v>
      </c>
      <c r="Q119">
        <v>7.7</v>
      </c>
      <c r="R119">
        <v>3.7</v>
      </c>
      <c r="S119">
        <v>42.1</v>
      </c>
      <c r="T119">
        <v>1</v>
      </c>
    </row>
    <row r="120" spans="1:20" x14ac:dyDescent="0.2">
      <c r="A120">
        <v>119</v>
      </c>
      <c r="B120" t="s">
        <v>151</v>
      </c>
      <c r="C120" t="s">
        <v>151</v>
      </c>
      <c r="D120" t="s">
        <v>1040</v>
      </c>
      <c r="E120">
        <v>21</v>
      </c>
      <c r="F120" t="s">
        <v>68</v>
      </c>
      <c r="G120">
        <v>13</v>
      </c>
      <c r="H120">
        <v>13</v>
      </c>
      <c r="I120">
        <v>54</v>
      </c>
      <c r="J120">
        <v>36</v>
      </c>
      <c r="K120">
        <v>0.66700000000000004</v>
      </c>
      <c r="L120">
        <v>297</v>
      </c>
      <c r="M120">
        <v>8.3000000000000007</v>
      </c>
      <c r="N120">
        <v>1</v>
      </c>
      <c r="O120">
        <v>12</v>
      </c>
      <c r="P120">
        <v>26</v>
      </c>
      <c r="Q120">
        <v>5.5</v>
      </c>
      <c r="R120">
        <v>2.8</v>
      </c>
      <c r="S120">
        <v>22.8</v>
      </c>
      <c r="T120">
        <v>0</v>
      </c>
    </row>
    <row r="121" spans="1:20" x14ac:dyDescent="0.2">
      <c r="A121">
        <v>120</v>
      </c>
      <c r="B121" t="s">
        <v>2115</v>
      </c>
      <c r="C121" t="s">
        <v>2115</v>
      </c>
      <c r="D121" t="s">
        <v>1052</v>
      </c>
      <c r="E121">
        <v>30</v>
      </c>
      <c r="F121" t="s">
        <v>1577</v>
      </c>
      <c r="G121">
        <v>15</v>
      </c>
      <c r="H121">
        <v>4</v>
      </c>
      <c r="I121">
        <v>60</v>
      </c>
      <c r="J121">
        <v>36</v>
      </c>
      <c r="K121">
        <v>0.6</v>
      </c>
      <c r="L121">
        <v>349</v>
      </c>
      <c r="M121">
        <v>9.6999999999999993</v>
      </c>
      <c r="N121">
        <v>2</v>
      </c>
      <c r="O121">
        <v>22</v>
      </c>
      <c r="P121">
        <v>28</v>
      </c>
      <c r="Q121">
        <v>5.8</v>
      </c>
      <c r="R121">
        <v>2.4</v>
      </c>
      <c r="S121">
        <v>23.3</v>
      </c>
      <c r="T121">
        <v>0</v>
      </c>
    </row>
    <row r="122" spans="1:20" x14ac:dyDescent="0.2">
      <c r="A122">
        <v>121</v>
      </c>
      <c r="B122" t="s">
        <v>320</v>
      </c>
      <c r="C122" t="s">
        <v>320</v>
      </c>
      <c r="D122" t="s">
        <v>102</v>
      </c>
      <c r="E122">
        <v>30</v>
      </c>
      <c r="F122" t="s">
        <v>88</v>
      </c>
      <c r="G122">
        <v>11</v>
      </c>
      <c r="H122">
        <v>11</v>
      </c>
      <c r="I122">
        <v>72</v>
      </c>
      <c r="J122">
        <v>36</v>
      </c>
      <c r="K122">
        <v>0.5</v>
      </c>
      <c r="L122">
        <v>335</v>
      </c>
      <c r="M122">
        <v>9.3000000000000007</v>
      </c>
      <c r="N122">
        <v>1</v>
      </c>
      <c r="O122">
        <v>16</v>
      </c>
      <c r="P122">
        <v>42</v>
      </c>
      <c r="Q122">
        <v>4.7</v>
      </c>
      <c r="R122">
        <v>3.3</v>
      </c>
      <c r="S122">
        <v>30.5</v>
      </c>
      <c r="T122">
        <v>0</v>
      </c>
    </row>
    <row r="123" spans="1:20" x14ac:dyDescent="0.2">
      <c r="A123">
        <v>122</v>
      </c>
      <c r="B123" t="s">
        <v>1477</v>
      </c>
      <c r="C123" t="s">
        <v>1477</v>
      </c>
      <c r="D123" t="s">
        <v>976</v>
      </c>
      <c r="E123">
        <v>25</v>
      </c>
      <c r="F123" t="s">
        <v>1392</v>
      </c>
      <c r="G123">
        <v>13</v>
      </c>
      <c r="H123">
        <v>3</v>
      </c>
      <c r="I123">
        <v>47</v>
      </c>
      <c r="J123">
        <v>36</v>
      </c>
      <c r="K123">
        <v>0.76600000000000001</v>
      </c>
      <c r="L123">
        <v>233</v>
      </c>
      <c r="M123">
        <v>6.5</v>
      </c>
      <c r="N123">
        <v>0</v>
      </c>
      <c r="O123">
        <v>9</v>
      </c>
      <c r="P123">
        <v>20</v>
      </c>
      <c r="Q123">
        <v>5</v>
      </c>
      <c r="R123">
        <v>2.8</v>
      </c>
      <c r="S123">
        <v>17.899999999999999</v>
      </c>
      <c r="T123">
        <v>0</v>
      </c>
    </row>
    <row r="124" spans="1:20" x14ac:dyDescent="0.2">
      <c r="A124">
        <v>123</v>
      </c>
      <c r="B124" t="s">
        <v>136</v>
      </c>
      <c r="C124" t="s">
        <v>136</v>
      </c>
      <c r="D124" t="s">
        <v>119</v>
      </c>
      <c r="E124">
        <v>22</v>
      </c>
      <c r="F124" t="s">
        <v>1392</v>
      </c>
      <c r="G124">
        <v>14</v>
      </c>
      <c r="H124">
        <v>10</v>
      </c>
      <c r="I124">
        <v>44</v>
      </c>
      <c r="J124">
        <v>36</v>
      </c>
      <c r="K124">
        <v>0.81799999999999995</v>
      </c>
      <c r="L124">
        <v>247</v>
      </c>
      <c r="M124">
        <v>6.9</v>
      </c>
      <c r="N124">
        <v>0</v>
      </c>
      <c r="O124">
        <v>9</v>
      </c>
      <c r="P124">
        <v>40</v>
      </c>
      <c r="Q124">
        <v>5.6</v>
      </c>
      <c r="R124">
        <v>2.6</v>
      </c>
      <c r="S124">
        <v>17.600000000000001</v>
      </c>
      <c r="T124">
        <v>2</v>
      </c>
    </row>
    <row r="125" spans="1:20" x14ac:dyDescent="0.2">
      <c r="A125">
        <v>124</v>
      </c>
      <c r="B125" t="s">
        <v>609</v>
      </c>
      <c r="C125" t="s">
        <v>609</v>
      </c>
      <c r="D125" t="s">
        <v>142</v>
      </c>
      <c r="E125">
        <v>28</v>
      </c>
      <c r="F125" t="s">
        <v>1298</v>
      </c>
      <c r="G125">
        <v>14</v>
      </c>
      <c r="H125">
        <v>4</v>
      </c>
      <c r="I125">
        <v>54</v>
      </c>
      <c r="J125">
        <v>36</v>
      </c>
      <c r="K125">
        <v>0.66700000000000004</v>
      </c>
      <c r="L125">
        <v>373</v>
      </c>
      <c r="M125">
        <v>10.4</v>
      </c>
      <c r="N125">
        <v>1</v>
      </c>
      <c r="O125">
        <v>22</v>
      </c>
      <c r="P125">
        <v>30</v>
      </c>
      <c r="Q125">
        <v>6.9</v>
      </c>
      <c r="R125">
        <v>2.6</v>
      </c>
      <c r="S125">
        <v>26.6</v>
      </c>
      <c r="T125">
        <v>2</v>
      </c>
    </row>
    <row r="126" spans="1:20" x14ac:dyDescent="0.2">
      <c r="A126">
        <v>125</v>
      </c>
      <c r="B126" t="s">
        <v>106</v>
      </c>
      <c r="C126" t="s">
        <v>106</v>
      </c>
      <c r="D126" t="s">
        <v>107</v>
      </c>
      <c r="E126">
        <v>21</v>
      </c>
      <c r="F126" t="s">
        <v>68</v>
      </c>
      <c r="G126">
        <v>15</v>
      </c>
      <c r="H126">
        <v>13</v>
      </c>
      <c r="I126">
        <v>39</v>
      </c>
      <c r="J126">
        <v>36</v>
      </c>
      <c r="K126">
        <v>0.92300000000000004</v>
      </c>
      <c r="L126">
        <v>299</v>
      </c>
      <c r="M126">
        <v>8.3000000000000007</v>
      </c>
      <c r="N126">
        <v>1</v>
      </c>
      <c r="O126">
        <v>12</v>
      </c>
      <c r="P126">
        <v>39</v>
      </c>
      <c r="Q126">
        <v>7.7</v>
      </c>
      <c r="R126">
        <v>2.4</v>
      </c>
      <c r="S126">
        <v>19.899999999999999</v>
      </c>
      <c r="T126">
        <v>1</v>
      </c>
    </row>
    <row r="127" spans="1:20" x14ac:dyDescent="0.2">
      <c r="A127">
        <v>126</v>
      </c>
      <c r="B127" t="s">
        <v>264</v>
      </c>
      <c r="C127" t="s">
        <v>264</v>
      </c>
      <c r="D127" t="s">
        <v>99</v>
      </c>
      <c r="E127">
        <v>25</v>
      </c>
      <c r="F127" t="s">
        <v>68</v>
      </c>
      <c r="G127">
        <v>13</v>
      </c>
      <c r="H127">
        <v>11</v>
      </c>
      <c r="I127">
        <v>43</v>
      </c>
      <c r="J127">
        <v>35</v>
      </c>
      <c r="K127">
        <v>0.81399999999999995</v>
      </c>
      <c r="L127">
        <v>215</v>
      </c>
      <c r="M127">
        <v>6.1</v>
      </c>
      <c r="N127">
        <v>0</v>
      </c>
      <c r="O127">
        <v>10</v>
      </c>
      <c r="P127">
        <v>18</v>
      </c>
      <c r="Q127">
        <v>5</v>
      </c>
      <c r="R127">
        <v>2.7</v>
      </c>
      <c r="S127">
        <v>16.5</v>
      </c>
      <c r="T127">
        <v>2</v>
      </c>
    </row>
    <row r="128" spans="1:20" x14ac:dyDescent="0.2">
      <c r="A128">
        <v>127</v>
      </c>
      <c r="B128" t="s">
        <v>331</v>
      </c>
      <c r="C128" t="s">
        <v>331</v>
      </c>
      <c r="D128" t="s">
        <v>98</v>
      </c>
      <c r="E128">
        <v>21</v>
      </c>
      <c r="F128" t="s">
        <v>83</v>
      </c>
      <c r="G128">
        <v>16</v>
      </c>
      <c r="H128">
        <v>11</v>
      </c>
      <c r="I128">
        <v>62</v>
      </c>
      <c r="J128">
        <v>35</v>
      </c>
      <c r="K128">
        <v>0.56499999999999995</v>
      </c>
      <c r="L128">
        <v>599</v>
      </c>
      <c r="M128">
        <v>17.100000000000001</v>
      </c>
      <c r="N128">
        <v>7</v>
      </c>
      <c r="O128">
        <v>27</v>
      </c>
      <c r="P128">
        <v>56</v>
      </c>
      <c r="Q128">
        <v>9.6999999999999993</v>
      </c>
      <c r="R128">
        <v>2.2000000000000002</v>
      </c>
      <c r="S128">
        <v>37.4</v>
      </c>
      <c r="T128">
        <v>1</v>
      </c>
    </row>
    <row r="129" spans="1:20" x14ac:dyDescent="0.2">
      <c r="A129">
        <v>128</v>
      </c>
      <c r="B129" t="s">
        <v>1872</v>
      </c>
      <c r="C129" t="s">
        <v>1872</v>
      </c>
      <c r="D129" t="s">
        <v>108</v>
      </c>
      <c r="E129">
        <v>25</v>
      </c>
      <c r="F129" t="s">
        <v>1298</v>
      </c>
      <c r="G129">
        <v>16</v>
      </c>
      <c r="H129">
        <v>6</v>
      </c>
      <c r="I129">
        <v>47</v>
      </c>
      <c r="J129">
        <v>35</v>
      </c>
      <c r="K129">
        <v>0.745</v>
      </c>
      <c r="L129">
        <v>417</v>
      </c>
      <c r="M129">
        <v>11.9</v>
      </c>
      <c r="N129">
        <v>6</v>
      </c>
      <c r="O129">
        <v>18</v>
      </c>
      <c r="P129">
        <v>57</v>
      </c>
      <c r="Q129">
        <v>8.9</v>
      </c>
      <c r="R129">
        <v>2.2000000000000002</v>
      </c>
      <c r="S129">
        <v>26.1</v>
      </c>
      <c r="T129">
        <v>1</v>
      </c>
    </row>
    <row r="130" spans="1:20" x14ac:dyDescent="0.2">
      <c r="A130">
        <v>129</v>
      </c>
      <c r="B130" t="s">
        <v>1395</v>
      </c>
      <c r="C130" t="s">
        <v>1395</v>
      </c>
      <c r="D130" t="s">
        <v>92</v>
      </c>
      <c r="E130">
        <v>32</v>
      </c>
      <c r="G130">
        <v>12</v>
      </c>
      <c r="H130">
        <v>4</v>
      </c>
      <c r="I130">
        <v>52</v>
      </c>
      <c r="J130">
        <v>35</v>
      </c>
      <c r="K130">
        <v>0.67300000000000004</v>
      </c>
      <c r="L130">
        <v>388</v>
      </c>
      <c r="M130">
        <v>11.1</v>
      </c>
      <c r="N130">
        <v>2</v>
      </c>
      <c r="O130">
        <v>17</v>
      </c>
      <c r="P130">
        <v>39</v>
      </c>
      <c r="Q130">
        <v>7.5</v>
      </c>
      <c r="R130">
        <v>2.9</v>
      </c>
      <c r="S130">
        <v>32.299999999999997</v>
      </c>
      <c r="T130">
        <v>0</v>
      </c>
    </row>
    <row r="131" spans="1:20" x14ac:dyDescent="0.2">
      <c r="A131">
        <v>130</v>
      </c>
      <c r="B131" t="s">
        <v>266</v>
      </c>
      <c r="C131" t="s">
        <v>266</v>
      </c>
      <c r="D131" t="s">
        <v>1257</v>
      </c>
      <c r="E131">
        <v>24</v>
      </c>
      <c r="F131" t="s">
        <v>1298</v>
      </c>
      <c r="G131">
        <v>14</v>
      </c>
      <c r="H131">
        <v>10</v>
      </c>
      <c r="I131">
        <v>50</v>
      </c>
      <c r="J131">
        <v>34</v>
      </c>
      <c r="K131">
        <v>0.68</v>
      </c>
      <c r="L131">
        <v>448</v>
      </c>
      <c r="M131">
        <v>13.2</v>
      </c>
      <c r="N131">
        <v>4</v>
      </c>
      <c r="O131">
        <v>22</v>
      </c>
      <c r="P131">
        <v>31</v>
      </c>
      <c r="Q131">
        <v>9</v>
      </c>
      <c r="R131">
        <v>2.4</v>
      </c>
      <c r="S131">
        <v>32</v>
      </c>
      <c r="T131">
        <v>1</v>
      </c>
    </row>
    <row r="132" spans="1:20" x14ac:dyDescent="0.2">
      <c r="A132">
        <v>131</v>
      </c>
      <c r="B132" t="s">
        <v>2116</v>
      </c>
      <c r="C132" t="s">
        <v>2116</v>
      </c>
      <c r="D132" t="s">
        <v>98</v>
      </c>
      <c r="E132">
        <v>30</v>
      </c>
      <c r="F132" t="s">
        <v>1298</v>
      </c>
      <c r="G132">
        <v>9</v>
      </c>
      <c r="H132">
        <v>8</v>
      </c>
      <c r="I132">
        <v>52</v>
      </c>
      <c r="J132">
        <v>33</v>
      </c>
      <c r="K132">
        <v>0.63500000000000001</v>
      </c>
      <c r="L132">
        <v>458</v>
      </c>
      <c r="M132">
        <v>13.9</v>
      </c>
      <c r="N132">
        <v>3</v>
      </c>
      <c r="O132">
        <v>22</v>
      </c>
      <c r="P132">
        <v>46</v>
      </c>
      <c r="Q132">
        <v>8.8000000000000007</v>
      </c>
      <c r="R132">
        <v>3.7</v>
      </c>
      <c r="S132">
        <v>50.9</v>
      </c>
      <c r="T132">
        <v>0</v>
      </c>
    </row>
    <row r="133" spans="1:20" x14ac:dyDescent="0.2">
      <c r="A133">
        <v>132</v>
      </c>
      <c r="B133" t="s">
        <v>313</v>
      </c>
      <c r="C133" t="s">
        <v>313</v>
      </c>
      <c r="D133" t="s">
        <v>122</v>
      </c>
      <c r="E133">
        <v>23</v>
      </c>
      <c r="F133" t="s">
        <v>1298</v>
      </c>
      <c r="G133">
        <v>8</v>
      </c>
      <c r="H133">
        <v>4</v>
      </c>
      <c r="I133">
        <v>40</v>
      </c>
      <c r="J133">
        <v>33</v>
      </c>
      <c r="K133">
        <v>0.82499999999999996</v>
      </c>
      <c r="L133">
        <v>400</v>
      </c>
      <c r="M133">
        <v>12.1</v>
      </c>
      <c r="N133">
        <v>3</v>
      </c>
      <c r="O133">
        <v>19</v>
      </c>
      <c r="P133">
        <v>64</v>
      </c>
      <c r="Q133">
        <v>10</v>
      </c>
      <c r="R133">
        <v>4.0999999999999996</v>
      </c>
      <c r="S133">
        <v>50</v>
      </c>
      <c r="T133">
        <v>4</v>
      </c>
    </row>
    <row r="134" spans="1:20" x14ac:dyDescent="0.2">
      <c r="A134">
        <v>133</v>
      </c>
      <c r="B134" t="s">
        <v>325</v>
      </c>
      <c r="C134" t="s">
        <v>325</v>
      </c>
      <c r="D134" t="s">
        <v>1122</v>
      </c>
      <c r="E134">
        <v>23</v>
      </c>
      <c r="F134" t="s">
        <v>1298</v>
      </c>
      <c r="G134">
        <v>14</v>
      </c>
      <c r="H134">
        <v>9</v>
      </c>
      <c r="I134">
        <v>57</v>
      </c>
      <c r="J134">
        <v>33</v>
      </c>
      <c r="K134">
        <v>0.57899999999999996</v>
      </c>
      <c r="L134">
        <v>309</v>
      </c>
      <c r="M134">
        <v>9.4</v>
      </c>
      <c r="N134">
        <v>2</v>
      </c>
      <c r="O134">
        <v>15</v>
      </c>
      <c r="P134">
        <v>30</v>
      </c>
      <c r="Q134">
        <v>5.4</v>
      </c>
      <c r="R134">
        <v>2.4</v>
      </c>
      <c r="S134">
        <v>22.1</v>
      </c>
      <c r="T134">
        <v>1</v>
      </c>
    </row>
    <row r="135" spans="1:20" x14ac:dyDescent="0.2">
      <c r="A135">
        <v>134</v>
      </c>
      <c r="B135" t="s">
        <v>1591</v>
      </c>
      <c r="C135" t="s">
        <v>1471</v>
      </c>
      <c r="D135" t="s">
        <v>933</v>
      </c>
      <c r="E135">
        <v>22</v>
      </c>
      <c r="F135" t="s">
        <v>68</v>
      </c>
      <c r="G135">
        <v>15</v>
      </c>
      <c r="H135">
        <v>15</v>
      </c>
      <c r="I135">
        <v>45</v>
      </c>
      <c r="J135">
        <v>33</v>
      </c>
      <c r="K135">
        <v>0.73299999999999998</v>
      </c>
      <c r="L135">
        <v>238</v>
      </c>
      <c r="M135">
        <v>7.2</v>
      </c>
      <c r="N135">
        <v>0</v>
      </c>
      <c r="O135">
        <v>9</v>
      </c>
      <c r="P135">
        <v>29</v>
      </c>
      <c r="Q135">
        <v>5.3</v>
      </c>
      <c r="R135">
        <v>2.2000000000000002</v>
      </c>
      <c r="S135">
        <v>15.9</v>
      </c>
      <c r="T135">
        <v>2</v>
      </c>
    </row>
    <row r="136" spans="1:20" x14ac:dyDescent="0.2">
      <c r="A136">
        <v>135</v>
      </c>
      <c r="B136" t="s">
        <v>249</v>
      </c>
      <c r="C136" t="s">
        <v>249</v>
      </c>
      <c r="D136" t="s">
        <v>122</v>
      </c>
      <c r="E136">
        <v>29</v>
      </c>
      <c r="F136" t="s">
        <v>68</v>
      </c>
      <c r="G136">
        <v>12</v>
      </c>
      <c r="H136">
        <v>12</v>
      </c>
      <c r="I136">
        <v>46</v>
      </c>
      <c r="J136">
        <v>33</v>
      </c>
      <c r="K136">
        <v>0.71699999999999997</v>
      </c>
      <c r="L136">
        <v>314</v>
      </c>
      <c r="M136">
        <v>9.5</v>
      </c>
      <c r="N136">
        <v>2</v>
      </c>
      <c r="O136">
        <v>16</v>
      </c>
      <c r="P136">
        <v>32</v>
      </c>
      <c r="Q136">
        <v>6.8</v>
      </c>
      <c r="R136">
        <v>2.8</v>
      </c>
      <c r="S136">
        <v>26.2</v>
      </c>
      <c r="T136">
        <v>2</v>
      </c>
    </row>
    <row r="137" spans="1:20" x14ac:dyDescent="0.2">
      <c r="A137">
        <v>136</v>
      </c>
      <c r="B137" t="s">
        <v>255</v>
      </c>
      <c r="C137" t="s">
        <v>255</v>
      </c>
      <c r="D137" t="s">
        <v>1267</v>
      </c>
      <c r="E137">
        <v>25</v>
      </c>
      <c r="F137" t="s">
        <v>1298</v>
      </c>
      <c r="G137">
        <v>10</v>
      </c>
      <c r="H137">
        <v>9</v>
      </c>
      <c r="I137">
        <v>46</v>
      </c>
      <c r="J137">
        <v>33</v>
      </c>
      <c r="K137">
        <v>0.71699999999999997</v>
      </c>
      <c r="L137">
        <v>451</v>
      </c>
      <c r="M137">
        <v>13.7</v>
      </c>
      <c r="N137">
        <v>3</v>
      </c>
      <c r="O137">
        <v>23</v>
      </c>
      <c r="P137">
        <v>72</v>
      </c>
      <c r="Q137">
        <v>9.8000000000000007</v>
      </c>
      <c r="R137">
        <v>3.3</v>
      </c>
      <c r="S137">
        <v>45.1</v>
      </c>
      <c r="T137">
        <v>0</v>
      </c>
    </row>
    <row r="138" spans="1:20" x14ac:dyDescent="0.2">
      <c r="A138">
        <v>137</v>
      </c>
      <c r="B138" t="s">
        <v>378</v>
      </c>
      <c r="C138" t="s">
        <v>378</v>
      </c>
      <c r="D138" t="s">
        <v>1087</v>
      </c>
      <c r="E138">
        <v>28</v>
      </c>
      <c r="F138" t="s">
        <v>1392</v>
      </c>
      <c r="G138">
        <v>16</v>
      </c>
      <c r="H138">
        <v>4</v>
      </c>
      <c r="I138">
        <v>46</v>
      </c>
      <c r="J138">
        <v>33</v>
      </c>
      <c r="K138">
        <v>0.71699999999999997</v>
      </c>
      <c r="L138">
        <v>253</v>
      </c>
      <c r="M138">
        <v>7.7</v>
      </c>
      <c r="N138">
        <v>1</v>
      </c>
      <c r="O138">
        <v>12</v>
      </c>
      <c r="P138">
        <v>26</v>
      </c>
      <c r="Q138">
        <v>5.5</v>
      </c>
      <c r="R138">
        <v>2.1</v>
      </c>
      <c r="S138">
        <v>15.8</v>
      </c>
      <c r="T138">
        <v>0</v>
      </c>
    </row>
    <row r="139" spans="1:20" x14ac:dyDescent="0.2">
      <c r="A139">
        <v>138</v>
      </c>
      <c r="B139" t="s">
        <v>898</v>
      </c>
      <c r="C139" t="s">
        <v>898</v>
      </c>
      <c r="D139" t="s">
        <v>976</v>
      </c>
      <c r="E139">
        <v>23</v>
      </c>
      <c r="F139" t="s">
        <v>1298</v>
      </c>
      <c r="G139">
        <v>16</v>
      </c>
      <c r="H139">
        <v>5</v>
      </c>
      <c r="I139">
        <v>53</v>
      </c>
      <c r="J139">
        <v>33</v>
      </c>
      <c r="K139">
        <v>0.623</v>
      </c>
      <c r="L139">
        <v>501</v>
      </c>
      <c r="M139">
        <v>15.2</v>
      </c>
      <c r="N139">
        <v>3</v>
      </c>
      <c r="O139">
        <v>20</v>
      </c>
      <c r="P139">
        <v>48</v>
      </c>
      <c r="Q139">
        <v>9.5</v>
      </c>
      <c r="R139">
        <v>2.1</v>
      </c>
      <c r="S139">
        <v>31.3</v>
      </c>
      <c r="T139">
        <v>0</v>
      </c>
    </row>
    <row r="140" spans="1:20" x14ac:dyDescent="0.2">
      <c r="A140">
        <v>139</v>
      </c>
      <c r="B140" t="s">
        <v>185</v>
      </c>
      <c r="C140" t="s">
        <v>185</v>
      </c>
      <c r="D140" t="s">
        <v>1087</v>
      </c>
      <c r="E140">
        <v>24</v>
      </c>
      <c r="F140" t="s">
        <v>1298</v>
      </c>
      <c r="G140">
        <v>7</v>
      </c>
      <c r="H140">
        <v>5</v>
      </c>
      <c r="I140">
        <v>44</v>
      </c>
      <c r="J140">
        <v>33</v>
      </c>
      <c r="K140">
        <v>0.75</v>
      </c>
      <c r="L140">
        <v>391</v>
      </c>
      <c r="M140">
        <v>11.8</v>
      </c>
      <c r="N140">
        <v>1</v>
      </c>
      <c r="O140">
        <v>19</v>
      </c>
      <c r="P140">
        <v>35</v>
      </c>
      <c r="Q140">
        <v>8.9</v>
      </c>
      <c r="R140">
        <v>4.7</v>
      </c>
      <c r="S140">
        <v>55.9</v>
      </c>
      <c r="T140">
        <v>0</v>
      </c>
    </row>
    <row r="141" spans="1:20" x14ac:dyDescent="0.2">
      <c r="A141">
        <v>140</v>
      </c>
      <c r="B141" t="s">
        <v>893</v>
      </c>
      <c r="C141" t="s">
        <v>893</v>
      </c>
      <c r="D141" t="s">
        <v>725</v>
      </c>
      <c r="E141">
        <v>28</v>
      </c>
      <c r="F141" t="s">
        <v>1298</v>
      </c>
      <c r="G141">
        <v>13</v>
      </c>
      <c r="H141">
        <v>8</v>
      </c>
      <c r="I141">
        <v>48</v>
      </c>
      <c r="J141">
        <v>33</v>
      </c>
      <c r="K141">
        <v>0.68799999999999994</v>
      </c>
      <c r="L141">
        <v>432</v>
      </c>
      <c r="M141">
        <v>13.1</v>
      </c>
      <c r="N141">
        <v>3</v>
      </c>
      <c r="O141">
        <v>23</v>
      </c>
      <c r="P141">
        <v>34</v>
      </c>
      <c r="Q141">
        <v>9</v>
      </c>
      <c r="R141">
        <v>2.5</v>
      </c>
      <c r="S141">
        <v>33.200000000000003</v>
      </c>
      <c r="T141">
        <v>1</v>
      </c>
    </row>
    <row r="142" spans="1:20" x14ac:dyDescent="0.2">
      <c r="A142">
        <v>141</v>
      </c>
      <c r="B142" t="s">
        <v>298</v>
      </c>
      <c r="C142" t="s">
        <v>298</v>
      </c>
      <c r="D142" t="s">
        <v>1267</v>
      </c>
      <c r="E142">
        <v>26</v>
      </c>
      <c r="F142" t="s">
        <v>83</v>
      </c>
      <c r="G142">
        <v>16</v>
      </c>
      <c r="H142">
        <v>12</v>
      </c>
      <c r="I142">
        <v>63</v>
      </c>
      <c r="J142">
        <v>33</v>
      </c>
      <c r="K142">
        <v>0.52400000000000002</v>
      </c>
      <c r="L142">
        <v>690</v>
      </c>
      <c r="M142">
        <v>20.9</v>
      </c>
      <c r="N142">
        <v>6</v>
      </c>
      <c r="O142">
        <v>27</v>
      </c>
      <c r="P142">
        <v>78</v>
      </c>
      <c r="Q142">
        <v>11</v>
      </c>
      <c r="R142">
        <v>2.1</v>
      </c>
      <c r="S142">
        <v>43.1</v>
      </c>
      <c r="T142">
        <v>1</v>
      </c>
    </row>
    <row r="143" spans="1:20" x14ac:dyDescent="0.2">
      <c r="A143">
        <v>142</v>
      </c>
      <c r="B143" t="s">
        <v>886</v>
      </c>
      <c r="C143" t="s">
        <v>886</v>
      </c>
      <c r="D143" t="s">
        <v>93</v>
      </c>
      <c r="E143">
        <v>27</v>
      </c>
      <c r="F143" t="s">
        <v>1392</v>
      </c>
      <c r="G143">
        <v>15</v>
      </c>
      <c r="H143">
        <v>10</v>
      </c>
      <c r="I143">
        <v>44</v>
      </c>
      <c r="J143">
        <v>32</v>
      </c>
      <c r="K143">
        <v>0.72699999999999998</v>
      </c>
      <c r="L143">
        <v>158</v>
      </c>
      <c r="M143">
        <v>4.9000000000000004</v>
      </c>
      <c r="N143">
        <v>1</v>
      </c>
      <c r="O143">
        <v>7</v>
      </c>
      <c r="P143">
        <v>20</v>
      </c>
      <c r="Q143">
        <v>3.6</v>
      </c>
      <c r="R143">
        <v>2.1</v>
      </c>
      <c r="S143">
        <v>10.5</v>
      </c>
      <c r="T143">
        <v>4</v>
      </c>
    </row>
    <row r="144" spans="1:20" x14ac:dyDescent="0.2">
      <c r="A144">
        <v>143</v>
      </c>
      <c r="B144" t="s">
        <v>531</v>
      </c>
      <c r="C144" t="s">
        <v>531</v>
      </c>
      <c r="D144" t="s">
        <v>119</v>
      </c>
      <c r="E144">
        <v>24</v>
      </c>
      <c r="F144" t="s">
        <v>1298</v>
      </c>
      <c r="G144">
        <v>16</v>
      </c>
      <c r="H144">
        <v>10</v>
      </c>
      <c r="I144">
        <v>48</v>
      </c>
      <c r="J144">
        <v>32</v>
      </c>
      <c r="K144">
        <v>0.66700000000000004</v>
      </c>
      <c r="L144">
        <v>477</v>
      </c>
      <c r="M144">
        <v>14.9</v>
      </c>
      <c r="N144">
        <v>1</v>
      </c>
      <c r="O144">
        <v>18</v>
      </c>
      <c r="P144">
        <v>50</v>
      </c>
      <c r="Q144">
        <v>9.9</v>
      </c>
      <c r="R144">
        <v>2</v>
      </c>
      <c r="S144">
        <v>29.8</v>
      </c>
      <c r="T144">
        <v>0</v>
      </c>
    </row>
    <row r="145" spans="1:20" x14ac:dyDescent="0.2">
      <c r="A145">
        <v>144</v>
      </c>
      <c r="B145" t="s">
        <v>390</v>
      </c>
      <c r="C145" t="s">
        <v>390</v>
      </c>
      <c r="D145" t="s">
        <v>107</v>
      </c>
      <c r="E145">
        <v>27</v>
      </c>
      <c r="F145" t="s">
        <v>1577</v>
      </c>
      <c r="G145">
        <v>15</v>
      </c>
      <c r="H145">
        <v>6</v>
      </c>
      <c r="I145">
        <v>39</v>
      </c>
      <c r="J145">
        <v>31</v>
      </c>
      <c r="K145">
        <v>0.79500000000000004</v>
      </c>
      <c r="L145">
        <v>394</v>
      </c>
      <c r="M145">
        <v>12.7</v>
      </c>
      <c r="N145">
        <v>2</v>
      </c>
      <c r="O145">
        <v>19</v>
      </c>
      <c r="P145">
        <v>45</v>
      </c>
      <c r="Q145">
        <v>10.1</v>
      </c>
      <c r="R145">
        <v>2.1</v>
      </c>
      <c r="S145">
        <v>26.3</v>
      </c>
      <c r="T145">
        <v>1</v>
      </c>
    </row>
    <row r="146" spans="1:20" x14ac:dyDescent="0.2">
      <c r="A146">
        <v>145</v>
      </c>
      <c r="B146" t="s">
        <v>481</v>
      </c>
      <c r="C146" t="s">
        <v>481</v>
      </c>
      <c r="D146" t="s">
        <v>78</v>
      </c>
      <c r="E146">
        <v>25</v>
      </c>
      <c r="F146" t="s">
        <v>1577</v>
      </c>
      <c r="G146">
        <v>16</v>
      </c>
      <c r="H146">
        <v>5</v>
      </c>
      <c r="I146">
        <v>45</v>
      </c>
      <c r="J146">
        <v>31</v>
      </c>
      <c r="K146">
        <v>0.68899999999999995</v>
      </c>
      <c r="L146">
        <v>438</v>
      </c>
      <c r="M146">
        <v>14.1</v>
      </c>
      <c r="N146">
        <v>4</v>
      </c>
      <c r="O146">
        <v>24</v>
      </c>
      <c r="P146">
        <v>59</v>
      </c>
      <c r="Q146">
        <v>9.6999999999999993</v>
      </c>
      <c r="R146">
        <v>1.9</v>
      </c>
      <c r="S146">
        <v>27.4</v>
      </c>
      <c r="T146">
        <v>2</v>
      </c>
    </row>
    <row r="147" spans="1:20" x14ac:dyDescent="0.2">
      <c r="A147">
        <v>146</v>
      </c>
      <c r="B147" t="s">
        <v>612</v>
      </c>
      <c r="C147" t="s">
        <v>612</v>
      </c>
      <c r="D147" t="s">
        <v>71</v>
      </c>
      <c r="E147">
        <v>24</v>
      </c>
      <c r="F147" t="s">
        <v>88</v>
      </c>
      <c r="G147">
        <v>16</v>
      </c>
      <c r="H147">
        <v>13</v>
      </c>
      <c r="I147">
        <v>45</v>
      </c>
      <c r="J147">
        <v>31</v>
      </c>
      <c r="K147">
        <v>0.68899999999999995</v>
      </c>
      <c r="L147">
        <v>287</v>
      </c>
      <c r="M147">
        <v>9.3000000000000007</v>
      </c>
      <c r="N147">
        <v>3</v>
      </c>
      <c r="O147">
        <v>17</v>
      </c>
      <c r="P147">
        <v>26</v>
      </c>
      <c r="Q147">
        <v>6.4</v>
      </c>
      <c r="R147">
        <v>1.9</v>
      </c>
      <c r="S147">
        <v>17.899999999999999</v>
      </c>
      <c r="T147">
        <v>2</v>
      </c>
    </row>
    <row r="148" spans="1:20" x14ac:dyDescent="0.2">
      <c r="A148">
        <v>147</v>
      </c>
      <c r="B148" t="s">
        <v>271</v>
      </c>
      <c r="C148" t="s">
        <v>271</v>
      </c>
      <c r="D148" t="s">
        <v>102</v>
      </c>
      <c r="E148">
        <v>21</v>
      </c>
      <c r="F148" t="s">
        <v>83</v>
      </c>
      <c r="G148">
        <v>11</v>
      </c>
      <c r="H148">
        <v>11</v>
      </c>
      <c r="I148">
        <v>54</v>
      </c>
      <c r="J148">
        <v>31</v>
      </c>
      <c r="K148">
        <v>0.57399999999999995</v>
      </c>
      <c r="L148">
        <v>396</v>
      </c>
      <c r="M148">
        <v>12.8</v>
      </c>
      <c r="N148">
        <v>1</v>
      </c>
      <c r="O148">
        <v>19</v>
      </c>
      <c r="P148">
        <v>55</v>
      </c>
      <c r="Q148">
        <v>7.3</v>
      </c>
      <c r="R148">
        <v>2.8</v>
      </c>
      <c r="S148">
        <v>36</v>
      </c>
      <c r="T148">
        <v>2</v>
      </c>
    </row>
    <row r="149" spans="1:20" x14ac:dyDescent="0.2">
      <c r="A149">
        <v>148</v>
      </c>
      <c r="B149" t="s">
        <v>336</v>
      </c>
      <c r="C149" t="s">
        <v>336</v>
      </c>
      <c r="D149" t="s">
        <v>1267</v>
      </c>
      <c r="E149">
        <v>25</v>
      </c>
      <c r="F149" t="s">
        <v>1392</v>
      </c>
      <c r="G149">
        <v>14</v>
      </c>
      <c r="H149">
        <v>3</v>
      </c>
      <c r="I149">
        <v>35</v>
      </c>
      <c r="J149">
        <v>31</v>
      </c>
      <c r="K149">
        <v>0.88600000000000001</v>
      </c>
      <c r="L149">
        <v>236</v>
      </c>
      <c r="M149">
        <v>7.6</v>
      </c>
      <c r="N149">
        <v>1</v>
      </c>
      <c r="O149">
        <v>11</v>
      </c>
      <c r="P149">
        <v>29</v>
      </c>
      <c r="Q149">
        <v>6.7</v>
      </c>
      <c r="R149">
        <v>2.2000000000000002</v>
      </c>
      <c r="S149">
        <v>16.899999999999999</v>
      </c>
      <c r="T149">
        <v>0</v>
      </c>
    </row>
    <row r="150" spans="1:20" x14ac:dyDescent="0.2">
      <c r="A150">
        <v>149</v>
      </c>
      <c r="B150" t="s">
        <v>299</v>
      </c>
      <c r="C150" t="s">
        <v>299</v>
      </c>
      <c r="D150" t="s">
        <v>93</v>
      </c>
      <c r="E150">
        <v>21</v>
      </c>
      <c r="F150" t="s">
        <v>1298</v>
      </c>
      <c r="G150">
        <v>13</v>
      </c>
      <c r="H150">
        <v>4</v>
      </c>
      <c r="I150">
        <v>56</v>
      </c>
      <c r="J150">
        <v>30</v>
      </c>
      <c r="K150">
        <v>0.53600000000000003</v>
      </c>
      <c r="L150">
        <v>381</v>
      </c>
      <c r="M150">
        <v>12.7</v>
      </c>
      <c r="N150">
        <v>3</v>
      </c>
      <c r="O150">
        <v>17</v>
      </c>
      <c r="P150">
        <v>49</v>
      </c>
      <c r="Q150">
        <v>6.8</v>
      </c>
      <c r="R150">
        <v>2.2999999999999998</v>
      </c>
      <c r="S150">
        <v>29.3</v>
      </c>
      <c r="T150">
        <v>2</v>
      </c>
    </row>
    <row r="151" spans="1:20" x14ac:dyDescent="0.2">
      <c r="A151">
        <v>150</v>
      </c>
      <c r="B151" t="s">
        <v>402</v>
      </c>
      <c r="C151" t="s">
        <v>402</v>
      </c>
      <c r="D151" t="s">
        <v>98</v>
      </c>
      <c r="E151">
        <v>25</v>
      </c>
      <c r="F151" t="s">
        <v>1298</v>
      </c>
      <c r="G151">
        <v>16</v>
      </c>
      <c r="H151">
        <v>7</v>
      </c>
      <c r="I151">
        <v>34</v>
      </c>
      <c r="J151">
        <v>30</v>
      </c>
      <c r="K151">
        <v>0.88200000000000001</v>
      </c>
      <c r="L151">
        <v>282</v>
      </c>
      <c r="M151">
        <v>9.4</v>
      </c>
      <c r="N151">
        <v>5</v>
      </c>
      <c r="O151">
        <v>17</v>
      </c>
      <c r="P151">
        <v>46</v>
      </c>
      <c r="Q151">
        <v>8.3000000000000007</v>
      </c>
      <c r="R151">
        <v>1.9</v>
      </c>
      <c r="S151">
        <v>17.600000000000001</v>
      </c>
      <c r="T151">
        <v>0</v>
      </c>
    </row>
    <row r="152" spans="1:20" x14ac:dyDescent="0.2">
      <c r="A152">
        <v>151</v>
      </c>
      <c r="B152" t="s">
        <v>2060</v>
      </c>
      <c r="C152" t="s">
        <v>2060</v>
      </c>
      <c r="D152" t="s">
        <v>71</v>
      </c>
      <c r="E152">
        <v>27</v>
      </c>
      <c r="F152" t="s">
        <v>83</v>
      </c>
      <c r="G152">
        <v>12</v>
      </c>
      <c r="H152">
        <v>12</v>
      </c>
      <c r="I152">
        <v>60</v>
      </c>
      <c r="J152">
        <v>30</v>
      </c>
      <c r="K152">
        <v>0.5</v>
      </c>
      <c r="L152">
        <v>505</v>
      </c>
      <c r="M152">
        <v>16.8</v>
      </c>
      <c r="N152">
        <v>3</v>
      </c>
      <c r="O152">
        <v>20</v>
      </c>
      <c r="P152">
        <v>53</v>
      </c>
      <c r="Q152">
        <v>8.4</v>
      </c>
      <c r="R152">
        <v>2.5</v>
      </c>
      <c r="S152">
        <v>42.1</v>
      </c>
      <c r="T152">
        <v>0</v>
      </c>
    </row>
    <row r="153" spans="1:20" x14ac:dyDescent="0.2">
      <c r="A153">
        <v>152</v>
      </c>
      <c r="B153" t="s">
        <v>281</v>
      </c>
      <c r="C153" t="s">
        <v>281</v>
      </c>
      <c r="D153" t="s">
        <v>73</v>
      </c>
      <c r="E153">
        <v>22</v>
      </c>
      <c r="F153" t="s">
        <v>1577</v>
      </c>
      <c r="G153">
        <v>13</v>
      </c>
      <c r="H153">
        <v>7</v>
      </c>
      <c r="I153">
        <v>43</v>
      </c>
      <c r="J153">
        <v>30</v>
      </c>
      <c r="K153">
        <v>0.69799999999999995</v>
      </c>
      <c r="L153">
        <v>365</v>
      </c>
      <c r="M153">
        <v>12.2</v>
      </c>
      <c r="N153">
        <v>5</v>
      </c>
      <c r="O153">
        <v>22</v>
      </c>
      <c r="P153">
        <v>36</v>
      </c>
      <c r="Q153">
        <v>8.5</v>
      </c>
      <c r="R153">
        <v>2.2999999999999998</v>
      </c>
      <c r="S153">
        <v>28.1</v>
      </c>
      <c r="T153">
        <v>0</v>
      </c>
    </row>
    <row r="154" spans="1:20" x14ac:dyDescent="0.2">
      <c r="A154">
        <v>153</v>
      </c>
      <c r="B154" t="s">
        <v>334</v>
      </c>
      <c r="C154" t="s">
        <v>334</v>
      </c>
      <c r="D154" t="s">
        <v>99</v>
      </c>
      <c r="E154">
        <v>24</v>
      </c>
      <c r="F154" t="s">
        <v>1298</v>
      </c>
      <c r="G154">
        <v>16</v>
      </c>
      <c r="H154">
        <v>7</v>
      </c>
      <c r="I154">
        <v>56</v>
      </c>
      <c r="J154">
        <v>30</v>
      </c>
      <c r="K154">
        <v>0.53600000000000003</v>
      </c>
      <c r="L154">
        <v>392</v>
      </c>
      <c r="M154">
        <v>13.1</v>
      </c>
      <c r="N154">
        <v>5</v>
      </c>
      <c r="O154">
        <v>19</v>
      </c>
      <c r="P154">
        <v>50</v>
      </c>
      <c r="Q154">
        <v>7</v>
      </c>
      <c r="R154">
        <v>1.9</v>
      </c>
      <c r="S154">
        <v>24.5</v>
      </c>
      <c r="T154">
        <v>0</v>
      </c>
    </row>
    <row r="155" spans="1:20" x14ac:dyDescent="0.2">
      <c r="A155">
        <v>154</v>
      </c>
      <c r="B155" t="s">
        <v>525</v>
      </c>
      <c r="C155" t="s">
        <v>525</v>
      </c>
      <c r="D155" t="s">
        <v>1726</v>
      </c>
      <c r="E155">
        <v>25</v>
      </c>
      <c r="G155">
        <v>11</v>
      </c>
      <c r="H155">
        <v>2</v>
      </c>
      <c r="I155">
        <v>37</v>
      </c>
      <c r="J155">
        <v>29</v>
      </c>
      <c r="K155">
        <v>0.78400000000000003</v>
      </c>
      <c r="L155">
        <v>166</v>
      </c>
      <c r="M155">
        <v>5.7</v>
      </c>
      <c r="N155">
        <v>0</v>
      </c>
      <c r="O155">
        <v>5</v>
      </c>
      <c r="P155">
        <v>21</v>
      </c>
      <c r="Q155">
        <v>4.5</v>
      </c>
      <c r="R155">
        <v>2.6</v>
      </c>
      <c r="S155">
        <v>15.1</v>
      </c>
      <c r="T155">
        <v>1</v>
      </c>
    </row>
    <row r="156" spans="1:20" x14ac:dyDescent="0.2">
      <c r="A156">
        <v>155</v>
      </c>
      <c r="B156" t="s">
        <v>357</v>
      </c>
      <c r="C156" t="s">
        <v>357</v>
      </c>
      <c r="D156" t="s">
        <v>142</v>
      </c>
      <c r="E156">
        <v>23</v>
      </c>
      <c r="F156" t="s">
        <v>1392</v>
      </c>
      <c r="G156">
        <v>10</v>
      </c>
      <c r="H156">
        <v>4</v>
      </c>
      <c r="I156">
        <v>37</v>
      </c>
      <c r="J156">
        <v>28</v>
      </c>
      <c r="K156">
        <v>0.75700000000000001</v>
      </c>
      <c r="L156">
        <v>211</v>
      </c>
      <c r="M156">
        <v>7.5</v>
      </c>
      <c r="N156">
        <v>0</v>
      </c>
      <c r="O156">
        <v>13</v>
      </c>
      <c r="P156">
        <v>22</v>
      </c>
      <c r="Q156">
        <v>5.7</v>
      </c>
      <c r="R156">
        <v>2.8</v>
      </c>
      <c r="S156">
        <v>21.1</v>
      </c>
      <c r="T156">
        <v>0</v>
      </c>
    </row>
    <row r="157" spans="1:20" x14ac:dyDescent="0.2">
      <c r="A157">
        <v>156</v>
      </c>
      <c r="B157" t="s">
        <v>2117</v>
      </c>
      <c r="C157" t="s">
        <v>2117</v>
      </c>
      <c r="D157" t="s">
        <v>976</v>
      </c>
      <c r="E157">
        <v>29</v>
      </c>
      <c r="F157" t="s">
        <v>1577</v>
      </c>
      <c r="G157">
        <v>16</v>
      </c>
      <c r="H157">
        <v>1</v>
      </c>
      <c r="I157">
        <v>34</v>
      </c>
      <c r="J157">
        <v>28</v>
      </c>
      <c r="K157">
        <v>0.82399999999999995</v>
      </c>
      <c r="L157">
        <v>282</v>
      </c>
      <c r="M157">
        <v>10.1</v>
      </c>
      <c r="N157">
        <v>2</v>
      </c>
      <c r="O157">
        <v>17</v>
      </c>
      <c r="P157">
        <v>25</v>
      </c>
      <c r="Q157">
        <v>8.3000000000000007</v>
      </c>
      <c r="R157">
        <v>1.8</v>
      </c>
      <c r="S157">
        <v>17.600000000000001</v>
      </c>
      <c r="T157">
        <v>0</v>
      </c>
    </row>
    <row r="158" spans="1:20" x14ac:dyDescent="0.2">
      <c r="A158">
        <v>157</v>
      </c>
      <c r="B158" t="s">
        <v>1962</v>
      </c>
      <c r="C158" t="s">
        <v>1962</v>
      </c>
      <c r="D158" t="s">
        <v>107</v>
      </c>
      <c r="E158">
        <v>29</v>
      </c>
      <c r="F158" t="s">
        <v>1577</v>
      </c>
      <c r="G158">
        <v>13</v>
      </c>
      <c r="H158">
        <v>4</v>
      </c>
      <c r="I158">
        <v>47</v>
      </c>
      <c r="J158">
        <v>28</v>
      </c>
      <c r="K158">
        <v>0.59599999999999997</v>
      </c>
      <c r="L158">
        <v>250</v>
      </c>
      <c r="M158">
        <v>8.9</v>
      </c>
      <c r="N158">
        <v>3</v>
      </c>
      <c r="O158">
        <v>14</v>
      </c>
      <c r="P158">
        <v>20</v>
      </c>
      <c r="Q158">
        <v>5.3</v>
      </c>
      <c r="R158">
        <v>2.2000000000000002</v>
      </c>
      <c r="S158">
        <v>19.2</v>
      </c>
      <c r="T158">
        <v>0</v>
      </c>
    </row>
    <row r="159" spans="1:20" x14ac:dyDescent="0.2">
      <c r="A159">
        <v>158</v>
      </c>
      <c r="B159" t="s">
        <v>516</v>
      </c>
      <c r="C159" t="s">
        <v>516</v>
      </c>
      <c r="D159" t="s">
        <v>142</v>
      </c>
      <c r="E159">
        <v>24</v>
      </c>
      <c r="G159">
        <v>10</v>
      </c>
      <c r="H159">
        <v>1</v>
      </c>
      <c r="I159">
        <v>44</v>
      </c>
      <c r="J159">
        <v>28</v>
      </c>
      <c r="K159">
        <v>0.63600000000000001</v>
      </c>
      <c r="L159">
        <v>276</v>
      </c>
      <c r="M159">
        <v>9.9</v>
      </c>
      <c r="N159">
        <v>0</v>
      </c>
      <c r="O159">
        <v>18</v>
      </c>
      <c r="P159">
        <v>18</v>
      </c>
      <c r="Q159">
        <v>6.3</v>
      </c>
      <c r="R159">
        <v>2.8</v>
      </c>
      <c r="S159">
        <v>27.6</v>
      </c>
      <c r="T159">
        <v>0</v>
      </c>
    </row>
    <row r="160" spans="1:20" x14ac:dyDescent="0.2">
      <c r="A160">
        <v>159</v>
      </c>
      <c r="B160" t="s">
        <v>305</v>
      </c>
      <c r="C160" t="s">
        <v>305</v>
      </c>
      <c r="D160" t="s">
        <v>118</v>
      </c>
      <c r="E160">
        <v>23</v>
      </c>
      <c r="F160" t="s">
        <v>1298</v>
      </c>
      <c r="G160">
        <v>16</v>
      </c>
      <c r="H160">
        <v>9</v>
      </c>
      <c r="I160">
        <v>55</v>
      </c>
      <c r="J160">
        <v>28</v>
      </c>
      <c r="K160">
        <v>0.50900000000000001</v>
      </c>
      <c r="L160">
        <v>511</v>
      </c>
      <c r="M160">
        <v>18.3</v>
      </c>
      <c r="N160">
        <v>3</v>
      </c>
      <c r="O160">
        <v>18</v>
      </c>
      <c r="P160">
        <v>72</v>
      </c>
      <c r="Q160">
        <v>9.3000000000000007</v>
      </c>
      <c r="R160">
        <v>1.8</v>
      </c>
      <c r="S160">
        <v>31.9</v>
      </c>
      <c r="T160">
        <v>0</v>
      </c>
    </row>
    <row r="161" spans="1:20" x14ac:dyDescent="0.2">
      <c r="A161">
        <v>160</v>
      </c>
      <c r="B161" t="s">
        <v>1752</v>
      </c>
      <c r="C161" t="s">
        <v>1752</v>
      </c>
      <c r="D161" t="s">
        <v>122</v>
      </c>
      <c r="E161">
        <v>27</v>
      </c>
      <c r="F161" t="s">
        <v>1392</v>
      </c>
      <c r="G161">
        <v>11</v>
      </c>
      <c r="H161">
        <v>5</v>
      </c>
      <c r="I161">
        <v>35</v>
      </c>
      <c r="J161">
        <v>28</v>
      </c>
      <c r="K161">
        <v>0.8</v>
      </c>
      <c r="L161">
        <v>249</v>
      </c>
      <c r="M161">
        <v>8.9</v>
      </c>
      <c r="N161">
        <v>1</v>
      </c>
      <c r="O161">
        <v>8</v>
      </c>
      <c r="P161">
        <v>48</v>
      </c>
      <c r="Q161">
        <v>7.1</v>
      </c>
      <c r="R161">
        <v>2.5</v>
      </c>
      <c r="S161">
        <v>22.6</v>
      </c>
      <c r="T161">
        <v>3</v>
      </c>
    </row>
    <row r="162" spans="1:20" x14ac:dyDescent="0.2">
      <c r="A162">
        <v>161</v>
      </c>
      <c r="B162" t="s">
        <v>1509</v>
      </c>
      <c r="C162" t="s">
        <v>1509</v>
      </c>
      <c r="D162" t="s">
        <v>976</v>
      </c>
      <c r="E162">
        <v>23</v>
      </c>
      <c r="F162" t="s">
        <v>68</v>
      </c>
      <c r="G162">
        <v>14</v>
      </c>
      <c r="H162">
        <v>13</v>
      </c>
      <c r="I162">
        <v>42</v>
      </c>
      <c r="J162">
        <v>28</v>
      </c>
      <c r="K162">
        <v>0.66700000000000004</v>
      </c>
      <c r="L162">
        <v>165</v>
      </c>
      <c r="M162">
        <v>5.9</v>
      </c>
      <c r="N162">
        <v>1</v>
      </c>
      <c r="O162">
        <v>2</v>
      </c>
      <c r="P162">
        <v>37</v>
      </c>
      <c r="Q162">
        <v>3.9</v>
      </c>
      <c r="R162">
        <v>2</v>
      </c>
      <c r="S162">
        <v>11.8</v>
      </c>
      <c r="T162">
        <v>2</v>
      </c>
    </row>
    <row r="163" spans="1:20" x14ac:dyDescent="0.2">
      <c r="A163">
        <v>162</v>
      </c>
      <c r="B163" t="s">
        <v>2038</v>
      </c>
      <c r="C163" t="s">
        <v>2038</v>
      </c>
      <c r="D163" t="s">
        <v>727</v>
      </c>
      <c r="E163">
        <v>21</v>
      </c>
      <c r="F163" t="s">
        <v>1577</v>
      </c>
      <c r="G163">
        <v>16</v>
      </c>
      <c r="H163">
        <v>9</v>
      </c>
      <c r="I163">
        <v>44</v>
      </c>
      <c r="J163">
        <v>28</v>
      </c>
      <c r="K163">
        <v>0.63600000000000001</v>
      </c>
      <c r="L163">
        <v>243</v>
      </c>
      <c r="M163">
        <v>8.6999999999999993</v>
      </c>
      <c r="N163">
        <v>2</v>
      </c>
      <c r="O163">
        <v>12</v>
      </c>
      <c r="P163">
        <v>38</v>
      </c>
      <c r="Q163">
        <v>5.5</v>
      </c>
      <c r="R163">
        <v>1.8</v>
      </c>
      <c r="S163">
        <v>15.2</v>
      </c>
      <c r="T163">
        <v>1</v>
      </c>
    </row>
    <row r="164" spans="1:20" x14ac:dyDescent="0.2">
      <c r="A164">
        <v>163</v>
      </c>
      <c r="B164" t="s">
        <v>412</v>
      </c>
      <c r="C164" t="s">
        <v>412</v>
      </c>
      <c r="D164" t="s">
        <v>1052</v>
      </c>
      <c r="E164">
        <v>28</v>
      </c>
      <c r="F164" t="s">
        <v>88</v>
      </c>
      <c r="G164">
        <v>15</v>
      </c>
      <c r="H164">
        <v>13</v>
      </c>
      <c r="I164">
        <v>38</v>
      </c>
      <c r="J164">
        <v>28</v>
      </c>
      <c r="K164">
        <v>0.73699999999999999</v>
      </c>
      <c r="L164">
        <v>262</v>
      </c>
      <c r="M164">
        <v>9.4</v>
      </c>
      <c r="N164">
        <v>0</v>
      </c>
      <c r="O164">
        <v>12</v>
      </c>
      <c r="P164">
        <v>26</v>
      </c>
      <c r="Q164">
        <v>6.9</v>
      </c>
      <c r="R164">
        <v>1.9</v>
      </c>
      <c r="S164">
        <v>17.5</v>
      </c>
      <c r="T164">
        <v>0</v>
      </c>
    </row>
    <row r="165" spans="1:20" x14ac:dyDescent="0.2">
      <c r="A165">
        <v>164</v>
      </c>
      <c r="B165" t="s">
        <v>1525</v>
      </c>
      <c r="C165" t="s">
        <v>1525</v>
      </c>
      <c r="D165" t="s">
        <v>729</v>
      </c>
      <c r="E165">
        <v>23</v>
      </c>
      <c r="F165" t="s">
        <v>1392</v>
      </c>
      <c r="G165">
        <v>16</v>
      </c>
      <c r="H165">
        <v>2</v>
      </c>
      <c r="I165">
        <v>40</v>
      </c>
      <c r="J165">
        <v>28</v>
      </c>
      <c r="K165">
        <v>0.7</v>
      </c>
      <c r="L165">
        <v>193</v>
      </c>
      <c r="M165">
        <v>6.9</v>
      </c>
      <c r="N165">
        <v>1</v>
      </c>
      <c r="O165">
        <v>9</v>
      </c>
      <c r="P165">
        <v>30</v>
      </c>
      <c r="Q165">
        <v>4.8</v>
      </c>
      <c r="R165">
        <v>1.8</v>
      </c>
      <c r="S165">
        <v>12.1</v>
      </c>
      <c r="T165">
        <v>0</v>
      </c>
    </row>
    <row r="166" spans="1:20" x14ac:dyDescent="0.2">
      <c r="A166">
        <v>165</v>
      </c>
      <c r="B166" t="s">
        <v>602</v>
      </c>
      <c r="C166" t="s">
        <v>602</v>
      </c>
      <c r="D166" t="s">
        <v>73</v>
      </c>
      <c r="E166">
        <v>31</v>
      </c>
      <c r="F166" t="s">
        <v>88</v>
      </c>
      <c r="G166">
        <v>12</v>
      </c>
      <c r="H166">
        <v>12</v>
      </c>
      <c r="I166">
        <v>37</v>
      </c>
      <c r="J166">
        <v>28</v>
      </c>
      <c r="K166">
        <v>0.75700000000000001</v>
      </c>
      <c r="L166">
        <v>334</v>
      </c>
      <c r="M166">
        <v>11.9</v>
      </c>
      <c r="N166">
        <v>1</v>
      </c>
      <c r="O166">
        <v>16</v>
      </c>
      <c r="P166">
        <v>25</v>
      </c>
      <c r="Q166">
        <v>9</v>
      </c>
      <c r="R166">
        <v>2.2999999999999998</v>
      </c>
      <c r="S166">
        <v>27.8</v>
      </c>
      <c r="T166">
        <v>1</v>
      </c>
    </row>
    <row r="167" spans="1:20" x14ac:dyDescent="0.2">
      <c r="A167">
        <v>166</v>
      </c>
      <c r="B167" t="s">
        <v>160</v>
      </c>
      <c r="C167" t="s">
        <v>160</v>
      </c>
      <c r="D167" t="s">
        <v>102</v>
      </c>
      <c r="E167">
        <v>23</v>
      </c>
      <c r="F167" t="s">
        <v>68</v>
      </c>
      <c r="G167">
        <v>12</v>
      </c>
      <c r="H167">
        <v>11</v>
      </c>
      <c r="I167">
        <v>52</v>
      </c>
      <c r="J167">
        <v>28</v>
      </c>
      <c r="K167">
        <v>0.53800000000000003</v>
      </c>
      <c r="L167">
        <v>197</v>
      </c>
      <c r="M167">
        <v>7</v>
      </c>
      <c r="N167">
        <v>0</v>
      </c>
      <c r="O167">
        <v>8</v>
      </c>
      <c r="P167">
        <v>28</v>
      </c>
      <c r="Q167">
        <v>3.8</v>
      </c>
      <c r="R167">
        <v>2.2999999999999998</v>
      </c>
      <c r="S167">
        <v>16.399999999999999</v>
      </c>
      <c r="T167">
        <v>4</v>
      </c>
    </row>
    <row r="168" spans="1:20" x14ac:dyDescent="0.2">
      <c r="A168">
        <v>167</v>
      </c>
      <c r="B168" t="s">
        <v>2073</v>
      </c>
      <c r="C168" t="s">
        <v>2073</v>
      </c>
      <c r="D168" t="s">
        <v>119</v>
      </c>
      <c r="E168">
        <v>23</v>
      </c>
      <c r="F168" t="s">
        <v>1298</v>
      </c>
      <c r="G168">
        <v>12</v>
      </c>
      <c r="H168">
        <v>2</v>
      </c>
      <c r="I168">
        <v>37</v>
      </c>
      <c r="J168">
        <v>27</v>
      </c>
      <c r="K168">
        <v>0.73</v>
      </c>
      <c r="L168">
        <v>265</v>
      </c>
      <c r="M168">
        <v>9.8000000000000007</v>
      </c>
      <c r="N168">
        <v>1</v>
      </c>
      <c r="O168">
        <v>13</v>
      </c>
      <c r="P168">
        <v>30</v>
      </c>
      <c r="Q168">
        <v>7.2</v>
      </c>
      <c r="R168">
        <v>2.2999999999999998</v>
      </c>
      <c r="S168">
        <v>22.1</v>
      </c>
      <c r="T168">
        <v>5</v>
      </c>
    </row>
    <row r="169" spans="1:20" x14ac:dyDescent="0.2">
      <c r="A169">
        <v>168</v>
      </c>
      <c r="B169" t="s">
        <v>509</v>
      </c>
      <c r="C169" t="s">
        <v>509</v>
      </c>
      <c r="D169" t="s">
        <v>119</v>
      </c>
      <c r="E169">
        <v>23</v>
      </c>
      <c r="F169" t="s">
        <v>1298</v>
      </c>
      <c r="G169">
        <v>14</v>
      </c>
      <c r="H169">
        <v>6</v>
      </c>
      <c r="I169">
        <v>35</v>
      </c>
      <c r="J169">
        <v>27</v>
      </c>
      <c r="K169">
        <v>0.77100000000000002</v>
      </c>
      <c r="L169">
        <v>197</v>
      </c>
      <c r="M169">
        <v>7.3</v>
      </c>
      <c r="N169">
        <v>0</v>
      </c>
      <c r="O169">
        <v>10</v>
      </c>
      <c r="P169">
        <v>22</v>
      </c>
      <c r="Q169">
        <v>5.6</v>
      </c>
      <c r="R169">
        <v>1.9</v>
      </c>
      <c r="S169">
        <v>14.1</v>
      </c>
      <c r="T169">
        <v>3</v>
      </c>
    </row>
    <row r="170" spans="1:20" x14ac:dyDescent="0.2">
      <c r="A170">
        <v>169</v>
      </c>
      <c r="B170" t="s">
        <v>2118</v>
      </c>
      <c r="C170" t="s">
        <v>2118</v>
      </c>
      <c r="D170" t="s">
        <v>1087</v>
      </c>
      <c r="E170">
        <v>30</v>
      </c>
      <c r="F170" t="s">
        <v>1577</v>
      </c>
      <c r="G170">
        <v>10</v>
      </c>
      <c r="H170">
        <v>1</v>
      </c>
      <c r="I170">
        <v>46</v>
      </c>
      <c r="J170">
        <v>26</v>
      </c>
      <c r="K170">
        <v>0.56499999999999995</v>
      </c>
      <c r="L170">
        <v>231</v>
      </c>
      <c r="M170">
        <v>8.9</v>
      </c>
      <c r="N170">
        <v>4</v>
      </c>
      <c r="O170">
        <v>16</v>
      </c>
      <c r="P170">
        <v>26</v>
      </c>
      <c r="Q170">
        <v>5</v>
      </c>
      <c r="R170">
        <v>2.6</v>
      </c>
      <c r="S170">
        <v>23.1</v>
      </c>
      <c r="T170">
        <v>0</v>
      </c>
    </row>
    <row r="171" spans="1:20" x14ac:dyDescent="0.2">
      <c r="A171">
        <v>170</v>
      </c>
      <c r="B171" t="s">
        <v>1869</v>
      </c>
      <c r="C171" t="s">
        <v>1869</v>
      </c>
      <c r="D171" t="s">
        <v>933</v>
      </c>
      <c r="E171">
        <v>21</v>
      </c>
      <c r="F171" t="s">
        <v>83</v>
      </c>
      <c r="G171">
        <v>13</v>
      </c>
      <c r="H171">
        <v>12</v>
      </c>
      <c r="I171">
        <v>43</v>
      </c>
      <c r="J171">
        <v>26</v>
      </c>
      <c r="K171">
        <v>0.60499999999999998</v>
      </c>
      <c r="L171">
        <v>452</v>
      </c>
      <c r="M171">
        <v>17.399999999999999</v>
      </c>
      <c r="N171">
        <v>2</v>
      </c>
      <c r="O171">
        <v>13</v>
      </c>
      <c r="P171">
        <v>72</v>
      </c>
      <c r="Q171">
        <v>10.5</v>
      </c>
      <c r="R171">
        <v>2</v>
      </c>
      <c r="S171">
        <v>34.799999999999997</v>
      </c>
      <c r="T171">
        <v>2</v>
      </c>
    </row>
    <row r="172" spans="1:20" x14ac:dyDescent="0.2">
      <c r="A172">
        <v>171</v>
      </c>
      <c r="B172" t="s">
        <v>413</v>
      </c>
      <c r="C172" t="s">
        <v>413</v>
      </c>
      <c r="D172" t="s">
        <v>142</v>
      </c>
      <c r="E172">
        <v>25</v>
      </c>
      <c r="F172" t="s">
        <v>88</v>
      </c>
      <c r="G172">
        <v>15</v>
      </c>
      <c r="H172">
        <v>13</v>
      </c>
      <c r="I172">
        <v>29</v>
      </c>
      <c r="J172">
        <v>26</v>
      </c>
      <c r="K172">
        <v>0.89700000000000002</v>
      </c>
      <c r="L172">
        <v>208</v>
      </c>
      <c r="M172">
        <v>8</v>
      </c>
      <c r="N172">
        <v>2</v>
      </c>
      <c r="O172">
        <v>13</v>
      </c>
      <c r="P172">
        <v>19</v>
      </c>
      <c r="Q172">
        <v>7.2</v>
      </c>
      <c r="R172">
        <v>1.7</v>
      </c>
      <c r="S172">
        <v>13.9</v>
      </c>
      <c r="T172">
        <v>0</v>
      </c>
    </row>
    <row r="173" spans="1:20" x14ac:dyDescent="0.2">
      <c r="A173">
        <v>172</v>
      </c>
      <c r="B173" t="s">
        <v>371</v>
      </c>
      <c r="C173" t="s">
        <v>371</v>
      </c>
      <c r="D173" t="s">
        <v>1122</v>
      </c>
      <c r="E173">
        <v>30</v>
      </c>
      <c r="G173">
        <v>10</v>
      </c>
      <c r="H173">
        <v>0</v>
      </c>
      <c r="I173">
        <v>33</v>
      </c>
      <c r="J173">
        <v>25</v>
      </c>
      <c r="K173">
        <v>0.75800000000000001</v>
      </c>
      <c r="L173">
        <v>192</v>
      </c>
      <c r="M173">
        <v>7.7</v>
      </c>
      <c r="N173">
        <v>3</v>
      </c>
      <c r="O173">
        <v>11</v>
      </c>
      <c r="P173">
        <v>24</v>
      </c>
      <c r="Q173">
        <v>5.8</v>
      </c>
      <c r="R173">
        <v>2.5</v>
      </c>
      <c r="S173">
        <v>19.2</v>
      </c>
      <c r="T173">
        <v>0</v>
      </c>
    </row>
    <row r="174" spans="1:20" x14ac:dyDescent="0.2">
      <c r="A174">
        <v>173</v>
      </c>
      <c r="B174" t="s">
        <v>1487</v>
      </c>
      <c r="C174" t="s">
        <v>1487</v>
      </c>
      <c r="D174" t="s">
        <v>78</v>
      </c>
      <c r="E174">
        <v>26</v>
      </c>
      <c r="F174" t="s">
        <v>68</v>
      </c>
      <c r="G174">
        <v>15</v>
      </c>
      <c r="H174">
        <v>13</v>
      </c>
      <c r="I174">
        <v>31</v>
      </c>
      <c r="J174">
        <v>25</v>
      </c>
      <c r="K174">
        <v>0.80600000000000005</v>
      </c>
      <c r="L174">
        <v>137</v>
      </c>
      <c r="M174">
        <v>5.5</v>
      </c>
      <c r="N174">
        <v>0</v>
      </c>
      <c r="O174">
        <v>5</v>
      </c>
      <c r="P174">
        <v>18</v>
      </c>
      <c r="Q174">
        <v>4.4000000000000004</v>
      </c>
      <c r="R174">
        <v>1.7</v>
      </c>
      <c r="S174">
        <v>9.1</v>
      </c>
      <c r="T174">
        <v>3</v>
      </c>
    </row>
    <row r="175" spans="1:20" x14ac:dyDescent="0.2">
      <c r="A175">
        <v>174</v>
      </c>
      <c r="B175" t="s">
        <v>872</v>
      </c>
      <c r="C175" t="s">
        <v>872</v>
      </c>
      <c r="D175" t="s">
        <v>101</v>
      </c>
      <c r="E175">
        <v>26</v>
      </c>
      <c r="F175" t="s">
        <v>68</v>
      </c>
      <c r="G175">
        <v>15</v>
      </c>
      <c r="H175">
        <v>15</v>
      </c>
      <c r="I175">
        <v>35</v>
      </c>
      <c r="J175">
        <v>25</v>
      </c>
      <c r="K175">
        <v>0.71399999999999997</v>
      </c>
      <c r="L175">
        <v>164</v>
      </c>
      <c r="M175">
        <v>6.6</v>
      </c>
      <c r="N175">
        <v>0</v>
      </c>
      <c r="O175">
        <v>7</v>
      </c>
      <c r="P175">
        <v>26</v>
      </c>
      <c r="Q175">
        <v>4.7</v>
      </c>
      <c r="R175">
        <v>1.7</v>
      </c>
      <c r="S175">
        <v>10.9</v>
      </c>
      <c r="T175">
        <v>2</v>
      </c>
    </row>
    <row r="176" spans="1:20" x14ac:dyDescent="0.2">
      <c r="A176">
        <v>175</v>
      </c>
      <c r="B176" t="s">
        <v>372</v>
      </c>
      <c r="C176" t="s">
        <v>372</v>
      </c>
      <c r="D176" t="s">
        <v>101</v>
      </c>
      <c r="E176">
        <v>25</v>
      </c>
      <c r="F176" t="s">
        <v>1392</v>
      </c>
      <c r="G176">
        <v>16</v>
      </c>
      <c r="H176">
        <v>1</v>
      </c>
      <c r="I176">
        <v>30</v>
      </c>
      <c r="J176">
        <v>25</v>
      </c>
      <c r="K176">
        <v>0.83299999999999996</v>
      </c>
      <c r="L176">
        <v>199</v>
      </c>
      <c r="M176">
        <v>8</v>
      </c>
      <c r="N176">
        <v>0</v>
      </c>
      <c r="O176">
        <v>7</v>
      </c>
      <c r="P176">
        <v>26</v>
      </c>
      <c r="Q176">
        <v>6.6</v>
      </c>
      <c r="R176">
        <v>1.6</v>
      </c>
      <c r="S176">
        <v>12.4</v>
      </c>
      <c r="T176">
        <v>2</v>
      </c>
    </row>
    <row r="177" spans="1:20" x14ac:dyDescent="0.2">
      <c r="A177">
        <v>176</v>
      </c>
      <c r="B177" t="s">
        <v>615</v>
      </c>
      <c r="C177" t="s">
        <v>615</v>
      </c>
      <c r="D177" t="s">
        <v>108</v>
      </c>
      <c r="E177">
        <v>27</v>
      </c>
      <c r="F177" t="s">
        <v>1577</v>
      </c>
      <c r="G177">
        <v>16</v>
      </c>
      <c r="H177">
        <v>5</v>
      </c>
      <c r="I177">
        <v>40</v>
      </c>
      <c r="J177">
        <v>25</v>
      </c>
      <c r="K177">
        <v>0.625</v>
      </c>
      <c r="L177">
        <v>209</v>
      </c>
      <c r="M177">
        <v>8.4</v>
      </c>
      <c r="N177">
        <v>3</v>
      </c>
      <c r="O177">
        <v>14</v>
      </c>
      <c r="P177">
        <v>20</v>
      </c>
      <c r="Q177">
        <v>5.2</v>
      </c>
      <c r="R177">
        <v>1.6</v>
      </c>
      <c r="S177">
        <v>13.1</v>
      </c>
      <c r="T177">
        <v>0</v>
      </c>
    </row>
    <row r="178" spans="1:20" x14ac:dyDescent="0.2">
      <c r="A178">
        <v>177</v>
      </c>
      <c r="B178" t="s">
        <v>404</v>
      </c>
      <c r="C178" t="s">
        <v>404</v>
      </c>
      <c r="D178" t="s">
        <v>102</v>
      </c>
      <c r="E178">
        <v>25</v>
      </c>
      <c r="F178" t="s">
        <v>1392</v>
      </c>
      <c r="G178">
        <v>16</v>
      </c>
      <c r="H178">
        <v>4</v>
      </c>
      <c r="I178">
        <v>36</v>
      </c>
      <c r="J178">
        <v>25</v>
      </c>
      <c r="K178">
        <v>0.69399999999999995</v>
      </c>
      <c r="L178">
        <v>212</v>
      </c>
      <c r="M178">
        <v>8.5</v>
      </c>
      <c r="N178">
        <v>1</v>
      </c>
      <c r="O178">
        <v>8</v>
      </c>
      <c r="P178">
        <v>18</v>
      </c>
      <c r="Q178">
        <v>5.9</v>
      </c>
      <c r="R178">
        <v>1.6</v>
      </c>
      <c r="S178">
        <v>13.3</v>
      </c>
      <c r="T178">
        <v>2</v>
      </c>
    </row>
    <row r="179" spans="1:20" x14ac:dyDescent="0.2">
      <c r="A179">
        <v>178</v>
      </c>
      <c r="B179" t="s">
        <v>375</v>
      </c>
      <c r="C179" t="s">
        <v>375</v>
      </c>
      <c r="D179" t="s">
        <v>82</v>
      </c>
      <c r="E179">
        <v>22</v>
      </c>
      <c r="F179" t="s">
        <v>1577</v>
      </c>
      <c r="G179">
        <v>15</v>
      </c>
      <c r="H179">
        <v>9</v>
      </c>
      <c r="I179">
        <v>38</v>
      </c>
      <c r="J179">
        <v>24</v>
      </c>
      <c r="K179">
        <v>0.63200000000000001</v>
      </c>
      <c r="L179">
        <v>238</v>
      </c>
      <c r="M179">
        <v>9.9</v>
      </c>
      <c r="N179">
        <v>3</v>
      </c>
      <c r="O179">
        <v>14</v>
      </c>
      <c r="P179">
        <v>35</v>
      </c>
      <c r="Q179">
        <v>6.3</v>
      </c>
      <c r="R179">
        <v>1.6</v>
      </c>
      <c r="S179">
        <v>15.9</v>
      </c>
      <c r="T179">
        <v>2</v>
      </c>
    </row>
    <row r="180" spans="1:20" x14ac:dyDescent="0.2">
      <c r="A180">
        <v>179</v>
      </c>
      <c r="B180" t="s">
        <v>618</v>
      </c>
      <c r="C180" t="s">
        <v>618</v>
      </c>
      <c r="D180" t="s">
        <v>108</v>
      </c>
      <c r="E180">
        <v>24</v>
      </c>
      <c r="F180" t="s">
        <v>88</v>
      </c>
      <c r="G180">
        <v>16</v>
      </c>
      <c r="H180">
        <v>12</v>
      </c>
      <c r="I180">
        <v>29</v>
      </c>
      <c r="J180">
        <v>24</v>
      </c>
      <c r="K180">
        <v>0.82799999999999996</v>
      </c>
      <c r="L180">
        <v>251</v>
      </c>
      <c r="M180">
        <v>10.5</v>
      </c>
      <c r="N180">
        <v>2</v>
      </c>
      <c r="O180">
        <v>12</v>
      </c>
      <c r="P180">
        <v>28</v>
      </c>
      <c r="Q180">
        <v>8.6999999999999993</v>
      </c>
      <c r="R180">
        <v>1.5</v>
      </c>
      <c r="S180">
        <v>15.7</v>
      </c>
      <c r="T180">
        <v>0</v>
      </c>
    </row>
    <row r="181" spans="1:20" x14ac:dyDescent="0.2">
      <c r="A181">
        <v>180</v>
      </c>
      <c r="B181" t="s">
        <v>319</v>
      </c>
      <c r="C181" t="s">
        <v>319</v>
      </c>
      <c r="D181" t="s">
        <v>98</v>
      </c>
      <c r="E181">
        <v>24</v>
      </c>
      <c r="F181" t="s">
        <v>1577</v>
      </c>
      <c r="G181">
        <v>12</v>
      </c>
      <c r="H181">
        <v>7</v>
      </c>
      <c r="I181">
        <v>44</v>
      </c>
      <c r="J181">
        <v>24</v>
      </c>
      <c r="K181">
        <v>0.54500000000000004</v>
      </c>
      <c r="L181">
        <v>288</v>
      </c>
      <c r="M181">
        <v>12</v>
      </c>
      <c r="N181">
        <v>3</v>
      </c>
      <c r="O181">
        <v>14</v>
      </c>
      <c r="P181">
        <v>36</v>
      </c>
      <c r="Q181">
        <v>6.5</v>
      </c>
      <c r="R181">
        <v>2</v>
      </c>
      <c r="S181">
        <v>24</v>
      </c>
      <c r="T181">
        <v>2</v>
      </c>
    </row>
    <row r="182" spans="1:20" x14ac:dyDescent="0.2">
      <c r="A182">
        <v>181</v>
      </c>
      <c r="B182" t="s">
        <v>2119</v>
      </c>
      <c r="C182" t="s">
        <v>2119</v>
      </c>
      <c r="D182" t="s">
        <v>108</v>
      </c>
      <c r="E182">
        <v>35</v>
      </c>
      <c r="F182" t="s">
        <v>1577</v>
      </c>
      <c r="G182">
        <v>11</v>
      </c>
      <c r="H182">
        <v>8</v>
      </c>
      <c r="I182">
        <v>37</v>
      </c>
      <c r="J182">
        <v>24</v>
      </c>
      <c r="K182">
        <v>0.64900000000000002</v>
      </c>
      <c r="L182">
        <v>239</v>
      </c>
      <c r="M182">
        <v>10</v>
      </c>
      <c r="N182">
        <v>1</v>
      </c>
      <c r="O182">
        <v>16</v>
      </c>
      <c r="P182">
        <v>22</v>
      </c>
      <c r="Q182">
        <v>6.5</v>
      </c>
      <c r="R182">
        <v>2.2000000000000002</v>
      </c>
      <c r="S182">
        <v>21.7</v>
      </c>
      <c r="T182">
        <v>0</v>
      </c>
    </row>
    <row r="183" spans="1:20" x14ac:dyDescent="0.2">
      <c r="A183">
        <v>182</v>
      </c>
      <c r="B183" t="s">
        <v>623</v>
      </c>
      <c r="C183" t="s">
        <v>623</v>
      </c>
      <c r="D183" t="s">
        <v>102</v>
      </c>
      <c r="E183">
        <v>28</v>
      </c>
      <c r="F183" t="s">
        <v>1577</v>
      </c>
      <c r="G183">
        <v>14</v>
      </c>
      <c r="H183">
        <v>4</v>
      </c>
      <c r="I183">
        <v>31</v>
      </c>
      <c r="J183">
        <v>24</v>
      </c>
      <c r="K183">
        <v>0.77400000000000002</v>
      </c>
      <c r="L183">
        <v>345</v>
      </c>
      <c r="M183">
        <v>14.4</v>
      </c>
      <c r="N183">
        <v>2</v>
      </c>
      <c r="O183">
        <v>16</v>
      </c>
      <c r="P183">
        <v>33</v>
      </c>
      <c r="Q183">
        <v>11.1</v>
      </c>
      <c r="R183">
        <v>1.7</v>
      </c>
      <c r="S183">
        <v>24.6</v>
      </c>
      <c r="T183">
        <v>0</v>
      </c>
    </row>
    <row r="184" spans="1:20" x14ac:dyDescent="0.2">
      <c r="A184">
        <v>183</v>
      </c>
      <c r="B184" t="s">
        <v>171</v>
      </c>
      <c r="C184" t="s">
        <v>171</v>
      </c>
      <c r="D184" t="s">
        <v>82</v>
      </c>
      <c r="E184">
        <v>28</v>
      </c>
      <c r="F184" t="s">
        <v>1298</v>
      </c>
      <c r="G184">
        <v>7</v>
      </c>
      <c r="H184">
        <v>7</v>
      </c>
      <c r="I184">
        <v>43</v>
      </c>
      <c r="J184">
        <v>23</v>
      </c>
      <c r="K184">
        <v>0.53500000000000003</v>
      </c>
      <c r="L184">
        <v>319</v>
      </c>
      <c r="M184">
        <v>13.9</v>
      </c>
      <c r="N184">
        <v>3</v>
      </c>
      <c r="O184">
        <v>17</v>
      </c>
      <c r="P184">
        <v>43</v>
      </c>
      <c r="Q184">
        <v>7.4</v>
      </c>
      <c r="R184">
        <v>3.3</v>
      </c>
      <c r="S184">
        <v>45.6</v>
      </c>
      <c r="T184">
        <v>0</v>
      </c>
    </row>
    <row r="185" spans="1:20" x14ac:dyDescent="0.2">
      <c r="A185">
        <v>184</v>
      </c>
      <c r="B185" t="s">
        <v>322</v>
      </c>
      <c r="C185" t="s">
        <v>322</v>
      </c>
      <c r="D185" t="s">
        <v>730</v>
      </c>
      <c r="E185">
        <v>27</v>
      </c>
      <c r="G185">
        <v>16</v>
      </c>
      <c r="H185">
        <v>0</v>
      </c>
      <c r="I185">
        <v>33</v>
      </c>
      <c r="J185">
        <v>23</v>
      </c>
      <c r="K185">
        <v>0.69699999999999995</v>
      </c>
      <c r="L185">
        <v>162</v>
      </c>
      <c r="M185">
        <v>7</v>
      </c>
      <c r="N185">
        <v>0</v>
      </c>
      <c r="O185">
        <v>9</v>
      </c>
      <c r="P185">
        <v>30</v>
      </c>
      <c r="Q185">
        <v>4.9000000000000004</v>
      </c>
      <c r="R185">
        <v>1.4</v>
      </c>
      <c r="S185">
        <v>10.1</v>
      </c>
      <c r="T185">
        <v>1</v>
      </c>
    </row>
    <row r="186" spans="1:20" x14ac:dyDescent="0.2">
      <c r="A186">
        <v>185</v>
      </c>
      <c r="B186" t="s">
        <v>355</v>
      </c>
      <c r="C186" t="s">
        <v>355</v>
      </c>
      <c r="D186" t="s">
        <v>107</v>
      </c>
      <c r="E186">
        <v>30</v>
      </c>
      <c r="F186" t="s">
        <v>88</v>
      </c>
      <c r="G186">
        <v>14</v>
      </c>
      <c r="H186">
        <v>12</v>
      </c>
      <c r="I186">
        <v>33</v>
      </c>
      <c r="J186">
        <v>23</v>
      </c>
      <c r="K186">
        <v>0.69699999999999995</v>
      </c>
      <c r="L186">
        <v>251</v>
      </c>
      <c r="M186">
        <v>10.9</v>
      </c>
      <c r="N186">
        <v>3</v>
      </c>
      <c r="O186">
        <v>13</v>
      </c>
      <c r="P186">
        <v>28</v>
      </c>
      <c r="Q186">
        <v>7.6</v>
      </c>
      <c r="R186">
        <v>1.6</v>
      </c>
      <c r="S186">
        <v>17.899999999999999</v>
      </c>
      <c r="T186">
        <v>1</v>
      </c>
    </row>
    <row r="187" spans="1:20" x14ac:dyDescent="0.2">
      <c r="A187">
        <v>186</v>
      </c>
      <c r="B187" t="s">
        <v>492</v>
      </c>
      <c r="C187" t="s">
        <v>492</v>
      </c>
      <c r="D187" t="s">
        <v>93</v>
      </c>
      <c r="E187">
        <v>25</v>
      </c>
      <c r="F187" t="s">
        <v>1298</v>
      </c>
      <c r="G187">
        <v>16</v>
      </c>
      <c r="H187">
        <v>2</v>
      </c>
      <c r="I187">
        <v>44</v>
      </c>
      <c r="J187">
        <v>23</v>
      </c>
      <c r="K187">
        <v>0.52300000000000002</v>
      </c>
      <c r="L187">
        <v>293</v>
      </c>
      <c r="M187">
        <v>12.7</v>
      </c>
      <c r="N187">
        <v>2</v>
      </c>
      <c r="O187">
        <v>16</v>
      </c>
      <c r="P187">
        <v>40</v>
      </c>
      <c r="Q187">
        <v>6.7</v>
      </c>
      <c r="R187">
        <v>1.4</v>
      </c>
      <c r="S187">
        <v>18.3</v>
      </c>
      <c r="T187">
        <v>1</v>
      </c>
    </row>
    <row r="188" spans="1:20" x14ac:dyDescent="0.2">
      <c r="A188">
        <v>187</v>
      </c>
      <c r="B188" t="s">
        <v>328</v>
      </c>
      <c r="C188" t="s">
        <v>328</v>
      </c>
      <c r="D188" t="s">
        <v>77</v>
      </c>
      <c r="E188">
        <v>27</v>
      </c>
      <c r="G188">
        <v>7</v>
      </c>
      <c r="H188">
        <v>1</v>
      </c>
      <c r="I188">
        <v>35</v>
      </c>
      <c r="J188">
        <v>23</v>
      </c>
      <c r="K188">
        <v>0.65700000000000003</v>
      </c>
      <c r="L188">
        <v>228</v>
      </c>
      <c r="M188">
        <v>9.9</v>
      </c>
      <c r="N188">
        <v>2</v>
      </c>
      <c r="O188">
        <v>11</v>
      </c>
      <c r="P188">
        <v>23</v>
      </c>
      <c r="Q188">
        <v>6.5</v>
      </c>
      <c r="R188">
        <v>3.3</v>
      </c>
      <c r="S188">
        <v>32.6</v>
      </c>
      <c r="T188">
        <v>0</v>
      </c>
    </row>
    <row r="189" spans="1:20" x14ac:dyDescent="0.2">
      <c r="A189">
        <v>188</v>
      </c>
      <c r="B189" t="s">
        <v>400</v>
      </c>
      <c r="C189" t="s">
        <v>400</v>
      </c>
      <c r="D189" t="s">
        <v>1087</v>
      </c>
      <c r="E189">
        <v>25</v>
      </c>
      <c r="F189" t="s">
        <v>1298</v>
      </c>
      <c r="G189">
        <v>11</v>
      </c>
      <c r="H189">
        <v>7</v>
      </c>
      <c r="I189">
        <v>35</v>
      </c>
      <c r="J189">
        <v>23</v>
      </c>
      <c r="K189">
        <v>0.65700000000000003</v>
      </c>
      <c r="L189">
        <v>394</v>
      </c>
      <c r="M189">
        <v>17.100000000000001</v>
      </c>
      <c r="N189">
        <v>1</v>
      </c>
      <c r="O189">
        <v>15</v>
      </c>
      <c r="P189">
        <v>47</v>
      </c>
      <c r="Q189">
        <v>11.3</v>
      </c>
      <c r="R189">
        <v>2.1</v>
      </c>
      <c r="S189">
        <v>35.799999999999997</v>
      </c>
      <c r="T189">
        <v>2</v>
      </c>
    </row>
    <row r="190" spans="1:20" x14ac:dyDescent="0.2">
      <c r="A190">
        <v>189</v>
      </c>
      <c r="B190" t="s">
        <v>285</v>
      </c>
      <c r="C190" t="s">
        <v>285</v>
      </c>
      <c r="D190" t="s">
        <v>118</v>
      </c>
      <c r="E190">
        <v>23</v>
      </c>
      <c r="G190">
        <v>14</v>
      </c>
      <c r="H190">
        <v>0</v>
      </c>
      <c r="I190">
        <v>23</v>
      </c>
      <c r="J190">
        <v>23</v>
      </c>
      <c r="K190">
        <v>1</v>
      </c>
      <c r="L190">
        <v>148</v>
      </c>
      <c r="M190">
        <v>6.4</v>
      </c>
      <c r="N190">
        <v>0</v>
      </c>
      <c r="O190">
        <v>9</v>
      </c>
      <c r="P190">
        <v>35</v>
      </c>
      <c r="Q190">
        <v>6.4</v>
      </c>
      <c r="R190">
        <v>1.6</v>
      </c>
      <c r="S190">
        <v>10.6</v>
      </c>
      <c r="T190">
        <v>2</v>
      </c>
    </row>
    <row r="191" spans="1:20" x14ac:dyDescent="0.2">
      <c r="A191">
        <v>190</v>
      </c>
      <c r="B191" t="s">
        <v>338</v>
      </c>
      <c r="C191" t="s">
        <v>338</v>
      </c>
      <c r="D191" t="s">
        <v>71</v>
      </c>
      <c r="E191">
        <v>23</v>
      </c>
      <c r="F191" t="s">
        <v>1298</v>
      </c>
      <c r="G191">
        <v>9</v>
      </c>
      <c r="H191">
        <v>8</v>
      </c>
      <c r="I191">
        <v>44</v>
      </c>
      <c r="J191">
        <v>23</v>
      </c>
      <c r="K191">
        <v>0.52300000000000002</v>
      </c>
      <c r="L191">
        <v>357</v>
      </c>
      <c r="M191">
        <v>15.5</v>
      </c>
      <c r="N191">
        <v>0</v>
      </c>
      <c r="O191">
        <v>15</v>
      </c>
      <c r="P191">
        <v>30</v>
      </c>
      <c r="Q191">
        <v>8.1</v>
      </c>
      <c r="R191">
        <v>2.6</v>
      </c>
      <c r="S191">
        <v>39.700000000000003</v>
      </c>
      <c r="T191">
        <v>0</v>
      </c>
    </row>
    <row r="192" spans="1:20" x14ac:dyDescent="0.2">
      <c r="A192">
        <v>191</v>
      </c>
      <c r="B192" t="s">
        <v>1473</v>
      </c>
      <c r="C192" t="s">
        <v>1473</v>
      </c>
      <c r="D192" t="s">
        <v>1257</v>
      </c>
      <c r="E192">
        <v>30</v>
      </c>
      <c r="F192" t="s">
        <v>1666</v>
      </c>
      <c r="G192">
        <v>15</v>
      </c>
      <c r="H192">
        <v>7</v>
      </c>
      <c r="I192">
        <v>26</v>
      </c>
      <c r="J192">
        <v>23</v>
      </c>
      <c r="K192">
        <v>0.88500000000000001</v>
      </c>
      <c r="L192">
        <v>176</v>
      </c>
      <c r="M192">
        <v>7.7</v>
      </c>
      <c r="N192">
        <v>1</v>
      </c>
      <c r="O192">
        <v>8</v>
      </c>
      <c r="P192">
        <v>25</v>
      </c>
      <c r="Q192">
        <v>6.8</v>
      </c>
      <c r="R192">
        <v>1.5</v>
      </c>
      <c r="S192">
        <v>11.7</v>
      </c>
      <c r="T192">
        <v>1</v>
      </c>
    </row>
    <row r="193" spans="1:20" x14ac:dyDescent="0.2">
      <c r="A193">
        <v>192</v>
      </c>
      <c r="B193" t="s">
        <v>296</v>
      </c>
      <c r="C193" t="s">
        <v>296</v>
      </c>
      <c r="D193" t="s">
        <v>1257</v>
      </c>
      <c r="E193">
        <v>22</v>
      </c>
      <c r="F193" t="s">
        <v>1298</v>
      </c>
      <c r="G193">
        <v>11</v>
      </c>
      <c r="H193">
        <v>3</v>
      </c>
      <c r="I193">
        <v>27</v>
      </c>
      <c r="J193">
        <v>21</v>
      </c>
      <c r="K193">
        <v>0.77800000000000002</v>
      </c>
      <c r="L193">
        <v>213</v>
      </c>
      <c r="M193">
        <v>10.1</v>
      </c>
      <c r="N193">
        <v>0</v>
      </c>
      <c r="O193">
        <v>10</v>
      </c>
      <c r="P193">
        <v>27</v>
      </c>
      <c r="Q193">
        <v>7.9</v>
      </c>
      <c r="R193">
        <v>1.9</v>
      </c>
      <c r="S193">
        <v>19.399999999999999</v>
      </c>
      <c r="T193">
        <v>0</v>
      </c>
    </row>
    <row r="194" spans="1:20" x14ac:dyDescent="0.2">
      <c r="A194">
        <v>193</v>
      </c>
      <c r="B194" t="s">
        <v>1393</v>
      </c>
      <c r="C194" t="s">
        <v>1393</v>
      </c>
      <c r="D194" t="s">
        <v>1122</v>
      </c>
      <c r="E194">
        <v>34</v>
      </c>
      <c r="F194" t="s">
        <v>1298</v>
      </c>
      <c r="G194">
        <v>6</v>
      </c>
      <c r="H194">
        <v>1</v>
      </c>
      <c r="I194">
        <v>39</v>
      </c>
      <c r="J194">
        <v>21</v>
      </c>
      <c r="K194">
        <v>0.53800000000000003</v>
      </c>
      <c r="L194">
        <v>315</v>
      </c>
      <c r="M194">
        <v>15</v>
      </c>
      <c r="N194">
        <v>0</v>
      </c>
      <c r="O194">
        <v>18</v>
      </c>
      <c r="P194">
        <v>49</v>
      </c>
      <c r="Q194">
        <v>8.1</v>
      </c>
      <c r="R194">
        <v>3.5</v>
      </c>
      <c r="S194">
        <v>52.5</v>
      </c>
      <c r="T194">
        <v>0</v>
      </c>
    </row>
    <row r="195" spans="1:20" x14ac:dyDescent="0.2">
      <c r="A195">
        <v>194</v>
      </c>
      <c r="B195" t="s">
        <v>619</v>
      </c>
      <c r="C195" t="s">
        <v>619</v>
      </c>
      <c r="D195" t="s">
        <v>122</v>
      </c>
      <c r="E195">
        <v>34</v>
      </c>
      <c r="F195" t="s">
        <v>88</v>
      </c>
      <c r="G195">
        <v>16</v>
      </c>
      <c r="H195">
        <v>14</v>
      </c>
      <c r="I195">
        <v>28</v>
      </c>
      <c r="J195">
        <v>21</v>
      </c>
      <c r="K195">
        <v>0.75</v>
      </c>
      <c r="L195">
        <v>312</v>
      </c>
      <c r="M195">
        <v>14.9</v>
      </c>
      <c r="N195">
        <v>4</v>
      </c>
      <c r="O195">
        <v>16</v>
      </c>
      <c r="P195">
        <v>44</v>
      </c>
      <c r="Q195">
        <v>11.1</v>
      </c>
      <c r="R195">
        <v>1.3</v>
      </c>
      <c r="S195">
        <v>19.5</v>
      </c>
      <c r="T195">
        <v>0</v>
      </c>
    </row>
    <row r="196" spans="1:20" x14ac:dyDescent="0.2">
      <c r="A196">
        <v>195</v>
      </c>
      <c r="B196" t="s">
        <v>894</v>
      </c>
      <c r="C196" t="s">
        <v>894</v>
      </c>
      <c r="D196" t="s">
        <v>92</v>
      </c>
      <c r="E196">
        <v>26</v>
      </c>
      <c r="F196" t="s">
        <v>1392</v>
      </c>
      <c r="G196">
        <v>15</v>
      </c>
      <c r="H196">
        <v>10</v>
      </c>
      <c r="I196">
        <v>27</v>
      </c>
      <c r="J196">
        <v>21</v>
      </c>
      <c r="K196">
        <v>0.77800000000000002</v>
      </c>
      <c r="L196">
        <v>114</v>
      </c>
      <c r="M196">
        <v>5.4</v>
      </c>
      <c r="N196">
        <v>0</v>
      </c>
      <c r="O196">
        <v>6</v>
      </c>
      <c r="P196">
        <v>19</v>
      </c>
      <c r="Q196">
        <v>4.2</v>
      </c>
      <c r="R196">
        <v>1.4</v>
      </c>
      <c r="S196">
        <v>7.6</v>
      </c>
      <c r="T196">
        <v>1</v>
      </c>
    </row>
    <row r="197" spans="1:20" x14ac:dyDescent="0.2">
      <c r="A197">
        <v>196</v>
      </c>
      <c r="B197" t="s">
        <v>608</v>
      </c>
      <c r="C197" t="s">
        <v>608</v>
      </c>
      <c r="D197" t="s">
        <v>78</v>
      </c>
      <c r="E197">
        <v>24</v>
      </c>
      <c r="F197" t="s">
        <v>1298</v>
      </c>
      <c r="G197">
        <v>13</v>
      </c>
      <c r="H197">
        <v>2</v>
      </c>
      <c r="I197">
        <v>35</v>
      </c>
      <c r="J197">
        <v>21</v>
      </c>
      <c r="K197">
        <v>0.6</v>
      </c>
      <c r="L197">
        <v>224</v>
      </c>
      <c r="M197">
        <v>10.7</v>
      </c>
      <c r="N197">
        <v>2</v>
      </c>
      <c r="O197">
        <v>10</v>
      </c>
      <c r="P197">
        <v>54</v>
      </c>
      <c r="Q197">
        <v>6.4</v>
      </c>
      <c r="R197">
        <v>1.6</v>
      </c>
      <c r="S197">
        <v>17.2</v>
      </c>
      <c r="T197">
        <v>1</v>
      </c>
    </row>
    <row r="198" spans="1:20" x14ac:dyDescent="0.2">
      <c r="A198">
        <v>197</v>
      </c>
      <c r="B198" t="s">
        <v>130</v>
      </c>
      <c r="C198" t="s">
        <v>130</v>
      </c>
      <c r="D198" t="s">
        <v>74</v>
      </c>
      <c r="E198">
        <v>24</v>
      </c>
      <c r="F198" t="s">
        <v>1392</v>
      </c>
      <c r="G198">
        <v>6</v>
      </c>
      <c r="H198">
        <v>6</v>
      </c>
      <c r="I198">
        <v>26</v>
      </c>
      <c r="J198">
        <v>21</v>
      </c>
      <c r="K198">
        <v>0.80800000000000005</v>
      </c>
      <c r="L198">
        <v>138</v>
      </c>
      <c r="M198">
        <v>6.6</v>
      </c>
      <c r="N198">
        <v>1</v>
      </c>
      <c r="O198">
        <v>5</v>
      </c>
      <c r="P198">
        <v>19</v>
      </c>
      <c r="Q198">
        <v>5.3</v>
      </c>
      <c r="R198">
        <v>3.5</v>
      </c>
      <c r="S198">
        <v>23</v>
      </c>
      <c r="T198">
        <v>1</v>
      </c>
    </row>
    <row r="199" spans="1:20" x14ac:dyDescent="0.2">
      <c r="A199">
        <v>198</v>
      </c>
      <c r="B199" t="s">
        <v>1759</v>
      </c>
      <c r="C199" t="s">
        <v>288</v>
      </c>
      <c r="D199" t="s">
        <v>727</v>
      </c>
      <c r="E199">
        <v>29</v>
      </c>
      <c r="F199" t="s">
        <v>1298</v>
      </c>
      <c r="G199">
        <v>16</v>
      </c>
      <c r="H199">
        <v>3</v>
      </c>
      <c r="I199">
        <v>25</v>
      </c>
      <c r="J199">
        <v>21</v>
      </c>
      <c r="K199">
        <v>0.84</v>
      </c>
      <c r="L199">
        <v>132</v>
      </c>
      <c r="M199">
        <v>6.3</v>
      </c>
      <c r="N199">
        <v>0</v>
      </c>
      <c r="O199">
        <v>7</v>
      </c>
      <c r="P199">
        <v>25</v>
      </c>
      <c r="Q199">
        <v>5.3</v>
      </c>
      <c r="R199">
        <v>1.3</v>
      </c>
      <c r="S199">
        <v>8.3000000000000007</v>
      </c>
      <c r="T199">
        <v>0</v>
      </c>
    </row>
    <row r="200" spans="1:20" x14ac:dyDescent="0.2">
      <c r="A200">
        <v>199</v>
      </c>
      <c r="B200" t="s">
        <v>354</v>
      </c>
      <c r="C200" t="s">
        <v>354</v>
      </c>
      <c r="D200" t="s">
        <v>73</v>
      </c>
      <c r="E200">
        <v>26</v>
      </c>
      <c r="G200">
        <v>14</v>
      </c>
      <c r="H200">
        <v>0</v>
      </c>
      <c r="I200">
        <v>30</v>
      </c>
      <c r="J200">
        <v>20</v>
      </c>
      <c r="K200">
        <v>0.66700000000000004</v>
      </c>
      <c r="L200">
        <v>201</v>
      </c>
      <c r="M200">
        <v>10.1</v>
      </c>
      <c r="N200">
        <v>2</v>
      </c>
      <c r="O200">
        <v>12</v>
      </c>
      <c r="P200">
        <v>40</v>
      </c>
      <c r="Q200">
        <v>6.7</v>
      </c>
      <c r="R200">
        <v>1.4</v>
      </c>
      <c r="S200">
        <v>14.4</v>
      </c>
      <c r="T200">
        <v>2</v>
      </c>
    </row>
    <row r="201" spans="1:20" x14ac:dyDescent="0.2">
      <c r="A201">
        <v>200</v>
      </c>
      <c r="B201" t="s">
        <v>367</v>
      </c>
      <c r="C201" t="s">
        <v>367</v>
      </c>
      <c r="D201" t="s">
        <v>139</v>
      </c>
      <c r="E201">
        <v>22</v>
      </c>
      <c r="F201" t="s">
        <v>1298</v>
      </c>
      <c r="G201">
        <v>13</v>
      </c>
      <c r="H201">
        <v>2</v>
      </c>
      <c r="I201">
        <v>35</v>
      </c>
      <c r="J201">
        <v>20</v>
      </c>
      <c r="K201">
        <v>0.57099999999999995</v>
      </c>
      <c r="L201">
        <v>349</v>
      </c>
      <c r="M201">
        <v>17.5</v>
      </c>
      <c r="N201">
        <v>2</v>
      </c>
      <c r="O201">
        <v>16</v>
      </c>
      <c r="P201">
        <v>49</v>
      </c>
      <c r="Q201">
        <v>10</v>
      </c>
      <c r="R201">
        <v>1.5</v>
      </c>
      <c r="S201">
        <v>26.8</v>
      </c>
      <c r="T201">
        <v>0</v>
      </c>
    </row>
    <row r="202" spans="1:20" x14ac:dyDescent="0.2">
      <c r="A202">
        <v>201</v>
      </c>
      <c r="B202" t="s">
        <v>1924</v>
      </c>
      <c r="C202" t="s">
        <v>1924</v>
      </c>
      <c r="D202" t="s">
        <v>725</v>
      </c>
      <c r="E202">
        <v>23</v>
      </c>
      <c r="F202" t="s">
        <v>1298</v>
      </c>
      <c r="G202">
        <v>16</v>
      </c>
      <c r="H202">
        <v>3</v>
      </c>
      <c r="I202">
        <v>26</v>
      </c>
      <c r="J202">
        <v>20</v>
      </c>
      <c r="K202">
        <v>0.76900000000000002</v>
      </c>
      <c r="L202">
        <v>201</v>
      </c>
      <c r="M202">
        <v>10.1</v>
      </c>
      <c r="N202">
        <v>0</v>
      </c>
      <c r="O202">
        <v>8</v>
      </c>
      <c r="P202">
        <v>39</v>
      </c>
      <c r="Q202">
        <v>7.7</v>
      </c>
      <c r="R202">
        <v>1.3</v>
      </c>
      <c r="S202">
        <v>12.6</v>
      </c>
      <c r="T202">
        <v>0</v>
      </c>
    </row>
    <row r="203" spans="1:20" x14ac:dyDescent="0.2">
      <c r="A203">
        <v>202</v>
      </c>
      <c r="B203" t="s">
        <v>194</v>
      </c>
      <c r="C203" t="s">
        <v>194</v>
      </c>
      <c r="D203" t="s">
        <v>139</v>
      </c>
      <c r="E203">
        <v>27</v>
      </c>
      <c r="F203" t="s">
        <v>1298</v>
      </c>
      <c r="G203">
        <v>5</v>
      </c>
      <c r="H203">
        <v>5</v>
      </c>
      <c r="I203">
        <v>32</v>
      </c>
      <c r="J203">
        <v>20</v>
      </c>
      <c r="K203">
        <v>0.625</v>
      </c>
      <c r="L203">
        <v>338</v>
      </c>
      <c r="M203">
        <v>16.899999999999999</v>
      </c>
      <c r="N203">
        <v>2</v>
      </c>
      <c r="O203">
        <v>16</v>
      </c>
      <c r="P203">
        <v>48</v>
      </c>
      <c r="Q203">
        <v>10.6</v>
      </c>
      <c r="R203">
        <v>4</v>
      </c>
      <c r="S203">
        <v>67.599999999999994</v>
      </c>
      <c r="T203">
        <v>0</v>
      </c>
    </row>
    <row r="204" spans="1:20" x14ac:dyDescent="0.2">
      <c r="A204">
        <v>203</v>
      </c>
      <c r="B204" t="s">
        <v>286</v>
      </c>
      <c r="C204" t="s">
        <v>286</v>
      </c>
      <c r="D204" t="s">
        <v>1257</v>
      </c>
      <c r="E204">
        <v>23</v>
      </c>
      <c r="F204" t="s">
        <v>1298</v>
      </c>
      <c r="G204">
        <v>9</v>
      </c>
      <c r="H204">
        <v>2</v>
      </c>
      <c r="I204">
        <v>25</v>
      </c>
      <c r="J204">
        <v>20</v>
      </c>
      <c r="K204">
        <v>0.8</v>
      </c>
      <c r="L204">
        <v>186</v>
      </c>
      <c r="M204">
        <v>9.3000000000000007</v>
      </c>
      <c r="N204">
        <v>1</v>
      </c>
      <c r="O204">
        <v>10</v>
      </c>
      <c r="P204">
        <v>40</v>
      </c>
      <c r="Q204">
        <v>7.4</v>
      </c>
      <c r="R204">
        <v>2.2000000000000002</v>
      </c>
      <c r="S204">
        <v>20.7</v>
      </c>
      <c r="T204">
        <v>3</v>
      </c>
    </row>
    <row r="205" spans="1:20" x14ac:dyDescent="0.2">
      <c r="A205">
        <v>204</v>
      </c>
      <c r="B205" t="s">
        <v>360</v>
      </c>
      <c r="C205" t="s">
        <v>360</v>
      </c>
      <c r="D205" t="s">
        <v>118</v>
      </c>
      <c r="E205">
        <v>24</v>
      </c>
      <c r="G205">
        <v>12</v>
      </c>
      <c r="H205">
        <v>0</v>
      </c>
      <c r="I205">
        <v>26</v>
      </c>
      <c r="J205">
        <v>20</v>
      </c>
      <c r="K205">
        <v>0.76900000000000002</v>
      </c>
      <c r="L205">
        <v>398</v>
      </c>
      <c r="M205">
        <v>19.899999999999999</v>
      </c>
      <c r="N205">
        <v>3</v>
      </c>
      <c r="O205">
        <v>15</v>
      </c>
      <c r="P205">
        <v>55</v>
      </c>
      <c r="Q205">
        <v>15.3</v>
      </c>
      <c r="R205">
        <v>1.7</v>
      </c>
      <c r="S205">
        <v>33.200000000000003</v>
      </c>
      <c r="T205">
        <v>0</v>
      </c>
    </row>
    <row r="206" spans="1:20" x14ac:dyDescent="0.2">
      <c r="A206">
        <v>205</v>
      </c>
      <c r="B206" t="s">
        <v>1931</v>
      </c>
      <c r="C206" t="s">
        <v>1931</v>
      </c>
      <c r="D206" t="s">
        <v>99</v>
      </c>
      <c r="E206">
        <v>24</v>
      </c>
      <c r="F206" t="s">
        <v>1298</v>
      </c>
      <c r="G206">
        <v>16</v>
      </c>
      <c r="H206">
        <v>2</v>
      </c>
      <c r="I206">
        <v>22</v>
      </c>
      <c r="J206">
        <v>20</v>
      </c>
      <c r="K206">
        <v>0.90900000000000003</v>
      </c>
      <c r="L206">
        <v>77</v>
      </c>
      <c r="M206">
        <v>3.9</v>
      </c>
      <c r="N206">
        <v>0</v>
      </c>
      <c r="O206">
        <v>3</v>
      </c>
      <c r="P206">
        <v>13</v>
      </c>
      <c r="Q206">
        <v>3.5</v>
      </c>
      <c r="R206">
        <v>1.3</v>
      </c>
      <c r="S206">
        <v>4.8</v>
      </c>
      <c r="T206">
        <v>2</v>
      </c>
    </row>
    <row r="207" spans="1:20" x14ac:dyDescent="0.2">
      <c r="A207">
        <v>206</v>
      </c>
      <c r="B207" t="s">
        <v>616</v>
      </c>
      <c r="C207" t="s">
        <v>616</v>
      </c>
      <c r="D207" t="s">
        <v>70</v>
      </c>
      <c r="E207">
        <v>24</v>
      </c>
      <c r="F207" t="s">
        <v>1577</v>
      </c>
      <c r="G207">
        <v>16</v>
      </c>
      <c r="H207">
        <v>8</v>
      </c>
      <c r="I207">
        <v>31</v>
      </c>
      <c r="J207">
        <v>20</v>
      </c>
      <c r="K207">
        <v>0.64500000000000002</v>
      </c>
      <c r="L207">
        <v>145</v>
      </c>
      <c r="M207">
        <v>7.3</v>
      </c>
      <c r="N207">
        <v>1</v>
      </c>
      <c r="O207">
        <v>11</v>
      </c>
      <c r="P207">
        <v>21</v>
      </c>
      <c r="Q207">
        <v>4.7</v>
      </c>
      <c r="R207">
        <v>1.3</v>
      </c>
      <c r="S207">
        <v>9.1</v>
      </c>
      <c r="T207">
        <v>1</v>
      </c>
    </row>
    <row r="208" spans="1:20" x14ac:dyDescent="0.2">
      <c r="A208">
        <v>207</v>
      </c>
      <c r="B208" t="s">
        <v>1889</v>
      </c>
      <c r="C208" t="s">
        <v>1889</v>
      </c>
      <c r="D208" t="s">
        <v>1052</v>
      </c>
      <c r="E208">
        <v>30</v>
      </c>
      <c r="G208">
        <v>8</v>
      </c>
      <c r="H208">
        <v>0</v>
      </c>
      <c r="I208">
        <v>23</v>
      </c>
      <c r="J208">
        <v>20</v>
      </c>
      <c r="K208">
        <v>0.87</v>
      </c>
      <c r="L208">
        <v>146</v>
      </c>
      <c r="M208">
        <v>7.3</v>
      </c>
      <c r="N208">
        <v>1</v>
      </c>
      <c r="O208">
        <v>5</v>
      </c>
      <c r="P208">
        <v>15</v>
      </c>
      <c r="Q208">
        <v>6.3</v>
      </c>
      <c r="R208">
        <v>2.5</v>
      </c>
      <c r="S208">
        <v>18.3</v>
      </c>
      <c r="T208">
        <v>0</v>
      </c>
    </row>
    <row r="209" spans="1:20" x14ac:dyDescent="0.2">
      <c r="A209">
        <v>208</v>
      </c>
      <c r="B209" t="s">
        <v>318</v>
      </c>
      <c r="C209" t="s">
        <v>318</v>
      </c>
      <c r="D209" t="s">
        <v>101</v>
      </c>
      <c r="E209">
        <v>23</v>
      </c>
      <c r="F209" t="s">
        <v>1298</v>
      </c>
      <c r="G209">
        <v>11</v>
      </c>
      <c r="H209">
        <v>2</v>
      </c>
      <c r="I209">
        <v>32</v>
      </c>
      <c r="J209">
        <v>20</v>
      </c>
      <c r="K209">
        <v>0.625</v>
      </c>
      <c r="L209">
        <v>274</v>
      </c>
      <c r="M209">
        <v>13.7</v>
      </c>
      <c r="N209">
        <v>1</v>
      </c>
      <c r="O209">
        <v>16</v>
      </c>
      <c r="P209">
        <v>51</v>
      </c>
      <c r="Q209">
        <v>8.6</v>
      </c>
      <c r="R209">
        <v>1.8</v>
      </c>
      <c r="S209">
        <v>24.9</v>
      </c>
      <c r="T209">
        <v>0</v>
      </c>
    </row>
    <row r="210" spans="1:20" x14ac:dyDescent="0.2">
      <c r="A210">
        <v>209</v>
      </c>
      <c r="B210" t="s">
        <v>2120</v>
      </c>
      <c r="C210" t="s">
        <v>2120</v>
      </c>
      <c r="D210" t="s">
        <v>725</v>
      </c>
      <c r="E210">
        <v>24</v>
      </c>
      <c r="F210" t="s">
        <v>83</v>
      </c>
      <c r="G210">
        <v>16</v>
      </c>
      <c r="H210">
        <v>13</v>
      </c>
      <c r="I210">
        <v>33</v>
      </c>
      <c r="J210">
        <v>19</v>
      </c>
      <c r="K210">
        <v>0.57599999999999996</v>
      </c>
      <c r="L210">
        <v>266</v>
      </c>
      <c r="M210">
        <v>14</v>
      </c>
      <c r="N210">
        <v>4</v>
      </c>
      <c r="O210">
        <v>14</v>
      </c>
      <c r="P210">
        <v>43</v>
      </c>
      <c r="Q210">
        <v>8.1</v>
      </c>
      <c r="R210">
        <v>1.2</v>
      </c>
      <c r="S210">
        <v>16.600000000000001</v>
      </c>
      <c r="T210">
        <v>0</v>
      </c>
    </row>
    <row r="211" spans="1:20" x14ac:dyDescent="0.2">
      <c r="A211">
        <v>210</v>
      </c>
      <c r="B211" t="s">
        <v>617</v>
      </c>
      <c r="C211" t="s">
        <v>617</v>
      </c>
      <c r="D211" t="s">
        <v>73</v>
      </c>
      <c r="E211">
        <v>25</v>
      </c>
      <c r="F211" t="s">
        <v>1577</v>
      </c>
      <c r="G211">
        <v>16</v>
      </c>
      <c r="H211">
        <v>2</v>
      </c>
      <c r="I211">
        <v>26</v>
      </c>
      <c r="J211">
        <v>19</v>
      </c>
      <c r="K211">
        <v>0.73099999999999998</v>
      </c>
      <c r="L211">
        <v>194</v>
      </c>
      <c r="M211">
        <v>10.199999999999999</v>
      </c>
      <c r="N211">
        <v>1</v>
      </c>
      <c r="O211">
        <v>11</v>
      </c>
      <c r="P211">
        <v>30</v>
      </c>
      <c r="Q211">
        <v>7.5</v>
      </c>
      <c r="R211">
        <v>1.2</v>
      </c>
      <c r="S211">
        <v>12.1</v>
      </c>
      <c r="T211">
        <v>1</v>
      </c>
    </row>
    <row r="212" spans="1:20" x14ac:dyDescent="0.2">
      <c r="A212">
        <v>211</v>
      </c>
      <c r="B212" t="s">
        <v>631</v>
      </c>
      <c r="C212" t="s">
        <v>631</v>
      </c>
      <c r="D212" t="s">
        <v>1087</v>
      </c>
      <c r="E212">
        <v>25</v>
      </c>
      <c r="F212" t="s">
        <v>1577</v>
      </c>
      <c r="G212">
        <v>16</v>
      </c>
      <c r="H212">
        <v>9</v>
      </c>
      <c r="I212">
        <v>24</v>
      </c>
      <c r="J212">
        <v>19</v>
      </c>
      <c r="K212">
        <v>0.79200000000000004</v>
      </c>
      <c r="L212">
        <v>245</v>
      </c>
      <c r="M212">
        <v>12.9</v>
      </c>
      <c r="N212">
        <v>1</v>
      </c>
      <c r="O212">
        <v>10</v>
      </c>
      <c r="P212">
        <v>36</v>
      </c>
      <c r="Q212">
        <v>10.199999999999999</v>
      </c>
      <c r="R212">
        <v>1.2</v>
      </c>
      <c r="S212">
        <v>15.3</v>
      </c>
      <c r="T212">
        <v>0</v>
      </c>
    </row>
    <row r="213" spans="1:20" x14ac:dyDescent="0.2">
      <c r="A213">
        <v>212</v>
      </c>
      <c r="B213" t="s">
        <v>1583</v>
      </c>
      <c r="C213" t="s">
        <v>76</v>
      </c>
      <c r="D213" t="s">
        <v>77</v>
      </c>
      <c r="E213">
        <v>26</v>
      </c>
      <c r="F213" t="s">
        <v>68</v>
      </c>
      <c r="G213">
        <v>16</v>
      </c>
      <c r="H213">
        <v>16</v>
      </c>
      <c r="I213">
        <v>31</v>
      </c>
      <c r="J213">
        <v>19</v>
      </c>
      <c r="K213">
        <v>0.61299999999999999</v>
      </c>
      <c r="L213">
        <v>114</v>
      </c>
      <c r="M213">
        <v>6</v>
      </c>
      <c r="N213">
        <v>0</v>
      </c>
      <c r="O213">
        <v>4</v>
      </c>
      <c r="P213">
        <v>53</v>
      </c>
      <c r="Q213">
        <v>3.7</v>
      </c>
      <c r="R213">
        <v>1.2</v>
      </c>
      <c r="S213">
        <v>7.1</v>
      </c>
      <c r="T213">
        <v>3</v>
      </c>
    </row>
    <row r="214" spans="1:20" x14ac:dyDescent="0.2">
      <c r="A214">
        <v>213</v>
      </c>
      <c r="B214" t="s">
        <v>362</v>
      </c>
      <c r="C214" t="s">
        <v>362</v>
      </c>
      <c r="D214" t="s">
        <v>118</v>
      </c>
      <c r="E214">
        <v>24</v>
      </c>
      <c r="F214" t="s">
        <v>1392</v>
      </c>
      <c r="G214">
        <v>9</v>
      </c>
      <c r="H214">
        <v>4</v>
      </c>
      <c r="I214">
        <v>24</v>
      </c>
      <c r="J214">
        <v>19</v>
      </c>
      <c r="K214">
        <v>0.79200000000000004</v>
      </c>
      <c r="L214">
        <v>173</v>
      </c>
      <c r="M214">
        <v>9.1</v>
      </c>
      <c r="N214">
        <v>0</v>
      </c>
      <c r="O214">
        <v>7</v>
      </c>
      <c r="P214">
        <v>34</v>
      </c>
      <c r="Q214">
        <v>7.2</v>
      </c>
      <c r="R214">
        <v>2.1</v>
      </c>
      <c r="S214">
        <v>19.2</v>
      </c>
      <c r="T214">
        <v>0</v>
      </c>
    </row>
    <row r="215" spans="1:20" x14ac:dyDescent="0.2">
      <c r="A215">
        <v>214</v>
      </c>
      <c r="B215" t="s">
        <v>896</v>
      </c>
      <c r="C215" t="s">
        <v>896</v>
      </c>
      <c r="D215" t="s">
        <v>730</v>
      </c>
      <c r="E215">
        <v>24</v>
      </c>
      <c r="G215">
        <v>16</v>
      </c>
      <c r="H215">
        <v>0</v>
      </c>
      <c r="I215">
        <v>31</v>
      </c>
      <c r="J215">
        <v>19</v>
      </c>
      <c r="K215">
        <v>0.61299999999999999</v>
      </c>
      <c r="L215">
        <v>220</v>
      </c>
      <c r="M215">
        <v>11.6</v>
      </c>
      <c r="N215">
        <v>1</v>
      </c>
      <c r="O215">
        <v>11</v>
      </c>
      <c r="P215">
        <v>31</v>
      </c>
      <c r="Q215">
        <v>7.1</v>
      </c>
      <c r="R215">
        <v>1.2</v>
      </c>
      <c r="S215">
        <v>13.8</v>
      </c>
      <c r="T215">
        <v>1</v>
      </c>
    </row>
    <row r="216" spans="1:20" x14ac:dyDescent="0.2">
      <c r="A216">
        <v>215</v>
      </c>
      <c r="B216" t="s">
        <v>330</v>
      </c>
      <c r="C216" t="s">
        <v>330</v>
      </c>
      <c r="D216" t="s">
        <v>139</v>
      </c>
      <c r="E216">
        <v>23</v>
      </c>
      <c r="F216" t="s">
        <v>1392</v>
      </c>
      <c r="G216">
        <v>16</v>
      </c>
      <c r="H216">
        <v>2</v>
      </c>
      <c r="I216">
        <v>26</v>
      </c>
      <c r="J216">
        <v>19</v>
      </c>
      <c r="K216">
        <v>0.73099999999999998</v>
      </c>
      <c r="L216">
        <v>187</v>
      </c>
      <c r="M216">
        <v>9.8000000000000007</v>
      </c>
      <c r="N216">
        <v>1</v>
      </c>
      <c r="O216">
        <v>11</v>
      </c>
      <c r="P216">
        <v>20</v>
      </c>
      <c r="Q216">
        <v>7.2</v>
      </c>
      <c r="R216">
        <v>1.2</v>
      </c>
      <c r="S216">
        <v>11.7</v>
      </c>
      <c r="T216">
        <v>1</v>
      </c>
    </row>
    <row r="217" spans="1:20" x14ac:dyDescent="0.2">
      <c r="A217">
        <v>216</v>
      </c>
      <c r="B217" t="s">
        <v>1823</v>
      </c>
      <c r="C217" t="s">
        <v>468</v>
      </c>
      <c r="D217" t="s">
        <v>1087</v>
      </c>
      <c r="E217">
        <v>29</v>
      </c>
      <c r="F217" t="s">
        <v>1824</v>
      </c>
      <c r="G217">
        <v>16</v>
      </c>
      <c r="H217">
        <v>15</v>
      </c>
      <c r="I217">
        <v>29</v>
      </c>
      <c r="J217">
        <v>19</v>
      </c>
      <c r="K217">
        <v>0.65500000000000003</v>
      </c>
      <c r="L217">
        <v>202</v>
      </c>
      <c r="M217">
        <v>10.6</v>
      </c>
      <c r="N217">
        <v>4</v>
      </c>
      <c r="O217">
        <v>10</v>
      </c>
      <c r="P217">
        <v>41</v>
      </c>
      <c r="Q217">
        <v>7</v>
      </c>
      <c r="R217">
        <v>1.2</v>
      </c>
      <c r="S217">
        <v>12.6</v>
      </c>
      <c r="T217">
        <v>1</v>
      </c>
    </row>
    <row r="218" spans="1:20" x14ac:dyDescent="0.2">
      <c r="A218">
        <v>217</v>
      </c>
      <c r="B218" t="s">
        <v>1801</v>
      </c>
      <c r="C218" t="s">
        <v>1801</v>
      </c>
      <c r="D218" t="s">
        <v>92</v>
      </c>
      <c r="E218">
        <v>30</v>
      </c>
      <c r="G218">
        <v>16</v>
      </c>
      <c r="H218">
        <v>0</v>
      </c>
      <c r="I218">
        <v>30</v>
      </c>
      <c r="J218">
        <v>19</v>
      </c>
      <c r="K218">
        <v>0.63300000000000001</v>
      </c>
      <c r="L218">
        <v>127</v>
      </c>
      <c r="M218">
        <v>6.7</v>
      </c>
      <c r="N218">
        <v>1</v>
      </c>
      <c r="O218">
        <v>8</v>
      </c>
      <c r="P218">
        <v>17</v>
      </c>
      <c r="Q218">
        <v>4.2</v>
      </c>
      <c r="R218">
        <v>1.2</v>
      </c>
      <c r="S218">
        <v>7.9</v>
      </c>
      <c r="T218">
        <v>3</v>
      </c>
    </row>
    <row r="219" spans="1:20" x14ac:dyDescent="0.2">
      <c r="A219">
        <v>218</v>
      </c>
      <c r="B219" t="s">
        <v>392</v>
      </c>
      <c r="C219" t="s">
        <v>392</v>
      </c>
      <c r="D219" t="s">
        <v>82</v>
      </c>
      <c r="E219">
        <v>24</v>
      </c>
      <c r="F219" t="s">
        <v>1577</v>
      </c>
      <c r="G219">
        <v>13</v>
      </c>
      <c r="H219">
        <v>5</v>
      </c>
      <c r="I219">
        <v>29</v>
      </c>
      <c r="J219">
        <v>19</v>
      </c>
      <c r="K219">
        <v>0.65500000000000003</v>
      </c>
      <c r="L219">
        <v>213</v>
      </c>
      <c r="M219">
        <v>11.2</v>
      </c>
      <c r="N219">
        <v>2</v>
      </c>
      <c r="O219">
        <v>13</v>
      </c>
      <c r="P219">
        <v>28</v>
      </c>
      <c r="Q219">
        <v>7.3</v>
      </c>
      <c r="R219">
        <v>1.5</v>
      </c>
      <c r="S219">
        <v>16.399999999999999</v>
      </c>
      <c r="T219">
        <v>0</v>
      </c>
    </row>
    <row r="220" spans="1:20" x14ac:dyDescent="0.2">
      <c r="A220">
        <v>219</v>
      </c>
      <c r="B220" t="s">
        <v>1811</v>
      </c>
      <c r="C220" t="s">
        <v>1811</v>
      </c>
      <c r="D220" t="s">
        <v>933</v>
      </c>
      <c r="E220">
        <v>27</v>
      </c>
      <c r="G220">
        <v>13</v>
      </c>
      <c r="H220">
        <v>0</v>
      </c>
      <c r="I220">
        <v>23</v>
      </c>
      <c r="J220">
        <v>19</v>
      </c>
      <c r="K220">
        <v>0.82599999999999996</v>
      </c>
      <c r="L220">
        <v>138</v>
      </c>
      <c r="M220">
        <v>7.3</v>
      </c>
      <c r="N220">
        <v>0</v>
      </c>
      <c r="O220">
        <v>5</v>
      </c>
      <c r="P220">
        <v>19</v>
      </c>
      <c r="Q220">
        <v>6</v>
      </c>
      <c r="R220">
        <v>1.5</v>
      </c>
      <c r="S220">
        <v>10.6</v>
      </c>
      <c r="T220">
        <v>1</v>
      </c>
    </row>
    <row r="221" spans="1:20" x14ac:dyDescent="0.2">
      <c r="A221">
        <v>220</v>
      </c>
      <c r="B221" t="s">
        <v>1689</v>
      </c>
      <c r="C221" t="s">
        <v>1689</v>
      </c>
      <c r="D221" t="s">
        <v>725</v>
      </c>
      <c r="E221">
        <v>22</v>
      </c>
      <c r="F221" t="s">
        <v>1392</v>
      </c>
      <c r="G221">
        <v>15</v>
      </c>
      <c r="H221">
        <v>1</v>
      </c>
      <c r="I221">
        <v>24</v>
      </c>
      <c r="J221">
        <v>18</v>
      </c>
      <c r="K221">
        <v>0.75</v>
      </c>
      <c r="L221">
        <v>120</v>
      </c>
      <c r="M221">
        <v>6.7</v>
      </c>
      <c r="N221">
        <v>0</v>
      </c>
      <c r="O221">
        <v>4</v>
      </c>
      <c r="P221">
        <v>19</v>
      </c>
      <c r="Q221">
        <v>5</v>
      </c>
      <c r="R221">
        <v>1.2</v>
      </c>
      <c r="S221">
        <v>8</v>
      </c>
      <c r="T221">
        <v>2</v>
      </c>
    </row>
    <row r="222" spans="1:20" x14ac:dyDescent="0.2">
      <c r="A222">
        <v>221</v>
      </c>
      <c r="B222" t="s">
        <v>539</v>
      </c>
      <c r="C222" t="s">
        <v>539</v>
      </c>
      <c r="D222" t="s">
        <v>1726</v>
      </c>
      <c r="E222">
        <v>27</v>
      </c>
      <c r="G222">
        <v>12</v>
      </c>
      <c r="H222">
        <v>6</v>
      </c>
      <c r="I222">
        <v>32</v>
      </c>
      <c r="J222">
        <v>18</v>
      </c>
      <c r="K222">
        <v>0.56299999999999994</v>
      </c>
      <c r="L222">
        <v>302</v>
      </c>
      <c r="M222">
        <v>16.8</v>
      </c>
      <c r="N222">
        <v>2</v>
      </c>
      <c r="O222">
        <v>10</v>
      </c>
      <c r="P222">
        <v>73</v>
      </c>
      <c r="Q222">
        <v>9.4</v>
      </c>
      <c r="R222">
        <v>1.5</v>
      </c>
      <c r="S222">
        <v>25.2</v>
      </c>
      <c r="T222">
        <v>0</v>
      </c>
    </row>
    <row r="223" spans="1:20" x14ac:dyDescent="0.2">
      <c r="A223">
        <v>222</v>
      </c>
      <c r="B223" t="s">
        <v>2121</v>
      </c>
      <c r="C223" t="s">
        <v>2121</v>
      </c>
      <c r="D223" t="s">
        <v>119</v>
      </c>
      <c r="E223">
        <v>31</v>
      </c>
      <c r="G223">
        <v>10</v>
      </c>
      <c r="H223">
        <v>2</v>
      </c>
      <c r="I223">
        <v>28</v>
      </c>
      <c r="J223">
        <v>18</v>
      </c>
      <c r="K223">
        <v>0.64300000000000002</v>
      </c>
      <c r="L223">
        <v>163</v>
      </c>
      <c r="M223">
        <v>9.1</v>
      </c>
      <c r="N223">
        <v>2</v>
      </c>
      <c r="O223">
        <v>11</v>
      </c>
      <c r="P223">
        <v>17</v>
      </c>
      <c r="Q223">
        <v>5.8</v>
      </c>
      <c r="R223">
        <v>1.8</v>
      </c>
      <c r="S223">
        <v>16.3</v>
      </c>
      <c r="T223">
        <v>1</v>
      </c>
    </row>
    <row r="224" spans="1:20" x14ac:dyDescent="0.2">
      <c r="A224">
        <v>223</v>
      </c>
      <c r="B224" t="s">
        <v>366</v>
      </c>
      <c r="C224" t="s">
        <v>366</v>
      </c>
      <c r="D224" t="s">
        <v>1052</v>
      </c>
      <c r="E224">
        <v>23</v>
      </c>
      <c r="G224">
        <v>14</v>
      </c>
      <c r="H224">
        <v>0</v>
      </c>
      <c r="I224">
        <v>31</v>
      </c>
      <c r="J224">
        <v>18</v>
      </c>
      <c r="K224">
        <v>0.58099999999999996</v>
      </c>
      <c r="L224">
        <v>272</v>
      </c>
      <c r="M224">
        <v>15.1</v>
      </c>
      <c r="N224">
        <v>2</v>
      </c>
      <c r="O224">
        <v>12</v>
      </c>
      <c r="P224">
        <v>46</v>
      </c>
      <c r="Q224">
        <v>8.8000000000000007</v>
      </c>
      <c r="R224">
        <v>1.3</v>
      </c>
      <c r="S224">
        <v>19.399999999999999</v>
      </c>
      <c r="T224">
        <v>0</v>
      </c>
    </row>
    <row r="225" spans="1:20" x14ac:dyDescent="0.2">
      <c r="A225">
        <v>224</v>
      </c>
      <c r="B225" t="s">
        <v>640</v>
      </c>
      <c r="C225" t="s">
        <v>640</v>
      </c>
      <c r="D225" t="s">
        <v>92</v>
      </c>
      <c r="E225">
        <v>23</v>
      </c>
      <c r="F225" t="s">
        <v>88</v>
      </c>
      <c r="G225">
        <v>15</v>
      </c>
      <c r="H225">
        <v>12</v>
      </c>
      <c r="I225">
        <v>21</v>
      </c>
      <c r="J225">
        <v>18</v>
      </c>
      <c r="K225">
        <v>0.85699999999999998</v>
      </c>
      <c r="L225">
        <v>112</v>
      </c>
      <c r="M225">
        <v>6.2</v>
      </c>
      <c r="N225">
        <v>0</v>
      </c>
      <c r="O225">
        <v>7</v>
      </c>
      <c r="P225">
        <v>16</v>
      </c>
      <c r="Q225">
        <v>5.3</v>
      </c>
      <c r="R225">
        <v>1.2</v>
      </c>
      <c r="S225">
        <v>7.5</v>
      </c>
      <c r="T225">
        <v>1</v>
      </c>
    </row>
    <row r="226" spans="1:20" x14ac:dyDescent="0.2">
      <c r="A226">
        <v>225</v>
      </c>
      <c r="B226" t="s">
        <v>306</v>
      </c>
      <c r="C226" t="s">
        <v>306</v>
      </c>
      <c r="D226" t="s">
        <v>1040</v>
      </c>
      <c r="E226">
        <v>25</v>
      </c>
      <c r="G226">
        <v>16</v>
      </c>
      <c r="H226">
        <v>0</v>
      </c>
      <c r="I226">
        <v>26</v>
      </c>
      <c r="J226">
        <v>18</v>
      </c>
      <c r="K226">
        <v>0.69199999999999995</v>
      </c>
      <c r="L226">
        <v>116</v>
      </c>
      <c r="M226">
        <v>6.4</v>
      </c>
      <c r="N226">
        <v>0</v>
      </c>
      <c r="O226">
        <v>6</v>
      </c>
      <c r="P226">
        <v>15</v>
      </c>
      <c r="Q226">
        <v>4.5</v>
      </c>
      <c r="R226">
        <v>1.1000000000000001</v>
      </c>
      <c r="S226">
        <v>7.3</v>
      </c>
      <c r="T226">
        <v>0</v>
      </c>
    </row>
    <row r="227" spans="1:20" x14ac:dyDescent="0.2">
      <c r="A227">
        <v>226</v>
      </c>
      <c r="B227" t="s">
        <v>324</v>
      </c>
      <c r="C227" t="s">
        <v>324</v>
      </c>
      <c r="D227" t="s">
        <v>142</v>
      </c>
      <c r="E227">
        <v>23</v>
      </c>
      <c r="F227" t="s">
        <v>1298</v>
      </c>
      <c r="G227">
        <v>8</v>
      </c>
      <c r="H227">
        <v>7</v>
      </c>
      <c r="I227">
        <v>35</v>
      </c>
      <c r="J227">
        <v>18</v>
      </c>
      <c r="K227">
        <v>0.51400000000000001</v>
      </c>
      <c r="L227">
        <v>288</v>
      </c>
      <c r="M227">
        <v>16</v>
      </c>
      <c r="N227">
        <v>4</v>
      </c>
      <c r="O227">
        <v>14</v>
      </c>
      <c r="P227">
        <v>47</v>
      </c>
      <c r="Q227">
        <v>8.1999999999999993</v>
      </c>
      <c r="R227">
        <v>2.2999999999999998</v>
      </c>
      <c r="S227">
        <v>36</v>
      </c>
      <c r="T227">
        <v>0</v>
      </c>
    </row>
    <row r="228" spans="1:20" x14ac:dyDescent="0.2">
      <c r="A228">
        <v>227</v>
      </c>
      <c r="B228" t="s">
        <v>279</v>
      </c>
      <c r="C228" t="s">
        <v>279</v>
      </c>
      <c r="D228" t="s">
        <v>933</v>
      </c>
      <c r="E228">
        <v>28</v>
      </c>
      <c r="F228" t="s">
        <v>1392</v>
      </c>
      <c r="G228">
        <v>16</v>
      </c>
      <c r="H228">
        <v>1</v>
      </c>
      <c r="I228">
        <v>21</v>
      </c>
      <c r="J228">
        <v>17</v>
      </c>
      <c r="K228">
        <v>0.81</v>
      </c>
      <c r="L228">
        <v>84</v>
      </c>
      <c r="M228">
        <v>4.9000000000000004</v>
      </c>
      <c r="N228">
        <v>0</v>
      </c>
      <c r="O228">
        <v>2</v>
      </c>
      <c r="P228">
        <v>17</v>
      </c>
      <c r="Q228">
        <v>4</v>
      </c>
      <c r="R228">
        <v>1.1000000000000001</v>
      </c>
      <c r="S228">
        <v>5.3</v>
      </c>
      <c r="T228">
        <v>1</v>
      </c>
    </row>
    <row r="229" spans="1:20" x14ac:dyDescent="0.2">
      <c r="A229">
        <v>228</v>
      </c>
      <c r="B229" t="s">
        <v>428</v>
      </c>
      <c r="C229" t="s">
        <v>428</v>
      </c>
      <c r="D229" t="s">
        <v>108</v>
      </c>
      <c r="E229">
        <v>22</v>
      </c>
      <c r="F229" t="s">
        <v>1392</v>
      </c>
      <c r="G229">
        <v>12</v>
      </c>
      <c r="H229">
        <v>2</v>
      </c>
      <c r="I229">
        <v>20</v>
      </c>
      <c r="J229">
        <v>17</v>
      </c>
      <c r="K229">
        <v>0.85</v>
      </c>
      <c r="L229">
        <v>111</v>
      </c>
      <c r="M229">
        <v>6.5</v>
      </c>
      <c r="N229">
        <v>1</v>
      </c>
      <c r="O229">
        <v>5</v>
      </c>
      <c r="P229">
        <v>13</v>
      </c>
      <c r="Q229">
        <v>5.6</v>
      </c>
      <c r="R229">
        <v>1.4</v>
      </c>
      <c r="S229">
        <v>9.3000000000000007</v>
      </c>
      <c r="T229">
        <v>0</v>
      </c>
    </row>
    <row r="230" spans="1:20" x14ac:dyDescent="0.2">
      <c r="A230">
        <v>229</v>
      </c>
      <c r="B230" t="s">
        <v>474</v>
      </c>
      <c r="C230" t="s">
        <v>474</v>
      </c>
      <c r="D230" t="s">
        <v>122</v>
      </c>
      <c r="E230">
        <v>25</v>
      </c>
      <c r="F230" t="s">
        <v>1298</v>
      </c>
      <c r="G230">
        <v>5</v>
      </c>
      <c r="H230">
        <v>2</v>
      </c>
      <c r="I230">
        <v>24</v>
      </c>
      <c r="J230">
        <v>17</v>
      </c>
      <c r="K230">
        <v>0.70799999999999996</v>
      </c>
      <c r="L230">
        <v>236</v>
      </c>
      <c r="M230">
        <v>13.9</v>
      </c>
      <c r="N230">
        <v>1</v>
      </c>
      <c r="O230">
        <v>11</v>
      </c>
      <c r="P230">
        <v>38</v>
      </c>
      <c r="Q230">
        <v>9.8000000000000007</v>
      </c>
      <c r="R230">
        <v>3.4</v>
      </c>
      <c r="S230">
        <v>47.2</v>
      </c>
      <c r="T230">
        <v>0</v>
      </c>
    </row>
    <row r="231" spans="1:20" x14ac:dyDescent="0.2">
      <c r="A231">
        <v>230</v>
      </c>
      <c r="B231" t="s">
        <v>69</v>
      </c>
      <c r="C231" t="s">
        <v>69</v>
      </c>
      <c r="D231" t="s">
        <v>70</v>
      </c>
      <c r="E231">
        <v>24</v>
      </c>
      <c r="F231" t="s">
        <v>1392</v>
      </c>
      <c r="G231">
        <v>3</v>
      </c>
      <c r="H231">
        <v>3</v>
      </c>
      <c r="I231">
        <v>19</v>
      </c>
      <c r="J231">
        <v>17</v>
      </c>
      <c r="K231">
        <v>0.89500000000000002</v>
      </c>
      <c r="L231">
        <v>149</v>
      </c>
      <c r="M231">
        <v>8.8000000000000007</v>
      </c>
      <c r="N231">
        <v>1</v>
      </c>
      <c r="O231">
        <v>8</v>
      </c>
      <c r="P231">
        <v>24</v>
      </c>
      <c r="Q231">
        <v>7.8</v>
      </c>
      <c r="R231">
        <v>5.7</v>
      </c>
      <c r="S231">
        <v>49.7</v>
      </c>
      <c r="T231">
        <v>0</v>
      </c>
    </row>
    <row r="232" spans="1:20" x14ac:dyDescent="0.2">
      <c r="A232">
        <v>231</v>
      </c>
      <c r="B232" t="s">
        <v>384</v>
      </c>
      <c r="C232" t="s">
        <v>384</v>
      </c>
      <c r="D232" t="s">
        <v>1726</v>
      </c>
      <c r="E232">
        <v>31</v>
      </c>
      <c r="G232">
        <v>10</v>
      </c>
      <c r="H232">
        <v>4</v>
      </c>
      <c r="I232">
        <v>24</v>
      </c>
      <c r="J232">
        <v>17</v>
      </c>
      <c r="K232">
        <v>0.70799999999999996</v>
      </c>
      <c r="L232">
        <v>187</v>
      </c>
      <c r="M232">
        <v>11</v>
      </c>
      <c r="N232">
        <v>1</v>
      </c>
      <c r="O232">
        <v>13</v>
      </c>
      <c r="P232">
        <v>21</v>
      </c>
      <c r="Q232">
        <v>7.8</v>
      </c>
      <c r="R232">
        <v>1.7</v>
      </c>
      <c r="S232">
        <v>18.7</v>
      </c>
      <c r="T232">
        <v>0</v>
      </c>
    </row>
    <row r="233" spans="1:20" x14ac:dyDescent="0.2">
      <c r="A233">
        <v>232</v>
      </c>
      <c r="B233" t="s">
        <v>1764</v>
      </c>
      <c r="C233" t="s">
        <v>1764</v>
      </c>
      <c r="D233" t="s">
        <v>101</v>
      </c>
      <c r="E233">
        <v>25</v>
      </c>
      <c r="G233">
        <v>14</v>
      </c>
      <c r="H233">
        <v>0</v>
      </c>
      <c r="I233">
        <v>26</v>
      </c>
      <c r="J233">
        <v>17</v>
      </c>
      <c r="K233">
        <v>0.65400000000000003</v>
      </c>
      <c r="L233">
        <v>75</v>
      </c>
      <c r="M233">
        <v>4.4000000000000004</v>
      </c>
      <c r="N233">
        <v>0</v>
      </c>
      <c r="O233">
        <v>3</v>
      </c>
      <c r="P233">
        <v>17</v>
      </c>
      <c r="Q233">
        <v>2.9</v>
      </c>
      <c r="R233">
        <v>1.2</v>
      </c>
      <c r="S233">
        <v>5.4</v>
      </c>
      <c r="T233">
        <v>1</v>
      </c>
    </row>
    <row r="234" spans="1:20" x14ac:dyDescent="0.2">
      <c r="A234">
        <v>233</v>
      </c>
      <c r="B234" t="s">
        <v>499</v>
      </c>
      <c r="C234" t="s">
        <v>499</v>
      </c>
      <c r="D234" t="s">
        <v>71</v>
      </c>
      <c r="E234">
        <v>23</v>
      </c>
      <c r="F234" t="s">
        <v>1298</v>
      </c>
      <c r="G234">
        <v>12</v>
      </c>
      <c r="H234">
        <v>4</v>
      </c>
      <c r="I234">
        <v>37</v>
      </c>
      <c r="J234">
        <v>17</v>
      </c>
      <c r="K234">
        <v>0.45900000000000002</v>
      </c>
      <c r="L234">
        <v>167</v>
      </c>
      <c r="M234">
        <v>9.8000000000000007</v>
      </c>
      <c r="N234">
        <v>0</v>
      </c>
      <c r="O234">
        <v>9</v>
      </c>
      <c r="P234">
        <v>21</v>
      </c>
      <c r="Q234">
        <v>4.5</v>
      </c>
      <c r="R234">
        <v>1.4</v>
      </c>
      <c r="S234">
        <v>13.9</v>
      </c>
      <c r="T234">
        <v>0</v>
      </c>
    </row>
    <row r="235" spans="1:20" x14ac:dyDescent="0.2">
      <c r="A235">
        <v>234</v>
      </c>
      <c r="B235" t="s">
        <v>1396</v>
      </c>
      <c r="C235" t="s">
        <v>1396</v>
      </c>
      <c r="D235" t="s">
        <v>729</v>
      </c>
      <c r="E235">
        <v>25</v>
      </c>
      <c r="G235">
        <v>16</v>
      </c>
      <c r="H235">
        <v>0</v>
      </c>
      <c r="I235">
        <v>28</v>
      </c>
      <c r="J235">
        <v>17</v>
      </c>
      <c r="K235">
        <v>0.60699999999999998</v>
      </c>
      <c r="L235">
        <v>189</v>
      </c>
      <c r="M235">
        <v>11.1</v>
      </c>
      <c r="N235">
        <v>2</v>
      </c>
      <c r="O235">
        <v>10</v>
      </c>
      <c r="P235">
        <v>42</v>
      </c>
      <c r="Q235">
        <v>6.8</v>
      </c>
      <c r="R235">
        <v>1.1000000000000001</v>
      </c>
      <c r="S235">
        <v>11.8</v>
      </c>
      <c r="T235">
        <v>0</v>
      </c>
    </row>
    <row r="236" spans="1:20" x14ac:dyDescent="0.2">
      <c r="A236">
        <v>235</v>
      </c>
      <c r="B236" t="s">
        <v>1741</v>
      </c>
      <c r="C236" t="s">
        <v>1741</v>
      </c>
      <c r="D236" t="s">
        <v>1726</v>
      </c>
      <c r="E236">
        <v>28</v>
      </c>
      <c r="G236">
        <v>11</v>
      </c>
      <c r="H236">
        <v>4</v>
      </c>
      <c r="I236">
        <v>20</v>
      </c>
      <c r="J236">
        <v>16</v>
      </c>
      <c r="K236">
        <v>0.8</v>
      </c>
      <c r="L236">
        <v>138</v>
      </c>
      <c r="M236">
        <v>8.6</v>
      </c>
      <c r="N236">
        <v>0</v>
      </c>
      <c r="O236">
        <v>7</v>
      </c>
      <c r="P236">
        <v>30</v>
      </c>
      <c r="Q236">
        <v>6.9</v>
      </c>
      <c r="R236">
        <v>1.5</v>
      </c>
      <c r="S236">
        <v>12.5</v>
      </c>
      <c r="T236">
        <v>1</v>
      </c>
    </row>
    <row r="237" spans="1:20" x14ac:dyDescent="0.2">
      <c r="A237">
        <v>236</v>
      </c>
      <c r="B237" t="s">
        <v>1627</v>
      </c>
      <c r="C237" t="s">
        <v>113</v>
      </c>
      <c r="D237" t="s">
        <v>82</v>
      </c>
      <c r="E237">
        <v>25</v>
      </c>
      <c r="F237" t="s">
        <v>68</v>
      </c>
      <c r="G237">
        <v>12</v>
      </c>
      <c r="H237">
        <v>12</v>
      </c>
      <c r="I237">
        <v>18</v>
      </c>
      <c r="J237">
        <v>16</v>
      </c>
      <c r="K237">
        <v>0.88900000000000001</v>
      </c>
      <c r="L237">
        <v>150</v>
      </c>
      <c r="M237">
        <v>9.4</v>
      </c>
      <c r="N237">
        <v>0</v>
      </c>
      <c r="O237">
        <v>6</v>
      </c>
      <c r="P237">
        <v>26</v>
      </c>
      <c r="Q237">
        <v>8.3000000000000007</v>
      </c>
      <c r="R237">
        <v>1.3</v>
      </c>
      <c r="S237">
        <v>12.5</v>
      </c>
      <c r="T237">
        <v>1</v>
      </c>
    </row>
    <row r="238" spans="1:20" x14ac:dyDescent="0.2">
      <c r="A238">
        <v>237</v>
      </c>
      <c r="B238" t="s">
        <v>1631</v>
      </c>
      <c r="C238" t="s">
        <v>1631</v>
      </c>
      <c r="D238" t="s">
        <v>71</v>
      </c>
      <c r="E238">
        <v>37</v>
      </c>
      <c r="F238" t="s">
        <v>68</v>
      </c>
      <c r="G238">
        <v>15</v>
      </c>
      <c r="H238">
        <v>14</v>
      </c>
      <c r="I238">
        <v>19</v>
      </c>
      <c r="J238">
        <v>16</v>
      </c>
      <c r="K238">
        <v>0.84199999999999997</v>
      </c>
      <c r="L238">
        <v>89</v>
      </c>
      <c r="M238">
        <v>5.6</v>
      </c>
      <c r="N238">
        <v>0</v>
      </c>
      <c r="O238">
        <v>3</v>
      </c>
      <c r="P238">
        <v>9</v>
      </c>
      <c r="Q238">
        <v>4.7</v>
      </c>
      <c r="R238">
        <v>1.1000000000000001</v>
      </c>
      <c r="S238">
        <v>5.9</v>
      </c>
      <c r="T238">
        <v>1</v>
      </c>
    </row>
    <row r="239" spans="1:20" x14ac:dyDescent="0.2">
      <c r="A239">
        <v>238</v>
      </c>
      <c r="B239" t="s">
        <v>888</v>
      </c>
      <c r="C239" t="s">
        <v>888</v>
      </c>
      <c r="D239" t="s">
        <v>730</v>
      </c>
      <c r="E239">
        <v>23</v>
      </c>
      <c r="F239" t="s">
        <v>68</v>
      </c>
      <c r="G239">
        <v>15</v>
      </c>
      <c r="H239">
        <v>11</v>
      </c>
      <c r="I239">
        <v>24</v>
      </c>
      <c r="J239">
        <v>16</v>
      </c>
      <c r="K239">
        <v>0.66700000000000004</v>
      </c>
      <c r="L239">
        <v>159</v>
      </c>
      <c r="M239">
        <v>9.9</v>
      </c>
      <c r="N239">
        <v>1</v>
      </c>
      <c r="O239">
        <v>8</v>
      </c>
      <c r="P239">
        <v>28</v>
      </c>
      <c r="Q239">
        <v>6.6</v>
      </c>
      <c r="R239">
        <v>1.1000000000000001</v>
      </c>
      <c r="S239">
        <v>10.6</v>
      </c>
      <c r="T239">
        <v>0</v>
      </c>
    </row>
    <row r="240" spans="1:20" x14ac:dyDescent="0.2">
      <c r="A240">
        <v>239</v>
      </c>
      <c r="B240" t="s">
        <v>483</v>
      </c>
      <c r="C240" t="s">
        <v>483</v>
      </c>
      <c r="D240" t="s">
        <v>142</v>
      </c>
      <c r="E240">
        <v>27</v>
      </c>
      <c r="F240" t="s">
        <v>1298</v>
      </c>
      <c r="G240">
        <v>16</v>
      </c>
      <c r="H240">
        <v>2</v>
      </c>
      <c r="I240">
        <v>25</v>
      </c>
      <c r="J240">
        <v>16</v>
      </c>
      <c r="K240">
        <v>0.64</v>
      </c>
      <c r="L240">
        <v>176</v>
      </c>
      <c r="M240">
        <v>11</v>
      </c>
      <c r="N240">
        <v>1</v>
      </c>
      <c r="O240">
        <v>7</v>
      </c>
      <c r="P240">
        <v>34</v>
      </c>
      <c r="Q240">
        <v>7</v>
      </c>
      <c r="R240">
        <v>1</v>
      </c>
      <c r="S240">
        <v>11</v>
      </c>
      <c r="T240">
        <v>1</v>
      </c>
    </row>
    <row r="241" spans="1:20" x14ac:dyDescent="0.2">
      <c r="A241">
        <v>240</v>
      </c>
      <c r="B241" t="s">
        <v>361</v>
      </c>
      <c r="C241" t="s">
        <v>361</v>
      </c>
      <c r="D241" t="s">
        <v>108</v>
      </c>
      <c r="E241">
        <v>30</v>
      </c>
      <c r="G241">
        <v>10</v>
      </c>
      <c r="H241">
        <v>1</v>
      </c>
      <c r="I241">
        <v>20</v>
      </c>
      <c r="J241">
        <v>16</v>
      </c>
      <c r="K241">
        <v>0.8</v>
      </c>
      <c r="L241">
        <v>93</v>
      </c>
      <c r="M241">
        <v>5.8</v>
      </c>
      <c r="N241">
        <v>0</v>
      </c>
      <c r="O241">
        <v>4</v>
      </c>
      <c r="P241">
        <v>18</v>
      </c>
      <c r="Q241">
        <v>4.7</v>
      </c>
      <c r="R241">
        <v>1.6</v>
      </c>
      <c r="S241">
        <v>9.3000000000000007</v>
      </c>
      <c r="T241">
        <v>1</v>
      </c>
    </row>
    <row r="242" spans="1:20" x14ac:dyDescent="0.2">
      <c r="A242">
        <v>241</v>
      </c>
      <c r="B242" t="s">
        <v>385</v>
      </c>
      <c r="C242" t="s">
        <v>385</v>
      </c>
      <c r="D242" t="s">
        <v>1726</v>
      </c>
      <c r="E242">
        <v>23</v>
      </c>
      <c r="G242">
        <v>13</v>
      </c>
      <c r="H242">
        <v>1</v>
      </c>
      <c r="I242">
        <v>21</v>
      </c>
      <c r="J242">
        <v>16</v>
      </c>
      <c r="K242">
        <v>0.76200000000000001</v>
      </c>
      <c r="L242">
        <v>99</v>
      </c>
      <c r="M242">
        <v>6.2</v>
      </c>
      <c r="N242">
        <v>1</v>
      </c>
      <c r="O242">
        <v>6</v>
      </c>
      <c r="P242">
        <v>18</v>
      </c>
      <c r="Q242">
        <v>4.7</v>
      </c>
      <c r="R242">
        <v>1.2</v>
      </c>
      <c r="S242">
        <v>7.6</v>
      </c>
      <c r="T242">
        <v>0</v>
      </c>
    </row>
    <row r="243" spans="1:20" x14ac:dyDescent="0.2">
      <c r="A243">
        <v>242</v>
      </c>
      <c r="B243" t="s">
        <v>199</v>
      </c>
      <c r="C243" t="s">
        <v>199</v>
      </c>
      <c r="D243" t="s">
        <v>1087</v>
      </c>
      <c r="E243">
        <v>28</v>
      </c>
      <c r="F243" t="s">
        <v>1392</v>
      </c>
      <c r="G243">
        <v>8</v>
      </c>
      <c r="H243">
        <v>8</v>
      </c>
      <c r="I243">
        <v>19</v>
      </c>
      <c r="J243">
        <v>16</v>
      </c>
      <c r="K243">
        <v>0.84199999999999997</v>
      </c>
      <c r="L243">
        <v>156</v>
      </c>
      <c r="M243">
        <v>9.8000000000000007</v>
      </c>
      <c r="N243">
        <v>1</v>
      </c>
      <c r="O243">
        <v>5</v>
      </c>
      <c r="P243">
        <v>76</v>
      </c>
      <c r="Q243">
        <v>8.1999999999999993</v>
      </c>
      <c r="R243">
        <v>2</v>
      </c>
      <c r="S243">
        <v>19.5</v>
      </c>
      <c r="T243">
        <v>1</v>
      </c>
    </row>
    <row r="244" spans="1:20" x14ac:dyDescent="0.2">
      <c r="A244">
        <v>243</v>
      </c>
      <c r="B244" t="s">
        <v>427</v>
      </c>
      <c r="C244" t="s">
        <v>427</v>
      </c>
      <c r="D244" t="s">
        <v>78</v>
      </c>
      <c r="E244">
        <v>24</v>
      </c>
      <c r="F244" t="s">
        <v>1298</v>
      </c>
      <c r="G244">
        <v>8</v>
      </c>
      <c r="H244">
        <v>1</v>
      </c>
      <c r="I244">
        <v>23</v>
      </c>
      <c r="J244">
        <v>15</v>
      </c>
      <c r="K244">
        <v>0.65200000000000002</v>
      </c>
      <c r="L244">
        <v>173</v>
      </c>
      <c r="M244">
        <v>11.5</v>
      </c>
      <c r="N244">
        <v>0</v>
      </c>
      <c r="O244">
        <v>7</v>
      </c>
      <c r="P244">
        <v>45</v>
      </c>
      <c r="Q244">
        <v>7.5</v>
      </c>
      <c r="R244">
        <v>1.9</v>
      </c>
      <c r="S244">
        <v>21.6</v>
      </c>
      <c r="T244">
        <v>0</v>
      </c>
    </row>
    <row r="245" spans="1:20" x14ac:dyDescent="0.2">
      <c r="A245">
        <v>244</v>
      </c>
      <c r="B245" t="s">
        <v>1852</v>
      </c>
      <c r="C245" t="s">
        <v>1852</v>
      </c>
      <c r="D245" t="s">
        <v>976</v>
      </c>
      <c r="E245">
        <v>32</v>
      </c>
      <c r="G245">
        <v>10</v>
      </c>
      <c r="H245">
        <v>0</v>
      </c>
      <c r="I245">
        <v>19</v>
      </c>
      <c r="J245">
        <v>15</v>
      </c>
      <c r="K245">
        <v>0.78900000000000003</v>
      </c>
      <c r="L245">
        <v>101</v>
      </c>
      <c r="M245">
        <v>6.7</v>
      </c>
      <c r="N245">
        <v>0</v>
      </c>
      <c r="O245">
        <v>3</v>
      </c>
      <c r="P245">
        <v>15</v>
      </c>
      <c r="Q245">
        <v>5.3</v>
      </c>
      <c r="R245">
        <v>1.5</v>
      </c>
      <c r="S245">
        <v>10.1</v>
      </c>
      <c r="T245">
        <v>0</v>
      </c>
    </row>
    <row r="246" spans="1:20" x14ac:dyDescent="0.2">
      <c r="A246">
        <v>245</v>
      </c>
      <c r="B246" t="s">
        <v>2122</v>
      </c>
      <c r="C246" t="s">
        <v>2122</v>
      </c>
      <c r="D246" t="s">
        <v>99</v>
      </c>
      <c r="E246">
        <v>30</v>
      </c>
      <c r="F246" t="s">
        <v>88</v>
      </c>
      <c r="G246">
        <v>14</v>
      </c>
      <c r="H246">
        <v>12</v>
      </c>
      <c r="I246">
        <v>20</v>
      </c>
      <c r="J246">
        <v>15</v>
      </c>
      <c r="K246">
        <v>0.75</v>
      </c>
      <c r="L246">
        <v>99</v>
      </c>
      <c r="M246">
        <v>6.6</v>
      </c>
      <c r="N246">
        <v>0</v>
      </c>
      <c r="O246">
        <v>4</v>
      </c>
      <c r="P246">
        <v>15</v>
      </c>
      <c r="Q246">
        <v>5</v>
      </c>
      <c r="R246">
        <v>1.1000000000000001</v>
      </c>
      <c r="S246">
        <v>7.1</v>
      </c>
      <c r="T246">
        <v>0</v>
      </c>
    </row>
    <row r="247" spans="1:20" x14ac:dyDescent="0.2">
      <c r="A247">
        <v>246</v>
      </c>
      <c r="B247" t="s">
        <v>416</v>
      </c>
      <c r="C247" t="s">
        <v>416</v>
      </c>
      <c r="D247" t="s">
        <v>1257</v>
      </c>
      <c r="E247">
        <v>23</v>
      </c>
      <c r="F247" t="s">
        <v>1577</v>
      </c>
      <c r="G247">
        <v>15</v>
      </c>
      <c r="H247">
        <v>6</v>
      </c>
      <c r="I247">
        <v>16</v>
      </c>
      <c r="J247">
        <v>15</v>
      </c>
      <c r="K247">
        <v>0.93799999999999994</v>
      </c>
      <c r="L247">
        <v>171</v>
      </c>
      <c r="M247">
        <v>11.4</v>
      </c>
      <c r="N247">
        <v>1</v>
      </c>
      <c r="O247">
        <v>9</v>
      </c>
      <c r="P247">
        <v>41</v>
      </c>
      <c r="Q247">
        <v>10.7</v>
      </c>
      <c r="R247">
        <v>1</v>
      </c>
      <c r="S247">
        <v>11.4</v>
      </c>
      <c r="T247">
        <v>0</v>
      </c>
    </row>
    <row r="248" spans="1:20" x14ac:dyDescent="0.2">
      <c r="A248">
        <v>247</v>
      </c>
      <c r="B248" t="s">
        <v>2123</v>
      </c>
      <c r="C248" t="s">
        <v>2123</v>
      </c>
      <c r="D248" t="s">
        <v>725</v>
      </c>
      <c r="E248">
        <v>27</v>
      </c>
      <c r="F248" t="s">
        <v>1577</v>
      </c>
      <c r="G248">
        <v>9</v>
      </c>
      <c r="H248">
        <v>9</v>
      </c>
      <c r="I248">
        <v>17</v>
      </c>
      <c r="J248">
        <v>14</v>
      </c>
      <c r="K248">
        <v>0.82399999999999995</v>
      </c>
      <c r="L248">
        <v>113</v>
      </c>
      <c r="M248">
        <v>8.1</v>
      </c>
      <c r="N248">
        <v>2</v>
      </c>
      <c r="O248">
        <v>8</v>
      </c>
      <c r="P248">
        <v>21</v>
      </c>
      <c r="Q248">
        <v>6.6</v>
      </c>
      <c r="R248">
        <v>1.6</v>
      </c>
      <c r="S248">
        <v>12.6</v>
      </c>
      <c r="T248">
        <v>0</v>
      </c>
    </row>
    <row r="249" spans="1:20" x14ac:dyDescent="0.2">
      <c r="A249">
        <v>248</v>
      </c>
      <c r="B249" t="s">
        <v>2003</v>
      </c>
      <c r="C249" t="s">
        <v>2003</v>
      </c>
      <c r="D249" t="s">
        <v>729</v>
      </c>
      <c r="E249">
        <v>24</v>
      </c>
      <c r="F249" t="s">
        <v>1298</v>
      </c>
      <c r="G249">
        <v>16</v>
      </c>
      <c r="H249">
        <v>1</v>
      </c>
      <c r="I249">
        <v>24</v>
      </c>
      <c r="J249">
        <v>14</v>
      </c>
      <c r="K249">
        <v>0.58299999999999996</v>
      </c>
      <c r="L249">
        <v>154</v>
      </c>
      <c r="M249">
        <v>11</v>
      </c>
      <c r="N249">
        <v>0</v>
      </c>
      <c r="O249">
        <v>6</v>
      </c>
      <c r="P249">
        <v>20</v>
      </c>
      <c r="Q249">
        <v>6.4</v>
      </c>
      <c r="R249">
        <v>0.9</v>
      </c>
      <c r="S249">
        <v>9.6</v>
      </c>
      <c r="T249">
        <v>0</v>
      </c>
    </row>
    <row r="250" spans="1:20" x14ac:dyDescent="0.2">
      <c r="A250">
        <v>249</v>
      </c>
      <c r="B250" t="s">
        <v>624</v>
      </c>
      <c r="C250" t="s">
        <v>624</v>
      </c>
      <c r="D250" t="s">
        <v>122</v>
      </c>
      <c r="E250">
        <v>26</v>
      </c>
      <c r="F250" t="s">
        <v>1577</v>
      </c>
      <c r="G250">
        <v>13</v>
      </c>
      <c r="H250">
        <v>9</v>
      </c>
      <c r="I250">
        <v>16</v>
      </c>
      <c r="J250">
        <v>14</v>
      </c>
      <c r="K250">
        <v>0.875</v>
      </c>
      <c r="L250">
        <v>163</v>
      </c>
      <c r="M250">
        <v>11.6</v>
      </c>
      <c r="N250">
        <v>2</v>
      </c>
      <c r="O250">
        <v>9</v>
      </c>
      <c r="P250">
        <v>29</v>
      </c>
      <c r="Q250">
        <v>10.199999999999999</v>
      </c>
      <c r="R250">
        <v>1.1000000000000001</v>
      </c>
      <c r="S250">
        <v>12.5</v>
      </c>
      <c r="T250">
        <v>0</v>
      </c>
    </row>
    <row r="251" spans="1:20" x14ac:dyDescent="0.2">
      <c r="A251">
        <v>250</v>
      </c>
      <c r="B251" t="s">
        <v>332</v>
      </c>
      <c r="C251" t="s">
        <v>332</v>
      </c>
      <c r="D251" t="s">
        <v>71</v>
      </c>
      <c r="E251">
        <v>33</v>
      </c>
      <c r="G251">
        <v>5</v>
      </c>
      <c r="H251">
        <v>4</v>
      </c>
      <c r="I251">
        <v>26</v>
      </c>
      <c r="J251">
        <v>14</v>
      </c>
      <c r="K251">
        <v>0.53800000000000003</v>
      </c>
      <c r="L251">
        <v>118</v>
      </c>
      <c r="M251">
        <v>8.4</v>
      </c>
      <c r="N251">
        <v>0</v>
      </c>
      <c r="O251">
        <v>6</v>
      </c>
      <c r="P251">
        <v>27</v>
      </c>
      <c r="Q251">
        <v>4.5</v>
      </c>
      <c r="R251">
        <v>2.8</v>
      </c>
      <c r="S251">
        <v>23.6</v>
      </c>
      <c r="T251">
        <v>0</v>
      </c>
    </row>
    <row r="252" spans="1:20" x14ac:dyDescent="0.2">
      <c r="A252">
        <v>251</v>
      </c>
      <c r="B252" t="s">
        <v>2031</v>
      </c>
      <c r="C252" t="s">
        <v>2031</v>
      </c>
      <c r="D252" t="s">
        <v>102</v>
      </c>
      <c r="E252">
        <v>34</v>
      </c>
      <c r="F252" t="s">
        <v>1298</v>
      </c>
      <c r="G252">
        <v>5</v>
      </c>
      <c r="H252">
        <v>5</v>
      </c>
      <c r="I252">
        <v>26</v>
      </c>
      <c r="J252">
        <v>14</v>
      </c>
      <c r="K252">
        <v>0.53800000000000003</v>
      </c>
      <c r="L252">
        <v>236</v>
      </c>
      <c r="M252">
        <v>16.899999999999999</v>
      </c>
      <c r="N252">
        <v>1</v>
      </c>
      <c r="O252">
        <v>10</v>
      </c>
      <c r="P252">
        <v>81</v>
      </c>
      <c r="Q252">
        <v>9.1</v>
      </c>
      <c r="R252">
        <v>2.8</v>
      </c>
      <c r="S252">
        <v>47.2</v>
      </c>
      <c r="T252">
        <v>0</v>
      </c>
    </row>
    <row r="253" spans="1:20" x14ac:dyDescent="0.2">
      <c r="A253">
        <v>252</v>
      </c>
      <c r="B253" t="s">
        <v>2124</v>
      </c>
      <c r="C253" t="s">
        <v>2124</v>
      </c>
      <c r="D253" t="s">
        <v>139</v>
      </c>
      <c r="E253">
        <v>26</v>
      </c>
      <c r="F253" t="s">
        <v>1577</v>
      </c>
      <c r="G253">
        <v>16</v>
      </c>
      <c r="H253">
        <v>7</v>
      </c>
      <c r="I253">
        <v>22</v>
      </c>
      <c r="J253">
        <v>14</v>
      </c>
      <c r="K253">
        <v>0.63600000000000001</v>
      </c>
      <c r="L253">
        <v>129</v>
      </c>
      <c r="M253">
        <v>9.1999999999999993</v>
      </c>
      <c r="N253">
        <v>2</v>
      </c>
      <c r="O253">
        <v>6</v>
      </c>
      <c r="P253">
        <v>31</v>
      </c>
      <c r="Q253">
        <v>5.9</v>
      </c>
      <c r="R253">
        <v>0.9</v>
      </c>
      <c r="S253">
        <v>8.1</v>
      </c>
      <c r="T253">
        <v>0</v>
      </c>
    </row>
    <row r="254" spans="1:20" x14ac:dyDescent="0.2">
      <c r="A254">
        <v>253</v>
      </c>
      <c r="B254" t="s">
        <v>571</v>
      </c>
      <c r="C254" t="s">
        <v>571</v>
      </c>
      <c r="D254" t="s">
        <v>107</v>
      </c>
      <c r="E254">
        <v>26</v>
      </c>
      <c r="F254" t="s">
        <v>1298</v>
      </c>
      <c r="G254">
        <v>11</v>
      </c>
      <c r="H254">
        <v>3</v>
      </c>
      <c r="I254">
        <v>28</v>
      </c>
      <c r="J254">
        <v>14</v>
      </c>
      <c r="K254">
        <v>0.5</v>
      </c>
      <c r="L254">
        <v>255</v>
      </c>
      <c r="M254">
        <v>18.2</v>
      </c>
      <c r="N254">
        <v>0</v>
      </c>
      <c r="O254">
        <v>11</v>
      </c>
      <c r="P254">
        <v>55</v>
      </c>
      <c r="Q254">
        <v>9.1</v>
      </c>
      <c r="R254">
        <v>1.3</v>
      </c>
      <c r="S254">
        <v>23.2</v>
      </c>
      <c r="T254">
        <v>0</v>
      </c>
    </row>
    <row r="255" spans="1:20" x14ac:dyDescent="0.2">
      <c r="A255">
        <v>254</v>
      </c>
      <c r="B255" t="s">
        <v>443</v>
      </c>
      <c r="C255" t="s">
        <v>443</v>
      </c>
      <c r="D255" t="s">
        <v>73</v>
      </c>
      <c r="E255">
        <v>23</v>
      </c>
      <c r="F255" t="s">
        <v>1298</v>
      </c>
      <c r="G255">
        <v>16</v>
      </c>
      <c r="H255">
        <v>3</v>
      </c>
      <c r="I255">
        <v>19</v>
      </c>
      <c r="J255">
        <v>14</v>
      </c>
      <c r="K255">
        <v>0.73699999999999999</v>
      </c>
      <c r="L255">
        <v>189</v>
      </c>
      <c r="M255">
        <v>13.5</v>
      </c>
      <c r="N255">
        <v>0</v>
      </c>
      <c r="O255">
        <v>9</v>
      </c>
      <c r="P255">
        <v>29</v>
      </c>
      <c r="Q255">
        <v>9.9</v>
      </c>
      <c r="R255">
        <v>0.9</v>
      </c>
      <c r="S255">
        <v>11.8</v>
      </c>
      <c r="T255">
        <v>0</v>
      </c>
    </row>
    <row r="256" spans="1:20" x14ac:dyDescent="0.2">
      <c r="A256">
        <v>255</v>
      </c>
      <c r="B256" t="s">
        <v>1403</v>
      </c>
      <c r="C256" t="s">
        <v>1403</v>
      </c>
      <c r="D256" t="s">
        <v>933</v>
      </c>
      <c r="E256">
        <v>25</v>
      </c>
      <c r="F256" t="s">
        <v>1298</v>
      </c>
      <c r="G256">
        <v>16</v>
      </c>
      <c r="H256">
        <v>2</v>
      </c>
      <c r="I256">
        <v>20</v>
      </c>
      <c r="J256">
        <v>14</v>
      </c>
      <c r="K256">
        <v>0.7</v>
      </c>
      <c r="L256">
        <v>154</v>
      </c>
      <c r="M256">
        <v>11</v>
      </c>
      <c r="N256">
        <v>1</v>
      </c>
      <c r="O256">
        <v>6</v>
      </c>
      <c r="P256">
        <v>37</v>
      </c>
      <c r="Q256">
        <v>7.7</v>
      </c>
      <c r="R256">
        <v>0.9</v>
      </c>
      <c r="S256">
        <v>9.6</v>
      </c>
      <c r="T256">
        <v>0</v>
      </c>
    </row>
    <row r="257" spans="1:20" x14ac:dyDescent="0.2">
      <c r="A257">
        <v>256</v>
      </c>
      <c r="B257" t="s">
        <v>270</v>
      </c>
      <c r="C257" t="s">
        <v>270</v>
      </c>
      <c r="D257" t="s">
        <v>98</v>
      </c>
      <c r="E257">
        <v>23</v>
      </c>
      <c r="G257">
        <v>13</v>
      </c>
      <c r="H257">
        <v>0</v>
      </c>
      <c r="I257">
        <v>18</v>
      </c>
      <c r="J257">
        <v>14</v>
      </c>
      <c r="K257">
        <v>0.77800000000000002</v>
      </c>
      <c r="L257">
        <v>95</v>
      </c>
      <c r="M257">
        <v>6.8</v>
      </c>
      <c r="N257">
        <v>1</v>
      </c>
      <c r="O257">
        <v>5</v>
      </c>
      <c r="P257">
        <v>20</v>
      </c>
      <c r="Q257">
        <v>5.3</v>
      </c>
      <c r="R257">
        <v>1.1000000000000001</v>
      </c>
      <c r="S257">
        <v>7.3</v>
      </c>
      <c r="T257">
        <v>0</v>
      </c>
    </row>
    <row r="258" spans="1:20" x14ac:dyDescent="0.2">
      <c r="A258">
        <v>257</v>
      </c>
      <c r="B258" t="s">
        <v>376</v>
      </c>
      <c r="C258" t="s">
        <v>376</v>
      </c>
      <c r="D258" t="s">
        <v>82</v>
      </c>
      <c r="E258">
        <v>21</v>
      </c>
      <c r="F258" t="s">
        <v>1298</v>
      </c>
      <c r="G258">
        <v>12</v>
      </c>
      <c r="H258">
        <v>2</v>
      </c>
      <c r="I258">
        <v>20</v>
      </c>
      <c r="J258">
        <v>14</v>
      </c>
      <c r="K258">
        <v>0.7</v>
      </c>
      <c r="L258">
        <v>304</v>
      </c>
      <c r="M258">
        <v>21.7</v>
      </c>
      <c r="N258">
        <v>2</v>
      </c>
      <c r="O258">
        <v>10</v>
      </c>
      <c r="P258">
        <v>75</v>
      </c>
      <c r="Q258">
        <v>15.2</v>
      </c>
      <c r="R258">
        <v>1.2</v>
      </c>
      <c r="S258">
        <v>25.3</v>
      </c>
      <c r="T258">
        <v>0</v>
      </c>
    </row>
    <row r="259" spans="1:20" x14ac:dyDescent="0.2">
      <c r="A259">
        <v>258</v>
      </c>
      <c r="B259" t="s">
        <v>374</v>
      </c>
      <c r="C259" t="s">
        <v>374</v>
      </c>
      <c r="D259" t="s">
        <v>74</v>
      </c>
      <c r="E259">
        <v>23</v>
      </c>
      <c r="F259" t="s">
        <v>1298</v>
      </c>
      <c r="G259">
        <v>9</v>
      </c>
      <c r="H259">
        <v>2</v>
      </c>
      <c r="I259">
        <v>22</v>
      </c>
      <c r="J259">
        <v>14</v>
      </c>
      <c r="K259">
        <v>0.63600000000000001</v>
      </c>
      <c r="L259">
        <v>150</v>
      </c>
      <c r="M259">
        <v>10.7</v>
      </c>
      <c r="N259">
        <v>0</v>
      </c>
      <c r="O259">
        <v>9</v>
      </c>
      <c r="P259">
        <v>19</v>
      </c>
      <c r="Q259">
        <v>6.8</v>
      </c>
      <c r="R259">
        <v>1.6</v>
      </c>
      <c r="S259">
        <v>16.7</v>
      </c>
      <c r="T259">
        <v>0</v>
      </c>
    </row>
    <row r="260" spans="1:20" x14ac:dyDescent="0.2">
      <c r="A260">
        <v>259</v>
      </c>
      <c r="B260" t="s">
        <v>638</v>
      </c>
      <c r="C260" t="s">
        <v>638</v>
      </c>
      <c r="D260" t="s">
        <v>93</v>
      </c>
      <c r="E260">
        <v>27</v>
      </c>
      <c r="F260" t="s">
        <v>88</v>
      </c>
      <c r="G260">
        <v>15</v>
      </c>
      <c r="H260">
        <v>11</v>
      </c>
      <c r="I260">
        <v>21</v>
      </c>
      <c r="J260">
        <v>14</v>
      </c>
      <c r="K260">
        <v>0.66700000000000004</v>
      </c>
      <c r="L260">
        <v>95</v>
      </c>
      <c r="M260">
        <v>6.8</v>
      </c>
      <c r="N260">
        <v>1</v>
      </c>
      <c r="O260">
        <v>6</v>
      </c>
      <c r="P260">
        <v>19</v>
      </c>
      <c r="Q260">
        <v>4.5</v>
      </c>
      <c r="R260">
        <v>0.9</v>
      </c>
      <c r="S260">
        <v>6.3</v>
      </c>
      <c r="T260">
        <v>0</v>
      </c>
    </row>
    <row r="261" spans="1:20" x14ac:dyDescent="0.2">
      <c r="A261">
        <v>260</v>
      </c>
      <c r="B261" t="s">
        <v>434</v>
      </c>
      <c r="C261" t="s">
        <v>434</v>
      </c>
      <c r="D261" t="s">
        <v>139</v>
      </c>
      <c r="E261">
        <v>25</v>
      </c>
      <c r="F261" t="s">
        <v>1298</v>
      </c>
      <c r="G261">
        <v>14</v>
      </c>
      <c r="H261">
        <v>2</v>
      </c>
      <c r="I261">
        <v>20</v>
      </c>
      <c r="J261">
        <v>13</v>
      </c>
      <c r="K261">
        <v>0.65</v>
      </c>
      <c r="L261">
        <v>89</v>
      </c>
      <c r="M261">
        <v>6.8</v>
      </c>
      <c r="N261">
        <v>0</v>
      </c>
      <c r="O261">
        <v>4</v>
      </c>
      <c r="P261">
        <v>20</v>
      </c>
      <c r="Q261">
        <v>4.5</v>
      </c>
      <c r="R261">
        <v>0.9</v>
      </c>
      <c r="S261">
        <v>6.4</v>
      </c>
      <c r="T261">
        <v>2</v>
      </c>
    </row>
    <row r="262" spans="1:20" x14ac:dyDescent="0.2">
      <c r="A262">
        <v>261</v>
      </c>
      <c r="B262" t="s">
        <v>359</v>
      </c>
      <c r="C262" t="s">
        <v>359</v>
      </c>
      <c r="D262" t="s">
        <v>101</v>
      </c>
      <c r="E262">
        <v>24</v>
      </c>
      <c r="G262">
        <v>16</v>
      </c>
      <c r="H262">
        <v>0</v>
      </c>
      <c r="I262">
        <v>18</v>
      </c>
      <c r="J262">
        <v>13</v>
      </c>
      <c r="K262">
        <v>0.72199999999999998</v>
      </c>
      <c r="L262">
        <v>141</v>
      </c>
      <c r="M262">
        <v>10.8</v>
      </c>
      <c r="N262">
        <v>0</v>
      </c>
      <c r="O262">
        <v>6</v>
      </c>
      <c r="P262">
        <v>25</v>
      </c>
      <c r="Q262">
        <v>7.8</v>
      </c>
      <c r="R262">
        <v>0.8</v>
      </c>
      <c r="S262">
        <v>8.8000000000000007</v>
      </c>
      <c r="T262">
        <v>0</v>
      </c>
    </row>
    <row r="263" spans="1:20" x14ac:dyDescent="0.2">
      <c r="A263">
        <v>262</v>
      </c>
      <c r="B263" t="s">
        <v>645</v>
      </c>
      <c r="C263" t="s">
        <v>645</v>
      </c>
      <c r="D263" t="s">
        <v>1122</v>
      </c>
      <c r="E263">
        <v>25</v>
      </c>
      <c r="F263" t="s">
        <v>88</v>
      </c>
      <c r="G263">
        <v>12</v>
      </c>
      <c r="H263">
        <v>12</v>
      </c>
      <c r="I263">
        <v>20</v>
      </c>
      <c r="J263">
        <v>13</v>
      </c>
      <c r="K263">
        <v>0.65</v>
      </c>
      <c r="L263">
        <v>199</v>
      </c>
      <c r="M263">
        <v>15.3</v>
      </c>
      <c r="N263">
        <v>0</v>
      </c>
      <c r="O263">
        <v>6</v>
      </c>
      <c r="P263">
        <v>50</v>
      </c>
      <c r="Q263">
        <v>10</v>
      </c>
      <c r="R263">
        <v>1.1000000000000001</v>
      </c>
      <c r="S263">
        <v>16.600000000000001</v>
      </c>
      <c r="T263">
        <v>1</v>
      </c>
    </row>
    <row r="264" spans="1:20" x14ac:dyDescent="0.2">
      <c r="A264">
        <v>263</v>
      </c>
      <c r="B264" t="s">
        <v>356</v>
      </c>
      <c r="C264" t="s">
        <v>356</v>
      </c>
      <c r="D264" t="s">
        <v>73</v>
      </c>
      <c r="E264">
        <v>22</v>
      </c>
      <c r="F264" t="s">
        <v>1392</v>
      </c>
      <c r="G264">
        <v>13</v>
      </c>
      <c r="H264">
        <v>2</v>
      </c>
      <c r="I264">
        <v>15</v>
      </c>
      <c r="J264">
        <v>13</v>
      </c>
      <c r="K264">
        <v>0.86699999999999999</v>
      </c>
      <c r="L264">
        <v>125</v>
      </c>
      <c r="M264">
        <v>9.6</v>
      </c>
      <c r="N264">
        <v>1</v>
      </c>
      <c r="O264">
        <v>5</v>
      </c>
      <c r="P264">
        <v>28</v>
      </c>
      <c r="Q264">
        <v>8.3000000000000007</v>
      </c>
      <c r="R264">
        <v>1</v>
      </c>
      <c r="S264">
        <v>9.6</v>
      </c>
      <c r="T264">
        <v>0</v>
      </c>
    </row>
    <row r="265" spans="1:20" x14ac:dyDescent="0.2">
      <c r="A265">
        <v>264</v>
      </c>
      <c r="B265" t="s">
        <v>386</v>
      </c>
      <c r="C265" t="s">
        <v>386</v>
      </c>
      <c r="D265" t="s">
        <v>1040</v>
      </c>
      <c r="E265">
        <v>27</v>
      </c>
      <c r="F265" t="s">
        <v>1298</v>
      </c>
      <c r="G265">
        <v>13</v>
      </c>
      <c r="H265">
        <v>3</v>
      </c>
      <c r="I265">
        <v>17</v>
      </c>
      <c r="J265">
        <v>13</v>
      </c>
      <c r="K265">
        <v>0.76500000000000001</v>
      </c>
      <c r="L265">
        <v>160</v>
      </c>
      <c r="M265">
        <v>12.3</v>
      </c>
      <c r="N265">
        <v>1</v>
      </c>
      <c r="O265">
        <v>9</v>
      </c>
      <c r="P265">
        <v>37</v>
      </c>
      <c r="Q265">
        <v>9.4</v>
      </c>
      <c r="R265">
        <v>1</v>
      </c>
      <c r="S265">
        <v>12.3</v>
      </c>
      <c r="T265">
        <v>0</v>
      </c>
    </row>
    <row r="266" spans="1:20" x14ac:dyDescent="0.2">
      <c r="A266">
        <v>265</v>
      </c>
      <c r="B266" t="s">
        <v>387</v>
      </c>
      <c r="C266" t="s">
        <v>387</v>
      </c>
      <c r="D266" t="s">
        <v>108</v>
      </c>
      <c r="E266">
        <v>22</v>
      </c>
      <c r="F266" t="s">
        <v>1298</v>
      </c>
      <c r="G266">
        <v>16</v>
      </c>
      <c r="H266">
        <v>1</v>
      </c>
      <c r="I266">
        <v>21</v>
      </c>
      <c r="J266">
        <v>13</v>
      </c>
      <c r="K266">
        <v>0.61899999999999999</v>
      </c>
      <c r="L266">
        <v>159</v>
      </c>
      <c r="M266">
        <v>12.2</v>
      </c>
      <c r="N266">
        <v>2</v>
      </c>
      <c r="O266">
        <v>6</v>
      </c>
      <c r="P266">
        <v>23</v>
      </c>
      <c r="Q266">
        <v>7.6</v>
      </c>
      <c r="R266">
        <v>0.8</v>
      </c>
      <c r="S266">
        <v>9.9</v>
      </c>
      <c r="T266">
        <v>0</v>
      </c>
    </row>
    <row r="267" spans="1:20" x14ac:dyDescent="0.2">
      <c r="A267">
        <v>266</v>
      </c>
      <c r="B267" t="s">
        <v>403</v>
      </c>
      <c r="C267" t="s">
        <v>403</v>
      </c>
      <c r="D267" t="s">
        <v>74</v>
      </c>
      <c r="E267">
        <v>26</v>
      </c>
      <c r="G267">
        <v>14</v>
      </c>
      <c r="H267">
        <v>0</v>
      </c>
      <c r="I267">
        <v>21</v>
      </c>
      <c r="J267">
        <v>13</v>
      </c>
      <c r="K267">
        <v>0.61899999999999999</v>
      </c>
      <c r="L267">
        <v>132</v>
      </c>
      <c r="M267">
        <v>10.199999999999999</v>
      </c>
      <c r="N267">
        <v>1</v>
      </c>
      <c r="O267">
        <v>7</v>
      </c>
      <c r="P267">
        <v>29</v>
      </c>
      <c r="Q267">
        <v>6.3</v>
      </c>
      <c r="R267">
        <v>0.9</v>
      </c>
      <c r="S267">
        <v>9.4</v>
      </c>
      <c r="T267">
        <v>1</v>
      </c>
    </row>
    <row r="268" spans="1:20" x14ac:dyDescent="0.2">
      <c r="A268">
        <v>267</v>
      </c>
      <c r="B268" t="s">
        <v>900</v>
      </c>
      <c r="C268" t="s">
        <v>900</v>
      </c>
      <c r="D268" t="s">
        <v>1087</v>
      </c>
      <c r="E268">
        <v>25</v>
      </c>
      <c r="F268" t="s">
        <v>1392</v>
      </c>
      <c r="G268">
        <v>12</v>
      </c>
      <c r="H268">
        <v>3</v>
      </c>
      <c r="I268">
        <v>28</v>
      </c>
      <c r="J268">
        <v>13</v>
      </c>
      <c r="K268">
        <v>0.46400000000000002</v>
      </c>
      <c r="L268">
        <v>133</v>
      </c>
      <c r="M268">
        <v>10.199999999999999</v>
      </c>
      <c r="N268">
        <v>3</v>
      </c>
      <c r="O268">
        <v>8</v>
      </c>
      <c r="P268">
        <v>21</v>
      </c>
      <c r="Q268">
        <v>4.8</v>
      </c>
      <c r="R268">
        <v>1.1000000000000001</v>
      </c>
      <c r="S268">
        <v>11.1</v>
      </c>
      <c r="T268">
        <v>2</v>
      </c>
    </row>
    <row r="269" spans="1:20" x14ac:dyDescent="0.2">
      <c r="A269">
        <v>268</v>
      </c>
      <c r="B269" t="s">
        <v>2125</v>
      </c>
      <c r="C269" t="s">
        <v>2125</v>
      </c>
      <c r="D269" t="s">
        <v>933</v>
      </c>
      <c r="E269">
        <v>38</v>
      </c>
      <c r="F269" t="s">
        <v>1577</v>
      </c>
      <c r="G269">
        <v>16</v>
      </c>
      <c r="H269">
        <v>7</v>
      </c>
      <c r="I269">
        <v>17</v>
      </c>
      <c r="J269">
        <v>13</v>
      </c>
      <c r="K269">
        <v>0.76500000000000001</v>
      </c>
      <c r="L269">
        <v>69</v>
      </c>
      <c r="M269">
        <v>5.3</v>
      </c>
      <c r="N269">
        <v>2</v>
      </c>
      <c r="O269">
        <v>8</v>
      </c>
      <c r="P269">
        <v>15</v>
      </c>
      <c r="Q269">
        <v>4.0999999999999996</v>
      </c>
      <c r="R269">
        <v>0.8</v>
      </c>
      <c r="S269">
        <v>4.3</v>
      </c>
      <c r="T269">
        <v>0</v>
      </c>
    </row>
    <row r="270" spans="1:20" x14ac:dyDescent="0.2">
      <c r="A270">
        <v>269</v>
      </c>
      <c r="B270" t="s">
        <v>365</v>
      </c>
      <c r="C270" t="s">
        <v>365</v>
      </c>
      <c r="D270" t="s">
        <v>77</v>
      </c>
      <c r="E270">
        <v>25</v>
      </c>
      <c r="F270" t="s">
        <v>1298</v>
      </c>
      <c r="G270">
        <v>12</v>
      </c>
      <c r="H270">
        <v>1</v>
      </c>
      <c r="I270">
        <v>13</v>
      </c>
      <c r="J270">
        <v>12</v>
      </c>
      <c r="K270">
        <v>0.92300000000000004</v>
      </c>
      <c r="L270">
        <v>100</v>
      </c>
      <c r="M270">
        <v>8.3000000000000007</v>
      </c>
      <c r="N270">
        <v>1</v>
      </c>
      <c r="O270">
        <v>7</v>
      </c>
      <c r="P270">
        <v>18</v>
      </c>
      <c r="Q270">
        <v>7.7</v>
      </c>
      <c r="R270">
        <v>1</v>
      </c>
      <c r="S270">
        <v>8.3000000000000007</v>
      </c>
      <c r="T270">
        <v>1</v>
      </c>
    </row>
    <row r="271" spans="1:20" x14ac:dyDescent="0.2">
      <c r="A271">
        <v>270</v>
      </c>
      <c r="B271" t="s">
        <v>447</v>
      </c>
      <c r="C271" t="s">
        <v>447</v>
      </c>
      <c r="D271" t="s">
        <v>74</v>
      </c>
      <c r="E271">
        <v>28</v>
      </c>
      <c r="F271" t="s">
        <v>1298</v>
      </c>
      <c r="G271">
        <v>16</v>
      </c>
      <c r="H271">
        <v>2</v>
      </c>
      <c r="I271">
        <v>17</v>
      </c>
      <c r="J271">
        <v>12</v>
      </c>
      <c r="K271">
        <v>0.70599999999999996</v>
      </c>
      <c r="L271">
        <v>139</v>
      </c>
      <c r="M271">
        <v>11.6</v>
      </c>
      <c r="N271">
        <v>0</v>
      </c>
      <c r="O271">
        <v>5</v>
      </c>
      <c r="P271">
        <v>42</v>
      </c>
      <c r="Q271">
        <v>8.1999999999999993</v>
      </c>
      <c r="R271">
        <v>0.8</v>
      </c>
      <c r="S271">
        <v>8.6999999999999993</v>
      </c>
      <c r="T271">
        <v>2</v>
      </c>
    </row>
    <row r="272" spans="1:20" x14ac:dyDescent="0.2">
      <c r="A272">
        <v>271</v>
      </c>
      <c r="B272" t="s">
        <v>370</v>
      </c>
      <c r="C272" t="s">
        <v>370</v>
      </c>
      <c r="D272" t="s">
        <v>93</v>
      </c>
      <c r="E272">
        <v>24</v>
      </c>
      <c r="G272">
        <v>16</v>
      </c>
      <c r="H272">
        <v>0</v>
      </c>
      <c r="I272">
        <v>13</v>
      </c>
      <c r="J272">
        <v>12</v>
      </c>
      <c r="K272">
        <v>0.92300000000000004</v>
      </c>
      <c r="L272">
        <v>81</v>
      </c>
      <c r="M272">
        <v>6.8</v>
      </c>
      <c r="N272">
        <v>0</v>
      </c>
      <c r="O272">
        <v>4</v>
      </c>
      <c r="P272">
        <v>28</v>
      </c>
      <c r="Q272">
        <v>6.2</v>
      </c>
      <c r="R272">
        <v>0.8</v>
      </c>
      <c r="S272">
        <v>5.0999999999999996</v>
      </c>
      <c r="T272">
        <v>0</v>
      </c>
    </row>
    <row r="273" spans="1:20" x14ac:dyDescent="0.2">
      <c r="A273">
        <v>272</v>
      </c>
      <c r="B273" t="s">
        <v>1940</v>
      </c>
      <c r="C273" t="s">
        <v>1940</v>
      </c>
      <c r="D273" t="s">
        <v>933</v>
      </c>
      <c r="E273">
        <v>24</v>
      </c>
      <c r="F273" t="s">
        <v>1882</v>
      </c>
      <c r="G273">
        <v>16</v>
      </c>
      <c r="H273">
        <v>4</v>
      </c>
      <c r="I273">
        <v>17</v>
      </c>
      <c r="J273">
        <v>12</v>
      </c>
      <c r="K273">
        <v>0.70599999999999996</v>
      </c>
      <c r="L273">
        <v>110</v>
      </c>
      <c r="M273">
        <v>9.1999999999999993</v>
      </c>
      <c r="N273">
        <v>1</v>
      </c>
      <c r="O273">
        <v>9</v>
      </c>
      <c r="P273">
        <v>23</v>
      </c>
      <c r="Q273">
        <v>6.5</v>
      </c>
      <c r="R273">
        <v>0.8</v>
      </c>
      <c r="S273">
        <v>6.9</v>
      </c>
      <c r="T273">
        <v>0</v>
      </c>
    </row>
    <row r="274" spans="1:20" x14ac:dyDescent="0.2">
      <c r="A274">
        <v>273</v>
      </c>
      <c r="B274" t="s">
        <v>2126</v>
      </c>
      <c r="C274" t="s">
        <v>2126</v>
      </c>
      <c r="D274" t="s">
        <v>976</v>
      </c>
      <c r="E274">
        <v>22</v>
      </c>
      <c r="F274" t="s">
        <v>1298</v>
      </c>
      <c r="G274">
        <v>14</v>
      </c>
      <c r="H274">
        <v>3</v>
      </c>
      <c r="I274">
        <v>17</v>
      </c>
      <c r="J274">
        <v>12</v>
      </c>
      <c r="K274">
        <v>0.70599999999999996</v>
      </c>
      <c r="L274">
        <v>169</v>
      </c>
      <c r="M274">
        <v>14.1</v>
      </c>
      <c r="N274">
        <v>2</v>
      </c>
      <c r="O274">
        <v>9</v>
      </c>
      <c r="P274">
        <v>35</v>
      </c>
      <c r="Q274">
        <v>9.9</v>
      </c>
      <c r="R274">
        <v>0.9</v>
      </c>
      <c r="S274">
        <v>12.1</v>
      </c>
      <c r="T274">
        <v>0</v>
      </c>
    </row>
    <row r="275" spans="1:20" x14ac:dyDescent="0.2">
      <c r="A275">
        <v>274</v>
      </c>
      <c r="B275" t="s">
        <v>382</v>
      </c>
      <c r="C275" t="s">
        <v>382</v>
      </c>
      <c r="D275" t="s">
        <v>98</v>
      </c>
      <c r="E275">
        <v>28</v>
      </c>
      <c r="G275">
        <v>10</v>
      </c>
      <c r="H275">
        <v>4</v>
      </c>
      <c r="I275">
        <v>16</v>
      </c>
      <c r="J275">
        <v>12</v>
      </c>
      <c r="K275">
        <v>0.75</v>
      </c>
      <c r="L275">
        <v>119</v>
      </c>
      <c r="M275">
        <v>9.9</v>
      </c>
      <c r="N275">
        <v>3</v>
      </c>
      <c r="O275">
        <v>9</v>
      </c>
      <c r="P275">
        <v>38</v>
      </c>
      <c r="Q275">
        <v>7.4</v>
      </c>
      <c r="R275">
        <v>1.2</v>
      </c>
      <c r="S275">
        <v>11.9</v>
      </c>
      <c r="T275">
        <v>0</v>
      </c>
    </row>
    <row r="276" spans="1:20" x14ac:dyDescent="0.2">
      <c r="A276">
        <v>275</v>
      </c>
      <c r="B276" t="s">
        <v>547</v>
      </c>
      <c r="C276" t="s">
        <v>547</v>
      </c>
      <c r="D276" t="s">
        <v>77</v>
      </c>
      <c r="E276">
        <v>25</v>
      </c>
      <c r="G276">
        <v>16</v>
      </c>
      <c r="H276">
        <v>0</v>
      </c>
      <c r="I276">
        <v>17</v>
      </c>
      <c r="J276">
        <v>12</v>
      </c>
      <c r="K276">
        <v>0.70599999999999996</v>
      </c>
      <c r="L276">
        <v>55</v>
      </c>
      <c r="M276">
        <v>4.5999999999999996</v>
      </c>
      <c r="N276">
        <v>0</v>
      </c>
      <c r="O276">
        <v>0</v>
      </c>
      <c r="P276">
        <v>9</v>
      </c>
      <c r="Q276">
        <v>3.2</v>
      </c>
      <c r="R276">
        <v>0.8</v>
      </c>
      <c r="S276">
        <v>3.4</v>
      </c>
      <c r="T276">
        <v>0</v>
      </c>
    </row>
    <row r="277" spans="1:20" x14ac:dyDescent="0.2">
      <c r="A277">
        <v>276</v>
      </c>
      <c r="B277" t="s">
        <v>1655</v>
      </c>
      <c r="C277" t="s">
        <v>1655</v>
      </c>
      <c r="D277" t="s">
        <v>139</v>
      </c>
      <c r="E277">
        <v>35</v>
      </c>
      <c r="F277" t="s">
        <v>1392</v>
      </c>
      <c r="G277">
        <v>16</v>
      </c>
      <c r="H277">
        <v>10</v>
      </c>
      <c r="I277">
        <v>18</v>
      </c>
      <c r="J277">
        <v>12</v>
      </c>
      <c r="K277">
        <v>0.66700000000000004</v>
      </c>
      <c r="L277">
        <v>101</v>
      </c>
      <c r="M277">
        <v>8.4</v>
      </c>
      <c r="N277">
        <v>0</v>
      </c>
      <c r="O277">
        <v>4</v>
      </c>
      <c r="P277">
        <v>23</v>
      </c>
      <c r="Q277">
        <v>5.6</v>
      </c>
      <c r="R277">
        <v>0.8</v>
      </c>
      <c r="S277">
        <v>6.3</v>
      </c>
      <c r="T277">
        <v>0</v>
      </c>
    </row>
    <row r="278" spans="1:20" x14ac:dyDescent="0.2">
      <c r="A278">
        <v>277</v>
      </c>
      <c r="B278" t="s">
        <v>522</v>
      </c>
      <c r="C278" t="s">
        <v>522</v>
      </c>
      <c r="D278" t="s">
        <v>101</v>
      </c>
      <c r="E278">
        <v>25</v>
      </c>
      <c r="G278">
        <v>15</v>
      </c>
      <c r="H278">
        <v>1</v>
      </c>
      <c r="I278">
        <v>18</v>
      </c>
      <c r="J278">
        <v>12</v>
      </c>
      <c r="K278">
        <v>0.66700000000000004</v>
      </c>
      <c r="L278">
        <v>69</v>
      </c>
      <c r="M278">
        <v>5.8</v>
      </c>
      <c r="N278">
        <v>2</v>
      </c>
      <c r="O278">
        <v>5</v>
      </c>
      <c r="P278">
        <v>13</v>
      </c>
      <c r="Q278">
        <v>3.8</v>
      </c>
      <c r="R278">
        <v>0.8</v>
      </c>
      <c r="S278">
        <v>4.5999999999999996</v>
      </c>
      <c r="T278">
        <v>2</v>
      </c>
    </row>
    <row r="279" spans="1:20" x14ac:dyDescent="0.2">
      <c r="A279">
        <v>278</v>
      </c>
      <c r="B279" t="s">
        <v>628</v>
      </c>
      <c r="C279" t="s">
        <v>628</v>
      </c>
      <c r="D279" t="s">
        <v>142</v>
      </c>
      <c r="E279">
        <v>26</v>
      </c>
      <c r="F279" t="s">
        <v>1577</v>
      </c>
      <c r="G279">
        <v>16</v>
      </c>
      <c r="H279">
        <v>5</v>
      </c>
      <c r="I279">
        <v>22</v>
      </c>
      <c r="J279">
        <v>12</v>
      </c>
      <c r="K279">
        <v>0.54500000000000004</v>
      </c>
      <c r="L279">
        <v>150</v>
      </c>
      <c r="M279">
        <v>12.5</v>
      </c>
      <c r="N279">
        <v>3</v>
      </c>
      <c r="O279">
        <v>9</v>
      </c>
      <c r="P279">
        <v>43</v>
      </c>
      <c r="Q279">
        <v>6.8</v>
      </c>
      <c r="R279">
        <v>0.8</v>
      </c>
      <c r="S279">
        <v>9.4</v>
      </c>
      <c r="T279">
        <v>0</v>
      </c>
    </row>
    <row r="280" spans="1:20" x14ac:dyDescent="0.2">
      <c r="A280">
        <v>279</v>
      </c>
      <c r="B280" t="s">
        <v>654</v>
      </c>
      <c r="C280" t="s">
        <v>654</v>
      </c>
      <c r="D280" t="s">
        <v>1267</v>
      </c>
      <c r="E280">
        <v>24</v>
      </c>
      <c r="G280">
        <v>12</v>
      </c>
      <c r="H280">
        <v>0</v>
      </c>
      <c r="I280">
        <v>15</v>
      </c>
      <c r="J280">
        <v>12</v>
      </c>
      <c r="K280">
        <v>0.8</v>
      </c>
      <c r="L280">
        <v>114</v>
      </c>
      <c r="M280">
        <v>9.5</v>
      </c>
      <c r="N280">
        <v>1</v>
      </c>
      <c r="O280">
        <v>6</v>
      </c>
      <c r="P280">
        <v>27</v>
      </c>
      <c r="Q280">
        <v>7.6</v>
      </c>
      <c r="R280">
        <v>1</v>
      </c>
      <c r="S280">
        <v>9.5</v>
      </c>
      <c r="T280">
        <v>0</v>
      </c>
    </row>
    <row r="281" spans="1:20" x14ac:dyDescent="0.2">
      <c r="A281">
        <v>280</v>
      </c>
      <c r="B281" t="s">
        <v>408</v>
      </c>
      <c r="C281" t="s">
        <v>408</v>
      </c>
      <c r="D281" t="s">
        <v>107</v>
      </c>
      <c r="E281">
        <v>26</v>
      </c>
      <c r="G281">
        <v>15</v>
      </c>
      <c r="H281">
        <v>0</v>
      </c>
      <c r="I281">
        <v>16</v>
      </c>
      <c r="J281">
        <v>12</v>
      </c>
      <c r="K281">
        <v>0.75</v>
      </c>
      <c r="L281">
        <v>105</v>
      </c>
      <c r="M281">
        <v>8.8000000000000007</v>
      </c>
      <c r="N281">
        <v>0</v>
      </c>
      <c r="O281">
        <v>3</v>
      </c>
      <c r="P281">
        <v>24</v>
      </c>
      <c r="Q281">
        <v>6.6</v>
      </c>
      <c r="R281">
        <v>0.8</v>
      </c>
      <c r="S281">
        <v>7</v>
      </c>
      <c r="T281">
        <v>0</v>
      </c>
    </row>
    <row r="282" spans="1:20" x14ac:dyDescent="0.2">
      <c r="A282">
        <v>281</v>
      </c>
      <c r="B282" t="s">
        <v>302</v>
      </c>
      <c r="C282" t="s">
        <v>302</v>
      </c>
      <c r="D282" t="s">
        <v>142</v>
      </c>
      <c r="E282">
        <v>22</v>
      </c>
      <c r="F282" t="s">
        <v>1392</v>
      </c>
      <c r="G282">
        <v>6</v>
      </c>
      <c r="H282">
        <v>4</v>
      </c>
      <c r="I282">
        <v>14</v>
      </c>
      <c r="J282">
        <v>11</v>
      </c>
      <c r="K282">
        <v>0.78600000000000003</v>
      </c>
      <c r="L282">
        <v>61</v>
      </c>
      <c r="M282">
        <v>5.5</v>
      </c>
      <c r="N282">
        <v>0</v>
      </c>
      <c r="O282">
        <v>2</v>
      </c>
      <c r="P282">
        <v>13</v>
      </c>
      <c r="Q282">
        <v>4.4000000000000004</v>
      </c>
      <c r="R282">
        <v>1.8</v>
      </c>
      <c r="S282">
        <v>10.199999999999999</v>
      </c>
      <c r="T282">
        <v>0</v>
      </c>
    </row>
    <row r="283" spans="1:20" x14ac:dyDescent="0.2">
      <c r="A283">
        <v>282</v>
      </c>
      <c r="B283" t="s">
        <v>1670</v>
      </c>
      <c r="C283" t="s">
        <v>1670</v>
      </c>
      <c r="D283" t="s">
        <v>730</v>
      </c>
      <c r="E283">
        <v>21</v>
      </c>
      <c r="F283" t="s">
        <v>1392</v>
      </c>
      <c r="G283">
        <v>13</v>
      </c>
      <c r="H283">
        <v>5</v>
      </c>
      <c r="I283">
        <v>14</v>
      </c>
      <c r="J283">
        <v>11</v>
      </c>
      <c r="K283">
        <v>0.78600000000000003</v>
      </c>
      <c r="L283">
        <v>123</v>
      </c>
      <c r="M283">
        <v>11.2</v>
      </c>
      <c r="N283">
        <v>1</v>
      </c>
      <c r="O283">
        <v>4</v>
      </c>
      <c r="P283">
        <v>38</v>
      </c>
      <c r="Q283">
        <v>8.8000000000000007</v>
      </c>
      <c r="R283">
        <v>0.8</v>
      </c>
      <c r="S283">
        <v>9.5</v>
      </c>
      <c r="T283">
        <v>1</v>
      </c>
    </row>
    <row r="284" spans="1:20" x14ac:dyDescent="0.2">
      <c r="A284">
        <v>283</v>
      </c>
      <c r="B284" t="s">
        <v>648</v>
      </c>
      <c r="C284" t="s">
        <v>648</v>
      </c>
      <c r="D284" t="s">
        <v>729</v>
      </c>
      <c r="E284">
        <v>29</v>
      </c>
      <c r="F284" t="s">
        <v>1577</v>
      </c>
      <c r="G284">
        <v>16</v>
      </c>
      <c r="H284">
        <v>2</v>
      </c>
      <c r="I284">
        <v>15</v>
      </c>
      <c r="J284">
        <v>11</v>
      </c>
      <c r="K284">
        <v>0.73299999999999998</v>
      </c>
      <c r="L284">
        <v>110</v>
      </c>
      <c r="M284">
        <v>10</v>
      </c>
      <c r="N284">
        <v>0</v>
      </c>
      <c r="O284">
        <v>7</v>
      </c>
      <c r="P284">
        <v>24</v>
      </c>
      <c r="Q284">
        <v>7.3</v>
      </c>
      <c r="R284">
        <v>0.7</v>
      </c>
      <c r="S284">
        <v>6.9</v>
      </c>
      <c r="T284">
        <v>0</v>
      </c>
    </row>
    <row r="285" spans="1:20" x14ac:dyDescent="0.2">
      <c r="A285">
        <v>284</v>
      </c>
      <c r="B285" t="s">
        <v>459</v>
      </c>
      <c r="C285" t="s">
        <v>459</v>
      </c>
      <c r="D285" t="s">
        <v>92</v>
      </c>
      <c r="E285">
        <v>27</v>
      </c>
      <c r="F285" t="s">
        <v>1298</v>
      </c>
      <c r="G285">
        <v>14</v>
      </c>
      <c r="H285">
        <v>4</v>
      </c>
      <c r="I285">
        <v>16</v>
      </c>
      <c r="J285">
        <v>11</v>
      </c>
      <c r="K285">
        <v>0.68799999999999994</v>
      </c>
      <c r="L285">
        <v>101</v>
      </c>
      <c r="M285">
        <v>9.1999999999999993</v>
      </c>
      <c r="N285">
        <v>0</v>
      </c>
      <c r="O285">
        <v>6</v>
      </c>
      <c r="P285">
        <v>16</v>
      </c>
      <c r="Q285">
        <v>6.3</v>
      </c>
      <c r="R285">
        <v>0.8</v>
      </c>
      <c r="S285">
        <v>7.2</v>
      </c>
      <c r="T285">
        <v>0</v>
      </c>
    </row>
    <row r="286" spans="1:20" x14ac:dyDescent="0.2">
      <c r="A286">
        <v>285</v>
      </c>
      <c r="B286" t="s">
        <v>2102</v>
      </c>
      <c r="C286" t="s">
        <v>2102</v>
      </c>
      <c r="D286" t="s">
        <v>933</v>
      </c>
      <c r="E286">
        <v>22</v>
      </c>
      <c r="F286" t="s">
        <v>1298</v>
      </c>
      <c r="G286">
        <v>12</v>
      </c>
      <c r="H286">
        <v>3</v>
      </c>
      <c r="I286">
        <v>15</v>
      </c>
      <c r="J286">
        <v>11</v>
      </c>
      <c r="K286">
        <v>0.73299999999999998</v>
      </c>
      <c r="L286">
        <v>193</v>
      </c>
      <c r="M286">
        <v>17.5</v>
      </c>
      <c r="N286">
        <v>1</v>
      </c>
      <c r="O286">
        <v>9</v>
      </c>
      <c r="P286">
        <v>34</v>
      </c>
      <c r="Q286">
        <v>12.9</v>
      </c>
      <c r="R286">
        <v>0.9</v>
      </c>
      <c r="S286">
        <v>16.100000000000001</v>
      </c>
      <c r="T286">
        <v>0</v>
      </c>
    </row>
    <row r="287" spans="1:20" x14ac:dyDescent="0.2">
      <c r="A287">
        <v>286</v>
      </c>
      <c r="B287" t="s">
        <v>1836</v>
      </c>
      <c r="C287" t="s">
        <v>1836</v>
      </c>
      <c r="D287" t="s">
        <v>1267</v>
      </c>
      <c r="E287">
        <v>27</v>
      </c>
      <c r="G287">
        <v>8</v>
      </c>
      <c r="H287">
        <v>0</v>
      </c>
      <c r="I287">
        <v>15</v>
      </c>
      <c r="J287">
        <v>11</v>
      </c>
      <c r="K287">
        <v>0.73299999999999998</v>
      </c>
      <c r="L287">
        <v>84</v>
      </c>
      <c r="M287">
        <v>7.6</v>
      </c>
      <c r="N287">
        <v>0</v>
      </c>
      <c r="O287">
        <v>6</v>
      </c>
      <c r="P287">
        <v>24</v>
      </c>
      <c r="Q287">
        <v>5.6</v>
      </c>
      <c r="R287">
        <v>1.4</v>
      </c>
      <c r="S287">
        <v>10.5</v>
      </c>
      <c r="T287">
        <v>0</v>
      </c>
    </row>
    <row r="288" spans="1:20" x14ac:dyDescent="0.2">
      <c r="A288">
        <v>287</v>
      </c>
      <c r="B288" t="s">
        <v>545</v>
      </c>
      <c r="C288" t="s">
        <v>545</v>
      </c>
      <c r="D288" t="s">
        <v>82</v>
      </c>
      <c r="E288">
        <v>25</v>
      </c>
      <c r="G288">
        <v>9</v>
      </c>
      <c r="H288">
        <v>0</v>
      </c>
      <c r="I288">
        <v>17</v>
      </c>
      <c r="J288">
        <v>11</v>
      </c>
      <c r="K288">
        <v>0.64700000000000002</v>
      </c>
      <c r="L288">
        <v>180</v>
      </c>
      <c r="M288">
        <v>16.399999999999999</v>
      </c>
      <c r="N288">
        <v>0</v>
      </c>
      <c r="O288">
        <v>11</v>
      </c>
      <c r="P288">
        <v>42</v>
      </c>
      <c r="Q288">
        <v>10.6</v>
      </c>
      <c r="R288">
        <v>1.2</v>
      </c>
      <c r="S288">
        <v>20</v>
      </c>
      <c r="T288">
        <v>0</v>
      </c>
    </row>
    <row r="289" spans="1:20" x14ac:dyDescent="0.2">
      <c r="A289">
        <v>288</v>
      </c>
      <c r="B289" t="s">
        <v>2127</v>
      </c>
      <c r="C289" t="s">
        <v>2127</v>
      </c>
      <c r="D289" t="s">
        <v>976</v>
      </c>
      <c r="E289">
        <v>26</v>
      </c>
      <c r="F289" t="s">
        <v>1577</v>
      </c>
      <c r="G289">
        <v>4</v>
      </c>
      <c r="H289">
        <v>1</v>
      </c>
      <c r="I289">
        <v>19</v>
      </c>
      <c r="J289">
        <v>11</v>
      </c>
      <c r="K289">
        <v>0.57899999999999996</v>
      </c>
      <c r="L289">
        <v>146</v>
      </c>
      <c r="M289">
        <v>13.3</v>
      </c>
      <c r="N289">
        <v>2</v>
      </c>
      <c r="O289">
        <v>8</v>
      </c>
      <c r="P289">
        <v>33</v>
      </c>
      <c r="Q289">
        <v>7.7</v>
      </c>
      <c r="R289">
        <v>2.8</v>
      </c>
      <c r="S289">
        <v>36.5</v>
      </c>
      <c r="T289">
        <v>0</v>
      </c>
    </row>
    <row r="290" spans="1:20" x14ac:dyDescent="0.2">
      <c r="A290">
        <v>289</v>
      </c>
      <c r="B290" t="s">
        <v>632</v>
      </c>
      <c r="C290" t="s">
        <v>632</v>
      </c>
      <c r="D290" t="s">
        <v>93</v>
      </c>
      <c r="E290">
        <v>22</v>
      </c>
      <c r="G290">
        <v>4</v>
      </c>
      <c r="H290">
        <v>0</v>
      </c>
      <c r="I290">
        <v>15</v>
      </c>
      <c r="J290">
        <v>11</v>
      </c>
      <c r="K290">
        <v>0.73299999999999998</v>
      </c>
      <c r="L290">
        <v>121</v>
      </c>
      <c r="M290">
        <v>11</v>
      </c>
      <c r="N290">
        <v>1</v>
      </c>
      <c r="O290">
        <v>6</v>
      </c>
      <c r="P290">
        <v>27</v>
      </c>
      <c r="Q290">
        <v>8.1</v>
      </c>
      <c r="R290">
        <v>2.8</v>
      </c>
      <c r="S290">
        <v>30.3</v>
      </c>
      <c r="T290">
        <v>0</v>
      </c>
    </row>
    <row r="291" spans="1:20" x14ac:dyDescent="0.2">
      <c r="A291">
        <v>290</v>
      </c>
      <c r="B291" t="s">
        <v>388</v>
      </c>
      <c r="C291" t="s">
        <v>388</v>
      </c>
      <c r="D291" t="s">
        <v>71</v>
      </c>
      <c r="E291">
        <v>22</v>
      </c>
      <c r="G291">
        <v>10</v>
      </c>
      <c r="H291">
        <v>0</v>
      </c>
      <c r="I291">
        <v>15</v>
      </c>
      <c r="J291">
        <v>11</v>
      </c>
      <c r="K291">
        <v>0.73299999999999998</v>
      </c>
      <c r="L291">
        <v>63</v>
      </c>
      <c r="M291">
        <v>5.7</v>
      </c>
      <c r="N291">
        <v>0</v>
      </c>
      <c r="O291">
        <v>3</v>
      </c>
      <c r="P291">
        <v>14</v>
      </c>
      <c r="Q291">
        <v>4.2</v>
      </c>
      <c r="R291">
        <v>1.1000000000000001</v>
      </c>
      <c r="S291">
        <v>6.3</v>
      </c>
      <c r="T291">
        <v>0</v>
      </c>
    </row>
    <row r="292" spans="1:20" x14ac:dyDescent="0.2">
      <c r="A292">
        <v>291</v>
      </c>
      <c r="B292" t="s">
        <v>341</v>
      </c>
      <c r="C292" t="s">
        <v>341</v>
      </c>
      <c r="D292" t="s">
        <v>74</v>
      </c>
      <c r="E292">
        <v>25</v>
      </c>
      <c r="F292" t="s">
        <v>1392</v>
      </c>
      <c r="G292">
        <v>16</v>
      </c>
      <c r="H292">
        <v>1</v>
      </c>
      <c r="I292">
        <v>12</v>
      </c>
      <c r="J292">
        <v>11</v>
      </c>
      <c r="K292">
        <v>0.91700000000000004</v>
      </c>
      <c r="L292">
        <v>66</v>
      </c>
      <c r="M292">
        <v>6</v>
      </c>
      <c r="N292">
        <v>0</v>
      </c>
      <c r="O292">
        <v>4</v>
      </c>
      <c r="P292">
        <v>15</v>
      </c>
      <c r="Q292">
        <v>5.5</v>
      </c>
      <c r="R292">
        <v>0.7</v>
      </c>
      <c r="S292">
        <v>4.0999999999999996</v>
      </c>
      <c r="T292">
        <v>0</v>
      </c>
    </row>
    <row r="293" spans="1:20" x14ac:dyDescent="0.2">
      <c r="A293">
        <v>292</v>
      </c>
      <c r="B293" t="s">
        <v>508</v>
      </c>
      <c r="C293" t="s">
        <v>508</v>
      </c>
      <c r="D293" t="s">
        <v>101</v>
      </c>
      <c r="E293">
        <v>28</v>
      </c>
      <c r="F293" t="s">
        <v>1882</v>
      </c>
      <c r="G293">
        <v>16</v>
      </c>
      <c r="H293">
        <v>7</v>
      </c>
      <c r="I293">
        <v>15</v>
      </c>
      <c r="J293">
        <v>11</v>
      </c>
      <c r="K293">
        <v>0.73299999999999998</v>
      </c>
      <c r="L293">
        <v>59</v>
      </c>
      <c r="M293">
        <v>5.4</v>
      </c>
      <c r="N293">
        <v>0</v>
      </c>
      <c r="O293">
        <v>4</v>
      </c>
      <c r="P293">
        <v>13</v>
      </c>
      <c r="Q293">
        <v>3.9</v>
      </c>
      <c r="R293">
        <v>0.7</v>
      </c>
      <c r="S293">
        <v>3.7</v>
      </c>
      <c r="T293">
        <v>0</v>
      </c>
    </row>
    <row r="294" spans="1:20" x14ac:dyDescent="0.2">
      <c r="A294">
        <v>293</v>
      </c>
      <c r="B294" t="s">
        <v>2128</v>
      </c>
      <c r="C294" t="s">
        <v>2128</v>
      </c>
      <c r="D294" t="s">
        <v>122</v>
      </c>
      <c r="E294">
        <v>28</v>
      </c>
      <c r="G294">
        <v>10</v>
      </c>
      <c r="H294">
        <v>0</v>
      </c>
      <c r="I294">
        <v>19</v>
      </c>
      <c r="J294">
        <v>11</v>
      </c>
      <c r="K294">
        <v>0.57899999999999996</v>
      </c>
      <c r="L294">
        <v>144</v>
      </c>
      <c r="M294">
        <v>13.1</v>
      </c>
      <c r="N294">
        <v>1</v>
      </c>
      <c r="O294">
        <v>8</v>
      </c>
      <c r="P294">
        <v>24</v>
      </c>
      <c r="Q294">
        <v>7.6</v>
      </c>
      <c r="R294">
        <v>1.1000000000000001</v>
      </c>
      <c r="S294">
        <v>14.4</v>
      </c>
      <c r="T294">
        <v>0</v>
      </c>
    </row>
    <row r="295" spans="1:20" x14ac:dyDescent="0.2">
      <c r="A295">
        <v>294</v>
      </c>
      <c r="B295" t="s">
        <v>1899</v>
      </c>
      <c r="C295" t="s">
        <v>1899</v>
      </c>
      <c r="D295" t="s">
        <v>107</v>
      </c>
      <c r="E295">
        <v>22</v>
      </c>
      <c r="G295">
        <v>7</v>
      </c>
      <c r="H295">
        <v>0</v>
      </c>
      <c r="I295">
        <v>10</v>
      </c>
      <c r="J295">
        <v>10</v>
      </c>
      <c r="K295">
        <v>1</v>
      </c>
      <c r="L295">
        <v>79</v>
      </c>
      <c r="M295">
        <v>7.9</v>
      </c>
      <c r="N295">
        <v>0</v>
      </c>
      <c r="O295">
        <v>3</v>
      </c>
      <c r="P295">
        <v>21</v>
      </c>
      <c r="Q295">
        <v>7.9</v>
      </c>
      <c r="R295">
        <v>1.4</v>
      </c>
      <c r="S295">
        <v>11.3</v>
      </c>
      <c r="T295">
        <v>0</v>
      </c>
    </row>
    <row r="296" spans="1:20" x14ac:dyDescent="0.2">
      <c r="A296">
        <v>295</v>
      </c>
      <c r="B296" t="s">
        <v>462</v>
      </c>
      <c r="C296" t="s">
        <v>462</v>
      </c>
      <c r="D296" t="s">
        <v>102</v>
      </c>
      <c r="E296">
        <v>24</v>
      </c>
      <c r="F296" t="s">
        <v>1298</v>
      </c>
      <c r="G296">
        <v>13</v>
      </c>
      <c r="H296">
        <v>4</v>
      </c>
      <c r="I296">
        <v>29</v>
      </c>
      <c r="J296">
        <v>10</v>
      </c>
      <c r="K296">
        <v>0.34499999999999997</v>
      </c>
      <c r="L296">
        <v>167</v>
      </c>
      <c r="M296">
        <v>16.7</v>
      </c>
      <c r="N296">
        <v>0</v>
      </c>
      <c r="O296">
        <v>5</v>
      </c>
      <c r="P296">
        <v>59</v>
      </c>
      <c r="Q296">
        <v>5.8</v>
      </c>
      <c r="R296">
        <v>0.8</v>
      </c>
      <c r="S296">
        <v>12.8</v>
      </c>
      <c r="T296">
        <v>0</v>
      </c>
    </row>
    <row r="297" spans="1:20" x14ac:dyDescent="0.2">
      <c r="A297">
        <v>296</v>
      </c>
      <c r="B297" t="s">
        <v>475</v>
      </c>
      <c r="C297" t="s">
        <v>475</v>
      </c>
      <c r="D297" t="s">
        <v>142</v>
      </c>
      <c r="E297">
        <v>25</v>
      </c>
      <c r="G297">
        <v>16</v>
      </c>
      <c r="H297">
        <v>0</v>
      </c>
      <c r="I297">
        <v>12</v>
      </c>
      <c r="J297">
        <v>10</v>
      </c>
      <c r="K297">
        <v>0.83299999999999996</v>
      </c>
      <c r="L297">
        <v>68</v>
      </c>
      <c r="M297">
        <v>6.8</v>
      </c>
      <c r="N297">
        <v>0</v>
      </c>
      <c r="O297">
        <v>3</v>
      </c>
      <c r="P297">
        <v>17</v>
      </c>
      <c r="Q297">
        <v>5.7</v>
      </c>
      <c r="R297">
        <v>0.6</v>
      </c>
      <c r="S297">
        <v>4.3</v>
      </c>
      <c r="T297">
        <v>1</v>
      </c>
    </row>
    <row r="298" spans="1:20" x14ac:dyDescent="0.2">
      <c r="A298">
        <v>297</v>
      </c>
      <c r="B298" t="s">
        <v>622</v>
      </c>
      <c r="C298" t="s">
        <v>622</v>
      </c>
      <c r="D298" t="s">
        <v>1267</v>
      </c>
      <c r="E298">
        <v>36</v>
      </c>
      <c r="F298" t="s">
        <v>88</v>
      </c>
      <c r="G298">
        <v>15</v>
      </c>
      <c r="H298">
        <v>15</v>
      </c>
      <c r="I298">
        <v>17</v>
      </c>
      <c r="J298">
        <v>10</v>
      </c>
      <c r="K298">
        <v>0.58799999999999997</v>
      </c>
      <c r="L298">
        <v>107</v>
      </c>
      <c r="M298">
        <v>10.7</v>
      </c>
      <c r="N298">
        <v>3</v>
      </c>
      <c r="O298">
        <v>6</v>
      </c>
      <c r="P298">
        <v>36</v>
      </c>
      <c r="Q298">
        <v>6.3</v>
      </c>
      <c r="R298">
        <v>0.7</v>
      </c>
      <c r="S298">
        <v>7.1</v>
      </c>
      <c r="T298">
        <v>0</v>
      </c>
    </row>
    <row r="299" spans="1:20" x14ac:dyDescent="0.2">
      <c r="A299">
        <v>298</v>
      </c>
      <c r="B299" t="s">
        <v>440</v>
      </c>
      <c r="C299" t="s">
        <v>440</v>
      </c>
      <c r="D299" t="s">
        <v>1052</v>
      </c>
      <c r="E299">
        <v>26</v>
      </c>
      <c r="F299" t="s">
        <v>1392</v>
      </c>
      <c r="G299">
        <v>14</v>
      </c>
      <c r="H299">
        <v>2</v>
      </c>
      <c r="I299">
        <v>20</v>
      </c>
      <c r="J299">
        <v>10</v>
      </c>
      <c r="K299">
        <v>0.5</v>
      </c>
      <c r="L299">
        <v>54</v>
      </c>
      <c r="M299">
        <v>5.4</v>
      </c>
      <c r="N299">
        <v>0</v>
      </c>
      <c r="O299">
        <v>4</v>
      </c>
      <c r="P299">
        <v>12</v>
      </c>
      <c r="Q299">
        <v>2.7</v>
      </c>
      <c r="R299">
        <v>0.7</v>
      </c>
      <c r="S299">
        <v>3.9</v>
      </c>
      <c r="T299">
        <v>0</v>
      </c>
    </row>
    <row r="300" spans="1:20" x14ac:dyDescent="0.2">
      <c r="A300">
        <v>299</v>
      </c>
      <c r="B300" t="s">
        <v>2129</v>
      </c>
      <c r="C300" t="s">
        <v>2129</v>
      </c>
      <c r="D300" t="s">
        <v>118</v>
      </c>
      <c r="E300">
        <v>23</v>
      </c>
      <c r="F300" t="s">
        <v>1577</v>
      </c>
      <c r="G300">
        <v>13</v>
      </c>
      <c r="H300">
        <v>5</v>
      </c>
      <c r="I300">
        <v>20</v>
      </c>
      <c r="J300">
        <v>10</v>
      </c>
      <c r="K300">
        <v>0.5</v>
      </c>
      <c r="L300">
        <v>159</v>
      </c>
      <c r="M300">
        <v>15.9</v>
      </c>
      <c r="N300">
        <v>3</v>
      </c>
      <c r="O300">
        <v>8</v>
      </c>
      <c r="P300">
        <v>26</v>
      </c>
      <c r="Q300">
        <v>8</v>
      </c>
      <c r="R300">
        <v>0.8</v>
      </c>
      <c r="S300">
        <v>12.2</v>
      </c>
      <c r="T300">
        <v>0</v>
      </c>
    </row>
    <row r="301" spans="1:20" x14ac:dyDescent="0.2">
      <c r="A301">
        <v>300</v>
      </c>
      <c r="B301" t="s">
        <v>358</v>
      </c>
      <c r="C301" t="s">
        <v>358</v>
      </c>
      <c r="D301" t="s">
        <v>99</v>
      </c>
      <c r="E301">
        <v>22</v>
      </c>
      <c r="F301" t="s">
        <v>1392</v>
      </c>
      <c r="G301">
        <v>16</v>
      </c>
      <c r="H301">
        <v>3</v>
      </c>
      <c r="I301">
        <v>14</v>
      </c>
      <c r="J301">
        <v>10</v>
      </c>
      <c r="K301">
        <v>0.71399999999999997</v>
      </c>
      <c r="L301">
        <v>61</v>
      </c>
      <c r="M301">
        <v>6.1</v>
      </c>
      <c r="N301">
        <v>0</v>
      </c>
      <c r="O301">
        <v>3</v>
      </c>
      <c r="P301">
        <v>14</v>
      </c>
      <c r="Q301">
        <v>4.4000000000000004</v>
      </c>
      <c r="R301">
        <v>0.6</v>
      </c>
      <c r="S301">
        <v>3.8</v>
      </c>
      <c r="T301">
        <v>2</v>
      </c>
    </row>
    <row r="302" spans="1:20" x14ac:dyDescent="0.2">
      <c r="A302">
        <v>301</v>
      </c>
      <c r="B302" t="s">
        <v>458</v>
      </c>
      <c r="C302" t="s">
        <v>458</v>
      </c>
      <c r="D302" t="s">
        <v>1087</v>
      </c>
      <c r="E302">
        <v>26</v>
      </c>
      <c r="F302" t="s">
        <v>1298</v>
      </c>
      <c r="G302">
        <v>12</v>
      </c>
      <c r="H302">
        <v>1</v>
      </c>
      <c r="I302">
        <v>21</v>
      </c>
      <c r="J302">
        <v>10</v>
      </c>
      <c r="K302">
        <v>0.47599999999999998</v>
      </c>
      <c r="L302">
        <v>86</v>
      </c>
      <c r="M302">
        <v>8.6</v>
      </c>
      <c r="N302">
        <v>0</v>
      </c>
      <c r="O302">
        <v>5</v>
      </c>
      <c r="P302">
        <v>29</v>
      </c>
      <c r="Q302">
        <v>4.0999999999999996</v>
      </c>
      <c r="R302">
        <v>0.8</v>
      </c>
      <c r="S302">
        <v>7.2</v>
      </c>
      <c r="T302">
        <v>0</v>
      </c>
    </row>
    <row r="303" spans="1:20" x14ac:dyDescent="0.2">
      <c r="A303">
        <v>302</v>
      </c>
      <c r="B303" t="s">
        <v>327</v>
      </c>
      <c r="C303" t="s">
        <v>327</v>
      </c>
      <c r="D303" t="s">
        <v>142</v>
      </c>
      <c r="E303">
        <v>25</v>
      </c>
      <c r="F303" t="s">
        <v>1392</v>
      </c>
      <c r="G303">
        <v>12</v>
      </c>
      <c r="H303">
        <v>1</v>
      </c>
      <c r="I303">
        <v>10</v>
      </c>
      <c r="J303">
        <v>9</v>
      </c>
      <c r="K303">
        <v>0.9</v>
      </c>
      <c r="L303">
        <v>96</v>
      </c>
      <c r="M303">
        <v>10.7</v>
      </c>
      <c r="N303">
        <v>0</v>
      </c>
      <c r="O303">
        <v>5</v>
      </c>
      <c r="P303">
        <v>31</v>
      </c>
      <c r="Q303">
        <v>9.6</v>
      </c>
      <c r="R303">
        <v>0.8</v>
      </c>
      <c r="S303">
        <v>8</v>
      </c>
      <c r="T303">
        <v>2</v>
      </c>
    </row>
    <row r="304" spans="1:20" x14ac:dyDescent="0.2">
      <c r="A304">
        <v>303</v>
      </c>
      <c r="B304" t="s">
        <v>1674</v>
      </c>
      <c r="C304" t="s">
        <v>1674</v>
      </c>
      <c r="D304" t="s">
        <v>725</v>
      </c>
      <c r="E304">
        <v>25</v>
      </c>
      <c r="F304" t="s">
        <v>1392</v>
      </c>
      <c r="G304">
        <v>16</v>
      </c>
      <c r="H304">
        <v>6</v>
      </c>
      <c r="I304">
        <v>13</v>
      </c>
      <c r="J304">
        <v>9</v>
      </c>
      <c r="K304">
        <v>0.69199999999999995</v>
      </c>
      <c r="L304">
        <v>129</v>
      </c>
      <c r="M304">
        <v>14.3</v>
      </c>
      <c r="N304">
        <v>0</v>
      </c>
      <c r="O304">
        <v>4</v>
      </c>
      <c r="P304">
        <v>34</v>
      </c>
      <c r="Q304">
        <v>9.9</v>
      </c>
      <c r="R304">
        <v>0.6</v>
      </c>
      <c r="S304">
        <v>8.1</v>
      </c>
      <c r="T304">
        <v>1</v>
      </c>
    </row>
    <row r="305" spans="1:20" x14ac:dyDescent="0.2">
      <c r="A305">
        <v>304</v>
      </c>
      <c r="B305" t="s">
        <v>678</v>
      </c>
      <c r="C305" t="s">
        <v>678</v>
      </c>
      <c r="D305" t="s">
        <v>71</v>
      </c>
      <c r="E305">
        <v>30</v>
      </c>
      <c r="F305" t="s">
        <v>1577</v>
      </c>
      <c r="G305">
        <v>15</v>
      </c>
      <c r="H305">
        <v>6</v>
      </c>
      <c r="I305">
        <v>12</v>
      </c>
      <c r="J305">
        <v>9</v>
      </c>
      <c r="K305">
        <v>0.75</v>
      </c>
      <c r="L305">
        <v>86</v>
      </c>
      <c r="M305">
        <v>9.6</v>
      </c>
      <c r="N305">
        <v>0</v>
      </c>
      <c r="O305">
        <v>4</v>
      </c>
      <c r="P305">
        <v>23</v>
      </c>
      <c r="Q305">
        <v>7.2</v>
      </c>
      <c r="R305">
        <v>0.6</v>
      </c>
      <c r="S305">
        <v>5.7</v>
      </c>
      <c r="T305">
        <v>0</v>
      </c>
    </row>
    <row r="306" spans="1:20" x14ac:dyDescent="0.2">
      <c r="A306">
        <v>305</v>
      </c>
      <c r="B306" t="s">
        <v>389</v>
      </c>
      <c r="C306" t="s">
        <v>389</v>
      </c>
      <c r="D306" t="s">
        <v>108</v>
      </c>
      <c r="E306">
        <v>22</v>
      </c>
      <c r="G306">
        <v>9</v>
      </c>
      <c r="H306">
        <v>0</v>
      </c>
      <c r="I306">
        <v>10</v>
      </c>
      <c r="J306">
        <v>9</v>
      </c>
      <c r="K306">
        <v>0.9</v>
      </c>
      <c r="L306">
        <v>90</v>
      </c>
      <c r="M306">
        <v>10</v>
      </c>
      <c r="N306">
        <v>1</v>
      </c>
      <c r="O306">
        <v>4</v>
      </c>
      <c r="P306">
        <v>50</v>
      </c>
      <c r="Q306">
        <v>9</v>
      </c>
      <c r="R306">
        <v>1</v>
      </c>
      <c r="S306">
        <v>10</v>
      </c>
      <c r="T306">
        <v>0</v>
      </c>
    </row>
    <row r="307" spans="1:20" x14ac:dyDescent="0.2">
      <c r="A307">
        <v>306</v>
      </c>
      <c r="B307" t="s">
        <v>424</v>
      </c>
      <c r="C307" t="s">
        <v>424</v>
      </c>
      <c r="D307" t="s">
        <v>1052</v>
      </c>
      <c r="E307">
        <v>24</v>
      </c>
      <c r="G307">
        <v>8</v>
      </c>
      <c r="H307">
        <v>0</v>
      </c>
      <c r="I307">
        <v>9</v>
      </c>
      <c r="J307">
        <v>9</v>
      </c>
      <c r="K307">
        <v>1</v>
      </c>
      <c r="L307">
        <v>42</v>
      </c>
      <c r="M307">
        <v>4.7</v>
      </c>
      <c r="N307">
        <v>0</v>
      </c>
      <c r="O307">
        <v>3</v>
      </c>
      <c r="P307">
        <v>12</v>
      </c>
      <c r="Q307">
        <v>4.7</v>
      </c>
      <c r="R307">
        <v>1.1000000000000001</v>
      </c>
      <c r="S307">
        <v>5.3</v>
      </c>
      <c r="T307">
        <v>0</v>
      </c>
    </row>
    <row r="308" spans="1:20" x14ac:dyDescent="0.2">
      <c r="A308">
        <v>307</v>
      </c>
      <c r="B308" t="s">
        <v>452</v>
      </c>
      <c r="C308" t="s">
        <v>452</v>
      </c>
      <c r="D308" t="s">
        <v>142</v>
      </c>
      <c r="E308">
        <v>23</v>
      </c>
      <c r="F308" t="s">
        <v>1392</v>
      </c>
      <c r="G308">
        <v>9</v>
      </c>
      <c r="H308">
        <v>2</v>
      </c>
      <c r="I308">
        <v>13</v>
      </c>
      <c r="J308">
        <v>9</v>
      </c>
      <c r="K308">
        <v>0.69199999999999995</v>
      </c>
      <c r="L308">
        <v>92</v>
      </c>
      <c r="M308">
        <v>10.199999999999999</v>
      </c>
      <c r="N308">
        <v>1</v>
      </c>
      <c r="O308">
        <v>4</v>
      </c>
      <c r="P308">
        <v>25</v>
      </c>
      <c r="Q308">
        <v>7.1</v>
      </c>
      <c r="R308">
        <v>1</v>
      </c>
      <c r="S308">
        <v>10.199999999999999</v>
      </c>
      <c r="T308">
        <v>1</v>
      </c>
    </row>
    <row r="309" spans="1:20" x14ac:dyDescent="0.2">
      <c r="A309">
        <v>308</v>
      </c>
      <c r="B309" t="s">
        <v>493</v>
      </c>
      <c r="C309" t="s">
        <v>493</v>
      </c>
      <c r="D309" t="s">
        <v>77</v>
      </c>
      <c r="E309">
        <v>26</v>
      </c>
      <c r="G309">
        <v>15</v>
      </c>
      <c r="H309">
        <v>3</v>
      </c>
      <c r="I309">
        <v>15</v>
      </c>
      <c r="J309">
        <v>9</v>
      </c>
      <c r="K309">
        <v>0.6</v>
      </c>
      <c r="L309">
        <v>187</v>
      </c>
      <c r="M309">
        <v>20.8</v>
      </c>
      <c r="N309">
        <v>0</v>
      </c>
      <c r="O309">
        <v>7</v>
      </c>
      <c r="P309">
        <v>61</v>
      </c>
      <c r="Q309">
        <v>12.5</v>
      </c>
      <c r="R309">
        <v>0.6</v>
      </c>
      <c r="S309">
        <v>12.5</v>
      </c>
      <c r="T309">
        <v>0</v>
      </c>
    </row>
    <row r="310" spans="1:20" x14ac:dyDescent="0.2">
      <c r="A310">
        <v>309</v>
      </c>
      <c r="B310" t="s">
        <v>2067</v>
      </c>
      <c r="C310" t="s">
        <v>2068</v>
      </c>
      <c r="D310" t="s">
        <v>725</v>
      </c>
      <c r="E310">
        <v>26</v>
      </c>
      <c r="F310" t="s">
        <v>1882</v>
      </c>
      <c r="G310">
        <v>15</v>
      </c>
      <c r="H310">
        <v>10</v>
      </c>
      <c r="I310">
        <v>12</v>
      </c>
      <c r="J310">
        <v>9</v>
      </c>
      <c r="K310">
        <v>0.75</v>
      </c>
      <c r="L310">
        <v>45</v>
      </c>
      <c r="M310">
        <v>5</v>
      </c>
      <c r="N310">
        <v>1</v>
      </c>
      <c r="O310">
        <v>3</v>
      </c>
      <c r="P310">
        <v>11</v>
      </c>
      <c r="Q310">
        <v>3.8</v>
      </c>
      <c r="R310">
        <v>0.6</v>
      </c>
      <c r="S310">
        <v>3</v>
      </c>
      <c r="T310">
        <v>1</v>
      </c>
    </row>
    <row r="311" spans="1:20" x14ac:dyDescent="0.2">
      <c r="A311">
        <v>310</v>
      </c>
      <c r="B311" t="s">
        <v>391</v>
      </c>
      <c r="C311" t="s">
        <v>391</v>
      </c>
      <c r="D311" t="s">
        <v>99</v>
      </c>
      <c r="E311">
        <v>24</v>
      </c>
      <c r="F311" t="s">
        <v>1392</v>
      </c>
      <c r="G311">
        <v>14</v>
      </c>
      <c r="H311">
        <v>1</v>
      </c>
      <c r="I311">
        <v>14</v>
      </c>
      <c r="J311">
        <v>9</v>
      </c>
      <c r="K311">
        <v>0.64300000000000002</v>
      </c>
      <c r="L311">
        <v>46</v>
      </c>
      <c r="M311">
        <v>5.0999999999999996</v>
      </c>
      <c r="N311">
        <v>0</v>
      </c>
      <c r="O311">
        <v>2</v>
      </c>
      <c r="P311">
        <v>12</v>
      </c>
      <c r="Q311">
        <v>3.3</v>
      </c>
      <c r="R311">
        <v>0.6</v>
      </c>
      <c r="S311">
        <v>3.3</v>
      </c>
      <c r="T311">
        <v>0</v>
      </c>
    </row>
    <row r="312" spans="1:20" x14ac:dyDescent="0.2">
      <c r="A312">
        <v>311</v>
      </c>
      <c r="B312" t="s">
        <v>419</v>
      </c>
      <c r="C312" t="s">
        <v>419</v>
      </c>
      <c r="D312" t="s">
        <v>70</v>
      </c>
      <c r="E312">
        <v>24</v>
      </c>
      <c r="F312" t="s">
        <v>1392</v>
      </c>
      <c r="G312">
        <v>7</v>
      </c>
      <c r="H312">
        <v>1</v>
      </c>
      <c r="I312">
        <v>11</v>
      </c>
      <c r="J312">
        <v>9</v>
      </c>
      <c r="K312">
        <v>0.81799999999999995</v>
      </c>
      <c r="L312">
        <v>59</v>
      </c>
      <c r="M312">
        <v>6.6</v>
      </c>
      <c r="N312">
        <v>0</v>
      </c>
      <c r="O312">
        <v>1</v>
      </c>
      <c r="P312">
        <v>12</v>
      </c>
      <c r="Q312">
        <v>5.4</v>
      </c>
      <c r="R312">
        <v>1.3</v>
      </c>
      <c r="S312">
        <v>8.4</v>
      </c>
      <c r="T312">
        <v>1</v>
      </c>
    </row>
    <row r="313" spans="1:20" x14ac:dyDescent="0.2">
      <c r="A313">
        <v>312</v>
      </c>
      <c r="B313" t="s">
        <v>635</v>
      </c>
      <c r="C313" t="s">
        <v>635</v>
      </c>
      <c r="D313" t="s">
        <v>77</v>
      </c>
      <c r="E313">
        <v>27</v>
      </c>
      <c r="F313" t="s">
        <v>1298</v>
      </c>
      <c r="G313">
        <v>10</v>
      </c>
      <c r="H313">
        <v>8</v>
      </c>
      <c r="I313">
        <v>12</v>
      </c>
      <c r="J313">
        <v>9</v>
      </c>
      <c r="K313">
        <v>0.75</v>
      </c>
      <c r="L313">
        <v>83</v>
      </c>
      <c r="M313">
        <v>9.1999999999999993</v>
      </c>
      <c r="N313">
        <v>1</v>
      </c>
      <c r="O313">
        <v>6</v>
      </c>
      <c r="P313">
        <v>16</v>
      </c>
      <c r="Q313">
        <v>6.9</v>
      </c>
      <c r="R313">
        <v>0.9</v>
      </c>
      <c r="S313">
        <v>8.3000000000000007</v>
      </c>
      <c r="T313">
        <v>0</v>
      </c>
    </row>
    <row r="314" spans="1:20" x14ac:dyDescent="0.2">
      <c r="A314">
        <v>313</v>
      </c>
      <c r="B314" t="s">
        <v>369</v>
      </c>
      <c r="C314" t="s">
        <v>369</v>
      </c>
      <c r="D314" t="s">
        <v>73</v>
      </c>
      <c r="E314">
        <v>27</v>
      </c>
      <c r="G314">
        <v>16</v>
      </c>
      <c r="H314">
        <v>0</v>
      </c>
      <c r="I314">
        <v>9</v>
      </c>
      <c r="J314">
        <v>8</v>
      </c>
      <c r="K314">
        <v>0.88900000000000001</v>
      </c>
      <c r="L314">
        <v>58</v>
      </c>
      <c r="M314">
        <v>7.3</v>
      </c>
      <c r="N314">
        <v>2</v>
      </c>
      <c r="O314">
        <v>4</v>
      </c>
      <c r="P314">
        <v>22</v>
      </c>
      <c r="Q314">
        <v>6.4</v>
      </c>
      <c r="R314">
        <v>0.5</v>
      </c>
      <c r="S314">
        <v>3.6</v>
      </c>
      <c r="T314">
        <v>0</v>
      </c>
    </row>
    <row r="315" spans="1:20" x14ac:dyDescent="0.2">
      <c r="A315">
        <v>314</v>
      </c>
      <c r="B315" t="s">
        <v>668</v>
      </c>
      <c r="C315" t="s">
        <v>668</v>
      </c>
      <c r="D315" t="s">
        <v>118</v>
      </c>
      <c r="E315">
        <v>27</v>
      </c>
      <c r="F315" t="s">
        <v>1577</v>
      </c>
      <c r="G315">
        <v>16</v>
      </c>
      <c r="H315">
        <v>3</v>
      </c>
      <c r="I315">
        <v>11</v>
      </c>
      <c r="J315">
        <v>8</v>
      </c>
      <c r="K315">
        <v>0.72699999999999998</v>
      </c>
      <c r="L315">
        <v>106</v>
      </c>
      <c r="M315">
        <v>13.3</v>
      </c>
      <c r="N315">
        <v>0</v>
      </c>
      <c r="O315">
        <v>7</v>
      </c>
      <c r="P315">
        <v>23</v>
      </c>
      <c r="Q315">
        <v>9.6</v>
      </c>
      <c r="R315">
        <v>0.5</v>
      </c>
      <c r="S315">
        <v>6.6</v>
      </c>
      <c r="T315">
        <v>0</v>
      </c>
    </row>
    <row r="316" spans="1:20" x14ac:dyDescent="0.2">
      <c r="A316">
        <v>315</v>
      </c>
      <c r="B316" t="s">
        <v>630</v>
      </c>
      <c r="C316" t="s">
        <v>630</v>
      </c>
      <c r="D316" t="s">
        <v>78</v>
      </c>
      <c r="E316">
        <v>26</v>
      </c>
      <c r="F316" t="s">
        <v>1577</v>
      </c>
      <c r="G316">
        <v>12</v>
      </c>
      <c r="H316">
        <v>8</v>
      </c>
      <c r="I316">
        <v>11</v>
      </c>
      <c r="J316">
        <v>8</v>
      </c>
      <c r="K316">
        <v>0.72699999999999998</v>
      </c>
      <c r="L316">
        <v>92</v>
      </c>
      <c r="M316">
        <v>11.5</v>
      </c>
      <c r="N316">
        <v>1</v>
      </c>
      <c r="O316">
        <v>4</v>
      </c>
      <c r="P316">
        <v>31</v>
      </c>
      <c r="Q316">
        <v>8.4</v>
      </c>
      <c r="R316">
        <v>0.7</v>
      </c>
      <c r="S316">
        <v>7.7</v>
      </c>
      <c r="T316">
        <v>0</v>
      </c>
    </row>
    <row r="317" spans="1:20" x14ac:dyDescent="0.2">
      <c r="A317">
        <v>316</v>
      </c>
      <c r="B317" t="s">
        <v>684</v>
      </c>
      <c r="C317" t="s">
        <v>684</v>
      </c>
      <c r="D317" t="s">
        <v>93</v>
      </c>
      <c r="E317">
        <v>25</v>
      </c>
      <c r="G317">
        <v>8</v>
      </c>
      <c r="H317">
        <v>0</v>
      </c>
      <c r="I317">
        <v>15</v>
      </c>
      <c r="J317">
        <v>8</v>
      </c>
      <c r="K317">
        <v>0.53300000000000003</v>
      </c>
      <c r="L317">
        <v>80</v>
      </c>
      <c r="M317">
        <v>10</v>
      </c>
      <c r="N317">
        <v>1</v>
      </c>
      <c r="O317">
        <v>6</v>
      </c>
      <c r="P317">
        <v>29</v>
      </c>
      <c r="Q317">
        <v>5.3</v>
      </c>
      <c r="R317">
        <v>1</v>
      </c>
      <c r="S317">
        <v>10</v>
      </c>
      <c r="T317">
        <v>0</v>
      </c>
    </row>
    <row r="318" spans="1:20" x14ac:dyDescent="0.2">
      <c r="A318">
        <v>317</v>
      </c>
      <c r="B318" t="s">
        <v>500</v>
      </c>
      <c r="C318" t="s">
        <v>500</v>
      </c>
      <c r="D318" t="s">
        <v>73</v>
      </c>
      <c r="E318">
        <v>27</v>
      </c>
      <c r="F318" t="s">
        <v>1824</v>
      </c>
      <c r="G318">
        <v>15</v>
      </c>
      <c r="H318">
        <v>11</v>
      </c>
      <c r="I318">
        <v>13</v>
      </c>
      <c r="J318">
        <v>8</v>
      </c>
      <c r="K318">
        <v>0.61499999999999999</v>
      </c>
      <c r="L318">
        <v>97</v>
      </c>
      <c r="M318">
        <v>12.1</v>
      </c>
      <c r="N318">
        <v>1</v>
      </c>
      <c r="O318">
        <v>6</v>
      </c>
      <c r="P318">
        <v>30</v>
      </c>
      <c r="Q318">
        <v>7.5</v>
      </c>
      <c r="R318">
        <v>0.5</v>
      </c>
      <c r="S318">
        <v>6.5</v>
      </c>
      <c r="T318">
        <v>0</v>
      </c>
    </row>
    <row r="319" spans="1:20" x14ac:dyDescent="0.2">
      <c r="A319">
        <v>318</v>
      </c>
      <c r="B319" t="s">
        <v>2130</v>
      </c>
      <c r="C319" t="s">
        <v>2130</v>
      </c>
      <c r="D319" t="s">
        <v>1257</v>
      </c>
      <c r="E319">
        <v>30</v>
      </c>
      <c r="F319" t="s">
        <v>1577</v>
      </c>
      <c r="G319">
        <v>14</v>
      </c>
      <c r="H319">
        <v>7</v>
      </c>
      <c r="I319">
        <v>10</v>
      </c>
      <c r="J319">
        <v>8</v>
      </c>
      <c r="K319">
        <v>0.8</v>
      </c>
      <c r="L319">
        <v>46</v>
      </c>
      <c r="M319">
        <v>5.8</v>
      </c>
      <c r="N319">
        <v>1</v>
      </c>
      <c r="O319">
        <v>4</v>
      </c>
      <c r="P319">
        <v>16</v>
      </c>
      <c r="Q319">
        <v>4.5999999999999996</v>
      </c>
      <c r="R319">
        <v>0.6</v>
      </c>
      <c r="S319">
        <v>3.3</v>
      </c>
      <c r="T319">
        <v>1</v>
      </c>
    </row>
    <row r="320" spans="1:20" x14ac:dyDescent="0.2">
      <c r="A320">
        <v>319</v>
      </c>
      <c r="B320" t="s">
        <v>156</v>
      </c>
      <c r="C320" t="s">
        <v>156</v>
      </c>
      <c r="D320" t="s">
        <v>1257</v>
      </c>
      <c r="E320">
        <v>30</v>
      </c>
      <c r="F320" t="s">
        <v>1298</v>
      </c>
      <c r="G320">
        <v>16</v>
      </c>
      <c r="H320">
        <v>8</v>
      </c>
      <c r="I320">
        <v>12</v>
      </c>
      <c r="J320">
        <v>8</v>
      </c>
      <c r="K320">
        <v>0.66700000000000004</v>
      </c>
      <c r="L320">
        <v>98</v>
      </c>
      <c r="M320">
        <v>12.3</v>
      </c>
      <c r="N320">
        <v>1</v>
      </c>
      <c r="O320">
        <v>4</v>
      </c>
      <c r="P320">
        <v>21</v>
      </c>
      <c r="Q320">
        <v>8.1999999999999993</v>
      </c>
      <c r="R320">
        <v>0.5</v>
      </c>
      <c r="S320">
        <v>6.1</v>
      </c>
      <c r="T320">
        <v>10</v>
      </c>
    </row>
    <row r="321" spans="1:20" x14ac:dyDescent="0.2">
      <c r="A321">
        <v>320</v>
      </c>
      <c r="B321" t="s">
        <v>529</v>
      </c>
      <c r="C321" t="s">
        <v>529</v>
      </c>
      <c r="D321" t="s">
        <v>1122</v>
      </c>
      <c r="E321">
        <v>26</v>
      </c>
      <c r="F321" t="s">
        <v>1824</v>
      </c>
      <c r="G321">
        <v>16</v>
      </c>
      <c r="H321">
        <v>11</v>
      </c>
      <c r="I321">
        <v>9</v>
      </c>
      <c r="J321">
        <v>8</v>
      </c>
      <c r="K321">
        <v>0.88900000000000001</v>
      </c>
      <c r="L321">
        <v>35</v>
      </c>
      <c r="M321">
        <v>4.4000000000000004</v>
      </c>
      <c r="N321">
        <v>1</v>
      </c>
      <c r="O321">
        <v>3</v>
      </c>
      <c r="P321">
        <v>12</v>
      </c>
      <c r="Q321">
        <v>3.9</v>
      </c>
      <c r="R321">
        <v>0.5</v>
      </c>
      <c r="S321">
        <v>2.2000000000000002</v>
      </c>
      <c r="T321">
        <v>1</v>
      </c>
    </row>
    <row r="322" spans="1:20" x14ac:dyDescent="0.2">
      <c r="A322">
        <v>321</v>
      </c>
      <c r="B322" t="s">
        <v>1946</v>
      </c>
      <c r="C322" t="s">
        <v>1946</v>
      </c>
      <c r="D322" t="s">
        <v>727</v>
      </c>
      <c r="E322">
        <v>25</v>
      </c>
      <c r="G322">
        <v>16</v>
      </c>
      <c r="H322">
        <v>0</v>
      </c>
      <c r="I322">
        <v>9</v>
      </c>
      <c r="J322">
        <v>8</v>
      </c>
      <c r="K322">
        <v>0.88900000000000001</v>
      </c>
      <c r="L322">
        <v>67</v>
      </c>
      <c r="M322">
        <v>8.4</v>
      </c>
      <c r="N322">
        <v>1</v>
      </c>
      <c r="O322">
        <v>5</v>
      </c>
      <c r="P322">
        <v>18</v>
      </c>
      <c r="Q322">
        <v>7.4</v>
      </c>
      <c r="R322">
        <v>0.5</v>
      </c>
      <c r="S322">
        <v>4.2</v>
      </c>
      <c r="T322">
        <v>0</v>
      </c>
    </row>
    <row r="323" spans="1:20" x14ac:dyDescent="0.2">
      <c r="A323">
        <v>322</v>
      </c>
      <c r="B323" t="s">
        <v>1827</v>
      </c>
      <c r="C323" t="s">
        <v>1827</v>
      </c>
      <c r="D323" t="s">
        <v>118</v>
      </c>
      <c r="E323">
        <v>27</v>
      </c>
      <c r="G323">
        <v>6</v>
      </c>
      <c r="H323">
        <v>0</v>
      </c>
      <c r="I323">
        <v>10</v>
      </c>
      <c r="J323">
        <v>8</v>
      </c>
      <c r="K323">
        <v>0.8</v>
      </c>
      <c r="L323">
        <v>42</v>
      </c>
      <c r="M323">
        <v>5.3</v>
      </c>
      <c r="N323">
        <v>0</v>
      </c>
      <c r="O323">
        <v>1</v>
      </c>
      <c r="P323">
        <v>11</v>
      </c>
      <c r="Q323">
        <v>4.2</v>
      </c>
      <c r="R323">
        <v>1.3</v>
      </c>
      <c r="S323">
        <v>7</v>
      </c>
      <c r="T323">
        <v>0</v>
      </c>
    </row>
    <row r="324" spans="1:20" x14ac:dyDescent="0.2">
      <c r="A324">
        <v>323</v>
      </c>
      <c r="B324" t="s">
        <v>350</v>
      </c>
      <c r="C324" t="s">
        <v>350</v>
      </c>
      <c r="D324" t="s">
        <v>74</v>
      </c>
      <c r="E324">
        <v>27</v>
      </c>
      <c r="F324" t="s">
        <v>1577</v>
      </c>
      <c r="G324">
        <v>2</v>
      </c>
      <c r="H324">
        <v>2</v>
      </c>
      <c r="I324">
        <v>11</v>
      </c>
      <c r="J324">
        <v>8</v>
      </c>
      <c r="K324">
        <v>0.72699999999999998</v>
      </c>
      <c r="L324">
        <v>87</v>
      </c>
      <c r="M324">
        <v>10.9</v>
      </c>
      <c r="N324">
        <v>1</v>
      </c>
      <c r="O324">
        <v>6</v>
      </c>
      <c r="P324">
        <v>23</v>
      </c>
      <c r="Q324">
        <v>7.9</v>
      </c>
      <c r="R324">
        <v>4</v>
      </c>
      <c r="S324">
        <v>43.5</v>
      </c>
      <c r="T324">
        <v>0</v>
      </c>
    </row>
    <row r="325" spans="1:20" x14ac:dyDescent="0.2">
      <c r="A325">
        <v>324</v>
      </c>
      <c r="B325" t="s">
        <v>626</v>
      </c>
      <c r="C325" t="s">
        <v>626</v>
      </c>
      <c r="D325" t="s">
        <v>78</v>
      </c>
      <c r="E325">
        <v>26</v>
      </c>
      <c r="F325" t="s">
        <v>1577</v>
      </c>
      <c r="G325">
        <v>9</v>
      </c>
      <c r="H325">
        <v>8</v>
      </c>
      <c r="I325">
        <v>10</v>
      </c>
      <c r="J325">
        <v>8</v>
      </c>
      <c r="K325">
        <v>0.8</v>
      </c>
      <c r="L325">
        <v>102</v>
      </c>
      <c r="M325">
        <v>12.8</v>
      </c>
      <c r="N325">
        <v>1</v>
      </c>
      <c r="O325">
        <v>4</v>
      </c>
      <c r="P325">
        <v>42</v>
      </c>
      <c r="Q325">
        <v>10.199999999999999</v>
      </c>
      <c r="R325">
        <v>0.9</v>
      </c>
      <c r="S325">
        <v>11.3</v>
      </c>
      <c r="T325">
        <v>0</v>
      </c>
    </row>
    <row r="326" spans="1:20" x14ac:dyDescent="0.2">
      <c r="A326">
        <v>325</v>
      </c>
      <c r="B326" t="s">
        <v>1772</v>
      </c>
      <c r="C326" t="s">
        <v>1772</v>
      </c>
      <c r="D326" t="s">
        <v>92</v>
      </c>
      <c r="E326">
        <v>28</v>
      </c>
      <c r="G326">
        <v>5</v>
      </c>
      <c r="H326">
        <v>4</v>
      </c>
      <c r="I326">
        <v>10</v>
      </c>
      <c r="J326">
        <v>7</v>
      </c>
      <c r="K326">
        <v>0.7</v>
      </c>
      <c r="L326">
        <v>58</v>
      </c>
      <c r="M326">
        <v>8.3000000000000007</v>
      </c>
      <c r="N326">
        <v>0</v>
      </c>
      <c r="O326">
        <v>1</v>
      </c>
      <c r="P326">
        <v>18</v>
      </c>
      <c r="Q326">
        <v>5.8</v>
      </c>
      <c r="R326">
        <v>1.4</v>
      </c>
      <c r="S326">
        <v>11.6</v>
      </c>
      <c r="T326">
        <v>0</v>
      </c>
    </row>
    <row r="327" spans="1:20" x14ac:dyDescent="0.2">
      <c r="A327">
        <v>326</v>
      </c>
      <c r="B327" t="s">
        <v>2131</v>
      </c>
      <c r="C327" t="s">
        <v>2131</v>
      </c>
      <c r="D327" t="s">
        <v>727</v>
      </c>
      <c r="E327">
        <v>29</v>
      </c>
      <c r="F327" t="s">
        <v>1577</v>
      </c>
      <c r="G327">
        <v>15</v>
      </c>
      <c r="H327">
        <v>5</v>
      </c>
      <c r="I327">
        <v>14</v>
      </c>
      <c r="J327">
        <v>7</v>
      </c>
      <c r="K327">
        <v>0.5</v>
      </c>
      <c r="L327">
        <v>45</v>
      </c>
      <c r="M327">
        <v>6.4</v>
      </c>
      <c r="N327">
        <v>0</v>
      </c>
      <c r="O327">
        <v>2</v>
      </c>
      <c r="P327">
        <v>9</v>
      </c>
      <c r="Q327">
        <v>3.2</v>
      </c>
      <c r="R327">
        <v>0.5</v>
      </c>
      <c r="S327">
        <v>3</v>
      </c>
      <c r="T327">
        <v>0</v>
      </c>
    </row>
    <row r="328" spans="1:20" x14ac:dyDescent="0.2">
      <c r="A328">
        <v>327</v>
      </c>
      <c r="B328" t="s">
        <v>1558</v>
      </c>
      <c r="C328" t="s">
        <v>1558</v>
      </c>
      <c r="D328" t="s">
        <v>1087</v>
      </c>
      <c r="E328">
        <v>24</v>
      </c>
      <c r="G328">
        <v>8</v>
      </c>
      <c r="H328">
        <v>0</v>
      </c>
      <c r="I328">
        <v>8</v>
      </c>
      <c r="J328">
        <v>7</v>
      </c>
      <c r="K328">
        <v>0.875</v>
      </c>
      <c r="L328">
        <v>33</v>
      </c>
      <c r="M328">
        <v>4.7</v>
      </c>
      <c r="N328">
        <v>0</v>
      </c>
      <c r="O328">
        <v>0</v>
      </c>
      <c r="P328">
        <v>16</v>
      </c>
      <c r="Q328">
        <v>4.0999999999999996</v>
      </c>
      <c r="R328">
        <v>0.9</v>
      </c>
      <c r="S328">
        <v>4.0999999999999996</v>
      </c>
      <c r="T328">
        <v>1</v>
      </c>
    </row>
    <row r="329" spans="1:20" x14ac:dyDescent="0.2">
      <c r="A329">
        <v>328</v>
      </c>
      <c r="B329" t="s">
        <v>595</v>
      </c>
      <c r="C329" t="s">
        <v>595</v>
      </c>
      <c r="D329" t="s">
        <v>118</v>
      </c>
      <c r="E329">
        <v>23</v>
      </c>
      <c r="G329">
        <v>15</v>
      </c>
      <c r="H329">
        <v>0</v>
      </c>
      <c r="I329">
        <v>11</v>
      </c>
      <c r="J329">
        <v>7</v>
      </c>
      <c r="K329">
        <v>0.63600000000000001</v>
      </c>
      <c r="L329">
        <v>73</v>
      </c>
      <c r="M329">
        <v>10.4</v>
      </c>
      <c r="N329">
        <v>0</v>
      </c>
      <c r="O329">
        <v>2</v>
      </c>
      <c r="P329">
        <v>25</v>
      </c>
      <c r="Q329">
        <v>6.6</v>
      </c>
      <c r="R329">
        <v>0.5</v>
      </c>
      <c r="S329">
        <v>4.9000000000000004</v>
      </c>
      <c r="T329">
        <v>1</v>
      </c>
    </row>
    <row r="330" spans="1:20" x14ac:dyDescent="0.2">
      <c r="A330">
        <v>329</v>
      </c>
      <c r="B330" t="s">
        <v>290</v>
      </c>
      <c r="C330" t="s">
        <v>290</v>
      </c>
      <c r="D330" t="s">
        <v>93</v>
      </c>
      <c r="E330">
        <v>26</v>
      </c>
      <c r="F330" t="s">
        <v>1392</v>
      </c>
      <c r="G330">
        <v>11</v>
      </c>
      <c r="H330">
        <v>8</v>
      </c>
      <c r="I330">
        <v>14</v>
      </c>
      <c r="J330">
        <v>7</v>
      </c>
      <c r="K330">
        <v>0.5</v>
      </c>
      <c r="L330">
        <v>28</v>
      </c>
      <c r="M330">
        <v>4</v>
      </c>
      <c r="N330">
        <v>0</v>
      </c>
      <c r="O330">
        <v>1</v>
      </c>
      <c r="P330">
        <v>11</v>
      </c>
      <c r="Q330">
        <v>2</v>
      </c>
      <c r="R330">
        <v>0.6</v>
      </c>
      <c r="S330">
        <v>2.5</v>
      </c>
      <c r="T330">
        <v>0</v>
      </c>
    </row>
    <row r="331" spans="1:20" x14ac:dyDescent="0.2">
      <c r="A331">
        <v>330</v>
      </c>
      <c r="B331" t="s">
        <v>518</v>
      </c>
      <c r="C331" t="s">
        <v>518</v>
      </c>
      <c r="D331" t="s">
        <v>92</v>
      </c>
      <c r="E331">
        <v>23</v>
      </c>
      <c r="F331" t="s">
        <v>1298</v>
      </c>
      <c r="G331">
        <v>11</v>
      </c>
      <c r="H331">
        <v>1</v>
      </c>
      <c r="I331">
        <v>11</v>
      </c>
      <c r="J331">
        <v>7</v>
      </c>
      <c r="K331">
        <v>0.63600000000000001</v>
      </c>
      <c r="L331">
        <v>91</v>
      </c>
      <c r="M331">
        <v>13</v>
      </c>
      <c r="N331">
        <v>0</v>
      </c>
      <c r="O331">
        <v>5</v>
      </c>
      <c r="P331">
        <v>50</v>
      </c>
      <c r="Q331">
        <v>8.3000000000000007</v>
      </c>
      <c r="R331">
        <v>0.6</v>
      </c>
      <c r="S331">
        <v>8.3000000000000007</v>
      </c>
      <c r="T331">
        <v>0</v>
      </c>
    </row>
    <row r="332" spans="1:20" x14ac:dyDescent="0.2">
      <c r="A332">
        <v>331</v>
      </c>
      <c r="B332" t="s">
        <v>1571</v>
      </c>
      <c r="C332" t="s">
        <v>1571</v>
      </c>
      <c r="D332" t="s">
        <v>1122</v>
      </c>
      <c r="E332">
        <v>25</v>
      </c>
      <c r="F332" t="s">
        <v>1392</v>
      </c>
      <c r="G332">
        <v>9</v>
      </c>
      <c r="H332">
        <v>6</v>
      </c>
      <c r="I332">
        <v>9</v>
      </c>
      <c r="J332">
        <v>7</v>
      </c>
      <c r="K332">
        <v>0.77800000000000002</v>
      </c>
      <c r="L332">
        <v>114</v>
      </c>
      <c r="M332">
        <v>16.3</v>
      </c>
      <c r="N332">
        <v>1</v>
      </c>
      <c r="O332">
        <v>5</v>
      </c>
      <c r="P332">
        <v>31</v>
      </c>
      <c r="Q332">
        <v>12.7</v>
      </c>
      <c r="R332">
        <v>0.8</v>
      </c>
      <c r="S332">
        <v>12.7</v>
      </c>
      <c r="T332">
        <v>0</v>
      </c>
    </row>
    <row r="333" spans="1:20" x14ac:dyDescent="0.2">
      <c r="A333">
        <v>332</v>
      </c>
      <c r="B333" t="s">
        <v>2132</v>
      </c>
      <c r="C333" t="s">
        <v>2132</v>
      </c>
      <c r="D333" t="s">
        <v>976</v>
      </c>
      <c r="E333">
        <v>26</v>
      </c>
      <c r="G333">
        <v>10</v>
      </c>
      <c r="H333">
        <v>0</v>
      </c>
      <c r="I333">
        <v>10</v>
      </c>
      <c r="J333">
        <v>7</v>
      </c>
      <c r="K333">
        <v>0.7</v>
      </c>
      <c r="L333">
        <v>58</v>
      </c>
      <c r="M333">
        <v>8.3000000000000007</v>
      </c>
      <c r="N333">
        <v>0</v>
      </c>
      <c r="O333">
        <v>6</v>
      </c>
      <c r="P333">
        <v>11</v>
      </c>
      <c r="Q333">
        <v>5.8</v>
      </c>
      <c r="R333">
        <v>0.7</v>
      </c>
      <c r="S333">
        <v>5.8</v>
      </c>
      <c r="T333">
        <v>0</v>
      </c>
    </row>
    <row r="334" spans="1:20" x14ac:dyDescent="0.2">
      <c r="A334">
        <v>333</v>
      </c>
      <c r="B334" t="s">
        <v>2133</v>
      </c>
      <c r="C334" t="s">
        <v>2133</v>
      </c>
      <c r="D334" t="s">
        <v>933</v>
      </c>
      <c r="E334">
        <v>23</v>
      </c>
      <c r="F334" t="s">
        <v>1577</v>
      </c>
      <c r="G334">
        <v>16</v>
      </c>
      <c r="H334">
        <v>2</v>
      </c>
      <c r="I334">
        <v>9</v>
      </c>
      <c r="J334">
        <v>7</v>
      </c>
      <c r="K334">
        <v>0.77800000000000002</v>
      </c>
      <c r="L334">
        <v>140</v>
      </c>
      <c r="M334">
        <v>20</v>
      </c>
      <c r="N334">
        <v>2</v>
      </c>
      <c r="O334">
        <v>5</v>
      </c>
      <c r="P334">
        <v>47</v>
      </c>
      <c r="Q334">
        <v>15.6</v>
      </c>
      <c r="R334">
        <v>0.4</v>
      </c>
      <c r="S334">
        <v>8.8000000000000007</v>
      </c>
      <c r="T334">
        <v>0</v>
      </c>
    </row>
    <row r="335" spans="1:20" x14ac:dyDescent="0.2">
      <c r="A335">
        <v>334</v>
      </c>
      <c r="B335" t="s">
        <v>377</v>
      </c>
      <c r="C335" t="s">
        <v>377</v>
      </c>
      <c r="D335" t="s">
        <v>1267</v>
      </c>
      <c r="E335">
        <v>24</v>
      </c>
      <c r="F335" t="s">
        <v>1298</v>
      </c>
      <c r="G335">
        <v>12</v>
      </c>
      <c r="H335">
        <v>1</v>
      </c>
      <c r="I335">
        <v>13</v>
      </c>
      <c r="J335">
        <v>7</v>
      </c>
      <c r="K335">
        <v>0.53800000000000003</v>
      </c>
      <c r="L335">
        <v>117</v>
      </c>
      <c r="M335">
        <v>16.7</v>
      </c>
      <c r="N335">
        <v>1</v>
      </c>
      <c r="O335">
        <v>6</v>
      </c>
      <c r="P335">
        <v>24</v>
      </c>
      <c r="Q335">
        <v>9</v>
      </c>
      <c r="R335">
        <v>0.6</v>
      </c>
      <c r="S335">
        <v>9.8000000000000007</v>
      </c>
      <c r="T335">
        <v>0</v>
      </c>
    </row>
    <row r="336" spans="1:20" x14ac:dyDescent="0.2">
      <c r="A336">
        <v>335</v>
      </c>
      <c r="B336" t="s">
        <v>687</v>
      </c>
      <c r="C336" t="s">
        <v>687</v>
      </c>
      <c r="D336" t="s">
        <v>101</v>
      </c>
      <c r="E336">
        <v>32</v>
      </c>
      <c r="F336" t="s">
        <v>88</v>
      </c>
      <c r="G336">
        <v>16</v>
      </c>
      <c r="H336">
        <v>13</v>
      </c>
      <c r="I336">
        <v>11</v>
      </c>
      <c r="J336">
        <v>7</v>
      </c>
      <c r="K336">
        <v>0.63600000000000001</v>
      </c>
      <c r="L336">
        <v>63</v>
      </c>
      <c r="M336">
        <v>9</v>
      </c>
      <c r="N336">
        <v>0</v>
      </c>
      <c r="O336">
        <v>4</v>
      </c>
      <c r="P336">
        <v>25</v>
      </c>
      <c r="Q336">
        <v>5.7</v>
      </c>
      <c r="R336">
        <v>0.4</v>
      </c>
      <c r="S336">
        <v>3.9</v>
      </c>
      <c r="T336">
        <v>0</v>
      </c>
    </row>
    <row r="337" spans="1:20" x14ac:dyDescent="0.2">
      <c r="A337">
        <v>336</v>
      </c>
      <c r="B337" t="s">
        <v>1803</v>
      </c>
      <c r="C337" t="s">
        <v>1803</v>
      </c>
      <c r="D337" t="s">
        <v>1040</v>
      </c>
      <c r="E337">
        <v>23</v>
      </c>
      <c r="F337" t="s">
        <v>1392</v>
      </c>
      <c r="G337">
        <v>14</v>
      </c>
      <c r="H337">
        <v>1</v>
      </c>
      <c r="I337">
        <v>11</v>
      </c>
      <c r="J337">
        <v>7</v>
      </c>
      <c r="K337">
        <v>0.63600000000000001</v>
      </c>
      <c r="L337">
        <v>65</v>
      </c>
      <c r="M337">
        <v>9.3000000000000007</v>
      </c>
      <c r="N337">
        <v>1</v>
      </c>
      <c r="O337">
        <v>3</v>
      </c>
      <c r="P337">
        <v>37</v>
      </c>
      <c r="Q337">
        <v>5.9</v>
      </c>
      <c r="R337">
        <v>0.5</v>
      </c>
      <c r="S337">
        <v>4.5999999999999996</v>
      </c>
      <c r="T337">
        <v>2</v>
      </c>
    </row>
    <row r="338" spans="1:20" x14ac:dyDescent="0.2">
      <c r="A338">
        <v>337</v>
      </c>
      <c r="B338" t="s">
        <v>429</v>
      </c>
      <c r="C338" t="s">
        <v>429</v>
      </c>
      <c r="D338" t="s">
        <v>102</v>
      </c>
      <c r="E338">
        <v>22</v>
      </c>
      <c r="G338">
        <v>6</v>
      </c>
      <c r="H338">
        <v>0</v>
      </c>
      <c r="I338">
        <v>13</v>
      </c>
      <c r="J338">
        <v>7</v>
      </c>
      <c r="K338">
        <v>0.53800000000000003</v>
      </c>
      <c r="L338">
        <v>106</v>
      </c>
      <c r="M338">
        <v>15.1</v>
      </c>
      <c r="N338">
        <v>1</v>
      </c>
      <c r="O338">
        <v>4</v>
      </c>
      <c r="P338">
        <v>43</v>
      </c>
      <c r="Q338">
        <v>8.1999999999999993</v>
      </c>
      <c r="R338">
        <v>1.2</v>
      </c>
      <c r="S338">
        <v>17.7</v>
      </c>
      <c r="T338">
        <v>0</v>
      </c>
    </row>
    <row r="339" spans="1:20" x14ac:dyDescent="0.2">
      <c r="A339">
        <v>338</v>
      </c>
      <c r="B339" t="s">
        <v>2134</v>
      </c>
      <c r="C339" t="s">
        <v>2134</v>
      </c>
      <c r="D339" t="s">
        <v>976</v>
      </c>
      <c r="E339">
        <v>24</v>
      </c>
      <c r="F339" t="s">
        <v>1298</v>
      </c>
      <c r="G339">
        <v>11</v>
      </c>
      <c r="H339">
        <v>2</v>
      </c>
      <c r="I339">
        <v>11</v>
      </c>
      <c r="J339">
        <v>7</v>
      </c>
      <c r="K339">
        <v>0.63600000000000001</v>
      </c>
      <c r="L339">
        <v>94</v>
      </c>
      <c r="M339">
        <v>13.4</v>
      </c>
      <c r="N339">
        <v>0</v>
      </c>
      <c r="O339">
        <v>5</v>
      </c>
      <c r="P339">
        <v>36</v>
      </c>
      <c r="Q339">
        <v>8.5</v>
      </c>
      <c r="R339">
        <v>0.6</v>
      </c>
      <c r="S339">
        <v>8.5</v>
      </c>
      <c r="T339">
        <v>0</v>
      </c>
    </row>
    <row r="340" spans="1:20" x14ac:dyDescent="0.2">
      <c r="A340">
        <v>339</v>
      </c>
      <c r="B340" t="s">
        <v>2135</v>
      </c>
      <c r="C340" t="s">
        <v>2135</v>
      </c>
      <c r="D340" t="s">
        <v>1040</v>
      </c>
      <c r="E340">
        <v>25</v>
      </c>
      <c r="G340">
        <v>14</v>
      </c>
      <c r="H340">
        <v>1</v>
      </c>
      <c r="I340">
        <v>11</v>
      </c>
      <c r="J340">
        <v>7</v>
      </c>
      <c r="K340">
        <v>0.63600000000000001</v>
      </c>
      <c r="L340">
        <v>36</v>
      </c>
      <c r="M340">
        <v>5.0999999999999996</v>
      </c>
      <c r="N340">
        <v>0</v>
      </c>
      <c r="O340">
        <v>2</v>
      </c>
      <c r="P340">
        <v>12</v>
      </c>
      <c r="Q340">
        <v>3.3</v>
      </c>
      <c r="R340">
        <v>0.5</v>
      </c>
      <c r="S340">
        <v>2.6</v>
      </c>
      <c r="T340">
        <v>0</v>
      </c>
    </row>
    <row r="341" spans="1:20" x14ac:dyDescent="0.2">
      <c r="A341">
        <v>340</v>
      </c>
      <c r="B341" t="s">
        <v>417</v>
      </c>
      <c r="C341" t="s">
        <v>417</v>
      </c>
      <c r="D341" t="s">
        <v>71</v>
      </c>
      <c r="E341">
        <v>24</v>
      </c>
      <c r="G341">
        <v>8</v>
      </c>
      <c r="H341">
        <v>0</v>
      </c>
      <c r="I341">
        <v>8</v>
      </c>
      <c r="J341">
        <v>6</v>
      </c>
      <c r="K341">
        <v>0.75</v>
      </c>
      <c r="L341">
        <v>29</v>
      </c>
      <c r="M341">
        <v>4.8</v>
      </c>
      <c r="N341">
        <v>0</v>
      </c>
      <c r="O341">
        <v>2</v>
      </c>
      <c r="P341">
        <v>11</v>
      </c>
      <c r="Q341">
        <v>3.6</v>
      </c>
      <c r="R341">
        <v>0.8</v>
      </c>
      <c r="S341">
        <v>3.6</v>
      </c>
      <c r="T341">
        <v>0</v>
      </c>
    </row>
    <row r="342" spans="1:20" x14ac:dyDescent="0.2">
      <c r="A342">
        <v>341</v>
      </c>
      <c r="B342" t="s">
        <v>91</v>
      </c>
      <c r="C342" t="s">
        <v>91</v>
      </c>
      <c r="D342" t="s">
        <v>92</v>
      </c>
      <c r="E342">
        <v>23</v>
      </c>
      <c r="F342" t="s">
        <v>1392</v>
      </c>
      <c r="G342">
        <v>2</v>
      </c>
      <c r="H342">
        <v>2</v>
      </c>
      <c r="I342">
        <v>9</v>
      </c>
      <c r="J342">
        <v>6</v>
      </c>
      <c r="K342">
        <v>0.66700000000000004</v>
      </c>
      <c r="L342">
        <v>60</v>
      </c>
      <c r="M342">
        <v>10</v>
      </c>
      <c r="N342">
        <v>0</v>
      </c>
      <c r="O342">
        <v>3</v>
      </c>
      <c r="P342">
        <v>38</v>
      </c>
      <c r="Q342">
        <v>6.7</v>
      </c>
      <c r="R342">
        <v>3</v>
      </c>
      <c r="S342">
        <v>30</v>
      </c>
      <c r="T342">
        <v>0</v>
      </c>
    </row>
    <row r="343" spans="1:20" x14ac:dyDescent="0.2">
      <c r="A343">
        <v>342</v>
      </c>
      <c r="B343" t="s">
        <v>2136</v>
      </c>
      <c r="C343" t="s">
        <v>2136</v>
      </c>
      <c r="D343" t="s">
        <v>725</v>
      </c>
      <c r="E343">
        <v>32</v>
      </c>
      <c r="G343">
        <v>6</v>
      </c>
      <c r="H343">
        <v>0</v>
      </c>
      <c r="I343">
        <v>11</v>
      </c>
      <c r="J343">
        <v>6</v>
      </c>
      <c r="K343">
        <v>0.54500000000000004</v>
      </c>
      <c r="L343">
        <v>47</v>
      </c>
      <c r="M343">
        <v>7.8</v>
      </c>
      <c r="N343">
        <v>2</v>
      </c>
      <c r="O343">
        <v>3</v>
      </c>
      <c r="P343">
        <v>16</v>
      </c>
      <c r="Q343">
        <v>4.3</v>
      </c>
      <c r="R343">
        <v>1</v>
      </c>
      <c r="S343">
        <v>7.8</v>
      </c>
      <c r="T343">
        <v>0</v>
      </c>
    </row>
    <row r="344" spans="1:20" x14ac:dyDescent="0.2">
      <c r="A344">
        <v>343</v>
      </c>
      <c r="B344" t="s">
        <v>316</v>
      </c>
      <c r="C344" t="s">
        <v>316</v>
      </c>
      <c r="D344" t="s">
        <v>107</v>
      </c>
      <c r="E344">
        <v>23</v>
      </c>
      <c r="F344" t="s">
        <v>1298</v>
      </c>
      <c r="G344">
        <v>2</v>
      </c>
      <c r="H344">
        <v>2</v>
      </c>
      <c r="I344">
        <v>9</v>
      </c>
      <c r="J344">
        <v>6</v>
      </c>
      <c r="K344">
        <v>0.66700000000000004</v>
      </c>
      <c r="L344">
        <v>71</v>
      </c>
      <c r="M344">
        <v>11.8</v>
      </c>
      <c r="N344">
        <v>0</v>
      </c>
      <c r="O344">
        <v>4</v>
      </c>
      <c r="P344">
        <v>21</v>
      </c>
      <c r="Q344">
        <v>7.9</v>
      </c>
      <c r="R344">
        <v>3</v>
      </c>
      <c r="S344">
        <v>35.5</v>
      </c>
      <c r="T344">
        <v>0</v>
      </c>
    </row>
    <row r="345" spans="1:20" x14ac:dyDescent="0.2">
      <c r="A345">
        <v>344</v>
      </c>
      <c r="B345" t="s">
        <v>590</v>
      </c>
      <c r="C345" t="s">
        <v>590</v>
      </c>
      <c r="D345" t="s">
        <v>93</v>
      </c>
      <c r="E345">
        <v>23</v>
      </c>
      <c r="G345">
        <v>10</v>
      </c>
      <c r="H345">
        <v>0</v>
      </c>
      <c r="I345">
        <v>9</v>
      </c>
      <c r="J345">
        <v>6</v>
      </c>
      <c r="K345">
        <v>0.66700000000000004</v>
      </c>
      <c r="L345">
        <v>63</v>
      </c>
      <c r="M345">
        <v>10.5</v>
      </c>
      <c r="N345">
        <v>0</v>
      </c>
      <c r="O345">
        <v>4</v>
      </c>
      <c r="P345">
        <v>17</v>
      </c>
      <c r="Q345">
        <v>7</v>
      </c>
      <c r="R345">
        <v>0.6</v>
      </c>
      <c r="S345">
        <v>6.3</v>
      </c>
      <c r="T345">
        <v>0</v>
      </c>
    </row>
    <row r="346" spans="1:20" x14ac:dyDescent="0.2">
      <c r="A346">
        <v>345</v>
      </c>
      <c r="B346" t="s">
        <v>1829</v>
      </c>
      <c r="C346" t="s">
        <v>1829</v>
      </c>
      <c r="D346" t="s">
        <v>727</v>
      </c>
      <c r="E346">
        <v>25</v>
      </c>
      <c r="G346">
        <v>3</v>
      </c>
      <c r="H346">
        <v>0</v>
      </c>
      <c r="I346">
        <v>9</v>
      </c>
      <c r="J346">
        <v>6</v>
      </c>
      <c r="K346">
        <v>0.66700000000000004</v>
      </c>
      <c r="L346">
        <v>41</v>
      </c>
      <c r="M346">
        <v>6.8</v>
      </c>
      <c r="N346">
        <v>0</v>
      </c>
      <c r="O346">
        <v>1</v>
      </c>
      <c r="P346">
        <v>20</v>
      </c>
      <c r="Q346">
        <v>4.5999999999999996</v>
      </c>
      <c r="R346">
        <v>2</v>
      </c>
      <c r="S346">
        <v>13.7</v>
      </c>
      <c r="T346">
        <v>0</v>
      </c>
    </row>
    <row r="347" spans="1:20" x14ac:dyDescent="0.2">
      <c r="A347">
        <v>346</v>
      </c>
      <c r="B347" t="s">
        <v>513</v>
      </c>
      <c r="C347" t="s">
        <v>513</v>
      </c>
      <c r="D347" t="s">
        <v>1087</v>
      </c>
      <c r="E347">
        <v>26</v>
      </c>
      <c r="F347" t="s">
        <v>1298</v>
      </c>
      <c r="G347">
        <v>9</v>
      </c>
      <c r="H347">
        <v>1</v>
      </c>
      <c r="I347">
        <v>9</v>
      </c>
      <c r="J347">
        <v>6</v>
      </c>
      <c r="K347">
        <v>0.66700000000000004</v>
      </c>
      <c r="L347">
        <v>41</v>
      </c>
      <c r="M347">
        <v>6.8</v>
      </c>
      <c r="N347">
        <v>0</v>
      </c>
      <c r="O347">
        <v>2</v>
      </c>
      <c r="P347">
        <v>12</v>
      </c>
      <c r="Q347">
        <v>4.5999999999999996</v>
      </c>
      <c r="R347">
        <v>0.7</v>
      </c>
      <c r="S347">
        <v>4.5999999999999996</v>
      </c>
      <c r="T347">
        <v>0</v>
      </c>
    </row>
    <row r="348" spans="1:20" x14ac:dyDescent="0.2">
      <c r="A348">
        <v>347</v>
      </c>
      <c r="B348" t="s">
        <v>1420</v>
      </c>
      <c r="C348" t="s">
        <v>1420</v>
      </c>
      <c r="D348" t="s">
        <v>725</v>
      </c>
      <c r="E348">
        <v>31</v>
      </c>
      <c r="F348" t="s">
        <v>1392</v>
      </c>
      <c r="G348">
        <v>11</v>
      </c>
      <c r="H348">
        <v>9</v>
      </c>
      <c r="I348">
        <v>8</v>
      </c>
      <c r="J348">
        <v>6</v>
      </c>
      <c r="K348">
        <v>0.75</v>
      </c>
      <c r="L348">
        <v>50</v>
      </c>
      <c r="M348">
        <v>8.3000000000000007</v>
      </c>
      <c r="N348">
        <v>0</v>
      </c>
      <c r="O348">
        <v>2</v>
      </c>
      <c r="P348">
        <v>18</v>
      </c>
      <c r="Q348">
        <v>6.3</v>
      </c>
      <c r="R348">
        <v>0.5</v>
      </c>
      <c r="S348">
        <v>4.5</v>
      </c>
      <c r="T348">
        <v>0</v>
      </c>
    </row>
    <row r="349" spans="1:20" x14ac:dyDescent="0.2">
      <c r="A349">
        <v>348</v>
      </c>
      <c r="B349" t="s">
        <v>568</v>
      </c>
      <c r="C349" t="s">
        <v>568</v>
      </c>
      <c r="D349" t="s">
        <v>102</v>
      </c>
      <c r="E349">
        <v>30</v>
      </c>
      <c r="G349">
        <v>7</v>
      </c>
      <c r="H349">
        <v>2</v>
      </c>
      <c r="I349">
        <v>13</v>
      </c>
      <c r="J349">
        <v>6</v>
      </c>
      <c r="K349">
        <v>0.46200000000000002</v>
      </c>
      <c r="L349">
        <v>115</v>
      </c>
      <c r="M349">
        <v>19.2</v>
      </c>
      <c r="N349">
        <v>1</v>
      </c>
      <c r="O349">
        <v>5</v>
      </c>
      <c r="P349">
        <v>39</v>
      </c>
      <c r="Q349">
        <v>8.8000000000000007</v>
      </c>
      <c r="R349">
        <v>0.9</v>
      </c>
      <c r="S349">
        <v>16.399999999999999</v>
      </c>
      <c r="T349">
        <v>0</v>
      </c>
    </row>
    <row r="350" spans="1:20" x14ac:dyDescent="0.2">
      <c r="A350">
        <v>349</v>
      </c>
      <c r="B350" t="s">
        <v>677</v>
      </c>
      <c r="C350" t="s">
        <v>677</v>
      </c>
      <c r="D350" t="s">
        <v>1040</v>
      </c>
      <c r="E350">
        <v>25</v>
      </c>
      <c r="G350">
        <v>16</v>
      </c>
      <c r="H350">
        <v>3</v>
      </c>
      <c r="I350">
        <v>9</v>
      </c>
      <c r="J350">
        <v>6</v>
      </c>
      <c r="K350">
        <v>0.66700000000000004</v>
      </c>
      <c r="L350">
        <v>63</v>
      </c>
      <c r="M350">
        <v>10.5</v>
      </c>
      <c r="N350">
        <v>0</v>
      </c>
      <c r="O350">
        <v>2</v>
      </c>
      <c r="P350">
        <v>22</v>
      </c>
      <c r="Q350">
        <v>7</v>
      </c>
      <c r="R350">
        <v>0.4</v>
      </c>
      <c r="S350">
        <v>3.9</v>
      </c>
      <c r="T350">
        <v>1</v>
      </c>
    </row>
    <row r="351" spans="1:20" x14ac:dyDescent="0.2">
      <c r="A351">
        <v>350</v>
      </c>
      <c r="B351" t="s">
        <v>634</v>
      </c>
      <c r="C351" t="s">
        <v>634</v>
      </c>
      <c r="D351" t="s">
        <v>70</v>
      </c>
      <c r="E351">
        <v>28</v>
      </c>
      <c r="F351" t="s">
        <v>88</v>
      </c>
      <c r="G351">
        <v>16</v>
      </c>
      <c r="H351">
        <v>12</v>
      </c>
      <c r="I351">
        <v>8</v>
      </c>
      <c r="J351">
        <v>6</v>
      </c>
      <c r="K351">
        <v>0.75</v>
      </c>
      <c r="L351">
        <v>52</v>
      </c>
      <c r="M351">
        <v>8.6999999999999993</v>
      </c>
      <c r="N351">
        <v>0</v>
      </c>
      <c r="O351">
        <v>1</v>
      </c>
      <c r="P351">
        <v>17</v>
      </c>
      <c r="Q351">
        <v>6.5</v>
      </c>
      <c r="R351">
        <v>0.4</v>
      </c>
      <c r="S351">
        <v>3.3</v>
      </c>
      <c r="T351">
        <v>0</v>
      </c>
    </row>
    <row r="352" spans="1:20" x14ac:dyDescent="0.2">
      <c r="A352">
        <v>351</v>
      </c>
      <c r="B352" t="s">
        <v>445</v>
      </c>
      <c r="C352" t="s">
        <v>445</v>
      </c>
      <c r="D352" t="s">
        <v>99</v>
      </c>
      <c r="E352">
        <v>21</v>
      </c>
      <c r="G352">
        <v>11</v>
      </c>
      <c r="H352">
        <v>0</v>
      </c>
      <c r="I352">
        <v>9</v>
      </c>
      <c r="J352">
        <v>6</v>
      </c>
      <c r="K352">
        <v>0.66700000000000004</v>
      </c>
      <c r="L352">
        <v>54</v>
      </c>
      <c r="M352">
        <v>9</v>
      </c>
      <c r="N352">
        <v>0</v>
      </c>
      <c r="O352">
        <v>1</v>
      </c>
      <c r="P352">
        <v>17</v>
      </c>
      <c r="Q352">
        <v>6</v>
      </c>
      <c r="R352">
        <v>0.5</v>
      </c>
      <c r="S352">
        <v>4.9000000000000004</v>
      </c>
      <c r="T352">
        <v>0</v>
      </c>
    </row>
    <row r="353" spans="1:20" x14ac:dyDescent="0.2">
      <c r="A353">
        <v>352</v>
      </c>
      <c r="B353" t="s">
        <v>498</v>
      </c>
      <c r="C353" t="s">
        <v>498</v>
      </c>
      <c r="D353" t="s">
        <v>101</v>
      </c>
      <c r="E353">
        <v>25</v>
      </c>
      <c r="G353">
        <v>5</v>
      </c>
      <c r="H353">
        <v>0</v>
      </c>
      <c r="I353">
        <v>7</v>
      </c>
      <c r="J353">
        <v>6</v>
      </c>
      <c r="K353">
        <v>0.85699999999999998</v>
      </c>
      <c r="L353">
        <v>49</v>
      </c>
      <c r="M353">
        <v>8.1999999999999993</v>
      </c>
      <c r="N353">
        <v>2</v>
      </c>
      <c r="O353">
        <v>4</v>
      </c>
      <c r="P353">
        <v>14</v>
      </c>
      <c r="Q353">
        <v>7</v>
      </c>
      <c r="R353">
        <v>1.2</v>
      </c>
      <c r="S353">
        <v>9.8000000000000007</v>
      </c>
      <c r="T353">
        <v>0</v>
      </c>
    </row>
    <row r="354" spans="1:20" x14ac:dyDescent="0.2">
      <c r="A354">
        <v>353</v>
      </c>
      <c r="B354" t="s">
        <v>2088</v>
      </c>
      <c r="C354" t="s">
        <v>2088</v>
      </c>
      <c r="D354" t="s">
        <v>727</v>
      </c>
      <c r="E354">
        <v>26</v>
      </c>
      <c r="F354" t="s">
        <v>1298</v>
      </c>
      <c r="G354">
        <v>13</v>
      </c>
      <c r="H354">
        <v>1</v>
      </c>
      <c r="I354">
        <v>12</v>
      </c>
      <c r="J354">
        <v>6</v>
      </c>
      <c r="K354">
        <v>0.5</v>
      </c>
      <c r="L354">
        <v>48</v>
      </c>
      <c r="M354">
        <v>8</v>
      </c>
      <c r="N354">
        <v>1</v>
      </c>
      <c r="O354">
        <v>4</v>
      </c>
      <c r="P354">
        <v>13</v>
      </c>
      <c r="Q354">
        <v>4</v>
      </c>
      <c r="R354">
        <v>0.5</v>
      </c>
      <c r="S354">
        <v>3.7</v>
      </c>
      <c r="T354">
        <v>0</v>
      </c>
    </row>
    <row r="355" spans="1:20" x14ac:dyDescent="0.2">
      <c r="A355">
        <v>354</v>
      </c>
      <c r="B355" t="s">
        <v>435</v>
      </c>
      <c r="C355" t="s">
        <v>435</v>
      </c>
      <c r="D355" t="s">
        <v>70</v>
      </c>
      <c r="E355">
        <v>26</v>
      </c>
      <c r="G355">
        <v>16</v>
      </c>
      <c r="H355">
        <v>1</v>
      </c>
      <c r="I355">
        <v>9</v>
      </c>
      <c r="J355">
        <v>5</v>
      </c>
      <c r="K355">
        <v>0.55600000000000005</v>
      </c>
      <c r="L355">
        <v>18</v>
      </c>
      <c r="M355">
        <v>3.6</v>
      </c>
      <c r="N355">
        <v>0</v>
      </c>
      <c r="O355">
        <v>1</v>
      </c>
      <c r="P355">
        <v>14</v>
      </c>
      <c r="Q355">
        <v>2</v>
      </c>
      <c r="R355">
        <v>0.3</v>
      </c>
      <c r="S355">
        <v>1.1000000000000001</v>
      </c>
      <c r="T355">
        <v>0</v>
      </c>
    </row>
    <row r="356" spans="1:20" x14ac:dyDescent="0.2">
      <c r="A356">
        <v>355</v>
      </c>
      <c r="B356" t="s">
        <v>2137</v>
      </c>
      <c r="C356" t="s">
        <v>2137</v>
      </c>
      <c r="D356" t="s">
        <v>1267</v>
      </c>
      <c r="E356">
        <v>30</v>
      </c>
      <c r="G356">
        <v>4</v>
      </c>
      <c r="H356">
        <v>0</v>
      </c>
      <c r="I356">
        <v>5</v>
      </c>
      <c r="J356">
        <v>5</v>
      </c>
      <c r="K356">
        <v>1</v>
      </c>
      <c r="L356">
        <v>20</v>
      </c>
      <c r="M356">
        <v>4</v>
      </c>
      <c r="N356">
        <v>0</v>
      </c>
      <c r="O356">
        <v>1</v>
      </c>
      <c r="P356">
        <v>7</v>
      </c>
      <c r="Q356">
        <v>4</v>
      </c>
      <c r="R356">
        <v>1.3</v>
      </c>
      <c r="S356">
        <v>5</v>
      </c>
      <c r="T356">
        <v>1</v>
      </c>
    </row>
    <row r="357" spans="1:20" x14ac:dyDescent="0.2">
      <c r="A357">
        <v>356</v>
      </c>
      <c r="B357" t="s">
        <v>561</v>
      </c>
      <c r="C357" t="s">
        <v>561</v>
      </c>
      <c r="D357" t="s">
        <v>82</v>
      </c>
      <c r="E357">
        <v>24</v>
      </c>
      <c r="F357" t="s">
        <v>1298</v>
      </c>
      <c r="G357">
        <v>3</v>
      </c>
      <c r="H357">
        <v>1</v>
      </c>
      <c r="I357">
        <v>11</v>
      </c>
      <c r="J357">
        <v>5</v>
      </c>
      <c r="K357">
        <v>0.45500000000000002</v>
      </c>
      <c r="L357">
        <v>60</v>
      </c>
      <c r="M357">
        <v>12</v>
      </c>
      <c r="N357">
        <v>0</v>
      </c>
      <c r="O357">
        <v>2</v>
      </c>
      <c r="P357">
        <v>22</v>
      </c>
      <c r="Q357">
        <v>5.5</v>
      </c>
      <c r="R357">
        <v>1.7</v>
      </c>
      <c r="S357">
        <v>20</v>
      </c>
      <c r="T357">
        <v>0</v>
      </c>
    </row>
    <row r="358" spans="1:20" x14ac:dyDescent="0.2">
      <c r="A358">
        <v>357</v>
      </c>
      <c r="B358" t="s">
        <v>685</v>
      </c>
      <c r="C358" t="s">
        <v>685</v>
      </c>
      <c r="D358" t="s">
        <v>74</v>
      </c>
      <c r="E358">
        <v>25</v>
      </c>
      <c r="F358" t="s">
        <v>1577</v>
      </c>
      <c r="G358">
        <v>15</v>
      </c>
      <c r="H358">
        <v>5</v>
      </c>
      <c r="I358">
        <v>7</v>
      </c>
      <c r="J358">
        <v>5</v>
      </c>
      <c r="K358">
        <v>0.71399999999999997</v>
      </c>
      <c r="L358">
        <v>53</v>
      </c>
      <c r="M358">
        <v>10.6</v>
      </c>
      <c r="N358">
        <v>0</v>
      </c>
      <c r="O358">
        <v>3</v>
      </c>
      <c r="P358">
        <v>24</v>
      </c>
      <c r="Q358">
        <v>7.6</v>
      </c>
      <c r="R358">
        <v>0.3</v>
      </c>
      <c r="S358">
        <v>3.5</v>
      </c>
      <c r="T358">
        <v>0</v>
      </c>
    </row>
    <row r="359" spans="1:20" x14ac:dyDescent="0.2">
      <c r="A359">
        <v>358</v>
      </c>
      <c r="B359" t="s">
        <v>1812</v>
      </c>
      <c r="C359" t="s">
        <v>1812</v>
      </c>
      <c r="D359" t="s">
        <v>102</v>
      </c>
      <c r="E359">
        <v>26</v>
      </c>
      <c r="G359">
        <v>15</v>
      </c>
      <c r="H359">
        <v>0</v>
      </c>
      <c r="I359">
        <v>6</v>
      </c>
      <c r="J359">
        <v>5</v>
      </c>
      <c r="K359">
        <v>0.83299999999999996</v>
      </c>
      <c r="L359">
        <v>25</v>
      </c>
      <c r="M359">
        <v>5</v>
      </c>
      <c r="N359">
        <v>0</v>
      </c>
      <c r="O359">
        <v>2</v>
      </c>
      <c r="P359">
        <v>12</v>
      </c>
      <c r="Q359">
        <v>4.2</v>
      </c>
      <c r="R359">
        <v>0.3</v>
      </c>
      <c r="S359">
        <v>1.7</v>
      </c>
      <c r="T359">
        <v>0</v>
      </c>
    </row>
    <row r="360" spans="1:20" x14ac:dyDescent="0.2">
      <c r="A360">
        <v>359</v>
      </c>
      <c r="B360" t="s">
        <v>610</v>
      </c>
      <c r="C360" t="s">
        <v>610</v>
      </c>
      <c r="D360" t="s">
        <v>70</v>
      </c>
      <c r="E360">
        <v>25</v>
      </c>
      <c r="F360" t="s">
        <v>1298</v>
      </c>
      <c r="G360">
        <v>16</v>
      </c>
      <c r="H360">
        <v>1</v>
      </c>
      <c r="I360">
        <v>8</v>
      </c>
      <c r="J360">
        <v>5</v>
      </c>
      <c r="K360">
        <v>0.625</v>
      </c>
      <c r="L360">
        <v>73</v>
      </c>
      <c r="M360">
        <v>14.6</v>
      </c>
      <c r="N360">
        <v>0</v>
      </c>
      <c r="O360">
        <v>3</v>
      </c>
      <c r="P360">
        <v>32</v>
      </c>
      <c r="Q360">
        <v>9.1</v>
      </c>
      <c r="R360">
        <v>0.3</v>
      </c>
      <c r="S360">
        <v>4.5999999999999996</v>
      </c>
      <c r="T360">
        <v>1</v>
      </c>
    </row>
    <row r="361" spans="1:20" x14ac:dyDescent="0.2">
      <c r="A361">
        <v>360</v>
      </c>
      <c r="B361" t="s">
        <v>244</v>
      </c>
      <c r="C361" t="s">
        <v>244</v>
      </c>
      <c r="D361" t="s">
        <v>1122</v>
      </c>
      <c r="E361">
        <v>23</v>
      </c>
      <c r="F361" t="s">
        <v>1392</v>
      </c>
      <c r="G361">
        <v>10</v>
      </c>
      <c r="H361">
        <v>10</v>
      </c>
      <c r="I361">
        <v>7</v>
      </c>
      <c r="J361">
        <v>5</v>
      </c>
      <c r="K361">
        <v>0.71399999999999997</v>
      </c>
      <c r="L361">
        <v>52</v>
      </c>
      <c r="M361">
        <v>10.4</v>
      </c>
      <c r="N361">
        <v>0</v>
      </c>
      <c r="O361">
        <v>4</v>
      </c>
      <c r="P361">
        <v>15</v>
      </c>
      <c r="Q361">
        <v>7.4</v>
      </c>
      <c r="R361">
        <v>0.5</v>
      </c>
      <c r="S361">
        <v>5.2</v>
      </c>
      <c r="T361">
        <v>1</v>
      </c>
    </row>
    <row r="362" spans="1:20" x14ac:dyDescent="0.2">
      <c r="A362">
        <v>361</v>
      </c>
      <c r="B362" t="s">
        <v>1843</v>
      </c>
      <c r="C362" t="s">
        <v>1843</v>
      </c>
      <c r="D362" t="s">
        <v>725</v>
      </c>
      <c r="E362">
        <v>23</v>
      </c>
      <c r="G362">
        <v>12</v>
      </c>
      <c r="H362">
        <v>0</v>
      </c>
      <c r="I362">
        <v>5</v>
      </c>
      <c r="J362">
        <v>5</v>
      </c>
      <c r="K362">
        <v>1</v>
      </c>
      <c r="L362">
        <v>20</v>
      </c>
      <c r="M362">
        <v>4</v>
      </c>
      <c r="N362">
        <v>0</v>
      </c>
      <c r="O362">
        <v>0</v>
      </c>
      <c r="P362">
        <v>8</v>
      </c>
      <c r="Q362">
        <v>4</v>
      </c>
      <c r="R362">
        <v>0.4</v>
      </c>
      <c r="S362">
        <v>1.7</v>
      </c>
      <c r="T362">
        <v>0</v>
      </c>
    </row>
    <row r="363" spans="1:20" x14ac:dyDescent="0.2">
      <c r="A363">
        <v>362</v>
      </c>
      <c r="B363" t="s">
        <v>2138</v>
      </c>
      <c r="C363" t="s">
        <v>2138</v>
      </c>
      <c r="D363" t="s">
        <v>122</v>
      </c>
      <c r="E363">
        <v>26</v>
      </c>
      <c r="F363" t="s">
        <v>1298</v>
      </c>
      <c r="G363">
        <v>6</v>
      </c>
      <c r="H363">
        <v>1</v>
      </c>
      <c r="I363">
        <v>8</v>
      </c>
      <c r="J363">
        <v>5</v>
      </c>
      <c r="K363">
        <v>0.625</v>
      </c>
      <c r="L363">
        <v>60</v>
      </c>
      <c r="M363">
        <v>12</v>
      </c>
      <c r="N363">
        <v>0</v>
      </c>
      <c r="O363">
        <v>3</v>
      </c>
      <c r="P363">
        <v>20</v>
      </c>
      <c r="Q363">
        <v>7.5</v>
      </c>
      <c r="R363">
        <v>0.8</v>
      </c>
      <c r="S363">
        <v>10</v>
      </c>
      <c r="T363">
        <v>0</v>
      </c>
    </row>
    <row r="364" spans="1:20" x14ac:dyDescent="0.2">
      <c r="A364">
        <v>363</v>
      </c>
      <c r="B364" t="s">
        <v>485</v>
      </c>
      <c r="C364" t="s">
        <v>485</v>
      </c>
      <c r="D364" t="s">
        <v>118</v>
      </c>
      <c r="E364">
        <v>23</v>
      </c>
      <c r="F364" t="s">
        <v>1882</v>
      </c>
      <c r="G364">
        <v>16</v>
      </c>
      <c r="H364">
        <v>5</v>
      </c>
      <c r="I364">
        <v>7</v>
      </c>
      <c r="J364">
        <v>5</v>
      </c>
      <c r="K364">
        <v>0.71399999999999997</v>
      </c>
      <c r="L364">
        <v>25</v>
      </c>
      <c r="M364">
        <v>5</v>
      </c>
      <c r="N364">
        <v>2</v>
      </c>
      <c r="O364">
        <v>2</v>
      </c>
      <c r="P364">
        <v>9</v>
      </c>
      <c r="Q364">
        <v>3.6</v>
      </c>
      <c r="R364">
        <v>0.3</v>
      </c>
      <c r="S364">
        <v>1.6</v>
      </c>
      <c r="T364">
        <v>0</v>
      </c>
    </row>
    <row r="365" spans="1:20" x14ac:dyDescent="0.2">
      <c r="A365">
        <v>364</v>
      </c>
      <c r="B365" t="s">
        <v>1915</v>
      </c>
      <c r="C365" t="s">
        <v>1915</v>
      </c>
      <c r="D365" t="s">
        <v>1122</v>
      </c>
      <c r="E365">
        <v>24</v>
      </c>
      <c r="F365" t="s">
        <v>1298</v>
      </c>
      <c r="G365">
        <v>13</v>
      </c>
      <c r="H365">
        <v>2</v>
      </c>
      <c r="I365">
        <v>5</v>
      </c>
      <c r="J365">
        <v>5</v>
      </c>
      <c r="K365">
        <v>1</v>
      </c>
      <c r="L365">
        <v>62</v>
      </c>
      <c r="M365">
        <v>12.4</v>
      </c>
      <c r="N365">
        <v>1</v>
      </c>
      <c r="O365">
        <v>3</v>
      </c>
      <c r="P365">
        <v>38</v>
      </c>
      <c r="Q365">
        <v>12.4</v>
      </c>
      <c r="R365">
        <v>0.4</v>
      </c>
      <c r="S365">
        <v>4.8</v>
      </c>
      <c r="T365">
        <v>1</v>
      </c>
    </row>
    <row r="366" spans="1:20" x14ac:dyDescent="0.2">
      <c r="A366">
        <v>365</v>
      </c>
      <c r="B366" t="s">
        <v>1857</v>
      </c>
      <c r="C366" t="s">
        <v>1857</v>
      </c>
      <c r="D366" t="s">
        <v>122</v>
      </c>
      <c r="E366">
        <v>26</v>
      </c>
      <c r="G366">
        <v>10</v>
      </c>
      <c r="H366">
        <v>0</v>
      </c>
      <c r="I366">
        <v>5</v>
      </c>
      <c r="J366">
        <v>5</v>
      </c>
      <c r="K366">
        <v>1</v>
      </c>
      <c r="L366">
        <v>18</v>
      </c>
      <c r="M366">
        <v>3.6</v>
      </c>
      <c r="N366">
        <v>1</v>
      </c>
      <c r="O366">
        <v>1</v>
      </c>
      <c r="P366">
        <v>10</v>
      </c>
      <c r="Q366">
        <v>3.6</v>
      </c>
      <c r="R366">
        <v>0.5</v>
      </c>
      <c r="S366">
        <v>1.8</v>
      </c>
      <c r="T366">
        <v>1</v>
      </c>
    </row>
    <row r="367" spans="1:20" x14ac:dyDescent="0.2">
      <c r="A367">
        <v>366</v>
      </c>
      <c r="B367" t="s">
        <v>674</v>
      </c>
      <c r="C367" t="s">
        <v>674</v>
      </c>
      <c r="D367" t="s">
        <v>77</v>
      </c>
      <c r="E367">
        <v>28</v>
      </c>
      <c r="F367" t="s">
        <v>1577</v>
      </c>
      <c r="G367">
        <v>11</v>
      </c>
      <c r="H367">
        <v>4</v>
      </c>
      <c r="I367">
        <v>8</v>
      </c>
      <c r="J367">
        <v>5</v>
      </c>
      <c r="K367">
        <v>0.625</v>
      </c>
      <c r="L367">
        <v>49</v>
      </c>
      <c r="M367">
        <v>9.8000000000000007</v>
      </c>
      <c r="N367">
        <v>2</v>
      </c>
      <c r="O367">
        <v>4</v>
      </c>
      <c r="P367">
        <v>22</v>
      </c>
      <c r="Q367">
        <v>6.1</v>
      </c>
      <c r="R367">
        <v>0.5</v>
      </c>
      <c r="S367">
        <v>4.5</v>
      </c>
      <c r="T367">
        <v>0</v>
      </c>
    </row>
    <row r="368" spans="1:20" x14ac:dyDescent="0.2">
      <c r="A368">
        <v>367</v>
      </c>
      <c r="B368" t="s">
        <v>1905</v>
      </c>
      <c r="C368" t="s">
        <v>1905</v>
      </c>
      <c r="D368" t="s">
        <v>933</v>
      </c>
      <c r="E368">
        <v>29</v>
      </c>
      <c r="G368">
        <v>4</v>
      </c>
      <c r="H368">
        <v>0</v>
      </c>
      <c r="I368">
        <v>6</v>
      </c>
      <c r="J368">
        <v>5</v>
      </c>
      <c r="K368">
        <v>0.83299999999999996</v>
      </c>
      <c r="L368">
        <v>43</v>
      </c>
      <c r="M368">
        <v>8.6</v>
      </c>
      <c r="N368">
        <v>0</v>
      </c>
      <c r="O368">
        <v>1</v>
      </c>
      <c r="P368">
        <v>15</v>
      </c>
      <c r="Q368">
        <v>7.2</v>
      </c>
      <c r="R368">
        <v>1.3</v>
      </c>
      <c r="S368">
        <v>10.8</v>
      </c>
      <c r="T368">
        <v>0</v>
      </c>
    </row>
    <row r="369" spans="1:20" x14ac:dyDescent="0.2">
      <c r="A369">
        <v>368</v>
      </c>
      <c r="B369" t="s">
        <v>587</v>
      </c>
      <c r="C369" t="s">
        <v>587</v>
      </c>
      <c r="D369" t="s">
        <v>1267</v>
      </c>
      <c r="E369">
        <v>25</v>
      </c>
      <c r="G369">
        <v>8</v>
      </c>
      <c r="H369">
        <v>0</v>
      </c>
      <c r="I369">
        <v>8</v>
      </c>
      <c r="J369">
        <v>5</v>
      </c>
      <c r="K369">
        <v>0.625</v>
      </c>
      <c r="L369">
        <v>46</v>
      </c>
      <c r="M369">
        <v>9.1999999999999993</v>
      </c>
      <c r="N369">
        <v>0</v>
      </c>
      <c r="O369">
        <v>1</v>
      </c>
      <c r="P369">
        <v>19</v>
      </c>
      <c r="Q369">
        <v>5.8</v>
      </c>
      <c r="R369">
        <v>0.6</v>
      </c>
      <c r="S369">
        <v>5.8</v>
      </c>
      <c r="T369">
        <v>1</v>
      </c>
    </row>
    <row r="370" spans="1:20" x14ac:dyDescent="0.2">
      <c r="A370">
        <v>369</v>
      </c>
      <c r="B370" t="s">
        <v>490</v>
      </c>
      <c r="C370" t="s">
        <v>490</v>
      </c>
      <c r="D370" t="s">
        <v>78</v>
      </c>
      <c r="E370">
        <v>24</v>
      </c>
      <c r="F370" t="s">
        <v>1298</v>
      </c>
      <c r="G370">
        <v>15</v>
      </c>
      <c r="H370">
        <v>1</v>
      </c>
      <c r="I370">
        <v>7</v>
      </c>
      <c r="J370">
        <v>5</v>
      </c>
      <c r="K370">
        <v>0.71399999999999997</v>
      </c>
      <c r="L370">
        <v>50</v>
      </c>
      <c r="M370">
        <v>10</v>
      </c>
      <c r="N370">
        <v>0</v>
      </c>
      <c r="O370">
        <v>2</v>
      </c>
      <c r="P370">
        <v>26</v>
      </c>
      <c r="Q370">
        <v>7.1</v>
      </c>
      <c r="R370">
        <v>0.3</v>
      </c>
      <c r="S370">
        <v>3.3</v>
      </c>
      <c r="T370">
        <v>0</v>
      </c>
    </row>
    <row r="371" spans="1:20" x14ac:dyDescent="0.2">
      <c r="A371">
        <v>370</v>
      </c>
      <c r="B371" t="s">
        <v>596</v>
      </c>
      <c r="C371" t="s">
        <v>596</v>
      </c>
      <c r="D371" t="s">
        <v>1267</v>
      </c>
      <c r="E371">
        <v>25</v>
      </c>
      <c r="F371" t="s">
        <v>1298</v>
      </c>
      <c r="G371">
        <v>15</v>
      </c>
      <c r="H371">
        <v>1</v>
      </c>
      <c r="I371">
        <v>6</v>
      </c>
      <c r="J371">
        <v>5</v>
      </c>
      <c r="K371">
        <v>0.83299999999999996</v>
      </c>
      <c r="L371">
        <v>66</v>
      </c>
      <c r="M371">
        <v>13.2</v>
      </c>
      <c r="N371">
        <v>1</v>
      </c>
      <c r="O371">
        <v>4</v>
      </c>
      <c r="P371">
        <v>26</v>
      </c>
      <c r="Q371">
        <v>11</v>
      </c>
      <c r="R371">
        <v>0.3</v>
      </c>
      <c r="S371">
        <v>4.4000000000000004</v>
      </c>
      <c r="T371">
        <v>0</v>
      </c>
    </row>
    <row r="372" spans="1:20" x14ac:dyDescent="0.2">
      <c r="A372">
        <v>371</v>
      </c>
      <c r="B372" t="s">
        <v>672</v>
      </c>
      <c r="C372" t="s">
        <v>672</v>
      </c>
      <c r="D372" t="s">
        <v>92</v>
      </c>
      <c r="E372">
        <v>29</v>
      </c>
      <c r="F372" t="s">
        <v>1577</v>
      </c>
      <c r="G372">
        <v>16</v>
      </c>
      <c r="H372">
        <v>2</v>
      </c>
      <c r="I372">
        <v>6</v>
      </c>
      <c r="J372">
        <v>5</v>
      </c>
      <c r="K372">
        <v>0.83299999999999996</v>
      </c>
      <c r="L372">
        <v>46</v>
      </c>
      <c r="M372">
        <v>9.1999999999999993</v>
      </c>
      <c r="N372">
        <v>0</v>
      </c>
      <c r="O372">
        <v>3</v>
      </c>
      <c r="P372">
        <v>14</v>
      </c>
      <c r="Q372">
        <v>7.7</v>
      </c>
      <c r="R372">
        <v>0.3</v>
      </c>
      <c r="S372">
        <v>2.9</v>
      </c>
      <c r="T372">
        <v>0</v>
      </c>
    </row>
    <row r="373" spans="1:20" x14ac:dyDescent="0.2">
      <c r="A373">
        <v>372</v>
      </c>
      <c r="B373" t="s">
        <v>1804</v>
      </c>
      <c r="C373" t="s">
        <v>1804</v>
      </c>
      <c r="D373" t="s">
        <v>976</v>
      </c>
      <c r="E373">
        <v>23</v>
      </c>
      <c r="G373">
        <v>10</v>
      </c>
      <c r="H373">
        <v>0</v>
      </c>
      <c r="I373">
        <v>10</v>
      </c>
      <c r="J373">
        <v>5</v>
      </c>
      <c r="K373">
        <v>0.5</v>
      </c>
      <c r="L373">
        <v>34</v>
      </c>
      <c r="M373">
        <v>6.8</v>
      </c>
      <c r="N373">
        <v>1</v>
      </c>
      <c r="O373">
        <v>2</v>
      </c>
      <c r="P373">
        <v>13</v>
      </c>
      <c r="Q373">
        <v>3.4</v>
      </c>
      <c r="R373">
        <v>0.5</v>
      </c>
      <c r="S373">
        <v>3.4</v>
      </c>
      <c r="T373">
        <v>1</v>
      </c>
    </row>
    <row r="374" spans="1:20" x14ac:dyDescent="0.2">
      <c r="A374">
        <v>373</v>
      </c>
      <c r="B374" t="s">
        <v>1794</v>
      </c>
      <c r="C374" t="s">
        <v>1794</v>
      </c>
      <c r="D374" t="s">
        <v>1726</v>
      </c>
      <c r="E374">
        <v>27</v>
      </c>
      <c r="G374">
        <v>4</v>
      </c>
      <c r="H374">
        <v>1</v>
      </c>
      <c r="I374">
        <v>10</v>
      </c>
      <c r="J374">
        <v>5</v>
      </c>
      <c r="K374">
        <v>0.5</v>
      </c>
      <c r="L374">
        <v>30</v>
      </c>
      <c r="M374">
        <v>6</v>
      </c>
      <c r="N374">
        <v>0</v>
      </c>
      <c r="O374">
        <v>2</v>
      </c>
      <c r="P374">
        <v>10</v>
      </c>
      <c r="Q374">
        <v>3</v>
      </c>
      <c r="R374">
        <v>1.3</v>
      </c>
      <c r="S374">
        <v>7.5</v>
      </c>
      <c r="T374">
        <v>0</v>
      </c>
    </row>
    <row r="375" spans="1:20" x14ac:dyDescent="0.2">
      <c r="A375">
        <v>374</v>
      </c>
      <c r="B375" t="s">
        <v>399</v>
      </c>
      <c r="C375" t="s">
        <v>399</v>
      </c>
      <c r="D375" t="s">
        <v>74</v>
      </c>
      <c r="E375">
        <v>23</v>
      </c>
      <c r="G375">
        <v>10</v>
      </c>
      <c r="H375">
        <v>0</v>
      </c>
      <c r="I375">
        <v>5</v>
      </c>
      <c r="J375">
        <v>5</v>
      </c>
      <c r="K375">
        <v>1</v>
      </c>
      <c r="L375">
        <v>30</v>
      </c>
      <c r="M375">
        <v>6</v>
      </c>
      <c r="N375">
        <v>0</v>
      </c>
      <c r="O375">
        <v>1</v>
      </c>
      <c r="P375">
        <v>13</v>
      </c>
      <c r="Q375">
        <v>6</v>
      </c>
      <c r="R375">
        <v>0.5</v>
      </c>
      <c r="S375">
        <v>3</v>
      </c>
      <c r="T375">
        <v>1</v>
      </c>
    </row>
    <row r="376" spans="1:20" x14ac:dyDescent="0.2">
      <c r="A376">
        <v>375</v>
      </c>
      <c r="B376" t="s">
        <v>554</v>
      </c>
      <c r="C376" t="s">
        <v>554</v>
      </c>
      <c r="D376" t="s">
        <v>102</v>
      </c>
      <c r="E376">
        <v>24</v>
      </c>
      <c r="G376">
        <v>8</v>
      </c>
      <c r="H376">
        <v>0</v>
      </c>
      <c r="I376">
        <v>8</v>
      </c>
      <c r="J376">
        <v>4</v>
      </c>
      <c r="K376">
        <v>0.5</v>
      </c>
      <c r="L376">
        <v>85</v>
      </c>
      <c r="M376">
        <v>21.3</v>
      </c>
      <c r="N376">
        <v>0</v>
      </c>
      <c r="O376">
        <v>4</v>
      </c>
      <c r="P376">
        <v>37</v>
      </c>
      <c r="Q376">
        <v>10.6</v>
      </c>
      <c r="R376">
        <v>0.5</v>
      </c>
      <c r="S376">
        <v>10.6</v>
      </c>
      <c r="T376">
        <v>0</v>
      </c>
    </row>
    <row r="377" spans="1:20" x14ac:dyDescent="0.2">
      <c r="A377">
        <v>376</v>
      </c>
      <c r="B377" t="s">
        <v>1723</v>
      </c>
      <c r="C377" t="s">
        <v>1723</v>
      </c>
      <c r="D377" t="s">
        <v>119</v>
      </c>
      <c r="E377">
        <v>26</v>
      </c>
      <c r="F377" t="s">
        <v>1392</v>
      </c>
      <c r="G377">
        <v>16</v>
      </c>
      <c r="H377">
        <v>2</v>
      </c>
      <c r="I377">
        <v>7</v>
      </c>
      <c r="J377">
        <v>4</v>
      </c>
      <c r="K377">
        <v>0.57099999999999995</v>
      </c>
      <c r="L377">
        <v>12</v>
      </c>
      <c r="M377">
        <v>3</v>
      </c>
      <c r="N377">
        <v>0</v>
      </c>
      <c r="O377">
        <v>1</v>
      </c>
      <c r="P377">
        <v>7</v>
      </c>
      <c r="Q377">
        <v>1.7</v>
      </c>
      <c r="R377">
        <v>0.3</v>
      </c>
      <c r="S377">
        <v>0.8</v>
      </c>
      <c r="T377">
        <v>0</v>
      </c>
    </row>
    <row r="378" spans="1:20" x14ac:dyDescent="0.2">
      <c r="A378">
        <v>377</v>
      </c>
      <c r="B378" t="s">
        <v>489</v>
      </c>
      <c r="C378" t="s">
        <v>489</v>
      </c>
      <c r="D378" t="s">
        <v>77</v>
      </c>
      <c r="E378">
        <v>24</v>
      </c>
      <c r="F378" t="s">
        <v>1882</v>
      </c>
      <c r="G378">
        <v>15</v>
      </c>
      <c r="H378">
        <v>7</v>
      </c>
      <c r="I378">
        <v>5</v>
      </c>
      <c r="J378">
        <v>4</v>
      </c>
      <c r="K378">
        <v>0.8</v>
      </c>
      <c r="L378">
        <v>39</v>
      </c>
      <c r="M378">
        <v>9.8000000000000007</v>
      </c>
      <c r="N378">
        <v>0</v>
      </c>
      <c r="O378">
        <v>2</v>
      </c>
      <c r="P378">
        <v>16</v>
      </c>
      <c r="Q378">
        <v>7.8</v>
      </c>
      <c r="R378">
        <v>0.3</v>
      </c>
      <c r="S378">
        <v>2.6</v>
      </c>
      <c r="T378">
        <v>0</v>
      </c>
    </row>
    <row r="379" spans="1:20" x14ac:dyDescent="0.2">
      <c r="A379">
        <v>378</v>
      </c>
      <c r="B379" t="s">
        <v>564</v>
      </c>
      <c r="C379" t="s">
        <v>564</v>
      </c>
      <c r="D379" t="s">
        <v>1257</v>
      </c>
      <c r="E379">
        <v>28</v>
      </c>
      <c r="F379" t="s">
        <v>1882</v>
      </c>
      <c r="G379">
        <v>15</v>
      </c>
      <c r="H379">
        <v>4</v>
      </c>
      <c r="I379">
        <v>4</v>
      </c>
      <c r="J379">
        <v>4</v>
      </c>
      <c r="K379">
        <v>1</v>
      </c>
      <c r="L379">
        <v>28</v>
      </c>
      <c r="M379">
        <v>7</v>
      </c>
      <c r="N379">
        <v>0</v>
      </c>
      <c r="O379">
        <v>1</v>
      </c>
      <c r="P379">
        <v>12</v>
      </c>
      <c r="Q379">
        <v>7</v>
      </c>
      <c r="R379">
        <v>0.3</v>
      </c>
      <c r="S379">
        <v>1.9</v>
      </c>
      <c r="T379">
        <v>0</v>
      </c>
    </row>
    <row r="380" spans="1:20" x14ac:dyDescent="0.2">
      <c r="A380">
        <v>379</v>
      </c>
      <c r="B380" t="s">
        <v>274</v>
      </c>
      <c r="C380" t="s">
        <v>274</v>
      </c>
      <c r="D380" t="s">
        <v>1087</v>
      </c>
      <c r="E380">
        <v>27</v>
      </c>
      <c r="F380" t="s">
        <v>1392</v>
      </c>
      <c r="G380">
        <v>8</v>
      </c>
      <c r="H380">
        <v>1</v>
      </c>
      <c r="I380">
        <v>5</v>
      </c>
      <c r="J380">
        <v>4</v>
      </c>
      <c r="K380">
        <v>0.8</v>
      </c>
      <c r="L380">
        <v>34</v>
      </c>
      <c r="M380">
        <v>8.5</v>
      </c>
      <c r="N380">
        <v>0</v>
      </c>
      <c r="O380">
        <v>2</v>
      </c>
      <c r="P380">
        <v>18</v>
      </c>
      <c r="Q380">
        <v>6.8</v>
      </c>
      <c r="R380">
        <v>0.5</v>
      </c>
      <c r="S380">
        <v>4.3</v>
      </c>
      <c r="T380">
        <v>0</v>
      </c>
    </row>
    <row r="381" spans="1:20" x14ac:dyDescent="0.2">
      <c r="A381">
        <v>380</v>
      </c>
      <c r="B381" t="s">
        <v>544</v>
      </c>
      <c r="C381" t="s">
        <v>544</v>
      </c>
      <c r="D381" t="s">
        <v>1257</v>
      </c>
      <c r="E381">
        <v>24</v>
      </c>
      <c r="F381" t="s">
        <v>1298</v>
      </c>
      <c r="G381">
        <v>7</v>
      </c>
      <c r="H381">
        <v>4</v>
      </c>
      <c r="I381">
        <v>10</v>
      </c>
      <c r="J381">
        <v>4</v>
      </c>
      <c r="K381">
        <v>0.4</v>
      </c>
      <c r="L381">
        <v>39</v>
      </c>
      <c r="M381">
        <v>9.8000000000000007</v>
      </c>
      <c r="N381">
        <v>0</v>
      </c>
      <c r="O381">
        <v>3</v>
      </c>
      <c r="P381">
        <v>19</v>
      </c>
      <c r="Q381">
        <v>3.9</v>
      </c>
      <c r="R381">
        <v>0.6</v>
      </c>
      <c r="S381">
        <v>5.6</v>
      </c>
      <c r="T381">
        <v>0</v>
      </c>
    </row>
    <row r="382" spans="1:20" x14ac:dyDescent="0.2">
      <c r="A382">
        <v>381</v>
      </c>
      <c r="B382" t="s">
        <v>530</v>
      </c>
      <c r="C382" t="s">
        <v>530</v>
      </c>
      <c r="D382" t="s">
        <v>71</v>
      </c>
      <c r="E382">
        <v>24</v>
      </c>
      <c r="G382">
        <v>4</v>
      </c>
      <c r="H382">
        <v>0</v>
      </c>
      <c r="I382">
        <v>6</v>
      </c>
      <c r="J382">
        <v>4</v>
      </c>
      <c r="K382">
        <v>0.66700000000000004</v>
      </c>
      <c r="L382">
        <v>16</v>
      </c>
      <c r="M382">
        <v>4</v>
      </c>
      <c r="N382">
        <v>0</v>
      </c>
      <c r="O382">
        <v>1</v>
      </c>
      <c r="P382">
        <v>13</v>
      </c>
      <c r="Q382">
        <v>2.7</v>
      </c>
      <c r="R382">
        <v>1</v>
      </c>
      <c r="S382">
        <v>4</v>
      </c>
      <c r="T382">
        <v>0</v>
      </c>
    </row>
    <row r="383" spans="1:20" x14ac:dyDescent="0.2">
      <c r="A383">
        <v>382</v>
      </c>
      <c r="B383" t="s">
        <v>2139</v>
      </c>
      <c r="C383" t="s">
        <v>2139</v>
      </c>
      <c r="D383" t="s">
        <v>730</v>
      </c>
      <c r="E383">
        <v>26</v>
      </c>
      <c r="F383" t="s">
        <v>1577</v>
      </c>
      <c r="G383">
        <v>16</v>
      </c>
      <c r="H383">
        <v>1</v>
      </c>
      <c r="I383">
        <v>4</v>
      </c>
      <c r="J383">
        <v>4</v>
      </c>
      <c r="K383">
        <v>1</v>
      </c>
      <c r="L383">
        <v>53</v>
      </c>
      <c r="M383">
        <v>13.3</v>
      </c>
      <c r="N383">
        <v>0</v>
      </c>
      <c r="O383">
        <v>1</v>
      </c>
      <c r="P383">
        <v>34</v>
      </c>
      <c r="Q383">
        <v>13.3</v>
      </c>
      <c r="R383">
        <v>0.3</v>
      </c>
      <c r="S383">
        <v>3.3</v>
      </c>
      <c r="T383">
        <v>0</v>
      </c>
    </row>
    <row r="384" spans="1:20" x14ac:dyDescent="0.2">
      <c r="A384">
        <v>383</v>
      </c>
      <c r="B384" t="s">
        <v>552</v>
      </c>
      <c r="C384" t="s">
        <v>552</v>
      </c>
      <c r="D384" t="s">
        <v>1726</v>
      </c>
      <c r="E384">
        <v>25</v>
      </c>
      <c r="G384">
        <v>7</v>
      </c>
      <c r="H384">
        <v>1</v>
      </c>
      <c r="I384">
        <v>6</v>
      </c>
      <c r="J384">
        <v>4</v>
      </c>
      <c r="K384">
        <v>0.66700000000000004</v>
      </c>
      <c r="L384">
        <v>76</v>
      </c>
      <c r="M384">
        <v>19</v>
      </c>
      <c r="N384">
        <v>1</v>
      </c>
      <c r="O384">
        <v>3</v>
      </c>
      <c r="P384">
        <v>33</v>
      </c>
      <c r="Q384">
        <v>12.7</v>
      </c>
      <c r="R384">
        <v>0.6</v>
      </c>
      <c r="S384">
        <v>10.9</v>
      </c>
      <c r="T384">
        <v>1</v>
      </c>
    </row>
    <row r="385" spans="1:20" x14ac:dyDescent="0.2">
      <c r="A385">
        <v>384</v>
      </c>
      <c r="B385" t="s">
        <v>562</v>
      </c>
      <c r="C385" t="s">
        <v>562</v>
      </c>
      <c r="D385" t="s">
        <v>92</v>
      </c>
      <c r="E385">
        <v>25</v>
      </c>
      <c r="G385">
        <v>5</v>
      </c>
      <c r="H385">
        <v>0</v>
      </c>
      <c r="I385">
        <v>10</v>
      </c>
      <c r="J385">
        <v>4</v>
      </c>
      <c r="K385">
        <v>0.4</v>
      </c>
      <c r="L385">
        <v>63</v>
      </c>
      <c r="M385">
        <v>15.8</v>
      </c>
      <c r="N385">
        <v>0</v>
      </c>
      <c r="O385">
        <v>2</v>
      </c>
      <c r="P385">
        <v>29</v>
      </c>
      <c r="Q385">
        <v>6.3</v>
      </c>
      <c r="R385">
        <v>0.8</v>
      </c>
      <c r="S385">
        <v>12.6</v>
      </c>
      <c r="T385">
        <v>1</v>
      </c>
    </row>
    <row r="386" spans="1:20" x14ac:dyDescent="0.2">
      <c r="A386">
        <v>385</v>
      </c>
      <c r="B386" t="s">
        <v>2140</v>
      </c>
      <c r="C386" t="s">
        <v>2140</v>
      </c>
      <c r="D386" t="s">
        <v>727</v>
      </c>
      <c r="E386">
        <v>24</v>
      </c>
      <c r="F386" t="s">
        <v>1298</v>
      </c>
      <c r="G386">
        <v>5</v>
      </c>
      <c r="H386">
        <v>1</v>
      </c>
      <c r="I386">
        <v>4</v>
      </c>
      <c r="J386">
        <v>4</v>
      </c>
      <c r="K386">
        <v>1</v>
      </c>
      <c r="L386">
        <v>39</v>
      </c>
      <c r="M386">
        <v>9.8000000000000007</v>
      </c>
      <c r="N386">
        <v>0</v>
      </c>
      <c r="O386">
        <v>3</v>
      </c>
      <c r="P386">
        <v>18</v>
      </c>
      <c r="Q386">
        <v>9.8000000000000007</v>
      </c>
      <c r="R386">
        <v>0.8</v>
      </c>
      <c r="S386">
        <v>7.8</v>
      </c>
      <c r="T386">
        <v>0</v>
      </c>
    </row>
    <row r="387" spans="1:20" x14ac:dyDescent="0.2">
      <c r="A387">
        <v>386</v>
      </c>
      <c r="B387" t="s">
        <v>2069</v>
      </c>
      <c r="C387" t="s">
        <v>536</v>
      </c>
      <c r="D387" t="s">
        <v>98</v>
      </c>
      <c r="E387">
        <v>32</v>
      </c>
      <c r="G387">
        <v>15</v>
      </c>
      <c r="H387">
        <v>0</v>
      </c>
      <c r="I387">
        <v>5</v>
      </c>
      <c r="J387">
        <v>4</v>
      </c>
      <c r="K387">
        <v>0.8</v>
      </c>
      <c r="L387">
        <v>34</v>
      </c>
      <c r="M387">
        <v>8.5</v>
      </c>
      <c r="N387">
        <v>0</v>
      </c>
      <c r="O387">
        <v>2</v>
      </c>
      <c r="P387">
        <v>16</v>
      </c>
      <c r="Q387">
        <v>6.8</v>
      </c>
      <c r="R387">
        <v>0.3</v>
      </c>
      <c r="S387">
        <v>2.2999999999999998</v>
      </c>
      <c r="T387">
        <v>3</v>
      </c>
    </row>
    <row r="388" spans="1:20" x14ac:dyDescent="0.2">
      <c r="A388">
        <v>387</v>
      </c>
      <c r="B388" t="s">
        <v>2141</v>
      </c>
      <c r="C388" t="s">
        <v>2141</v>
      </c>
      <c r="D388" t="s">
        <v>70</v>
      </c>
      <c r="E388">
        <v>29</v>
      </c>
      <c r="G388">
        <v>7</v>
      </c>
      <c r="H388">
        <v>1</v>
      </c>
      <c r="I388">
        <v>6</v>
      </c>
      <c r="J388">
        <v>4</v>
      </c>
      <c r="K388">
        <v>0.66700000000000004</v>
      </c>
      <c r="L388">
        <v>31</v>
      </c>
      <c r="M388">
        <v>7.8</v>
      </c>
      <c r="N388">
        <v>0</v>
      </c>
      <c r="O388">
        <v>2</v>
      </c>
      <c r="P388">
        <v>12</v>
      </c>
      <c r="Q388">
        <v>5.2</v>
      </c>
      <c r="R388">
        <v>0.6</v>
      </c>
      <c r="S388">
        <v>4.4000000000000004</v>
      </c>
      <c r="T388">
        <v>0</v>
      </c>
    </row>
    <row r="389" spans="1:20" x14ac:dyDescent="0.2">
      <c r="A389">
        <v>388</v>
      </c>
      <c r="B389" t="s">
        <v>620</v>
      </c>
      <c r="C389" t="s">
        <v>620</v>
      </c>
      <c r="D389" t="s">
        <v>98</v>
      </c>
      <c r="E389">
        <v>33</v>
      </c>
      <c r="F389" t="s">
        <v>1577</v>
      </c>
      <c r="G389">
        <v>10</v>
      </c>
      <c r="H389">
        <v>2</v>
      </c>
      <c r="I389">
        <v>6</v>
      </c>
      <c r="J389">
        <v>4</v>
      </c>
      <c r="K389">
        <v>0.66700000000000004</v>
      </c>
      <c r="L389">
        <v>35</v>
      </c>
      <c r="M389">
        <v>8.8000000000000007</v>
      </c>
      <c r="N389">
        <v>2</v>
      </c>
      <c r="O389">
        <v>3</v>
      </c>
      <c r="P389">
        <v>27</v>
      </c>
      <c r="Q389">
        <v>5.8</v>
      </c>
      <c r="R389">
        <v>0.4</v>
      </c>
      <c r="S389">
        <v>3.5</v>
      </c>
      <c r="T389">
        <v>0</v>
      </c>
    </row>
    <row r="390" spans="1:20" x14ac:dyDescent="0.2">
      <c r="A390">
        <v>389</v>
      </c>
      <c r="B390" t="s">
        <v>465</v>
      </c>
      <c r="C390" t="s">
        <v>465</v>
      </c>
      <c r="D390" t="s">
        <v>139</v>
      </c>
      <c r="E390">
        <v>26</v>
      </c>
      <c r="G390">
        <v>5</v>
      </c>
      <c r="H390">
        <v>0</v>
      </c>
      <c r="I390">
        <v>4</v>
      </c>
      <c r="J390">
        <v>4</v>
      </c>
      <c r="K390">
        <v>1</v>
      </c>
      <c r="L390">
        <v>21</v>
      </c>
      <c r="M390">
        <v>5.3</v>
      </c>
      <c r="N390">
        <v>0</v>
      </c>
      <c r="O390">
        <v>2</v>
      </c>
      <c r="P390">
        <v>10</v>
      </c>
      <c r="Q390">
        <v>5.3</v>
      </c>
      <c r="R390">
        <v>0.8</v>
      </c>
      <c r="S390">
        <v>4.2</v>
      </c>
      <c r="T390">
        <v>1</v>
      </c>
    </row>
    <row r="391" spans="1:20" x14ac:dyDescent="0.2">
      <c r="A391">
        <v>390</v>
      </c>
      <c r="B391" t="s">
        <v>2142</v>
      </c>
      <c r="C391" t="s">
        <v>2142</v>
      </c>
      <c r="D391" t="s">
        <v>102</v>
      </c>
      <c r="E391">
        <v>23</v>
      </c>
      <c r="G391">
        <v>2</v>
      </c>
      <c r="H391">
        <v>0</v>
      </c>
      <c r="I391">
        <v>4</v>
      </c>
      <c r="J391">
        <v>3</v>
      </c>
      <c r="K391">
        <v>0.75</v>
      </c>
      <c r="L391">
        <v>19</v>
      </c>
      <c r="M391">
        <v>6.3</v>
      </c>
      <c r="N391">
        <v>0</v>
      </c>
      <c r="O391">
        <v>1</v>
      </c>
      <c r="P391">
        <v>10</v>
      </c>
      <c r="Q391">
        <v>4.8</v>
      </c>
      <c r="R391">
        <v>1.5</v>
      </c>
      <c r="S391">
        <v>9.5</v>
      </c>
      <c r="T391">
        <v>0</v>
      </c>
    </row>
    <row r="392" spans="1:20" x14ac:dyDescent="0.2">
      <c r="A392">
        <v>391</v>
      </c>
      <c r="B392" t="s">
        <v>1527</v>
      </c>
      <c r="C392" t="s">
        <v>1527</v>
      </c>
      <c r="D392" t="s">
        <v>70</v>
      </c>
      <c r="E392">
        <v>26</v>
      </c>
      <c r="G392">
        <v>14</v>
      </c>
      <c r="H392">
        <v>0</v>
      </c>
      <c r="I392">
        <v>3</v>
      </c>
      <c r="J392">
        <v>3</v>
      </c>
      <c r="K392">
        <v>1</v>
      </c>
      <c r="L392">
        <v>16</v>
      </c>
      <c r="M392">
        <v>5.3</v>
      </c>
      <c r="N392">
        <v>0</v>
      </c>
      <c r="O392">
        <v>1</v>
      </c>
      <c r="P392">
        <v>19</v>
      </c>
      <c r="Q392">
        <v>5.3</v>
      </c>
      <c r="R392">
        <v>0.2</v>
      </c>
      <c r="S392">
        <v>1.1000000000000001</v>
      </c>
      <c r="T392">
        <v>0</v>
      </c>
    </row>
    <row r="393" spans="1:20" x14ac:dyDescent="0.2">
      <c r="A393">
        <v>392</v>
      </c>
      <c r="B393" t="s">
        <v>2143</v>
      </c>
      <c r="C393" t="s">
        <v>2143</v>
      </c>
      <c r="D393" t="s">
        <v>1257</v>
      </c>
      <c r="E393">
        <v>27</v>
      </c>
      <c r="G393">
        <v>6</v>
      </c>
      <c r="H393">
        <v>0</v>
      </c>
      <c r="I393">
        <v>4</v>
      </c>
      <c r="J393">
        <v>3</v>
      </c>
      <c r="K393">
        <v>0.75</v>
      </c>
      <c r="L393">
        <v>27</v>
      </c>
      <c r="M393">
        <v>9</v>
      </c>
      <c r="N393">
        <v>1</v>
      </c>
      <c r="O393">
        <v>3</v>
      </c>
      <c r="P393">
        <v>11</v>
      </c>
      <c r="Q393">
        <v>6.8</v>
      </c>
      <c r="R393">
        <v>0.5</v>
      </c>
      <c r="S393">
        <v>4.5</v>
      </c>
      <c r="T393">
        <v>0</v>
      </c>
    </row>
    <row r="394" spans="1:20" x14ac:dyDescent="0.2">
      <c r="A394">
        <v>393</v>
      </c>
      <c r="B394" t="s">
        <v>577</v>
      </c>
      <c r="C394" t="s">
        <v>577</v>
      </c>
      <c r="D394" t="s">
        <v>107</v>
      </c>
      <c r="E394">
        <v>23</v>
      </c>
      <c r="G394">
        <v>13</v>
      </c>
      <c r="H394">
        <v>0</v>
      </c>
      <c r="I394">
        <v>6</v>
      </c>
      <c r="J394">
        <v>3</v>
      </c>
      <c r="K394">
        <v>0.5</v>
      </c>
      <c r="L394">
        <v>53</v>
      </c>
      <c r="M394">
        <v>17.7</v>
      </c>
      <c r="N394">
        <v>0</v>
      </c>
      <c r="O394">
        <v>2</v>
      </c>
      <c r="P394">
        <v>34</v>
      </c>
      <c r="Q394">
        <v>8.8000000000000007</v>
      </c>
      <c r="R394">
        <v>0.2</v>
      </c>
      <c r="S394">
        <v>4.0999999999999996</v>
      </c>
      <c r="T394">
        <v>1</v>
      </c>
    </row>
    <row r="395" spans="1:20" x14ac:dyDescent="0.2">
      <c r="A395">
        <v>394</v>
      </c>
      <c r="B395" t="s">
        <v>873</v>
      </c>
      <c r="C395" t="s">
        <v>873</v>
      </c>
      <c r="D395" t="s">
        <v>727</v>
      </c>
      <c r="E395">
        <v>35</v>
      </c>
      <c r="G395">
        <v>6</v>
      </c>
      <c r="H395">
        <v>0</v>
      </c>
      <c r="I395">
        <v>6</v>
      </c>
      <c r="J395">
        <v>3</v>
      </c>
      <c r="K395">
        <v>0.5</v>
      </c>
      <c r="L395">
        <v>40</v>
      </c>
      <c r="M395">
        <v>13.3</v>
      </c>
      <c r="N395">
        <v>0</v>
      </c>
      <c r="O395">
        <v>1</v>
      </c>
      <c r="P395">
        <v>29</v>
      </c>
      <c r="Q395">
        <v>6.7</v>
      </c>
      <c r="R395">
        <v>0.5</v>
      </c>
      <c r="S395">
        <v>6.7</v>
      </c>
      <c r="T395">
        <v>1</v>
      </c>
    </row>
    <row r="396" spans="1:20" x14ac:dyDescent="0.2">
      <c r="A396">
        <v>395</v>
      </c>
      <c r="B396" t="s">
        <v>604</v>
      </c>
      <c r="C396" t="s">
        <v>604</v>
      </c>
      <c r="D396" t="s">
        <v>1052</v>
      </c>
      <c r="E396">
        <v>24</v>
      </c>
      <c r="G396">
        <v>3</v>
      </c>
      <c r="H396">
        <v>0</v>
      </c>
      <c r="I396">
        <v>6</v>
      </c>
      <c r="J396">
        <v>3</v>
      </c>
      <c r="K396">
        <v>0.5</v>
      </c>
      <c r="L396">
        <v>32</v>
      </c>
      <c r="M396">
        <v>10.7</v>
      </c>
      <c r="N396">
        <v>0</v>
      </c>
      <c r="O396">
        <v>2</v>
      </c>
      <c r="P396">
        <v>21</v>
      </c>
      <c r="Q396">
        <v>5.3</v>
      </c>
      <c r="R396">
        <v>1</v>
      </c>
      <c r="S396">
        <v>10.7</v>
      </c>
      <c r="T396">
        <v>0</v>
      </c>
    </row>
    <row r="397" spans="1:20" x14ac:dyDescent="0.2">
      <c r="A397">
        <v>396</v>
      </c>
      <c r="B397" t="s">
        <v>646</v>
      </c>
      <c r="C397" t="s">
        <v>646</v>
      </c>
      <c r="D397" t="s">
        <v>101</v>
      </c>
      <c r="E397">
        <v>25</v>
      </c>
      <c r="G397">
        <v>16</v>
      </c>
      <c r="H397">
        <v>0</v>
      </c>
      <c r="I397">
        <v>5</v>
      </c>
      <c r="J397">
        <v>3</v>
      </c>
      <c r="K397">
        <v>0.6</v>
      </c>
      <c r="L397">
        <v>25</v>
      </c>
      <c r="M397">
        <v>8.3000000000000007</v>
      </c>
      <c r="N397">
        <v>0</v>
      </c>
      <c r="O397">
        <v>1</v>
      </c>
      <c r="P397">
        <v>11</v>
      </c>
      <c r="Q397">
        <v>5</v>
      </c>
      <c r="R397">
        <v>0.2</v>
      </c>
      <c r="S397">
        <v>1.6</v>
      </c>
      <c r="T397">
        <v>0</v>
      </c>
    </row>
    <row r="398" spans="1:20" x14ac:dyDescent="0.2">
      <c r="A398">
        <v>397</v>
      </c>
      <c r="B398" t="s">
        <v>2144</v>
      </c>
      <c r="C398" t="s">
        <v>2144</v>
      </c>
      <c r="D398" t="s">
        <v>118</v>
      </c>
      <c r="E398">
        <v>32</v>
      </c>
      <c r="F398" t="s">
        <v>1577</v>
      </c>
      <c r="G398">
        <v>6</v>
      </c>
      <c r="H398">
        <v>3</v>
      </c>
      <c r="I398">
        <v>6</v>
      </c>
      <c r="J398">
        <v>3</v>
      </c>
      <c r="K398">
        <v>0.5</v>
      </c>
      <c r="L398">
        <v>50</v>
      </c>
      <c r="M398">
        <v>16.7</v>
      </c>
      <c r="N398">
        <v>1</v>
      </c>
      <c r="O398">
        <v>2</v>
      </c>
      <c r="P398">
        <v>26</v>
      </c>
      <c r="Q398">
        <v>8.3000000000000007</v>
      </c>
      <c r="R398">
        <v>0.5</v>
      </c>
      <c r="S398">
        <v>8.3000000000000007</v>
      </c>
      <c r="T398">
        <v>0</v>
      </c>
    </row>
    <row r="399" spans="1:20" x14ac:dyDescent="0.2">
      <c r="A399">
        <v>398</v>
      </c>
      <c r="B399" t="s">
        <v>2145</v>
      </c>
      <c r="C399" t="s">
        <v>2145</v>
      </c>
      <c r="D399" t="s">
        <v>976</v>
      </c>
      <c r="E399">
        <v>26</v>
      </c>
      <c r="G399">
        <v>11</v>
      </c>
      <c r="H399">
        <v>0</v>
      </c>
      <c r="I399">
        <v>7</v>
      </c>
      <c r="J399">
        <v>3</v>
      </c>
      <c r="K399">
        <v>0.42899999999999999</v>
      </c>
      <c r="L399">
        <v>41</v>
      </c>
      <c r="M399">
        <v>13.7</v>
      </c>
      <c r="N399">
        <v>0</v>
      </c>
      <c r="O399">
        <v>3</v>
      </c>
      <c r="P399">
        <v>20</v>
      </c>
      <c r="Q399">
        <v>5.9</v>
      </c>
      <c r="R399">
        <v>0.3</v>
      </c>
      <c r="S399">
        <v>3.7</v>
      </c>
      <c r="T399">
        <v>0</v>
      </c>
    </row>
    <row r="400" spans="1:20" x14ac:dyDescent="0.2">
      <c r="A400">
        <v>399</v>
      </c>
      <c r="B400" t="s">
        <v>380</v>
      </c>
      <c r="C400" t="s">
        <v>380</v>
      </c>
      <c r="D400" t="s">
        <v>1257</v>
      </c>
      <c r="E400">
        <v>22</v>
      </c>
      <c r="F400" t="s">
        <v>1298</v>
      </c>
      <c r="G400">
        <v>3</v>
      </c>
      <c r="H400">
        <v>1</v>
      </c>
      <c r="I400">
        <v>5</v>
      </c>
      <c r="J400">
        <v>3</v>
      </c>
      <c r="K400">
        <v>0.6</v>
      </c>
      <c r="L400">
        <v>46</v>
      </c>
      <c r="M400">
        <v>15.3</v>
      </c>
      <c r="N400">
        <v>1</v>
      </c>
      <c r="O400">
        <v>3</v>
      </c>
      <c r="P400">
        <v>17</v>
      </c>
      <c r="Q400">
        <v>9.1999999999999993</v>
      </c>
      <c r="R400">
        <v>1</v>
      </c>
      <c r="S400">
        <v>15.3</v>
      </c>
      <c r="T400">
        <v>0</v>
      </c>
    </row>
    <row r="401" spans="1:20" x14ac:dyDescent="0.2">
      <c r="A401">
        <v>400</v>
      </c>
      <c r="B401" t="s">
        <v>398</v>
      </c>
      <c r="C401" t="s">
        <v>398</v>
      </c>
      <c r="D401" t="s">
        <v>82</v>
      </c>
      <c r="E401">
        <v>24</v>
      </c>
      <c r="G401">
        <v>16</v>
      </c>
      <c r="H401">
        <v>0</v>
      </c>
      <c r="I401">
        <v>4</v>
      </c>
      <c r="J401">
        <v>3</v>
      </c>
      <c r="K401">
        <v>0.75</v>
      </c>
      <c r="L401">
        <v>14</v>
      </c>
      <c r="M401">
        <v>4.7</v>
      </c>
      <c r="N401">
        <v>0</v>
      </c>
      <c r="O401">
        <v>0</v>
      </c>
      <c r="P401">
        <v>5</v>
      </c>
      <c r="Q401">
        <v>3.5</v>
      </c>
      <c r="R401">
        <v>0.2</v>
      </c>
      <c r="S401">
        <v>0.9</v>
      </c>
      <c r="T401">
        <v>1</v>
      </c>
    </row>
    <row r="402" spans="1:20" x14ac:dyDescent="0.2">
      <c r="A402">
        <v>401</v>
      </c>
      <c r="B402" t="s">
        <v>656</v>
      </c>
      <c r="C402" t="s">
        <v>656</v>
      </c>
      <c r="D402" t="s">
        <v>1122</v>
      </c>
      <c r="E402">
        <v>21</v>
      </c>
      <c r="G402">
        <v>6</v>
      </c>
      <c r="H402">
        <v>0</v>
      </c>
      <c r="I402">
        <v>5</v>
      </c>
      <c r="J402">
        <v>3</v>
      </c>
      <c r="K402">
        <v>0.6</v>
      </c>
      <c r="L402">
        <v>16</v>
      </c>
      <c r="M402">
        <v>5.3</v>
      </c>
      <c r="N402">
        <v>0</v>
      </c>
      <c r="O402">
        <v>0</v>
      </c>
      <c r="P402">
        <v>8</v>
      </c>
      <c r="Q402">
        <v>3.2</v>
      </c>
      <c r="R402">
        <v>0.5</v>
      </c>
      <c r="S402">
        <v>2.7</v>
      </c>
      <c r="T402">
        <v>1</v>
      </c>
    </row>
    <row r="403" spans="1:20" x14ac:dyDescent="0.2">
      <c r="A403">
        <v>402</v>
      </c>
      <c r="B403" t="s">
        <v>352</v>
      </c>
      <c r="C403" t="s">
        <v>352</v>
      </c>
      <c r="D403" t="s">
        <v>107</v>
      </c>
      <c r="E403">
        <v>24</v>
      </c>
      <c r="F403" t="s">
        <v>1392</v>
      </c>
      <c r="G403">
        <v>1</v>
      </c>
      <c r="H403">
        <v>1</v>
      </c>
      <c r="I403">
        <v>3</v>
      </c>
      <c r="J403">
        <v>3</v>
      </c>
      <c r="K403">
        <v>1</v>
      </c>
      <c r="L403">
        <v>30</v>
      </c>
      <c r="M403">
        <v>10</v>
      </c>
      <c r="N403">
        <v>0</v>
      </c>
      <c r="O403">
        <v>1</v>
      </c>
      <c r="P403">
        <v>19</v>
      </c>
      <c r="Q403">
        <v>10</v>
      </c>
      <c r="R403">
        <v>3</v>
      </c>
      <c r="S403">
        <v>30</v>
      </c>
      <c r="T403">
        <v>0</v>
      </c>
    </row>
    <row r="404" spans="1:20" x14ac:dyDescent="0.2">
      <c r="A404">
        <v>403</v>
      </c>
      <c r="B404" t="s">
        <v>411</v>
      </c>
      <c r="C404" t="s">
        <v>411</v>
      </c>
      <c r="D404" t="s">
        <v>1257</v>
      </c>
      <c r="E404">
        <v>27</v>
      </c>
      <c r="F404" t="s">
        <v>1392</v>
      </c>
      <c r="G404">
        <v>6</v>
      </c>
      <c r="H404">
        <v>1</v>
      </c>
      <c r="I404">
        <v>6</v>
      </c>
      <c r="J404">
        <v>3</v>
      </c>
      <c r="K404">
        <v>0.5</v>
      </c>
      <c r="L404">
        <v>27</v>
      </c>
      <c r="M404">
        <v>9</v>
      </c>
      <c r="N404">
        <v>0</v>
      </c>
      <c r="O404">
        <v>1</v>
      </c>
      <c r="P404">
        <v>17</v>
      </c>
      <c r="Q404">
        <v>4.5</v>
      </c>
      <c r="R404">
        <v>0.5</v>
      </c>
      <c r="S404">
        <v>4.5</v>
      </c>
      <c r="T404">
        <v>0</v>
      </c>
    </row>
    <row r="405" spans="1:20" x14ac:dyDescent="0.2">
      <c r="A405">
        <v>404</v>
      </c>
      <c r="B405" t="s">
        <v>579</v>
      </c>
      <c r="C405" t="s">
        <v>579</v>
      </c>
      <c r="D405" t="s">
        <v>92</v>
      </c>
      <c r="E405">
        <v>32</v>
      </c>
      <c r="G405">
        <v>9</v>
      </c>
      <c r="H405">
        <v>0</v>
      </c>
      <c r="I405">
        <v>4</v>
      </c>
      <c r="J405">
        <v>3</v>
      </c>
      <c r="K405">
        <v>0.75</v>
      </c>
      <c r="L405">
        <v>19</v>
      </c>
      <c r="M405">
        <v>6.3</v>
      </c>
      <c r="N405">
        <v>1</v>
      </c>
      <c r="O405">
        <v>2</v>
      </c>
      <c r="P405">
        <v>9</v>
      </c>
      <c r="Q405">
        <v>4.8</v>
      </c>
      <c r="R405">
        <v>0.3</v>
      </c>
      <c r="S405">
        <v>2.1</v>
      </c>
      <c r="T405">
        <v>0</v>
      </c>
    </row>
    <row r="406" spans="1:20" x14ac:dyDescent="0.2">
      <c r="A406">
        <v>405</v>
      </c>
      <c r="B406" t="s">
        <v>639</v>
      </c>
      <c r="C406" t="s">
        <v>639</v>
      </c>
      <c r="D406" t="s">
        <v>1052</v>
      </c>
      <c r="E406">
        <v>26</v>
      </c>
      <c r="G406">
        <v>8</v>
      </c>
      <c r="H406">
        <v>4</v>
      </c>
      <c r="I406">
        <v>4</v>
      </c>
      <c r="J406">
        <v>3</v>
      </c>
      <c r="K406">
        <v>0.75</v>
      </c>
      <c r="L406">
        <v>16</v>
      </c>
      <c r="M406">
        <v>5.3</v>
      </c>
      <c r="N406">
        <v>0</v>
      </c>
      <c r="O406">
        <v>0</v>
      </c>
      <c r="P406">
        <v>9</v>
      </c>
      <c r="Q406">
        <v>4</v>
      </c>
      <c r="R406">
        <v>0.4</v>
      </c>
      <c r="S406">
        <v>2</v>
      </c>
      <c r="T406">
        <v>0</v>
      </c>
    </row>
    <row r="407" spans="1:20" x14ac:dyDescent="0.2">
      <c r="A407">
        <v>406</v>
      </c>
      <c r="B407" t="s">
        <v>422</v>
      </c>
      <c r="C407" t="s">
        <v>422</v>
      </c>
      <c r="D407" t="s">
        <v>93</v>
      </c>
      <c r="E407">
        <v>28</v>
      </c>
      <c r="G407">
        <v>11</v>
      </c>
      <c r="H407">
        <v>0</v>
      </c>
      <c r="I407">
        <v>6</v>
      </c>
      <c r="J407">
        <v>3</v>
      </c>
      <c r="K407">
        <v>0.5</v>
      </c>
      <c r="L407">
        <v>26</v>
      </c>
      <c r="M407">
        <v>8.6999999999999993</v>
      </c>
      <c r="N407">
        <v>0</v>
      </c>
      <c r="O407">
        <v>1</v>
      </c>
      <c r="P407">
        <v>10</v>
      </c>
      <c r="Q407">
        <v>4.3</v>
      </c>
      <c r="R407">
        <v>0.3</v>
      </c>
      <c r="S407">
        <v>2.4</v>
      </c>
      <c r="T407">
        <v>2</v>
      </c>
    </row>
    <row r="408" spans="1:20" x14ac:dyDescent="0.2">
      <c r="A408">
        <v>407</v>
      </c>
      <c r="B408" t="s">
        <v>242</v>
      </c>
      <c r="C408" t="s">
        <v>242</v>
      </c>
      <c r="D408" t="s">
        <v>93</v>
      </c>
      <c r="E408">
        <v>25</v>
      </c>
      <c r="F408" t="s">
        <v>1298</v>
      </c>
      <c r="G408">
        <v>1</v>
      </c>
      <c r="H408">
        <v>1</v>
      </c>
      <c r="I408">
        <v>6</v>
      </c>
      <c r="J408">
        <v>3</v>
      </c>
      <c r="K408">
        <v>0.5</v>
      </c>
      <c r="L408">
        <v>66</v>
      </c>
      <c r="M408">
        <v>22</v>
      </c>
      <c r="N408">
        <v>0</v>
      </c>
      <c r="O408">
        <v>2</v>
      </c>
      <c r="P408">
        <v>45</v>
      </c>
      <c r="Q408">
        <v>11</v>
      </c>
      <c r="R408">
        <v>3</v>
      </c>
      <c r="S408">
        <v>66</v>
      </c>
      <c r="T408">
        <v>0</v>
      </c>
    </row>
    <row r="409" spans="1:20" x14ac:dyDescent="0.2">
      <c r="A409">
        <v>408</v>
      </c>
      <c r="B409" t="s">
        <v>644</v>
      </c>
      <c r="C409" t="s">
        <v>644</v>
      </c>
      <c r="D409" t="s">
        <v>122</v>
      </c>
      <c r="E409">
        <v>23</v>
      </c>
      <c r="G409">
        <v>7</v>
      </c>
      <c r="H409">
        <v>0</v>
      </c>
      <c r="I409">
        <v>7</v>
      </c>
      <c r="J409">
        <v>3</v>
      </c>
      <c r="K409">
        <v>0.42899999999999999</v>
      </c>
      <c r="L409">
        <v>35</v>
      </c>
      <c r="M409">
        <v>11.7</v>
      </c>
      <c r="N409">
        <v>0</v>
      </c>
      <c r="O409">
        <v>2</v>
      </c>
      <c r="P409">
        <v>23</v>
      </c>
      <c r="Q409">
        <v>5</v>
      </c>
      <c r="R409">
        <v>0.4</v>
      </c>
      <c r="S409">
        <v>5</v>
      </c>
      <c r="T409">
        <v>0</v>
      </c>
    </row>
    <row r="410" spans="1:20" x14ac:dyDescent="0.2">
      <c r="A410">
        <v>409</v>
      </c>
      <c r="B410" t="s">
        <v>503</v>
      </c>
      <c r="C410" t="s">
        <v>503</v>
      </c>
      <c r="D410" t="s">
        <v>77</v>
      </c>
      <c r="E410">
        <v>23</v>
      </c>
      <c r="F410" t="s">
        <v>1298</v>
      </c>
      <c r="G410">
        <v>14</v>
      </c>
      <c r="H410">
        <v>1</v>
      </c>
      <c r="I410">
        <v>8</v>
      </c>
      <c r="J410">
        <v>3</v>
      </c>
      <c r="K410">
        <v>0.375</v>
      </c>
      <c r="L410">
        <v>33</v>
      </c>
      <c r="M410">
        <v>11</v>
      </c>
      <c r="N410">
        <v>0</v>
      </c>
      <c r="O410">
        <v>3</v>
      </c>
      <c r="P410">
        <v>19</v>
      </c>
      <c r="Q410">
        <v>4.0999999999999996</v>
      </c>
      <c r="R410">
        <v>0.2</v>
      </c>
      <c r="S410">
        <v>2.4</v>
      </c>
      <c r="T410">
        <v>0</v>
      </c>
    </row>
    <row r="411" spans="1:20" x14ac:dyDescent="0.2">
      <c r="A411">
        <v>410</v>
      </c>
      <c r="B411" t="s">
        <v>655</v>
      </c>
      <c r="C411" t="s">
        <v>655</v>
      </c>
      <c r="D411" t="s">
        <v>1087</v>
      </c>
      <c r="E411">
        <v>23</v>
      </c>
      <c r="G411">
        <v>14</v>
      </c>
      <c r="H411">
        <v>0</v>
      </c>
      <c r="I411">
        <v>4</v>
      </c>
      <c r="J411">
        <v>3</v>
      </c>
      <c r="K411">
        <v>0.75</v>
      </c>
      <c r="L411">
        <v>36</v>
      </c>
      <c r="M411">
        <v>12</v>
      </c>
      <c r="N411">
        <v>0</v>
      </c>
      <c r="O411">
        <v>2</v>
      </c>
      <c r="P411">
        <v>18</v>
      </c>
      <c r="Q411">
        <v>9</v>
      </c>
      <c r="R411">
        <v>0.2</v>
      </c>
      <c r="S411">
        <v>2.6</v>
      </c>
      <c r="T411">
        <v>0</v>
      </c>
    </row>
    <row r="412" spans="1:20" x14ac:dyDescent="0.2">
      <c r="A412">
        <v>411</v>
      </c>
      <c r="B412" t="s">
        <v>495</v>
      </c>
      <c r="C412" t="s">
        <v>495</v>
      </c>
      <c r="D412" t="s">
        <v>70</v>
      </c>
      <c r="E412">
        <v>27</v>
      </c>
      <c r="F412" t="s">
        <v>1298</v>
      </c>
      <c r="G412">
        <v>16</v>
      </c>
      <c r="H412">
        <v>2</v>
      </c>
      <c r="I412">
        <v>4</v>
      </c>
      <c r="J412">
        <v>3</v>
      </c>
      <c r="K412">
        <v>0.75</v>
      </c>
      <c r="L412">
        <v>35</v>
      </c>
      <c r="M412">
        <v>11.7</v>
      </c>
      <c r="N412">
        <v>0</v>
      </c>
      <c r="O412">
        <v>3</v>
      </c>
      <c r="P412">
        <v>28</v>
      </c>
      <c r="Q412">
        <v>8.8000000000000007</v>
      </c>
      <c r="R412">
        <v>0.2</v>
      </c>
      <c r="S412">
        <v>2.2000000000000002</v>
      </c>
      <c r="T412">
        <v>0</v>
      </c>
    </row>
    <row r="413" spans="1:20" x14ac:dyDescent="0.2">
      <c r="A413">
        <v>412</v>
      </c>
      <c r="B413" t="s">
        <v>633</v>
      </c>
      <c r="C413" t="s">
        <v>633</v>
      </c>
      <c r="D413" t="s">
        <v>1122</v>
      </c>
      <c r="E413">
        <v>23</v>
      </c>
      <c r="F413" t="s">
        <v>1577</v>
      </c>
      <c r="G413">
        <v>9</v>
      </c>
      <c r="H413">
        <v>3</v>
      </c>
      <c r="I413">
        <v>7</v>
      </c>
      <c r="J413">
        <v>2</v>
      </c>
      <c r="K413">
        <v>0.28599999999999998</v>
      </c>
      <c r="L413">
        <v>39</v>
      </c>
      <c r="M413">
        <v>19.5</v>
      </c>
      <c r="N413">
        <v>1</v>
      </c>
      <c r="O413">
        <v>2</v>
      </c>
      <c r="P413">
        <v>26</v>
      </c>
      <c r="Q413">
        <v>5.6</v>
      </c>
      <c r="R413">
        <v>0.2</v>
      </c>
      <c r="S413">
        <v>4.3</v>
      </c>
      <c r="T413">
        <v>0</v>
      </c>
    </row>
    <row r="414" spans="1:20" x14ac:dyDescent="0.2">
      <c r="A414">
        <v>413</v>
      </c>
      <c r="B414" t="s">
        <v>607</v>
      </c>
      <c r="C414" t="s">
        <v>607</v>
      </c>
      <c r="D414" t="s">
        <v>70</v>
      </c>
      <c r="E414">
        <v>24</v>
      </c>
      <c r="G414">
        <v>2</v>
      </c>
      <c r="H414">
        <v>0</v>
      </c>
      <c r="I414">
        <v>2</v>
      </c>
      <c r="J414">
        <v>2</v>
      </c>
      <c r="K414">
        <v>1</v>
      </c>
      <c r="L414">
        <v>18</v>
      </c>
      <c r="M414">
        <v>9</v>
      </c>
      <c r="N414">
        <v>1</v>
      </c>
      <c r="O414">
        <v>2</v>
      </c>
      <c r="P414">
        <v>15</v>
      </c>
      <c r="Q414">
        <v>9</v>
      </c>
      <c r="R414">
        <v>1</v>
      </c>
      <c r="S414">
        <v>9</v>
      </c>
      <c r="T414">
        <v>0</v>
      </c>
    </row>
    <row r="415" spans="1:20" x14ac:dyDescent="0.2">
      <c r="A415">
        <v>414</v>
      </c>
      <c r="B415" t="s">
        <v>407</v>
      </c>
      <c r="C415" t="s">
        <v>407</v>
      </c>
      <c r="D415" t="s">
        <v>73</v>
      </c>
      <c r="E415">
        <v>25</v>
      </c>
      <c r="G415">
        <v>16</v>
      </c>
      <c r="H415">
        <v>0</v>
      </c>
      <c r="I415">
        <v>2</v>
      </c>
      <c r="J415">
        <v>2</v>
      </c>
      <c r="K415">
        <v>1</v>
      </c>
      <c r="L415">
        <v>10</v>
      </c>
      <c r="M415">
        <v>5</v>
      </c>
      <c r="N415">
        <v>0</v>
      </c>
      <c r="O415">
        <v>0</v>
      </c>
      <c r="P415">
        <v>6</v>
      </c>
      <c r="Q415">
        <v>5</v>
      </c>
      <c r="R415">
        <v>0.1</v>
      </c>
      <c r="S415">
        <v>0.6</v>
      </c>
      <c r="T415">
        <v>0</v>
      </c>
    </row>
    <row r="416" spans="1:20" x14ac:dyDescent="0.2">
      <c r="A416">
        <v>415</v>
      </c>
      <c r="B416" t="s">
        <v>676</v>
      </c>
      <c r="C416" t="s">
        <v>676</v>
      </c>
      <c r="D416" t="s">
        <v>71</v>
      </c>
      <c r="E416">
        <v>28</v>
      </c>
      <c r="F416" t="s">
        <v>1577</v>
      </c>
      <c r="G416">
        <v>16</v>
      </c>
      <c r="H416">
        <v>1</v>
      </c>
      <c r="I416">
        <v>2</v>
      </c>
      <c r="J416">
        <v>2</v>
      </c>
      <c r="K416">
        <v>1</v>
      </c>
      <c r="L416">
        <v>31</v>
      </c>
      <c r="M416">
        <v>15.5</v>
      </c>
      <c r="N416">
        <v>0</v>
      </c>
      <c r="O416">
        <v>2</v>
      </c>
      <c r="P416">
        <v>18</v>
      </c>
      <c r="Q416">
        <v>15.5</v>
      </c>
      <c r="R416">
        <v>0.1</v>
      </c>
      <c r="S416">
        <v>1.9</v>
      </c>
      <c r="T416">
        <v>0</v>
      </c>
    </row>
    <row r="417" spans="1:20" x14ac:dyDescent="0.2">
      <c r="A417">
        <v>416</v>
      </c>
      <c r="B417" t="s">
        <v>2146</v>
      </c>
      <c r="C417" t="s">
        <v>2146</v>
      </c>
      <c r="D417" t="s">
        <v>93</v>
      </c>
      <c r="E417">
        <v>25</v>
      </c>
      <c r="G417">
        <v>5</v>
      </c>
      <c r="H417">
        <v>1</v>
      </c>
      <c r="I417">
        <v>4</v>
      </c>
      <c r="J417">
        <v>2</v>
      </c>
      <c r="K417">
        <v>0.5</v>
      </c>
      <c r="L417">
        <v>5</v>
      </c>
      <c r="M417">
        <v>2.5</v>
      </c>
      <c r="N417">
        <v>0</v>
      </c>
      <c r="O417">
        <v>0</v>
      </c>
      <c r="P417">
        <v>5</v>
      </c>
      <c r="Q417">
        <v>1.3</v>
      </c>
      <c r="R417">
        <v>0.4</v>
      </c>
      <c r="S417">
        <v>1</v>
      </c>
      <c r="T417">
        <v>0</v>
      </c>
    </row>
    <row r="418" spans="1:20" x14ac:dyDescent="0.2">
      <c r="A418">
        <v>417</v>
      </c>
      <c r="B418" t="s">
        <v>2005</v>
      </c>
      <c r="C418" t="s">
        <v>2005</v>
      </c>
      <c r="D418" t="s">
        <v>139</v>
      </c>
      <c r="E418">
        <v>24</v>
      </c>
      <c r="F418" t="s">
        <v>2006</v>
      </c>
      <c r="G418">
        <v>16</v>
      </c>
      <c r="H418">
        <v>2</v>
      </c>
      <c r="I418">
        <v>3</v>
      </c>
      <c r="J418">
        <v>2</v>
      </c>
      <c r="K418">
        <v>0.66700000000000004</v>
      </c>
      <c r="L418">
        <v>8</v>
      </c>
      <c r="M418">
        <v>4</v>
      </c>
      <c r="N418">
        <v>0</v>
      </c>
      <c r="O418">
        <v>1</v>
      </c>
      <c r="P418">
        <v>4</v>
      </c>
      <c r="Q418">
        <v>2.7</v>
      </c>
      <c r="R418">
        <v>0.1</v>
      </c>
      <c r="S418">
        <v>0.5</v>
      </c>
      <c r="T418">
        <v>0</v>
      </c>
    </row>
    <row r="419" spans="1:20" x14ac:dyDescent="0.2">
      <c r="A419">
        <v>418</v>
      </c>
      <c r="B419" t="s">
        <v>442</v>
      </c>
      <c r="C419" t="s">
        <v>442</v>
      </c>
      <c r="D419" t="s">
        <v>71</v>
      </c>
      <c r="E419">
        <v>23</v>
      </c>
      <c r="F419" t="s">
        <v>1298</v>
      </c>
      <c r="G419">
        <v>2</v>
      </c>
      <c r="H419">
        <v>1</v>
      </c>
      <c r="I419">
        <v>6</v>
      </c>
      <c r="J419">
        <v>2</v>
      </c>
      <c r="K419">
        <v>0.33300000000000002</v>
      </c>
      <c r="L419">
        <v>35</v>
      </c>
      <c r="M419">
        <v>17.5</v>
      </c>
      <c r="N419">
        <v>0</v>
      </c>
      <c r="O419">
        <v>2</v>
      </c>
      <c r="P419">
        <v>19</v>
      </c>
      <c r="Q419">
        <v>5.8</v>
      </c>
      <c r="R419">
        <v>1</v>
      </c>
      <c r="S419">
        <v>17.5</v>
      </c>
      <c r="T419">
        <v>0</v>
      </c>
    </row>
    <row r="420" spans="1:20" x14ac:dyDescent="0.2">
      <c r="A420">
        <v>419</v>
      </c>
      <c r="B420" t="s">
        <v>600</v>
      </c>
      <c r="C420" t="s">
        <v>600</v>
      </c>
      <c r="D420" t="s">
        <v>142</v>
      </c>
      <c r="E420">
        <v>23</v>
      </c>
      <c r="F420" t="s">
        <v>1298</v>
      </c>
      <c r="G420">
        <v>5</v>
      </c>
      <c r="H420">
        <v>1</v>
      </c>
      <c r="I420">
        <v>4</v>
      </c>
      <c r="J420">
        <v>2</v>
      </c>
      <c r="K420">
        <v>0.5</v>
      </c>
      <c r="L420">
        <v>20</v>
      </c>
      <c r="M420">
        <v>10</v>
      </c>
      <c r="N420">
        <v>0</v>
      </c>
      <c r="O420">
        <v>1</v>
      </c>
      <c r="P420">
        <v>13</v>
      </c>
      <c r="Q420">
        <v>5</v>
      </c>
      <c r="R420">
        <v>0.4</v>
      </c>
      <c r="S420">
        <v>4</v>
      </c>
      <c r="T420">
        <v>0</v>
      </c>
    </row>
    <row r="421" spans="1:20" x14ac:dyDescent="0.2">
      <c r="A421">
        <v>420</v>
      </c>
      <c r="B421" t="s">
        <v>2147</v>
      </c>
      <c r="C421" t="s">
        <v>2147</v>
      </c>
      <c r="D421" t="s">
        <v>142</v>
      </c>
      <c r="E421">
        <v>24</v>
      </c>
      <c r="G421">
        <v>8</v>
      </c>
      <c r="H421">
        <v>3</v>
      </c>
      <c r="I421">
        <v>2</v>
      </c>
      <c r="J421">
        <v>2</v>
      </c>
      <c r="K421">
        <v>1</v>
      </c>
      <c r="L421">
        <v>9</v>
      </c>
      <c r="M421">
        <v>4.5</v>
      </c>
      <c r="N421">
        <v>0</v>
      </c>
      <c r="O421">
        <v>1</v>
      </c>
      <c r="P421">
        <v>6</v>
      </c>
      <c r="Q421">
        <v>4.5</v>
      </c>
      <c r="R421">
        <v>0.3</v>
      </c>
      <c r="S421">
        <v>1.1000000000000001</v>
      </c>
      <c r="T421">
        <v>0</v>
      </c>
    </row>
    <row r="422" spans="1:20" x14ac:dyDescent="0.2">
      <c r="A422">
        <v>421</v>
      </c>
      <c r="B422" t="s">
        <v>641</v>
      </c>
      <c r="C422" t="s">
        <v>641</v>
      </c>
      <c r="D422" t="s">
        <v>1267</v>
      </c>
      <c r="E422">
        <v>23</v>
      </c>
      <c r="F422" t="s">
        <v>1577</v>
      </c>
      <c r="G422">
        <v>5</v>
      </c>
      <c r="H422">
        <v>2</v>
      </c>
      <c r="I422">
        <v>2</v>
      </c>
      <c r="J422">
        <v>2</v>
      </c>
      <c r="K422">
        <v>1</v>
      </c>
      <c r="L422">
        <v>26</v>
      </c>
      <c r="M422">
        <v>13</v>
      </c>
      <c r="N422">
        <v>1</v>
      </c>
      <c r="O422">
        <v>2</v>
      </c>
      <c r="P422">
        <v>13</v>
      </c>
      <c r="Q422">
        <v>13</v>
      </c>
      <c r="R422">
        <v>0.4</v>
      </c>
      <c r="S422">
        <v>5.2</v>
      </c>
      <c r="T422">
        <v>0</v>
      </c>
    </row>
    <row r="423" spans="1:20" x14ac:dyDescent="0.2">
      <c r="A423">
        <v>422</v>
      </c>
      <c r="B423" t="s">
        <v>315</v>
      </c>
      <c r="C423" t="s">
        <v>315</v>
      </c>
      <c r="D423" t="s">
        <v>1267</v>
      </c>
      <c r="E423">
        <v>22</v>
      </c>
      <c r="G423">
        <v>11</v>
      </c>
      <c r="H423">
        <v>0</v>
      </c>
      <c r="I423">
        <v>2</v>
      </c>
      <c r="J423">
        <v>2</v>
      </c>
      <c r="K423">
        <v>1</v>
      </c>
      <c r="L423">
        <v>21</v>
      </c>
      <c r="M423">
        <v>10.5</v>
      </c>
      <c r="N423">
        <v>0</v>
      </c>
      <c r="O423">
        <v>1</v>
      </c>
      <c r="P423">
        <v>16</v>
      </c>
      <c r="Q423">
        <v>10.5</v>
      </c>
      <c r="R423">
        <v>0.2</v>
      </c>
      <c r="S423">
        <v>1.9</v>
      </c>
      <c r="T423">
        <v>0</v>
      </c>
    </row>
    <row r="424" spans="1:20" x14ac:dyDescent="0.2">
      <c r="A424">
        <v>423</v>
      </c>
      <c r="B424" t="s">
        <v>337</v>
      </c>
      <c r="C424" t="s">
        <v>337</v>
      </c>
      <c r="D424" t="s">
        <v>77</v>
      </c>
      <c r="E424">
        <v>22</v>
      </c>
      <c r="G424">
        <v>5</v>
      </c>
      <c r="H424">
        <v>0</v>
      </c>
      <c r="I424">
        <v>4</v>
      </c>
      <c r="J424">
        <v>2</v>
      </c>
      <c r="K424">
        <v>0.5</v>
      </c>
      <c r="L424">
        <v>27</v>
      </c>
      <c r="M424">
        <v>13.5</v>
      </c>
      <c r="N424">
        <v>1</v>
      </c>
      <c r="O424">
        <v>2</v>
      </c>
      <c r="P424">
        <v>24</v>
      </c>
      <c r="Q424">
        <v>6.8</v>
      </c>
      <c r="R424">
        <v>0.4</v>
      </c>
      <c r="S424">
        <v>5.4</v>
      </c>
      <c r="T424">
        <v>0</v>
      </c>
    </row>
    <row r="425" spans="1:20" x14ac:dyDescent="0.2">
      <c r="A425">
        <v>424</v>
      </c>
      <c r="B425" t="s">
        <v>523</v>
      </c>
      <c r="C425" t="s">
        <v>523</v>
      </c>
      <c r="D425" t="s">
        <v>119</v>
      </c>
      <c r="E425">
        <v>26</v>
      </c>
      <c r="F425" t="s">
        <v>1298</v>
      </c>
      <c r="G425">
        <v>4</v>
      </c>
      <c r="H425">
        <v>2</v>
      </c>
      <c r="I425">
        <v>6</v>
      </c>
      <c r="J425">
        <v>2</v>
      </c>
      <c r="K425">
        <v>0.33300000000000002</v>
      </c>
      <c r="L425">
        <v>37</v>
      </c>
      <c r="M425">
        <v>18.5</v>
      </c>
      <c r="N425">
        <v>0</v>
      </c>
      <c r="O425">
        <v>2</v>
      </c>
      <c r="P425">
        <v>28</v>
      </c>
      <c r="Q425">
        <v>6.2</v>
      </c>
      <c r="R425">
        <v>0.5</v>
      </c>
      <c r="S425">
        <v>9.3000000000000007</v>
      </c>
      <c r="T425">
        <v>0</v>
      </c>
    </row>
    <row r="426" spans="1:20" x14ac:dyDescent="0.2">
      <c r="A426">
        <v>425</v>
      </c>
      <c r="B426" t="s">
        <v>524</v>
      </c>
      <c r="C426" t="s">
        <v>524</v>
      </c>
      <c r="D426" t="s">
        <v>107</v>
      </c>
      <c r="E426">
        <v>25</v>
      </c>
      <c r="G426">
        <v>5</v>
      </c>
      <c r="H426">
        <v>0</v>
      </c>
      <c r="I426">
        <v>3</v>
      </c>
      <c r="J426">
        <v>2</v>
      </c>
      <c r="K426">
        <v>0.66700000000000004</v>
      </c>
      <c r="L426">
        <v>23</v>
      </c>
      <c r="M426">
        <v>11.5</v>
      </c>
      <c r="N426">
        <v>0</v>
      </c>
      <c r="O426">
        <v>2</v>
      </c>
      <c r="P426">
        <v>12</v>
      </c>
      <c r="Q426">
        <v>7.7</v>
      </c>
      <c r="R426">
        <v>0.4</v>
      </c>
      <c r="S426">
        <v>4.5999999999999996</v>
      </c>
      <c r="T426">
        <v>0</v>
      </c>
    </row>
    <row r="427" spans="1:20" x14ac:dyDescent="0.2">
      <c r="A427">
        <v>426</v>
      </c>
      <c r="B427" t="s">
        <v>2148</v>
      </c>
      <c r="C427" t="s">
        <v>2148</v>
      </c>
      <c r="D427" t="s">
        <v>1257</v>
      </c>
      <c r="E427">
        <v>29</v>
      </c>
      <c r="G427">
        <v>5</v>
      </c>
      <c r="H427">
        <v>0</v>
      </c>
      <c r="I427">
        <v>6</v>
      </c>
      <c r="J427">
        <v>2</v>
      </c>
      <c r="K427">
        <v>0.33300000000000002</v>
      </c>
      <c r="L427">
        <v>11</v>
      </c>
      <c r="M427">
        <v>5.5</v>
      </c>
      <c r="N427">
        <v>0</v>
      </c>
      <c r="O427">
        <v>1</v>
      </c>
      <c r="P427">
        <v>7</v>
      </c>
      <c r="Q427">
        <v>1.8</v>
      </c>
      <c r="R427">
        <v>0.4</v>
      </c>
      <c r="S427">
        <v>2.2000000000000002</v>
      </c>
      <c r="T427">
        <v>0</v>
      </c>
    </row>
    <row r="428" spans="1:20" x14ac:dyDescent="0.2">
      <c r="A428">
        <v>427</v>
      </c>
      <c r="B428" t="s">
        <v>671</v>
      </c>
      <c r="C428" t="s">
        <v>671</v>
      </c>
      <c r="D428" t="s">
        <v>98</v>
      </c>
      <c r="E428">
        <v>23</v>
      </c>
      <c r="G428">
        <v>14</v>
      </c>
      <c r="H428">
        <v>0</v>
      </c>
      <c r="I428">
        <v>2</v>
      </c>
      <c r="J428">
        <v>2</v>
      </c>
      <c r="K428">
        <v>1</v>
      </c>
      <c r="L428">
        <v>16</v>
      </c>
      <c r="M428">
        <v>8</v>
      </c>
      <c r="N428">
        <v>1</v>
      </c>
      <c r="O428">
        <v>2</v>
      </c>
      <c r="P428">
        <v>15</v>
      </c>
      <c r="Q428">
        <v>8</v>
      </c>
      <c r="R428">
        <v>0.1</v>
      </c>
      <c r="S428">
        <v>1.1000000000000001</v>
      </c>
      <c r="T428">
        <v>0</v>
      </c>
    </row>
    <row r="429" spans="1:20" x14ac:dyDescent="0.2">
      <c r="A429">
        <v>428</v>
      </c>
      <c r="B429" t="s">
        <v>476</v>
      </c>
      <c r="C429" t="s">
        <v>476</v>
      </c>
      <c r="D429" t="s">
        <v>82</v>
      </c>
      <c r="E429">
        <v>27</v>
      </c>
      <c r="F429" t="s">
        <v>1882</v>
      </c>
      <c r="G429">
        <v>14</v>
      </c>
      <c r="H429">
        <v>3</v>
      </c>
      <c r="I429">
        <v>5</v>
      </c>
      <c r="J429">
        <v>2</v>
      </c>
      <c r="K429">
        <v>0.4</v>
      </c>
      <c r="L429">
        <v>13</v>
      </c>
      <c r="M429">
        <v>6.5</v>
      </c>
      <c r="N429">
        <v>0</v>
      </c>
      <c r="O429">
        <v>1</v>
      </c>
      <c r="P429">
        <v>13</v>
      </c>
      <c r="Q429">
        <v>2.6</v>
      </c>
      <c r="R429">
        <v>0.1</v>
      </c>
      <c r="S429">
        <v>0.9</v>
      </c>
      <c r="T429">
        <v>0</v>
      </c>
    </row>
    <row r="430" spans="1:20" x14ac:dyDescent="0.2">
      <c r="A430">
        <v>429</v>
      </c>
      <c r="B430" t="s">
        <v>420</v>
      </c>
      <c r="C430" t="s">
        <v>420</v>
      </c>
      <c r="D430" t="s">
        <v>727</v>
      </c>
      <c r="E430">
        <v>29</v>
      </c>
      <c r="G430">
        <v>1</v>
      </c>
      <c r="H430">
        <v>0</v>
      </c>
      <c r="I430">
        <v>2</v>
      </c>
      <c r="J430">
        <v>2</v>
      </c>
      <c r="K430">
        <v>1</v>
      </c>
      <c r="L430">
        <v>6</v>
      </c>
      <c r="M430">
        <v>3</v>
      </c>
      <c r="N430">
        <v>0</v>
      </c>
      <c r="O430">
        <v>1</v>
      </c>
      <c r="P430">
        <v>7</v>
      </c>
      <c r="Q430">
        <v>3</v>
      </c>
      <c r="R430">
        <v>2</v>
      </c>
      <c r="S430">
        <v>6</v>
      </c>
      <c r="T430">
        <v>0</v>
      </c>
    </row>
    <row r="431" spans="1:20" x14ac:dyDescent="0.2">
      <c r="A431">
        <v>430</v>
      </c>
      <c r="B431" t="s">
        <v>140</v>
      </c>
      <c r="C431" t="s">
        <v>140</v>
      </c>
      <c r="D431" t="s">
        <v>1122</v>
      </c>
      <c r="E431">
        <v>31</v>
      </c>
      <c r="F431" t="s">
        <v>79</v>
      </c>
      <c r="G431">
        <v>15</v>
      </c>
      <c r="H431">
        <v>15</v>
      </c>
      <c r="I431">
        <v>2</v>
      </c>
      <c r="J431">
        <v>2</v>
      </c>
      <c r="K431">
        <v>1</v>
      </c>
      <c r="L431">
        <v>35</v>
      </c>
      <c r="M431">
        <v>17.5</v>
      </c>
      <c r="N431">
        <v>1</v>
      </c>
      <c r="O431">
        <v>2</v>
      </c>
      <c r="P431">
        <v>19</v>
      </c>
      <c r="Q431">
        <v>17.5</v>
      </c>
      <c r="R431">
        <v>0.1</v>
      </c>
      <c r="S431">
        <v>2.2999999999999998</v>
      </c>
      <c r="T431">
        <v>6</v>
      </c>
    </row>
    <row r="432" spans="1:20" x14ac:dyDescent="0.2">
      <c r="A432">
        <v>431</v>
      </c>
      <c r="B432" t="s">
        <v>679</v>
      </c>
      <c r="C432" t="s">
        <v>679</v>
      </c>
      <c r="D432" t="s">
        <v>108</v>
      </c>
      <c r="E432">
        <v>21</v>
      </c>
      <c r="G432">
        <v>6</v>
      </c>
      <c r="H432">
        <v>0</v>
      </c>
      <c r="I432">
        <v>2</v>
      </c>
      <c r="J432">
        <v>2</v>
      </c>
      <c r="K432">
        <v>1</v>
      </c>
      <c r="L432">
        <v>16</v>
      </c>
      <c r="M432">
        <v>8</v>
      </c>
      <c r="N432">
        <v>0</v>
      </c>
      <c r="O432">
        <v>2</v>
      </c>
      <c r="P432">
        <v>10</v>
      </c>
      <c r="Q432">
        <v>8</v>
      </c>
      <c r="R432">
        <v>0.3</v>
      </c>
      <c r="S432">
        <v>2.7</v>
      </c>
      <c r="T432">
        <v>0</v>
      </c>
    </row>
    <row r="433" spans="1:20" x14ac:dyDescent="0.2">
      <c r="A433">
        <v>432</v>
      </c>
      <c r="B433" t="s">
        <v>1901</v>
      </c>
      <c r="C433" t="s">
        <v>1901</v>
      </c>
      <c r="D433" t="s">
        <v>92</v>
      </c>
      <c r="E433">
        <v>27</v>
      </c>
      <c r="G433">
        <v>14</v>
      </c>
      <c r="H433">
        <v>0</v>
      </c>
      <c r="I433">
        <v>3</v>
      </c>
      <c r="J433">
        <v>2</v>
      </c>
      <c r="K433">
        <v>0.66700000000000004</v>
      </c>
      <c r="L433">
        <v>20</v>
      </c>
      <c r="M433">
        <v>10</v>
      </c>
      <c r="N433">
        <v>0</v>
      </c>
      <c r="O433">
        <v>1</v>
      </c>
      <c r="P433">
        <v>11</v>
      </c>
      <c r="Q433">
        <v>6.7</v>
      </c>
      <c r="R433">
        <v>0.1</v>
      </c>
      <c r="S433">
        <v>1.4</v>
      </c>
      <c r="T433">
        <v>0</v>
      </c>
    </row>
    <row r="434" spans="1:20" x14ac:dyDescent="0.2">
      <c r="A434">
        <v>433</v>
      </c>
      <c r="B434" t="s">
        <v>2149</v>
      </c>
      <c r="C434" t="s">
        <v>2149</v>
      </c>
      <c r="D434" t="s">
        <v>74</v>
      </c>
      <c r="E434">
        <v>25</v>
      </c>
      <c r="F434" t="s">
        <v>1298</v>
      </c>
      <c r="G434">
        <v>3</v>
      </c>
      <c r="H434">
        <v>1</v>
      </c>
      <c r="I434">
        <v>7</v>
      </c>
      <c r="J434">
        <v>2</v>
      </c>
      <c r="K434">
        <v>0.28599999999999998</v>
      </c>
      <c r="L434">
        <v>17</v>
      </c>
      <c r="M434">
        <v>8.5</v>
      </c>
      <c r="N434">
        <v>0</v>
      </c>
      <c r="O434">
        <v>1</v>
      </c>
      <c r="P434">
        <v>15</v>
      </c>
      <c r="Q434">
        <v>2.4</v>
      </c>
      <c r="R434">
        <v>0.7</v>
      </c>
      <c r="S434">
        <v>5.7</v>
      </c>
      <c r="T434">
        <v>0</v>
      </c>
    </row>
    <row r="435" spans="1:20" x14ac:dyDescent="0.2">
      <c r="A435">
        <v>434</v>
      </c>
      <c r="B435" t="s">
        <v>432</v>
      </c>
      <c r="C435" t="s">
        <v>432</v>
      </c>
      <c r="D435" t="s">
        <v>1122</v>
      </c>
      <c r="E435">
        <v>23</v>
      </c>
      <c r="G435">
        <v>4</v>
      </c>
      <c r="H435">
        <v>0</v>
      </c>
      <c r="I435">
        <v>2</v>
      </c>
      <c r="J435">
        <v>2</v>
      </c>
      <c r="K435">
        <v>1</v>
      </c>
      <c r="L435">
        <v>29</v>
      </c>
      <c r="M435">
        <v>14.5</v>
      </c>
      <c r="N435">
        <v>0</v>
      </c>
      <c r="O435">
        <v>1</v>
      </c>
      <c r="P435">
        <v>16</v>
      </c>
      <c r="Q435">
        <v>14.5</v>
      </c>
      <c r="R435">
        <v>0.5</v>
      </c>
      <c r="S435">
        <v>7.3</v>
      </c>
      <c r="T435">
        <v>0</v>
      </c>
    </row>
    <row r="436" spans="1:20" x14ac:dyDescent="0.2">
      <c r="A436">
        <v>435</v>
      </c>
      <c r="B436" t="s">
        <v>1337</v>
      </c>
      <c r="C436" t="s">
        <v>97</v>
      </c>
      <c r="D436" t="s">
        <v>98</v>
      </c>
      <c r="E436">
        <v>24</v>
      </c>
      <c r="F436" t="s">
        <v>79</v>
      </c>
      <c r="G436">
        <v>16</v>
      </c>
      <c r="H436">
        <v>16</v>
      </c>
      <c r="I436">
        <v>1</v>
      </c>
      <c r="J436">
        <v>1</v>
      </c>
      <c r="K436">
        <v>1</v>
      </c>
      <c r="L436">
        <v>12</v>
      </c>
      <c r="M436">
        <v>12</v>
      </c>
      <c r="N436">
        <v>1</v>
      </c>
      <c r="O436">
        <v>1</v>
      </c>
      <c r="P436">
        <v>12</v>
      </c>
      <c r="Q436">
        <v>12</v>
      </c>
      <c r="R436">
        <v>0.1</v>
      </c>
      <c r="S436">
        <v>0.8</v>
      </c>
      <c r="T436">
        <v>9</v>
      </c>
    </row>
    <row r="437" spans="1:20" x14ac:dyDescent="0.2">
      <c r="A437">
        <v>436</v>
      </c>
      <c r="B437" t="s">
        <v>686</v>
      </c>
      <c r="C437" t="s">
        <v>686</v>
      </c>
      <c r="D437" t="s">
        <v>119</v>
      </c>
      <c r="E437">
        <v>26</v>
      </c>
      <c r="F437" t="s">
        <v>1577</v>
      </c>
      <c r="G437">
        <v>8</v>
      </c>
      <c r="H437">
        <v>1</v>
      </c>
      <c r="I437">
        <v>1</v>
      </c>
      <c r="J437">
        <v>1</v>
      </c>
      <c r="K437">
        <v>1</v>
      </c>
      <c r="L437">
        <v>2</v>
      </c>
      <c r="M437">
        <v>2</v>
      </c>
      <c r="N437">
        <v>0</v>
      </c>
      <c r="O437">
        <v>0</v>
      </c>
      <c r="P437">
        <v>2</v>
      </c>
      <c r="Q437">
        <v>2</v>
      </c>
      <c r="R437">
        <v>0.1</v>
      </c>
      <c r="S437">
        <v>0.3</v>
      </c>
      <c r="T437">
        <v>0</v>
      </c>
    </row>
    <row r="438" spans="1:20" x14ac:dyDescent="0.2">
      <c r="A438">
        <v>437</v>
      </c>
      <c r="B438" t="s">
        <v>563</v>
      </c>
      <c r="C438" t="s">
        <v>563</v>
      </c>
      <c r="D438" t="s">
        <v>93</v>
      </c>
      <c r="E438">
        <v>24</v>
      </c>
      <c r="G438">
        <v>5</v>
      </c>
      <c r="H438">
        <v>0</v>
      </c>
      <c r="I438">
        <v>1</v>
      </c>
      <c r="J438">
        <v>1</v>
      </c>
      <c r="K438">
        <v>1</v>
      </c>
      <c r="L438">
        <v>5</v>
      </c>
      <c r="M438">
        <v>5</v>
      </c>
      <c r="N438">
        <v>0</v>
      </c>
      <c r="O438">
        <v>0</v>
      </c>
      <c r="P438">
        <v>5</v>
      </c>
      <c r="Q438">
        <v>5</v>
      </c>
      <c r="R438">
        <v>0.2</v>
      </c>
      <c r="S438">
        <v>1</v>
      </c>
      <c r="T438">
        <v>0</v>
      </c>
    </row>
    <row r="439" spans="1:20" x14ac:dyDescent="0.2">
      <c r="A439">
        <v>438</v>
      </c>
      <c r="B439" t="s">
        <v>1999</v>
      </c>
      <c r="C439" t="s">
        <v>467</v>
      </c>
      <c r="D439" t="s">
        <v>108</v>
      </c>
      <c r="E439">
        <v>31</v>
      </c>
      <c r="G439">
        <v>16</v>
      </c>
      <c r="H439">
        <v>0</v>
      </c>
      <c r="I439">
        <v>1</v>
      </c>
      <c r="J439">
        <v>1</v>
      </c>
      <c r="K439">
        <v>1</v>
      </c>
      <c r="L439">
        <v>9</v>
      </c>
      <c r="M439">
        <v>9</v>
      </c>
      <c r="N439">
        <v>0</v>
      </c>
      <c r="O439">
        <v>1</v>
      </c>
      <c r="P439">
        <v>9</v>
      </c>
      <c r="Q439">
        <v>9</v>
      </c>
      <c r="R439">
        <v>0.1</v>
      </c>
      <c r="S439">
        <v>0.6</v>
      </c>
      <c r="T439">
        <v>0</v>
      </c>
    </row>
    <row r="440" spans="1:20" x14ac:dyDescent="0.2">
      <c r="A440">
        <v>439</v>
      </c>
      <c r="B440" t="s">
        <v>647</v>
      </c>
      <c r="C440" t="s">
        <v>647</v>
      </c>
      <c r="D440" t="s">
        <v>139</v>
      </c>
      <c r="E440">
        <v>22</v>
      </c>
      <c r="G440">
        <v>5</v>
      </c>
      <c r="H440">
        <v>0</v>
      </c>
      <c r="I440">
        <v>3</v>
      </c>
      <c r="J440">
        <v>1</v>
      </c>
      <c r="K440">
        <v>0.33300000000000002</v>
      </c>
      <c r="L440">
        <v>44</v>
      </c>
      <c r="M440">
        <v>44</v>
      </c>
      <c r="N440">
        <v>0</v>
      </c>
      <c r="O440">
        <v>1</v>
      </c>
      <c r="P440">
        <v>44</v>
      </c>
      <c r="Q440">
        <v>14.7</v>
      </c>
      <c r="R440">
        <v>0.2</v>
      </c>
      <c r="S440">
        <v>8.8000000000000007</v>
      </c>
      <c r="T440">
        <v>0</v>
      </c>
    </row>
    <row r="441" spans="1:20" x14ac:dyDescent="0.2">
      <c r="A441">
        <v>440</v>
      </c>
      <c r="B441" t="s">
        <v>681</v>
      </c>
      <c r="C441" t="s">
        <v>681</v>
      </c>
      <c r="D441" t="s">
        <v>82</v>
      </c>
      <c r="E441">
        <v>24</v>
      </c>
      <c r="F441" t="s">
        <v>1577</v>
      </c>
      <c r="G441">
        <v>16</v>
      </c>
      <c r="H441">
        <v>2</v>
      </c>
      <c r="I441">
        <v>2</v>
      </c>
      <c r="J441">
        <v>1</v>
      </c>
      <c r="K441">
        <v>0.5</v>
      </c>
      <c r="L441">
        <v>11</v>
      </c>
      <c r="M441">
        <v>11</v>
      </c>
      <c r="N441">
        <v>0</v>
      </c>
      <c r="O441">
        <v>1</v>
      </c>
      <c r="P441">
        <v>11</v>
      </c>
      <c r="Q441">
        <v>5.5</v>
      </c>
      <c r="R441">
        <v>0.1</v>
      </c>
      <c r="S441">
        <v>0.7</v>
      </c>
      <c r="T441">
        <v>0</v>
      </c>
    </row>
    <row r="442" spans="1:20" x14ac:dyDescent="0.2">
      <c r="A442">
        <v>441</v>
      </c>
      <c r="B442" t="s">
        <v>2150</v>
      </c>
      <c r="C442" t="s">
        <v>2150</v>
      </c>
      <c r="D442" t="s">
        <v>933</v>
      </c>
      <c r="E442">
        <v>30</v>
      </c>
      <c r="G442">
        <v>16</v>
      </c>
      <c r="H442">
        <v>0</v>
      </c>
      <c r="I442">
        <v>1</v>
      </c>
      <c r="J442">
        <v>1</v>
      </c>
      <c r="K442">
        <v>1</v>
      </c>
      <c r="L442">
        <v>14</v>
      </c>
      <c r="M442">
        <v>14</v>
      </c>
      <c r="N442">
        <v>0</v>
      </c>
      <c r="O442">
        <v>1</v>
      </c>
      <c r="P442">
        <v>14</v>
      </c>
      <c r="Q442">
        <v>14</v>
      </c>
      <c r="R442">
        <v>0.1</v>
      </c>
      <c r="S442">
        <v>0.9</v>
      </c>
      <c r="T442">
        <v>0</v>
      </c>
    </row>
    <row r="443" spans="1:20" x14ac:dyDescent="0.2">
      <c r="A443">
        <v>442</v>
      </c>
      <c r="B443" t="s">
        <v>528</v>
      </c>
      <c r="C443" t="s">
        <v>528</v>
      </c>
      <c r="D443" t="s">
        <v>1726</v>
      </c>
      <c r="E443">
        <v>27</v>
      </c>
      <c r="G443">
        <v>13</v>
      </c>
      <c r="H443">
        <v>0</v>
      </c>
      <c r="I443">
        <v>2</v>
      </c>
      <c r="J443">
        <v>1</v>
      </c>
      <c r="K443">
        <v>0.5</v>
      </c>
      <c r="L443">
        <v>8</v>
      </c>
      <c r="M443">
        <v>8</v>
      </c>
      <c r="N443">
        <v>0</v>
      </c>
      <c r="O443">
        <v>0</v>
      </c>
      <c r="P443">
        <v>8</v>
      </c>
      <c r="Q443">
        <v>4</v>
      </c>
      <c r="R443">
        <v>0.1</v>
      </c>
      <c r="S443">
        <v>0.6</v>
      </c>
      <c r="T443">
        <v>2</v>
      </c>
    </row>
    <row r="444" spans="1:20" x14ac:dyDescent="0.2">
      <c r="A444">
        <v>443</v>
      </c>
      <c r="B444" t="s">
        <v>601</v>
      </c>
      <c r="C444" t="s">
        <v>601</v>
      </c>
      <c r="D444" t="s">
        <v>108</v>
      </c>
      <c r="E444">
        <v>26</v>
      </c>
      <c r="F444" t="s">
        <v>1392</v>
      </c>
      <c r="G444">
        <v>3</v>
      </c>
      <c r="H444">
        <v>1</v>
      </c>
      <c r="I444">
        <v>2</v>
      </c>
      <c r="J444">
        <v>1</v>
      </c>
      <c r="K444">
        <v>0.5</v>
      </c>
      <c r="L444">
        <v>4</v>
      </c>
      <c r="M444">
        <v>4</v>
      </c>
      <c r="N444">
        <v>0</v>
      </c>
      <c r="O444">
        <v>0</v>
      </c>
      <c r="P444">
        <v>4</v>
      </c>
      <c r="Q444">
        <v>2</v>
      </c>
      <c r="R444">
        <v>0.3</v>
      </c>
      <c r="S444">
        <v>1.3</v>
      </c>
      <c r="T444">
        <v>0</v>
      </c>
    </row>
    <row r="445" spans="1:20" x14ac:dyDescent="0.2">
      <c r="A445">
        <v>444</v>
      </c>
      <c r="B445" t="s">
        <v>659</v>
      </c>
      <c r="C445" t="s">
        <v>659</v>
      </c>
      <c r="D445" t="s">
        <v>102</v>
      </c>
      <c r="E445">
        <v>26</v>
      </c>
      <c r="G445">
        <v>4</v>
      </c>
      <c r="H445">
        <v>0</v>
      </c>
      <c r="I445">
        <v>1</v>
      </c>
      <c r="J445">
        <v>1</v>
      </c>
      <c r="K445">
        <v>1</v>
      </c>
      <c r="L445">
        <v>3</v>
      </c>
      <c r="M445">
        <v>3</v>
      </c>
      <c r="N445">
        <v>1</v>
      </c>
      <c r="O445">
        <v>1</v>
      </c>
      <c r="P445">
        <v>3</v>
      </c>
      <c r="Q445">
        <v>3</v>
      </c>
      <c r="R445">
        <v>0.3</v>
      </c>
      <c r="S445">
        <v>0.8</v>
      </c>
      <c r="T445">
        <v>0</v>
      </c>
    </row>
    <row r="446" spans="1:20" x14ac:dyDescent="0.2">
      <c r="A446">
        <v>445</v>
      </c>
      <c r="B446" t="s">
        <v>1230</v>
      </c>
      <c r="C446" t="s">
        <v>1230</v>
      </c>
      <c r="D446" t="s">
        <v>729</v>
      </c>
      <c r="E446">
        <v>33</v>
      </c>
      <c r="F446" t="s">
        <v>935</v>
      </c>
      <c r="G446">
        <v>11</v>
      </c>
      <c r="H446">
        <v>9</v>
      </c>
      <c r="I446">
        <v>1</v>
      </c>
      <c r="J446">
        <v>1</v>
      </c>
      <c r="K446">
        <v>1</v>
      </c>
      <c r="L446">
        <v>-3</v>
      </c>
      <c r="M446">
        <v>-3</v>
      </c>
      <c r="N446">
        <v>0</v>
      </c>
      <c r="O446">
        <v>0</v>
      </c>
      <c r="P446">
        <v>-3</v>
      </c>
      <c r="Q446">
        <v>-3</v>
      </c>
      <c r="R446">
        <v>0.1</v>
      </c>
      <c r="S446">
        <v>-0.3</v>
      </c>
      <c r="T446">
        <v>2</v>
      </c>
    </row>
    <row r="447" spans="1:20" x14ac:dyDescent="0.2">
      <c r="A447">
        <v>446</v>
      </c>
      <c r="B447" t="s">
        <v>636</v>
      </c>
      <c r="C447" t="s">
        <v>636</v>
      </c>
      <c r="D447" t="s">
        <v>1267</v>
      </c>
      <c r="E447">
        <v>23</v>
      </c>
      <c r="F447" t="s">
        <v>1577</v>
      </c>
      <c r="G447">
        <v>2</v>
      </c>
      <c r="H447">
        <v>1</v>
      </c>
      <c r="I447">
        <v>2</v>
      </c>
      <c r="J447">
        <v>1</v>
      </c>
      <c r="K447">
        <v>0.5</v>
      </c>
      <c r="L447">
        <v>12</v>
      </c>
      <c r="M447">
        <v>12</v>
      </c>
      <c r="N447">
        <v>0</v>
      </c>
      <c r="O447">
        <v>1</v>
      </c>
      <c r="P447">
        <v>12</v>
      </c>
      <c r="Q447">
        <v>6</v>
      </c>
      <c r="R447">
        <v>0.5</v>
      </c>
      <c r="S447">
        <v>6</v>
      </c>
      <c r="T447">
        <v>0</v>
      </c>
    </row>
    <row r="448" spans="1:20" x14ac:dyDescent="0.2">
      <c r="A448">
        <v>447</v>
      </c>
      <c r="B448" t="s">
        <v>556</v>
      </c>
      <c r="C448" t="s">
        <v>556</v>
      </c>
      <c r="D448" t="s">
        <v>1040</v>
      </c>
      <c r="E448">
        <v>27</v>
      </c>
      <c r="G448">
        <v>4</v>
      </c>
      <c r="H448">
        <v>0</v>
      </c>
      <c r="I448">
        <v>2</v>
      </c>
      <c r="J448">
        <v>1</v>
      </c>
      <c r="K448">
        <v>0.5</v>
      </c>
      <c r="L448">
        <v>10</v>
      </c>
      <c r="M448">
        <v>10</v>
      </c>
      <c r="N448">
        <v>0</v>
      </c>
      <c r="O448">
        <v>1</v>
      </c>
      <c r="P448">
        <v>10</v>
      </c>
      <c r="Q448">
        <v>5</v>
      </c>
      <c r="R448">
        <v>0.3</v>
      </c>
      <c r="S448">
        <v>2.5</v>
      </c>
      <c r="T448">
        <v>0</v>
      </c>
    </row>
    <row r="449" spans="1:20" x14ac:dyDescent="0.2">
      <c r="A449">
        <v>448</v>
      </c>
      <c r="B449" t="s">
        <v>653</v>
      </c>
      <c r="C449" t="s">
        <v>653</v>
      </c>
      <c r="D449" t="s">
        <v>73</v>
      </c>
      <c r="E449">
        <v>23</v>
      </c>
      <c r="G449">
        <v>3</v>
      </c>
      <c r="H449">
        <v>0</v>
      </c>
      <c r="I449">
        <v>1</v>
      </c>
      <c r="J449">
        <v>1</v>
      </c>
      <c r="K449">
        <v>1</v>
      </c>
      <c r="L449">
        <v>6</v>
      </c>
      <c r="M449">
        <v>6</v>
      </c>
      <c r="N449">
        <v>0</v>
      </c>
      <c r="O449">
        <v>0</v>
      </c>
      <c r="P449">
        <v>6</v>
      </c>
      <c r="Q449">
        <v>6</v>
      </c>
      <c r="R449">
        <v>0.3</v>
      </c>
      <c r="S449">
        <v>2</v>
      </c>
      <c r="T449">
        <v>0</v>
      </c>
    </row>
    <row r="450" spans="1:20" x14ac:dyDescent="0.2">
      <c r="A450">
        <v>449</v>
      </c>
      <c r="B450" t="s">
        <v>675</v>
      </c>
      <c r="C450" t="s">
        <v>675</v>
      </c>
      <c r="D450" t="s">
        <v>1052</v>
      </c>
      <c r="E450">
        <v>24</v>
      </c>
      <c r="F450" t="s">
        <v>1577</v>
      </c>
      <c r="G450">
        <v>7</v>
      </c>
      <c r="H450">
        <v>4</v>
      </c>
      <c r="I450">
        <v>4</v>
      </c>
      <c r="J450">
        <v>1</v>
      </c>
      <c r="K450">
        <v>0.25</v>
      </c>
      <c r="L450">
        <v>10</v>
      </c>
      <c r="M450">
        <v>10</v>
      </c>
      <c r="N450">
        <v>0</v>
      </c>
      <c r="O450">
        <v>1</v>
      </c>
      <c r="P450">
        <v>10</v>
      </c>
      <c r="Q450">
        <v>2.5</v>
      </c>
      <c r="R450">
        <v>0.1</v>
      </c>
      <c r="S450">
        <v>1.4</v>
      </c>
      <c r="T450">
        <v>0</v>
      </c>
    </row>
    <row r="451" spans="1:20" x14ac:dyDescent="0.2">
      <c r="A451">
        <v>450</v>
      </c>
      <c r="B451" t="s">
        <v>2151</v>
      </c>
      <c r="C451" t="s">
        <v>2152</v>
      </c>
      <c r="D451" t="s">
        <v>1040</v>
      </c>
      <c r="E451">
        <v>29</v>
      </c>
      <c r="F451" t="s">
        <v>2153</v>
      </c>
      <c r="G451">
        <v>15</v>
      </c>
      <c r="H451">
        <v>15</v>
      </c>
      <c r="I451">
        <v>1</v>
      </c>
      <c r="J451">
        <v>1</v>
      </c>
      <c r="K451">
        <v>1</v>
      </c>
      <c r="L451">
        <v>2</v>
      </c>
      <c r="M451">
        <v>2</v>
      </c>
      <c r="N451">
        <v>1</v>
      </c>
      <c r="O451">
        <v>1</v>
      </c>
      <c r="P451">
        <v>2</v>
      </c>
      <c r="Q451">
        <v>2</v>
      </c>
      <c r="R451">
        <v>0.1</v>
      </c>
      <c r="S451">
        <v>0.1</v>
      </c>
      <c r="T451">
        <v>0</v>
      </c>
    </row>
    <row r="452" spans="1:20" x14ac:dyDescent="0.2">
      <c r="A452">
        <v>451</v>
      </c>
      <c r="B452" t="s">
        <v>166</v>
      </c>
      <c r="C452" t="s">
        <v>166</v>
      </c>
      <c r="D452" t="s">
        <v>142</v>
      </c>
      <c r="E452">
        <v>38</v>
      </c>
      <c r="F452" t="s">
        <v>935</v>
      </c>
      <c r="G452">
        <v>9</v>
      </c>
      <c r="H452">
        <v>7</v>
      </c>
      <c r="I452">
        <v>1</v>
      </c>
      <c r="J452">
        <v>1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0.1</v>
      </c>
      <c r="S452">
        <v>0</v>
      </c>
      <c r="T452">
        <v>2</v>
      </c>
    </row>
    <row r="453" spans="1:20" x14ac:dyDescent="0.2">
      <c r="A453">
        <v>452</v>
      </c>
      <c r="B453" t="s">
        <v>1808</v>
      </c>
      <c r="C453" t="s">
        <v>1808</v>
      </c>
      <c r="D453" t="s">
        <v>77</v>
      </c>
      <c r="E453">
        <v>24</v>
      </c>
      <c r="G453">
        <v>6</v>
      </c>
      <c r="H453">
        <v>0</v>
      </c>
      <c r="I453">
        <v>1</v>
      </c>
      <c r="J453">
        <v>1</v>
      </c>
      <c r="K453">
        <v>1</v>
      </c>
      <c r="L453">
        <v>5</v>
      </c>
      <c r="M453">
        <v>5</v>
      </c>
      <c r="N453">
        <v>1</v>
      </c>
      <c r="O453">
        <v>1</v>
      </c>
      <c r="P453">
        <v>5</v>
      </c>
      <c r="Q453">
        <v>5</v>
      </c>
      <c r="R453">
        <v>0.2</v>
      </c>
      <c r="S453">
        <v>0.8</v>
      </c>
      <c r="T453">
        <v>0</v>
      </c>
    </row>
    <row r="454" spans="1:20" x14ac:dyDescent="0.2">
      <c r="A454">
        <v>453</v>
      </c>
      <c r="B454" t="s">
        <v>1971</v>
      </c>
      <c r="C454" t="s">
        <v>1971</v>
      </c>
      <c r="D454" t="s">
        <v>78</v>
      </c>
      <c r="E454">
        <v>27</v>
      </c>
      <c r="G454">
        <v>10</v>
      </c>
      <c r="H454">
        <v>0</v>
      </c>
      <c r="I454">
        <v>1</v>
      </c>
      <c r="J454">
        <v>1</v>
      </c>
      <c r="K454">
        <v>1</v>
      </c>
      <c r="L454">
        <v>7</v>
      </c>
      <c r="M454">
        <v>7</v>
      </c>
      <c r="N454">
        <v>0</v>
      </c>
      <c r="O454">
        <v>1</v>
      </c>
      <c r="P454">
        <v>7</v>
      </c>
      <c r="Q454">
        <v>7</v>
      </c>
      <c r="R454">
        <v>0.1</v>
      </c>
      <c r="S454">
        <v>0.7</v>
      </c>
      <c r="T454">
        <v>0</v>
      </c>
    </row>
    <row r="455" spans="1:20" x14ac:dyDescent="0.2">
      <c r="A455">
        <v>454</v>
      </c>
      <c r="B455" t="s">
        <v>394</v>
      </c>
      <c r="C455" t="s">
        <v>394</v>
      </c>
      <c r="D455" t="s">
        <v>119</v>
      </c>
      <c r="E455">
        <v>22</v>
      </c>
      <c r="F455" t="s">
        <v>1298</v>
      </c>
      <c r="G455">
        <v>6</v>
      </c>
      <c r="H455">
        <v>2</v>
      </c>
      <c r="I455">
        <v>7</v>
      </c>
      <c r="J455">
        <v>1</v>
      </c>
      <c r="K455">
        <v>0.14299999999999999</v>
      </c>
      <c r="L455">
        <v>3</v>
      </c>
      <c r="M455">
        <v>3</v>
      </c>
      <c r="N455">
        <v>0</v>
      </c>
      <c r="O455">
        <v>0</v>
      </c>
      <c r="P455">
        <v>3</v>
      </c>
      <c r="Q455">
        <v>0.4</v>
      </c>
      <c r="R455">
        <v>0.2</v>
      </c>
      <c r="S455">
        <v>0.5</v>
      </c>
      <c r="T455">
        <v>0</v>
      </c>
    </row>
    <row r="456" spans="1:20" x14ac:dyDescent="0.2">
      <c r="A456">
        <v>455</v>
      </c>
      <c r="B456" t="s">
        <v>494</v>
      </c>
      <c r="C456" t="s">
        <v>494</v>
      </c>
      <c r="D456" t="s">
        <v>122</v>
      </c>
      <c r="E456">
        <v>25</v>
      </c>
      <c r="G456">
        <v>7</v>
      </c>
      <c r="H456">
        <v>0</v>
      </c>
      <c r="I456">
        <v>1</v>
      </c>
      <c r="J456">
        <v>1</v>
      </c>
      <c r="K456">
        <v>1</v>
      </c>
      <c r="L456">
        <v>6</v>
      </c>
      <c r="M456">
        <v>6</v>
      </c>
      <c r="N456">
        <v>0</v>
      </c>
      <c r="O456">
        <v>0</v>
      </c>
      <c r="P456">
        <v>6</v>
      </c>
      <c r="Q456">
        <v>6</v>
      </c>
      <c r="R456">
        <v>0.1</v>
      </c>
      <c r="S456">
        <v>0.9</v>
      </c>
      <c r="T456">
        <v>0</v>
      </c>
    </row>
    <row r="457" spans="1:20" x14ac:dyDescent="0.2">
      <c r="A457">
        <v>456</v>
      </c>
      <c r="B457" t="s">
        <v>430</v>
      </c>
      <c r="C457" t="s">
        <v>430</v>
      </c>
      <c r="D457" t="s">
        <v>108</v>
      </c>
      <c r="E457">
        <v>24</v>
      </c>
      <c r="G457">
        <v>13</v>
      </c>
      <c r="H457">
        <v>0</v>
      </c>
      <c r="I457">
        <v>1</v>
      </c>
      <c r="J457">
        <v>1</v>
      </c>
      <c r="K457">
        <v>1</v>
      </c>
      <c r="L457">
        <v>3</v>
      </c>
      <c r="M457">
        <v>3</v>
      </c>
      <c r="N457">
        <v>0</v>
      </c>
      <c r="O457">
        <v>0</v>
      </c>
      <c r="P457">
        <v>3</v>
      </c>
      <c r="Q457">
        <v>3</v>
      </c>
      <c r="R457">
        <v>0.1</v>
      </c>
      <c r="S457">
        <v>0.2</v>
      </c>
      <c r="T457">
        <v>0</v>
      </c>
    </row>
    <row r="458" spans="1:20" x14ac:dyDescent="0.2">
      <c r="A458">
        <v>457</v>
      </c>
      <c r="B458" t="s">
        <v>669</v>
      </c>
      <c r="C458" t="s">
        <v>669</v>
      </c>
      <c r="D458" t="s">
        <v>119</v>
      </c>
      <c r="E458">
        <v>27</v>
      </c>
      <c r="G458">
        <v>8</v>
      </c>
      <c r="H458">
        <v>0</v>
      </c>
      <c r="I458">
        <v>2</v>
      </c>
      <c r="J458">
        <v>1</v>
      </c>
      <c r="K458">
        <v>0.5</v>
      </c>
      <c r="L458">
        <v>10</v>
      </c>
      <c r="M458">
        <v>10</v>
      </c>
      <c r="N458">
        <v>0</v>
      </c>
      <c r="O458">
        <v>1</v>
      </c>
      <c r="P458">
        <v>10</v>
      </c>
      <c r="Q458">
        <v>5</v>
      </c>
      <c r="R458">
        <v>0.1</v>
      </c>
      <c r="S458">
        <v>1.3</v>
      </c>
      <c r="T458">
        <v>0</v>
      </c>
    </row>
    <row r="459" spans="1:20" x14ac:dyDescent="0.2">
      <c r="A459">
        <v>458</v>
      </c>
      <c r="B459" t="s">
        <v>576</v>
      </c>
      <c r="C459" t="s">
        <v>576</v>
      </c>
      <c r="D459" t="s">
        <v>1726</v>
      </c>
      <c r="E459">
        <v>25</v>
      </c>
      <c r="G459">
        <v>7</v>
      </c>
      <c r="H459">
        <v>0</v>
      </c>
      <c r="I459">
        <v>1</v>
      </c>
      <c r="J459">
        <v>1</v>
      </c>
      <c r="K459">
        <v>1</v>
      </c>
      <c r="L459">
        <v>2</v>
      </c>
      <c r="M459">
        <v>2</v>
      </c>
      <c r="N459">
        <v>0</v>
      </c>
      <c r="O459">
        <v>0</v>
      </c>
      <c r="P459">
        <v>2</v>
      </c>
      <c r="Q459">
        <v>2</v>
      </c>
      <c r="R459">
        <v>0.1</v>
      </c>
      <c r="S459">
        <v>0.3</v>
      </c>
      <c r="T459">
        <v>0</v>
      </c>
    </row>
    <row r="460" spans="1:20" x14ac:dyDescent="0.2">
      <c r="A460">
        <v>459</v>
      </c>
      <c r="B460" t="s">
        <v>478</v>
      </c>
      <c r="C460" t="s">
        <v>478</v>
      </c>
      <c r="D460" t="s">
        <v>77</v>
      </c>
      <c r="E460">
        <v>27</v>
      </c>
      <c r="G460">
        <v>2</v>
      </c>
      <c r="H460">
        <v>0</v>
      </c>
      <c r="I460">
        <v>1</v>
      </c>
      <c r="J460">
        <v>1</v>
      </c>
      <c r="K460">
        <v>1</v>
      </c>
      <c r="L460">
        <v>12</v>
      </c>
      <c r="M460">
        <v>12</v>
      </c>
      <c r="N460">
        <v>0</v>
      </c>
      <c r="O460">
        <v>1</v>
      </c>
      <c r="P460">
        <v>12</v>
      </c>
      <c r="Q460">
        <v>12</v>
      </c>
      <c r="R460">
        <v>0.5</v>
      </c>
      <c r="S460">
        <v>6</v>
      </c>
      <c r="T460">
        <v>0</v>
      </c>
    </row>
    <row r="461" spans="1:20" x14ac:dyDescent="0.2">
      <c r="A461">
        <v>460</v>
      </c>
      <c r="B461" t="s">
        <v>526</v>
      </c>
      <c r="C461" t="s">
        <v>526</v>
      </c>
      <c r="D461" t="s">
        <v>1726</v>
      </c>
      <c r="E461">
        <v>26</v>
      </c>
      <c r="G461">
        <v>7</v>
      </c>
      <c r="H461">
        <v>4</v>
      </c>
      <c r="I461">
        <v>1</v>
      </c>
      <c r="J461">
        <v>1</v>
      </c>
      <c r="K461">
        <v>1</v>
      </c>
      <c r="L461">
        <v>-3</v>
      </c>
      <c r="M461">
        <v>-3</v>
      </c>
      <c r="N461">
        <v>0</v>
      </c>
      <c r="O461">
        <v>0</v>
      </c>
      <c r="P461">
        <v>0</v>
      </c>
      <c r="Q461">
        <v>-3</v>
      </c>
      <c r="R461">
        <v>0.1</v>
      </c>
      <c r="S461">
        <v>-0.4</v>
      </c>
      <c r="T461">
        <v>1</v>
      </c>
    </row>
    <row r="462" spans="1:20" x14ac:dyDescent="0.2">
      <c r="A462">
        <v>461</v>
      </c>
      <c r="B462" t="s">
        <v>1826</v>
      </c>
      <c r="C462" t="s">
        <v>1826</v>
      </c>
      <c r="D462" t="s">
        <v>122</v>
      </c>
      <c r="E462">
        <v>24</v>
      </c>
      <c r="G462">
        <v>14</v>
      </c>
      <c r="H462">
        <v>0</v>
      </c>
      <c r="I462">
        <v>2</v>
      </c>
      <c r="J462">
        <v>1</v>
      </c>
      <c r="K462">
        <v>0.5</v>
      </c>
      <c r="L462">
        <v>3</v>
      </c>
      <c r="M462">
        <v>3</v>
      </c>
      <c r="N462">
        <v>0</v>
      </c>
      <c r="O462">
        <v>0</v>
      </c>
      <c r="P462">
        <v>3</v>
      </c>
      <c r="Q462">
        <v>1.5</v>
      </c>
      <c r="R462">
        <v>0.1</v>
      </c>
      <c r="S462">
        <v>0.2</v>
      </c>
      <c r="T462">
        <v>0</v>
      </c>
    </row>
    <row r="463" spans="1:20" x14ac:dyDescent="0.2">
      <c r="A463">
        <v>462</v>
      </c>
      <c r="B463" t="s">
        <v>470</v>
      </c>
      <c r="C463" t="s">
        <v>470</v>
      </c>
      <c r="D463" t="s">
        <v>102</v>
      </c>
      <c r="E463">
        <v>22</v>
      </c>
      <c r="G463">
        <v>5</v>
      </c>
      <c r="H463">
        <v>0</v>
      </c>
      <c r="I463">
        <v>2</v>
      </c>
      <c r="J463">
        <v>1</v>
      </c>
      <c r="K463">
        <v>0.5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0.2</v>
      </c>
      <c r="S463">
        <v>0</v>
      </c>
      <c r="T463">
        <v>0</v>
      </c>
    </row>
    <row r="464" spans="1:20" x14ac:dyDescent="0.2">
      <c r="A464">
        <v>463</v>
      </c>
      <c r="B464" t="s">
        <v>120</v>
      </c>
      <c r="C464" t="s">
        <v>120</v>
      </c>
      <c r="D464" t="s">
        <v>102</v>
      </c>
      <c r="E464">
        <v>22</v>
      </c>
      <c r="F464" t="s">
        <v>935</v>
      </c>
      <c r="G464">
        <v>15</v>
      </c>
      <c r="H464">
        <v>4</v>
      </c>
      <c r="I464">
        <v>1</v>
      </c>
      <c r="J464">
        <v>1</v>
      </c>
      <c r="K464">
        <v>1</v>
      </c>
      <c r="L464">
        <v>3</v>
      </c>
      <c r="M464">
        <v>3</v>
      </c>
      <c r="N464">
        <v>0</v>
      </c>
      <c r="O464">
        <v>0</v>
      </c>
      <c r="P464">
        <v>3</v>
      </c>
      <c r="Q464">
        <v>3</v>
      </c>
      <c r="R464">
        <v>0.1</v>
      </c>
      <c r="S464">
        <v>0.2</v>
      </c>
      <c r="T464">
        <v>9</v>
      </c>
    </row>
    <row r="465" spans="1:20" x14ac:dyDescent="0.2">
      <c r="A465">
        <v>464</v>
      </c>
      <c r="B465" t="s">
        <v>553</v>
      </c>
      <c r="C465" t="s">
        <v>553</v>
      </c>
      <c r="D465" t="s">
        <v>74</v>
      </c>
      <c r="E465">
        <v>25</v>
      </c>
      <c r="G465">
        <v>1</v>
      </c>
      <c r="H465">
        <v>0</v>
      </c>
      <c r="I465">
        <v>2</v>
      </c>
      <c r="J465">
        <v>1</v>
      </c>
      <c r="K465">
        <v>0.5</v>
      </c>
      <c r="L465">
        <v>5</v>
      </c>
      <c r="M465">
        <v>5</v>
      </c>
      <c r="N465">
        <v>0</v>
      </c>
      <c r="O465">
        <v>0</v>
      </c>
      <c r="P465">
        <v>5</v>
      </c>
      <c r="Q465">
        <v>2.5</v>
      </c>
      <c r="R465">
        <v>1</v>
      </c>
      <c r="S465">
        <v>5</v>
      </c>
      <c r="T465">
        <v>0</v>
      </c>
    </row>
    <row r="466" spans="1:20" x14ac:dyDescent="0.2">
      <c r="A466">
        <v>465</v>
      </c>
      <c r="B466" t="s">
        <v>2105</v>
      </c>
      <c r="C466" t="s">
        <v>2105</v>
      </c>
      <c r="D466" t="s">
        <v>729</v>
      </c>
      <c r="E466">
        <v>26</v>
      </c>
      <c r="F466" t="s">
        <v>1577</v>
      </c>
      <c r="G466">
        <v>1</v>
      </c>
      <c r="H466">
        <v>1</v>
      </c>
      <c r="I466">
        <v>1</v>
      </c>
      <c r="J466">
        <v>1</v>
      </c>
      <c r="K466">
        <v>1</v>
      </c>
      <c r="L466">
        <v>12</v>
      </c>
      <c r="M466">
        <v>12</v>
      </c>
      <c r="N466">
        <v>0</v>
      </c>
      <c r="O466">
        <v>1</v>
      </c>
      <c r="P466">
        <v>12</v>
      </c>
      <c r="Q466">
        <v>12</v>
      </c>
      <c r="R466">
        <v>1</v>
      </c>
      <c r="S466">
        <v>12</v>
      </c>
      <c r="T466">
        <v>0</v>
      </c>
    </row>
    <row r="467" spans="1:20" x14ac:dyDescent="0.2">
      <c r="A467">
        <v>466</v>
      </c>
      <c r="B467" t="s">
        <v>504</v>
      </c>
      <c r="C467" t="s">
        <v>504</v>
      </c>
      <c r="D467" t="s">
        <v>1726</v>
      </c>
      <c r="E467">
        <v>25</v>
      </c>
      <c r="G467">
        <v>11</v>
      </c>
      <c r="H467">
        <v>0</v>
      </c>
      <c r="I467">
        <v>1</v>
      </c>
      <c r="J467">
        <v>1</v>
      </c>
      <c r="K467">
        <v>1</v>
      </c>
      <c r="L467">
        <v>11</v>
      </c>
      <c r="M467">
        <v>11</v>
      </c>
      <c r="N467">
        <v>0</v>
      </c>
      <c r="O467">
        <v>1</v>
      </c>
      <c r="P467">
        <v>11</v>
      </c>
      <c r="Q467">
        <v>11</v>
      </c>
      <c r="R467">
        <v>0.1</v>
      </c>
      <c r="S467">
        <v>1</v>
      </c>
      <c r="T467">
        <v>0</v>
      </c>
    </row>
    <row r="468" spans="1:20" x14ac:dyDescent="0.2">
      <c r="A468">
        <v>467</v>
      </c>
      <c r="B468" t="s">
        <v>511</v>
      </c>
      <c r="C468" t="s">
        <v>511</v>
      </c>
      <c r="D468" t="s">
        <v>102</v>
      </c>
      <c r="E468">
        <v>22</v>
      </c>
      <c r="G468">
        <v>1</v>
      </c>
      <c r="H468">
        <v>0</v>
      </c>
      <c r="I468">
        <v>1</v>
      </c>
      <c r="J468">
        <v>1</v>
      </c>
      <c r="K468">
        <v>1</v>
      </c>
      <c r="L468">
        <v>2</v>
      </c>
      <c r="M468">
        <v>2</v>
      </c>
      <c r="N468">
        <v>0</v>
      </c>
      <c r="O468">
        <v>0</v>
      </c>
      <c r="P468">
        <v>2</v>
      </c>
      <c r="Q468">
        <v>2</v>
      </c>
      <c r="R468">
        <v>1</v>
      </c>
      <c r="S468">
        <v>2</v>
      </c>
      <c r="T468">
        <v>0</v>
      </c>
    </row>
    <row r="469" spans="1:20" x14ac:dyDescent="0.2">
      <c r="A469">
        <v>468</v>
      </c>
      <c r="B469" t="s">
        <v>507</v>
      </c>
      <c r="C469" t="s">
        <v>507</v>
      </c>
      <c r="D469" t="s">
        <v>70</v>
      </c>
      <c r="E469">
        <v>26</v>
      </c>
      <c r="G469">
        <v>1</v>
      </c>
      <c r="H469">
        <v>0</v>
      </c>
      <c r="I469">
        <v>2</v>
      </c>
      <c r="J469">
        <v>1</v>
      </c>
      <c r="K469">
        <v>0.5</v>
      </c>
      <c r="L469">
        <v>13</v>
      </c>
      <c r="M469">
        <v>13</v>
      </c>
      <c r="N469">
        <v>0</v>
      </c>
      <c r="O469">
        <v>0</v>
      </c>
      <c r="P469">
        <v>13</v>
      </c>
      <c r="Q469">
        <v>6.5</v>
      </c>
      <c r="R469">
        <v>1</v>
      </c>
      <c r="S469">
        <v>13</v>
      </c>
      <c r="T469">
        <v>0</v>
      </c>
    </row>
    <row r="470" spans="1:20" x14ac:dyDescent="0.2">
      <c r="A470">
        <v>469</v>
      </c>
      <c r="B470" t="s">
        <v>514</v>
      </c>
      <c r="C470" t="s">
        <v>514</v>
      </c>
      <c r="D470" t="s">
        <v>98</v>
      </c>
      <c r="E470">
        <v>28</v>
      </c>
      <c r="G470">
        <v>6</v>
      </c>
      <c r="H470">
        <v>0</v>
      </c>
      <c r="I470">
        <v>1</v>
      </c>
      <c r="J470">
        <v>1</v>
      </c>
      <c r="K470">
        <v>1</v>
      </c>
      <c r="L470">
        <v>22</v>
      </c>
      <c r="M470">
        <v>22</v>
      </c>
      <c r="N470">
        <v>1</v>
      </c>
      <c r="O470">
        <v>1</v>
      </c>
      <c r="P470">
        <v>22</v>
      </c>
      <c r="Q470">
        <v>22</v>
      </c>
      <c r="R470">
        <v>0.2</v>
      </c>
      <c r="S470">
        <v>3.7</v>
      </c>
      <c r="T470">
        <v>0</v>
      </c>
    </row>
    <row r="471" spans="1:20" x14ac:dyDescent="0.2">
      <c r="A471">
        <v>470</v>
      </c>
      <c r="B471" t="s">
        <v>2154</v>
      </c>
      <c r="C471" t="s">
        <v>2154</v>
      </c>
      <c r="D471" t="s">
        <v>82</v>
      </c>
      <c r="E471">
        <v>28</v>
      </c>
      <c r="F471" t="s">
        <v>2155</v>
      </c>
      <c r="G471">
        <v>15</v>
      </c>
      <c r="H471">
        <v>1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0.1</v>
      </c>
      <c r="S471">
        <v>0.1</v>
      </c>
      <c r="T471">
        <v>0</v>
      </c>
    </row>
    <row r="472" spans="1:20" x14ac:dyDescent="0.2">
      <c r="A472">
        <v>471</v>
      </c>
      <c r="B472" t="s">
        <v>496</v>
      </c>
      <c r="C472" t="s">
        <v>496</v>
      </c>
      <c r="D472" t="s">
        <v>1257</v>
      </c>
      <c r="E472">
        <v>28</v>
      </c>
      <c r="G472">
        <v>5</v>
      </c>
      <c r="H472">
        <v>0</v>
      </c>
      <c r="I472">
        <v>3</v>
      </c>
      <c r="J472">
        <v>1</v>
      </c>
      <c r="K472">
        <v>0.33300000000000002</v>
      </c>
      <c r="L472">
        <v>5</v>
      </c>
      <c r="M472">
        <v>5</v>
      </c>
      <c r="N472">
        <v>0</v>
      </c>
      <c r="O472">
        <v>0</v>
      </c>
      <c r="P472">
        <v>5</v>
      </c>
      <c r="Q472">
        <v>1.7</v>
      </c>
      <c r="R472">
        <v>0.2</v>
      </c>
      <c r="S472">
        <v>1</v>
      </c>
      <c r="T472">
        <v>0</v>
      </c>
    </row>
    <row r="473" spans="1:20" x14ac:dyDescent="0.2">
      <c r="A473">
        <v>472</v>
      </c>
      <c r="B473" t="s">
        <v>2156</v>
      </c>
      <c r="C473" t="s">
        <v>2156</v>
      </c>
      <c r="D473" t="s">
        <v>727</v>
      </c>
      <c r="E473">
        <v>31</v>
      </c>
      <c r="F473" t="s">
        <v>2157</v>
      </c>
      <c r="G473">
        <v>8</v>
      </c>
      <c r="H473">
        <v>8</v>
      </c>
      <c r="I473">
        <v>1</v>
      </c>
      <c r="J473">
        <v>1</v>
      </c>
      <c r="K473">
        <v>1</v>
      </c>
      <c r="L473">
        <v>4</v>
      </c>
      <c r="M473">
        <v>4</v>
      </c>
      <c r="N473">
        <v>0</v>
      </c>
      <c r="O473">
        <v>1</v>
      </c>
      <c r="P473">
        <v>4</v>
      </c>
      <c r="Q473">
        <v>4</v>
      </c>
      <c r="R473">
        <v>0.1</v>
      </c>
      <c r="S473">
        <v>0.5</v>
      </c>
      <c r="T473">
        <v>0</v>
      </c>
    </row>
    <row r="474" spans="1:20" x14ac:dyDescent="0.2">
      <c r="A474">
        <v>473</v>
      </c>
      <c r="B474" t="s">
        <v>134</v>
      </c>
      <c r="C474" t="s">
        <v>134</v>
      </c>
      <c r="D474" t="s">
        <v>82</v>
      </c>
      <c r="E474">
        <v>25</v>
      </c>
      <c r="F474" t="s">
        <v>79</v>
      </c>
      <c r="G474">
        <v>16</v>
      </c>
      <c r="H474">
        <v>16</v>
      </c>
      <c r="I474">
        <v>1</v>
      </c>
      <c r="J474">
        <v>1</v>
      </c>
      <c r="K474">
        <v>1</v>
      </c>
      <c r="L474">
        <v>6</v>
      </c>
      <c r="M474">
        <v>6</v>
      </c>
      <c r="N474">
        <v>0</v>
      </c>
      <c r="O474">
        <v>1</v>
      </c>
      <c r="P474">
        <v>6</v>
      </c>
      <c r="Q474">
        <v>6</v>
      </c>
      <c r="R474">
        <v>0.1</v>
      </c>
      <c r="S474">
        <v>0.4</v>
      </c>
      <c r="T474">
        <v>8</v>
      </c>
    </row>
    <row r="475" spans="1:20" x14ac:dyDescent="0.2">
      <c r="A475">
        <v>474</v>
      </c>
      <c r="B475" t="s">
        <v>2158</v>
      </c>
      <c r="C475" t="s">
        <v>2158</v>
      </c>
      <c r="D475" t="s">
        <v>1052</v>
      </c>
      <c r="E475">
        <v>33</v>
      </c>
      <c r="F475" t="s">
        <v>1882</v>
      </c>
      <c r="G475">
        <v>8</v>
      </c>
      <c r="H475">
        <v>5</v>
      </c>
      <c r="I475">
        <v>2</v>
      </c>
      <c r="J475">
        <v>1</v>
      </c>
      <c r="K475">
        <v>0.5</v>
      </c>
      <c r="L475">
        <v>2</v>
      </c>
      <c r="M475">
        <v>2</v>
      </c>
      <c r="N475">
        <v>0</v>
      </c>
      <c r="O475">
        <v>1</v>
      </c>
      <c r="P475">
        <v>2</v>
      </c>
      <c r="Q475">
        <v>1</v>
      </c>
      <c r="R475">
        <v>0.1</v>
      </c>
      <c r="S475">
        <v>0.3</v>
      </c>
      <c r="T475">
        <v>0</v>
      </c>
    </row>
    <row r="476" spans="1:20" x14ac:dyDescent="0.2">
      <c r="A476">
        <v>475</v>
      </c>
      <c r="B476" t="s">
        <v>190</v>
      </c>
      <c r="C476" t="s">
        <v>190</v>
      </c>
      <c r="D476" t="s">
        <v>1052</v>
      </c>
      <c r="E476">
        <v>24</v>
      </c>
      <c r="F476" t="s">
        <v>935</v>
      </c>
      <c r="G476">
        <v>9</v>
      </c>
      <c r="H476">
        <v>8</v>
      </c>
      <c r="I476">
        <v>1</v>
      </c>
      <c r="J476">
        <v>1</v>
      </c>
      <c r="K476">
        <v>1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0.1</v>
      </c>
      <c r="S476">
        <v>0</v>
      </c>
      <c r="T476">
        <v>5</v>
      </c>
    </row>
    <row r="477" spans="1:20" x14ac:dyDescent="0.2">
      <c r="A477">
        <v>476</v>
      </c>
      <c r="B477" t="s">
        <v>497</v>
      </c>
      <c r="C477" t="s">
        <v>497</v>
      </c>
      <c r="D477" t="s">
        <v>1122</v>
      </c>
      <c r="E477">
        <v>27</v>
      </c>
      <c r="G477">
        <v>6</v>
      </c>
      <c r="H477">
        <v>0</v>
      </c>
      <c r="I477">
        <v>2</v>
      </c>
      <c r="J477">
        <v>1</v>
      </c>
      <c r="K477">
        <v>0.5</v>
      </c>
      <c r="L477">
        <v>15</v>
      </c>
      <c r="M477">
        <v>15</v>
      </c>
      <c r="N477">
        <v>0</v>
      </c>
      <c r="O477">
        <v>1</v>
      </c>
      <c r="P477">
        <v>15</v>
      </c>
      <c r="Q477">
        <v>7.5</v>
      </c>
      <c r="R477">
        <v>0.2</v>
      </c>
      <c r="S477">
        <v>2.5</v>
      </c>
      <c r="T477">
        <v>0</v>
      </c>
    </row>
    <row r="478" spans="1:20" x14ac:dyDescent="0.2">
      <c r="A478">
        <v>477</v>
      </c>
      <c r="B478" t="s">
        <v>682</v>
      </c>
      <c r="C478" t="s">
        <v>682</v>
      </c>
      <c r="D478" t="s">
        <v>139</v>
      </c>
      <c r="E478">
        <v>23</v>
      </c>
      <c r="G478">
        <v>7</v>
      </c>
      <c r="H478">
        <v>0</v>
      </c>
      <c r="I478">
        <v>2</v>
      </c>
      <c r="J478">
        <v>1</v>
      </c>
      <c r="K478">
        <v>0.5</v>
      </c>
      <c r="L478">
        <v>3</v>
      </c>
      <c r="M478">
        <v>3</v>
      </c>
      <c r="N478">
        <v>0</v>
      </c>
      <c r="O478">
        <v>0</v>
      </c>
      <c r="P478">
        <v>3</v>
      </c>
      <c r="Q478">
        <v>1.5</v>
      </c>
      <c r="R478">
        <v>0.1</v>
      </c>
      <c r="S478">
        <v>0.4</v>
      </c>
      <c r="T478">
        <v>0</v>
      </c>
    </row>
    <row r="479" spans="1:20" x14ac:dyDescent="0.2">
      <c r="A479">
        <v>478</v>
      </c>
      <c r="B479" t="s">
        <v>2159</v>
      </c>
      <c r="C479" t="s">
        <v>2159</v>
      </c>
      <c r="D479" t="s">
        <v>98</v>
      </c>
      <c r="E479">
        <v>26</v>
      </c>
      <c r="G479">
        <v>16</v>
      </c>
      <c r="H479">
        <v>0</v>
      </c>
      <c r="I479">
        <v>1</v>
      </c>
      <c r="J479">
        <v>1</v>
      </c>
      <c r="K479">
        <v>1</v>
      </c>
      <c r="L479">
        <v>13</v>
      </c>
      <c r="M479">
        <v>13</v>
      </c>
      <c r="N479">
        <v>0</v>
      </c>
      <c r="O479">
        <v>1</v>
      </c>
      <c r="P479">
        <v>13</v>
      </c>
      <c r="Q479">
        <v>13</v>
      </c>
      <c r="R479">
        <v>0.1</v>
      </c>
      <c r="S479">
        <v>0.8</v>
      </c>
      <c r="T479">
        <v>0</v>
      </c>
    </row>
    <row r="480" spans="1:20" x14ac:dyDescent="0.2">
      <c r="A480">
        <v>479</v>
      </c>
      <c r="B480" t="s">
        <v>469</v>
      </c>
      <c r="C480" t="s">
        <v>469</v>
      </c>
      <c r="D480" t="s">
        <v>122</v>
      </c>
      <c r="E480">
        <v>23</v>
      </c>
      <c r="G480">
        <v>8</v>
      </c>
      <c r="H480">
        <v>0</v>
      </c>
      <c r="I480">
        <v>1</v>
      </c>
      <c r="J480">
        <v>1</v>
      </c>
      <c r="K480">
        <v>1</v>
      </c>
      <c r="L480">
        <v>7</v>
      </c>
      <c r="M480">
        <v>7</v>
      </c>
      <c r="N480">
        <v>0</v>
      </c>
      <c r="O480">
        <v>0</v>
      </c>
      <c r="P480">
        <v>7</v>
      </c>
      <c r="Q480">
        <v>7</v>
      </c>
      <c r="R480">
        <v>0.1</v>
      </c>
      <c r="S480">
        <v>0.9</v>
      </c>
      <c r="T480">
        <v>0</v>
      </c>
    </row>
    <row r="481" spans="1:20" x14ac:dyDescent="0.2">
      <c r="A481">
        <v>480</v>
      </c>
      <c r="B481" t="s">
        <v>956</v>
      </c>
      <c r="C481" t="s">
        <v>956</v>
      </c>
      <c r="D481" t="s">
        <v>729</v>
      </c>
      <c r="E481">
        <v>27</v>
      </c>
      <c r="F481" t="s">
        <v>935</v>
      </c>
      <c r="G481">
        <v>5</v>
      </c>
      <c r="H481">
        <v>5</v>
      </c>
      <c r="I481">
        <v>1</v>
      </c>
      <c r="J481">
        <v>1</v>
      </c>
      <c r="K481">
        <v>1</v>
      </c>
      <c r="L481">
        <v>11</v>
      </c>
      <c r="M481">
        <v>11</v>
      </c>
      <c r="N481">
        <v>1</v>
      </c>
      <c r="O481">
        <v>1</v>
      </c>
      <c r="P481">
        <v>11</v>
      </c>
      <c r="Q481">
        <v>11</v>
      </c>
      <c r="R481">
        <v>0.2</v>
      </c>
      <c r="S481">
        <v>2.2000000000000002</v>
      </c>
      <c r="T481">
        <v>3</v>
      </c>
    </row>
    <row r="482" spans="1:20" x14ac:dyDescent="0.2">
      <c r="A482">
        <v>481</v>
      </c>
      <c r="B482" t="s">
        <v>2160</v>
      </c>
      <c r="C482" t="s">
        <v>2160</v>
      </c>
      <c r="D482" t="s">
        <v>725</v>
      </c>
      <c r="E482">
        <v>24</v>
      </c>
      <c r="G482">
        <v>14</v>
      </c>
      <c r="H482">
        <v>0</v>
      </c>
      <c r="I482">
        <v>3</v>
      </c>
      <c r="J482">
        <v>1</v>
      </c>
      <c r="K482">
        <v>0.33300000000000002</v>
      </c>
      <c r="L482">
        <v>14</v>
      </c>
      <c r="M482">
        <v>14</v>
      </c>
      <c r="N482">
        <v>0</v>
      </c>
      <c r="O482">
        <v>1</v>
      </c>
      <c r="P482">
        <v>14</v>
      </c>
      <c r="Q482">
        <v>4.7</v>
      </c>
      <c r="R482">
        <v>0.1</v>
      </c>
      <c r="S482">
        <v>1</v>
      </c>
      <c r="T482">
        <v>0</v>
      </c>
    </row>
    <row r="483" spans="1:20" x14ac:dyDescent="0.2">
      <c r="A483">
        <v>482</v>
      </c>
      <c r="B483" t="s">
        <v>2064</v>
      </c>
      <c r="C483" t="s">
        <v>2064</v>
      </c>
      <c r="D483" t="s">
        <v>1052</v>
      </c>
      <c r="E483">
        <v>24</v>
      </c>
      <c r="G483">
        <v>2</v>
      </c>
      <c r="H483">
        <v>0</v>
      </c>
      <c r="I483">
        <v>1</v>
      </c>
      <c r="J483">
        <v>1</v>
      </c>
      <c r="K483">
        <v>1</v>
      </c>
      <c r="L483">
        <v>3</v>
      </c>
      <c r="M483">
        <v>3</v>
      </c>
      <c r="N483">
        <v>0</v>
      </c>
      <c r="O483">
        <v>0</v>
      </c>
      <c r="P483">
        <v>3</v>
      </c>
      <c r="Q483">
        <v>3</v>
      </c>
      <c r="R483">
        <v>0.5</v>
      </c>
      <c r="S483">
        <v>1.5</v>
      </c>
      <c r="T483">
        <v>0</v>
      </c>
    </row>
    <row r="484" spans="1:20" x14ac:dyDescent="0.2">
      <c r="A484">
        <v>483</v>
      </c>
      <c r="B484" t="s">
        <v>1347</v>
      </c>
      <c r="C484" t="s">
        <v>103</v>
      </c>
      <c r="D484" t="s">
        <v>1267</v>
      </c>
      <c r="E484">
        <v>37</v>
      </c>
      <c r="F484" t="s">
        <v>79</v>
      </c>
      <c r="G484">
        <v>16</v>
      </c>
      <c r="H484">
        <v>16</v>
      </c>
      <c r="I484">
        <v>1</v>
      </c>
      <c r="J484">
        <v>1</v>
      </c>
      <c r="K484">
        <v>1</v>
      </c>
      <c r="L484">
        <v>-6</v>
      </c>
      <c r="M484">
        <v>-6</v>
      </c>
      <c r="N484">
        <v>0</v>
      </c>
      <c r="O484">
        <v>0</v>
      </c>
      <c r="P484">
        <v>-6</v>
      </c>
      <c r="Q484">
        <v>-6</v>
      </c>
      <c r="R484">
        <v>0.1</v>
      </c>
      <c r="S484">
        <v>-0.4</v>
      </c>
      <c r="T484">
        <v>4</v>
      </c>
    </row>
    <row r="485" spans="1:20" x14ac:dyDescent="0.2">
      <c r="A485">
        <v>484</v>
      </c>
      <c r="B485" t="s">
        <v>2161</v>
      </c>
      <c r="C485" t="s">
        <v>2161</v>
      </c>
      <c r="D485" t="s">
        <v>71</v>
      </c>
      <c r="E485">
        <v>25</v>
      </c>
      <c r="F485" t="s">
        <v>1298</v>
      </c>
      <c r="G485">
        <v>1</v>
      </c>
      <c r="H485">
        <v>1</v>
      </c>
      <c r="I485">
        <v>1</v>
      </c>
      <c r="J485">
        <v>1</v>
      </c>
      <c r="K485">
        <v>1</v>
      </c>
      <c r="L485">
        <v>16</v>
      </c>
      <c r="M485">
        <v>16</v>
      </c>
      <c r="N485">
        <v>0</v>
      </c>
      <c r="O485">
        <v>1</v>
      </c>
      <c r="P485">
        <v>16</v>
      </c>
      <c r="Q485">
        <v>16</v>
      </c>
      <c r="R485">
        <v>1</v>
      </c>
      <c r="S485">
        <v>16</v>
      </c>
      <c r="T485">
        <v>0</v>
      </c>
    </row>
    <row r="486" spans="1:20" x14ac:dyDescent="0.2">
      <c r="A486">
        <v>485</v>
      </c>
      <c r="B486" t="s">
        <v>1955</v>
      </c>
      <c r="C486" t="s">
        <v>1955</v>
      </c>
      <c r="D486" t="s">
        <v>1040</v>
      </c>
      <c r="E486">
        <v>32</v>
      </c>
      <c r="F486" t="s">
        <v>1392</v>
      </c>
      <c r="G486">
        <v>13</v>
      </c>
      <c r="H486">
        <v>1</v>
      </c>
      <c r="I486">
        <v>2</v>
      </c>
      <c r="J486">
        <v>1</v>
      </c>
      <c r="K486">
        <v>0.5</v>
      </c>
      <c r="L486">
        <v>5</v>
      </c>
      <c r="M486">
        <v>5</v>
      </c>
      <c r="N486">
        <v>1</v>
      </c>
      <c r="O486">
        <v>1</v>
      </c>
      <c r="P486">
        <v>5</v>
      </c>
      <c r="Q486">
        <v>2.5</v>
      </c>
      <c r="R486">
        <v>0.1</v>
      </c>
      <c r="S486">
        <v>0.4</v>
      </c>
      <c r="T486">
        <v>0</v>
      </c>
    </row>
    <row r="487" spans="1:20" x14ac:dyDescent="0.2">
      <c r="A487">
        <v>486</v>
      </c>
      <c r="B487" t="s">
        <v>437</v>
      </c>
      <c r="C487" t="s">
        <v>437</v>
      </c>
      <c r="D487" t="s">
        <v>71</v>
      </c>
      <c r="E487">
        <v>24</v>
      </c>
      <c r="G487">
        <v>7</v>
      </c>
      <c r="H487">
        <v>0</v>
      </c>
      <c r="I487">
        <v>3</v>
      </c>
      <c r="J487">
        <v>1</v>
      </c>
      <c r="K487">
        <v>0.33300000000000002</v>
      </c>
      <c r="L487">
        <v>13</v>
      </c>
      <c r="M487">
        <v>13</v>
      </c>
      <c r="N487">
        <v>0</v>
      </c>
      <c r="O487">
        <v>1</v>
      </c>
      <c r="P487">
        <v>13</v>
      </c>
      <c r="Q487">
        <v>4.3</v>
      </c>
      <c r="R487">
        <v>0.1</v>
      </c>
      <c r="S487">
        <v>1.9</v>
      </c>
      <c r="T487">
        <v>0</v>
      </c>
    </row>
    <row r="488" spans="1:20" x14ac:dyDescent="0.2">
      <c r="A488">
        <v>487</v>
      </c>
      <c r="B488" t="s">
        <v>2162</v>
      </c>
      <c r="C488" t="s">
        <v>2162</v>
      </c>
      <c r="D488" t="s">
        <v>119</v>
      </c>
      <c r="E488">
        <v>26</v>
      </c>
      <c r="F488" t="s">
        <v>1577</v>
      </c>
      <c r="G488">
        <v>16</v>
      </c>
      <c r="H488">
        <v>6</v>
      </c>
      <c r="I488">
        <v>3</v>
      </c>
      <c r="J488">
        <v>1</v>
      </c>
      <c r="K488">
        <v>0.33300000000000002</v>
      </c>
      <c r="L488">
        <v>6</v>
      </c>
      <c r="M488">
        <v>6</v>
      </c>
      <c r="N488">
        <v>0</v>
      </c>
      <c r="O488">
        <v>0</v>
      </c>
      <c r="P488">
        <v>6</v>
      </c>
      <c r="Q488">
        <v>2</v>
      </c>
      <c r="R488">
        <v>0.1</v>
      </c>
      <c r="S488">
        <v>0.4</v>
      </c>
      <c r="T488">
        <v>0</v>
      </c>
    </row>
    <row r="489" spans="1:20" x14ac:dyDescent="0.2">
      <c r="A489">
        <v>488</v>
      </c>
      <c r="B489" t="s">
        <v>116</v>
      </c>
      <c r="C489" t="s">
        <v>116</v>
      </c>
      <c r="D489" t="s">
        <v>77</v>
      </c>
      <c r="E489">
        <v>32</v>
      </c>
      <c r="F489" t="s">
        <v>79</v>
      </c>
      <c r="G489">
        <v>16</v>
      </c>
      <c r="H489">
        <v>16</v>
      </c>
      <c r="I489">
        <v>1</v>
      </c>
      <c r="J489">
        <v>1</v>
      </c>
      <c r="K489">
        <v>1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0.1</v>
      </c>
      <c r="S489">
        <v>0</v>
      </c>
      <c r="T489">
        <v>6</v>
      </c>
    </row>
    <row r="490" spans="1:20" x14ac:dyDescent="0.2">
      <c r="A490">
        <v>489</v>
      </c>
      <c r="B490" t="s">
        <v>484</v>
      </c>
      <c r="C490" t="s">
        <v>484</v>
      </c>
      <c r="D490" t="s">
        <v>1122</v>
      </c>
      <c r="E490">
        <v>22</v>
      </c>
      <c r="G490">
        <v>6</v>
      </c>
      <c r="H490">
        <v>0</v>
      </c>
      <c r="I490">
        <v>2</v>
      </c>
      <c r="J490">
        <v>1</v>
      </c>
      <c r="K490">
        <v>0.5</v>
      </c>
      <c r="L490">
        <v>4</v>
      </c>
      <c r="M490">
        <v>4</v>
      </c>
      <c r="N490">
        <v>0</v>
      </c>
      <c r="O490">
        <v>0</v>
      </c>
      <c r="P490">
        <v>4</v>
      </c>
      <c r="Q490">
        <v>2</v>
      </c>
      <c r="R490">
        <v>0.2</v>
      </c>
      <c r="S490">
        <v>0.7</v>
      </c>
      <c r="T490">
        <v>0</v>
      </c>
    </row>
    <row r="491" spans="1:20" x14ac:dyDescent="0.2">
      <c r="A491">
        <v>490</v>
      </c>
      <c r="B491" t="s">
        <v>683</v>
      </c>
      <c r="C491" t="s">
        <v>683</v>
      </c>
      <c r="D491" t="s">
        <v>1726</v>
      </c>
      <c r="E491">
        <v>24</v>
      </c>
      <c r="G491">
        <v>6</v>
      </c>
      <c r="H491">
        <v>0</v>
      </c>
      <c r="I491">
        <v>2</v>
      </c>
      <c r="J491">
        <v>1</v>
      </c>
      <c r="K491">
        <v>0.5</v>
      </c>
      <c r="L491">
        <v>3</v>
      </c>
      <c r="M491">
        <v>3</v>
      </c>
      <c r="N491">
        <v>1</v>
      </c>
      <c r="O491">
        <v>1</v>
      </c>
      <c r="P491">
        <v>3</v>
      </c>
      <c r="Q491">
        <v>1.5</v>
      </c>
      <c r="R491">
        <v>0.2</v>
      </c>
      <c r="S491">
        <v>0.5</v>
      </c>
      <c r="T491">
        <v>0</v>
      </c>
    </row>
    <row r="492" spans="1:20" x14ac:dyDescent="0.2">
      <c r="A492">
        <v>491</v>
      </c>
      <c r="B492" t="s">
        <v>680</v>
      </c>
      <c r="C492" t="s">
        <v>680</v>
      </c>
      <c r="D492" t="s">
        <v>70</v>
      </c>
      <c r="E492">
        <v>27</v>
      </c>
      <c r="F492" t="s">
        <v>1577</v>
      </c>
      <c r="G492">
        <v>15</v>
      </c>
      <c r="H492">
        <v>4</v>
      </c>
      <c r="I492">
        <v>2</v>
      </c>
      <c r="J492">
        <v>1</v>
      </c>
      <c r="K492">
        <v>0.5</v>
      </c>
      <c r="L492">
        <v>7</v>
      </c>
      <c r="M492">
        <v>7</v>
      </c>
      <c r="N492">
        <v>1</v>
      </c>
      <c r="O492">
        <v>1</v>
      </c>
      <c r="P492">
        <v>7</v>
      </c>
      <c r="Q492">
        <v>3.5</v>
      </c>
      <c r="R492">
        <v>0.1</v>
      </c>
      <c r="S492">
        <v>0.5</v>
      </c>
      <c r="T492">
        <v>0</v>
      </c>
    </row>
    <row r="493" spans="1:20" x14ac:dyDescent="0.2">
      <c r="A493">
        <v>492</v>
      </c>
      <c r="B493" t="s">
        <v>2163</v>
      </c>
      <c r="C493" t="s">
        <v>2163</v>
      </c>
      <c r="D493" t="s">
        <v>78</v>
      </c>
      <c r="E493">
        <v>24</v>
      </c>
      <c r="G493">
        <v>16</v>
      </c>
      <c r="H493">
        <v>0</v>
      </c>
      <c r="I493">
        <v>1</v>
      </c>
      <c r="J493">
        <v>1</v>
      </c>
      <c r="K493">
        <v>1</v>
      </c>
      <c r="L493">
        <v>26</v>
      </c>
      <c r="M493">
        <v>26</v>
      </c>
      <c r="N493">
        <v>0</v>
      </c>
      <c r="O493">
        <v>1</v>
      </c>
      <c r="P493">
        <v>26</v>
      </c>
      <c r="Q493">
        <v>26</v>
      </c>
      <c r="R493">
        <v>0.1</v>
      </c>
      <c r="S493">
        <v>1.6</v>
      </c>
      <c r="T493">
        <v>0</v>
      </c>
    </row>
    <row r="494" spans="1:20" x14ac:dyDescent="0.2">
      <c r="A494">
        <v>493</v>
      </c>
      <c r="B494" t="s">
        <v>446</v>
      </c>
      <c r="C494" t="s">
        <v>446</v>
      </c>
      <c r="D494" t="s">
        <v>1087</v>
      </c>
      <c r="E494">
        <v>24</v>
      </c>
      <c r="G494">
        <v>4</v>
      </c>
      <c r="H494">
        <v>0</v>
      </c>
      <c r="I494">
        <v>1</v>
      </c>
      <c r="J494">
        <v>1</v>
      </c>
      <c r="K494">
        <v>1</v>
      </c>
      <c r="L494">
        <v>27</v>
      </c>
      <c r="M494">
        <v>27</v>
      </c>
      <c r="N494">
        <v>0</v>
      </c>
      <c r="O494">
        <v>1</v>
      </c>
      <c r="P494">
        <v>27</v>
      </c>
      <c r="Q494">
        <v>27</v>
      </c>
      <c r="R494">
        <v>0.3</v>
      </c>
      <c r="S494">
        <v>6.8</v>
      </c>
      <c r="T494">
        <v>0</v>
      </c>
    </row>
    <row r="495" spans="1:20" x14ac:dyDescent="0.2">
      <c r="A495">
        <v>494</v>
      </c>
      <c r="B495" t="s">
        <v>566</v>
      </c>
      <c r="C495" t="s">
        <v>566</v>
      </c>
      <c r="D495" t="s">
        <v>78</v>
      </c>
      <c r="E495">
        <v>23</v>
      </c>
      <c r="G495">
        <v>14</v>
      </c>
      <c r="H495">
        <v>0</v>
      </c>
      <c r="I495">
        <v>1</v>
      </c>
      <c r="J495">
        <v>1</v>
      </c>
      <c r="K495">
        <v>1</v>
      </c>
      <c r="L495">
        <v>11</v>
      </c>
      <c r="M495">
        <v>11</v>
      </c>
      <c r="N495">
        <v>1</v>
      </c>
      <c r="O495">
        <v>1</v>
      </c>
      <c r="P495">
        <v>11</v>
      </c>
      <c r="Q495">
        <v>11</v>
      </c>
      <c r="R495">
        <v>0.1</v>
      </c>
      <c r="S495">
        <v>0.8</v>
      </c>
      <c r="T495">
        <v>0</v>
      </c>
    </row>
    <row r="496" spans="1:20" x14ac:dyDescent="0.2">
      <c r="A496">
        <v>495</v>
      </c>
      <c r="B496" t="s">
        <v>651</v>
      </c>
      <c r="C496" t="s">
        <v>651</v>
      </c>
      <c r="D496" t="s">
        <v>71</v>
      </c>
      <c r="E496">
        <v>25</v>
      </c>
      <c r="F496" t="s">
        <v>1577</v>
      </c>
      <c r="G496">
        <v>12</v>
      </c>
      <c r="H496">
        <v>4</v>
      </c>
      <c r="I496">
        <v>2</v>
      </c>
      <c r="J496">
        <v>1</v>
      </c>
      <c r="K496">
        <v>0.5</v>
      </c>
      <c r="L496">
        <v>5</v>
      </c>
      <c r="M496">
        <v>5</v>
      </c>
      <c r="N496">
        <v>0</v>
      </c>
      <c r="O496">
        <v>0</v>
      </c>
      <c r="P496">
        <v>5</v>
      </c>
      <c r="Q496">
        <v>2.5</v>
      </c>
      <c r="R496">
        <v>0.1</v>
      </c>
      <c r="S496">
        <v>0.4</v>
      </c>
      <c r="T496">
        <v>0</v>
      </c>
    </row>
    <row r="497" spans="1:20" x14ac:dyDescent="0.2">
      <c r="A497">
        <v>496</v>
      </c>
      <c r="B497" t="s">
        <v>383</v>
      </c>
      <c r="C497" t="s">
        <v>383</v>
      </c>
      <c r="D497" t="s">
        <v>1052</v>
      </c>
      <c r="E497">
        <v>27</v>
      </c>
      <c r="G497">
        <v>2</v>
      </c>
      <c r="H497">
        <v>0</v>
      </c>
      <c r="I497">
        <v>1</v>
      </c>
      <c r="J497">
        <v>1</v>
      </c>
      <c r="K497">
        <v>1</v>
      </c>
      <c r="L497">
        <v>4</v>
      </c>
      <c r="M497">
        <v>4</v>
      </c>
      <c r="N497">
        <v>0</v>
      </c>
      <c r="O497">
        <v>0</v>
      </c>
      <c r="P497">
        <v>4</v>
      </c>
      <c r="Q497">
        <v>4</v>
      </c>
      <c r="R497">
        <v>0.5</v>
      </c>
      <c r="S497">
        <v>2</v>
      </c>
      <c r="T497">
        <v>1</v>
      </c>
    </row>
    <row r="498" spans="1:20" x14ac:dyDescent="0.2">
      <c r="A498">
        <v>497</v>
      </c>
      <c r="B498" t="s">
        <v>414</v>
      </c>
      <c r="C498" t="s">
        <v>414</v>
      </c>
      <c r="D498" t="s">
        <v>98</v>
      </c>
      <c r="E498">
        <v>23</v>
      </c>
      <c r="G498">
        <v>1</v>
      </c>
      <c r="H498">
        <v>0</v>
      </c>
      <c r="I498">
        <v>1</v>
      </c>
      <c r="J498">
        <v>1</v>
      </c>
      <c r="K498">
        <v>1</v>
      </c>
      <c r="L498">
        <v>20</v>
      </c>
      <c r="M498">
        <v>20</v>
      </c>
      <c r="N498">
        <v>0</v>
      </c>
      <c r="O498">
        <v>1</v>
      </c>
      <c r="P498">
        <v>20</v>
      </c>
      <c r="Q498">
        <v>20</v>
      </c>
      <c r="R498">
        <v>1</v>
      </c>
      <c r="S498">
        <v>20</v>
      </c>
      <c r="T498">
        <v>0</v>
      </c>
    </row>
    <row r="499" spans="1:20" x14ac:dyDescent="0.2">
      <c r="A499">
        <v>498</v>
      </c>
      <c r="B499" t="s">
        <v>2164</v>
      </c>
      <c r="C499" t="s">
        <v>2164</v>
      </c>
      <c r="D499" t="s">
        <v>1726</v>
      </c>
      <c r="E499">
        <v>30</v>
      </c>
      <c r="G499">
        <v>8</v>
      </c>
      <c r="H499">
        <v>0</v>
      </c>
      <c r="I499">
        <v>3</v>
      </c>
      <c r="J499">
        <v>1</v>
      </c>
      <c r="K499">
        <v>0.33300000000000002</v>
      </c>
      <c r="L499">
        <v>12</v>
      </c>
      <c r="M499">
        <v>12</v>
      </c>
      <c r="N499">
        <v>0</v>
      </c>
      <c r="O499">
        <v>0</v>
      </c>
      <c r="P499">
        <v>12</v>
      </c>
      <c r="Q499">
        <v>4</v>
      </c>
      <c r="R499">
        <v>0.1</v>
      </c>
      <c r="S499">
        <v>1.5</v>
      </c>
      <c r="T499">
        <v>0</v>
      </c>
    </row>
    <row r="500" spans="1:20" x14ac:dyDescent="0.2">
      <c r="A500">
        <v>499</v>
      </c>
      <c r="B500" t="s">
        <v>1858</v>
      </c>
      <c r="C500" t="s">
        <v>1858</v>
      </c>
      <c r="D500" t="s">
        <v>98</v>
      </c>
      <c r="E500">
        <v>27</v>
      </c>
      <c r="G500">
        <v>3</v>
      </c>
      <c r="H500">
        <v>0</v>
      </c>
      <c r="I500">
        <v>4</v>
      </c>
      <c r="J500">
        <v>1</v>
      </c>
      <c r="K500">
        <v>0.25</v>
      </c>
      <c r="L500">
        <v>22</v>
      </c>
      <c r="M500">
        <v>22</v>
      </c>
      <c r="N500">
        <v>1</v>
      </c>
      <c r="O500">
        <v>1</v>
      </c>
      <c r="P500">
        <v>22</v>
      </c>
      <c r="Q500">
        <v>5.5</v>
      </c>
      <c r="R500">
        <v>0.3</v>
      </c>
      <c r="S500">
        <v>7.3</v>
      </c>
      <c r="T500">
        <v>1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5"/>
  <dimension ref="A1:AJ34"/>
  <sheetViews>
    <sheetView topLeftCell="C1" workbookViewId="0">
      <selection activeCell="D9" sqref="D9"/>
    </sheetView>
  </sheetViews>
  <sheetFormatPr baseColWidth="10" defaultColWidth="8.83203125" defaultRowHeight="15" x14ac:dyDescent="0.2"/>
  <cols>
    <col min="1" max="1" width="5.5" bestFit="1" customWidth="1"/>
    <col min="2" max="2" width="25" bestFit="1" customWidth="1"/>
    <col min="3" max="3" width="9.5" bestFit="1" customWidth="1"/>
    <col min="4" max="4" width="12.1640625" bestFit="1" customWidth="1"/>
    <col min="5" max="5" width="6.5" bestFit="1" customWidth="1"/>
    <col min="6" max="6" width="7.83203125" bestFit="1" customWidth="1"/>
    <col min="7" max="7" width="15.83203125" bestFit="1" customWidth="1"/>
    <col min="8" max="8" width="12.1640625" bestFit="1" customWidth="1"/>
    <col min="9" max="9" width="14.83203125" bestFit="1" customWidth="1"/>
    <col min="10" max="10" width="13.5" bestFit="1" customWidth="1"/>
    <col min="11" max="11" width="14.5" bestFit="1" customWidth="1"/>
    <col min="12" max="12" width="11.5" bestFit="1" customWidth="1"/>
    <col min="13" max="13" width="13.5" bestFit="1" customWidth="1"/>
    <col min="14" max="14" width="12.5" bestFit="1" customWidth="1"/>
    <col min="15" max="15" width="12.6640625" bestFit="1" customWidth="1"/>
    <col min="16" max="16" width="20.1640625" bestFit="1" customWidth="1"/>
    <col min="17" max="17" width="14.1640625" bestFit="1" customWidth="1"/>
    <col min="18" max="18" width="13.5" bestFit="1" customWidth="1"/>
    <col min="19" max="19" width="13.83203125" bestFit="1" customWidth="1"/>
    <col min="20" max="20" width="13" bestFit="1" customWidth="1"/>
    <col min="21" max="21" width="14" bestFit="1" customWidth="1"/>
    <col min="22" max="22" width="14.5" bestFit="1" customWidth="1"/>
    <col min="23" max="23" width="11.5" bestFit="1" customWidth="1"/>
    <col min="24" max="24" width="15.1640625" bestFit="1" customWidth="1"/>
    <col min="25" max="25" width="16.83203125" bestFit="1" customWidth="1"/>
    <col min="26" max="26" width="11.6640625" bestFit="1" customWidth="1"/>
    <col min="27" max="27" width="13.33203125" bestFit="1" customWidth="1"/>
    <col min="28" max="28" width="21" bestFit="1" customWidth="1"/>
    <col min="29" max="29" width="9.6640625" style="12" bestFit="1" customWidth="1"/>
    <col min="30" max="30" width="12.5" style="12" bestFit="1" customWidth="1"/>
    <col min="31" max="31" width="16.1640625" style="12" bestFit="1" customWidth="1"/>
    <col min="32" max="32" width="12.5" style="12" bestFit="1" customWidth="1"/>
    <col min="33" max="33" width="13.1640625" style="12" bestFit="1" customWidth="1"/>
    <col min="34" max="34" width="9.83203125" style="12" bestFit="1" customWidth="1"/>
    <col min="35" max="35" width="8.6640625" style="12" bestFit="1" customWidth="1"/>
    <col min="36" max="36" width="9.1640625" style="12" bestFit="1" customWidth="1"/>
  </cols>
  <sheetData>
    <row r="1" spans="1:36" s="2" customFormat="1" ht="32" x14ac:dyDescent="0.2">
      <c r="A1" s="2" t="s">
        <v>902</v>
      </c>
      <c r="B1" s="2" t="s">
        <v>21</v>
      </c>
      <c r="C1" s="2" t="s">
        <v>907</v>
      </c>
      <c r="D1" s="2" t="s">
        <v>2165</v>
      </c>
      <c r="E1" s="2" t="s">
        <v>799</v>
      </c>
      <c r="F1" s="2" t="s">
        <v>2166</v>
      </c>
      <c r="G1" s="2" t="s">
        <v>2167</v>
      </c>
      <c r="H1" s="2" t="s">
        <v>2168</v>
      </c>
      <c r="I1" s="2" t="s">
        <v>2169</v>
      </c>
      <c r="J1" s="2" t="s">
        <v>2170</v>
      </c>
      <c r="K1" s="2" t="s">
        <v>2171</v>
      </c>
      <c r="L1" s="2" t="s">
        <v>911</v>
      </c>
      <c r="M1" s="2" t="s">
        <v>2172</v>
      </c>
      <c r="N1" s="2" t="s">
        <v>34</v>
      </c>
      <c r="O1" s="2" t="s">
        <v>2173</v>
      </c>
      <c r="P1" s="2" t="s">
        <v>2174</v>
      </c>
      <c r="Q1" s="2" t="s">
        <v>2175</v>
      </c>
      <c r="R1" s="2" t="s">
        <v>1409</v>
      </c>
      <c r="S1" s="2" t="s">
        <v>1410</v>
      </c>
      <c r="T1" s="2" t="s">
        <v>1411</v>
      </c>
      <c r="U1" s="2" t="s">
        <v>2176</v>
      </c>
      <c r="V1" s="2" t="s">
        <v>2177</v>
      </c>
      <c r="W1" s="2" t="s">
        <v>2178</v>
      </c>
      <c r="X1" s="2" t="s">
        <v>2179</v>
      </c>
      <c r="Y1" s="2" t="s">
        <v>2180</v>
      </c>
      <c r="Z1" s="2" t="s">
        <v>2181</v>
      </c>
      <c r="AA1" s="2" t="s">
        <v>2182</v>
      </c>
      <c r="AB1" s="2" t="s">
        <v>2183</v>
      </c>
      <c r="AC1" s="11" t="s">
        <v>27</v>
      </c>
      <c r="AD1" s="11" t="s">
        <v>2184</v>
      </c>
      <c r="AE1" s="11" t="s">
        <v>2185</v>
      </c>
      <c r="AF1" s="11" t="s">
        <v>2186</v>
      </c>
      <c r="AG1" s="11" t="s">
        <v>2187</v>
      </c>
      <c r="AH1" s="11" t="s">
        <v>2188</v>
      </c>
      <c r="AI1" s="11" t="s">
        <v>2189</v>
      </c>
      <c r="AJ1" s="11" t="s">
        <v>2190</v>
      </c>
    </row>
    <row r="2" spans="1:36" x14ac:dyDescent="0.2">
      <c r="A2">
        <v>1</v>
      </c>
      <c r="B2" t="s">
        <v>309</v>
      </c>
      <c r="C2">
        <v>1</v>
      </c>
      <c r="D2">
        <v>41</v>
      </c>
      <c r="E2">
        <v>442</v>
      </c>
      <c r="F2">
        <v>55</v>
      </c>
      <c r="G2">
        <v>8</v>
      </c>
      <c r="H2">
        <v>2</v>
      </c>
      <c r="I2">
        <v>2</v>
      </c>
      <c r="J2">
        <v>21</v>
      </c>
      <c r="K2">
        <v>18</v>
      </c>
      <c r="L2">
        <v>26</v>
      </c>
      <c r="M2">
        <v>311</v>
      </c>
      <c r="N2">
        <v>2</v>
      </c>
      <c r="O2">
        <v>0</v>
      </c>
      <c r="P2">
        <v>11.5</v>
      </c>
      <c r="Q2">
        <v>13</v>
      </c>
      <c r="R2">
        <v>28</v>
      </c>
      <c r="S2">
        <v>131</v>
      </c>
      <c r="T2">
        <v>2</v>
      </c>
      <c r="U2">
        <v>4.7</v>
      </c>
      <c r="V2">
        <v>6</v>
      </c>
      <c r="W2">
        <v>7</v>
      </c>
      <c r="X2">
        <v>79</v>
      </c>
      <c r="Y2">
        <v>2</v>
      </c>
      <c r="Z2">
        <v>50</v>
      </c>
      <c r="AA2">
        <v>16.7</v>
      </c>
      <c r="AB2">
        <v>15.48</v>
      </c>
      <c r="AC2" s="12" t="str">
        <f>VLOOKUP(Team_Offense_Table__CY[[#This Row],[Team]],'Name Bridge'!$A$1:$B$410,2,FALSE)</f>
        <v>SF</v>
      </c>
      <c r="AD2" s="26">
        <f>Team_Offense_Table__CY[[#This Row],[Points For]]/Team_Offense_Table__CY[[#This Row],[Games]]</f>
        <v>41</v>
      </c>
      <c r="AE2" s="26">
        <f>Team_Offense_Table__CY[[#This Row],[Passing Yds]]/Team_Offense_Table__CY[[#This Row],[Games]]</f>
        <v>311</v>
      </c>
      <c r="AF2" s="26">
        <f>Team_Offense_Table__CY[[#This Row],[Rushing Yds]]/Team_Offense_Table__CY[[#This Row],[Games]]</f>
        <v>131</v>
      </c>
      <c r="AG2" s="26">
        <f>Team_Offense_Table__CY[[#This Row],[Rushing Att]]/Team_Offense_Table__CY[[#This Row],[Games]]</f>
        <v>28</v>
      </c>
      <c r="AH2" s="26">
        <f>Team_Offense_Table__CY[[#This Row],[Attempts]]/Team_Offense_Table__CY[[#This Row],[Games]]</f>
        <v>26</v>
      </c>
      <c r="AI2" s="13">
        <f>Team_Offense_Table__CY[[#This Row],[Rushing att per gm]]/(Team_Offense_Table__CY[[#This Row],[Rushing att per gm]]+Team_Offense_Table__CY[[#This Row],[Passing att per gm]])</f>
        <v>0.51851851851851849</v>
      </c>
      <c r="AJ2" s="13">
        <f>1-Team_Offense_Table__CY[[#This Row],[% Run]]</f>
        <v>0.48148148148148151</v>
      </c>
    </row>
    <row r="3" spans="1:36" x14ac:dyDescent="0.2">
      <c r="A3">
        <v>2</v>
      </c>
      <c r="B3" t="s">
        <v>692</v>
      </c>
      <c r="C3">
        <v>1</v>
      </c>
      <c r="D3">
        <v>38</v>
      </c>
      <c r="E3">
        <v>322</v>
      </c>
      <c r="F3">
        <v>60</v>
      </c>
      <c r="G3">
        <v>5.4</v>
      </c>
      <c r="I3">
        <v>0</v>
      </c>
      <c r="J3">
        <v>22</v>
      </c>
      <c r="K3">
        <v>15</v>
      </c>
      <c r="L3">
        <v>21</v>
      </c>
      <c r="M3">
        <v>151</v>
      </c>
      <c r="N3">
        <v>5</v>
      </c>
      <c r="O3">
        <v>0</v>
      </c>
      <c r="P3">
        <v>7.2</v>
      </c>
      <c r="Q3">
        <v>10</v>
      </c>
      <c r="R3">
        <v>39</v>
      </c>
      <c r="S3">
        <v>171</v>
      </c>
      <c r="T3">
        <v>0</v>
      </c>
      <c r="U3">
        <v>4.4000000000000004</v>
      </c>
      <c r="V3">
        <v>11</v>
      </c>
      <c r="W3">
        <v>6</v>
      </c>
      <c r="X3">
        <v>36</v>
      </c>
      <c r="Y3">
        <v>1</v>
      </c>
      <c r="Z3">
        <v>66.7</v>
      </c>
      <c r="AA3">
        <v>0</v>
      </c>
      <c r="AB3">
        <v>20.22</v>
      </c>
      <c r="AC3" s="12" t="str">
        <f>VLOOKUP(Team_Offense_Table__CY[[#This Row],[Team]],'Name Bridge'!$A$1:$B$410,2,FALSE)</f>
        <v>NO</v>
      </c>
      <c r="AD3" s="26">
        <f>Team_Offense_Table__CY[[#This Row],[Points For]]/Team_Offense_Table__CY[[#This Row],[Games]]</f>
        <v>38</v>
      </c>
      <c r="AE3" s="26">
        <f>Team_Offense_Table__CY[[#This Row],[Passing Yds]]/Team_Offense_Table__CY[[#This Row],[Games]]</f>
        <v>151</v>
      </c>
      <c r="AF3" s="26">
        <f>Team_Offense_Table__CY[[#This Row],[Rushing Yds]]/Team_Offense_Table__CY[[#This Row],[Games]]</f>
        <v>171</v>
      </c>
      <c r="AG3" s="26">
        <f>Team_Offense_Table__CY[[#This Row],[Rushing Att]]/Team_Offense_Table__CY[[#This Row],[Games]]</f>
        <v>39</v>
      </c>
      <c r="AH3" s="26">
        <f>Team_Offense_Table__CY[[#This Row],[Attempts]]/Team_Offense_Table__CY[[#This Row],[Games]]</f>
        <v>21</v>
      </c>
      <c r="AI3" s="13">
        <f>Team_Offense_Table__CY[[#This Row],[Rushing att per gm]]/(Team_Offense_Table__CY[[#This Row],[Rushing att per gm]]+Team_Offense_Table__CY[[#This Row],[Passing att per gm]])</f>
        <v>0.65</v>
      </c>
      <c r="AJ3" s="13">
        <f>1-Team_Offense_Table__CY[[#This Row],[% Run]]</f>
        <v>0.35</v>
      </c>
    </row>
    <row r="4" spans="1:36" x14ac:dyDescent="0.2">
      <c r="A4">
        <v>3</v>
      </c>
      <c r="B4" t="s">
        <v>698</v>
      </c>
      <c r="C4">
        <v>1</v>
      </c>
      <c r="D4">
        <v>38</v>
      </c>
      <c r="E4">
        <v>416</v>
      </c>
      <c r="F4">
        <v>67</v>
      </c>
      <c r="G4">
        <v>6.2</v>
      </c>
      <c r="H4">
        <v>1</v>
      </c>
      <c r="I4">
        <v>0</v>
      </c>
      <c r="J4">
        <v>22</v>
      </c>
      <c r="K4">
        <v>21</v>
      </c>
      <c r="L4">
        <v>32</v>
      </c>
      <c r="M4">
        <v>280</v>
      </c>
      <c r="N4">
        <v>4</v>
      </c>
      <c r="O4">
        <v>1</v>
      </c>
      <c r="P4">
        <v>8.1999999999999993</v>
      </c>
      <c r="Q4">
        <v>13</v>
      </c>
      <c r="R4">
        <v>33</v>
      </c>
      <c r="S4">
        <v>136</v>
      </c>
      <c r="T4">
        <v>1</v>
      </c>
      <c r="U4">
        <v>4.0999999999999996</v>
      </c>
      <c r="V4">
        <v>7</v>
      </c>
      <c r="W4">
        <v>8</v>
      </c>
      <c r="X4">
        <v>59</v>
      </c>
      <c r="Y4">
        <v>2</v>
      </c>
      <c r="Z4">
        <v>50</v>
      </c>
      <c r="AA4">
        <v>8.3000000000000007</v>
      </c>
      <c r="AB4">
        <v>8.83</v>
      </c>
      <c r="AC4" s="12" t="str">
        <f>VLOOKUP(Team_Offense_Table__CY[[#This Row],[Team]],'Name Bridge'!$A$1:$B$410,2,FALSE)</f>
        <v>ARI</v>
      </c>
      <c r="AD4" s="26">
        <f>Team_Offense_Table__CY[[#This Row],[Points For]]/Team_Offense_Table__CY[[#This Row],[Games]]</f>
        <v>38</v>
      </c>
      <c r="AE4" s="26">
        <f>Team_Offense_Table__CY[[#This Row],[Passing Yds]]/Team_Offense_Table__CY[[#This Row],[Games]]</f>
        <v>280</v>
      </c>
      <c r="AF4" s="26">
        <f>Team_Offense_Table__CY[[#This Row],[Rushing Yds]]/Team_Offense_Table__CY[[#This Row],[Games]]</f>
        <v>136</v>
      </c>
      <c r="AG4" s="26">
        <f>Team_Offense_Table__CY[[#This Row],[Rushing Att]]/Team_Offense_Table__CY[[#This Row],[Games]]</f>
        <v>33</v>
      </c>
      <c r="AH4" s="26">
        <f>Team_Offense_Table__CY[[#This Row],[Attempts]]/Team_Offense_Table__CY[[#This Row],[Games]]</f>
        <v>32</v>
      </c>
      <c r="AI4" s="13">
        <f>Team_Offense_Table__CY[[#This Row],[Rushing att per gm]]/(Team_Offense_Table__CY[[#This Row],[Rushing att per gm]]+Team_Offense_Table__CY[[#This Row],[Passing att per gm]])</f>
        <v>0.50769230769230766</v>
      </c>
      <c r="AJ4" s="13">
        <f>1-Team_Offense_Table__CY[[#This Row],[% Run]]</f>
        <v>0.49230769230769234</v>
      </c>
    </row>
    <row r="5" spans="1:36" x14ac:dyDescent="0.2">
      <c r="A5">
        <v>4</v>
      </c>
      <c r="B5" t="s">
        <v>699</v>
      </c>
      <c r="C5">
        <v>1</v>
      </c>
      <c r="D5">
        <v>37</v>
      </c>
      <c r="E5">
        <v>449</v>
      </c>
      <c r="F5">
        <v>75</v>
      </c>
      <c r="G5">
        <v>6</v>
      </c>
      <c r="I5">
        <v>0</v>
      </c>
      <c r="J5">
        <v>22</v>
      </c>
      <c r="K5">
        <v>21</v>
      </c>
      <c r="L5">
        <v>33</v>
      </c>
      <c r="M5">
        <v>289</v>
      </c>
      <c r="N5">
        <v>2</v>
      </c>
      <c r="O5">
        <v>0</v>
      </c>
      <c r="P5">
        <v>8.5</v>
      </c>
      <c r="Q5">
        <v>13</v>
      </c>
      <c r="R5">
        <v>41</v>
      </c>
      <c r="S5">
        <v>160</v>
      </c>
      <c r="T5">
        <v>2</v>
      </c>
      <c r="U5">
        <v>3.9</v>
      </c>
      <c r="V5">
        <v>6</v>
      </c>
      <c r="W5">
        <v>5</v>
      </c>
      <c r="X5">
        <v>50</v>
      </c>
      <c r="Y5">
        <v>3</v>
      </c>
      <c r="Z5">
        <v>50</v>
      </c>
      <c r="AA5">
        <v>0</v>
      </c>
      <c r="AB5">
        <v>14.76</v>
      </c>
      <c r="AC5" s="12" t="str">
        <f>VLOOKUP(Team_Offense_Table__CY[[#This Row],[Team]],'Name Bridge'!$A$1:$B$410,2,FALSE)</f>
        <v>HOU</v>
      </c>
      <c r="AD5" s="26">
        <f>Team_Offense_Table__CY[[#This Row],[Points For]]/Team_Offense_Table__CY[[#This Row],[Games]]</f>
        <v>37</v>
      </c>
      <c r="AE5" s="26">
        <f>Team_Offense_Table__CY[[#This Row],[Passing Yds]]/Team_Offense_Table__CY[[#This Row],[Games]]</f>
        <v>289</v>
      </c>
      <c r="AF5" s="26">
        <f>Team_Offense_Table__CY[[#This Row],[Rushing Yds]]/Team_Offense_Table__CY[[#This Row],[Games]]</f>
        <v>160</v>
      </c>
      <c r="AG5" s="26">
        <f>Team_Offense_Table__CY[[#This Row],[Rushing Att]]/Team_Offense_Table__CY[[#This Row],[Games]]</f>
        <v>41</v>
      </c>
      <c r="AH5" s="26">
        <f>Team_Offense_Table__CY[[#This Row],[Attempts]]/Team_Offense_Table__CY[[#This Row],[Games]]</f>
        <v>33</v>
      </c>
      <c r="AI5" s="13">
        <f>Team_Offense_Table__CY[[#This Row],[Rushing att per gm]]/(Team_Offense_Table__CY[[#This Row],[Rushing att per gm]]+Team_Offense_Table__CY[[#This Row],[Passing att per gm]])</f>
        <v>0.55405405405405406</v>
      </c>
      <c r="AJ5" s="13">
        <f>1-Team_Offense_Table__CY[[#This Row],[% Run]]</f>
        <v>0.44594594594594594</v>
      </c>
    </row>
    <row r="6" spans="1:36" x14ac:dyDescent="0.2">
      <c r="A6">
        <v>5</v>
      </c>
      <c r="B6" t="s">
        <v>878</v>
      </c>
      <c r="C6">
        <v>1</v>
      </c>
      <c r="D6">
        <v>34</v>
      </c>
      <c r="E6">
        <v>386</v>
      </c>
      <c r="F6">
        <v>50</v>
      </c>
      <c r="G6">
        <v>7.7</v>
      </c>
      <c r="I6">
        <v>0</v>
      </c>
      <c r="J6">
        <v>18</v>
      </c>
      <c r="K6">
        <v>20</v>
      </c>
      <c r="L6">
        <v>26</v>
      </c>
      <c r="M6">
        <v>312</v>
      </c>
      <c r="N6">
        <v>3</v>
      </c>
      <c r="O6">
        <v>0</v>
      </c>
      <c r="P6">
        <v>11.6</v>
      </c>
      <c r="Q6">
        <v>13</v>
      </c>
      <c r="R6">
        <v>23</v>
      </c>
      <c r="S6">
        <v>74</v>
      </c>
      <c r="T6">
        <v>1</v>
      </c>
      <c r="U6">
        <v>3.2</v>
      </c>
      <c r="V6">
        <v>4</v>
      </c>
      <c r="W6">
        <v>4</v>
      </c>
      <c r="X6">
        <v>36</v>
      </c>
      <c r="Y6">
        <v>1</v>
      </c>
      <c r="Z6">
        <v>66.7</v>
      </c>
      <c r="AA6">
        <v>0</v>
      </c>
      <c r="AB6">
        <v>21.58</v>
      </c>
      <c r="AC6" s="12" t="str">
        <f>VLOOKUP(Team_Offense_Table__CY[[#This Row],[Team]],'Name Bridge'!$A$1:$B$410,2,FALSE)</f>
        <v>LAR</v>
      </c>
      <c r="AD6" s="26">
        <f>Team_Offense_Table__CY[[#This Row],[Points For]]/Team_Offense_Table__CY[[#This Row],[Games]]</f>
        <v>34</v>
      </c>
      <c r="AE6" s="26">
        <f>Team_Offense_Table__CY[[#This Row],[Passing Yds]]/Team_Offense_Table__CY[[#This Row],[Games]]</f>
        <v>312</v>
      </c>
      <c r="AF6" s="26">
        <f>Team_Offense_Table__CY[[#This Row],[Rushing Yds]]/Team_Offense_Table__CY[[#This Row],[Games]]</f>
        <v>74</v>
      </c>
      <c r="AG6" s="26">
        <f>Team_Offense_Table__CY[[#This Row],[Rushing Att]]/Team_Offense_Table__CY[[#This Row],[Games]]</f>
        <v>23</v>
      </c>
      <c r="AH6" s="26">
        <f>Team_Offense_Table__CY[[#This Row],[Attempts]]/Team_Offense_Table__CY[[#This Row],[Games]]</f>
        <v>26</v>
      </c>
      <c r="AI6" s="13">
        <f>Team_Offense_Table__CY[[#This Row],[Rushing att per gm]]/(Team_Offense_Table__CY[[#This Row],[Rushing att per gm]]+Team_Offense_Table__CY[[#This Row],[Passing att per gm]])</f>
        <v>0.46938775510204084</v>
      </c>
      <c r="AJ6" s="13">
        <f>1-Team_Offense_Table__CY[[#This Row],[% Run]]</f>
        <v>0.53061224489795911</v>
      </c>
    </row>
    <row r="7" spans="1:36" x14ac:dyDescent="0.2">
      <c r="A7">
        <v>6</v>
      </c>
      <c r="B7" t="s">
        <v>879</v>
      </c>
      <c r="C7">
        <v>1</v>
      </c>
      <c r="D7">
        <v>33</v>
      </c>
      <c r="E7">
        <v>491</v>
      </c>
      <c r="F7">
        <v>80</v>
      </c>
      <c r="G7">
        <v>6.1</v>
      </c>
      <c r="H7">
        <v>1</v>
      </c>
      <c r="I7">
        <v>0</v>
      </c>
      <c r="J7">
        <v>26</v>
      </c>
      <c r="K7">
        <v>34</v>
      </c>
      <c r="L7">
        <v>56</v>
      </c>
      <c r="M7">
        <v>409</v>
      </c>
      <c r="N7">
        <v>2</v>
      </c>
      <c r="O7">
        <v>1</v>
      </c>
      <c r="P7">
        <v>6.9</v>
      </c>
      <c r="Q7">
        <v>17</v>
      </c>
      <c r="R7">
        <v>21</v>
      </c>
      <c r="S7">
        <v>82</v>
      </c>
      <c r="T7">
        <v>2</v>
      </c>
      <c r="U7">
        <v>3.9</v>
      </c>
      <c r="V7">
        <v>6</v>
      </c>
      <c r="W7">
        <v>10</v>
      </c>
      <c r="X7">
        <v>62</v>
      </c>
      <c r="Y7">
        <v>3</v>
      </c>
      <c r="Z7">
        <v>42.9</v>
      </c>
      <c r="AA7">
        <v>7.1</v>
      </c>
      <c r="AB7">
        <v>11.58</v>
      </c>
      <c r="AC7" s="12" t="str">
        <f>VLOOKUP(Team_Offense_Table__CY[[#This Row],[Team]],'Name Bridge'!$A$1:$B$410,2,FALSE)</f>
        <v>LV</v>
      </c>
      <c r="AD7" s="26">
        <f>Team_Offense_Table__CY[[#This Row],[Points For]]/Team_Offense_Table__CY[[#This Row],[Games]]</f>
        <v>33</v>
      </c>
      <c r="AE7" s="26">
        <f>Team_Offense_Table__CY[[#This Row],[Passing Yds]]/Team_Offense_Table__CY[[#This Row],[Games]]</f>
        <v>409</v>
      </c>
      <c r="AF7" s="26">
        <f>Team_Offense_Table__CY[[#This Row],[Rushing Yds]]/Team_Offense_Table__CY[[#This Row],[Games]]</f>
        <v>82</v>
      </c>
      <c r="AG7" s="26">
        <f>Team_Offense_Table__CY[[#This Row],[Rushing Att]]/Team_Offense_Table__CY[[#This Row],[Games]]</f>
        <v>21</v>
      </c>
      <c r="AH7" s="26">
        <f>Team_Offense_Table__CY[[#This Row],[Attempts]]/Team_Offense_Table__CY[[#This Row],[Games]]</f>
        <v>56</v>
      </c>
      <c r="AI7" s="13">
        <f>Team_Offense_Table__CY[[#This Row],[Rushing att per gm]]/(Team_Offense_Table__CY[[#This Row],[Rushing att per gm]]+Team_Offense_Table__CY[[#This Row],[Passing att per gm]])</f>
        <v>0.27272727272727271</v>
      </c>
      <c r="AJ7" s="13">
        <f>1-Team_Offense_Table__CY[[#This Row],[% Run]]</f>
        <v>0.72727272727272729</v>
      </c>
    </row>
    <row r="8" spans="1:36" x14ac:dyDescent="0.2">
      <c r="A8">
        <v>7</v>
      </c>
      <c r="B8" t="s">
        <v>695</v>
      </c>
      <c r="C8">
        <v>1</v>
      </c>
      <c r="D8">
        <v>33</v>
      </c>
      <c r="E8">
        <v>397</v>
      </c>
      <c r="F8">
        <v>61</v>
      </c>
      <c r="G8">
        <v>6.5</v>
      </c>
      <c r="I8">
        <v>0</v>
      </c>
      <c r="J8">
        <v>21</v>
      </c>
      <c r="K8">
        <v>27</v>
      </c>
      <c r="L8">
        <v>36</v>
      </c>
      <c r="M8">
        <v>324</v>
      </c>
      <c r="N8">
        <v>3</v>
      </c>
      <c r="O8">
        <v>0</v>
      </c>
      <c r="P8">
        <v>8.5</v>
      </c>
      <c r="Q8">
        <v>17</v>
      </c>
      <c r="R8">
        <v>23</v>
      </c>
      <c r="S8">
        <v>73</v>
      </c>
      <c r="T8">
        <v>1</v>
      </c>
      <c r="U8">
        <v>3.2</v>
      </c>
      <c r="V8">
        <v>4</v>
      </c>
      <c r="W8">
        <v>5</v>
      </c>
      <c r="X8">
        <v>36</v>
      </c>
      <c r="Z8">
        <v>66.7</v>
      </c>
      <c r="AA8">
        <v>0</v>
      </c>
      <c r="AB8">
        <v>19.34</v>
      </c>
      <c r="AC8" s="12" t="str">
        <f>VLOOKUP(Team_Offense_Table__CY[[#This Row],[Team]],'Name Bridge'!$A$1:$B$410,2,FALSE)</f>
        <v>KC</v>
      </c>
      <c r="AD8" s="26">
        <f>Team_Offense_Table__CY[[#This Row],[Points For]]/Team_Offense_Table__CY[[#This Row],[Games]]</f>
        <v>33</v>
      </c>
      <c r="AE8" s="26">
        <f>Team_Offense_Table__CY[[#This Row],[Passing Yds]]/Team_Offense_Table__CY[[#This Row],[Games]]</f>
        <v>324</v>
      </c>
      <c r="AF8" s="26">
        <f>Team_Offense_Table__CY[[#This Row],[Rushing Yds]]/Team_Offense_Table__CY[[#This Row],[Games]]</f>
        <v>73</v>
      </c>
      <c r="AG8" s="26">
        <f>Team_Offense_Table__CY[[#This Row],[Rushing Att]]/Team_Offense_Table__CY[[#This Row],[Games]]</f>
        <v>23</v>
      </c>
      <c r="AH8" s="26">
        <f>Team_Offense_Table__CY[[#This Row],[Attempts]]/Team_Offense_Table__CY[[#This Row],[Games]]</f>
        <v>36</v>
      </c>
      <c r="AI8" s="13">
        <f>Team_Offense_Table__CY[[#This Row],[Rushing att per gm]]/(Team_Offense_Table__CY[[#This Row],[Rushing att per gm]]+Team_Offense_Table__CY[[#This Row],[Passing att per gm]])</f>
        <v>0.38983050847457629</v>
      </c>
      <c r="AJ8" s="13">
        <f>1-Team_Offense_Table__CY[[#This Row],[% Run]]</f>
        <v>0.61016949152542366</v>
      </c>
    </row>
    <row r="9" spans="1:36" x14ac:dyDescent="0.2">
      <c r="A9">
        <v>8</v>
      </c>
      <c r="B9" t="s">
        <v>700</v>
      </c>
      <c r="C9">
        <v>1</v>
      </c>
      <c r="D9">
        <v>33</v>
      </c>
      <c r="E9">
        <v>430</v>
      </c>
      <c r="F9">
        <v>84</v>
      </c>
      <c r="G9">
        <v>5.0999999999999996</v>
      </c>
      <c r="H9">
        <v>1</v>
      </c>
      <c r="I9">
        <v>0</v>
      </c>
      <c r="J9">
        <v>31</v>
      </c>
      <c r="K9">
        <v>38</v>
      </c>
      <c r="L9">
        <v>57</v>
      </c>
      <c r="M9">
        <v>314</v>
      </c>
      <c r="N9">
        <v>3</v>
      </c>
      <c r="O9">
        <v>1</v>
      </c>
      <c r="P9">
        <v>5.2</v>
      </c>
      <c r="Q9">
        <v>19</v>
      </c>
      <c r="R9">
        <v>24</v>
      </c>
      <c r="S9">
        <v>116</v>
      </c>
      <c r="T9">
        <v>1</v>
      </c>
      <c r="U9">
        <v>4.8</v>
      </c>
      <c r="V9">
        <v>8</v>
      </c>
      <c r="W9">
        <v>5</v>
      </c>
      <c r="X9">
        <v>45</v>
      </c>
      <c r="Y9">
        <v>4</v>
      </c>
      <c r="Z9">
        <v>38.5</v>
      </c>
      <c r="AA9">
        <v>7.7</v>
      </c>
      <c r="AB9">
        <v>5.16</v>
      </c>
      <c r="AC9" s="12" t="str">
        <f>VLOOKUP(Team_Offense_Table__CY[[#This Row],[Team]],'Name Bridge'!$A$1:$B$410,2,FALSE)</f>
        <v>DET</v>
      </c>
      <c r="AD9" s="26">
        <f>Team_Offense_Table__CY[[#This Row],[Points For]]/Team_Offense_Table__CY[[#This Row],[Games]]</f>
        <v>33</v>
      </c>
      <c r="AE9" s="26">
        <f>Team_Offense_Table__CY[[#This Row],[Passing Yds]]/Team_Offense_Table__CY[[#This Row],[Games]]</f>
        <v>314</v>
      </c>
      <c r="AF9" s="26">
        <f>Team_Offense_Table__CY[[#This Row],[Rushing Yds]]/Team_Offense_Table__CY[[#This Row],[Games]]</f>
        <v>116</v>
      </c>
      <c r="AG9" s="26">
        <f>Team_Offense_Table__CY[[#This Row],[Rushing Att]]/Team_Offense_Table__CY[[#This Row],[Games]]</f>
        <v>24</v>
      </c>
      <c r="AH9" s="26">
        <f>Team_Offense_Table__CY[[#This Row],[Attempts]]/Team_Offense_Table__CY[[#This Row],[Games]]</f>
        <v>57</v>
      </c>
      <c r="AI9" s="13">
        <f>Team_Offense_Table__CY[[#This Row],[Rushing att per gm]]/(Team_Offense_Table__CY[[#This Row],[Rushing att per gm]]+Team_Offense_Table__CY[[#This Row],[Passing att per gm]])</f>
        <v>0.29629629629629628</v>
      </c>
      <c r="AJ9" s="13">
        <f>1-Team_Offense_Table__CY[[#This Row],[% Run]]</f>
        <v>0.70370370370370372</v>
      </c>
    </row>
    <row r="10" spans="1:36" x14ac:dyDescent="0.2">
      <c r="A10">
        <v>9</v>
      </c>
      <c r="B10" t="s">
        <v>691</v>
      </c>
      <c r="C10">
        <v>1</v>
      </c>
      <c r="D10">
        <v>32</v>
      </c>
      <c r="E10">
        <v>429</v>
      </c>
      <c r="F10">
        <v>70</v>
      </c>
      <c r="G10">
        <v>6.1</v>
      </c>
      <c r="I10">
        <v>0</v>
      </c>
      <c r="J10">
        <v>24</v>
      </c>
      <c r="K10">
        <v>27</v>
      </c>
      <c r="L10">
        <v>35</v>
      </c>
      <c r="M10">
        <v>261</v>
      </c>
      <c r="N10">
        <v>3</v>
      </c>
      <c r="O10">
        <v>0</v>
      </c>
      <c r="P10">
        <v>7.3</v>
      </c>
      <c r="Q10">
        <v>13</v>
      </c>
      <c r="R10">
        <v>34</v>
      </c>
      <c r="S10">
        <v>168</v>
      </c>
      <c r="T10">
        <v>1</v>
      </c>
      <c r="U10">
        <v>4.9000000000000004</v>
      </c>
      <c r="V10">
        <v>10</v>
      </c>
      <c r="W10">
        <v>14</v>
      </c>
      <c r="X10">
        <v>89</v>
      </c>
      <c r="Y10">
        <v>1</v>
      </c>
      <c r="Z10">
        <v>45.5</v>
      </c>
      <c r="AA10">
        <v>0</v>
      </c>
      <c r="AB10">
        <v>13.14</v>
      </c>
      <c r="AC10" s="12" t="str">
        <f>VLOOKUP(Team_Offense_Table__CY[[#This Row],[Team]],'Name Bridge'!$A$1:$B$410,2,FALSE)</f>
        <v>PHI</v>
      </c>
      <c r="AD10" s="26">
        <f>Team_Offense_Table__CY[[#This Row],[Points For]]/Team_Offense_Table__CY[[#This Row],[Games]]</f>
        <v>32</v>
      </c>
      <c r="AE10" s="26">
        <f>Team_Offense_Table__CY[[#This Row],[Passing Yds]]/Team_Offense_Table__CY[[#This Row],[Games]]</f>
        <v>261</v>
      </c>
      <c r="AF10" s="26">
        <f>Team_Offense_Table__CY[[#This Row],[Rushing Yds]]/Team_Offense_Table__CY[[#This Row],[Games]]</f>
        <v>168</v>
      </c>
      <c r="AG10" s="26">
        <f>Team_Offense_Table__CY[[#This Row],[Rushing Att]]/Team_Offense_Table__CY[[#This Row],[Games]]</f>
        <v>34</v>
      </c>
      <c r="AH10" s="26">
        <f>Team_Offense_Table__CY[[#This Row],[Attempts]]/Team_Offense_Table__CY[[#This Row],[Games]]</f>
        <v>35</v>
      </c>
      <c r="AI10" s="13">
        <f>Team_Offense_Table__CY[[#This Row],[Rushing att per gm]]/(Team_Offense_Table__CY[[#This Row],[Rushing att per gm]]+Team_Offense_Table__CY[[#This Row],[Passing att per gm]])</f>
        <v>0.49275362318840582</v>
      </c>
      <c r="AJ10" s="13">
        <f>1-Team_Offense_Table__CY[[#This Row],[% Run]]</f>
        <v>0.50724637681159424</v>
      </c>
    </row>
    <row r="11" spans="1:36" x14ac:dyDescent="0.2">
      <c r="A11">
        <v>10</v>
      </c>
      <c r="B11" t="s">
        <v>880</v>
      </c>
      <c r="C11">
        <v>1</v>
      </c>
      <c r="D11">
        <v>31</v>
      </c>
      <c r="E11">
        <v>431</v>
      </c>
      <c r="F11">
        <v>64</v>
      </c>
      <c r="G11">
        <v>6.7</v>
      </c>
      <c r="H11">
        <v>4</v>
      </c>
      <c r="I11">
        <v>2</v>
      </c>
      <c r="J11">
        <v>24</v>
      </c>
      <c r="K11">
        <v>32</v>
      </c>
      <c r="L11">
        <v>50</v>
      </c>
      <c r="M11">
        <v>379</v>
      </c>
      <c r="N11">
        <v>4</v>
      </c>
      <c r="O11">
        <v>2</v>
      </c>
      <c r="P11">
        <v>7.6</v>
      </c>
      <c r="Q11">
        <v>22</v>
      </c>
      <c r="R11">
        <v>14</v>
      </c>
      <c r="S11">
        <v>52</v>
      </c>
      <c r="T11">
        <v>0</v>
      </c>
      <c r="U11">
        <v>3.7</v>
      </c>
      <c r="V11">
        <v>1</v>
      </c>
      <c r="W11">
        <v>11</v>
      </c>
      <c r="X11">
        <v>106</v>
      </c>
      <c r="Y11">
        <v>1</v>
      </c>
      <c r="Z11">
        <v>38.5</v>
      </c>
      <c r="AA11">
        <v>30.8</v>
      </c>
      <c r="AB11">
        <v>9.3699999999999992</v>
      </c>
      <c r="AC11" s="12" t="str">
        <f>VLOOKUP(Team_Offense_Table__CY[[#This Row],[Team]],'Name Bridge'!$A$1:$B$410,2,FALSE)</f>
        <v>TB</v>
      </c>
      <c r="AD11" s="26">
        <f>Team_Offense_Table__CY[[#This Row],[Points For]]/Team_Offense_Table__CY[[#This Row],[Games]]</f>
        <v>31</v>
      </c>
      <c r="AE11" s="26">
        <f>Team_Offense_Table__CY[[#This Row],[Passing Yds]]/Team_Offense_Table__CY[[#This Row],[Games]]</f>
        <v>379</v>
      </c>
      <c r="AF11" s="26">
        <f>Team_Offense_Table__CY[[#This Row],[Rushing Yds]]/Team_Offense_Table__CY[[#This Row],[Games]]</f>
        <v>52</v>
      </c>
      <c r="AG11" s="26">
        <f>Team_Offense_Table__CY[[#This Row],[Rushing Att]]/Team_Offense_Table__CY[[#This Row],[Games]]</f>
        <v>14</v>
      </c>
      <c r="AH11" s="26">
        <f>Team_Offense_Table__CY[[#This Row],[Attempts]]/Team_Offense_Table__CY[[#This Row],[Games]]</f>
        <v>50</v>
      </c>
      <c r="AI11" s="13">
        <f>Team_Offense_Table__CY[[#This Row],[Rushing att per gm]]/(Team_Offense_Table__CY[[#This Row],[Rushing att per gm]]+Team_Offense_Table__CY[[#This Row],[Passing att per gm]])</f>
        <v>0.21875</v>
      </c>
      <c r="AJ11" s="13">
        <f>1-Team_Offense_Table__CY[[#This Row],[% Run]]</f>
        <v>0.78125</v>
      </c>
    </row>
    <row r="12" spans="1:36" x14ac:dyDescent="0.2">
      <c r="A12">
        <v>11</v>
      </c>
      <c r="B12" t="s">
        <v>877</v>
      </c>
      <c r="C12">
        <v>1</v>
      </c>
      <c r="D12">
        <v>29</v>
      </c>
      <c r="E12">
        <v>451</v>
      </c>
      <c r="F12">
        <v>77</v>
      </c>
      <c r="G12">
        <v>5.9</v>
      </c>
      <c r="H12">
        <v>1</v>
      </c>
      <c r="I12">
        <v>0</v>
      </c>
      <c r="J12">
        <v>30</v>
      </c>
      <c r="K12">
        <v>42</v>
      </c>
      <c r="L12">
        <v>58</v>
      </c>
      <c r="M12">
        <v>391</v>
      </c>
      <c r="N12">
        <v>3</v>
      </c>
      <c r="O12">
        <v>1</v>
      </c>
      <c r="P12">
        <v>6.6</v>
      </c>
      <c r="Q12">
        <v>21</v>
      </c>
      <c r="R12">
        <v>18</v>
      </c>
      <c r="S12">
        <v>60</v>
      </c>
      <c r="T12">
        <v>0</v>
      </c>
      <c r="U12">
        <v>3.3</v>
      </c>
      <c r="V12">
        <v>4</v>
      </c>
      <c r="W12">
        <v>8</v>
      </c>
      <c r="X12">
        <v>55</v>
      </c>
      <c r="Y12">
        <v>5</v>
      </c>
      <c r="Z12">
        <v>46.2</v>
      </c>
      <c r="AA12">
        <v>7.7</v>
      </c>
      <c r="AB12">
        <v>13.67</v>
      </c>
      <c r="AC12" s="12" t="str">
        <f>VLOOKUP(Team_Offense_Table__CY[[#This Row],[Team]],'Name Bridge'!$A$1:$B$410,2,FALSE)</f>
        <v>DAL</v>
      </c>
      <c r="AD12" s="26">
        <f>Team_Offense_Table__CY[[#This Row],[Points For]]/Team_Offense_Table__CY[[#This Row],[Games]]</f>
        <v>29</v>
      </c>
      <c r="AE12" s="26">
        <f>Team_Offense_Table__CY[[#This Row],[Passing Yds]]/Team_Offense_Table__CY[[#This Row],[Games]]</f>
        <v>391</v>
      </c>
      <c r="AF12" s="26">
        <f>Team_Offense_Table__CY[[#This Row],[Rushing Yds]]/Team_Offense_Table__CY[[#This Row],[Games]]</f>
        <v>60</v>
      </c>
      <c r="AG12" s="26">
        <f>Team_Offense_Table__CY[[#This Row],[Rushing Att]]/Team_Offense_Table__CY[[#This Row],[Games]]</f>
        <v>18</v>
      </c>
      <c r="AH12" s="26">
        <f>Team_Offense_Table__CY[[#This Row],[Attempts]]/Team_Offense_Table__CY[[#This Row],[Games]]</f>
        <v>58</v>
      </c>
      <c r="AI12" s="13">
        <f>Team_Offense_Table__CY[[#This Row],[Rushing att per gm]]/(Team_Offense_Table__CY[[#This Row],[Rushing att per gm]]+Team_Offense_Table__CY[[#This Row],[Passing att per gm]])</f>
        <v>0.23684210526315788</v>
      </c>
      <c r="AJ12" s="13">
        <f>1-Team_Offense_Table__CY[[#This Row],[% Run]]</f>
        <v>0.76315789473684215</v>
      </c>
    </row>
    <row r="13" spans="1:36" x14ac:dyDescent="0.2">
      <c r="A13">
        <v>12</v>
      </c>
      <c r="B13" t="s">
        <v>701</v>
      </c>
      <c r="C13">
        <v>1</v>
      </c>
      <c r="D13">
        <v>29</v>
      </c>
      <c r="E13">
        <v>457</v>
      </c>
      <c r="F13">
        <v>56</v>
      </c>
      <c r="G13">
        <v>8.1999999999999993</v>
      </c>
      <c r="H13">
        <v>2</v>
      </c>
      <c r="I13">
        <v>1</v>
      </c>
      <c r="J13">
        <v>24</v>
      </c>
      <c r="K13">
        <v>21</v>
      </c>
      <c r="L13">
        <v>28</v>
      </c>
      <c r="M13">
        <v>304</v>
      </c>
      <c r="N13">
        <v>0</v>
      </c>
      <c r="O13">
        <v>1</v>
      </c>
      <c r="P13">
        <v>10.1</v>
      </c>
      <c r="Q13">
        <v>14</v>
      </c>
      <c r="R13">
        <v>26</v>
      </c>
      <c r="S13">
        <v>153</v>
      </c>
      <c r="T13">
        <v>4</v>
      </c>
      <c r="U13">
        <v>5.9</v>
      </c>
      <c r="V13">
        <v>9</v>
      </c>
      <c r="W13">
        <v>5</v>
      </c>
      <c r="X13">
        <v>30</v>
      </c>
      <c r="Y13">
        <v>1</v>
      </c>
      <c r="Z13">
        <v>44.4</v>
      </c>
      <c r="AA13">
        <v>22.2</v>
      </c>
      <c r="AB13">
        <v>20.54</v>
      </c>
      <c r="AC13" s="12" t="str">
        <f>VLOOKUP(Team_Offense_Table__CY[[#This Row],[Team]],'Name Bridge'!$A$1:$B$410,2,FALSE)</f>
        <v>CLE</v>
      </c>
      <c r="AD13" s="26">
        <f>Team_Offense_Table__CY[[#This Row],[Points For]]/Team_Offense_Table__CY[[#This Row],[Games]]</f>
        <v>29</v>
      </c>
      <c r="AE13" s="26">
        <f>Team_Offense_Table__CY[[#This Row],[Passing Yds]]/Team_Offense_Table__CY[[#This Row],[Games]]</f>
        <v>304</v>
      </c>
      <c r="AF13" s="26">
        <f>Team_Offense_Table__CY[[#This Row],[Rushing Yds]]/Team_Offense_Table__CY[[#This Row],[Games]]</f>
        <v>153</v>
      </c>
      <c r="AG13" s="26">
        <f>Team_Offense_Table__CY[[#This Row],[Rushing Att]]/Team_Offense_Table__CY[[#This Row],[Games]]</f>
        <v>26</v>
      </c>
      <c r="AH13" s="26">
        <f>Team_Offense_Table__CY[[#This Row],[Attempts]]/Team_Offense_Table__CY[[#This Row],[Games]]</f>
        <v>28</v>
      </c>
      <c r="AI13" s="13">
        <f>Team_Offense_Table__CY[[#This Row],[Rushing att per gm]]/(Team_Offense_Table__CY[[#This Row],[Rushing att per gm]]+Team_Offense_Table__CY[[#This Row],[Passing att per gm]])</f>
        <v>0.48148148148148145</v>
      </c>
      <c r="AJ13" s="13">
        <f>1-Team_Offense_Table__CY[[#This Row],[% Run]]</f>
        <v>0.5185185185185186</v>
      </c>
    </row>
    <row r="14" spans="1:36" x14ac:dyDescent="0.2">
      <c r="A14">
        <v>13</v>
      </c>
      <c r="B14" t="s">
        <v>349</v>
      </c>
      <c r="C14">
        <v>1</v>
      </c>
      <c r="D14">
        <v>28</v>
      </c>
      <c r="E14">
        <v>381</v>
      </c>
      <c r="F14">
        <v>53</v>
      </c>
      <c r="G14">
        <v>7.2</v>
      </c>
      <c r="H14">
        <v>1</v>
      </c>
      <c r="I14">
        <v>1</v>
      </c>
      <c r="J14">
        <v>18</v>
      </c>
      <c r="K14">
        <v>18</v>
      </c>
      <c r="L14">
        <v>23</v>
      </c>
      <c r="M14">
        <v>241</v>
      </c>
      <c r="N14">
        <v>4</v>
      </c>
      <c r="O14">
        <v>0</v>
      </c>
      <c r="P14">
        <v>9.3000000000000007</v>
      </c>
      <c r="Q14">
        <v>12</v>
      </c>
      <c r="R14">
        <v>27</v>
      </c>
      <c r="S14">
        <v>140</v>
      </c>
      <c r="T14">
        <v>0</v>
      </c>
      <c r="U14">
        <v>5.2</v>
      </c>
      <c r="V14">
        <v>6</v>
      </c>
      <c r="W14">
        <v>7</v>
      </c>
      <c r="X14">
        <v>53</v>
      </c>
      <c r="Z14">
        <v>40</v>
      </c>
      <c r="AA14">
        <v>10</v>
      </c>
      <c r="AB14">
        <v>14.35</v>
      </c>
      <c r="AC14" s="12" t="str">
        <f>VLOOKUP(Team_Offense_Table__CY[[#This Row],[Team]],'Name Bridge'!$A$1:$B$410,2,FALSE)</f>
        <v>SEA</v>
      </c>
      <c r="AD14" s="26">
        <f>Team_Offense_Table__CY[[#This Row],[Points For]]/Team_Offense_Table__CY[[#This Row],[Games]]</f>
        <v>28</v>
      </c>
      <c r="AE14" s="26">
        <f>Team_Offense_Table__CY[[#This Row],[Passing Yds]]/Team_Offense_Table__CY[[#This Row],[Games]]</f>
        <v>241</v>
      </c>
      <c r="AF14" s="26">
        <f>Team_Offense_Table__CY[[#This Row],[Rushing Yds]]/Team_Offense_Table__CY[[#This Row],[Games]]</f>
        <v>140</v>
      </c>
      <c r="AG14" s="26">
        <f>Team_Offense_Table__CY[[#This Row],[Rushing Att]]/Team_Offense_Table__CY[[#This Row],[Games]]</f>
        <v>27</v>
      </c>
      <c r="AH14" s="26">
        <f>Team_Offense_Table__CY[[#This Row],[Attempts]]/Team_Offense_Table__CY[[#This Row],[Games]]</f>
        <v>23</v>
      </c>
      <c r="AI14" s="13">
        <f>Team_Offense_Table__CY[[#This Row],[Rushing att per gm]]/(Team_Offense_Table__CY[[#This Row],[Rushing att per gm]]+Team_Offense_Table__CY[[#This Row],[Passing att per gm]])</f>
        <v>0.54</v>
      </c>
      <c r="AJ14" s="13">
        <f>1-Team_Offense_Table__CY[[#This Row],[% Run]]</f>
        <v>0.45999999999999996</v>
      </c>
    </row>
    <row r="15" spans="1:36" x14ac:dyDescent="0.2">
      <c r="A15">
        <v>14</v>
      </c>
      <c r="B15" t="s">
        <v>642</v>
      </c>
      <c r="C15">
        <v>1</v>
      </c>
      <c r="D15">
        <v>27</v>
      </c>
      <c r="E15">
        <v>420</v>
      </c>
      <c r="F15">
        <v>66</v>
      </c>
      <c r="G15">
        <v>6.4</v>
      </c>
      <c r="H15">
        <v>1</v>
      </c>
      <c r="I15">
        <v>1</v>
      </c>
      <c r="J15">
        <v>24</v>
      </c>
      <c r="K15">
        <v>28</v>
      </c>
      <c r="L15">
        <v>36</v>
      </c>
      <c r="M15">
        <v>255</v>
      </c>
      <c r="N15">
        <v>2</v>
      </c>
      <c r="O15">
        <v>0</v>
      </c>
      <c r="P15">
        <v>6.7</v>
      </c>
      <c r="Q15">
        <v>17</v>
      </c>
      <c r="R15">
        <v>28</v>
      </c>
      <c r="S15">
        <v>165</v>
      </c>
      <c r="T15">
        <v>1</v>
      </c>
      <c r="U15">
        <v>5.9</v>
      </c>
      <c r="V15">
        <v>4</v>
      </c>
      <c r="W15">
        <v>5</v>
      </c>
      <c r="X15">
        <v>51</v>
      </c>
      <c r="Y15">
        <v>3</v>
      </c>
      <c r="Z15">
        <v>62.5</v>
      </c>
      <c r="AA15">
        <v>12.5</v>
      </c>
      <c r="AB15">
        <v>20.309999999999999</v>
      </c>
      <c r="AC15" s="12" t="str">
        <f>VLOOKUP(Team_Offense_Table__CY[[#This Row],[Team]],'Name Bridge'!$A$1:$B$410,2,FALSE)</f>
        <v>DEN</v>
      </c>
      <c r="AD15" s="26">
        <f>Team_Offense_Table__CY[[#This Row],[Points For]]/Team_Offense_Table__CY[[#This Row],[Games]]</f>
        <v>27</v>
      </c>
      <c r="AE15" s="26">
        <f>Team_Offense_Table__CY[[#This Row],[Passing Yds]]/Team_Offense_Table__CY[[#This Row],[Games]]</f>
        <v>255</v>
      </c>
      <c r="AF15" s="26">
        <f>Team_Offense_Table__CY[[#This Row],[Rushing Yds]]/Team_Offense_Table__CY[[#This Row],[Games]]</f>
        <v>165</v>
      </c>
      <c r="AG15" s="26">
        <f>Team_Offense_Table__CY[[#This Row],[Rushing Att]]/Team_Offense_Table__CY[[#This Row],[Games]]</f>
        <v>28</v>
      </c>
      <c r="AH15" s="26">
        <f>Team_Offense_Table__CY[[#This Row],[Attempts]]/Team_Offense_Table__CY[[#This Row],[Games]]</f>
        <v>36</v>
      </c>
      <c r="AI15" s="13">
        <f>Team_Offense_Table__CY[[#This Row],[Rushing att per gm]]/(Team_Offense_Table__CY[[#This Row],[Rushing att per gm]]+Team_Offense_Table__CY[[#This Row],[Passing att per gm]])</f>
        <v>0.4375</v>
      </c>
      <c r="AJ15" s="13">
        <f>1-Team_Offense_Table__CY[[#This Row],[% Run]]</f>
        <v>0.5625</v>
      </c>
    </row>
    <row r="16" spans="1:36" x14ac:dyDescent="0.2">
      <c r="A16">
        <v>15</v>
      </c>
      <c r="B16" t="s">
        <v>813</v>
      </c>
      <c r="C16">
        <v>1</v>
      </c>
      <c r="D16">
        <v>27</v>
      </c>
      <c r="E16">
        <v>406</v>
      </c>
      <c r="F16">
        <v>67</v>
      </c>
      <c r="G16">
        <v>6.1</v>
      </c>
      <c r="H16">
        <v>2</v>
      </c>
      <c r="I16">
        <v>2</v>
      </c>
      <c r="J16">
        <v>20</v>
      </c>
      <c r="K16">
        <v>19</v>
      </c>
      <c r="L16">
        <v>30</v>
      </c>
      <c r="M16">
        <v>217</v>
      </c>
      <c r="N16">
        <v>1</v>
      </c>
      <c r="O16">
        <v>0</v>
      </c>
      <c r="P16">
        <v>6.6</v>
      </c>
      <c r="Q16">
        <v>11</v>
      </c>
      <c r="R16">
        <v>34</v>
      </c>
      <c r="S16">
        <v>189</v>
      </c>
      <c r="T16">
        <v>2</v>
      </c>
      <c r="U16">
        <v>5.6</v>
      </c>
      <c r="V16">
        <v>8</v>
      </c>
      <c r="W16">
        <v>5</v>
      </c>
      <c r="X16">
        <v>71</v>
      </c>
      <c r="Y16">
        <v>1</v>
      </c>
      <c r="Z16">
        <v>38.5</v>
      </c>
      <c r="AA16">
        <v>15.4</v>
      </c>
      <c r="AB16">
        <v>3</v>
      </c>
      <c r="AC16" s="12" t="str">
        <f>VLOOKUP(Team_Offense_Table__CY[[#This Row],[Team]],'Name Bridge'!$A$1:$B$410,2,FALSE)</f>
        <v>BAL</v>
      </c>
      <c r="AD16" s="26">
        <f>Team_Offense_Table__CY[[#This Row],[Points For]]/Team_Offense_Table__CY[[#This Row],[Games]]</f>
        <v>27</v>
      </c>
      <c r="AE16" s="26">
        <f>Team_Offense_Table__CY[[#This Row],[Passing Yds]]/Team_Offense_Table__CY[[#This Row],[Games]]</f>
        <v>217</v>
      </c>
      <c r="AF16" s="26">
        <f>Team_Offense_Table__CY[[#This Row],[Rushing Yds]]/Team_Offense_Table__CY[[#This Row],[Games]]</f>
        <v>189</v>
      </c>
      <c r="AG16" s="26">
        <f>Team_Offense_Table__CY[[#This Row],[Rushing Att]]/Team_Offense_Table__CY[[#This Row],[Games]]</f>
        <v>34</v>
      </c>
      <c r="AH16" s="26">
        <f>Team_Offense_Table__CY[[#This Row],[Attempts]]/Team_Offense_Table__CY[[#This Row],[Games]]</f>
        <v>30</v>
      </c>
      <c r="AI16" s="13">
        <f>Team_Offense_Table__CY[[#This Row],[Rushing att per gm]]/(Team_Offense_Table__CY[[#This Row],[Rushing att per gm]]+Team_Offense_Table__CY[[#This Row],[Passing att per gm]])</f>
        <v>0.53125</v>
      </c>
      <c r="AJ16" s="13">
        <f>1-Team_Offense_Table__CY[[#This Row],[% Run]]</f>
        <v>0.46875</v>
      </c>
    </row>
    <row r="17" spans="1:36" x14ac:dyDescent="0.2">
      <c r="A17">
        <v>16</v>
      </c>
      <c r="B17" t="s">
        <v>702</v>
      </c>
      <c r="C17">
        <v>1</v>
      </c>
      <c r="D17">
        <v>27</v>
      </c>
      <c r="E17">
        <v>366</v>
      </c>
      <c r="F17">
        <v>68</v>
      </c>
      <c r="G17">
        <v>5.4</v>
      </c>
      <c r="I17">
        <v>0</v>
      </c>
      <c r="J17">
        <v>20</v>
      </c>
      <c r="K17">
        <v>20</v>
      </c>
      <c r="L17">
        <v>27</v>
      </c>
      <c r="M17">
        <v>217</v>
      </c>
      <c r="N17">
        <v>2</v>
      </c>
      <c r="O17">
        <v>0</v>
      </c>
      <c r="P17">
        <v>6.8</v>
      </c>
      <c r="Q17">
        <v>12</v>
      </c>
      <c r="R17">
        <v>36</v>
      </c>
      <c r="S17">
        <v>149</v>
      </c>
      <c r="T17">
        <v>1</v>
      </c>
      <c r="U17">
        <v>4.0999999999999996</v>
      </c>
      <c r="V17">
        <v>7</v>
      </c>
      <c r="W17">
        <v>3</v>
      </c>
      <c r="X17">
        <v>15</v>
      </c>
      <c r="Y17">
        <v>1</v>
      </c>
      <c r="Z17">
        <v>38.5</v>
      </c>
      <c r="AA17">
        <v>0</v>
      </c>
      <c r="AB17">
        <v>6.16</v>
      </c>
      <c r="AC17" s="12" t="str">
        <f>VLOOKUP(Team_Offense_Table__CY[[#This Row],[Team]],'Name Bridge'!$A$1:$B$410,2,FALSE)</f>
        <v>CIN</v>
      </c>
      <c r="AD17" s="26">
        <f>Team_Offense_Table__CY[[#This Row],[Points For]]/Team_Offense_Table__CY[[#This Row],[Games]]</f>
        <v>27</v>
      </c>
      <c r="AE17" s="26">
        <f>Team_Offense_Table__CY[[#This Row],[Passing Yds]]/Team_Offense_Table__CY[[#This Row],[Games]]</f>
        <v>217</v>
      </c>
      <c r="AF17" s="26">
        <f>Team_Offense_Table__CY[[#This Row],[Rushing Yds]]/Team_Offense_Table__CY[[#This Row],[Games]]</f>
        <v>149</v>
      </c>
      <c r="AG17" s="26">
        <f>Team_Offense_Table__CY[[#This Row],[Rushing Att]]/Team_Offense_Table__CY[[#This Row],[Games]]</f>
        <v>36</v>
      </c>
      <c r="AH17" s="26">
        <f>Team_Offense_Table__CY[[#This Row],[Attempts]]/Team_Offense_Table__CY[[#This Row],[Games]]</f>
        <v>27</v>
      </c>
      <c r="AI17" s="13">
        <f>Team_Offense_Table__CY[[#This Row],[Rushing att per gm]]/(Team_Offense_Table__CY[[#This Row],[Rushing att per gm]]+Team_Offense_Table__CY[[#This Row],[Passing att per gm]])</f>
        <v>0.5714285714285714</v>
      </c>
      <c r="AJ17" s="13">
        <f>1-Team_Offense_Table__CY[[#This Row],[% Run]]</f>
        <v>0.4285714285714286</v>
      </c>
    </row>
    <row r="18" spans="1:36" x14ac:dyDescent="0.2">
      <c r="A18">
        <v>17</v>
      </c>
      <c r="B18" t="s">
        <v>690</v>
      </c>
      <c r="C18">
        <v>1</v>
      </c>
      <c r="D18">
        <v>24</v>
      </c>
      <c r="E18">
        <v>403</v>
      </c>
      <c r="F18">
        <v>75</v>
      </c>
      <c r="G18">
        <v>5.4</v>
      </c>
      <c r="H18">
        <v>1</v>
      </c>
      <c r="I18">
        <v>1</v>
      </c>
      <c r="J18">
        <v>24</v>
      </c>
      <c r="K18">
        <v>37</v>
      </c>
      <c r="L18">
        <v>50</v>
      </c>
      <c r="M18">
        <v>336</v>
      </c>
      <c r="N18">
        <v>2</v>
      </c>
      <c r="O18">
        <v>0</v>
      </c>
      <c r="P18">
        <v>6.3</v>
      </c>
      <c r="Q18">
        <v>16</v>
      </c>
      <c r="R18">
        <v>22</v>
      </c>
      <c r="S18">
        <v>67</v>
      </c>
      <c r="T18">
        <v>1</v>
      </c>
      <c r="U18">
        <v>3</v>
      </c>
      <c r="V18">
        <v>5</v>
      </c>
      <c r="W18">
        <v>12</v>
      </c>
      <c r="X18">
        <v>116</v>
      </c>
      <c r="Y18">
        <v>3</v>
      </c>
      <c r="Z18">
        <v>30.8</v>
      </c>
      <c r="AA18">
        <v>7.7</v>
      </c>
      <c r="AB18">
        <v>2.9</v>
      </c>
      <c r="AC18" s="12" t="str">
        <f>VLOOKUP(Team_Offense_Table__CY[[#This Row],[Team]],'Name Bridge'!$A$1:$B$410,2,FALSE)</f>
        <v>MIN</v>
      </c>
      <c r="AD18" s="26">
        <f>Team_Offense_Table__CY[[#This Row],[Points For]]/Team_Offense_Table__CY[[#This Row],[Games]]</f>
        <v>24</v>
      </c>
      <c r="AE18" s="26">
        <f>Team_Offense_Table__CY[[#This Row],[Passing Yds]]/Team_Offense_Table__CY[[#This Row],[Games]]</f>
        <v>336</v>
      </c>
      <c r="AF18" s="26">
        <f>Team_Offense_Table__CY[[#This Row],[Rushing Yds]]/Team_Offense_Table__CY[[#This Row],[Games]]</f>
        <v>67</v>
      </c>
      <c r="AG18" s="26">
        <f>Team_Offense_Table__CY[[#This Row],[Rushing Att]]/Team_Offense_Table__CY[[#This Row],[Games]]</f>
        <v>22</v>
      </c>
      <c r="AH18" s="26">
        <f>Team_Offense_Table__CY[[#This Row],[Attempts]]/Team_Offense_Table__CY[[#This Row],[Games]]</f>
        <v>50</v>
      </c>
      <c r="AI18" s="13">
        <f>Team_Offense_Table__CY[[#This Row],[Rushing att per gm]]/(Team_Offense_Table__CY[[#This Row],[Rushing att per gm]]+Team_Offense_Table__CY[[#This Row],[Passing att per gm]])</f>
        <v>0.30555555555555558</v>
      </c>
      <c r="AJ18" s="13">
        <f>1-Team_Offense_Table__CY[[#This Row],[% Run]]</f>
        <v>0.69444444444444442</v>
      </c>
    </row>
    <row r="19" spans="1:36" x14ac:dyDescent="0.2">
      <c r="A19">
        <v>18</v>
      </c>
      <c r="B19" t="s">
        <v>666</v>
      </c>
      <c r="C19">
        <v>1</v>
      </c>
      <c r="D19">
        <v>23</v>
      </c>
      <c r="E19">
        <v>252</v>
      </c>
      <c r="F19">
        <v>55</v>
      </c>
      <c r="G19">
        <v>4.5999999999999996</v>
      </c>
      <c r="I19">
        <v>0</v>
      </c>
      <c r="J19">
        <v>16</v>
      </c>
      <c r="K19">
        <v>18</v>
      </c>
      <c r="L19">
        <v>32</v>
      </c>
      <c r="M19">
        <v>177</v>
      </c>
      <c r="N19">
        <v>1</v>
      </c>
      <c r="O19">
        <v>0</v>
      </c>
      <c r="P19">
        <v>5.2</v>
      </c>
      <c r="Q19">
        <v>9</v>
      </c>
      <c r="R19">
        <v>21</v>
      </c>
      <c r="S19">
        <v>75</v>
      </c>
      <c r="T19">
        <v>0</v>
      </c>
      <c r="U19">
        <v>3.6</v>
      </c>
      <c r="V19">
        <v>4</v>
      </c>
      <c r="W19">
        <v>5</v>
      </c>
      <c r="X19">
        <v>32</v>
      </c>
      <c r="Y19">
        <v>3</v>
      </c>
      <c r="Z19">
        <v>36.4</v>
      </c>
      <c r="AA19">
        <v>0</v>
      </c>
      <c r="AB19">
        <v>-0.54</v>
      </c>
      <c r="AC19" s="12" t="str">
        <f>VLOOKUP(Team_Offense_Table__CY[[#This Row],[Team]],'Name Bridge'!$A$1:$B$410,2,FALSE)</f>
        <v>PIT</v>
      </c>
      <c r="AD19" s="26">
        <f>Team_Offense_Table__CY[[#This Row],[Points For]]/Team_Offense_Table__CY[[#This Row],[Games]]</f>
        <v>23</v>
      </c>
      <c r="AE19" s="26">
        <f>Team_Offense_Table__CY[[#This Row],[Passing Yds]]/Team_Offense_Table__CY[[#This Row],[Games]]</f>
        <v>177</v>
      </c>
      <c r="AF19" s="26">
        <f>Team_Offense_Table__CY[[#This Row],[Rushing Yds]]/Team_Offense_Table__CY[[#This Row],[Games]]</f>
        <v>75</v>
      </c>
      <c r="AG19" s="26">
        <f>Team_Offense_Table__CY[[#This Row],[Rushing Att]]/Team_Offense_Table__CY[[#This Row],[Games]]</f>
        <v>21</v>
      </c>
      <c r="AH19" s="26">
        <f>Team_Offense_Table__CY[[#This Row],[Attempts]]/Team_Offense_Table__CY[[#This Row],[Games]]</f>
        <v>32</v>
      </c>
      <c r="AI19" s="13">
        <f>Team_Offense_Table__CY[[#This Row],[Rushing att per gm]]/(Team_Offense_Table__CY[[#This Row],[Rushing att per gm]]+Team_Offense_Table__CY[[#This Row],[Passing att per gm]])</f>
        <v>0.39622641509433965</v>
      </c>
      <c r="AJ19" s="13">
        <f>1-Team_Offense_Table__CY[[#This Row],[% Run]]</f>
        <v>0.60377358490566035</v>
      </c>
    </row>
    <row r="20" spans="1:36" x14ac:dyDescent="0.2">
      <c r="A20">
        <v>19</v>
      </c>
      <c r="B20" t="s">
        <v>689</v>
      </c>
      <c r="C20">
        <v>1</v>
      </c>
      <c r="D20">
        <v>21</v>
      </c>
      <c r="E20">
        <v>395</v>
      </c>
      <c r="F20">
        <v>68</v>
      </c>
      <c r="G20">
        <v>5.8</v>
      </c>
      <c r="H20">
        <v>3</v>
      </c>
      <c r="I20">
        <v>0</v>
      </c>
      <c r="J20">
        <v>20</v>
      </c>
      <c r="K20">
        <v>28</v>
      </c>
      <c r="L20">
        <v>51</v>
      </c>
      <c r="M20">
        <v>319</v>
      </c>
      <c r="N20">
        <v>3</v>
      </c>
      <c r="O20">
        <v>3</v>
      </c>
      <c r="P20">
        <v>6.1</v>
      </c>
      <c r="Q20">
        <v>13</v>
      </c>
      <c r="R20">
        <v>16</v>
      </c>
      <c r="S20">
        <v>76</v>
      </c>
      <c r="T20">
        <v>0</v>
      </c>
      <c r="U20">
        <v>4.8</v>
      </c>
      <c r="V20">
        <v>5</v>
      </c>
      <c r="W20">
        <v>10</v>
      </c>
      <c r="X20">
        <v>82</v>
      </c>
      <c r="Y20">
        <v>2</v>
      </c>
      <c r="Z20">
        <v>21.4</v>
      </c>
      <c r="AA20">
        <v>21.4</v>
      </c>
      <c r="AB20">
        <v>-1.54</v>
      </c>
      <c r="AC20" s="12" t="str">
        <f>VLOOKUP(Team_Offense_Table__CY[[#This Row],[Team]],'Name Bridge'!$A$1:$B$410,2,FALSE)</f>
        <v>JAC</v>
      </c>
      <c r="AD20" s="26">
        <f>Team_Offense_Table__CY[[#This Row],[Points For]]/Team_Offense_Table__CY[[#This Row],[Games]]</f>
        <v>21</v>
      </c>
      <c r="AE20" s="26">
        <f>Team_Offense_Table__CY[[#This Row],[Passing Yds]]/Team_Offense_Table__CY[[#This Row],[Games]]</f>
        <v>319</v>
      </c>
      <c r="AF20" s="26">
        <f>Team_Offense_Table__CY[[#This Row],[Rushing Yds]]/Team_Offense_Table__CY[[#This Row],[Games]]</f>
        <v>76</v>
      </c>
      <c r="AG20" s="26">
        <f>Team_Offense_Table__CY[[#This Row],[Rushing Att]]/Team_Offense_Table__CY[[#This Row],[Games]]</f>
        <v>16</v>
      </c>
      <c r="AH20" s="26">
        <f>Team_Offense_Table__CY[[#This Row],[Attempts]]/Team_Offense_Table__CY[[#This Row],[Games]]</f>
        <v>51</v>
      </c>
      <c r="AI20" s="13">
        <f>Team_Offense_Table__CY[[#This Row],[Rushing att per gm]]/(Team_Offense_Table__CY[[#This Row],[Rushing att per gm]]+Team_Offense_Table__CY[[#This Row],[Passing att per gm]])</f>
        <v>0.23880597014925373</v>
      </c>
      <c r="AJ20" s="13">
        <f>1-Team_Offense_Table__CY[[#This Row],[% Run]]</f>
        <v>0.76119402985074625</v>
      </c>
    </row>
    <row r="21" spans="1:36" x14ac:dyDescent="0.2">
      <c r="A21">
        <v>20</v>
      </c>
      <c r="B21" t="s">
        <v>621</v>
      </c>
      <c r="C21">
        <v>1</v>
      </c>
      <c r="D21">
        <v>20</v>
      </c>
      <c r="E21">
        <v>424</v>
      </c>
      <c r="F21">
        <v>78</v>
      </c>
      <c r="G21">
        <v>5.4</v>
      </c>
      <c r="H21">
        <v>2</v>
      </c>
      <c r="I21">
        <v>1</v>
      </c>
      <c r="J21">
        <v>27</v>
      </c>
      <c r="K21">
        <v>31</v>
      </c>
      <c r="L21">
        <v>47</v>
      </c>
      <c r="M21">
        <v>334</v>
      </c>
      <c r="N21">
        <v>1</v>
      </c>
      <c r="O21">
        <v>1</v>
      </c>
      <c r="P21">
        <v>6.8</v>
      </c>
      <c r="Q21">
        <v>20</v>
      </c>
      <c r="R21">
        <v>29</v>
      </c>
      <c r="S21">
        <v>90</v>
      </c>
      <c r="T21">
        <v>1</v>
      </c>
      <c r="U21">
        <v>3.1</v>
      </c>
      <c r="V21">
        <v>6</v>
      </c>
      <c r="W21">
        <v>6</v>
      </c>
      <c r="X21">
        <v>94</v>
      </c>
      <c r="Y21">
        <v>1</v>
      </c>
      <c r="Z21">
        <v>44.4</v>
      </c>
      <c r="AA21">
        <v>22.2</v>
      </c>
      <c r="AB21">
        <v>9.4499999999999993</v>
      </c>
      <c r="AC21" s="12" t="str">
        <f>VLOOKUP(Team_Offense_Table__CY[[#This Row],[Team]],'Name Bridge'!$A$1:$B$410,2,FALSE)</f>
        <v>LAC</v>
      </c>
      <c r="AD21" s="26">
        <f>Team_Offense_Table__CY[[#This Row],[Points For]]/Team_Offense_Table__CY[[#This Row],[Games]]</f>
        <v>20</v>
      </c>
      <c r="AE21" s="26">
        <f>Team_Offense_Table__CY[[#This Row],[Passing Yds]]/Team_Offense_Table__CY[[#This Row],[Games]]</f>
        <v>334</v>
      </c>
      <c r="AF21" s="26">
        <f>Team_Offense_Table__CY[[#This Row],[Rushing Yds]]/Team_Offense_Table__CY[[#This Row],[Games]]</f>
        <v>90</v>
      </c>
      <c r="AG21" s="26">
        <f>Team_Offense_Table__CY[[#This Row],[Rushing Att]]/Team_Offense_Table__CY[[#This Row],[Games]]</f>
        <v>29</v>
      </c>
      <c r="AH21" s="26">
        <f>Team_Offense_Table__CY[[#This Row],[Attempts]]/Team_Offense_Table__CY[[#This Row],[Games]]</f>
        <v>47</v>
      </c>
      <c r="AI21" s="13">
        <f>Team_Offense_Table__CY[[#This Row],[Rushing att per gm]]/(Team_Offense_Table__CY[[#This Row],[Rushing att per gm]]+Team_Offense_Table__CY[[#This Row],[Passing att per gm]])</f>
        <v>0.38157894736842107</v>
      </c>
      <c r="AJ21" s="13">
        <f>1-Team_Offense_Table__CY[[#This Row],[% Run]]</f>
        <v>0.61842105263157898</v>
      </c>
    </row>
    <row r="22" spans="1:36" x14ac:dyDescent="0.2">
      <c r="A22">
        <v>21</v>
      </c>
      <c r="B22" t="s">
        <v>401</v>
      </c>
      <c r="C22">
        <v>1</v>
      </c>
      <c r="D22">
        <v>19</v>
      </c>
      <c r="E22">
        <v>381</v>
      </c>
      <c r="F22">
        <v>63</v>
      </c>
      <c r="G22">
        <v>6</v>
      </c>
      <c r="H22">
        <v>1</v>
      </c>
      <c r="I22">
        <v>1</v>
      </c>
      <c r="J22">
        <v>18</v>
      </c>
      <c r="K22">
        <v>24</v>
      </c>
      <c r="L22">
        <v>35</v>
      </c>
      <c r="M22">
        <v>270</v>
      </c>
      <c r="N22">
        <v>1</v>
      </c>
      <c r="O22">
        <v>0</v>
      </c>
      <c r="P22">
        <v>7.5</v>
      </c>
      <c r="Q22">
        <v>14</v>
      </c>
      <c r="R22">
        <v>27</v>
      </c>
      <c r="S22">
        <v>111</v>
      </c>
      <c r="T22">
        <v>1</v>
      </c>
      <c r="U22">
        <v>4.0999999999999996</v>
      </c>
      <c r="V22">
        <v>4</v>
      </c>
      <c r="W22">
        <v>6</v>
      </c>
      <c r="X22">
        <v>38</v>
      </c>
      <c r="Z22">
        <v>33.299999999999997</v>
      </c>
      <c r="AA22">
        <v>8.3000000000000007</v>
      </c>
      <c r="AB22">
        <v>1.31</v>
      </c>
      <c r="AC22" s="12" t="str">
        <f>VLOOKUP(Team_Offense_Table__CY[[#This Row],[Team]],'Name Bridge'!$A$1:$B$410,2,FALSE)</f>
        <v>CAR</v>
      </c>
      <c r="AD22" s="26">
        <f>Team_Offense_Table__CY[[#This Row],[Points For]]/Team_Offense_Table__CY[[#This Row],[Games]]</f>
        <v>19</v>
      </c>
      <c r="AE22" s="26">
        <f>Team_Offense_Table__CY[[#This Row],[Passing Yds]]/Team_Offense_Table__CY[[#This Row],[Games]]</f>
        <v>270</v>
      </c>
      <c r="AF22" s="26">
        <f>Team_Offense_Table__CY[[#This Row],[Rushing Yds]]/Team_Offense_Table__CY[[#This Row],[Games]]</f>
        <v>111</v>
      </c>
      <c r="AG22" s="26">
        <f>Team_Offense_Table__CY[[#This Row],[Rushing Att]]/Team_Offense_Table__CY[[#This Row],[Games]]</f>
        <v>27</v>
      </c>
      <c r="AH22" s="26">
        <f>Team_Offense_Table__CY[[#This Row],[Attempts]]/Team_Offense_Table__CY[[#This Row],[Games]]</f>
        <v>35</v>
      </c>
      <c r="AI22" s="13">
        <f>Team_Offense_Table__CY[[#This Row],[Rushing att per gm]]/(Team_Offense_Table__CY[[#This Row],[Rushing att per gm]]+Team_Offense_Table__CY[[#This Row],[Passing att per gm]])</f>
        <v>0.43548387096774194</v>
      </c>
      <c r="AJ22" s="13">
        <f>1-Team_Offense_Table__CY[[#This Row],[% Run]]</f>
        <v>0.56451612903225801</v>
      </c>
    </row>
    <row r="23" spans="1:36" x14ac:dyDescent="0.2">
      <c r="A23">
        <v>22</v>
      </c>
      <c r="B23" t="s">
        <v>664</v>
      </c>
      <c r="C23">
        <v>1</v>
      </c>
      <c r="D23">
        <v>17</v>
      </c>
      <c r="E23">
        <v>259</v>
      </c>
      <c r="F23">
        <v>52</v>
      </c>
      <c r="G23">
        <v>5</v>
      </c>
      <c r="H23">
        <v>1</v>
      </c>
      <c r="I23">
        <v>0</v>
      </c>
      <c r="J23">
        <v>16</v>
      </c>
      <c r="K23">
        <v>16</v>
      </c>
      <c r="L23">
        <v>27</v>
      </c>
      <c r="M23">
        <v>185</v>
      </c>
      <c r="N23">
        <v>1</v>
      </c>
      <c r="O23">
        <v>1</v>
      </c>
      <c r="P23">
        <v>6.4</v>
      </c>
      <c r="Q23">
        <v>9</v>
      </c>
      <c r="R23">
        <v>23</v>
      </c>
      <c r="S23">
        <v>74</v>
      </c>
      <c r="T23">
        <v>1</v>
      </c>
      <c r="U23">
        <v>3.2</v>
      </c>
      <c r="V23">
        <v>7</v>
      </c>
      <c r="W23">
        <v>5</v>
      </c>
      <c r="X23">
        <v>28</v>
      </c>
      <c r="Z23">
        <v>33.299999999999997</v>
      </c>
      <c r="AA23">
        <v>11.1</v>
      </c>
      <c r="AB23">
        <v>-0.74</v>
      </c>
      <c r="AC23" s="12" t="str">
        <f>VLOOKUP(Team_Offense_Table__CY[[#This Row],[Team]],'Name Bridge'!$A$1:$B$410,2,FALSE)</f>
        <v>MIA</v>
      </c>
      <c r="AD23" s="26">
        <f>Team_Offense_Table__CY[[#This Row],[Points For]]/Team_Offense_Table__CY[[#This Row],[Games]]</f>
        <v>17</v>
      </c>
      <c r="AE23" s="26">
        <f>Team_Offense_Table__CY[[#This Row],[Passing Yds]]/Team_Offense_Table__CY[[#This Row],[Games]]</f>
        <v>185</v>
      </c>
      <c r="AF23" s="26">
        <f>Team_Offense_Table__CY[[#This Row],[Rushing Yds]]/Team_Offense_Table__CY[[#This Row],[Games]]</f>
        <v>74</v>
      </c>
      <c r="AG23" s="26">
        <f>Team_Offense_Table__CY[[#This Row],[Rushing Att]]/Team_Offense_Table__CY[[#This Row],[Games]]</f>
        <v>23</v>
      </c>
      <c r="AH23" s="26">
        <f>Team_Offense_Table__CY[[#This Row],[Attempts]]/Team_Offense_Table__CY[[#This Row],[Games]]</f>
        <v>27</v>
      </c>
      <c r="AI23" s="13">
        <f>Team_Offense_Table__CY[[#This Row],[Rushing att per gm]]/(Team_Offense_Table__CY[[#This Row],[Rushing att per gm]]+Team_Offense_Table__CY[[#This Row],[Passing att per gm]])</f>
        <v>0.46</v>
      </c>
      <c r="AJ23" s="13">
        <f>1-Team_Offense_Table__CY[[#This Row],[% Run]]</f>
        <v>0.54</v>
      </c>
    </row>
    <row r="24" spans="1:36" x14ac:dyDescent="0.2">
      <c r="A24">
        <v>23</v>
      </c>
      <c r="B24" t="s">
        <v>629</v>
      </c>
      <c r="C24">
        <v>1</v>
      </c>
      <c r="D24">
        <v>16</v>
      </c>
      <c r="E24">
        <v>259</v>
      </c>
      <c r="F24">
        <v>49</v>
      </c>
      <c r="G24">
        <v>5.3</v>
      </c>
      <c r="H24">
        <v>1</v>
      </c>
      <c r="I24">
        <v>1</v>
      </c>
      <c r="J24">
        <v>15</v>
      </c>
      <c r="K24">
        <v>14</v>
      </c>
      <c r="L24">
        <v>21</v>
      </c>
      <c r="M24">
        <v>133</v>
      </c>
      <c r="N24">
        <v>1</v>
      </c>
      <c r="O24">
        <v>0</v>
      </c>
      <c r="P24">
        <v>6</v>
      </c>
      <c r="Q24">
        <v>6</v>
      </c>
      <c r="R24">
        <v>27</v>
      </c>
      <c r="S24">
        <v>126</v>
      </c>
      <c r="T24">
        <v>0</v>
      </c>
      <c r="U24">
        <v>4.7</v>
      </c>
      <c r="V24">
        <v>6</v>
      </c>
      <c r="W24">
        <v>8</v>
      </c>
      <c r="X24">
        <v>57</v>
      </c>
      <c r="Y24">
        <v>3</v>
      </c>
      <c r="Z24">
        <v>44.4</v>
      </c>
      <c r="AA24">
        <v>11.1</v>
      </c>
      <c r="AB24">
        <v>1.45</v>
      </c>
      <c r="AC24" s="12" t="str">
        <f>VLOOKUP(Team_Offense_Table__CY[[#This Row],[Team]],'Name Bridge'!$A$1:$B$410,2,FALSE)</f>
        <v>WAS</v>
      </c>
      <c r="AD24" s="26">
        <f>Team_Offense_Table__CY[[#This Row],[Points For]]/Team_Offense_Table__CY[[#This Row],[Games]]</f>
        <v>16</v>
      </c>
      <c r="AE24" s="26">
        <f>Team_Offense_Table__CY[[#This Row],[Passing Yds]]/Team_Offense_Table__CY[[#This Row],[Games]]</f>
        <v>133</v>
      </c>
      <c r="AF24" s="26">
        <f>Team_Offense_Table__CY[[#This Row],[Rushing Yds]]/Team_Offense_Table__CY[[#This Row],[Games]]</f>
        <v>126</v>
      </c>
      <c r="AG24" s="26">
        <f>Team_Offense_Table__CY[[#This Row],[Rushing Att]]/Team_Offense_Table__CY[[#This Row],[Games]]</f>
        <v>27</v>
      </c>
      <c r="AH24" s="26">
        <f>Team_Offense_Table__CY[[#This Row],[Attempts]]/Team_Offense_Table__CY[[#This Row],[Games]]</f>
        <v>21</v>
      </c>
      <c r="AI24" s="13">
        <f>Team_Offense_Table__CY[[#This Row],[Rushing att per gm]]/(Team_Offense_Table__CY[[#This Row],[Rushing att per gm]]+Team_Offense_Table__CY[[#This Row],[Passing att per gm]])</f>
        <v>0.5625</v>
      </c>
      <c r="AJ24" s="13">
        <f>1-Team_Offense_Table__CY[[#This Row],[% Run]]</f>
        <v>0.4375</v>
      </c>
    </row>
    <row r="25" spans="1:36" x14ac:dyDescent="0.2">
      <c r="A25">
        <v>24</v>
      </c>
      <c r="B25" t="s">
        <v>614</v>
      </c>
      <c r="C25">
        <v>1</v>
      </c>
      <c r="D25">
        <v>16</v>
      </c>
      <c r="E25">
        <v>393</v>
      </c>
      <c r="F25">
        <v>70</v>
      </c>
      <c r="G25">
        <v>5.6</v>
      </c>
      <c r="H25">
        <v>2</v>
      </c>
      <c r="I25">
        <v>2</v>
      </c>
      <c r="J25">
        <v>24</v>
      </c>
      <c r="K25">
        <v>29</v>
      </c>
      <c r="L25">
        <v>39</v>
      </c>
      <c r="M25">
        <v>268</v>
      </c>
      <c r="N25">
        <v>1</v>
      </c>
      <c r="O25">
        <v>0</v>
      </c>
      <c r="P25">
        <v>6.7</v>
      </c>
      <c r="Q25">
        <v>14</v>
      </c>
      <c r="R25">
        <v>30</v>
      </c>
      <c r="S25">
        <v>125</v>
      </c>
      <c r="T25">
        <v>0</v>
      </c>
      <c r="U25">
        <v>4.2</v>
      </c>
      <c r="V25">
        <v>8</v>
      </c>
      <c r="W25">
        <v>8</v>
      </c>
      <c r="X25">
        <v>84</v>
      </c>
      <c r="Y25">
        <v>2</v>
      </c>
      <c r="Z25">
        <v>50</v>
      </c>
      <c r="AA25">
        <v>25</v>
      </c>
      <c r="AB25">
        <v>5.75</v>
      </c>
      <c r="AC25" s="12" t="str">
        <f>VLOOKUP(Team_Offense_Table__CY[[#This Row],[Team]],'Name Bridge'!$A$1:$B$410,2,FALSE)</f>
        <v>NE</v>
      </c>
      <c r="AD25" s="26">
        <f>Team_Offense_Table__CY[[#This Row],[Points For]]/Team_Offense_Table__CY[[#This Row],[Games]]</f>
        <v>16</v>
      </c>
      <c r="AE25" s="26">
        <f>Team_Offense_Table__CY[[#This Row],[Passing Yds]]/Team_Offense_Table__CY[[#This Row],[Games]]</f>
        <v>268</v>
      </c>
      <c r="AF25" s="26">
        <f>Team_Offense_Table__CY[[#This Row],[Rushing Yds]]/Team_Offense_Table__CY[[#This Row],[Games]]</f>
        <v>125</v>
      </c>
      <c r="AG25" s="26">
        <f>Team_Offense_Table__CY[[#This Row],[Rushing Att]]/Team_Offense_Table__CY[[#This Row],[Games]]</f>
        <v>30</v>
      </c>
      <c r="AH25" s="26">
        <f>Team_Offense_Table__CY[[#This Row],[Attempts]]/Team_Offense_Table__CY[[#This Row],[Games]]</f>
        <v>39</v>
      </c>
      <c r="AI25" s="13">
        <f>Team_Offense_Table__CY[[#This Row],[Rushing att per gm]]/(Team_Offense_Table__CY[[#This Row],[Rushing att per gm]]+Team_Offense_Table__CY[[#This Row],[Passing att per gm]])</f>
        <v>0.43478260869565216</v>
      </c>
      <c r="AJ25" s="13">
        <f>1-Team_Offense_Table__CY[[#This Row],[% Run]]</f>
        <v>0.56521739130434789</v>
      </c>
    </row>
    <row r="26" spans="1:36" x14ac:dyDescent="0.2">
      <c r="A26">
        <v>25</v>
      </c>
      <c r="B26" t="s">
        <v>643</v>
      </c>
      <c r="C26">
        <v>1</v>
      </c>
      <c r="D26">
        <v>16</v>
      </c>
      <c r="E26">
        <v>336</v>
      </c>
      <c r="F26">
        <v>71</v>
      </c>
      <c r="G26">
        <v>4.7</v>
      </c>
      <c r="H26">
        <v>1</v>
      </c>
      <c r="I26">
        <v>1</v>
      </c>
      <c r="J26">
        <v>23</v>
      </c>
      <c r="K26">
        <v>25</v>
      </c>
      <c r="L26">
        <v>38</v>
      </c>
      <c r="M26">
        <v>223</v>
      </c>
      <c r="N26">
        <v>2</v>
      </c>
      <c r="O26">
        <v>0</v>
      </c>
      <c r="P26">
        <v>5.4</v>
      </c>
      <c r="Q26">
        <v>14</v>
      </c>
      <c r="R26">
        <v>30</v>
      </c>
      <c r="S26">
        <v>113</v>
      </c>
      <c r="T26">
        <v>0</v>
      </c>
      <c r="U26">
        <v>3.8</v>
      </c>
      <c r="V26">
        <v>8</v>
      </c>
      <c r="W26">
        <v>2</v>
      </c>
      <c r="X26">
        <v>16</v>
      </c>
      <c r="Y26">
        <v>1</v>
      </c>
      <c r="Z26">
        <v>27.3</v>
      </c>
      <c r="AA26">
        <v>9.1</v>
      </c>
      <c r="AB26">
        <v>3.07</v>
      </c>
      <c r="AC26" s="12" t="str">
        <f>VLOOKUP(Team_Offense_Table__CY[[#This Row],[Team]],'Name Bridge'!$A$1:$B$410,2,FALSE)</f>
        <v>IND</v>
      </c>
      <c r="AD26" s="26">
        <f>Team_Offense_Table__CY[[#This Row],[Points For]]/Team_Offense_Table__CY[[#This Row],[Games]]</f>
        <v>16</v>
      </c>
      <c r="AE26" s="26">
        <f>Team_Offense_Table__CY[[#This Row],[Passing Yds]]/Team_Offense_Table__CY[[#This Row],[Games]]</f>
        <v>223</v>
      </c>
      <c r="AF26" s="26">
        <f>Team_Offense_Table__CY[[#This Row],[Rushing Yds]]/Team_Offense_Table__CY[[#This Row],[Games]]</f>
        <v>113</v>
      </c>
      <c r="AG26" s="26">
        <f>Team_Offense_Table__CY[[#This Row],[Rushing Att]]/Team_Offense_Table__CY[[#This Row],[Games]]</f>
        <v>30</v>
      </c>
      <c r="AH26" s="26">
        <f>Team_Offense_Table__CY[[#This Row],[Attempts]]/Team_Offense_Table__CY[[#This Row],[Games]]</f>
        <v>38</v>
      </c>
      <c r="AI26" s="13">
        <f>Team_Offense_Table__CY[[#This Row],[Rushing att per gm]]/(Team_Offense_Table__CY[[#This Row],[Rushing att per gm]]+Team_Offense_Table__CY[[#This Row],[Passing att per gm]])</f>
        <v>0.44117647058823528</v>
      </c>
      <c r="AJ26" s="13">
        <f>1-Team_Offense_Table__CY[[#This Row],[% Run]]</f>
        <v>0.55882352941176472</v>
      </c>
    </row>
    <row r="27" spans="1:36" x14ac:dyDescent="0.2">
      <c r="A27">
        <v>26</v>
      </c>
      <c r="B27" t="s">
        <v>694</v>
      </c>
      <c r="C27">
        <v>1</v>
      </c>
      <c r="D27">
        <v>16</v>
      </c>
      <c r="E27">
        <v>371</v>
      </c>
      <c r="F27">
        <v>79</v>
      </c>
      <c r="G27">
        <v>4.7</v>
      </c>
      <c r="H27">
        <v>1</v>
      </c>
      <c r="I27">
        <v>1</v>
      </c>
      <c r="J27">
        <v>22</v>
      </c>
      <c r="K27">
        <v>30</v>
      </c>
      <c r="L27">
        <v>51</v>
      </c>
      <c r="M27">
        <v>254</v>
      </c>
      <c r="N27">
        <v>1</v>
      </c>
      <c r="O27">
        <v>0</v>
      </c>
      <c r="P27">
        <v>4.7</v>
      </c>
      <c r="Q27">
        <v>13</v>
      </c>
      <c r="R27">
        <v>25</v>
      </c>
      <c r="S27">
        <v>117</v>
      </c>
      <c r="T27">
        <v>0</v>
      </c>
      <c r="U27">
        <v>4.7</v>
      </c>
      <c r="V27">
        <v>8</v>
      </c>
      <c r="W27">
        <v>8</v>
      </c>
      <c r="X27">
        <v>81</v>
      </c>
      <c r="Y27">
        <v>1</v>
      </c>
      <c r="Z27">
        <v>36.4</v>
      </c>
      <c r="AA27">
        <v>9.1</v>
      </c>
      <c r="AB27">
        <v>-3.55</v>
      </c>
      <c r="AC27" s="12" t="str">
        <f>VLOOKUP(Team_Offense_Table__CY[[#This Row],[Team]],'Name Bridge'!$A$1:$B$410,2,FALSE)</f>
        <v>BUF</v>
      </c>
      <c r="AD27" s="26">
        <f>Team_Offense_Table__CY[[#This Row],[Points For]]/Team_Offense_Table__CY[[#This Row],[Games]]</f>
        <v>16</v>
      </c>
      <c r="AE27" s="26">
        <f>Team_Offense_Table__CY[[#This Row],[Passing Yds]]/Team_Offense_Table__CY[[#This Row],[Games]]</f>
        <v>254</v>
      </c>
      <c r="AF27" s="26">
        <f>Team_Offense_Table__CY[[#This Row],[Rushing Yds]]/Team_Offense_Table__CY[[#This Row],[Games]]</f>
        <v>117</v>
      </c>
      <c r="AG27" s="26">
        <f>Team_Offense_Table__CY[[#This Row],[Rushing Att]]/Team_Offense_Table__CY[[#This Row],[Games]]</f>
        <v>25</v>
      </c>
      <c r="AH27" s="26">
        <f>Team_Offense_Table__CY[[#This Row],[Attempts]]/Team_Offense_Table__CY[[#This Row],[Games]]</f>
        <v>51</v>
      </c>
      <c r="AI27" s="13">
        <f>Team_Offense_Table__CY[[#This Row],[Rushing att per gm]]/(Team_Offense_Table__CY[[#This Row],[Rushing att per gm]]+Team_Offense_Table__CY[[#This Row],[Passing att per gm]])</f>
        <v>0.32894736842105265</v>
      </c>
      <c r="AJ27" s="13">
        <f>1-Team_Offense_Table__CY[[#This Row],[% Run]]</f>
        <v>0.67105263157894735</v>
      </c>
    </row>
    <row r="28" spans="1:36" x14ac:dyDescent="0.2">
      <c r="A28">
        <v>27</v>
      </c>
      <c r="B28" t="s">
        <v>697</v>
      </c>
      <c r="C28">
        <v>1</v>
      </c>
      <c r="D28">
        <v>14</v>
      </c>
      <c r="E28">
        <v>252</v>
      </c>
      <c r="F28">
        <v>60</v>
      </c>
      <c r="G28">
        <v>4.2</v>
      </c>
      <c r="H28">
        <v>1</v>
      </c>
      <c r="I28">
        <v>0</v>
      </c>
      <c r="J28">
        <v>16</v>
      </c>
      <c r="K28">
        <v>20</v>
      </c>
      <c r="L28">
        <v>37</v>
      </c>
      <c r="M28">
        <v>207</v>
      </c>
      <c r="N28">
        <v>2</v>
      </c>
      <c r="O28">
        <v>1</v>
      </c>
      <c r="P28">
        <v>4.8</v>
      </c>
      <c r="Q28">
        <v>10</v>
      </c>
      <c r="R28">
        <v>17</v>
      </c>
      <c r="S28">
        <v>45</v>
      </c>
      <c r="T28">
        <v>0</v>
      </c>
      <c r="U28">
        <v>2.6</v>
      </c>
      <c r="V28">
        <v>4</v>
      </c>
      <c r="W28">
        <v>5</v>
      </c>
      <c r="X28">
        <v>30</v>
      </c>
      <c r="Y28">
        <v>2</v>
      </c>
      <c r="Z28">
        <v>16.7</v>
      </c>
      <c r="AA28">
        <v>8.3000000000000007</v>
      </c>
      <c r="AB28">
        <v>-10</v>
      </c>
      <c r="AC28" s="12" t="str">
        <f>VLOOKUP(Team_Offense_Table__CY[[#This Row],[Team]],'Name Bridge'!$A$1:$B$410,2,FALSE)</f>
        <v>NYJ</v>
      </c>
      <c r="AD28" s="26">
        <f>Team_Offense_Table__CY[[#This Row],[Points For]]/Team_Offense_Table__CY[[#This Row],[Games]]</f>
        <v>14</v>
      </c>
      <c r="AE28" s="26">
        <f>Team_Offense_Table__CY[[#This Row],[Passing Yds]]/Team_Offense_Table__CY[[#This Row],[Games]]</f>
        <v>207</v>
      </c>
      <c r="AF28" s="26">
        <f>Team_Offense_Table__CY[[#This Row],[Rushing Yds]]/Team_Offense_Table__CY[[#This Row],[Games]]</f>
        <v>45</v>
      </c>
      <c r="AG28" s="26">
        <f>Team_Offense_Table__CY[[#This Row],[Rushing Att]]/Team_Offense_Table__CY[[#This Row],[Games]]</f>
        <v>17</v>
      </c>
      <c r="AH28" s="26">
        <f>Team_Offense_Table__CY[[#This Row],[Attempts]]/Team_Offense_Table__CY[[#This Row],[Games]]</f>
        <v>37</v>
      </c>
      <c r="AI28" s="13">
        <f>Team_Offense_Table__CY[[#This Row],[Rushing att per gm]]/(Team_Offense_Table__CY[[#This Row],[Rushing att per gm]]+Team_Offense_Table__CY[[#This Row],[Passing att per gm]])</f>
        <v>0.31481481481481483</v>
      </c>
      <c r="AJ28" s="13">
        <f>1-Team_Offense_Table__CY[[#This Row],[% Run]]</f>
        <v>0.68518518518518512</v>
      </c>
    </row>
    <row r="29" spans="1:36" x14ac:dyDescent="0.2">
      <c r="A29">
        <v>28</v>
      </c>
      <c r="B29" t="s">
        <v>839</v>
      </c>
      <c r="C29">
        <v>1</v>
      </c>
      <c r="D29">
        <v>14</v>
      </c>
      <c r="E29">
        <v>325</v>
      </c>
      <c r="F29">
        <v>69</v>
      </c>
      <c r="G29">
        <v>4.7</v>
      </c>
      <c r="H29">
        <v>2</v>
      </c>
      <c r="I29">
        <v>1</v>
      </c>
      <c r="J29">
        <v>24</v>
      </c>
      <c r="K29">
        <v>29</v>
      </c>
      <c r="L29">
        <v>40</v>
      </c>
      <c r="M29">
        <v>188</v>
      </c>
      <c r="N29">
        <v>0</v>
      </c>
      <c r="O29">
        <v>1</v>
      </c>
      <c r="P29">
        <v>4.4000000000000004</v>
      </c>
      <c r="Q29">
        <v>13</v>
      </c>
      <c r="R29">
        <v>26</v>
      </c>
      <c r="S29">
        <v>137</v>
      </c>
      <c r="T29">
        <v>2</v>
      </c>
      <c r="U29">
        <v>5.3</v>
      </c>
      <c r="V29">
        <v>10</v>
      </c>
      <c r="W29">
        <v>3</v>
      </c>
      <c r="X29">
        <v>35</v>
      </c>
      <c r="Y29">
        <v>1</v>
      </c>
      <c r="Z29">
        <v>25</v>
      </c>
      <c r="AA29">
        <v>25</v>
      </c>
      <c r="AB29">
        <v>-0.85</v>
      </c>
      <c r="AC29" s="12" t="str">
        <f>VLOOKUP(Team_Offense_Table__CY[[#This Row],[Team]],'Name Bridge'!$A$1:$B$410,2,FALSE)</f>
        <v>CHI</v>
      </c>
      <c r="AD29" s="26">
        <f>Team_Offense_Table__CY[[#This Row],[Points For]]/Team_Offense_Table__CY[[#This Row],[Games]]</f>
        <v>14</v>
      </c>
      <c r="AE29" s="26">
        <f>Team_Offense_Table__CY[[#This Row],[Passing Yds]]/Team_Offense_Table__CY[[#This Row],[Games]]</f>
        <v>188</v>
      </c>
      <c r="AF29" s="26">
        <f>Team_Offense_Table__CY[[#This Row],[Rushing Yds]]/Team_Offense_Table__CY[[#This Row],[Games]]</f>
        <v>137</v>
      </c>
      <c r="AG29" s="26">
        <f>Team_Offense_Table__CY[[#This Row],[Rushing Att]]/Team_Offense_Table__CY[[#This Row],[Games]]</f>
        <v>26</v>
      </c>
      <c r="AH29" s="26">
        <f>Team_Offense_Table__CY[[#This Row],[Attempts]]/Team_Offense_Table__CY[[#This Row],[Games]]</f>
        <v>40</v>
      </c>
      <c r="AI29" s="13">
        <f>Team_Offense_Table__CY[[#This Row],[Rushing att per gm]]/(Team_Offense_Table__CY[[#This Row],[Rushing att per gm]]+Team_Offense_Table__CY[[#This Row],[Passing att per gm]])</f>
        <v>0.39393939393939392</v>
      </c>
      <c r="AJ29" s="13">
        <f>1-Team_Offense_Table__CY[[#This Row],[% Run]]</f>
        <v>0.60606060606060608</v>
      </c>
    </row>
    <row r="30" spans="1:36" x14ac:dyDescent="0.2">
      <c r="A30">
        <v>29</v>
      </c>
      <c r="B30" t="s">
        <v>696</v>
      </c>
      <c r="C30">
        <v>1</v>
      </c>
      <c r="D30">
        <v>13</v>
      </c>
      <c r="E30">
        <v>248</v>
      </c>
      <c r="F30">
        <v>64</v>
      </c>
      <c r="G30">
        <v>3.9</v>
      </c>
      <c r="H30">
        <v>3</v>
      </c>
      <c r="I30">
        <v>2</v>
      </c>
      <c r="J30">
        <v>17</v>
      </c>
      <c r="K30">
        <v>22</v>
      </c>
      <c r="L30">
        <v>36</v>
      </c>
      <c r="M30">
        <v>162</v>
      </c>
      <c r="N30">
        <v>1</v>
      </c>
      <c r="O30">
        <v>1</v>
      </c>
      <c r="P30">
        <v>3.9</v>
      </c>
      <c r="Q30">
        <v>12</v>
      </c>
      <c r="R30">
        <v>22</v>
      </c>
      <c r="S30">
        <v>86</v>
      </c>
      <c r="T30">
        <v>1</v>
      </c>
      <c r="U30">
        <v>3.9</v>
      </c>
      <c r="V30">
        <v>5</v>
      </c>
      <c r="W30">
        <v>7</v>
      </c>
      <c r="X30">
        <v>57</v>
      </c>
      <c r="Z30">
        <v>16.7</v>
      </c>
      <c r="AA30">
        <v>25</v>
      </c>
      <c r="AB30">
        <v>-6.62</v>
      </c>
      <c r="AC30" s="12" t="str">
        <f>VLOOKUP(Team_Offense_Table__CY[[#This Row],[Team]],'Name Bridge'!$A$1:$B$410,2,FALSE)</f>
        <v>TEN</v>
      </c>
      <c r="AD30" s="26">
        <f>Team_Offense_Table__CY[[#This Row],[Points For]]/Team_Offense_Table__CY[[#This Row],[Games]]</f>
        <v>13</v>
      </c>
      <c r="AE30" s="26">
        <f>Team_Offense_Table__CY[[#This Row],[Passing Yds]]/Team_Offense_Table__CY[[#This Row],[Games]]</f>
        <v>162</v>
      </c>
      <c r="AF30" s="26">
        <f>Team_Offense_Table__CY[[#This Row],[Rushing Yds]]/Team_Offense_Table__CY[[#This Row],[Games]]</f>
        <v>86</v>
      </c>
      <c r="AG30" s="26">
        <f>Team_Offense_Table__CY[[#This Row],[Rushing Att]]/Team_Offense_Table__CY[[#This Row],[Games]]</f>
        <v>22</v>
      </c>
      <c r="AH30" s="26">
        <f>Team_Offense_Table__CY[[#This Row],[Attempts]]/Team_Offense_Table__CY[[#This Row],[Games]]</f>
        <v>36</v>
      </c>
      <c r="AI30" s="13">
        <f>Team_Offense_Table__CY[[#This Row],[Rushing att per gm]]/(Team_Offense_Table__CY[[#This Row],[Rushing att per gm]]+Team_Offense_Table__CY[[#This Row],[Passing att per gm]])</f>
        <v>0.37931034482758619</v>
      </c>
      <c r="AJ30" s="13">
        <f>1-Team_Offense_Table__CY[[#This Row],[% Run]]</f>
        <v>0.62068965517241381</v>
      </c>
    </row>
    <row r="31" spans="1:36" x14ac:dyDescent="0.2">
      <c r="A31">
        <v>30</v>
      </c>
      <c r="B31" t="s">
        <v>693</v>
      </c>
      <c r="C31">
        <v>1</v>
      </c>
      <c r="D31">
        <v>13</v>
      </c>
      <c r="E31">
        <v>314</v>
      </c>
      <c r="F31">
        <v>59</v>
      </c>
      <c r="G31">
        <v>5.3</v>
      </c>
      <c r="H31">
        <v>1</v>
      </c>
      <c r="I31">
        <v>1</v>
      </c>
      <c r="J31">
        <v>19</v>
      </c>
      <c r="K31">
        <v>22</v>
      </c>
      <c r="L31">
        <v>37</v>
      </c>
      <c r="M31">
        <v>254</v>
      </c>
      <c r="N31">
        <v>1</v>
      </c>
      <c r="O31">
        <v>0</v>
      </c>
      <c r="P31">
        <v>6.5</v>
      </c>
      <c r="Q31">
        <v>13</v>
      </c>
      <c r="R31">
        <v>20</v>
      </c>
      <c r="S31">
        <v>60</v>
      </c>
      <c r="T31">
        <v>1</v>
      </c>
      <c r="U31">
        <v>3</v>
      </c>
      <c r="V31">
        <v>3</v>
      </c>
      <c r="W31">
        <v>4</v>
      </c>
      <c r="X31">
        <v>48</v>
      </c>
      <c r="Y31">
        <v>3</v>
      </c>
      <c r="Z31">
        <v>22.2</v>
      </c>
      <c r="AA31">
        <v>11.1</v>
      </c>
      <c r="AB31">
        <v>3.89</v>
      </c>
      <c r="AC31" s="12" t="str">
        <f>VLOOKUP(Team_Offense_Table__CY[[#This Row],[Team]],'Name Bridge'!$A$1:$B$410,2,FALSE)</f>
        <v>NYG</v>
      </c>
      <c r="AD31" s="26">
        <f>Team_Offense_Table__CY[[#This Row],[Points For]]/Team_Offense_Table__CY[[#This Row],[Games]]</f>
        <v>13</v>
      </c>
      <c r="AE31" s="26">
        <f>Team_Offense_Table__CY[[#This Row],[Passing Yds]]/Team_Offense_Table__CY[[#This Row],[Games]]</f>
        <v>254</v>
      </c>
      <c r="AF31" s="26">
        <f>Team_Offense_Table__CY[[#This Row],[Rushing Yds]]/Team_Offense_Table__CY[[#This Row],[Games]]</f>
        <v>60</v>
      </c>
      <c r="AG31" s="26">
        <f>Team_Offense_Table__CY[[#This Row],[Rushing Att]]/Team_Offense_Table__CY[[#This Row],[Games]]</f>
        <v>20</v>
      </c>
      <c r="AH31" s="26">
        <f>Team_Offense_Table__CY[[#This Row],[Attempts]]/Team_Offense_Table__CY[[#This Row],[Games]]</f>
        <v>37</v>
      </c>
      <c r="AI31" s="13">
        <f>Team_Offense_Table__CY[[#This Row],[Rushing att per gm]]/(Team_Offense_Table__CY[[#This Row],[Rushing att per gm]]+Team_Offense_Table__CY[[#This Row],[Passing att per gm]])</f>
        <v>0.35087719298245612</v>
      </c>
      <c r="AJ31" s="13">
        <f>1-Team_Offense_Table__CY[[#This Row],[% Run]]</f>
        <v>0.64912280701754388</v>
      </c>
    </row>
    <row r="32" spans="1:36" x14ac:dyDescent="0.2">
      <c r="A32">
        <v>31</v>
      </c>
      <c r="B32" t="s">
        <v>688</v>
      </c>
      <c r="C32">
        <v>1</v>
      </c>
      <c r="D32">
        <v>6</v>
      </c>
      <c r="E32">
        <v>260</v>
      </c>
      <c r="F32">
        <v>64</v>
      </c>
      <c r="G32">
        <v>4.0999999999999996</v>
      </c>
      <c r="I32">
        <v>0</v>
      </c>
      <c r="J32">
        <v>19</v>
      </c>
      <c r="K32">
        <v>21</v>
      </c>
      <c r="L32">
        <v>35</v>
      </c>
      <c r="M32">
        <v>136</v>
      </c>
      <c r="N32">
        <v>0</v>
      </c>
      <c r="O32">
        <v>0</v>
      </c>
      <c r="P32">
        <v>3.6</v>
      </c>
      <c r="Q32">
        <v>8</v>
      </c>
      <c r="R32">
        <v>26</v>
      </c>
      <c r="S32">
        <v>124</v>
      </c>
      <c r="T32">
        <v>0</v>
      </c>
      <c r="U32">
        <v>4.8</v>
      </c>
      <c r="V32">
        <v>7</v>
      </c>
      <c r="W32">
        <v>12</v>
      </c>
      <c r="X32">
        <v>99</v>
      </c>
      <c r="Y32">
        <v>4</v>
      </c>
      <c r="Z32">
        <v>18.2</v>
      </c>
      <c r="AA32">
        <v>0</v>
      </c>
      <c r="AB32">
        <v>-12.48</v>
      </c>
      <c r="AC32" s="12" t="str">
        <f>VLOOKUP(Team_Offense_Table__CY[[#This Row],[Team]],'Name Bridge'!$A$1:$B$410,2,FALSE)</f>
        <v>ATL</v>
      </c>
      <c r="AD32" s="26">
        <f>Team_Offense_Table__CY[[#This Row],[Points For]]/Team_Offense_Table__CY[[#This Row],[Games]]</f>
        <v>6</v>
      </c>
      <c r="AE32" s="26">
        <f>Team_Offense_Table__CY[[#This Row],[Passing Yds]]/Team_Offense_Table__CY[[#This Row],[Games]]</f>
        <v>136</v>
      </c>
      <c r="AF32" s="26">
        <f>Team_Offense_Table__CY[[#This Row],[Rushing Yds]]/Team_Offense_Table__CY[[#This Row],[Games]]</f>
        <v>124</v>
      </c>
      <c r="AG32" s="26">
        <f>Team_Offense_Table__CY[[#This Row],[Rushing Att]]/Team_Offense_Table__CY[[#This Row],[Games]]</f>
        <v>26</v>
      </c>
      <c r="AH32" s="26">
        <f>Team_Offense_Table__CY[[#This Row],[Attempts]]/Team_Offense_Table__CY[[#This Row],[Games]]</f>
        <v>35</v>
      </c>
      <c r="AI32" s="13">
        <f>Team_Offense_Table__CY[[#This Row],[Rushing att per gm]]/(Team_Offense_Table__CY[[#This Row],[Rushing att per gm]]+Team_Offense_Table__CY[[#This Row],[Passing att per gm]])</f>
        <v>0.42622950819672129</v>
      </c>
      <c r="AJ32" s="13">
        <f>1-Team_Offense_Table__CY[[#This Row],[% Run]]</f>
        <v>0.57377049180327866</v>
      </c>
    </row>
    <row r="33" spans="1:36" x14ac:dyDescent="0.2">
      <c r="A33">
        <v>32</v>
      </c>
      <c r="B33" t="s">
        <v>448</v>
      </c>
      <c r="C33">
        <v>1</v>
      </c>
      <c r="D33">
        <v>3</v>
      </c>
      <c r="E33">
        <v>229</v>
      </c>
      <c r="F33">
        <v>52</v>
      </c>
      <c r="G33">
        <v>4.4000000000000004</v>
      </c>
      <c r="H33">
        <v>3</v>
      </c>
      <c r="I33">
        <v>1</v>
      </c>
      <c r="J33">
        <v>14</v>
      </c>
      <c r="K33">
        <v>20</v>
      </c>
      <c r="L33">
        <v>35</v>
      </c>
      <c r="M33">
        <v>186</v>
      </c>
      <c r="N33">
        <v>0</v>
      </c>
      <c r="O33">
        <v>2</v>
      </c>
      <c r="P33">
        <v>5</v>
      </c>
      <c r="Q33">
        <v>9</v>
      </c>
      <c r="R33">
        <v>15</v>
      </c>
      <c r="S33">
        <v>43</v>
      </c>
      <c r="T33">
        <v>0</v>
      </c>
      <c r="U33">
        <v>2.9</v>
      </c>
      <c r="V33">
        <v>2</v>
      </c>
      <c r="W33">
        <v>5</v>
      </c>
      <c r="X33">
        <v>33</v>
      </c>
      <c r="Y33">
        <v>3</v>
      </c>
      <c r="Z33">
        <v>11.1</v>
      </c>
      <c r="AA33">
        <v>33.299999999999997</v>
      </c>
      <c r="AB33">
        <v>-14.83</v>
      </c>
      <c r="AC33" s="12" t="str">
        <f>VLOOKUP(Team_Offense_Table__CY[[#This Row],[Team]],'Name Bridge'!$A$1:$B$410,2,FALSE)</f>
        <v>GB</v>
      </c>
      <c r="AD33" s="26">
        <f>Team_Offense_Table__CY[[#This Row],[Points For]]/Team_Offense_Table__CY[[#This Row],[Games]]</f>
        <v>3</v>
      </c>
      <c r="AE33" s="26">
        <f>Team_Offense_Table__CY[[#This Row],[Passing Yds]]/Team_Offense_Table__CY[[#This Row],[Games]]</f>
        <v>186</v>
      </c>
      <c r="AF33" s="26">
        <f>Team_Offense_Table__CY[[#This Row],[Rushing Yds]]/Team_Offense_Table__CY[[#This Row],[Games]]</f>
        <v>43</v>
      </c>
      <c r="AG33" s="26">
        <f>Team_Offense_Table__CY[[#This Row],[Rushing Att]]/Team_Offense_Table__CY[[#This Row],[Games]]</f>
        <v>15</v>
      </c>
      <c r="AH33" s="26">
        <f>Team_Offense_Table__CY[[#This Row],[Attempts]]/Team_Offense_Table__CY[[#This Row],[Games]]</f>
        <v>35</v>
      </c>
      <c r="AI33" s="13">
        <f>Team_Offense_Table__CY[[#This Row],[Rushing att per gm]]/(Team_Offense_Table__CY[[#This Row],[Rushing att per gm]]+Team_Offense_Table__CY[[#This Row],[Passing att per gm]])</f>
        <v>0.3</v>
      </c>
      <c r="AJ33" s="13">
        <f>1-Team_Offense_Table__CY[[#This Row],[% Run]]</f>
        <v>0.7</v>
      </c>
    </row>
    <row r="34" spans="1:36" x14ac:dyDescent="0.2">
      <c r="A34" t="s">
        <v>731</v>
      </c>
      <c r="AD34" s="27">
        <f>SUBTOTAL(101,Team_Offense_Table__CY[Points/gm])</f>
        <v>24</v>
      </c>
      <c r="AE34" s="27">
        <f>SUBTOTAL(101,Team_Offense_Table__CY[Passing/Game])</f>
        <v>258.96875</v>
      </c>
      <c r="AF34" s="27">
        <f>SUBTOTAL(101,Team_Offense_Table__CY[Rushing yds/Game])</f>
        <v>109</v>
      </c>
      <c r="AG34" s="27">
        <f>SUBTOTAL(101,Team_Offense_Table__CY[Rushing att per gm])</f>
        <v>25.78125</v>
      </c>
      <c r="AH34" s="27">
        <f>SUBTOTAL(101,Team_Offense_Table__CY[Passing att per gm])</f>
        <v>37.03125</v>
      </c>
      <c r="AJ34" s="28"/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09135-2FFB-E44E-8FD4-1024DC4A700B}">
  <sheetPr codeName="Sheet21"/>
  <dimension ref="A1:AJ34"/>
  <sheetViews>
    <sheetView workbookViewId="0">
      <selection activeCell="A2" sqref="A2:AB33"/>
    </sheetView>
  </sheetViews>
  <sheetFormatPr baseColWidth="10" defaultRowHeight="15" x14ac:dyDescent="0.2"/>
  <cols>
    <col min="1" max="1" width="3" bestFit="1" customWidth="1"/>
    <col min="2" max="2" width="10.6640625" bestFit="1" customWidth="1"/>
    <col min="3" max="3" width="2.1640625" bestFit="1" customWidth="1"/>
    <col min="4" max="4" width="2.83203125" bestFit="1" customWidth="1"/>
    <col min="5" max="5" width="4.5" bestFit="1" customWidth="1"/>
    <col min="6" max="6" width="3.6640625" bestFit="1" customWidth="1"/>
    <col min="7" max="7" width="3.5" bestFit="1" customWidth="1"/>
    <col min="8" max="8" width="3.1640625" bestFit="1" customWidth="1"/>
    <col min="9" max="9" width="2.6640625" bestFit="1" customWidth="1"/>
    <col min="10" max="11" width="4.1640625" bestFit="1" customWidth="1"/>
    <col min="12" max="13" width="3.6640625" bestFit="1" customWidth="1"/>
    <col min="14" max="15" width="3" bestFit="1" customWidth="1"/>
    <col min="16" max="16" width="4.83203125" bestFit="1" customWidth="1"/>
    <col min="17" max="17" width="4.1640625" bestFit="1" customWidth="1"/>
    <col min="18" max="18" width="3.1640625" bestFit="1" customWidth="1"/>
    <col min="19" max="19" width="3.6640625" bestFit="1" customWidth="1"/>
    <col min="20" max="20" width="3" bestFit="1" customWidth="1"/>
    <col min="21" max="21" width="3.6640625" bestFit="1" customWidth="1"/>
    <col min="22" max="22" width="4.1640625" bestFit="1" customWidth="1"/>
    <col min="23" max="24" width="3.6640625" bestFit="1" customWidth="1"/>
    <col min="25" max="25" width="4.83203125" bestFit="1" customWidth="1"/>
    <col min="26" max="26" width="4.1640625" bestFit="1" customWidth="1"/>
    <col min="27" max="27" width="4.33203125" bestFit="1" customWidth="1"/>
    <col min="28" max="28" width="5.5" bestFit="1" customWidth="1"/>
    <col min="29" max="29" width="9.6640625" style="12" bestFit="1" customWidth="1"/>
    <col min="30" max="30" width="12.5" style="12" bestFit="1" customWidth="1"/>
    <col min="31" max="31" width="16.1640625" style="12" bestFit="1" customWidth="1"/>
    <col min="32" max="32" width="12.5" style="12" bestFit="1" customWidth="1"/>
    <col min="33" max="33" width="13.1640625" style="12" bestFit="1" customWidth="1"/>
    <col min="34" max="34" width="9.83203125" style="12" bestFit="1" customWidth="1"/>
    <col min="35" max="35" width="8.6640625" style="12" bestFit="1" customWidth="1"/>
    <col min="36" max="36" width="9.1640625" style="12" bestFit="1" customWidth="1"/>
  </cols>
  <sheetData>
    <row r="1" spans="1:36" ht="32" x14ac:dyDescent="0.2">
      <c r="A1" s="87" t="s">
        <v>902</v>
      </c>
      <c r="B1" s="87" t="s">
        <v>1314</v>
      </c>
      <c r="C1" s="87" t="s">
        <v>1315</v>
      </c>
      <c r="D1" s="87" t="s">
        <v>2321</v>
      </c>
      <c r="E1" s="87" t="s">
        <v>799</v>
      </c>
      <c r="F1" s="87" t="s">
        <v>2322</v>
      </c>
      <c r="G1" s="87" t="s">
        <v>2323</v>
      </c>
      <c r="H1" s="87" t="s">
        <v>2324</v>
      </c>
      <c r="I1" s="87" t="s">
        <v>2325</v>
      </c>
      <c r="J1" s="87" t="s">
        <v>2326</v>
      </c>
      <c r="K1" s="87" t="s">
        <v>1318</v>
      </c>
      <c r="L1" s="87" t="s">
        <v>1319</v>
      </c>
      <c r="M1" s="87" t="s">
        <v>799</v>
      </c>
      <c r="N1" s="87" t="s">
        <v>800</v>
      </c>
      <c r="O1" s="87" t="s">
        <v>914</v>
      </c>
      <c r="P1" s="87" t="s">
        <v>1329</v>
      </c>
      <c r="Q1" s="87" t="s">
        <v>2326</v>
      </c>
      <c r="R1" s="87" t="s">
        <v>1319</v>
      </c>
      <c r="S1" s="87" t="s">
        <v>799</v>
      </c>
      <c r="T1" s="87" t="s">
        <v>800</v>
      </c>
      <c r="U1" s="87" t="s">
        <v>1322</v>
      </c>
      <c r="V1" s="87" t="s">
        <v>2326</v>
      </c>
      <c r="W1" s="87" t="s">
        <v>2327</v>
      </c>
      <c r="X1" s="87" t="s">
        <v>799</v>
      </c>
      <c r="Y1" s="87" t="s">
        <v>2328</v>
      </c>
      <c r="Z1" s="87" t="s">
        <v>2329</v>
      </c>
      <c r="AA1" s="87" t="s">
        <v>2330</v>
      </c>
      <c r="AB1" s="87" t="s">
        <v>2331</v>
      </c>
      <c r="AC1" s="11" t="s">
        <v>27</v>
      </c>
      <c r="AD1" s="11" t="s">
        <v>2184</v>
      </c>
      <c r="AE1" s="11" t="s">
        <v>2185</v>
      </c>
      <c r="AF1" s="11" t="s">
        <v>2186</v>
      </c>
      <c r="AG1" s="11" t="s">
        <v>2187</v>
      </c>
      <c r="AH1" s="11" t="s">
        <v>2188</v>
      </c>
      <c r="AI1" s="11" t="s">
        <v>2189</v>
      </c>
      <c r="AJ1" s="11" t="s">
        <v>2190</v>
      </c>
    </row>
    <row r="2" spans="1:36" ht="30" x14ac:dyDescent="0.2">
      <c r="A2" s="87">
        <v>1</v>
      </c>
      <c r="B2" s="88" t="s">
        <v>880</v>
      </c>
      <c r="C2" s="88">
        <v>3</v>
      </c>
      <c r="D2" s="88">
        <v>103</v>
      </c>
      <c r="E2" s="88">
        <v>1218</v>
      </c>
      <c r="F2" s="88">
        <v>195</v>
      </c>
      <c r="G2" s="88">
        <v>6.2</v>
      </c>
      <c r="H2" s="88">
        <v>5</v>
      </c>
      <c r="I2" s="88">
        <v>3</v>
      </c>
      <c r="J2" s="88">
        <v>72</v>
      </c>
      <c r="K2" s="88">
        <v>97</v>
      </c>
      <c r="L2" s="88">
        <v>141</v>
      </c>
      <c r="M2" s="88">
        <v>1049</v>
      </c>
      <c r="N2" s="88">
        <v>10</v>
      </c>
      <c r="O2" s="88">
        <v>2</v>
      </c>
      <c r="P2" s="88">
        <v>7.1</v>
      </c>
      <c r="Q2" s="88">
        <v>60</v>
      </c>
      <c r="R2" s="88">
        <v>48</v>
      </c>
      <c r="S2" s="88">
        <v>169</v>
      </c>
      <c r="T2" s="88">
        <v>2</v>
      </c>
      <c r="U2" s="88">
        <v>3.5</v>
      </c>
      <c r="V2" s="88">
        <v>9</v>
      </c>
      <c r="W2" s="88">
        <v>26</v>
      </c>
      <c r="X2" s="88">
        <v>220</v>
      </c>
      <c r="Y2" s="88">
        <v>3</v>
      </c>
      <c r="Z2" s="88">
        <v>40</v>
      </c>
      <c r="AA2" s="88">
        <v>14.3</v>
      </c>
      <c r="AB2" s="88">
        <v>33.15</v>
      </c>
      <c r="AC2" s="12" t="str">
        <f>VLOOKUP(Team_Offense_Table__CY[[#This Row],[Team]],'Name Bridge'!$A$1:$B$410,2,FALSE)</f>
        <v>SF</v>
      </c>
      <c r="AD2" s="26">
        <f>D2/C2</f>
        <v>34.333333333333336</v>
      </c>
      <c r="AE2" s="26">
        <f>M2/C2</f>
        <v>349.66666666666669</v>
      </c>
      <c r="AF2" s="26">
        <f>S2/C2</f>
        <v>56.333333333333336</v>
      </c>
      <c r="AG2" s="26">
        <f>R2/C2</f>
        <v>16</v>
      </c>
      <c r="AH2" s="26">
        <f>L2/C2</f>
        <v>47</v>
      </c>
      <c r="AI2" s="13">
        <f>AG2/(AG2+AH2)</f>
        <v>0.25396825396825395</v>
      </c>
      <c r="AJ2" s="13">
        <f>1-AI2</f>
        <v>0.74603174603174605</v>
      </c>
    </row>
    <row r="3" spans="1:36" ht="30" x14ac:dyDescent="0.2">
      <c r="A3" s="87">
        <v>2</v>
      </c>
      <c r="B3" s="88" t="s">
        <v>698</v>
      </c>
      <c r="C3" s="88">
        <v>3</v>
      </c>
      <c r="D3" s="88">
        <v>103</v>
      </c>
      <c r="E3" s="88">
        <v>1297</v>
      </c>
      <c r="F3" s="88">
        <v>191</v>
      </c>
      <c r="G3" s="88">
        <v>6.8</v>
      </c>
      <c r="H3" s="88">
        <v>4</v>
      </c>
      <c r="I3" s="88">
        <v>0</v>
      </c>
      <c r="J3" s="88">
        <v>66</v>
      </c>
      <c r="K3" s="88">
        <v>78</v>
      </c>
      <c r="L3" s="88">
        <v>102</v>
      </c>
      <c r="M3" s="88">
        <v>967</v>
      </c>
      <c r="N3" s="88">
        <v>7</v>
      </c>
      <c r="O3" s="88">
        <v>4</v>
      </c>
      <c r="P3" s="88">
        <v>9</v>
      </c>
      <c r="Q3" s="88">
        <v>43</v>
      </c>
      <c r="R3" s="88">
        <v>84</v>
      </c>
      <c r="S3" s="88">
        <v>330</v>
      </c>
      <c r="T3" s="88">
        <v>5</v>
      </c>
      <c r="U3" s="88">
        <v>3.9</v>
      </c>
      <c r="V3" s="88">
        <v>20</v>
      </c>
      <c r="W3" s="88">
        <v>20</v>
      </c>
      <c r="X3" s="88">
        <v>157</v>
      </c>
      <c r="Y3" s="88">
        <v>3</v>
      </c>
      <c r="Z3" s="88">
        <v>45.7</v>
      </c>
      <c r="AA3" s="88">
        <v>11.4</v>
      </c>
      <c r="AB3" s="88">
        <v>34.08</v>
      </c>
      <c r="AC3" s="12" t="str">
        <f>VLOOKUP(Team_Offense_Table__CY[[#This Row],[Team]],'Name Bridge'!$A$1:$B$410,2,FALSE)</f>
        <v>NO</v>
      </c>
      <c r="AD3" s="26">
        <f t="shared" ref="AD3:AD33" si="0">D3/C3</f>
        <v>34.333333333333336</v>
      </c>
      <c r="AE3" s="26">
        <f t="shared" ref="AE3:AE33" si="1">M3/C3</f>
        <v>322.33333333333331</v>
      </c>
      <c r="AF3" s="26">
        <f t="shared" ref="AF3:AF33" si="2">S3/C3</f>
        <v>110</v>
      </c>
      <c r="AG3" s="26">
        <f t="shared" ref="AG3:AG33" si="3">R3/C3</f>
        <v>28</v>
      </c>
      <c r="AH3" s="26">
        <f t="shared" ref="AH3:AH33" si="4">L3/C3</f>
        <v>34</v>
      </c>
      <c r="AI3" s="13">
        <f t="shared" ref="AI3:AI33" si="5">AG3/(AG3+AH3)</f>
        <v>0.45161290322580644</v>
      </c>
      <c r="AJ3" s="13">
        <f t="shared" ref="AJ3:AJ33" si="6">1-AI3</f>
        <v>0.54838709677419351</v>
      </c>
    </row>
    <row r="4" spans="1:36" ht="30" x14ac:dyDescent="0.2">
      <c r="A4" s="87">
        <v>3</v>
      </c>
      <c r="B4" s="88" t="s">
        <v>878</v>
      </c>
      <c r="C4" s="88">
        <v>3</v>
      </c>
      <c r="D4" s="88">
        <v>95</v>
      </c>
      <c r="E4" s="88">
        <v>1164</v>
      </c>
      <c r="F4" s="88">
        <v>173</v>
      </c>
      <c r="G4" s="88">
        <v>6.7</v>
      </c>
      <c r="H4" s="88">
        <v>2</v>
      </c>
      <c r="I4" s="88">
        <v>1</v>
      </c>
      <c r="J4" s="88">
        <v>61</v>
      </c>
      <c r="K4" s="88">
        <v>66</v>
      </c>
      <c r="L4" s="88">
        <v>94</v>
      </c>
      <c r="M4" s="88">
        <v>913</v>
      </c>
      <c r="N4" s="88">
        <v>9</v>
      </c>
      <c r="O4" s="88">
        <v>1</v>
      </c>
      <c r="P4" s="88">
        <v>9.4</v>
      </c>
      <c r="Q4" s="88">
        <v>44</v>
      </c>
      <c r="R4" s="88">
        <v>76</v>
      </c>
      <c r="S4" s="88">
        <v>251</v>
      </c>
      <c r="T4" s="88">
        <v>2</v>
      </c>
      <c r="U4" s="88">
        <v>3.3</v>
      </c>
      <c r="V4" s="88">
        <v>15</v>
      </c>
      <c r="W4" s="88">
        <v>7</v>
      </c>
      <c r="X4" s="88">
        <v>55</v>
      </c>
      <c r="Y4" s="88">
        <v>2</v>
      </c>
      <c r="Z4" s="88">
        <v>58.6</v>
      </c>
      <c r="AA4" s="88">
        <v>6.9</v>
      </c>
      <c r="AB4" s="88">
        <v>49.25</v>
      </c>
      <c r="AC4" s="12" t="str">
        <f>VLOOKUP(Team_Offense_Table__CY[[#This Row],[Team]],'Name Bridge'!$A$1:$B$410,2,FALSE)</f>
        <v>ARI</v>
      </c>
      <c r="AD4" s="26">
        <f t="shared" si="0"/>
        <v>31.666666666666668</v>
      </c>
      <c r="AE4" s="26">
        <f t="shared" si="1"/>
        <v>304.33333333333331</v>
      </c>
      <c r="AF4" s="26">
        <f t="shared" si="2"/>
        <v>83.666666666666671</v>
      </c>
      <c r="AG4" s="26">
        <f t="shared" si="3"/>
        <v>25.333333333333332</v>
      </c>
      <c r="AH4" s="26">
        <f t="shared" si="4"/>
        <v>31.333333333333332</v>
      </c>
      <c r="AI4" s="13">
        <f t="shared" si="5"/>
        <v>0.44705882352941179</v>
      </c>
      <c r="AJ4" s="13">
        <f t="shared" si="6"/>
        <v>0.55294117647058827</v>
      </c>
    </row>
    <row r="5" spans="1:36" x14ac:dyDescent="0.2">
      <c r="A5" s="87">
        <v>4</v>
      </c>
      <c r="B5" s="88" t="s">
        <v>694</v>
      </c>
      <c r="C5" s="88">
        <v>3</v>
      </c>
      <c r="D5" s="88">
        <v>94</v>
      </c>
      <c r="E5" s="88">
        <v>1166</v>
      </c>
      <c r="F5" s="88">
        <v>220</v>
      </c>
      <c r="G5" s="88">
        <v>5.3</v>
      </c>
      <c r="H5" s="88">
        <v>3</v>
      </c>
      <c r="I5" s="88">
        <v>2</v>
      </c>
      <c r="J5" s="88">
        <v>72</v>
      </c>
      <c r="K5" s="88">
        <v>80</v>
      </c>
      <c r="L5" s="88">
        <v>128</v>
      </c>
      <c r="M5" s="88">
        <v>784</v>
      </c>
      <c r="N5" s="88">
        <v>7</v>
      </c>
      <c r="O5" s="88">
        <v>1</v>
      </c>
      <c r="P5" s="88">
        <v>5.9</v>
      </c>
      <c r="Q5" s="88">
        <v>41</v>
      </c>
      <c r="R5" s="88">
        <v>88</v>
      </c>
      <c r="S5" s="88">
        <v>382</v>
      </c>
      <c r="T5" s="88">
        <v>4</v>
      </c>
      <c r="U5" s="88">
        <v>4.3</v>
      </c>
      <c r="V5" s="88">
        <v>26</v>
      </c>
      <c r="W5" s="88">
        <v>19</v>
      </c>
      <c r="X5" s="88">
        <v>164</v>
      </c>
      <c r="Y5" s="88">
        <v>5</v>
      </c>
      <c r="Z5" s="88">
        <v>47.2</v>
      </c>
      <c r="AA5" s="88">
        <v>8.3000000000000007</v>
      </c>
      <c r="AB5" s="88">
        <v>25.16</v>
      </c>
      <c r="AC5" s="12" t="str">
        <f>VLOOKUP(Team_Offense_Table__CY[[#This Row],[Team]],'Name Bridge'!$A$1:$B$410,2,FALSE)</f>
        <v>HOU</v>
      </c>
      <c r="AD5" s="26">
        <f t="shared" si="0"/>
        <v>31.333333333333332</v>
      </c>
      <c r="AE5" s="26">
        <f t="shared" si="1"/>
        <v>261.33333333333331</v>
      </c>
      <c r="AF5" s="26">
        <f t="shared" si="2"/>
        <v>127.33333333333333</v>
      </c>
      <c r="AG5" s="26">
        <f t="shared" si="3"/>
        <v>29.333333333333332</v>
      </c>
      <c r="AH5" s="26">
        <f t="shared" si="4"/>
        <v>42.666666666666664</v>
      </c>
      <c r="AI5" s="13">
        <f t="shared" si="5"/>
        <v>0.40740740740740738</v>
      </c>
      <c r="AJ5" s="13">
        <f t="shared" si="6"/>
        <v>0.59259259259259256</v>
      </c>
    </row>
    <row r="6" spans="1:36" ht="30" x14ac:dyDescent="0.2">
      <c r="A6" s="87">
        <v>5</v>
      </c>
      <c r="B6" s="88" t="s">
        <v>702</v>
      </c>
      <c r="C6" s="88">
        <v>4</v>
      </c>
      <c r="D6" s="88">
        <v>92</v>
      </c>
      <c r="E6" s="88">
        <v>1302</v>
      </c>
      <c r="F6" s="88">
        <v>220</v>
      </c>
      <c r="G6" s="88">
        <v>5.9</v>
      </c>
      <c r="H6" s="88">
        <v>5</v>
      </c>
      <c r="I6" s="88">
        <v>1</v>
      </c>
      <c r="J6" s="88">
        <v>67</v>
      </c>
      <c r="K6" s="88">
        <v>78</v>
      </c>
      <c r="L6" s="88">
        <v>107</v>
      </c>
      <c r="M6" s="88">
        <v>910</v>
      </c>
      <c r="N6" s="88">
        <v>9</v>
      </c>
      <c r="O6" s="88">
        <v>4</v>
      </c>
      <c r="P6" s="88">
        <v>7.7</v>
      </c>
      <c r="Q6" s="88">
        <v>45</v>
      </c>
      <c r="R6" s="88">
        <v>102</v>
      </c>
      <c r="S6" s="88">
        <v>392</v>
      </c>
      <c r="T6" s="88">
        <v>2</v>
      </c>
      <c r="U6" s="88">
        <v>3.8</v>
      </c>
      <c r="V6" s="88">
        <v>17</v>
      </c>
      <c r="W6" s="88">
        <v>23</v>
      </c>
      <c r="X6" s="88">
        <v>199</v>
      </c>
      <c r="Y6" s="88">
        <v>5</v>
      </c>
      <c r="Z6" s="88">
        <v>35.6</v>
      </c>
      <c r="AA6" s="88">
        <v>11.1</v>
      </c>
      <c r="AB6" s="88">
        <v>11.12</v>
      </c>
      <c r="AC6" s="12" t="str">
        <f>VLOOKUP(Team_Offense_Table__CY[[#This Row],[Team]],'Name Bridge'!$A$1:$B$410,2,FALSE)</f>
        <v>LAR</v>
      </c>
      <c r="AD6" s="26">
        <f t="shared" si="0"/>
        <v>23</v>
      </c>
      <c r="AE6" s="26">
        <f t="shared" si="1"/>
        <v>227.5</v>
      </c>
      <c r="AF6" s="26">
        <f t="shared" si="2"/>
        <v>98</v>
      </c>
      <c r="AG6" s="26">
        <f t="shared" si="3"/>
        <v>25.5</v>
      </c>
      <c r="AH6" s="26">
        <f t="shared" si="4"/>
        <v>26.75</v>
      </c>
      <c r="AI6" s="13">
        <f t="shared" si="5"/>
        <v>0.48803827751196172</v>
      </c>
      <c r="AJ6" s="13">
        <f t="shared" si="6"/>
        <v>0.51196172248803828</v>
      </c>
    </row>
    <row r="7" spans="1:36" ht="30" x14ac:dyDescent="0.2">
      <c r="A7" s="87">
        <v>6</v>
      </c>
      <c r="B7" s="88" t="s">
        <v>695</v>
      </c>
      <c r="C7" s="88">
        <v>3</v>
      </c>
      <c r="D7" s="88">
        <v>92</v>
      </c>
      <c r="E7" s="88">
        <v>1239</v>
      </c>
      <c r="F7" s="88">
        <v>186</v>
      </c>
      <c r="G7" s="88">
        <v>6.7</v>
      </c>
      <c r="H7" s="88">
        <v>6</v>
      </c>
      <c r="I7" s="88">
        <v>3</v>
      </c>
      <c r="J7" s="88">
        <v>76</v>
      </c>
      <c r="K7" s="88">
        <v>78</v>
      </c>
      <c r="L7" s="88">
        <v>111</v>
      </c>
      <c r="M7" s="88">
        <v>918</v>
      </c>
      <c r="N7" s="88">
        <v>9</v>
      </c>
      <c r="O7" s="88">
        <v>3</v>
      </c>
      <c r="P7" s="88">
        <v>8</v>
      </c>
      <c r="Q7" s="88">
        <v>52</v>
      </c>
      <c r="R7" s="88">
        <v>71</v>
      </c>
      <c r="S7" s="88">
        <v>321</v>
      </c>
      <c r="T7" s="88">
        <v>2</v>
      </c>
      <c r="U7" s="88">
        <v>4.5</v>
      </c>
      <c r="V7" s="88">
        <v>18</v>
      </c>
      <c r="W7" s="88">
        <v>16</v>
      </c>
      <c r="X7" s="88">
        <v>138</v>
      </c>
      <c r="Y7" s="88">
        <v>6</v>
      </c>
      <c r="Z7" s="88">
        <v>50</v>
      </c>
      <c r="AA7" s="88">
        <v>21.4</v>
      </c>
      <c r="AB7" s="88">
        <v>44.72</v>
      </c>
      <c r="AC7" s="12" t="str">
        <f>VLOOKUP(Team_Offense_Table__CY[[#This Row],[Team]],'Name Bridge'!$A$1:$B$410,2,FALSE)</f>
        <v>LV</v>
      </c>
      <c r="AD7" s="26">
        <f t="shared" si="0"/>
        <v>30.666666666666668</v>
      </c>
      <c r="AE7" s="26">
        <f t="shared" si="1"/>
        <v>306</v>
      </c>
      <c r="AF7" s="26">
        <f t="shared" si="2"/>
        <v>107</v>
      </c>
      <c r="AG7" s="26">
        <f t="shared" si="3"/>
        <v>23.666666666666668</v>
      </c>
      <c r="AH7" s="26">
        <f t="shared" si="4"/>
        <v>37</v>
      </c>
      <c r="AI7" s="13">
        <f t="shared" si="5"/>
        <v>0.39010989010989011</v>
      </c>
      <c r="AJ7" s="13">
        <f t="shared" si="6"/>
        <v>0.60989010989010994</v>
      </c>
    </row>
    <row r="8" spans="1:36" ht="30" x14ac:dyDescent="0.2">
      <c r="A8" s="87">
        <v>7</v>
      </c>
      <c r="B8" s="88" t="s">
        <v>879</v>
      </c>
      <c r="C8" s="88">
        <v>3</v>
      </c>
      <c r="D8" s="88">
        <v>90</v>
      </c>
      <c r="E8" s="88">
        <v>1413</v>
      </c>
      <c r="F8" s="88">
        <v>225</v>
      </c>
      <c r="G8" s="88">
        <v>6.3</v>
      </c>
      <c r="H8" s="88">
        <v>2</v>
      </c>
      <c r="I8" s="88">
        <v>0</v>
      </c>
      <c r="J8" s="88">
        <v>76</v>
      </c>
      <c r="K8" s="88">
        <v>88</v>
      </c>
      <c r="L8" s="88">
        <v>136</v>
      </c>
      <c r="M8" s="88">
        <v>1139</v>
      </c>
      <c r="N8" s="88">
        <v>6</v>
      </c>
      <c r="O8" s="88">
        <v>2</v>
      </c>
      <c r="P8" s="88">
        <v>7.9</v>
      </c>
      <c r="Q8" s="88">
        <v>52</v>
      </c>
      <c r="R8" s="88">
        <v>81</v>
      </c>
      <c r="S8" s="88">
        <v>274</v>
      </c>
      <c r="T8" s="88">
        <v>3</v>
      </c>
      <c r="U8" s="88">
        <v>3.4</v>
      </c>
      <c r="V8" s="88">
        <v>17</v>
      </c>
      <c r="W8" s="88">
        <v>23</v>
      </c>
      <c r="X8" s="88">
        <v>206</v>
      </c>
      <c r="Y8" s="88">
        <v>7</v>
      </c>
      <c r="Z8" s="88">
        <v>48.6</v>
      </c>
      <c r="AA8" s="88">
        <v>5.4</v>
      </c>
      <c r="AB8" s="88">
        <v>31.54</v>
      </c>
      <c r="AC8" s="12" t="str">
        <f>VLOOKUP(Team_Offense_Table__CY[[#This Row],[Team]],'Name Bridge'!$A$1:$B$410,2,FALSE)</f>
        <v>KC</v>
      </c>
      <c r="AD8" s="26">
        <f t="shared" si="0"/>
        <v>30</v>
      </c>
      <c r="AE8" s="26">
        <f t="shared" si="1"/>
        <v>379.66666666666669</v>
      </c>
      <c r="AF8" s="26">
        <f t="shared" si="2"/>
        <v>91.333333333333329</v>
      </c>
      <c r="AG8" s="26">
        <f t="shared" si="3"/>
        <v>27</v>
      </c>
      <c r="AH8" s="26">
        <f t="shared" si="4"/>
        <v>45.333333333333336</v>
      </c>
      <c r="AI8" s="13">
        <f t="shared" si="5"/>
        <v>0.3732718894009216</v>
      </c>
      <c r="AJ8" s="13">
        <f t="shared" si="6"/>
        <v>0.6267281105990784</v>
      </c>
    </row>
    <row r="9" spans="1:36" ht="30" x14ac:dyDescent="0.2">
      <c r="A9" s="87">
        <v>8</v>
      </c>
      <c r="B9" s="88" t="s">
        <v>877</v>
      </c>
      <c r="C9" s="88">
        <v>3</v>
      </c>
      <c r="D9" s="88">
        <v>90</v>
      </c>
      <c r="E9" s="88">
        <v>1250</v>
      </c>
      <c r="F9" s="88">
        <v>208</v>
      </c>
      <c r="G9" s="88">
        <v>6</v>
      </c>
      <c r="H9" s="88">
        <v>3</v>
      </c>
      <c r="I9" s="88">
        <v>1</v>
      </c>
      <c r="J9" s="88">
        <v>82</v>
      </c>
      <c r="K9" s="88">
        <v>86</v>
      </c>
      <c r="L9" s="88">
        <v>111</v>
      </c>
      <c r="M9" s="88">
        <v>832</v>
      </c>
      <c r="N9" s="88">
        <v>6</v>
      </c>
      <c r="O9" s="88">
        <v>2</v>
      </c>
      <c r="P9" s="88">
        <v>7.1</v>
      </c>
      <c r="Q9" s="88">
        <v>48</v>
      </c>
      <c r="R9" s="88">
        <v>90</v>
      </c>
      <c r="S9" s="88">
        <v>418</v>
      </c>
      <c r="T9" s="88">
        <v>4</v>
      </c>
      <c r="U9" s="88">
        <v>4.5999999999999996</v>
      </c>
      <c r="V9" s="88">
        <v>24</v>
      </c>
      <c r="W9" s="88">
        <v>21</v>
      </c>
      <c r="X9" s="88">
        <v>181</v>
      </c>
      <c r="Y9" s="88">
        <v>10</v>
      </c>
      <c r="Z9" s="88">
        <v>44.1</v>
      </c>
      <c r="AA9" s="88">
        <v>8.8000000000000007</v>
      </c>
      <c r="AB9" s="88">
        <v>40.299999999999997</v>
      </c>
      <c r="AC9" s="12" t="str">
        <f>VLOOKUP(Team_Offense_Table__CY[[#This Row],[Team]],'Name Bridge'!$A$1:$B$410,2,FALSE)</f>
        <v>DET</v>
      </c>
      <c r="AD9" s="26">
        <f t="shared" si="0"/>
        <v>30</v>
      </c>
      <c r="AE9" s="26">
        <f t="shared" si="1"/>
        <v>277.33333333333331</v>
      </c>
      <c r="AF9" s="26">
        <f t="shared" si="2"/>
        <v>139.33333333333334</v>
      </c>
      <c r="AG9" s="26">
        <f t="shared" si="3"/>
        <v>30</v>
      </c>
      <c r="AH9" s="26">
        <f t="shared" si="4"/>
        <v>37</v>
      </c>
      <c r="AI9" s="13">
        <f t="shared" si="5"/>
        <v>0.44776119402985076</v>
      </c>
      <c r="AJ9" s="13">
        <f t="shared" si="6"/>
        <v>0.55223880597014929</v>
      </c>
    </row>
    <row r="10" spans="1:36" ht="30" x14ac:dyDescent="0.2">
      <c r="A10" s="87">
        <v>9</v>
      </c>
      <c r="B10" s="88" t="s">
        <v>690</v>
      </c>
      <c r="C10" s="88">
        <v>3</v>
      </c>
      <c r="D10" s="88">
        <v>87</v>
      </c>
      <c r="E10" s="88">
        <v>1275</v>
      </c>
      <c r="F10" s="88">
        <v>208</v>
      </c>
      <c r="G10" s="88">
        <v>6.1</v>
      </c>
      <c r="H10" s="88">
        <v>1</v>
      </c>
      <c r="I10" s="88">
        <v>1</v>
      </c>
      <c r="J10" s="88">
        <v>74</v>
      </c>
      <c r="K10" s="88">
        <v>89</v>
      </c>
      <c r="L10" s="88">
        <v>120</v>
      </c>
      <c r="M10" s="88">
        <v>891</v>
      </c>
      <c r="N10" s="88">
        <v>8</v>
      </c>
      <c r="O10" s="88">
        <v>0</v>
      </c>
      <c r="P10" s="88">
        <v>7.1</v>
      </c>
      <c r="Q10" s="88">
        <v>46</v>
      </c>
      <c r="R10" s="88">
        <v>83</v>
      </c>
      <c r="S10" s="88">
        <v>384</v>
      </c>
      <c r="T10" s="88">
        <v>1</v>
      </c>
      <c r="U10" s="88">
        <v>4.5999999999999996</v>
      </c>
      <c r="V10" s="88">
        <v>23</v>
      </c>
      <c r="W10" s="88">
        <v>19</v>
      </c>
      <c r="X10" s="88">
        <v>172</v>
      </c>
      <c r="Y10" s="88">
        <v>5</v>
      </c>
      <c r="Z10" s="88">
        <v>46.9</v>
      </c>
      <c r="AA10" s="88">
        <v>3.1</v>
      </c>
      <c r="AB10" s="88">
        <v>36.42</v>
      </c>
      <c r="AC10" s="12" t="str">
        <f>VLOOKUP(Team_Offense_Table__CY[[#This Row],[Team]],'Name Bridge'!$A$1:$B$410,2,FALSE)</f>
        <v>PHI</v>
      </c>
      <c r="AD10" s="26">
        <f t="shared" si="0"/>
        <v>29</v>
      </c>
      <c r="AE10" s="26">
        <f t="shared" si="1"/>
        <v>297</v>
      </c>
      <c r="AF10" s="26">
        <f t="shared" si="2"/>
        <v>128</v>
      </c>
      <c r="AG10" s="26">
        <f t="shared" si="3"/>
        <v>27.666666666666668</v>
      </c>
      <c r="AH10" s="26">
        <f t="shared" si="4"/>
        <v>40</v>
      </c>
      <c r="AI10" s="13">
        <f t="shared" si="5"/>
        <v>0.40886699507389163</v>
      </c>
      <c r="AJ10" s="13">
        <f t="shared" si="6"/>
        <v>0.59113300492610832</v>
      </c>
    </row>
    <row r="11" spans="1:36" ht="30" x14ac:dyDescent="0.2">
      <c r="A11" s="87">
        <v>10</v>
      </c>
      <c r="B11" s="88" t="s">
        <v>309</v>
      </c>
      <c r="C11" s="88">
        <v>3</v>
      </c>
      <c r="D11" s="88">
        <v>86</v>
      </c>
      <c r="E11" s="88">
        <v>1046</v>
      </c>
      <c r="F11" s="88">
        <v>188</v>
      </c>
      <c r="G11" s="88">
        <v>5.6</v>
      </c>
      <c r="H11" s="88">
        <v>4</v>
      </c>
      <c r="I11" s="88">
        <v>3</v>
      </c>
      <c r="J11" s="88">
        <v>69</v>
      </c>
      <c r="K11" s="88">
        <v>65</v>
      </c>
      <c r="L11" s="88">
        <v>96</v>
      </c>
      <c r="M11" s="88">
        <v>731</v>
      </c>
      <c r="N11" s="88">
        <v>5</v>
      </c>
      <c r="O11" s="88">
        <v>1</v>
      </c>
      <c r="P11" s="88">
        <v>7.2</v>
      </c>
      <c r="Q11" s="88">
        <v>36</v>
      </c>
      <c r="R11" s="88">
        <v>87</v>
      </c>
      <c r="S11" s="88">
        <v>315</v>
      </c>
      <c r="T11" s="88">
        <v>5</v>
      </c>
      <c r="U11" s="88">
        <v>3.6</v>
      </c>
      <c r="V11" s="88">
        <v>22</v>
      </c>
      <c r="W11" s="88">
        <v>17</v>
      </c>
      <c r="X11" s="88">
        <v>240</v>
      </c>
      <c r="Y11" s="88">
        <v>11</v>
      </c>
      <c r="Z11" s="88">
        <v>43.3</v>
      </c>
      <c r="AA11" s="88">
        <v>13.3</v>
      </c>
      <c r="AB11" s="88">
        <v>35.53</v>
      </c>
      <c r="AC11" s="12" t="str">
        <f>VLOOKUP(Team_Offense_Table__CY[[#This Row],[Team]],'Name Bridge'!$A$1:$B$410,2,FALSE)</f>
        <v>TB</v>
      </c>
      <c r="AD11" s="26">
        <f t="shared" si="0"/>
        <v>28.666666666666668</v>
      </c>
      <c r="AE11" s="26">
        <f t="shared" si="1"/>
        <v>243.66666666666666</v>
      </c>
      <c r="AF11" s="26">
        <f t="shared" si="2"/>
        <v>105</v>
      </c>
      <c r="AG11" s="26">
        <f t="shared" si="3"/>
        <v>29</v>
      </c>
      <c r="AH11" s="26">
        <f t="shared" si="4"/>
        <v>32</v>
      </c>
      <c r="AI11" s="13">
        <f t="shared" si="5"/>
        <v>0.47540983606557374</v>
      </c>
      <c r="AJ11" s="13">
        <f t="shared" si="6"/>
        <v>0.52459016393442626</v>
      </c>
    </row>
    <row r="12" spans="1:36" ht="30" x14ac:dyDescent="0.2">
      <c r="A12" s="87">
        <v>11</v>
      </c>
      <c r="B12" s="88" t="s">
        <v>701</v>
      </c>
      <c r="C12" s="88">
        <v>3</v>
      </c>
      <c r="D12" s="88">
        <v>86</v>
      </c>
      <c r="E12" s="88">
        <v>1230</v>
      </c>
      <c r="F12" s="88">
        <v>191</v>
      </c>
      <c r="G12" s="88">
        <v>6.4</v>
      </c>
      <c r="H12" s="88">
        <v>4</v>
      </c>
      <c r="I12" s="88">
        <v>2</v>
      </c>
      <c r="J12" s="88">
        <v>72</v>
      </c>
      <c r="K12" s="88">
        <v>59</v>
      </c>
      <c r="L12" s="88">
        <v>80</v>
      </c>
      <c r="M12" s="88">
        <v>706</v>
      </c>
      <c r="N12" s="88">
        <v>2</v>
      </c>
      <c r="O12" s="88">
        <v>2</v>
      </c>
      <c r="P12" s="88">
        <v>7.9</v>
      </c>
      <c r="Q12" s="88">
        <v>37</v>
      </c>
      <c r="R12" s="88">
        <v>102</v>
      </c>
      <c r="S12" s="88">
        <v>524</v>
      </c>
      <c r="T12" s="88">
        <v>8</v>
      </c>
      <c r="U12" s="88">
        <v>5.0999999999999996</v>
      </c>
      <c r="V12" s="88">
        <v>31</v>
      </c>
      <c r="W12" s="88">
        <v>18</v>
      </c>
      <c r="X12" s="88">
        <v>205</v>
      </c>
      <c r="Y12" s="88">
        <v>4</v>
      </c>
      <c r="Z12" s="88">
        <v>50</v>
      </c>
      <c r="AA12" s="88">
        <v>13.3</v>
      </c>
      <c r="AB12" s="88">
        <v>34.869999999999997</v>
      </c>
      <c r="AC12" s="12" t="str">
        <f>VLOOKUP(Team_Offense_Table__CY[[#This Row],[Team]],'Name Bridge'!$A$1:$B$410,2,FALSE)</f>
        <v>DAL</v>
      </c>
      <c r="AD12" s="26">
        <f t="shared" si="0"/>
        <v>28.666666666666668</v>
      </c>
      <c r="AE12" s="26">
        <f t="shared" si="1"/>
        <v>235.33333333333334</v>
      </c>
      <c r="AF12" s="26">
        <f t="shared" si="2"/>
        <v>174.66666666666666</v>
      </c>
      <c r="AG12" s="26">
        <f t="shared" si="3"/>
        <v>34</v>
      </c>
      <c r="AH12" s="26">
        <f t="shared" si="4"/>
        <v>26.666666666666668</v>
      </c>
      <c r="AI12" s="13">
        <f t="shared" si="5"/>
        <v>0.56043956043956045</v>
      </c>
      <c r="AJ12" s="13">
        <f t="shared" si="6"/>
        <v>0.43956043956043955</v>
      </c>
    </row>
    <row r="13" spans="1:36" ht="30" x14ac:dyDescent="0.2">
      <c r="A13" s="87">
        <v>12</v>
      </c>
      <c r="B13" s="88" t="s">
        <v>813</v>
      </c>
      <c r="C13" s="88">
        <v>3</v>
      </c>
      <c r="D13" s="88">
        <v>82</v>
      </c>
      <c r="E13" s="88">
        <v>1274</v>
      </c>
      <c r="F13" s="88">
        <v>193</v>
      </c>
      <c r="G13" s="88">
        <v>6.6</v>
      </c>
      <c r="H13" s="88">
        <v>5</v>
      </c>
      <c r="I13" s="88">
        <v>2</v>
      </c>
      <c r="J13" s="88">
        <v>66</v>
      </c>
      <c r="K13" s="88">
        <v>53</v>
      </c>
      <c r="L13" s="88">
        <v>87</v>
      </c>
      <c r="M13" s="88">
        <v>718</v>
      </c>
      <c r="N13" s="88">
        <v>3</v>
      </c>
      <c r="O13" s="88">
        <v>3</v>
      </c>
      <c r="P13" s="88">
        <v>7.6</v>
      </c>
      <c r="Q13" s="88">
        <v>32</v>
      </c>
      <c r="R13" s="88">
        <v>98</v>
      </c>
      <c r="S13" s="88">
        <v>556</v>
      </c>
      <c r="T13" s="88">
        <v>5</v>
      </c>
      <c r="U13" s="88">
        <v>5.7</v>
      </c>
      <c r="V13" s="88">
        <v>31</v>
      </c>
      <c r="W13" s="88">
        <v>19</v>
      </c>
      <c r="X13" s="88">
        <v>195</v>
      </c>
      <c r="Y13" s="88">
        <v>3</v>
      </c>
      <c r="Z13" s="88">
        <v>47.1</v>
      </c>
      <c r="AA13" s="88">
        <v>14.7</v>
      </c>
      <c r="AB13" s="88">
        <v>25.06</v>
      </c>
      <c r="AC13" s="12" t="str">
        <f>VLOOKUP(Team_Offense_Table__CY[[#This Row],[Team]],'Name Bridge'!$A$1:$B$410,2,FALSE)</f>
        <v>CLE</v>
      </c>
      <c r="AD13" s="26">
        <f t="shared" si="0"/>
        <v>27.333333333333332</v>
      </c>
      <c r="AE13" s="26">
        <f t="shared" si="1"/>
        <v>239.33333333333334</v>
      </c>
      <c r="AF13" s="26">
        <f t="shared" si="2"/>
        <v>185.33333333333334</v>
      </c>
      <c r="AG13" s="26">
        <f t="shared" si="3"/>
        <v>32.666666666666664</v>
      </c>
      <c r="AH13" s="26">
        <f t="shared" si="4"/>
        <v>29</v>
      </c>
      <c r="AI13" s="13">
        <f t="shared" si="5"/>
        <v>0.52972972972972976</v>
      </c>
      <c r="AJ13" s="13">
        <f t="shared" si="6"/>
        <v>0.47027027027027024</v>
      </c>
    </row>
    <row r="14" spans="1:36" ht="30" x14ac:dyDescent="0.2">
      <c r="A14" s="87">
        <v>13</v>
      </c>
      <c r="B14" s="88" t="s">
        <v>642</v>
      </c>
      <c r="C14" s="88">
        <v>3</v>
      </c>
      <c r="D14" s="88">
        <v>76</v>
      </c>
      <c r="E14" s="88">
        <v>1161</v>
      </c>
      <c r="F14" s="88">
        <v>197</v>
      </c>
      <c r="G14" s="88">
        <v>5.9</v>
      </c>
      <c r="H14" s="88">
        <v>2</v>
      </c>
      <c r="I14" s="88">
        <v>2</v>
      </c>
      <c r="J14" s="88">
        <v>69</v>
      </c>
      <c r="K14" s="88">
        <v>73</v>
      </c>
      <c r="L14" s="88">
        <v>95</v>
      </c>
      <c r="M14" s="88">
        <v>780</v>
      </c>
      <c r="N14" s="88">
        <v>4</v>
      </c>
      <c r="O14" s="88">
        <v>0</v>
      </c>
      <c r="P14" s="88">
        <v>7.6</v>
      </c>
      <c r="Q14" s="88">
        <v>38</v>
      </c>
      <c r="R14" s="88">
        <v>95</v>
      </c>
      <c r="S14" s="88">
        <v>381</v>
      </c>
      <c r="T14" s="88">
        <v>3</v>
      </c>
      <c r="U14" s="88">
        <v>4</v>
      </c>
      <c r="V14" s="88">
        <v>22</v>
      </c>
      <c r="W14" s="88">
        <v>21</v>
      </c>
      <c r="X14" s="88">
        <v>202</v>
      </c>
      <c r="Y14" s="88">
        <v>9</v>
      </c>
      <c r="Z14" s="88">
        <v>53.3</v>
      </c>
      <c r="AA14" s="88">
        <v>6.7</v>
      </c>
      <c r="AB14" s="88">
        <v>38.979999999999997</v>
      </c>
      <c r="AC14" s="12" t="str">
        <f>VLOOKUP(Team_Offense_Table__CY[[#This Row],[Team]],'Name Bridge'!$A$1:$B$410,2,FALSE)</f>
        <v>SEA</v>
      </c>
      <c r="AD14" s="26">
        <f t="shared" si="0"/>
        <v>25.333333333333332</v>
      </c>
      <c r="AE14" s="26">
        <f t="shared" si="1"/>
        <v>260</v>
      </c>
      <c r="AF14" s="26">
        <f t="shared" si="2"/>
        <v>127</v>
      </c>
      <c r="AG14" s="26">
        <f t="shared" si="3"/>
        <v>31.666666666666668</v>
      </c>
      <c r="AH14" s="26">
        <f t="shared" si="4"/>
        <v>31.666666666666668</v>
      </c>
      <c r="AI14" s="13">
        <f t="shared" si="5"/>
        <v>0.5</v>
      </c>
      <c r="AJ14" s="13">
        <f t="shared" si="6"/>
        <v>0.5</v>
      </c>
    </row>
    <row r="15" spans="1:36" ht="30" x14ac:dyDescent="0.2">
      <c r="A15" s="87">
        <v>14</v>
      </c>
      <c r="B15" s="88" t="s">
        <v>349</v>
      </c>
      <c r="C15" s="88">
        <v>3</v>
      </c>
      <c r="D15" s="88">
        <v>75</v>
      </c>
      <c r="E15" s="88">
        <v>1167</v>
      </c>
      <c r="F15" s="88">
        <v>157</v>
      </c>
      <c r="G15" s="88">
        <v>7.4</v>
      </c>
      <c r="H15" s="88">
        <v>1</v>
      </c>
      <c r="I15" s="88">
        <v>1</v>
      </c>
      <c r="J15" s="88">
        <v>56</v>
      </c>
      <c r="K15" s="88">
        <v>63</v>
      </c>
      <c r="L15" s="88">
        <v>86</v>
      </c>
      <c r="M15" s="88">
        <v>844</v>
      </c>
      <c r="N15" s="88">
        <v>7</v>
      </c>
      <c r="O15" s="88">
        <v>0</v>
      </c>
      <c r="P15" s="88">
        <v>9</v>
      </c>
      <c r="Q15" s="88">
        <v>36</v>
      </c>
      <c r="R15" s="88">
        <v>63</v>
      </c>
      <c r="S15" s="88">
        <v>323</v>
      </c>
      <c r="T15" s="88">
        <v>3</v>
      </c>
      <c r="U15" s="88">
        <v>5.0999999999999996</v>
      </c>
      <c r="V15" s="88">
        <v>17</v>
      </c>
      <c r="W15" s="88">
        <v>21</v>
      </c>
      <c r="X15" s="88">
        <v>188</v>
      </c>
      <c r="Y15" s="88">
        <v>3</v>
      </c>
      <c r="Z15" s="88">
        <v>38.700000000000003</v>
      </c>
      <c r="AA15" s="88">
        <v>3.2</v>
      </c>
      <c r="AB15" s="88">
        <v>42.5</v>
      </c>
      <c r="AC15" s="12" t="str">
        <f>VLOOKUP(Team_Offense_Table__CY[[#This Row],[Team]],'Name Bridge'!$A$1:$B$410,2,FALSE)</f>
        <v>DEN</v>
      </c>
      <c r="AD15" s="26">
        <f t="shared" si="0"/>
        <v>25</v>
      </c>
      <c r="AE15" s="26">
        <f t="shared" si="1"/>
        <v>281.33333333333331</v>
      </c>
      <c r="AF15" s="26">
        <f t="shared" si="2"/>
        <v>107.66666666666667</v>
      </c>
      <c r="AG15" s="26">
        <f t="shared" si="3"/>
        <v>21</v>
      </c>
      <c r="AH15" s="26">
        <f t="shared" si="4"/>
        <v>28.666666666666668</v>
      </c>
      <c r="AI15" s="13">
        <f t="shared" si="5"/>
        <v>0.42281879194630867</v>
      </c>
      <c r="AJ15" s="13">
        <f t="shared" si="6"/>
        <v>0.57718120805369133</v>
      </c>
    </row>
    <row r="16" spans="1:36" ht="30" x14ac:dyDescent="0.2">
      <c r="A16" s="87">
        <v>15</v>
      </c>
      <c r="B16" s="88" t="s">
        <v>689</v>
      </c>
      <c r="C16" s="88">
        <v>4</v>
      </c>
      <c r="D16" s="88">
        <v>74</v>
      </c>
      <c r="E16" s="88">
        <v>1286</v>
      </c>
      <c r="F16" s="88">
        <v>239</v>
      </c>
      <c r="G16" s="88">
        <v>5.4</v>
      </c>
      <c r="H16" s="88">
        <v>9</v>
      </c>
      <c r="I16" s="88">
        <v>2</v>
      </c>
      <c r="J16" s="88">
        <v>73</v>
      </c>
      <c r="K16" s="88">
        <v>81</v>
      </c>
      <c r="L16" s="88">
        <v>142</v>
      </c>
      <c r="M16" s="88">
        <v>837</v>
      </c>
      <c r="N16" s="88">
        <v>5</v>
      </c>
      <c r="O16" s="88">
        <v>7</v>
      </c>
      <c r="P16" s="88">
        <v>5.7</v>
      </c>
      <c r="Q16" s="88">
        <v>37</v>
      </c>
      <c r="R16" s="88">
        <v>91</v>
      </c>
      <c r="S16" s="88">
        <v>449</v>
      </c>
      <c r="T16" s="88">
        <v>4</v>
      </c>
      <c r="U16" s="88">
        <v>4.9000000000000004</v>
      </c>
      <c r="V16" s="88">
        <v>29</v>
      </c>
      <c r="W16" s="88">
        <v>23</v>
      </c>
      <c r="X16" s="88">
        <v>206</v>
      </c>
      <c r="Y16" s="88">
        <v>7</v>
      </c>
      <c r="Z16" s="88">
        <v>20.9</v>
      </c>
      <c r="AA16" s="88">
        <v>20.9</v>
      </c>
      <c r="AB16" s="88">
        <v>0.17</v>
      </c>
      <c r="AC16" s="12" t="str">
        <f>VLOOKUP(Team_Offense_Table__CY[[#This Row],[Team]],'Name Bridge'!$A$1:$B$410,2,FALSE)</f>
        <v>BAL</v>
      </c>
      <c r="AD16" s="26">
        <f t="shared" si="0"/>
        <v>18.5</v>
      </c>
      <c r="AE16" s="26">
        <f t="shared" si="1"/>
        <v>209.25</v>
      </c>
      <c r="AF16" s="26">
        <f t="shared" si="2"/>
        <v>112.25</v>
      </c>
      <c r="AG16" s="26">
        <f t="shared" si="3"/>
        <v>22.75</v>
      </c>
      <c r="AH16" s="26">
        <f t="shared" si="4"/>
        <v>35.5</v>
      </c>
      <c r="AI16" s="13">
        <f t="shared" si="5"/>
        <v>0.3905579399141631</v>
      </c>
      <c r="AJ16" s="13">
        <f t="shared" si="6"/>
        <v>0.6094420600858369</v>
      </c>
    </row>
    <row r="17" spans="1:36" ht="30" x14ac:dyDescent="0.2">
      <c r="A17" s="87">
        <v>16</v>
      </c>
      <c r="B17" s="88" t="s">
        <v>692</v>
      </c>
      <c r="C17" s="88">
        <v>3</v>
      </c>
      <c r="D17" s="88">
        <v>73</v>
      </c>
      <c r="E17" s="88">
        <v>702</v>
      </c>
      <c r="F17" s="88">
        <v>165</v>
      </c>
      <c r="G17" s="88">
        <v>4.3</v>
      </c>
      <c r="H17" s="88">
        <v>2</v>
      </c>
      <c r="I17" s="88">
        <v>0</v>
      </c>
      <c r="J17" s="88">
        <v>47</v>
      </c>
      <c r="K17" s="88">
        <v>39</v>
      </c>
      <c r="L17" s="88">
        <v>64</v>
      </c>
      <c r="M17" s="88">
        <v>341</v>
      </c>
      <c r="N17" s="88">
        <v>7</v>
      </c>
      <c r="O17" s="88">
        <v>2</v>
      </c>
      <c r="P17" s="88">
        <v>4.8</v>
      </c>
      <c r="Q17" s="88">
        <v>22</v>
      </c>
      <c r="R17" s="88">
        <v>94</v>
      </c>
      <c r="S17" s="88">
        <v>361</v>
      </c>
      <c r="T17" s="88">
        <v>2</v>
      </c>
      <c r="U17" s="88">
        <v>3.8</v>
      </c>
      <c r="V17" s="88">
        <v>23</v>
      </c>
      <c r="W17" s="88">
        <v>19</v>
      </c>
      <c r="X17" s="88">
        <v>166</v>
      </c>
      <c r="Y17" s="88">
        <v>2</v>
      </c>
      <c r="Z17" s="88">
        <v>30.3</v>
      </c>
      <c r="AA17" s="88">
        <v>6.1</v>
      </c>
      <c r="AB17" s="88">
        <v>2.69</v>
      </c>
      <c r="AC17" s="12" t="str">
        <f>VLOOKUP(Team_Offense_Table__CY[[#This Row],[Team]],'Name Bridge'!$A$1:$B$410,2,FALSE)</f>
        <v>CIN</v>
      </c>
      <c r="AD17" s="26">
        <f t="shared" si="0"/>
        <v>24.333333333333332</v>
      </c>
      <c r="AE17" s="26">
        <f t="shared" si="1"/>
        <v>113.66666666666667</v>
      </c>
      <c r="AF17" s="26">
        <f t="shared" si="2"/>
        <v>120.33333333333333</v>
      </c>
      <c r="AG17" s="26">
        <f t="shared" si="3"/>
        <v>31.333333333333332</v>
      </c>
      <c r="AH17" s="26">
        <f t="shared" si="4"/>
        <v>21.333333333333332</v>
      </c>
      <c r="AI17" s="13">
        <f t="shared" si="5"/>
        <v>0.59493670886075944</v>
      </c>
      <c r="AJ17" s="13">
        <f t="shared" si="6"/>
        <v>0.40506329113924056</v>
      </c>
    </row>
    <row r="18" spans="1:36" ht="30" x14ac:dyDescent="0.2">
      <c r="A18" s="87">
        <v>17</v>
      </c>
      <c r="B18" s="88" t="s">
        <v>696</v>
      </c>
      <c r="C18" s="88">
        <v>3</v>
      </c>
      <c r="D18" s="88">
        <v>71</v>
      </c>
      <c r="E18" s="88">
        <v>1148</v>
      </c>
      <c r="F18" s="88">
        <v>212</v>
      </c>
      <c r="G18" s="88">
        <v>5.4</v>
      </c>
      <c r="H18" s="88">
        <v>7</v>
      </c>
      <c r="I18" s="88">
        <v>4</v>
      </c>
      <c r="J18" s="88">
        <v>74</v>
      </c>
      <c r="K18" s="88">
        <v>67</v>
      </c>
      <c r="L18" s="88">
        <v>103</v>
      </c>
      <c r="M18" s="88">
        <v>670</v>
      </c>
      <c r="N18" s="88">
        <v>4</v>
      </c>
      <c r="O18" s="88">
        <v>3</v>
      </c>
      <c r="P18" s="88">
        <v>5.9</v>
      </c>
      <c r="Q18" s="88">
        <v>39</v>
      </c>
      <c r="R18" s="88">
        <v>99</v>
      </c>
      <c r="S18" s="88">
        <v>478</v>
      </c>
      <c r="T18" s="88">
        <v>4</v>
      </c>
      <c r="U18" s="88">
        <v>4.8</v>
      </c>
      <c r="V18" s="88">
        <v>26</v>
      </c>
      <c r="W18" s="88">
        <v>16</v>
      </c>
      <c r="X18" s="88">
        <v>126</v>
      </c>
      <c r="Y18" s="88">
        <v>9</v>
      </c>
      <c r="Z18" s="88">
        <v>38.200000000000003</v>
      </c>
      <c r="AA18" s="88">
        <v>20.6</v>
      </c>
      <c r="AB18" s="88">
        <v>10.220000000000001</v>
      </c>
      <c r="AC18" s="12" t="str">
        <f>VLOOKUP(Team_Offense_Table__CY[[#This Row],[Team]],'Name Bridge'!$A$1:$B$410,2,FALSE)</f>
        <v>MIN</v>
      </c>
      <c r="AD18" s="26">
        <f t="shared" si="0"/>
        <v>23.666666666666668</v>
      </c>
      <c r="AE18" s="26">
        <f t="shared" si="1"/>
        <v>223.33333333333334</v>
      </c>
      <c r="AF18" s="26">
        <f t="shared" si="2"/>
        <v>159.33333333333334</v>
      </c>
      <c r="AG18" s="26">
        <f t="shared" si="3"/>
        <v>33</v>
      </c>
      <c r="AH18" s="26">
        <f t="shared" si="4"/>
        <v>34.333333333333336</v>
      </c>
      <c r="AI18" s="13">
        <f t="shared" si="5"/>
        <v>0.49009900990099003</v>
      </c>
      <c r="AJ18" s="13">
        <f t="shared" si="6"/>
        <v>0.50990099009900991</v>
      </c>
    </row>
    <row r="19" spans="1:36" ht="30" x14ac:dyDescent="0.2">
      <c r="A19" s="87">
        <v>18</v>
      </c>
      <c r="B19" s="88" t="s">
        <v>401</v>
      </c>
      <c r="C19" s="88">
        <v>3</v>
      </c>
      <c r="D19" s="88">
        <v>69</v>
      </c>
      <c r="E19" s="88">
        <v>1171</v>
      </c>
      <c r="F19" s="88">
        <v>206</v>
      </c>
      <c r="G19" s="88">
        <v>5.7</v>
      </c>
      <c r="H19" s="88">
        <v>2</v>
      </c>
      <c r="I19" s="88">
        <v>1</v>
      </c>
      <c r="J19" s="88">
        <v>73</v>
      </c>
      <c r="K19" s="88">
        <v>73</v>
      </c>
      <c r="L19" s="88">
        <v>107</v>
      </c>
      <c r="M19" s="88">
        <v>854</v>
      </c>
      <c r="N19" s="88">
        <v>3</v>
      </c>
      <c r="O19" s="88">
        <v>1</v>
      </c>
      <c r="P19" s="88">
        <v>7.6</v>
      </c>
      <c r="Q19" s="88">
        <v>47</v>
      </c>
      <c r="R19" s="88">
        <v>93</v>
      </c>
      <c r="S19" s="88">
        <v>317</v>
      </c>
      <c r="T19" s="88">
        <v>5</v>
      </c>
      <c r="U19" s="88">
        <v>3.4</v>
      </c>
      <c r="V19" s="88">
        <v>17</v>
      </c>
      <c r="W19" s="88">
        <v>19</v>
      </c>
      <c r="X19" s="88">
        <v>151</v>
      </c>
      <c r="Y19" s="88">
        <v>9</v>
      </c>
      <c r="Z19" s="88">
        <v>38.200000000000003</v>
      </c>
      <c r="AA19" s="88">
        <v>5.9</v>
      </c>
      <c r="AB19" s="88">
        <v>28.27</v>
      </c>
      <c r="AC19" s="12" t="str">
        <f>VLOOKUP(Team_Offense_Table__CY[[#This Row],[Team]],'Name Bridge'!$A$1:$B$410,2,FALSE)</f>
        <v>PIT</v>
      </c>
      <c r="AD19" s="26">
        <f t="shared" si="0"/>
        <v>23</v>
      </c>
      <c r="AE19" s="26">
        <f t="shared" si="1"/>
        <v>284.66666666666669</v>
      </c>
      <c r="AF19" s="26">
        <f t="shared" si="2"/>
        <v>105.66666666666667</v>
      </c>
      <c r="AG19" s="26">
        <f t="shared" si="3"/>
        <v>31</v>
      </c>
      <c r="AH19" s="26">
        <f t="shared" si="4"/>
        <v>35.666666666666664</v>
      </c>
      <c r="AI19" s="13">
        <f t="shared" si="5"/>
        <v>0.46500000000000008</v>
      </c>
      <c r="AJ19" s="13">
        <f t="shared" si="6"/>
        <v>0.53499999999999992</v>
      </c>
    </row>
    <row r="20" spans="1:36" ht="30" x14ac:dyDescent="0.2">
      <c r="A20" s="87">
        <v>19</v>
      </c>
      <c r="B20" s="88" t="s">
        <v>448</v>
      </c>
      <c r="C20" s="88">
        <v>3</v>
      </c>
      <c r="D20" s="88">
        <v>68</v>
      </c>
      <c r="E20" s="88">
        <v>905</v>
      </c>
      <c r="F20" s="88">
        <v>172</v>
      </c>
      <c r="G20" s="88">
        <v>5.3</v>
      </c>
      <c r="H20" s="88">
        <v>3</v>
      </c>
      <c r="I20" s="88">
        <v>1</v>
      </c>
      <c r="J20" s="88">
        <v>60</v>
      </c>
      <c r="K20" s="88">
        <v>65</v>
      </c>
      <c r="L20" s="88">
        <v>95</v>
      </c>
      <c r="M20" s="88">
        <v>666</v>
      </c>
      <c r="N20" s="88">
        <v>6</v>
      </c>
      <c r="O20" s="88">
        <v>2</v>
      </c>
      <c r="P20" s="88">
        <v>6.6</v>
      </c>
      <c r="Q20" s="88">
        <v>38</v>
      </c>
      <c r="R20" s="88">
        <v>71</v>
      </c>
      <c r="S20" s="88">
        <v>239</v>
      </c>
      <c r="T20" s="88">
        <v>2</v>
      </c>
      <c r="U20" s="88">
        <v>3.4</v>
      </c>
      <c r="V20" s="88">
        <v>12</v>
      </c>
      <c r="W20" s="88">
        <v>16</v>
      </c>
      <c r="X20" s="88">
        <v>163</v>
      </c>
      <c r="Y20" s="88">
        <v>10</v>
      </c>
      <c r="Z20" s="88">
        <v>41.4</v>
      </c>
      <c r="AA20" s="88">
        <v>10.3</v>
      </c>
      <c r="AB20" s="88">
        <v>20.22</v>
      </c>
      <c r="AC20" s="12" t="str">
        <f>VLOOKUP(Team_Offense_Table__CY[[#This Row],[Team]],'Name Bridge'!$A$1:$B$410,2,FALSE)</f>
        <v>JAC</v>
      </c>
      <c r="AD20" s="26">
        <f t="shared" si="0"/>
        <v>22.666666666666668</v>
      </c>
      <c r="AE20" s="26">
        <f t="shared" si="1"/>
        <v>222</v>
      </c>
      <c r="AF20" s="26">
        <f t="shared" si="2"/>
        <v>79.666666666666671</v>
      </c>
      <c r="AG20" s="26">
        <f t="shared" si="3"/>
        <v>23.666666666666668</v>
      </c>
      <c r="AH20" s="26">
        <f t="shared" si="4"/>
        <v>31.666666666666668</v>
      </c>
      <c r="AI20" s="13">
        <f t="shared" si="5"/>
        <v>0.42771084337349397</v>
      </c>
      <c r="AJ20" s="13">
        <f t="shared" si="6"/>
        <v>0.57228915662650603</v>
      </c>
    </row>
    <row r="21" spans="1:36" x14ac:dyDescent="0.2">
      <c r="A21" s="87">
        <v>20</v>
      </c>
      <c r="B21" s="88" t="s">
        <v>700</v>
      </c>
      <c r="C21" s="88">
        <v>3</v>
      </c>
      <c r="D21" s="88">
        <v>67</v>
      </c>
      <c r="E21" s="88">
        <v>1059</v>
      </c>
      <c r="F21" s="88">
        <v>200</v>
      </c>
      <c r="G21" s="88">
        <v>5.3</v>
      </c>
      <c r="H21" s="88">
        <v>3</v>
      </c>
      <c r="I21" s="88">
        <v>1</v>
      </c>
      <c r="J21" s="88">
        <v>72</v>
      </c>
      <c r="K21" s="88">
        <v>86</v>
      </c>
      <c r="L21" s="88">
        <v>124</v>
      </c>
      <c r="M21" s="88">
        <v>742</v>
      </c>
      <c r="N21" s="88">
        <v>5</v>
      </c>
      <c r="O21" s="88">
        <v>2</v>
      </c>
      <c r="P21" s="88">
        <v>5.7</v>
      </c>
      <c r="Q21" s="88">
        <v>43</v>
      </c>
      <c r="R21" s="88">
        <v>70</v>
      </c>
      <c r="S21" s="88">
        <v>317</v>
      </c>
      <c r="T21" s="88">
        <v>3</v>
      </c>
      <c r="U21" s="88">
        <v>4.5</v>
      </c>
      <c r="V21" s="88">
        <v>22</v>
      </c>
      <c r="W21" s="88">
        <v>21</v>
      </c>
      <c r="X21" s="88">
        <v>158</v>
      </c>
      <c r="Y21" s="88">
        <v>7</v>
      </c>
      <c r="Z21" s="88">
        <v>34.4</v>
      </c>
      <c r="AA21" s="88">
        <v>9.4</v>
      </c>
      <c r="AB21" s="88">
        <v>10.65</v>
      </c>
      <c r="AC21" s="12" t="str">
        <f>VLOOKUP(Team_Offense_Table__CY[[#This Row],[Team]],'Name Bridge'!$A$1:$B$410,2,FALSE)</f>
        <v>LAC</v>
      </c>
      <c r="AD21" s="26">
        <f t="shared" si="0"/>
        <v>22.333333333333332</v>
      </c>
      <c r="AE21" s="26">
        <f t="shared" si="1"/>
        <v>247.33333333333334</v>
      </c>
      <c r="AF21" s="26">
        <f t="shared" si="2"/>
        <v>105.66666666666667</v>
      </c>
      <c r="AG21" s="26">
        <f t="shared" si="3"/>
        <v>23.333333333333332</v>
      </c>
      <c r="AH21" s="26">
        <f t="shared" si="4"/>
        <v>41.333333333333336</v>
      </c>
      <c r="AI21" s="13">
        <f t="shared" si="5"/>
        <v>0.36082474226804118</v>
      </c>
      <c r="AJ21" s="13">
        <f t="shared" si="6"/>
        <v>0.63917525773195882</v>
      </c>
    </row>
    <row r="22" spans="1:36" ht="30" x14ac:dyDescent="0.2">
      <c r="A22" s="87">
        <v>21</v>
      </c>
      <c r="B22" s="88" t="s">
        <v>629</v>
      </c>
      <c r="C22" s="88">
        <v>3</v>
      </c>
      <c r="D22" s="88">
        <v>67</v>
      </c>
      <c r="E22" s="88">
        <v>956</v>
      </c>
      <c r="F22" s="88">
        <v>168</v>
      </c>
      <c r="G22" s="88">
        <v>5.7</v>
      </c>
      <c r="H22" s="88">
        <v>5</v>
      </c>
      <c r="I22" s="88">
        <v>2</v>
      </c>
      <c r="J22" s="88">
        <v>53</v>
      </c>
      <c r="K22" s="88">
        <v>62</v>
      </c>
      <c r="L22" s="88">
        <v>91</v>
      </c>
      <c r="M22" s="88">
        <v>665</v>
      </c>
      <c r="N22" s="88">
        <v>5</v>
      </c>
      <c r="O22" s="88">
        <v>3</v>
      </c>
      <c r="P22" s="88">
        <v>7.1</v>
      </c>
      <c r="Q22" s="88">
        <v>27</v>
      </c>
      <c r="R22" s="88">
        <v>74</v>
      </c>
      <c r="S22" s="88">
        <v>291</v>
      </c>
      <c r="T22" s="88">
        <v>2</v>
      </c>
      <c r="U22" s="88">
        <v>3.9</v>
      </c>
      <c r="V22" s="88">
        <v>17</v>
      </c>
      <c r="W22" s="88">
        <v>22</v>
      </c>
      <c r="X22" s="88">
        <v>175</v>
      </c>
      <c r="Y22" s="88">
        <v>9</v>
      </c>
      <c r="Z22" s="88">
        <v>40.6</v>
      </c>
      <c r="AA22" s="88">
        <v>15.6</v>
      </c>
      <c r="AB22" s="88">
        <v>5.37</v>
      </c>
      <c r="AC22" s="12" t="str">
        <f>VLOOKUP(Team_Offense_Table__CY[[#This Row],[Team]],'Name Bridge'!$A$1:$B$410,2,FALSE)</f>
        <v>CAR</v>
      </c>
      <c r="AD22" s="26">
        <f t="shared" si="0"/>
        <v>22.333333333333332</v>
      </c>
      <c r="AE22" s="26">
        <f t="shared" si="1"/>
        <v>221.66666666666666</v>
      </c>
      <c r="AF22" s="26">
        <f t="shared" si="2"/>
        <v>97</v>
      </c>
      <c r="AG22" s="26">
        <f t="shared" si="3"/>
        <v>24.666666666666668</v>
      </c>
      <c r="AH22" s="26">
        <f t="shared" si="4"/>
        <v>30.333333333333332</v>
      </c>
      <c r="AI22" s="13">
        <f t="shared" si="5"/>
        <v>0.44848484848484849</v>
      </c>
      <c r="AJ22" s="13">
        <f t="shared" si="6"/>
        <v>0.55151515151515151</v>
      </c>
    </row>
    <row r="23" spans="1:36" ht="30" x14ac:dyDescent="0.2">
      <c r="A23" s="87">
        <v>22</v>
      </c>
      <c r="B23" s="88" t="s">
        <v>621</v>
      </c>
      <c r="C23" s="88">
        <v>3</v>
      </c>
      <c r="D23" s="88">
        <v>67</v>
      </c>
      <c r="E23" s="88">
        <v>1184</v>
      </c>
      <c r="F23" s="88">
        <v>201</v>
      </c>
      <c r="G23" s="88">
        <v>5.9</v>
      </c>
      <c r="H23" s="88">
        <v>4</v>
      </c>
      <c r="I23" s="88">
        <v>1</v>
      </c>
      <c r="J23" s="88">
        <v>72</v>
      </c>
      <c r="K23" s="88">
        <v>88</v>
      </c>
      <c r="L23" s="88">
        <v>126</v>
      </c>
      <c r="M23" s="88">
        <v>922</v>
      </c>
      <c r="N23" s="88">
        <v>6</v>
      </c>
      <c r="O23" s="88">
        <v>3</v>
      </c>
      <c r="P23" s="88">
        <v>7</v>
      </c>
      <c r="Q23" s="88">
        <v>49</v>
      </c>
      <c r="R23" s="88">
        <v>70</v>
      </c>
      <c r="S23" s="88">
        <v>262</v>
      </c>
      <c r="T23" s="88">
        <v>1</v>
      </c>
      <c r="U23" s="88">
        <v>3.7</v>
      </c>
      <c r="V23" s="88">
        <v>16</v>
      </c>
      <c r="W23" s="88">
        <v>26</v>
      </c>
      <c r="X23" s="88">
        <v>243</v>
      </c>
      <c r="Y23" s="88">
        <v>7</v>
      </c>
      <c r="Z23" s="88">
        <v>50</v>
      </c>
      <c r="AA23" s="88">
        <v>15.4</v>
      </c>
      <c r="AB23" s="88">
        <v>31.65</v>
      </c>
      <c r="AC23" s="12" t="str">
        <f>VLOOKUP(Team_Offense_Table__CY[[#This Row],[Team]],'Name Bridge'!$A$1:$B$410,2,FALSE)</f>
        <v>MIA</v>
      </c>
      <c r="AD23" s="26">
        <f t="shared" si="0"/>
        <v>22.333333333333332</v>
      </c>
      <c r="AE23" s="26">
        <f t="shared" si="1"/>
        <v>307.33333333333331</v>
      </c>
      <c r="AF23" s="26">
        <f t="shared" si="2"/>
        <v>87.333333333333329</v>
      </c>
      <c r="AG23" s="26">
        <f t="shared" si="3"/>
        <v>23.333333333333332</v>
      </c>
      <c r="AH23" s="26">
        <f t="shared" si="4"/>
        <v>42</v>
      </c>
      <c r="AI23" s="13">
        <f t="shared" si="5"/>
        <v>0.35714285714285715</v>
      </c>
      <c r="AJ23" s="13">
        <f t="shared" si="6"/>
        <v>0.64285714285714279</v>
      </c>
    </row>
    <row r="24" spans="1:36" ht="30" x14ac:dyDescent="0.2">
      <c r="A24" s="87">
        <v>23</v>
      </c>
      <c r="B24" s="88" t="s">
        <v>699</v>
      </c>
      <c r="C24" s="88">
        <v>3</v>
      </c>
      <c r="D24" s="88">
        <v>67</v>
      </c>
      <c r="E24" s="88">
        <v>944</v>
      </c>
      <c r="F24" s="88">
        <v>182</v>
      </c>
      <c r="G24" s="88">
        <v>5.2</v>
      </c>
      <c r="H24" s="88">
        <v>2</v>
      </c>
      <c r="I24" s="88">
        <v>1</v>
      </c>
      <c r="J24" s="88">
        <v>53</v>
      </c>
      <c r="K24" s="88">
        <v>58</v>
      </c>
      <c r="L24" s="88">
        <v>90</v>
      </c>
      <c r="M24" s="88">
        <v>660</v>
      </c>
      <c r="N24" s="88">
        <v>5</v>
      </c>
      <c r="O24" s="88">
        <v>1</v>
      </c>
      <c r="P24" s="88">
        <v>6.9</v>
      </c>
      <c r="Q24" s="88">
        <v>33</v>
      </c>
      <c r="R24" s="88">
        <v>86</v>
      </c>
      <c r="S24" s="88">
        <v>284</v>
      </c>
      <c r="T24" s="88">
        <v>3</v>
      </c>
      <c r="U24" s="88">
        <v>3.3</v>
      </c>
      <c r="V24" s="88">
        <v>13</v>
      </c>
      <c r="W24" s="88">
        <v>21</v>
      </c>
      <c r="X24" s="88">
        <v>179</v>
      </c>
      <c r="Y24" s="88">
        <v>7</v>
      </c>
      <c r="Z24" s="88">
        <v>37.5</v>
      </c>
      <c r="AA24" s="88">
        <v>3.1</v>
      </c>
      <c r="AB24" s="88">
        <v>18.77</v>
      </c>
      <c r="AC24" s="12" t="str">
        <f>VLOOKUP(Team_Offense_Table__CY[[#This Row],[Team]],'Name Bridge'!$A$1:$B$410,2,FALSE)</f>
        <v>WAS</v>
      </c>
      <c r="AD24" s="26">
        <f t="shared" si="0"/>
        <v>22.333333333333332</v>
      </c>
      <c r="AE24" s="26">
        <f t="shared" si="1"/>
        <v>220</v>
      </c>
      <c r="AF24" s="26">
        <f t="shared" si="2"/>
        <v>94.666666666666671</v>
      </c>
      <c r="AG24" s="26">
        <f t="shared" si="3"/>
        <v>28.666666666666668</v>
      </c>
      <c r="AH24" s="26">
        <f t="shared" si="4"/>
        <v>30</v>
      </c>
      <c r="AI24" s="13">
        <f t="shared" si="5"/>
        <v>0.48863636363636359</v>
      </c>
      <c r="AJ24" s="13">
        <f t="shared" si="6"/>
        <v>0.51136363636363646</v>
      </c>
    </row>
    <row r="25" spans="1:36" ht="30" x14ac:dyDescent="0.2">
      <c r="A25" s="87">
        <v>24</v>
      </c>
      <c r="B25" s="88" t="s">
        <v>691</v>
      </c>
      <c r="C25" s="88">
        <v>3</v>
      </c>
      <c r="D25" s="88">
        <v>64</v>
      </c>
      <c r="E25" s="88">
        <v>1129</v>
      </c>
      <c r="F25" s="88">
        <v>175</v>
      </c>
      <c r="G25" s="88">
        <v>6.5</v>
      </c>
      <c r="H25" s="88">
        <v>2</v>
      </c>
      <c r="I25" s="88">
        <v>0</v>
      </c>
      <c r="J25" s="88">
        <v>54</v>
      </c>
      <c r="K25" s="88">
        <v>64</v>
      </c>
      <c r="L25" s="88">
        <v>98</v>
      </c>
      <c r="M25" s="88">
        <v>741</v>
      </c>
      <c r="N25" s="88">
        <v>5</v>
      </c>
      <c r="O25" s="88">
        <v>2</v>
      </c>
      <c r="P25" s="88">
        <v>7.2</v>
      </c>
      <c r="Q25" s="88">
        <v>31</v>
      </c>
      <c r="R25" s="88">
        <v>72</v>
      </c>
      <c r="S25" s="88">
        <v>388</v>
      </c>
      <c r="T25" s="88">
        <v>2</v>
      </c>
      <c r="U25" s="88">
        <v>5.4</v>
      </c>
      <c r="V25" s="88">
        <v>19</v>
      </c>
      <c r="W25" s="88">
        <v>36</v>
      </c>
      <c r="X25" s="88">
        <v>242</v>
      </c>
      <c r="Y25" s="88">
        <v>4</v>
      </c>
      <c r="Z25" s="88">
        <v>28.1</v>
      </c>
      <c r="AA25" s="88">
        <v>6.3</v>
      </c>
      <c r="AB25" s="88">
        <v>7.25</v>
      </c>
      <c r="AC25" s="12" t="str">
        <f>VLOOKUP(Team_Offense_Table__CY[[#This Row],[Team]],'Name Bridge'!$A$1:$B$410,2,FALSE)</f>
        <v>NE</v>
      </c>
      <c r="AD25" s="26">
        <f t="shared" si="0"/>
        <v>21.333333333333332</v>
      </c>
      <c r="AE25" s="26">
        <f t="shared" si="1"/>
        <v>247</v>
      </c>
      <c r="AF25" s="26">
        <f t="shared" si="2"/>
        <v>129.33333333333334</v>
      </c>
      <c r="AG25" s="26">
        <f t="shared" si="3"/>
        <v>24</v>
      </c>
      <c r="AH25" s="26">
        <f t="shared" si="4"/>
        <v>32.666666666666664</v>
      </c>
      <c r="AI25" s="13">
        <f t="shared" si="5"/>
        <v>0.42352941176470588</v>
      </c>
      <c r="AJ25" s="13">
        <f t="shared" si="6"/>
        <v>0.57647058823529407</v>
      </c>
    </row>
    <row r="26" spans="1:36" ht="30" x14ac:dyDescent="0.2">
      <c r="A26" s="87">
        <v>25</v>
      </c>
      <c r="B26" s="88" t="s">
        <v>693</v>
      </c>
      <c r="C26" s="88">
        <v>3</v>
      </c>
      <c r="D26" s="88">
        <v>56</v>
      </c>
      <c r="E26" s="88">
        <v>1051</v>
      </c>
      <c r="F26" s="88">
        <v>187</v>
      </c>
      <c r="G26" s="88">
        <v>5.6</v>
      </c>
      <c r="H26" s="88">
        <v>2</v>
      </c>
      <c r="I26" s="88">
        <v>2</v>
      </c>
      <c r="J26" s="88">
        <v>61</v>
      </c>
      <c r="K26" s="88">
        <v>68</v>
      </c>
      <c r="L26" s="88">
        <v>104</v>
      </c>
      <c r="M26" s="88">
        <v>728</v>
      </c>
      <c r="N26" s="88">
        <v>2</v>
      </c>
      <c r="O26" s="88">
        <v>0</v>
      </c>
      <c r="P26" s="88">
        <v>6.5</v>
      </c>
      <c r="Q26" s="88">
        <v>35</v>
      </c>
      <c r="R26" s="88">
        <v>75</v>
      </c>
      <c r="S26" s="88">
        <v>323</v>
      </c>
      <c r="T26" s="88">
        <v>3</v>
      </c>
      <c r="U26" s="88">
        <v>4.3</v>
      </c>
      <c r="V26" s="88">
        <v>17</v>
      </c>
      <c r="W26" s="88">
        <v>23</v>
      </c>
      <c r="X26" s="88">
        <v>182</v>
      </c>
      <c r="Y26" s="88">
        <v>9</v>
      </c>
      <c r="Z26" s="88">
        <v>40</v>
      </c>
      <c r="AA26" s="88">
        <v>6.7</v>
      </c>
      <c r="AB26" s="88">
        <v>16.670000000000002</v>
      </c>
      <c r="AC26" s="12" t="str">
        <f>VLOOKUP(Team_Offense_Table__CY[[#This Row],[Team]],'Name Bridge'!$A$1:$B$410,2,FALSE)</f>
        <v>IND</v>
      </c>
      <c r="AD26" s="26">
        <f t="shared" si="0"/>
        <v>18.666666666666668</v>
      </c>
      <c r="AE26" s="26">
        <f t="shared" si="1"/>
        <v>242.66666666666666</v>
      </c>
      <c r="AF26" s="26">
        <f t="shared" si="2"/>
        <v>107.66666666666667</v>
      </c>
      <c r="AG26" s="26">
        <f t="shared" si="3"/>
        <v>25</v>
      </c>
      <c r="AH26" s="26">
        <f t="shared" si="4"/>
        <v>34.666666666666664</v>
      </c>
      <c r="AI26" s="13">
        <f t="shared" si="5"/>
        <v>0.41899441340782123</v>
      </c>
      <c r="AJ26" s="13">
        <f t="shared" si="6"/>
        <v>0.58100558659217882</v>
      </c>
    </row>
    <row r="27" spans="1:36" ht="30" x14ac:dyDescent="0.2">
      <c r="A27" s="87">
        <v>26</v>
      </c>
      <c r="B27" s="88" t="s">
        <v>643</v>
      </c>
      <c r="C27" s="88">
        <v>3</v>
      </c>
      <c r="D27" s="88">
        <v>56</v>
      </c>
      <c r="E27" s="88">
        <v>955</v>
      </c>
      <c r="F27" s="88">
        <v>193</v>
      </c>
      <c r="G27" s="88">
        <v>4.9000000000000004</v>
      </c>
      <c r="H27" s="88">
        <v>3</v>
      </c>
      <c r="I27" s="88">
        <v>1</v>
      </c>
      <c r="J27" s="88">
        <v>64</v>
      </c>
      <c r="K27" s="88">
        <v>66</v>
      </c>
      <c r="L27" s="88">
        <v>111</v>
      </c>
      <c r="M27" s="88">
        <v>646</v>
      </c>
      <c r="N27" s="88">
        <v>3</v>
      </c>
      <c r="O27" s="88">
        <v>2</v>
      </c>
      <c r="P27" s="88">
        <v>5.4</v>
      </c>
      <c r="Q27" s="88">
        <v>35</v>
      </c>
      <c r="R27" s="88">
        <v>74</v>
      </c>
      <c r="S27" s="88">
        <v>309</v>
      </c>
      <c r="T27" s="88">
        <v>1</v>
      </c>
      <c r="U27" s="88">
        <v>4.2</v>
      </c>
      <c r="V27" s="88">
        <v>23</v>
      </c>
      <c r="W27" s="88">
        <v>9</v>
      </c>
      <c r="X27" s="88">
        <v>107</v>
      </c>
      <c r="Y27" s="88">
        <v>6</v>
      </c>
      <c r="Z27" s="88">
        <v>36.700000000000003</v>
      </c>
      <c r="AA27" s="88">
        <v>10</v>
      </c>
      <c r="AB27" s="88">
        <v>8.34</v>
      </c>
      <c r="AC27" s="12" t="str">
        <f>VLOOKUP(Team_Offense_Table__CY[[#This Row],[Team]],'Name Bridge'!$A$1:$B$410,2,FALSE)</f>
        <v>BUF</v>
      </c>
      <c r="AD27" s="26">
        <f t="shared" si="0"/>
        <v>18.666666666666668</v>
      </c>
      <c r="AE27" s="26">
        <f t="shared" si="1"/>
        <v>215.33333333333334</v>
      </c>
      <c r="AF27" s="26">
        <f t="shared" si="2"/>
        <v>103</v>
      </c>
      <c r="AG27" s="26">
        <f t="shared" si="3"/>
        <v>24.666666666666668</v>
      </c>
      <c r="AH27" s="26">
        <f t="shared" si="4"/>
        <v>37</v>
      </c>
      <c r="AI27" s="13">
        <f t="shared" si="5"/>
        <v>0.39999999999999997</v>
      </c>
      <c r="AJ27" s="13">
        <f t="shared" si="6"/>
        <v>0.60000000000000009</v>
      </c>
    </row>
    <row r="28" spans="1:36" ht="30" x14ac:dyDescent="0.2">
      <c r="A28" s="87">
        <v>27</v>
      </c>
      <c r="B28" s="88" t="s">
        <v>614</v>
      </c>
      <c r="C28" s="88">
        <v>3</v>
      </c>
      <c r="D28" s="88">
        <v>54</v>
      </c>
      <c r="E28" s="88">
        <v>953</v>
      </c>
      <c r="F28" s="88">
        <v>197</v>
      </c>
      <c r="G28" s="88">
        <v>4.8</v>
      </c>
      <c r="H28" s="88">
        <v>5</v>
      </c>
      <c r="I28" s="88">
        <v>2</v>
      </c>
      <c r="J28" s="88">
        <v>57</v>
      </c>
      <c r="K28" s="88">
        <v>81</v>
      </c>
      <c r="L28" s="88">
        <v>120</v>
      </c>
      <c r="M28" s="88">
        <v>678</v>
      </c>
      <c r="N28" s="88">
        <v>2</v>
      </c>
      <c r="O28" s="88">
        <v>3</v>
      </c>
      <c r="P28" s="88">
        <v>5.4</v>
      </c>
      <c r="Q28" s="88">
        <v>33</v>
      </c>
      <c r="R28" s="88">
        <v>71</v>
      </c>
      <c r="S28" s="88">
        <v>275</v>
      </c>
      <c r="T28" s="88">
        <v>2</v>
      </c>
      <c r="U28" s="88">
        <v>3.9</v>
      </c>
      <c r="V28" s="88">
        <v>19</v>
      </c>
      <c r="W28" s="88">
        <v>17</v>
      </c>
      <c r="X28" s="88">
        <v>153</v>
      </c>
      <c r="Y28" s="88">
        <v>5</v>
      </c>
      <c r="Z28" s="88">
        <v>41.9</v>
      </c>
      <c r="AA28" s="88">
        <v>16.100000000000001</v>
      </c>
      <c r="AB28" s="88">
        <v>-10.4</v>
      </c>
      <c r="AC28" s="12" t="str">
        <f>VLOOKUP(Team_Offense_Table__CY[[#This Row],[Team]],'Name Bridge'!$A$1:$B$410,2,FALSE)</f>
        <v>NYJ</v>
      </c>
      <c r="AD28" s="26">
        <f t="shared" si="0"/>
        <v>18</v>
      </c>
      <c r="AE28" s="26">
        <f t="shared" si="1"/>
        <v>226</v>
      </c>
      <c r="AF28" s="26">
        <f t="shared" si="2"/>
        <v>91.666666666666671</v>
      </c>
      <c r="AG28" s="26">
        <f t="shared" si="3"/>
        <v>23.666666666666668</v>
      </c>
      <c r="AH28" s="26">
        <f t="shared" si="4"/>
        <v>40</v>
      </c>
      <c r="AI28" s="13">
        <f t="shared" si="5"/>
        <v>0.37172774869109948</v>
      </c>
      <c r="AJ28" s="13">
        <f t="shared" si="6"/>
        <v>0.62827225130890052</v>
      </c>
    </row>
    <row r="29" spans="1:36" ht="30" x14ac:dyDescent="0.2">
      <c r="A29" s="87">
        <v>28</v>
      </c>
      <c r="B29" s="88" t="s">
        <v>666</v>
      </c>
      <c r="C29" s="88">
        <v>3</v>
      </c>
      <c r="D29" s="88">
        <v>50</v>
      </c>
      <c r="E29" s="88">
        <v>925</v>
      </c>
      <c r="F29" s="88">
        <v>188</v>
      </c>
      <c r="G29" s="88">
        <v>4.9000000000000004</v>
      </c>
      <c r="H29" s="88">
        <v>3</v>
      </c>
      <c r="I29" s="88">
        <v>0</v>
      </c>
      <c r="J29" s="88">
        <v>54</v>
      </c>
      <c r="K29" s="88">
        <v>83</v>
      </c>
      <c r="L29" s="88">
        <v>130</v>
      </c>
      <c r="M29" s="88">
        <v>766</v>
      </c>
      <c r="N29" s="88">
        <v>3</v>
      </c>
      <c r="O29" s="88">
        <v>3</v>
      </c>
      <c r="P29" s="88">
        <v>5.6</v>
      </c>
      <c r="Q29" s="88">
        <v>38</v>
      </c>
      <c r="R29" s="88">
        <v>50</v>
      </c>
      <c r="S29" s="88">
        <v>159</v>
      </c>
      <c r="T29" s="88">
        <v>1</v>
      </c>
      <c r="U29" s="88">
        <v>3.2</v>
      </c>
      <c r="V29" s="88">
        <v>9</v>
      </c>
      <c r="W29" s="88">
        <v>20</v>
      </c>
      <c r="X29" s="88">
        <v>148</v>
      </c>
      <c r="Y29" s="88">
        <v>7</v>
      </c>
      <c r="Z29" s="88">
        <v>28.1</v>
      </c>
      <c r="AA29" s="88">
        <v>9.4</v>
      </c>
      <c r="AB29" s="88">
        <v>-7.81</v>
      </c>
      <c r="AC29" s="12" t="str">
        <f>VLOOKUP(Team_Offense_Table__CY[[#This Row],[Team]],'Name Bridge'!$A$1:$B$410,2,FALSE)</f>
        <v>CHI</v>
      </c>
      <c r="AD29" s="26">
        <f t="shared" si="0"/>
        <v>16.666666666666668</v>
      </c>
      <c r="AE29" s="26">
        <f t="shared" si="1"/>
        <v>255.33333333333334</v>
      </c>
      <c r="AF29" s="26">
        <f t="shared" si="2"/>
        <v>53</v>
      </c>
      <c r="AG29" s="26">
        <f t="shared" si="3"/>
        <v>16.666666666666668</v>
      </c>
      <c r="AH29" s="26">
        <f t="shared" si="4"/>
        <v>43.333333333333336</v>
      </c>
      <c r="AI29" s="13">
        <f t="shared" si="5"/>
        <v>0.27777777777777779</v>
      </c>
      <c r="AJ29" s="13">
        <f t="shared" si="6"/>
        <v>0.72222222222222221</v>
      </c>
    </row>
    <row r="30" spans="1:36" ht="30" x14ac:dyDescent="0.2">
      <c r="A30" s="87">
        <v>29</v>
      </c>
      <c r="B30" s="88" t="s">
        <v>688</v>
      </c>
      <c r="C30" s="88">
        <v>3</v>
      </c>
      <c r="D30" s="88">
        <v>48</v>
      </c>
      <c r="E30" s="88">
        <v>904</v>
      </c>
      <c r="F30" s="88">
        <v>192</v>
      </c>
      <c r="G30" s="88">
        <v>4.7</v>
      </c>
      <c r="H30" s="88">
        <v>4</v>
      </c>
      <c r="I30" s="88">
        <v>1</v>
      </c>
      <c r="J30" s="88">
        <v>56</v>
      </c>
      <c r="K30" s="88">
        <v>83</v>
      </c>
      <c r="L30" s="88">
        <v>119</v>
      </c>
      <c r="M30" s="88">
        <v>656</v>
      </c>
      <c r="N30" s="88">
        <v>4</v>
      </c>
      <c r="O30" s="88">
        <v>3</v>
      </c>
      <c r="P30" s="88">
        <v>5.2</v>
      </c>
      <c r="Q30" s="88">
        <v>35</v>
      </c>
      <c r="R30" s="88">
        <v>66</v>
      </c>
      <c r="S30" s="88">
        <v>248</v>
      </c>
      <c r="T30" s="88">
        <v>1</v>
      </c>
      <c r="U30" s="88">
        <v>3.8</v>
      </c>
      <c r="V30" s="88">
        <v>12</v>
      </c>
      <c r="W30" s="88">
        <v>21</v>
      </c>
      <c r="X30" s="88">
        <v>166</v>
      </c>
      <c r="Y30" s="88">
        <v>9</v>
      </c>
      <c r="Z30" s="88">
        <v>25.7</v>
      </c>
      <c r="AA30" s="88">
        <v>11.4</v>
      </c>
      <c r="AB30" s="88">
        <v>-26.34</v>
      </c>
      <c r="AC30" s="12" t="str">
        <f>VLOOKUP(Team_Offense_Table__CY[[#This Row],[Team]],'Name Bridge'!$A$1:$B$410,2,FALSE)</f>
        <v>TEN</v>
      </c>
      <c r="AD30" s="26">
        <f t="shared" si="0"/>
        <v>16</v>
      </c>
      <c r="AE30" s="26">
        <f t="shared" si="1"/>
        <v>218.66666666666666</v>
      </c>
      <c r="AF30" s="26">
        <f t="shared" si="2"/>
        <v>82.666666666666671</v>
      </c>
      <c r="AG30" s="26">
        <f t="shared" si="3"/>
        <v>22</v>
      </c>
      <c r="AH30" s="26">
        <f t="shared" si="4"/>
        <v>39.666666666666664</v>
      </c>
      <c r="AI30" s="13">
        <f t="shared" si="5"/>
        <v>0.35675675675675678</v>
      </c>
      <c r="AJ30" s="13">
        <f t="shared" si="6"/>
        <v>0.64324324324324322</v>
      </c>
    </row>
    <row r="31" spans="1:36" ht="30" x14ac:dyDescent="0.2">
      <c r="A31" s="87">
        <v>30</v>
      </c>
      <c r="B31" s="88" t="s">
        <v>664</v>
      </c>
      <c r="C31" s="88">
        <v>3</v>
      </c>
      <c r="D31" s="88">
        <v>45</v>
      </c>
      <c r="E31" s="88">
        <v>805</v>
      </c>
      <c r="F31" s="88">
        <v>200</v>
      </c>
      <c r="G31" s="88">
        <v>4</v>
      </c>
      <c r="H31" s="88">
        <v>4</v>
      </c>
      <c r="I31" s="88">
        <v>2</v>
      </c>
      <c r="J31" s="88">
        <v>51</v>
      </c>
      <c r="K31" s="88">
        <v>73</v>
      </c>
      <c r="L31" s="88">
        <v>120</v>
      </c>
      <c r="M31" s="88">
        <v>527</v>
      </c>
      <c r="N31" s="88">
        <v>1</v>
      </c>
      <c r="O31" s="88">
        <v>2</v>
      </c>
      <c r="P31" s="88">
        <v>4.0999999999999996</v>
      </c>
      <c r="Q31" s="88">
        <v>31</v>
      </c>
      <c r="R31" s="88">
        <v>70</v>
      </c>
      <c r="S31" s="88">
        <v>278</v>
      </c>
      <c r="T31" s="88">
        <v>3</v>
      </c>
      <c r="U31" s="88">
        <v>4</v>
      </c>
      <c r="V31" s="88">
        <v>14</v>
      </c>
      <c r="W31" s="88">
        <v>23</v>
      </c>
      <c r="X31" s="88">
        <v>194</v>
      </c>
      <c r="Y31" s="88">
        <v>6</v>
      </c>
      <c r="Z31" s="88">
        <v>21.9</v>
      </c>
      <c r="AA31" s="88">
        <v>9.4</v>
      </c>
      <c r="AB31" s="88">
        <v>-20.37</v>
      </c>
      <c r="AC31" s="12" t="str">
        <f>VLOOKUP(Team_Offense_Table__CY[[#This Row],[Team]],'Name Bridge'!$A$1:$B$410,2,FALSE)</f>
        <v>NYG</v>
      </c>
      <c r="AD31" s="26">
        <f t="shared" si="0"/>
        <v>15</v>
      </c>
      <c r="AE31" s="26">
        <f t="shared" si="1"/>
        <v>175.66666666666666</v>
      </c>
      <c r="AF31" s="26">
        <f t="shared" si="2"/>
        <v>92.666666666666671</v>
      </c>
      <c r="AG31" s="26">
        <f t="shared" si="3"/>
        <v>23.333333333333332</v>
      </c>
      <c r="AH31" s="26">
        <f t="shared" si="4"/>
        <v>40</v>
      </c>
      <c r="AI31" s="13">
        <f t="shared" si="5"/>
        <v>0.36842105263157898</v>
      </c>
      <c r="AJ31" s="13">
        <f t="shared" si="6"/>
        <v>0.63157894736842102</v>
      </c>
    </row>
    <row r="32" spans="1:36" x14ac:dyDescent="0.2">
      <c r="A32" s="87">
        <v>31</v>
      </c>
      <c r="B32" s="88" t="s">
        <v>839</v>
      </c>
      <c r="C32" s="88">
        <v>3</v>
      </c>
      <c r="D32" s="88">
        <v>40</v>
      </c>
      <c r="E32" s="88">
        <v>575</v>
      </c>
      <c r="F32" s="88">
        <v>172</v>
      </c>
      <c r="G32" s="88">
        <v>3.3</v>
      </c>
      <c r="H32" s="88">
        <v>3</v>
      </c>
      <c r="I32" s="88">
        <v>1</v>
      </c>
      <c r="J32" s="88">
        <v>46</v>
      </c>
      <c r="K32" s="88">
        <v>50</v>
      </c>
      <c r="L32" s="88">
        <v>84</v>
      </c>
      <c r="M32" s="88">
        <v>272</v>
      </c>
      <c r="N32" s="88">
        <v>1</v>
      </c>
      <c r="O32" s="88">
        <v>2</v>
      </c>
      <c r="P32" s="88">
        <v>2.7</v>
      </c>
      <c r="Q32" s="88">
        <v>22</v>
      </c>
      <c r="R32" s="88">
        <v>73</v>
      </c>
      <c r="S32" s="88">
        <v>303</v>
      </c>
      <c r="T32" s="88">
        <v>2</v>
      </c>
      <c r="U32" s="88">
        <v>4.2</v>
      </c>
      <c r="V32" s="88">
        <v>18</v>
      </c>
      <c r="W32" s="88">
        <v>15</v>
      </c>
      <c r="X32" s="88">
        <v>139</v>
      </c>
      <c r="Y32" s="88">
        <v>6</v>
      </c>
      <c r="Z32" s="88">
        <v>24.1</v>
      </c>
      <c r="AA32" s="88">
        <v>10.3</v>
      </c>
      <c r="AB32" s="88">
        <v>-31.73</v>
      </c>
      <c r="AC32" s="12" t="str">
        <f>VLOOKUP(Team_Offense_Table__CY[[#This Row],[Team]],'Name Bridge'!$A$1:$B$410,2,FALSE)</f>
        <v>ATL</v>
      </c>
      <c r="AD32" s="26">
        <f t="shared" si="0"/>
        <v>13.333333333333334</v>
      </c>
      <c r="AE32" s="26">
        <f t="shared" si="1"/>
        <v>90.666666666666671</v>
      </c>
      <c r="AF32" s="26">
        <f t="shared" si="2"/>
        <v>101</v>
      </c>
      <c r="AG32" s="26">
        <f t="shared" si="3"/>
        <v>24.333333333333332</v>
      </c>
      <c r="AH32" s="26">
        <f t="shared" si="4"/>
        <v>28</v>
      </c>
      <c r="AI32" s="13">
        <f t="shared" si="5"/>
        <v>0.46496815286624205</v>
      </c>
      <c r="AJ32" s="13">
        <f t="shared" si="6"/>
        <v>0.53503184713375795</v>
      </c>
    </row>
    <row r="33" spans="1:36" x14ac:dyDescent="0.2">
      <c r="A33" s="87">
        <v>32</v>
      </c>
      <c r="B33" s="88" t="s">
        <v>697</v>
      </c>
      <c r="C33" s="88">
        <v>3</v>
      </c>
      <c r="D33" s="88">
        <v>20</v>
      </c>
      <c r="E33" s="88">
        <v>750</v>
      </c>
      <c r="F33" s="88">
        <v>181</v>
      </c>
      <c r="G33" s="88">
        <v>4.0999999999999996</v>
      </c>
      <c r="H33" s="88">
        <v>7</v>
      </c>
      <c r="I33" s="88">
        <v>0</v>
      </c>
      <c r="J33" s="88">
        <v>45</v>
      </c>
      <c r="K33" s="88">
        <v>58</v>
      </c>
      <c r="L33" s="88">
        <v>105</v>
      </c>
      <c r="M33" s="88">
        <v>510</v>
      </c>
      <c r="N33" s="88">
        <v>2</v>
      </c>
      <c r="O33" s="88">
        <v>7</v>
      </c>
      <c r="P33" s="88">
        <v>4.3</v>
      </c>
      <c r="Q33" s="88">
        <v>26</v>
      </c>
      <c r="R33" s="88">
        <v>61</v>
      </c>
      <c r="S33" s="88">
        <v>240</v>
      </c>
      <c r="T33" s="88">
        <v>0</v>
      </c>
      <c r="U33" s="88">
        <v>3.9</v>
      </c>
      <c r="V33" s="88">
        <v>14</v>
      </c>
      <c r="W33" s="88">
        <v>22</v>
      </c>
      <c r="X33" s="88">
        <v>197</v>
      </c>
      <c r="Y33" s="88">
        <v>5</v>
      </c>
      <c r="Z33" s="88">
        <v>11.4</v>
      </c>
      <c r="AA33" s="88">
        <v>20</v>
      </c>
      <c r="AB33" s="88">
        <v>-50.24</v>
      </c>
      <c r="AC33" s="12" t="str">
        <f>VLOOKUP(Team_Offense_Table__CY[[#This Row],[Team]],'Name Bridge'!$A$1:$B$410,2,FALSE)</f>
        <v>GB</v>
      </c>
      <c r="AD33" s="26">
        <f t="shared" si="0"/>
        <v>6.666666666666667</v>
      </c>
      <c r="AE33" s="26">
        <f t="shared" si="1"/>
        <v>170</v>
      </c>
      <c r="AF33" s="26">
        <f t="shared" si="2"/>
        <v>80</v>
      </c>
      <c r="AG33" s="26">
        <f t="shared" si="3"/>
        <v>20.333333333333332</v>
      </c>
      <c r="AH33" s="26">
        <f t="shared" si="4"/>
        <v>35</v>
      </c>
      <c r="AI33" s="13">
        <f t="shared" si="5"/>
        <v>0.36746987951807231</v>
      </c>
      <c r="AJ33" s="13">
        <f t="shared" si="6"/>
        <v>0.63253012048192769</v>
      </c>
    </row>
    <row r="34" spans="1:36" x14ac:dyDescent="0.2">
      <c r="AD34" s="27">
        <f>SUBTOTAL(101,AD2:AD33)</f>
        <v>23.598958333333336</v>
      </c>
      <c r="AE34" s="27">
        <f>SUBTOTAL(101,AE2:AE33)</f>
        <v>246.10677083333337</v>
      </c>
      <c r="AF34" s="27">
        <f>SUBTOTAL(101,AF2:AF33)</f>
        <v>107.61197916666664</v>
      </c>
      <c r="AG34" s="27">
        <f>SUBTOTAL(101,AG2:AG33)</f>
        <v>25.830729166666668</v>
      </c>
      <c r="AH34" s="27">
        <f>SUBTOTAL(101,AH2:AH33)</f>
        <v>35.049479166666671</v>
      </c>
      <c r="AJ34" s="2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AJ34"/>
  <sheetViews>
    <sheetView workbookViewId="0"/>
  </sheetViews>
  <sheetFormatPr baseColWidth="10" defaultColWidth="8.83203125" defaultRowHeight="15" x14ac:dyDescent="0.2"/>
  <cols>
    <col min="1" max="1" width="5.5" bestFit="1" customWidth="1"/>
    <col min="2" max="2" width="25" bestFit="1" customWidth="1"/>
    <col min="3" max="3" width="9.5" bestFit="1" customWidth="1"/>
    <col min="4" max="4" width="12.1640625" bestFit="1" customWidth="1"/>
    <col min="5" max="5" width="6.5" bestFit="1" customWidth="1"/>
    <col min="6" max="6" width="7.83203125" bestFit="1" customWidth="1"/>
    <col min="7" max="7" width="15.83203125" bestFit="1" customWidth="1"/>
    <col min="8" max="8" width="12.1640625" bestFit="1" customWidth="1"/>
    <col min="9" max="9" width="14.83203125" bestFit="1" customWidth="1"/>
    <col min="10" max="10" width="13.5" bestFit="1" customWidth="1"/>
    <col min="11" max="11" width="14.5" bestFit="1" customWidth="1"/>
    <col min="12" max="12" width="11.5" bestFit="1" customWidth="1"/>
    <col min="13" max="13" width="13.5" bestFit="1" customWidth="1"/>
    <col min="14" max="14" width="12.5" bestFit="1" customWidth="1"/>
    <col min="15" max="15" width="12.6640625" bestFit="1" customWidth="1"/>
    <col min="16" max="16" width="20.1640625" bestFit="1" customWidth="1"/>
    <col min="17" max="17" width="14.1640625" bestFit="1" customWidth="1"/>
    <col min="18" max="18" width="13.5" bestFit="1" customWidth="1"/>
    <col min="19" max="19" width="13.83203125" bestFit="1" customWidth="1"/>
    <col min="20" max="20" width="13" bestFit="1" customWidth="1"/>
    <col min="21" max="21" width="14" bestFit="1" customWidth="1"/>
    <col min="22" max="22" width="14.5" bestFit="1" customWidth="1"/>
    <col min="23" max="23" width="11.5" bestFit="1" customWidth="1"/>
    <col min="24" max="24" width="15.1640625" bestFit="1" customWidth="1"/>
    <col min="25" max="25" width="16.83203125" bestFit="1" customWidth="1"/>
    <col min="26" max="26" width="11.6640625" bestFit="1" customWidth="1"/>
    <col min="27" max="27" width="13.33203125" bestFit="1" customWidth="1"/>
    <col min="28" max="28" width="21" bestFit="1" customWidth="1"/>
    <col min="29" max="29" width="9.6640625" style="12" bestFit="1" customWidth="1"/>
    <col min="30" max="30" width="12.5" style="12" bestFit="1" customWidth="1"/>
    <col min="31" max="31" width="16.1640625" style="12" bestFit="1" customWidth="1"/>
    <col min="32" max="32" width="12.5" style="12" bestFit="1" customWidth="1"/>
    <col min="33" max="33" width="13.1640625" style="12" bestFit="1" customWidth="1"/>
    <col min="34" max="34" width="9.83203125" style="12" bestFit="1" customWidth="1"/>
    <col min="35" max="35" width="8.6640625" style="12" bestFit="1" customWidth="1"/>
    <col min="36" max="36" width="9.1640625" style="12" bestFit="1" customWidth="1"/>
  </cols>
  <sheetData>
    <row r="1" spans="1:36" s="2" customFormat="1" ht="32" x14ac:dyDescent="0.2">
      <c r="A1" s="2" t="s">
        <v>902</v>
      </c>
      <c r="B1" s="2" t="s">
        <v>21</v>
      </c>
      <c r="C1" s="2" t="s">
        <v>907</v>
      </c>
      <c r="D1" s="2" t="s">
        <v>2165</v>
      </c>
      <c r="E1" s="2" t="s">
        <v>799</v>
      </c>
      <c r="F1" s="2" t="s">
        <v>2166</v>
      </c>
      <c r="G1" s="2" t="s">
        <v>2167</v>
      </c>
      <c r="H1" s="2" t="s">
        <v>2168</v>
      </c>
      <c r="I1" s="2" t="s">
        <v>2169</v>
      </c>
      <c r="J1" s="2" t="s">
        <v>2170</v>
      </c>
      <c r="K1" s="2" t="s">
        <v>2171</v>
      </c>
      <c r="L1" s="2" t="s">
        <v>911</v>
      </c>
      <c r="M1" s="2" t="s">
        <v>2172</v>
      </c>
      <c r="N1" s="2" t="s">
        <v>34</v>
      </c>
      <c r="O1" s="2" t="s">
        <v>2173</v>
      </c>
      <c r="P1" s="2" t="s">
        <v>2174</v>
      </c>
      <c r="Q1" s="2" t="s">
        <v>2175</v>
      </c>
      <c r="R1" s="2" t="s">
        <v>1409</v>
      </c>
      <c r="S1" s="2" t="s">
        <v>1410</v>
      </c>
      <c r="T1" s="2" t="s">
        <v>1411</v>
      </c>
      <c r="U1" s="2" t="s">
        <v>2176</v>
      </c>
      <c r="V1" s="2" t="s">
        <v>2177</v>
      </c>
      <c r="W1" s="2" t="s">
        <v>2178</v>
      </c>
      <c r="X1" s="2" t="s">
        <v>2179</v>
      </c>
      <c r="Y1" s="2" t="s">
        <v>2180</v>
      </c>
      <c r="Z1" s="2" t="s">
        <v>2181</v>
      </c>
      <c r="AA1" s="2" t="s">
        <v>2182</v>
      </c>
      <c r="AB1" s="2" t="s">
        <v>2183</v>
      </c>
      <c r="AC1" s="11" t="s">
        <v>27</v>
      </c>
      <c r="AD1" s="11" t="s">
        <v>2184</v>
      </c>
      <c r="AE1" s="11" t="s">
        <v>2185</v>
      </c>
      <c r="AF1" s="11" t="s">
        <v>2186</v>
      </c>
      <c r="AG1" s="11" t="s">
        <v>2187</v>
      </c>
      <c r="AH1" s="11" t="s">
        <v>2188</v>
      </c>
      <c r="AI1" s="11" t="s">
        <v>2189</v>
      </c>
      <c r="AJ1" s="11" t="s">
        <v>2190</v>
      </c>
    </row>
    <row r="2" spans="1:36" x14ac:dyDescent="0.2">
      <c r="A2">
        <v>1</v>
      </c>
      <c r="B2" t="s">
        <v>448</v>
      </c>
      <c r="C2">
        <v>16</v>
      </c>
      <c r="D2">
        <v>509</v>
      </c>
      <c r="E2">
        <v>6224</v>
      </c>
      <c r="F2">
        <v>990</v>
      </c>
      <c r="G2">
        <v>6.3</v>
      </c>
      <c r="H2">
        <v>11</v>
      </c>
      <c r="I2">
        <v>6</v>
      </c>
      <c r="J2">
        <v>358</v>
      </c>
      <c r="K2">
        <v>372</v>
      </c>
      <c r="L2">
        <v>526</v>
      </c>
      <c r="M2">
        <v>4106</v>
      </c>
      <c r="N2">
        <v>48</v>
      </c>
      <c r="O2">
        <v>5</v>
      </c>
      <c r="P2">
        <v>7.5</v>
      </c>
      <c r="Q2">
        <v>216</v>
      </c>
      <c r="R2">
        <v>443</v>
      </c>
      <c r="S2">
        <v>2118</v>
      </c>
      <c r="T2">
        <v>16</v>
      </c>
      <c r="U2">
        <v>4.8</v>
      </c>
      <c r="V2">
        <v>114</v>
      </c>
      <c r="W2">
        <v>84</v>
      </c>
      <c r="X2">
        <v>684</v>
      </c>
      <c r="Y2">
        <v>28</v>
      </c>
      <c r="Z2">
        <v>49.7</v>
      </c>
      <c r="AA2">
        <v>5.6</v>
      </c>
      <c r="AB2">
        <v>290.75</v>
      </c>
      <c r="AC2" s="12" t="str">
        <f>VLOOKUP(Team_Offense_Table__PY[[#This Row],[Team]],'Name Bridge'!$A$1:$B$410,2,FALSE)</f>
        <v>GB</v>
      </c>
      <c r="AD2" s="26">
        <f>Team_Offense_Table__PY[[#This Row],[Points For]]/Team_Offense_Table__PY[[#This Row],[Games]]</f>
        <v>31.8125</v>
      </c>
      <c r="AE2" s="26">
        <f>Team_Offense_Table__PY[[#This Row],[Passing Yds]]/Team_Offense_Table__PY[[#This Row],[Games]]</f>
        <v>256.625</v>
      </c>
      <c r="AF2" s="26">
        <f>Team_Offense_Table__PY[[#This Row],[Rushing Yds]]/Team_Offense_Table__PY[[#This Row],[Games]]</f>
        <v>132.375</v>
      </c>
      <c r="AG2" s="26">
        <f>Team_Offense_Table__PY[[#This Row],[Rushing Att]]/Team_Offense_Table__PY[[#This Row],[Games]]</f>
        <v>27.6875</v>
      </c>
      <c r="AH2" s="26">
        <f>Team_Offense_Table__PY[[#This Row],[Attempts]]/Team_Offense_Table__PY[[#This Row],[Games]]</f>
        <v>32.875</v>
      </c>
      <c r="AI2" s="13">
        <f>Team_Offense_Table__PY[[#This Row],[Rushing att per gm]]/(Team_Offense_Table__PY[[#This Row],[Rushing att per gm]]+Team_Offense_Table__PY[[#This Row],[Passing att per gm]])</f>
        <v>0.45717234262125905</v>
      </c>
      <c r="AJ2" s="13">
        <f>1-Team_Offense_Table__PY[[#This Row],[% Run]]</f>
        <v>0.54282765737874095</v>
      </c>
    </row>
    <row r="3" spans="1:36" x14ac:dyDescent="0.2">
      <c r="A3">
        <v>2</v>
      </c>
      <c r="B3" t="s">
        <v>694</v>
      </c>
      <c r="C3">
        <v>16</v>
      </c>
      <c r="D3">
        <v>501</v>
      </c>
      <c r="E3">
        <v>6343</v>
      </c>
      <c r="F3">
        <v>1034</v>
      </c>
      <c r="G3">
        <v>6.1</v>
      </c>
      <c r="H3">
        <v>22</v>
      </c>
      <c r="I3">
        <v>11</v>
      </c>
      <c r="J3">
        <v>397</v>
      </c>
      <c r="K3">
        <v>410</v>
      </c>
      <c r="L3">
        <v>596</v>
      </c>
      <c r="M3">
        <v>4620</v>
      </c>
      <c r="N3">
        <v>40</v>
      </c>
      <c r="O3">
        <v>11</v>
      </c>
      <c r="P3">
        <v>7.4</v>
      </c>
      <c r="Q3">
        <v>240</v>
      </c>
      <c r="R3">
        <v>411</v>
      </c>
      <c r="S3">
        <v>1723</v>
      </c>
      <c r="T3">
        <v>16</v>
      </c>
      <c r="U3">
        <v>4.2</v>
      </c>
      <c r="V3">
        <v>119</v>
      </c>
      <c r="W3">
        <v>102</v>
      </c>
      <c r="X3">
        <v>941</v>
      </c>
      <c r="Y3">
        <v>38</v>
      </c>
      <c r="Z3">
        <v>49.4</v>
      </c>
      <c r="AA3">
        <v>11.8</v>
      </c>
      <c r="AB3">
        <v>228.66</v>
      </c>
      <c r="AC3" s="12" t="str">
        <f>VLOOKUP(Team_Offense_Table__PY[[#This Row],[Team]],'Name Bridge'!$A$1:$B$410,2,FALSE)</f>
        <v>BUF</v>
      </c>
      <c r="AD3" s="26">
        <f>Team_Offense_Table__PY[[#This Row],[Points For]]/Team_Offense_Table__PY[[#This Row],[Games]]</f>
        <v>31.3125</v>
      </c>
      <c r="AE3" s="26">
        <f>Team_Offense_Table__PY[[#This Row],[Passing Yds]]/Team_Offense_Table__PY[[#This Row],[Games]]</f>
        <v>288.75</v>
      </c>
      <c r="AF3" s="26">
        <f>Team_Offense_Table__PY[[#This Row],[Rushing Yds]]/Team_Offense_Table__PY[[#This Row],[Games]]</f>
        <v>107.6875</v>
      </c>
      <c r="AG3" s="26">
        <f>Team_Offense_Table__PY[[#This Row],[Rushing Att]]/Team_Offense_Table__PY[[#This Row],[Games]]</f>
        <v>25.6875</v>
      </c>
      <c r="AH3" s="26">
        <f>Team_Offense_Table__PY[[#This Row],[Attempts]]/Team_Offense_Table__PY[[#This Row],[Games]]</f>
        <v>37.25</v>
      </c>
      <c r="AI3" s="13">
        <f>Team_Offense_Table__PY[[#This Row],[Rushing att per gm]]/(Team_Offense_Table__PY[[#This Row],[Rushing att per gm]]+Team_Offense_Table__PY[[#This Row],[Passing att per gm]])</f>
        <v>0.40814299900695133</v>
      </c>
      <c r="AJ3" s="13">
        <f>1-Team_Offense_Table__PY[[#This Row],[% Run]]</f>
        <v>0.59185700099304861</v>
      </c>
    </row>
    <row r="4" spans="1:36" x14ac:dyDescent="0.2">
      <c r="A4">
        <v>3</v>
      </c>
      <c r="B4" t="s">
        <v>880</v>
      </c>
      <c r="C4">
        <v>16</v>
      </c>
      <c r="D4">
        <v>492</v>
      </c>
      <c r="E4">
        <v>6145</v>
      </c>
      <c r="F4">
        <v>1017</v>
      </c>
      <c r="G4">
        <v>6</v>
      </c>
      <c r="H4">
        <v>17</v>
      </c>
      <c r="I4">
        <v>5</v>
      </c>
      <c r="J4">
        <v>364</v>
      </c>
      <c r="K4">
        <v>410</v>
      </c>
      <c r="L4">
        <v>626</v>
      </c>
      <c r="M4">
        <v>4626</v>
      </c>
      <c r="N4">
        <v>42</v>
      </c>
      <c r="O4">
        <v>12</v>
      </c>
      <c r="P4">
        <v>7.1</v>
      </c>
      <c r="Q4">
        <v>238</v>
      </c>
      <c r="R4">
        <v>369</v>
      </c>
      <c r="S4">
        <v>1519</v>
      </c>
      <c r="T4">
        <v>16</v>
      </c>
      <c r="U4">
        <v>4.0999999999999996</v>
      </c>
      <c r="V4">
        <v>82</v>
      </c>
      <c r="W4">
        <v>84</v>
      </c>
      <c r="X4">
        <v>715</v>
      </c>
      <c r="Y4">
        <v>44</v>
      </c>
      <c r="Z4">
        <v>47.8</v>
      </c>
      <c r="AA4">
        <v>8.9</v>
      </c>
      <c r="AB4">
        <v>246.24</v>
      </c>
      <c r="AC4" s="12" t="str">
        <f>VLOOKUP(Team_Offense_Table__PY[[#This Row],[Team]],'Name Bridge'!$A$1:$B$410,2,FALSE)</f>
        <v>TB</v>
      </c>
      <c r="AD4" s="26">
        <f>Team_Offense_Table__PY[[#This Row],[Points For]]/Team_Offense_Table__PY[[#This Row],[Games]]</f>
        <v>30.75</v>
      </c>
      <c r="AE4" s="26">
        <f>Team_Offense_Table__PY[[#This Row],[Passing Yds]]/Team_Offense_Table__PY[[#This Row],[Games]]</f>
        <v>289.125</v>
      </c>
      <c r="AF4" s="26">
        <f>Team_Offense_Table__PY[[#This Row],[Rushing Yds]]/Team_Offense_Table__PY[[#This Row],[Games]]</f>
        <v>94.9375</v>
      </c>
      <c r="AG4" s="26">
        <f>Team_Offense_Table__PY[[#This Row],[Rushing Att]]/Team_Offense_Table__PY[[#This Row],[Games]]</f>
        <v>23.0625</v>
      </c>
      <c r="AH4" s="26">
        <f>Team_Offense_Table__PY[[#This Row],[Attempts]]/Team_Offense_Table__PY[[#This Row],[Games]]</f>
        <v>39.125</v>
      </c>
      <c r="AI4" s="13">
        <f>Team_Offense_Table__PY[[#This Row],[Rushing att per gm]]/(Team_Offense_Table__PY[[#This Row],[Rushing att per gm]]+Team_Offense_Table__PY[[#This Row],[Passing att per gm]])</f>
        <v>0.37085427135678389</v>
      </c>
      <c r="AJ4" s="13">
        <f>1-Team_Offense_Table__PY[[#This Row],[% Run]]</f>
        <v>0.62914572864321605</v>
      </c>
    </row>
    <row r="5" spans="1:36" x14ac:dyDescent="0.2">
      <c r="A5">
        <v>4</v>
      </c>
      <c r="B5" t="s">
        <v>696</v>
      </c>
      <c r="C5">
        <v>16</v>
      </c>
      <c r="D5">
        <v>491</v>
      </c>
      <c r="E5">
        <v>6343</v>
      </c>
      <c r="F5">
        <v>1031</v>
      </c>
      <c r="G5">
        <v>6.2</v>
      </c>
      <c r="H5">
        <v>12</v>
      </c>
      <c r="I5">
        <v>5</v>
      </c>
      <c r="J5">
        <v>381</v>
      </c>
      <c r="K5">
        <v>316</v>
      </c>
      <c r="L5">
        <v>485</v>
      </c>
      <c r="M5">
        <v>3653</v>
      </c>
      <c r="N5">
        <v>33</v>
      </c>
      <c r="O5">
        <v>7</v>
      </c>
      <c r="P5">
        <v>7.2</v>
      </c>
      <c r="Q5">
        <v>203</v>
      </c>
      <c r="R5">
        <v>521</v>
      </c>
      <c r="S5">
        <v>2690</v>
      </c>
      <c r="T5">
        <v>26</v>
      </c>
      <c r="U5">
        <v>5.2</v>
      </c>
      <c r="V5">
        <v>142</v>
      </c>
      <c r="W5">
        <v>86</v>
      </c>
      <c r="X5">
        <v>783</v>
      </c>
      <c r="Y5">
        <v>36</v>
      </c>
      <c r="Z5">
        <v>47.9</v>
      </c>
      <c r="AA5">
        <v>7.2</v>
      </c>
      <c r="AB5">
        <v>245.01</v>
      </c>
      <c r="AC5" s="12" t="str">
        <f>VLOOKUP(Team_Offense_Table__PY[[#This Row],[Team]],'Name Bridge'!$A$1:$B$410,2,FALSE)</f>
        <v>TEN</v>
      </c>
      <c r="AD5" s="26">
        <f>Team_Offense_Table__PY[[#This Row],[Points For]]/Team_Offense_Table__PY[[#This Row],[Games]]</f>
        <v>30.6875</v>
      </c>
      <c r="AE5" s="26">
        <f>Team_Offense_Table__PY[[#This Row],[Passing Yds]]/Team_Offense_Table__PY[[#This Row],[Games]]</f>
        <v>228.3125</v>
      </c>
      <c r="AF5" s="26">
        <f>Team_Offense_Table__PY[[#This Row],[Rushing Yds]]/Team_Offense_Table__PY[[#This Row],[Games]]</f>
        <v>168.125</v>
      </c>
      <c r="AG5" s="26">
        <f>Team_Offense_Table__PY[[#This Row],[Rushing Att]]/Team_Offense_Table__PY[[#This Row],[Games]]</f>
        <v>32.5625</v>
      </c>
      <c r="AH5" s="26">
        <f>Team_Offense_Table__PY[[#This Row],[Attempts]]/Team_Offense_Table__PY[[#This Row],[Games]]</f>
        <v>30.3125</v>
      </c>
      <c r="AI5" s="13">
        <f>Team_Offense_Table__PY[[#This Row],[Rushing att per gm]]/(Team_Offense_Table__PY[[#This Row],[Rushing att per gm]]+Team_Offense_Table__PY[[#This Row],[Passing att per gm]])</f>
        <v>0.51789264413518887</v>
      </c>
      <c r="AJ5" s="13">
        <f>1-Team_Offense_Table__PY[[#This Row],[% Run]]</f>
        <v>0.48210735586481113</v>
      </c>
    </row>
    <row r="6" spans="1:36" x14ac:dyDescent="0.2">
      <c r="A6">
        <v>5</v>
      </c>
      <c r="B6" t="s">
        <v>692</v>
      </c>
      <c r="C6">
        <v>16</v>
      </c>
      <c r="D6">
        <v>482</v>
      </c>
      <c r="E6">
        <v>6023</v>
      </c>
      <c r="F6">
        <v>1045</v>
      </c>
      <c r="G6">
        <v>5.8</v>
      </c>
      <c r="H6">
        <v>17</v>
      </c>
      <c r="I6">
        <v>9</v>
      </c>
      <c r="J6">
        <v>367</v>
      </c>
      <c r="K6">
        <v>370</v>
      </c>
      <c r="L6">
        <v>522</v>
      </c>
      <c r="M6">
        <v>3758</v>
      </c>
      <c r="N6">
        <v>28</v>
      </c>
      <c r="O6">
        <v>8</v>
      </c>
      <c r="P6">
        <v>6.8</v>
      </c>
      <c r="Q6">
        <v>199</v>
      </c>
      <c r="R6">
        <v>494</v>
      </c>
      <c r="S6">
        <v>2265</v>
      </c>
      <c r="T6">
        <v>30</v>
      </c>
      <c r="U6">
        <v>4.5999999999999996</v>
      </c>
      <c r="V6">
        <v>147</v>
      </c>
      <c r="W6">
        <v>98</v>
      </c>
      <c r="X6">
        <v>1005</v>
      </c>
      <c r="Y6">
        <v>21</v>
      </c>
      <c r="Z6">
        <v>45.5</v>
      </c>
      <c r="AA6">
        <v>9</v>
      </c>
      <c r="AB6">
        <v>176.94</v>
      </c>
      <c r="AC6" s="12" t="str">
        <f>VLOOKUP(Team_Offense_Table__PY[[#This Row],[Team]],'Name Bridge'!$A$1:$B$410,2,FALSE)</f>
        <v>NO</v>
      </c>
      <c r="AD6" s="26">
        <f>Team_Offense_Table__PY[[#This Row],[Points For]]/Team_Offense_Table__PY[[#This Row],[Games]]</f>
        <v>30.125</v>
      </c>
      <c r="AE6" s="26">
        <f>Team_Offense_Table__PY[[#This Row],[Passing Yds]]/Team_Offense_Table__PY[[#This Row],[Games]]</f>
        <v>234.875</v>
      </c>
      <c r="AF6" s="26">
        <f>Team_Offense_Table__PY[[#This Row],[Rushing Yds]]/Team_Offense_Table__PY[[#This Row],[Games]]</f>
        <v>141.5625</v>
      </c>
      <c r="AG6" s="26">
        <f>Team_Offense_Table__PY[[#This Row],[Rushing Att]]/Team_Offense_Table__PY[[#This Row],[Games]]</f>
        <v>30.875</v>
      </c>
      <c r="AH6" s="26">
        <f>Team_Offense_Table__PY[[#This Row],[Attempts]]/Team_Offense_Table__PY[[#This Row],[Games]]</f>
        <v>32.625</v>
      </c>
      <c r="AI6" s="13">
        <f>Team_Offense_Table__PY[[#This Row],[Rushing att per gm]]/(Team_Offense_Table__PY[[#This Row],[Rushing att per gm]]+Team_Offense_Table__PY[[#This Row],[Passing att per gm]])</f>
        <v>0.48622047244094491</v>
      </c>
      <c r="AJ6" s="13">
        <f>1-Team_Offense_Table__PY[[#This Row],[% Run]]</f>
        <v>0.51377952755905509</v>
      </c>
    </row>
    <row r="7" spans="1:36" x14ac:dyDescent="0.2">
      <c r="A7">
        <v>6</v>
      </c>
      <c r="B7" t="s">
        <v>695</v>
      </c>
      <c r="C7">
        <v>16</v>
      </c>
      <c r="D7">
        <v>473</v>
      </c>
      <c r="E7">
        <v>6653</v>
      </c>
      <c r="F7">
        <v>1057</v>
      </c>
      <c r="G7">
        <v>6.3</v>
      </c>
      <c r="H7">
        <v>16</v>
      </c>
      <c r="I7">
        <v>9</v>
      </c>
      <c r="J7">
        <v>397</v>
      </c>
      <c r="K7">
        <v>420</v>
      </c>
      <c r="L7">
        <v>630</v>
      </c>
      <c r="M7">
        <v>4854</v>
      </c>
      <c r="N7">
        <v>40</v>
      </c>
      <c r="O7">
        <v>7</v>
      </c>
      <c r="P7">
        <v>7.4</v>
      </c>
      <c r="Q7">
        <v>255</v>
      </c>
      <c r="R7">
        <v>403</v>
      </c>
      <c r="S7">
        <v>1799</v>
      </c>
      <c r="T7">
        <v>13</v>
      </c>
      <c r="U7">
        <v>4.5</v>
      </c>
      <c r="V7">
        <v>110</v>
      </c>
      <c r="W7">
        <v>105</v>
      </c>
      <c r="X7">
        <v>919</v>
      </c>
      <c r="Y7">
        <v>32</v>
      </c>
      <c r="Z7">
        <v>47.9</v>
      </c>
      <c r="AA7">
        <v>9.1999999999999993</v>
      </c>
      <c r="AB7">
        <v>280.82</v>
      </c>
      <c r="AC7" s="12" t="str">
        <f>VLOOKUP(Team_Offense_Table__PY[[#This Row],[Team]],'Name Bridge'!$A$1:$B$410,2,FALSE)</f>
        <v>KC</v>
      </c>
      <c r="AD7" s="26">
        <f>Team_Offense_Table__PY[[#This Row],[Points For]]/Team_Offense_Table__PY[[#This Row],[Games]]</f>
        <v>29.5625</v>
      </c>
      <c r="AE7" s="26">
        <f>Team_Offense_Table__PY[[#This Row],[Passing Yds]]/Team_Offense_Table__PY[[#This Row],[Games]]</f>
        <v>303.375</v>
      </c>
      <c r="AF7" s="26">
        <f>Team_Offense_Table__PY[[#This Row],[Rushing Yds]]/Team_Offense_Table__PY[[#This Row],[Games]]</f>
        <v>112.4375</v>
      </c>
      <c r="AG7" s="26">
        <f>Team_Offense_Table__PY[[#This Row],[Rushing Att]]/Team_Offense_Table__PY[[#This Row],[Games]]</f>
        <v>25.1875</v>
      </c>
      <c r="AH7" s="26">
        <f>Team_Offense_Table__PY[[#This Row],[Attempts]]/Team_Offense_Table__PY[[#This Row],[Games]]</f>
        <v>39.375</v>
      </c>
      <c r="AI7" s="13">
        <f>Team_Offense_Table__PY[[#This Row],[Rushing att per gm]]/(Team_Offense_Table__PY[[#This Row],[Rushing att per gm]]+Team_Offense_Table__PY[[#This Row],[Passing att per gm]])</f>
        <v>0.39012584704743464</v>
      </c>
      <c r="AJ7" s="13">
        <f>1-Team_Offense_Table__PY[[#This Row],[% Run]]</f>
        <v>0.60987415295256531</v>
      </c>
    </row>
    <row r="8" spans="1:36" x14ac:dyDescent="0.2">
      <c r="A8">
        <v>7</v>
      </c>
      <c r="B8" t="s">
        <v>813</v>
      </c>
      <c r="C8">
        <v>16</v>
      </c>
      <c r="D8">
        <v>468</v>
      </c>
      <c r="E8">
        <v>5810</v>
      </c>
      <c r="F8">
        <v>993</v>
      </c>
      <c r="G8">
        <v>5.9</v>
      </c>
      <c r="H8">
        <v>18</v>
      </c>
      <c r="I8">
        <v>7</v>
      </c>
      <c r="J8">
        <v>327</v>
      </c>
      <c r="K8">
        <v>257</v>
      </c>
      <c r="L8">
        <v>406</v>
      </c>
      <c r="M8">
        <v>2739</v>
      </c>
      <c r="N8">
        <v>27</v>
      </c>
      <c r="O8">
        <v>11</v>
      </c>
      <c r="P8">
        <v>6.3</v>
      </c>
      <c r="Q8">
        <v>142</v>
      </c>
      <c r="R8">
        <v>555</v>
      </c>
      <c r="S8">
        <v>3071</v>
      </c>
      <c r="T8">
        <v>24</v>
      </c>
      <c r="U8">
        <v>5.5</v>
      </c>
      <c r="V8">
        <v>166</v>
      </c>
      <c r="W8">
        <v>104</v>
      </c>
      <c r="X8">
        <v>961</v>
      </c>
      <c r="Y8">
        <v>19</v>
      </c>
      <c r="Z8">
        <v>45.3</v>
      </c>
      <c r="AA8">
        <v>10.6</v>
      </c>
      <c r="AB8">
        <v>148.30000000000001</v>
      </c>
      <c r="AC8" s="12" t="str">
        <f>VLOOKUP(Team_Offense_Table__PY[[#This Row],[Team]],'Name Bridge'!$A$1:$B$410,2,FALSE)</f>
        <v>BAL</v>
      </c>
      <c r="AD8" s="26">
        <f>Team_Offense_Table__PY[[#This Row],[Points For]]/Team_Offense_Table__PY[[#This Row],[Games]]</f>
        <v>29.25</v>
      </c>
      <c r="AE8" s="26">
        <f>Team_Offense_Table__PY[[#This Row],[Passing Yds]]/Team_Offense_Table__PY[[#This Row],[Games]]</f>
        <v>171.1875</v>
      </c>
      <c r="AF8" s="26">
        <f>Team_Offense_Table__PY[[#This Row],[Rushing Yds]]/Team_Offense_Table__PY[[#This Row],[Games]]</f>
        <v>191.9375</v>
      </c>
      <c r="AG8" s="26">
        <f>Team_Offense_Table__PY[[#This Row],[Rushing Att]]/Team_Offense_Table__PY[[#This Row],[Games]]</f>
        <v>34.6875</v>
      </c>
      <c r="AH8" s="26">
        <f>Team_Offense_Table__PY[[#This Row],[Attempts]]/Team_Offense_Table__PY[[#This Row],[Games]]</f>
        <v>25.375</v>
      </c>
      <c r="AI8" s="13">
        <f>Team_Offense_Table__PY[[#This Row],[Rushing att per gm]]/(Team_Offense_Table__PY[[#This Row],[Rushing att per gm]]+Team_Offense_Table__PY[[#This Row],[Passing att per gm]])</f>
        <v>0.57752341311134237</v>
      </c>
      <c r="AJ8" s="13">
        <f>1-Team_Offense_Table__PY[[#This Row],[% Run]]</f>
        <v>0.42247658688865763</v>
      </c>
    </row>
    <row r="9" spans="1:36" x14ac:dyDescent="0.2">
      <c r="A9">
        <v>8</v>
      </c>
      <c r="B9" t="s">
        <v>349</v>
      </c>
      <c r="C9">
        <v>16</v>
      </c>
      <c r="D9">
        <v>459</v>
      </c>
      <c r="E9">
        <v>5912</v>
      </c>
      <c r="F9">
        <v>1022</v>
      </c>
      <c r="G9">
        <v>5.8</v>
      </c>
      <c r="H9">
        <v>18</v>
      </c>
      <c r="I9">
        <v>5</v>
      </c>
      <c r="J9">
        <v>356</v>
      </c>
      <c r="K9">
        <v>388</v>
      </c>
      <c r="L9">
        <v>563</v>
      </c>
      <c r="M9">
        <v>3941</v>
      </c>
      <c r="N9">
        <v>40</v>
      </c>
      <c r="O9">
        <v>13</v>
      </c>
      <c r="P9">
        <v>6.5</v>
      </c>
      <c r="Q9">
        <v>216</v>
      </c>
      <c r="R9">
        <v>411</v>
      </c>
      <c r="S9">
        <v>1971</v>
      </c>
      <c r="T9">
        <v>15</v>
      </c>
      <c r="U9">
        <v>4.8</v>
      </c>
      <c r="V9">
        <v>111</v>
      </c>
      <c r="W9">
        <v>84</v>
      </c>
      <c r="X9">
        <v>662</v>
      </c>
      <c r="Y9">
        <v>29</v>
      </c>
      <c r="Z9">
        <v>44.4</v>
      </c>
      <c r="AA9">
        <v>10.1</v>
      </c>
      <c r="AB9">
        <v>129.24</v>
      </c>
      <c r="AC9" s="12" t="str">
        <f>VLOOKUP(Team_Offense_Table__PY[[#This Row],[Team]],'Name Bridge'!$A$1:$B$410,2,FALSE)</f>
        <v>SEA</v>
      </c>
      <c r="AD9" s="26">
        <f>Team_Offense_Table__PY[[#This Row],[Points For]]/Team_Offense_Table__PY[[#This Row],[Games]]</f>
        <v>28.6875</v>
      </c>
      <c r="AE9" s="26">
        <f>Team_Offense_Table__PY[[#This Row],[Passing Yds]]/Team_Offense_Table__PY[[#This Row],[Games]]</f>
        <v>246.3125</v>
      </c>
      <c r="AF9" s="26">
        <f>Team_Offense_Table__PY[[#This Row],[Rushing Yds]]/Team_Offense_Table__PY[[#This Row],[Games]]</f>
        <v>123.1875</v>
      </c>
      <c r="AG9" s="26">
        <f>Team_Offense_Table__PY[[#This Row],[Rushing Att]]/Team_Offense_Table__PY[[#This Row],[Games]]</f>
        <v>25.6875</v>
      </c>
      <c r="AH9" s="26">
        <f>Team_Offense_Table__PY[[#This Row],[Attempts]]/Team_Offense_Table__PY[[#This Row],[Games]]</f>
        <v>35.1875</v>
      </c>
      <c r="AI9" s="13">
        <f>Team_Offense_Table__PY[[#This Row],[Rushing att per gm]]/(Team_Offense_Table__PY[[#This Row],[Rushing att per gm]]+Team_Offense_Table__PY[[#This Row],[Passing att per gm]])</f>
        <v>0.42197125256673512</v>
      </c>
      <c r="AJ9" s="13">
        <f>1-Team_Offense_Table__PY[[#This Row],[% Run]]</f>
        <v>0.57802874743326482</v>
      </c>
    </row>
    <row r="10" spans="1:36" x14ac:dyDescent="0.2">
      <c r="A10">
        <v>9</v>
      </c>
      <c r="B10" t="s">
        <v>643</v>
      </c>
      <c r="C10">
        <v>16</v>
      </c>
      <c r="D10">
        <v>451</v>
      </c>
      <c r="E10">
        <v>6049</v>
      </c>
      <c r="F10">
        <v>1032</v>
      </c>
      <c r="G10">
        <v>5.9</v>
      </c>
      <c r="H10">
        <v>15</v>
      </c>
      <c r="I10">
        <v>4</v>
      </c>
      <c r="J10">
        <v>364</v>
      </c>
      <c r="K10">
        <v>371</v>
      </c>
      <c r="L10">
        <v>552</v>
      </c>
      <c r="M10">
        <v>4053</v>
      </c>
      <c r="N10">
        <v>24</v>
      </c>
      <c r="O10">
        <v>11</v>
      </c>
      <c r="P10">
        <v>7.1</v>
      </c>
      <c r="Q10">
        <v>201</v>
      </c>
      <c r="R10">
        <v>459</v>
      </c>
      <c r="S10">
        <v>1996</v>
      </c>
      <c r="T10">
        <v>20</v>
      </c>
      <c r="U10">
        <v>4.3</v>
      </c>
      <c r="V10">
        <v>129</v>
      </c>
      <c r="W10">
        <v>94</v>
      </c>
      <c r="X10">
        <v>899</v>
      </c>
      <c r="Y10">
        <v>34</v>
      </c>
      <c r="Z10">
        <v>44.4</v>
      </c>
      <c r="AA10">
        <v>8.8000000000000007</v>
      </c>
      <c r="AB10">
        <v>168.41</v>
      </c>
      <c r="AC10" s="12" t="str">
        <f>VLOOKUP(Team_Offense_Table__PY[[#This Row],[Team]],'Name Bridge'!$A$1:$B$410,2,FALSE)</f>
        <v>IND</v>
      </c>
      <c r="AD10" s="26">
        <f>Team_Offense_Table__PY[[#This Row],[Points For]]/Team_Offense_Table__PY[[#This Row],[Games]]</f>
        <v>28.1875</v>
      </c>
      <c r="AE10" s="26">
        <f>Team_Offense_Table__PY[[#This Row],[Passing Yds]]/Team_Offense_Table__PY[[#This Row],[Games]]</f>
        <v>253.3125</v>
      </c>
      <c r="AF10" s="26">
        <f>Team_Offense_Table__PY[[#This Row],[Rushing Yds]]/Team_Offense_Table__PY[[#This Row],[Games]]</f>
        <v>124.75</v>
      </c>
      <c r="AG10" s="26">
        <f>Team_Offense_Table__PY[[#This Row],[Rushing Att]]/Team_Offense_Table__PY[[#This Row],[Games]]</f>
        <v>28.6875</v>
      </c>
      <c r="AH10" s="26">
        <f>Team_Offense_Table__PY[[#This Row],[Attempts]]/Team_Offense_Table__PY[[#This Row],[Games]]</f>
        <v>34.5</v>
      </c>
      <c r="AI10" s="13">
        <f>Team_Offense_Table__PY[[#This Row],[Rushing att per gm]]/(Team_Offense_Table__PY[[#This Row],[Rushing att per gm]]+Team_Offense_Table__PY[[#This Row],[Passing att per gm]])</f>
        <v>0.45400593471810091</v>
      </c>
      <c r="AJ10" s="13">
        <f>1-Team_Offense_Table__PY[[#This Row],[% Run]]</f>
        <v>0.54599406528189909</v>
      </c>
    </row>
    <row r="11" spans="1:36" x14ac:dyDescent="0.2">
      <c r="A11">
        <v>10</v>
      </c>
      <c r="B11" t="s">
        <v>879</v>
      </c>
      <c r="C11">
        <v>16</v>
      </c>
      <c r="D11">
        <v>434</v>
      </c>
      <c r="E11">
        <v>6133</v>
      </c>
      <c r="F11">
        <v>1036</v>
      </c>
      <c r="G11">
        <v>5.9</v>
      </c>
      <c r="H11">
        <v>26</v>
      </c>
      <c r="I11">
        <v>16</v>
      </c>
      <c r="J11">
        <v>359</v>
      </c>
      <c r="K11">
        <v>369</v>
      </c>
      <c r="L11">
        <v>551</v>
      </c>
      <c r="M11">
        <v>4217</v>
      </c>
      <c r="N11">
        <v>28</v>
      </c>
      <c r="O11">
        <v>10</v>
      </c>
      <c r="P11">
        <v>7.3</v>
      </c>
      <c r="Q11">
        <v>206</v>
      </c>
      <c r="R11">
        <v>457</v>
      </c>
      <c r="S11">
        <v>1916</v>
      </c>
      <c r="T11">
        <v>20</v>
      </c>
      <c r="U11">
        <v>4.2</v>
      </c>
      <c r="V11">
        <v>121</v>
      </c>
      <c r="W11">
        <v>98</v>
      </c>
      <c r="X11">
        <v>856</v>
      </c>
      <c r="Y11">
        <v>32</v>
      </c>
      <c r="Z11">
        <v>47.9</v>
      </c>
      <c r="AA11">
        <v>14.8</v>
      </c>
      <c r="AB11">
        <v>147.62</v>
      </c>
      <c r="AC11" s="12" t="str">
        <f>VLOOKUP(Team_Offense_Table__PY[[#This Row],[Team]],'Name Bridge'!$A$1:$B$410,2,FALSE)</f>
        <v>LV</v>
      </c>
      <c r="AD11" s="26">
        <f>Team_Offense_Table__PY[[#This Row],[Points For]]/Team_Offense_Table__PY[[#This Row],[Games]]</f>
        <v>27.125</v>
      </c>
      <c r="AE11" s="26">
        <f>Team_Offense_Table__PY[[#This Row],[Passing Yds]]/Team_Offense_Table__PY[[#This Row],[Games]]</f>
        <v>263.5625</v>
      </c>
      <c r="AF11" s="26">
        <f>Team_Offense_Table__PY[[#This Row],[Rushing Yds]]/Team_Offense_Table__PY[[#This Row],[Games]]</f>
        <v>119.75</v>
      </c>
      <c r="AG11" s="26">
        <f>Team_Offense_Table__PY[[#This Row],[Rushing Att]]/Team_Offense_Table__PY[[#This Row],[Games]]</f>
        <v>28.5625</v>
      </c>
      <c r="AH11" s="26">
        <f>Team_Offense_Table__PY[[#This Row],[Attempts]]/Team_Offense_Table__PY[[#This Row],[Games]]</f>
        <v>34.4375</v>
      </c>
      <c r="AI11" s="13">
        <f>Team_Offense_Table__PY[[#This Row],[Rushing att per gm]]/(Team_Offense_Table__PY[[#This Row],[Rushing att per gm]]+Team_Offense_Table__PY[[#This Row],[Passing att per gm]])</f>
        <v>0.45337301587301587</v>
      </c>
      <c r="AJ11" s="13">
        <f>1-Team_Offense_Table__PY[[#This Row],[% Run]]</f>
        <v>0.54662698412698418</v>
      </c>
    </row>
    <row r="12" spans="1:36" x14ac:dyDescent="0.2">
      <c r="A12">
        <v>11</v>
      </c>
      <c r="B12" t="s">
        <v>690</v>
      </c>
      <c r="C12">
        <v>16</v>
      </c>
      <c r="D12">
        <v>430</v>
      </c>
      <c r="E12">
        <v>6292</v>
      </c>
      <c r="F12">
        <v>1023</v>
      </c>
      <c r="G12">
        <v>6.2</v>
      </c>
      <c r="H12">
        <v>23</v>
      </c>
      <c r="I12">
        <v>10</v>
      </c>
      <c r="J12">
        <v>383</v>
      </c>
      <c r="K12">
        <v>349</v>
      </c>
      <c r="L12">
        <v>516</v>
      </c>
      <c r="M12">
        <v>4009</v>
      </c>
      <c r="N12">
        <v>35</v>
      </c>
      <c r="O12">
        <v>13</v>
      </c>
      <c r="P12">
        <v>7.2</v>
      </c>
      <c r="Q12">
        <v>212</v>
      </c>
      <c r="R12">
        <v>468</v>
      </c>
      <c r="S12">
        <v>2283</v>
      </c>
      <c r="T12">
        <v>20</v>
      </c>
      <c r="U12">
        <v>4.9000000000000004</v>
      </c>
      <c r="V12">
        <v>139</v>
      </c>
      <c r="W12">
        <v>82</v>
      </c>
      <c r="X12">
        <v>650</v>
      </c>
      <c r="Y12">
        <v>32</v>
      </c>
      <c r="Z12">
        <v>39.799999999999997</v>
      </c>
      <c r="AA12">
        <v>12.5</v>
      </c>
      <c r="AB12">
        <v>157.69999999999999</v>
      </c>
      <c r="AC12" s="12" t="str">
        <f>VLOOKUP(Team_Offense_Table__PY[[#This Row],[Team]],'Name Bridge'!$A$1:$B$410,2,FALSE)</f>
        <v>MIN</v>
      </c>
      <c r="AD12" s="26">
        <f>Team_Offense_Table__PY[[#This Row],[Points For]]/Team_Offense_Table__PY[[#This Row],[Games]]</f>
        <v>26.875</v>
      </c>
      <c r="AE12" s="26">
        <f>Team_Offense_Table__PY[[#This Row],[Passing Yds]]/Team_Offense_Table__PY[[#This Row],[Games]]</f>
        <v>250.5625</v>
      </c>
      <c r="AF12" s="26">
        <f>Team_Offense_Table__PY[[#This Row],[Rushing Yds]]/Team_Offense_Table__PY[[#This Row],[Games]]</f>
        <v>142.6875</v>
      </c>
      <c r="AG12" s="26">
        <f>Team_Offense_Table__PY[[#This Row],[Rushing Att]]/Team_Offense_Table__PY[[#This Row],[Games]]</f>
        <v>29.25</v>
      </c>
      <c r="AH12" s="26">
        <f>Team_Offense_Table__PY[[#This Row],[Attempts]]/Team_Offense_Table__PY[[#This Row],[Games]]</f>
        <v>32.25</v>
      </c>
      <c r="AI12" s="13">
        <f>Team_Offense_Table__PY[[#This Row],[Rushing att per gm]]/(Team_Offense_Table__PY[[#This Row],[Rushing att per gm]]+Team_Offense_Table__PY[[#This Row],[Passing att per gm]])</f>
        <v>0.47560975609756095</v>
      </c>
      <c r="AJ12" s="13">
        <f>1-Team_Offense_Table__PY[[#This Row],[% Run]]</f>
        <v>0.52439024390243905</v>
      </c>
    </row>
    <row r="13" spans="1:36" x14ac:dyDescent="0.2">
      <c r="A13">
        <v>12</v>
      </c>
      <c r="B13" t="s">
        <v>666</v>
      </c>
      <c r="C13">
        <v>16</v>
      </c>
      <c r="D13">
        <v>416</v>
      </c>
      <c r="E13">
        <v>5354</v>
      </c>
      <c r="F13">
        <v>1043</v>
      </c>
      <c r="G13">
        <v>5.0999999999999996</v>
      </c>
      <c r="H13">
        <v>18</v>
      </c>
      <c r="I13">
        <v>7</v>
      </c>
      <c r="J13">
        <v>322</v>
      </c>
      <c r="K13">
        <v>428</v>
      </c>
      <c r="L13">
        <v>656</v>
      </c>
      <c r="M13">
        <v>4003</v>
      </c>
      <c r="N13">
        <v>35</v>
      </c>
      <c r="O13">
        <v>11</v>
      </c>
      <c r="P13">
        <v>6</v>
      </c>
      <c r="Q13">
        <v>206</v>
      </c>
      <c r="R13">
        <v>373</v>
      </c>
      <c r="S13">
        <v>1351</v>
      </c>
      <c r="T13">
        <v>12</v>
      </c>
      <c r="U13">
        <v>3.6</v>
      </c>
      <c r="V13">
        <v>81</v>
      </c>
      <c r="W13">
        <v>81</v>
      </c>
      <c r="X13">
        <v>691</v>
      </c>
      <c r="Y13">
        <v>35</v>
      </c>
      <c r="Z13">
        <v>37.200000000000003</v>
      </c>
      <c r="AA13">
        <v>8.5</v>
      </c>
      <c r="AB13">
        <v>78.22</v>
      </c>
      <c r="AC13" s="12" t="str">
        <f>VLOOKUP(Team_Offense_Table__PY[[#This Row],[Team]],'Name Bridge'!$A$1:$B$410,2,FALSE)</f>
        <v>PIT</v>
      </c>
      <c r="AD13" s="26">
        <f>Team_Offense_Table__PY[[#This Row],[Points For]]/Team_Offense_Table__PY[[#This Row],[Games]]</f>
        <v>26</v>
      </c>
      <c r="AE13" s="26">
        <f>Team_Offense_Table__PY[[#This Row],[Passing Yds]]/Team_Offense_Table__PY[[#This Row],[Games]]</f>
        <v>250.1875</v>
      </c>
      <c r="AF13" s="26">
        <f>Team_Offense_Table__PY[[#This Row],[Rushing Yds]]/Team_Offense_Table__PY[[#This Row],[Games]]</f>
        <v>84.4375</v>
      </c>
      <c r="AG13" s="26">
        <f>Team_Offense_Table__PY[[#This Row],[Rushing Att]]/Team_Offense_Table__PY[[#This Row],[Games]]</f>
        <v>23.3125</v>
      </c>
      <c r="AH13" s="26">
        <f>Team_Offense_Table__PY[[#This Row],[Attempts]]/Team_Offense_Table__PY[[#This Row],[Games]]</f>
        <v>41</v>
      </c>
      <c r="AI13" s="13">
        <f>Team_Offense_Table__PY[[#This Row],[Rushing att per gm]]/(Team_Offense_Table__PY[[#This Row],[Rushing att per gm]]+Team_Offense_Table__PY[[#This Row],[Passing att per gm]])</f>
        <v>0.36248785228377067</v>
      </c>
      <c r="AJ13" s="13">
        <f>1-Team_Offense_Table__PY[[#This Row],[% Run]]</f>
        <v>0.63751214771622933</v>
      </c>
    </row>
    <row r="14" spans="1:36" x14ac:dyDescent="0.2">
      <c r="A14">
        <v>13</v>
      </c>
      <c r="B14" t="s">
        <v>698</v>
      </c>
      <c r="C14">
        <v>16</v>
      </c>
      <c r="D14">
        <v>410</v>
      </c>
      <c r="E14">
        <v>6153</v>
      </c>
      <c r="F14">
        <v>1083</v>
      </c>
      <c r="G14">
        <v>5.7</v>
      </c>
      <c r="H14">
        <v>21</v>
      </c>
      <c r="I14">
        <v>8</v>
      </c>
      <c r="J14">
        <v>381</v>
      </c>
      <c r="K14">
        <v>387</v>
      </c>
      <c r="L14">
        <v>575</v>
      </c>
      <c r="M14">
        <v>3916</v>
      </c>
      <c r="N14">
        <v>27</v>
      </c>
      <c r="O14">
        <v>13</v>
      </c>
      <c r="P14">
        <v>6.5</v>
      </c>
      <c r="Q14">
        <v>211</v>
      </c>
      <c r="R14">
        <v>479</v>
      </c>
      <c r="S14">
        <v>2237</v>
      </c>
      <c r="T14">
        <v>22</v>
      </c>
      <c r="U14">
        <v>4.7</v>
      </c>
      <c r="V14">
        <v>136</v>
      </c>
      <c r="W14">
        <v>113</v>
      </c>
      <c r="X14">
        <v>868</v>
      </c>
      <c r="Y14">
        <v>34</v>
      </c>
      <c r="Z14">
        <v>40.200000000000003</v>
      </c>
      <c r="AA14">
        <v>11.7</v>
      </c>
      <c r="AB14">
        <v>103.62</v>
      </c>
      <c r="AC14" s="12" t="str">
        <f>VLOOKUP(Team_Offense_Table__PY[[#This Row],[Team]],'Name Bridge'!$A$1:$B$410,2,FALSE)</f>
        <v>ARI</v>
      </c>
      <c r="AD14" s="26">
        <f>Team_Offense_Table__PY[[#This Row],[Points For]]/Team_Offense_Table__PY[[#This Row],[Games]]</f>
        <v>25.625</v>
      </c>
      <c r="AE14" s="26">
        <f>Team_Offense_Table__PY[[#This Row],[Passing Yds]]/Team_Offense_Table__PY[[#This Row],[Games]]</f>
        <v>244.75</v>
      </c>
      <c r="AF14" s="26">
        <f>Team_Offense_Table__PY[[#This Row],[Rushing Yds]]/Team_Offense_Table__PY[[#This Row],[Games]]</f>
        <v>139.8125</v>
      </c>
      <c r="AG14" s="26">
        <f>Team_Offense_Table__PY[[#This Row],[Rushing Att]]/Team_Offense_Table__PY[[#This Row],[Games]]</f>
        <v>29.9375</v>
      </c>
      <c r="AH14" s="26">
        <f>Team_Offense_Table__PY[[#This Row],[Attempts]]/Team_Offense_Table__PY[[#This Row],[Games]]</f>
        <v>35.9375</v>
      </c>
      <c r="AI14" s="13">
        <f>Team_Offense_Table__PY[[#This Row],[Rushing att per gm]]/(Team_Offense_Table__PY[[#This Row],[Rushing att per gm]]+Team_Offense_Table__PY[[#This Row],[Passing att per gm]])</f>
        <v>0.45445920303605314</v>
      </c>
      <c r="AJ14" s="13">
        <f>1-Team_Offense_Table__PY[[#This Row],[% Run]]</f>
        <v>0.54554079696394686</v>
      </c>
    </row>
    <row r="15" spans="1:36" x14ac:dyDescent="0.2">
      <c r="A15">
        <v>14</v>
      </c>
      <c r="B15" t="s">
        <v>701</v>
      </c>
      <c r="C15">
        <v>16</v>
      </c>
      <c r="D15">
        <v>408</v>
      </c>
      <c r="E15">
        <v>5913</v>
      </c>
      <c r="F15">
        <v>1022</v>
      </c>
      <c r="G15">
        <v>5.8</v>
      </c>
      <c r="H15">
        <v>16</v>
      </c>
      <c r="I15">
        <v>8</v>
      </c>
      <c r="J15">
        <v>355</v>
      </c>
      <c r="K15">
        <v>315</v>
      </c>
      <c r="L15">
        <v>501</v>
      </c>
      <c r="M15">
        <v>3539</v>
      </c>
      <c r="N15">
        <v>27</v>
      </c>
      <c r="O15">
        <v>8</v>
      </c>
      <c r="P15">
        <v>6.7</v>
      </c>
      <c r="Q15">
        <v>195</v>
      </c>
      <c r="R15">
        <v>495</v>
      </c>
      <c r="S15">
        <v>2374</v>
      </c>
      <c r="T15">
        <v>21</v>
      </c>
      <c r="U15">
        <v>4.8</v>
      </c>
      <c r="V15">
        <v>133</v>
      </c>
      <c r="W15">
        <v>100</v>
      </c>
      <c r="X15">
        <v>870</v>
      </c>
      <c r="Y15">
        <v>27</v>
      </c>
      <c r="Z15">
        <v>40.6</v>
      </c>
      <c r="AA15">
        <v>9.6999999999999993</v>
      </c>
      <c r="AB15">
        <v>159.47999999999999</v>
      </c>
      <c r="AC15" s="12" t="str">
        <f>VLOOKUP(Team_Offense_Table__PY[[#This Row],[Team]],'Name Bridge'!$A$1:$B$410,2,FALSE)</f>
        <v>CLE</v>
      </c>
      <c r="AD15" s="26">
        <f>Team_Offense_Table__PY[[#This Row],[Points For]]/Team_Offense_Table__PY[[#This Row],[Games]]</f>
        <v>25.5</v>
      </c>
      <c r="AE15" s="26">
        <f>Team_Offense_Table__PY[[#This Row],[Passing Yds]]/Team_Offense_Table__PY[[#This Row],[Games]]</f>
        <v>221.1875</v>
      </c>
      <c r="AF15" s="26">
        <f>Team_Offense_Table__PY[[#This Row],[Rushing Yds]]/Team_Offense_Table__PY[[#This Row],[Games]]</f>
        <v>148.375</v>
      </c>
      <c r="AG15" s="26">
        <f>Team_Offense_Table__PY[[#This Row],[Rushing Att]]/Team_Offense_Table__PY[[#This Row],[Games]]</f>
        <v>30.9375</v>
      </c>
      <c r="AH15" s="26">
        <f>Team_Offense_Table__PY[[#This Row],[Attempts]]/Team_Offense_Table__PY[[#This Row],[Games]]</f>
        <v>31.3125</v>
      </c>
      <c r="AI15" s="13">
        <f>Team_Offense_Table__PY[[#This Row],[Rushing att per gm]]/(Team_Offense_Table__PY[[#This Row],[Rushing att per gm]]+Team_Offense_Table__PY[[#This Row],[Passing att per gm]])</f>
        <v>0.49698795180722893</v>
      </c>
      <c r="AJ15" s="13">
        <f>1-Team_Offense_Table__PY[[#This Row],[% Run]]</f>
        <v>0.50301204819277112</v>
      </c>
    </row>
    <row r="16" spans="1:36" x14ac:dyDescent="0.2">
      <c r="A16">
        <v>15</v>
      </c>
      <c r="B16" t="s">
        <v>664</v>
      </c>
      <c r="C16">
        <v>16</v>
      </c>
      <c r="D16">
        <v>404</v>
      </c>
      <c r="E16">
        <v>5424</v>
      </c>
      <c r="F16">
        <v>1021</v>
      </c>
      <c r="G16">
        <v>5.3</v>
      </c>
      <c r="H16">
        <v>20</v>
      </c>
      <c r="I16">
        <v>7</v>
      </c>
      <c r="J16">
        <v>345</v>
      </c>
      <c r="K16">
        <v>370</v>
      </c>
      <c r="L16">
        <v>559</v>
      </c>
      <c r="M16">
        <v>3736</v>
      </c>
      <c r="N16">
        <v>24</v>
      </c>
      <c r="O16">
        <v>13</v>
      </c>
      <c r="P16">
        <v>6.3</v>
      </c>
      <c r="Q16">
        <v>207</v>
      </c>
      <c r="R16">
        <v>428</v>
      </c>
      <c r="S16">
        <v>1688</v>
      </c>
      <c r="T16">
        <v>15</v>
      </c>
      <c r="U16">
        <v>3.9</v>
      </c>
      <c r="V16">
        <v>100</v>
      </c>
      <c r="W16">
        <v>74</v>
      </c>
      <c r="X16">
        <v>635</v>
      </c>
      <c r="Y16">
        <v>38</v>
      </c>
      <c r="Z16">
        <v>41.4</v>
      </c>
      <c r="AA16">
        <v>11</v>
      </c>
      <c r="AB16">
        <v>61.96</v>
      </c>
      <c r="AC16" s="12" t="str">
        <f>VLOOKUP(Team_Offense_Table__PY[[#This Row],[Team]],'Name Bridge'!$A$1:$B$410,2,FALSE)</f>
        <v>MIA</v>
      </c>
      <c r="AD16" s="26">
        <f>Team_Offense_Table__PY[[#This Row],[Points For]]/Team_Offense_Table__PY[[#This Row],[Games]]</f>
        <v>25.25</v>
      </c>
      <c r="AE16" s="26">
        <f>Team_Offense_Table__PY[[#This Row],[Passing Yds]]/Team_Offense_Table__PY[[#This Row],[Games]]</f>
        <v>233.5</v>
      </c>
      <c r="AF16" s="26">
        <f>Team_Offense_Table__PY[[#This Row],[Rushing Yds]]/Team_Offense_Table__PY[[#This Row],[Games]]</f>
        <v>105.5</v>
      </c>
      <c r="AG16" s="26">
        <f>Team_Offense_Table__PY[[#This Row],[Rushing Att]]/Team_Offense_Table__PY[[#This Row],[Games]]</f>
        <v>26.75</v>
      </c>
      <c r="AH16" s="26">
        <f>Team_Offense_Table__PY[[#This Row],[Attempts]]/Team_Offense_Table__PY[[#This Row],[Games]]</f>
        <v>34.9375</v>
      </c>
      <c r="AI16" s="13">
        <f>Team_Offense_Table__PY[[#This Row],[Rushing att per gm]]/(Team_Offense_Table__PY[[#This Row],[Rushing att per gm]]+Team_Offense_Table__PY[[#This Row],[Passing att per gm]])</f>
        <v>0.43363728470111451</v>
      </c>
      <c r="AJ16" s="13">
        <f>1-Team_Offense_Table__PY[[#This Row],[% Run]]</f>
        <v>0.56636271529888549</v>
      </c>
    </row>
    <row r="17" spans="1:36" x14ac:dyDescent="0.2">
      <c r="A17">
        <v>16</v>
      </c>
      <c r="B17" t="s">
        <v>688</v>
      </c>
      <c r="C17">
        <v>16</v>
      </c>
      <c r="D17">
        <v>396</v>
      </c>
      <c r="E17">
        <v>5895</v>
      </c>
      <c r="F17">
        <v>1078</v>
      </c>
      <c r="G17">
        <v>5.5</v>
      </c>
      <c r="H17">
        <v>18</v>
      </c>
      <c r="I17">
        <v>7</v>
      </c>
      <c r="J17">
        <v>366</v>
      </c>
      <c r="K17">
        <v>408</v>
      </c>
      <c r="L17">
        <v>628</v>
      </c>
      <c r="M17">
        <v>4363</v>
      </c>
      <c r="N17">
        <v>27</v>
      </c>
      <c r="O17">
        <v>11</v>
      </c>
      <c r="P17">
        <v>6.5</v>
      </c>
      <c r="Q17">
        <v>243</v>
      </c>
      <c r="R17">
        <v>409</v>
      </c>
      <c r="S17">
        <v>1532</v>
      </c>
      <c r="T17">
        <v>13</v>
      </c>
      <c r="U17">
        <v>3.7</v>
      </c>
      <c r="V17">
        <v>86</v>
      </c>
      <c r="W17">
        <v>83</v>
      </c>
      <c r="X17">
        <v>736</v>
      </c>
      <c r="Y17">
        <v>37</v>
      </c>
      <c r="Z17">
        <v>44.8</v>
      </c>
      <c r="AA17">
        <v>10.3</v>
      </c>
      <c r="AB17">
        <v>129.77000000000001</v>
      </c>
      <c r="AC17" s="12" t="str">
        <f>VLOOKUP(Team_Offense_Table__PY[[#This Row],[Team]],'Name Bridge'!$A$1:$B$410,2,FALSE)</f>
        <v>ATL</v>
      </c>
      <c r="AD17" s="26">
        <f>Team_Offense_Table__PY[[#This Row],[Points For]]/Team_Offense_Table__PY[[#This Row],[Games]]</f>
        <v>24.75</v>
      </c>
      <c r="AE17" s="26">
        <f>Team_Offense_Table__PY[[#This Row],[Passing Yds]]/Team_Offense_Table__PY[[#This Row],[Games]]</f>
        <v>272.6875</v>
      </c>
      <c r="AF17" s="26">
        <f>Team_Offense_Table__PY[[#This Row],[Rushing Yds]]/Team_Offense_Table__PY[[#This Row],[Games]]</f>
        <v>95.75</v>
      </c>
      <c r="AG17" s="26">
        <f>Team_Offense_Table__PY[[#This Row],[Rushing Att]]/Team_Offense_Table__PY[[#This Row],[Games]]</f>
        <v>25.5625</v>
      </c>
      <c r="AH17" s="26">
        <f>Team_Offense_Table__PY[[#This Row],[Attempts]]/Team_Offense_Table__PY[[#This Row],[Games]]</f>
        <v>39.25</v>
      </c>
      <c r="AI17" s="13">
        <f>Team_Offense_Table__PY[[#This Row],[Rushing att per gm]]/(Team_Offense_Table__PY[[#This Row],[Rushing att per gm]]+Team_Offense_Table__PY[[#This Row],[Passing att per gm]])</f>
        <v>0.39440694310511087</v>
      </c>
      <c r="AJ17" s="13">
        <f>1-Team_Offense_Table__PY[[#This Row],[% Run]]</f>
        <v>0.60559305689488907</v>
      </c>
    </row>
    <row r="18" spans="1:36" x14ac:dyDescent="0.2">
      <c r="A18">
        <v>17</v>
      </c>
      <c r="B18" t="s">
        <v>877</v>
      </c>
      <c r="C18">
        <v>16</v>
      </c>
      <c r="D18">
        <v>395</v>
      </c>
      <c r="E18">
        <v>5949</v>
      </c>
      <c r="F18">
        <v>1113</v>
      </c>
      <c r="G18">
        <v>5.3</v>
      </c>
      <c r="H18">
        <v>26</v>
      </c>
      <c r="I18">
        <v>13</v>
      </c>
      <c r="J18">
        <v>371</v>
      </c>
      <c r="K18">
        <v>413</v>
      </c>
      <c r="L18">
        <v>639</v>
      </c>
      <c r="M18">
        <v>4161</v>
      </c>
      <c r="N18">
        <v>25</v>
      </c>
      <c r="O18">
        <v>13</v>
      </c>
      <c r="P18">
        <v>6.1</v>
      </c>
      <c r="Q18">
        <v>231</v>
      </c>
      <c r="R18">
        <v>430</v>
      </c>
      <c r="S18">
        <v>1788</v>
      </c>
      <c r="T18">
        <v>14</v>
      </c>
      <c r="U18">
        <v>4.2</v>
      </c>
      <c r="V18">
        <v>115</v>
      </c>
      <c r="W18">
        <v>96</v>
      </c>
      <c r="X18">
        <v>849</v>
      </c>
      <c r="Y18">
        <v>25</v>
      </c>
      <c r="Z18">
        <v>40.6</v>
      </c>
      <c r="AA18">
        <v>14.4</v>
      </c>
      <c r="AB18">
        <v>58.97</v>
      </c>
      <c r="AC18" s="12" t="str">
        <f>VLOOKUP(Team_Offense_Table__PY[[#This Row],[Team]],'Name Bridge'!$A$1:$B$410,2,FALSE)</f>
        <v>DAL</v>
      </c>
      <c r="AD18" s="26">
        <f>Team_Offense_Table__PY[[#This Row],[Points For]]/Team_Offense_Table__PY[[#This Row],[Games]]</f>
        <v>24.6875</v>
      </c>
      <c r="AE18" s="26">
        <f>Team_Offense_Table__PY[[#This Row],[Passing Yds]]/Team_Offense_Table__PY[[#This Row],[Games]]</f>
        <v>260.0625</v>
      </c>
      <c r="AF18" s="26">
        <f>Team_Offense_Table__PY[[#This Row],[Rushing Yds]]/Team_Offense_Table__PY[[#This Row],[Games]]</f>
        <v>111.75</v>
      </c>
      <c r="AG18" s="26">
        <f>Team_Offense_Table__PY[[#This Row],[Rushing Att]]/Team_Offense_Table__PY[[#This Row],[Games]]</f>
        <v>26.875</v>
      </c>
      <c r="AH18" s="26">
        <f>Team_Offense_Table__PY[[#This Row],[Attempts]]/Team_Offense_Table__PY[[#This Row],[Games]]</f>
        <v>39.9375</v>
      </c>
      <c r="AI18" s="13">
        <f>Team_Offense_Table__PY[[#This Row],[Rushing att per gm]]/(Team_Offense_Table__PY[[#This Row],[Rushing att per gm]]+Team_Offense_Table__PY[[#This Row],[Passing att per gm]])</f>
        <v>0.40224508886810101</v>
      </c>
      <c r="AJ18" s="13">
        <f>1-Team_Offense_Table__PY[[#This Row],[% Run]]</f>
        <v>0.59775491113189894</v>
      </c>
    </row>
    <row r="19" spans="1:36" x14ac:dyDescent="0.2">
      <c r="A19">
        <v>18</v>
      </c>
      <c r="B19" t="s">
        <v>699</v>
      </c>
      <c r="C19">
        <v>16</v>
      </c>
      <c r="D19">
        <v>384</v>
      </c>
      <c r="E19">
        <v>6004</v>
      </c>
      <c r="F19">
        <v>940</v>
      </c>
      <c r="G19">
        <v>6.4</v>
      </c>
      <c r="H19">
        <v>18</v>
      </c>
      <c r="I19">
        <v>11</v>
      </c>
      <c r="J19">
        <v>326</v>
      </c>
      <c r="K19">
        <v>383</v>
      </c>
      <c r="L19">
        <v>546</v>
      </c>
      <c r="M19">
        <v>4538</v>
      </c>
      <c r="N19">
        <v>33</v>
      </c>
      <c r="O19">
        <v>7</v>
      </c>
      <c r="P19">
        <v>7.6</v>
      </c>
      <c r="Q19">
        <v>222</v>
      </c>
      <c r="R19">
        <v>344</v>
      </c>
      <c r="S19">
        <v>1466</v>
      </c>
      <c r="T19">
        <v>10</v>
      </c>
      <c r="U19">
        <v>4.3</v>
      </c>
      <c r="V19">
        <v>83</v>
      </c>
      <c r="W19">
        <v>80</v>
      </c>
      <c r="X19">
        <v>619</v>
      </c>
      <c r="Y19">
        <v>21</v>
      </c>
      <c r="Z19">
        <v>42.9</v>
      </c>
      <c r="AA19">
        <v>9.8000000000000007</v>
      </c>
      <c r="AB19">
        <v>140.22</v>
      </c>
      <c r="AC19" s="12" t="str">
        <f>VLOOKUP(Team_Offense_Table__PY[[#This Row],[Team]],'Name Bridge'!$A$1:$B$410,2,FALSE)</f>
        <v>HOU</v>
      </c>
      <c r="AD19" s="26">
        <f>Team_Offense_Table__PY[[#This Row],[Points For]]/Team_Offense_Table__PY[[#This Row],[Games]]</f>
        <v>24</v>
      </c>
      <c r="AE19" s="26">
        <f>Team_Offense_Table__PY[[#This Row],[Passing Yds]]/Team_Offense_Table__PY[[#This Row],[Games]]</f>
        <v>283.625</v>
      </c>
      <c r="AF19" s="26">
        <f>Team_Offense_Table__PY[[#This Row],[Rushing Yds]]/Team_Offense_Table__PY[[#This Row],[Games]]</f>
        <v>91.625</v>
      </c>
      <c r="AG19" s="26">
        <f>Team_Offense_Table__PY[[#This Row],[Rushing Att]]/Team_Offense_Table__PY[[#This Row],[Games]]</f>
        <v>21.5</v>
      </c>
      <c r="AH19" s="26">
        <f>Team_Offense_Table__PY[[#This Row],[Attempts]]/Team_Offense_Table__PY[[#This Row],[Games]]</f>
        <v>34.125</v>
      </c>
      <c r="AI19" s="13">
        <f>Team_Offense_Table__PY[[#This Row],[Rushing att per gm]]/(Team_Offense_Table__PY[[#This Row],[Rushing att per gm]]+Team_Offense_Table__PY[[#This Row],[Passing att per gm]])</f>
        <v>0.38651685393258428</v>
      </c>
      <c r="AJ19" s="13">
        <f>1-Team_Offense_Table__PY[[#This Row],[% Run]]</f>
        <v>0.61348314606741572</v>
      </c>
    </row>
    <row r="20" spans="1:36" x14ac:dyDescent="0.2">
      <c r="A20">
        <v>19</v>
      </c>
      <c r="B20" t="s">
        <v>621</v>
      </c>
      <c r="C20">
        <v>16</v>
      </c>
      <c r="D20">
        <v>384</v>
      </c>
      <c r="E20">
        <v>6113</v>
      </c>
      <c r="F20">
        <v>1127</v>
      </c>
      <c r="G20">
        <v>5.4</v>
      </c>
      <c r="H20">
        <v>16</v>
      </c>
      <c r="I20">
        <v>6</v>
      </c>
      <c r="J20">
        <v>373</v>
      </c>
      <c r="K20">
        <v>413</v>
      </c>
      <c r="L20">
        <v>627</v>
      </c>
      <c r="M20">
        <v>4329</v>
      </c>
      <c r="N20">
        <v>31</v>
      </c>
      <c r="O20">
        <v>10</v>
      </c>
      <c r="P20">
        <v>6.5</v>
      </c>
      <c r="Q20">
        <v>226</v>
      </c>
      <c r="R20">
        <v>466</v>
      </c>
      <c r="S20">
        <v>1784</v>
      </c>
      <c r="T20">
        <v>12</v>
      </c>
      <c r="U20">
        <v>3.8</v>
      </c>
      <c r="V20">
        <v>111</v>
      </c>
      <c r="W20">
        <v>85</v>
      </c>
      <c r="X20">
        <v>710</v>
      </c>
      <c r="Y20">
        <v>36</v>
      </c>
      <c r="Z20">
        <v>38.299999999999997</v>
      </c>
      <c r="AA20">
        <v>8.6</v>
      </c>
      <c r="AB20">
        <v>129.6</v>
      </c>
      <c r="AC20" s="12" t="str">
        <f>VLOOKUP(Team_Offense_Table__PY[[#This Row],[Team]],'Name Bridge'!$A$1:$B$410,2,FALSE)</f>
        <v>LAC</v>
      </c>
      <c r="AD20" s="26">
        <f>Team_Offense_Table__PY[[#This Row],[Points For]]/Team_Offense_Table__PY[[#This Row],[Games]]</f>
        <v>24</v>
      </c>
      <c r="AE20" s="26">
        <f>Team_Offense_Table__PY[[#This Row],[Passing Yds]]/Team_Offense_Table__PY[[#This Row],[Games]]</f>
        <v>270.5625</v>
      </c>
      <c r="AF20" s="26">
        <f>Team_Offense_Table__PY[[#This Row],[Rushing Yds]]/Team_Offense_Table__PY[[#This Row],[Games]]</f>
        <v>111.5</v>
      </c>
      <c r="AG20" s="26">
        <f>Team_Offense_Table__PY[[#This Row],[Rushing Att]]/Team_Offense_Table__PY[[#This Row],[Games]]</f>
        <v>29.125</v>
      </c>
      <c r="AH20" s="26">
        <f>Team_Offense_Table__PY[[#This Row],[Attempts]]/Team_Offense_Table__PY[[#This Row],[Games]]</f>
        <v>39.1875</v>
      </c>
      <c r="AI20" s="13">
        <f>Team_Offense_Table__PY[[#This Row],[Rushing att per gm]]/(Team_Offense_Table__PY[[#This Row],[Rushing att per gm]]+Team_Offense_Table__PY[[#This Row],[Passing att per gm]])</f>
        <v>0.42634949679780421</v>
      </c>
      <c r="AJ20" s="13">
        <f>1-Team_Offense_Table__PY[[#This Row],[% Run]]</f>
        <v>0.57365050320219579</v>
      </c>
    </row>
    <row r="21" spans="1:36" x14ac:dyDescent="0.2">
      <c r="A21">
        <v>20</v>
      </c>
      <c r="B21" t="s">
        <v>700</v>
      </c>
      <c r="C21">
        <v>16</v>
      </c>
      <c r="D21">
        <v>377</v>
      </c>
      <c r="E21">
        <v>5603</v>
      </c>
      <c r="F21">
        <v>991</v>
      </c>
      <c r="G21">
        <v>5.7</v>
      </c>
      <c r="H21">
        <v>21</v>
      </c>
      <c r="I21">
        <v>8</v>
      </c>
      <c r="J21">
        <v>350</v>
      </c>
      <c r="K21">
        <v>374</v>
      </c>
      <c r="L21">
        <v>582</v>
      </c>
      <c r="M21">
        <v>4104</v>
      </c>
      <c r="N21">
        <v>27</v>
      </c>
      <c r="O21">
        <v>13</v>
      </c>
      <c r="P21">
        <v>6.6</v>
      </c>
      <c r="Q21">
        <v>220</v>
      </c>
      <c r="R21">
        <v>367</v>
      </c>
      <c r="S21">
        <v>1499</v>
      </c>
      <c r="T21">
        <v>17</v>
      </c>
      <c r="U21">
        <v>4.0999999999999996</v>
      </c>
      <c r="V21">
        <v>93</v>
      </c>
      <c r="W21">
        <v>95</v>
      </c>
      <c r="X21">
        <v>860</v>
      </c>
      <c r="Y21">
        <v>37</v>
      </c>
      <c r="Z21">
        <v>38.5</v>
      </c>
      <c r="AA21">
        <v>11.2</v>
      </c>
      <c r="AB21">
        <v>94.78</v>
      </c>
      <c r="AC21" s="12" t="str">
        <f>VLOOKUP(Team_Offense_Table__PY[[#This Row],[Team]],'Name Bridge'!$A$1:$B$410,2,FALSE)</f>
        <v>DET</v>
      </c>
      <c r="AD21" s="26">
        <f>Team_Offense_Table__PY[[#This Row],[Points For]]/Team_Offense_Table__PY[[#This Row],[Games]]</f>
        <v>23.5625</v>
      </c>
      <c r="AE21" s="26">
        <f>Team_Offense_Table__PY[[#This Row],[Passing Yds]]/Team_Offense_Table__PY[[#This Row],[Games]]</f>
        <v>256.5</v>
      </c>
      <c r="AF21" s="26">
        <f>Team_Offense_Table__PY[[#This Row],[Rushing Yds]]/Team_Offense_Table__PY[[#This Row],[Games]]</f>
        <v>93.6875</v>
      </c>
      <c r="AG21" s="26">
        <f>Team_Offense_Table__PY[[#This Row],[Rushing Att]]/Team_Offense_Table__PY[[#This Row],[Games]]</f>
        <v>22.9375</v>
      </c>
      <c r="AH21" s="26">
        <f>Team_Offense_Table__PY[[#This Row],[Attempts]]/Team_Offense_Table__PY[[#This Row],[Games]]</f>
        <v>36.375</v>
      </c>
      <c r="AI21" s="13">
        <f>Team_Offense_Table__PY[[#This Row],[Rushing att per gm]]/(Team_Offense_Table__PY[[#This Row],[Rushing att per gm]]+Team_Offense_Table__PY[[#This Row],[Passing att per gm]])</f>
        <v>0.38672286617492097</v>
      </c>
      <c r="AJ21" s="13">
        <f>1-Team_Offense_Table__PY[[#This Row],[% Run]]</f>
        <v>0.61327713382507909</v>
      </c>
    </row>
    <row r="22" spans="1:36" x14ac:dyDescent="0.2">
      <c r="A22">
        <v>21</v>
      </c>
      <c r="B22" t="s">
        <v>309</v>
      </c>
      <c r="C22">
        <v>16</v>
      </c>
      <c r="D22">
        <v>376</v>
      </c>
      <c r="E22">
        <v>5922</v>
      </c>
      <c r="F22">
        <v>1046</v>
      </c>
      <c r="G22">
        <v>5.7</v>
      </c>
      <c r="H22">
        <v>31</v>
      </c>
      <c r="I22">
        <v>14</v>
      </c>
      <c r="J22">
        <v>350</v>
      </c>
      <c r="K22">
        <v>371</v>
      </c>
      <c r="L22">
        <v>570</v>
      </c>
      <c r="M22">
        <v>4033</v>
      </c>
      <c r="N22">
        <v>25</v>
      </c>
      <c r="O22">
        <v>17</v>
      </c>
      <c r="P22">
        <v>6.6</v>
      </c>
      <c r="Q22">
        <v>217</v>
      </c>
      <c r="R22">
        <v>437</v>
      </c>
      <c r="S22">
        <v>1889</v>
      </c>
      <c r="T22">
        <v>19</v>
      </c>
      <c r="U22">
        <v>4.3</v>
      </c>
      <c r="V22">
        <v>101</v>
      </c>
      <c r="W22">
        <v>85</v>
      </c>
      <c r="X22">
        <v>731</v>
      </c>
      <c r="Y22">
        <v>32</v>
      </c>
      <c r="Z22">
        <v>36.299999999999997</v>
      </c>
      <c r="AA22">
        <v>14.8</v>
      </c>
      <c r="AB22">
        <v>55.7</v>
      </c>
      <c r="AC22" s="12" t="str">
        <f>VLOOKUP(Team_Offense_Table__PY[[#This Row],[Team]],'Name Bridge'!$A$1:$B$410,2,FALSE)</f>
        <v>SF</v>
      </c>
      <c r="AD22" s="26">
        <f>Team_Offense_Table__PY[[#This Row],[Points For]]/Team_Offense_Table__PY[[#This Row],[Games]]</f>
        <v>23.5</v>
      </c>
      <c r="AE22" s="26">
        <f>Team_Offense_Table__PY[[#This Row],[Passing Yds]]/Team_Offense_Table__PY[[#This Row],[Games]]</f>
        <v>252.0625</v>
      </c>
      <c r="AF22" s="26">
        <f>Team_Offense_Table__PY[[#This Row],[Rushing Yds]]/Team_Offense_Table__PY[[#This Row],[Games]]</f>
        <v>118.0625</v>
      </c>
      <c r="AG22" s="26">
        <f>Team_Offense_Table__PY[[#This Row],[Rushing Att]]/Team_Offense_Table__PY[[#This Row],[Games]]</f>
        <v>27.3125</v>
      </c>
      <c r="AH22" s="26">
        <f>Team_Offense_Table__PY[[#This Row],[Attempts]]/Team_Offense_Table__PY[[#This Row],[Games]]</f>
        <v>35.625</v>
      </c>
      <c r="AI22" s="13">
        <f>Team_Offense_Table__PY[[#This Row],[Rushing att per gm]]/(Team_Offense_Table__PY[[#This Row],[Rushing att per gm]]+Team_Offense_Table__PY[[#This Row],[Passing att per gm]])</f>
        <v>0.43396226415094341</v>
      </c>
      <c r="AJ22" s="13">
        <f>1-Team_Offense_Table__PY[[#This Row],[% Run]]</f>
        <v>0.56603773584905659</v>
      </c>
    </row>
    <row r="23" spans="1:36" x14ac:dyDescent="0.2">
      <c r="A23">
        <v>22</v>
      </c>
      <c r="B23" t="s">
        <v>878</v>
      </c>
      <c r="C23">
        <v>16</v>
      </c>
      <c r="D23">
        <v>372</v>
      </c>
      <c r="E23">
        <v>6032</v>
      </c>
      <c r="F23">
        <v>1088</v>
      </c>
      <c r="G23">
        <v>5.5</v>
      </c>
      <c r="H23">
        <v>25</v>
      </c>
      <c r="I23">
        <v>11</v>
      </c>
      <c r="J23">
        <v>352</v>
      </c>
      <c r="K23">
        <v>392</v>
      </c>
      <c r="L23">
        <v>590</v>
      </c>
      <c r="M23">
        <v>4014</v>
      </c>
      <c r="N23">
        <v>20</v>
      </c>
      <c r="O23">
        <v>14</v>
      </c>
      <c r="P23">
        <v>6.5</v>
      </c>
      <c r="Q23">
        <v>206</v>
      </c>
      <c r="R23">
        <v>473</v>
      </c>
      <c r="S23">
        <v>2018</v>
      </c>
      <c r="T23">
        <v>19</v>
      </c>
      <c r="U23">
        <v>4.3</v>
      </c>
      <c r="V23">
        <v>123</v>
      </c>
      <c r="W23">
        <v>71</v>
      </c>
      <c r="X23">
        <v>655</v>
      </c>
      <c r="Y23">
        <v>23</v>
      </c>
      <c r="Z23">
        <v>34.200000000000003</v>
      </c>
      <c r="AA23">
        <v>12.5</v>
      </c>
      <c r="AB23">
        <v>57.24</v>
      </c>
      <c r="AC23" s="12" t="str">
        <f>VLOOKUP(Team_Offense_Table__PY[[#This Row],[Team]],'Name Bridge'!$A$1:$B$410,2,FALSE)</f>
        <v>LAR</v>
      </c>
      <c r="AD23" s="26">
        <f>Team_Offense_Table__PY[[#This Row],[Points For]]/Team_Offense_Table__PY[[#This Row],[Games]]</f>
        <v>23.25</v>
      </c>
      <c r="AE23" s="26">
        <f>Team_Offense_Table__PY[[#This Row],[Passing Yds]]/Team_Offense_Table__PY[[#This Row],[Games]]</f>
        <v>250.875</v>
      </c>
      <c r="AF23" s="26">
        <f>Team_Offense_Table__PY[[#This Row],[Rushing Yds]]/Team_Offense_Table__PY[[#This Row],[Games]]</f>
        <v>126.125</v>
      </c>
      <c r="AG23" s="26">
        <f>Team_Offense_Table__PY[[#This Row],[Rushing Att]]/Team_Offense_Table__PY[[#This Row],[Games]]</f>
        <v>29.5625</v>
      </c>
      <c r="AH23" s="26">
        <f>Team_Offense_Table__PY[[#This Row],[Attempts]]/Team_Offense_Table__PY[[#This Row],[Games]]</f>
        <v>36.875</v>
      </c>
      <c r="AI23" s="13">
        <f>Team_Offense_Table__PY[[#This Row],[Rushing att per gm]]/(Team_Offense_Table__PY[[#This Row],[Rushing att per gm]]+Team_Offense_Table__PY[[#This Row],[Passing att per gm]])</f>
        <v>0.444967074317968</v>
      </c>
      <c r="AJ23" s="13">
        <f>1-Team_Offense_Table__PY[[#This Row],[% Run]]</f>
        <v>0.555032925682032</v>
      </c>
    </row>
    <row r="24" spans="1:36" x14ac:dyDescent="0.2">
      <c r="A24">
        <v>23</v>
      </c>
      <c r="B24" t="s">
        <v>839</v>
      </c>
      <c r="C24">
        <v>16</v>
      </c>
      <c r="D24">
        <v>372</v>
      </c>
      <c r="E24">
        <v>5302</v>
      </c>
      <c r="F24">
        <v>1043</v>
      </c>
      <c r="G24">
        <v>5.0999999999999996</v>
      </c>
      <c r="H24">
        <v>22</v>
      </c>
      <c r="I24">
        <v>6</v>
      </c>
      <c r="J24">
        <v>335</v>
      </c>
      <c r="K24">
        <v>402</v>
      </c>
      <c r="L24">
        <v>614</v>
      </c>
      <c r="M24">
        <v>3655</v>
      </c>
      <c r="N24">
        <v>26</v>
      </c>
      <c r="O24">
        <v>16</v>
      </c>
      <c r="P24">
        <v>5.6</v>
      </c>
      <c r="Q24">
        <v>218</v>
      </c>
      <c r="R24">
        <v>393</v>
      </c>
      <c r="S24">
        <v>1647</v>
      </c>
      <c r="T24">
        <v>12</v>
      </c>
      <c r="U24">
        <v>4.2</v>
      </c>
      <c r="V24">
        <v>93</v>
      </c>
      <c r="W24">
        <v>88</v>
      </c>
      <c r="X24">
        <v>777</v>
      </c>
      <c r="Y24">
        <v>24</v>
      </c>
      <c r="Z24">
        <v>38.9</v>
      </c>
      <c r="AA24">
        <v>12</v>
      </c>
      <c r="AB24">
        <v>34.92</v>
      </c>
      <c r="AC24" s="12" t="str">
        <f>VLOOKUP(Team_Offense_Table__PY[[#This Row],[Team]],'Name Bridge'!$A$1:$B$410,2,FALSE)</f>
        <v>CHI</v>
      </c>
      <c r="AD24" s="26">
        <f>Team_Offense_Table__PY[[#This Row],[Points For]]/Team_Offense_Table__PY[[#This Row],[Games]]</f>
        <v>23.25</v>
      </c>
      <c r="AE24" s="26">
        <f>Team_Offense_Table__PY[[#This Row],[Passing Yds]]/Team_Offense_Table__PY[[#This Row],[Games]]</f>
        <v>228.4375</v>
      </c>
      <c r="AF24" s="26">
        <f>Team_Offense_Table__PY[[#This Row],[Rushing Yds]]/Team_Offense_Table__PY[[#This Row],[Games]]</f>
        <v>102.9375</v>
      </c>
      <c r="AG24" s="26">
        <f>Team_Offense_Table__PY[[#This Row],[Rushing Att]]/Team_Offense_Table__PY[[#This Row],[Games]]</f>
        <v>24.5625</v>
      </c>
      <c r="AH24" s="26">
        <f>Team_Offense_Table__PY[[#This Row],[Attempts]]/Team_Offense_Table__PY[[#This Row],[Games]]</f>
        <v>38.375</v>
      </c>
      <c r="AI24" s="13">
        <f>Team_Offense_Table__PY[[#This Row],[Rushing att per gm]]/(Team_Offense_Table__PY[[#This Row],[Rushing att per gm]]+Team_Offense_Table__PY[[#This Row],[Passing att per gm]])</f>
        <v>0.39026812313803377</v>
      </c>
      <c r="AJ24" s="13">
        <f>1-Team_Offense_Table__PY[[#This Row],[% Run]]</f>
        <v>0.60973187686196617</v>
      </c>
    </row>
    <row r="25" spans="1:36" x14ac:dyDescent="0.2">
      <c r="A25">
        <v>24</v>
      </c>
      <c r="B25" t="s">
        <v>401</v>
      </c>
      <c r="C25">
        <v>16</v>
      </c>
      <c r="D25">
        <v>350</v>
      </c>
      <c r="E25">
        <v>5592</v>
      </c>
      <c r="F25">
        <v>993</v>
      </c>
      <c r="G25">
        <v>5.6</v>
      </c>
      <c r="H25">
        <v>21</v>
      </c>
      <c r="I25">
        <v>5</v>
      </c>
      <c r="J25">
        <v>335</v>
      </c>
      <c r="K25">
        <v>373</v>
      </c>
      <c r="L25">
        <v>550</v>
      </c>
      <c r="M25">
        <v>3888</v>
      </c>
      <c r="N25">
        <v>16</v>
      </c>
      <c r="O25">
        <v>16</v>
      </c>
      <c r="P25">
        <v>6.6</v>
      </c>
      <c r="Q25">
        <v>192</v>
      </c>
      <c r="R25">
        <v>407</v>
      </c>
      <c r="S25">
        <v>1704</v>
      </c>
      <c r="T25">
        <v>19</v>
      </c>
      <c r="U25">
        <v>4.2</v>
      </c>
      <c r="V25">
        <v>110</v>
      </c>
      <c r="W25">
        <v>95</v>
      </c>
      <c r="X25">
        <v>752</v>
      </c>
      <c r="Y25">
        <v>33</v>
      </c>
      <c r="Z25">
        <v>40.299999999999997</v>
      </c>
      <c r="AA25">
        <v>13.2</v>
      </c>
      <c r="AB25">
        <v>81.2</v>
      </c>
      <c r="AC25" s="12" t="str">
        <f>VLOOKUP(Team_Offense_Table__PY[[#This Row],[Team]],'Name Bridge'!$A$1:$B$410,2,FALSE)</f>
        <v>CAR</v>
      </c>
      <c r="AD25" s="26">
        <f>Team_Offense_Table__PY[[#This Row],[Points For]]/Team_Offense_Table__PY[[#This Row],[Games]]</f>
        <v>21.875</v>
      </c>
      <c r="AE25" s="26">
        <f>Team_Offense_Table__PY[[#This Row],[Passing Yds]]/Team_Offense_Table__PY[[#This Row],[Games]]</f>
        <v>243</v>
      </c>
      <c r="AF25" s="26">
        <f>Team_Offense_Table__PY[[#This Row],[Rushing Yds]]/Team_Offense_Table__PY[[#This Row],[Games]]</f>
        <v>106.5</v>
      </c>
      <c r="AG25" s="26">
        <f>Team_Offense_Table__PY[[#This Row],[Rushing Att]]/Team_Offense_Table__PY[[#This Row],[Games]]</f>
        <v>25.4375</v>
      </c>
      <c r="AH25" s="26">
        <f>Team_Offense_Table__PY[[#This Row],[Attempts]]/Team_Offense_Table__PY[[#This Row],[Games]]</f>
        <v>34.375</v>
      </c>
      <c r="AI25" s="13">
        <f>Team_Offense_Table__PY[[#This Row],[Rushing att per gm]]/(Team_Offense_Table__PY[[#This Row],[Rushing att per gm]]+Team_Offense_Table__PY[[#This Row],[Passing att per gm]])</f>
        <v>0.42528735632183906</v>
      </c>
      <c r="AJ25" s="13">
        <f>1-Team_Offense_Table__PY[[#This Row],[% Run]]</f>
        <v>0.57471264367816088</v>
      </c>
    </row>
    <row r="26" spans="1:36" x14ac:dyDescent="0.2">
      <c r="A26">
        <v>25</v>
      </c>
      <c r="B26" t="s">
        <v>629</v>
      </c>
      <c r="C26">
        <v>16</v>
      </c>
      <c r="D26">
        <v>335</v>
      </c>
      <c r="E26">
        <v>5076</v>
      </c>
      <c r="F26">
        <v>1051</v>
      </c>
      <c r="G26">
        <v>4.8</v>
      </c>
      <c r="H26">
        <v>27</v>
      </c>
      <c r="I26">
        <v>11</v>
      </c>
      <c r="J26">
        <v>322</v>
      </c>
      <c r="K26">
        <v>389</v>
      </c>
      <c r="L26">
        <v>601</v>
      </c>
      <c r="M26">
        <v>3465</v>
      </c>
      <c r="N26">
        <v>16</v>
      </c>
      <c r="O26">
        <v>16</v>
      </c>
      <c r="P26">
        <v>5.3</v>
      </c>
      <c r="Q26">
        <v>184</v>
      </c>
      <c r="R26">
        <v>400</v>
      </c>
      <c r="S26">
        <v>1611</v>
      </c>
      <c r="T26">
        <v>18</v>
      </c>
      <c r="U26">
        <v>4</v>
      </c>
      <c r="V26">
        <v>108</v>
      </c>
      <c r="W26">
        <v>87</v>
      </c>
      <c r="X26">
        <v>697</v>
      </c>
      <c r="Y26">
        <v>30</v>
      </c>
      <c r="Z26">
        <v>33.299999999999997</v>
      </c>
      <c r="AA26">
        <v>13.1</v>
      </c>
      <c r="AB26">
        <v>-10.43</v>
      </c>
      <c r="AC26" s="12" t="str">
        <f>VLOOKUP(Team_Offense_Table__PY[[#This Row],[Team]],'Name Bridge'!$A$1:$B$410,2,FALSE)</f>
        <v>WAS</v>
      </c>
      <c r="AD26" s="26">
        <f>Team_Offense_Table__PY[[#This Row],[Points For]]/Team_Offense_Table__PY[[#This Row],[Games]]</f>
        <v>20.9375</v>
      </c>
      <c r="AE26" s="26">
        <f>Team_Offense_Table__PY[[#This Row],[Passing Yds]]/Team_Offense_Table__PY[[#This Row],[Games]]</f>
        <v>216.5625</v>
      </c>
      <c r="AF26" s="26">
        <f>Team_Offense_Table__PY[[#This Row],[Rushing Yds]]/Team_Offense_Table__PY[[#This Row],[Games]]</f>
        <v>100.6875</v>
      </c>
      <c r="AG26" s="26">
        <f>Team_Offense_Table__PY[[#This Row],[Rushing Att]]/Team_Offense_Table__PY[[#This Row],[Games]]</f>
        <v>25</v>
      </c>
      <c r="AH26" s="26">
        <f>Team_Offense_Table__PY[[#This Row],[Attempts]]/Team_Offense_Table__PY[[#This Row],[Games]]</f>
        <v>37.5625</v>
      </c>
      <c r="AI26" s="13">
        <f>Team_Offense_Table__PY[[#This Row],[Rushing att per gm]]/(Team_Offense_Table__PY[[#This Row],[Rushing att per gm]]+Team_Offense_Table__PY[[#This Row],[Passing att per gm]])</f>
        <v>0.39960039960039961</v>
      </c>
      <c r="AJ26" s="13">
        <f>1-Team_Offense_Table__PY[[#This Row],[% Run]]</f>
        <v>0.60039960039960039</v>
      </c>
    </row>
    <row r="27" spans="1:36" x14ac:dyDescent="0.2">
      <c r="A27">
        <v>26</v>
      </c>
      <c r="B27" t="s">
        <v>691</v>
      </c>
      <c r="C27">
        <v>16</v>
      </c>
      <c r="D27">
        <v>334</v>
      </c>
      <c r="E27">
        <v>5354</v>
      </c>
      <c r="F27">
        <v>1066</v>
      </c>
      <c r="G27">
        <v>5</v>
      </c>
      <c r="H27">
        <v>29</v>
      </c>
      <c r="I27">
        <v>9</v>
      </c>
      <c r="J27">
        <v>336</v>
      </c>
      <c r="K27">
        <v>334</v>
      </c>
      <c r="L27">
        <v>598</v>
      </c>
      <c r="M27">
        <v>3327</v>
      </c>
      <c r="N27">
        <v>22</v>
      </c>
      <c r="O27">
        <v>20</v>
      </c>
      <c r="P27">
        <v>5</v>
      </c>
      <c r="Q27">
        <v>177</v>
      </c>
      <c r="R27">
        <v>403</v>
      </c>
      <c r="S27">
        <v>2027</v>
      </c>
      <c r="T27">
        <v>16</v>
      </c>
      <c r="U27">
        <v>5</v>
      </c>
      <c r="V27">
        <v>114</v>
      </c>
      <c r="W27">
        <v>107</v>
      </c>
      <c r="X27">
        <v>853</v>
      </c>
      <c r="Y27">
        <v>45</v>
      </c>
      <c r="Z27">
        <v>27.9</v>
      </c>
      <c r="AA27">
        <v>15.3</v>
      </c>
      <c r="AB27">
        <v>-13.65</v>
      </c>
      <c r="AC27" s="12" t="str">
        <f>VLOOKUP(Team_Offense_Table__PY[[#This Row],[Team]],'Name Bridge'!$A$1:$B$410,2,FALSE)</f>
        <v>PHI</v>
      </c>
      <c r="AD27" s="26">
        <f>Team_Offense_Table__PY[[#This Row],[Points For]]/Team_Offense_Table__PY[[#This Row],[Games]]</f>
        <v>20.875</v>
      </c>
      <c r="AE27" s="26">
        <f>Team_Offense_Table__PY[[#This Row],[Passing Yds]]/Team_Offense_Table__PY[[#This Row],[Games]]</f>
        <v>207.9375</v>
      </c>
      <c r="AF27" s="26">
        <f>Team_Offense_Table__PY[[#This Row],[Rushing Yds]]/Team_Offense_Table__PY[[#This Row],[Games]]</f>
        <v>126.6875</v>
      </c>
      <c r="AG27" s="26">
        <f>Team_Offense_Table__PY[[#This Row],[Rushing Att]]/Team_Offense_Table__PY[[#This Row],[Games]]</f>
        <v>25.1875</v>
      </c>
      <c r="AH27" s="26">
        <f>Team_Offense_Table__PY[[#This Row],[Attempts]]/Team_Offense_Table__PY[[#This Row],[Games]]</f>
        <v>37.375</v>
      </c>
      <c r="AI27" s="13">
        <f>Team_Offense_Table__PY[[#This Row],[Rushing att per gm]]/(Team_Offense_Table__PY[[#This Row],[Rushing att per gm]]+Team_Offense_Table__PY[[#This Row],[Passing att per gm]])</f>
        <v>0.40259740259740262</v>
      </c>
      <c r="AJ27" s="13">
        <f>1-Team_Offense_Table__PY[[#This Row],[% Run]]</f>
        <v>0.59740259740259738</v>
      </c>
    </row>
    <row r="28" spans="1:36" x14ac:dyDescent="0.2">
      <c r="A28">
        <v>27</v>
      </c>
      <c r="B28" t="s">
        <v>614</v>
      </c>
      <c r="C28">
        <v>16</v>
      </c>
      <c r="D28">
        <v>326</v>
      </c>
      <c r="E28">
        <v>5236</v>
      </c>
      <c r="F28">
        <v>979</v>
      </c>
      <c r="G28">
        <v>5.3</v>
      </c>
      <c r="H28">
        <v>19</v>
      </c>
      <c r="I28">
        <v>5</v>
      </c>
      <c r="J28">
        <v>332</v>
      </c>
      <c r="K28">
        <v>283</v>
      </c>
      <c r="L28">
        <v>440</v>
      </c>
      <c r="M28">
        <v>2890</v>
      </c>
      <c r="N28">
        <v>12</v>
      </c>
      <c r="O28">
        <v>14</v>
      </c>
      <c r="P28">
        <v>6.1</v>
      </c>
      <c r="Q28">
        <v>157</v>
      </c>
      <c r="R28">
        <v>502</v>
      </c>
      <c r="S28">
        <v>2346</v>
      </c>
      <c r="T28">
        <v>20</v>
      </c>
      <c r="U28">
        <v>4.7</v>
      </c>
      <c r="V28">
        <v>143</v>
      </c>
      <c r="W28">
        <v>62</v>
      </c>
      <c r="X28">
        <v>534</v>
      </c>
      <c r="Y28">
        <v>32</v>
      </c>
      <c r="Z28">
        <v>36.9</v>
      </c>
      <c r="AA28">
        <v>12.1</v>
      </c>
      <c r="AB28">
        <v>55.88</v>
      </c>
      <c r="AC28" s="12" t="str">
        <f>VLOOKUP(Team_Offense_Table__PY[[#This Row],[Team]],'Name Bridge'!$A$1:$B$410,2,FALSE)</f>
        <v>NE</v>
      </c>
      <c r="AD28" s="26">
        <f>Team_Offense_Table__PY[[#This Row],[Points For]]/Team_Offense_Table__PY[[#This Row],[Games]]</f>
        <v>20.375</v>
      </c>
      <c r="AE28" s="26">
        <f>Team_Offense_Table__PY[[#This Row],[Passing Yds]]/Team_Offense_Table__PY[[#This Row],[Games]]</f>
        <v>180.625</v>
      </c>
      <c r="AF28" s="26">
        <f>Team_Offense_Table__PY[[#This Row],[Rushing Yds]]/Team_Offense_Table__PY[[#This Row],[Games]]</f>
        <v>146.625</v>
      </c>
      <c r="AG28" s="26">
        <f>Team_Offense_Table__PY[[#This Row],[Rushing Att]]/Team_Offense_Table__PY[[#This Row],[Games]]</f>
        <v>31.375</v>
      </c>
      <c r="AH28" s="26">
        <f>Team_Offense_Table__PY[[#This Row],[Attempts]]/Team_Offense_Table__PY[[#This Row],[Games]]</f>
        <v>27.5</v>
      </c>
      <c r="AI28" s="13">
        <f>Team_Offense_Table__PY[[#This Row],[Rushing att per gm]]/(Team_Offense_Table__PY[[#This Row],[Rushing att per gm]]+Team_Offense_Table__PY[[#This Row],[Passing att per gm]])</f>
        <v>0.53290870488322717</v>
      </c>
      <c r="AJ28" s="13">
        <f>1-Team_Offense_Table__PY[[#This Row],[% Run]]</f>
        <v>0.46709129511677283</v>
      </c>
    </row>
    <row r="29" spans="1:36" x14ac:dyDescent="0.2">
      <c r="A29">
        <v>28</v>
      </c>
      <c r="B29" t="s">
        <v>642</v>
      </c>
      <c r="C29">
        <v>16</v>
      </c>
      <c r="D29">
        <v>323</v>
      </c>
      <c r="E29">
        <v>5369</v>
      </c>
      <c r="F29">
        <v>1030</v>
      </c>
      <c r="G29">
        <v>5.2</v>
      </c>
      <c r="H29">
        <v>32</v>
      </c>
      <c r="I29">
        <v>9</v>
      </c>
      <c r="J29">
        <v>308</v>
      </c>
      <c r="K29">
        <v>317</v>
      </c>
      <c r="L29">
        <v>556</v>
      </c>
      <c r="M29">
        <v>3451</v>
      </c>
      <c r="N29">
        <v>21</v>
      </c>
      <c r="O29">
        <v>23</v>
      </c>
      <c r="P29">
        <v>5.9</v>
      </c>
      <c r="Q29">
        <v>176</v>
      </c>
      <c r="R29">
        <v>442</v>
      </c>
      <c r="S29">
        <v>1918</v>
      </c>
      <c r="T29">
        <v>13</v>
      </c>
      <c r="U29">
        <v>4.3</v>
      </c>
      <c r="V29">
        <v>94</v>
      </c>
      <c r="W29">
        <v>81</v>
      </c>
      <c r="X29">
        <v>670</v>
      </c>
      <c r="Y29">
        <v>38</v>
      </c>
      <c r="Z29">
        <v>33</v>
      </c>
      <c r="AA29">
        <v>17</v>
      </c>
      <c r="AB29">
        <v>-21.82</v>
      </c>
      <c r="AC29" s="12" t="str">
        <f>VLOOKUP(Team_Offense_Table__PY[[#This Row],[Team]],'Name Bridge'!$A$1:$B$410,2,FALSE)</f>
        <v>DEN</v>
      </c>
      <c r="AD29" s="26">
        <f>Team_Offense_Table__PY[[#This Row],[Points For]]/Team_Offense_Table__PY[[#This Row],[Games]]</f>
        <v>20.1875</v>
      </c>
      <c r="AE29" s="26">
        <f>Team_Offense_Table__PY[[#This Row],[Passing Yds]]/Team_Offense_Table__PY[[#This Row],[Games]]</f>
        <v>215.6875</v>
      </c>
      <c r="AF29" s="26">
        <f>Team_Offense_Table__PY[[#This Row],[Rushing Yds]]/Team_Offense_Table__PY[[#This Row],[Games]]</f>
        <v>119.875</v>
      </c>
      <c r="AG29" s="26">
        <f>Team_Offense_Table__PY[[#This Row],[Rushing Att]]/Team_Offense_Table__PY[[#This Row],[Games]]</f>
        <v>27.625</v>
      </c>
      <c r="AH29" s="26">
        <f>Team_Offense_Table__PY[[#This Row],[Attempts]]/Team_Offense_Table__PY[[#This Row],[Games]]</f>
        <v>34.75</v>
      </c>
      <c r="AI29" s="13">
        <f>Team_Offense_Table__PY[[#This Row],[Rushing att per gm]]/(Team_Offense_Table__PY[[#This Row],[Rushing att per gm]]+Team_Offense_Table__PY[[#This Row],[Passing att per gm]])</f>
        <v>0.44288577154308617</v>
      </c>
      <c r="AJ29" s="13">
        <f>1-Team_Offense_Table__PY[[#This Row],[% Run]]</f>
        <v>0.55711422845691383</v>
      </c>
    </row>
    <row r="30" spans="1:36" x14ac:dyDescent="0.2">
      <c r="A30">
        <v>29</v>
      </c>
      <c r="B30" t="s">
        <v>702</v>
      </c>
      <c r="C30">
        <v>16</v>
      </c>
      <c r="D30">
        <v>311</v>
      </c>
      <c r="E30">
        <v>5116</v>
      </c>
      <c r="F30">
        <v>1040</v>
      </c>
      <c r="G30">
        <v>4.9000000000000004</v>
      </c>
      <c r="H30">
        <v>24</v>
      </c>
      <c r="I30">
        <v>13</v>
      </c>
      <c r="J30">
        <v>318</v>
      </c>
      <c r="K30">
        <v>372</v>
      </c>
      <c r="L30">
        <v>581</v>
      </c>
      <c r="M30">
        <v>3448</v>
      </c>
      <c r="N30">
        <v>19</v>
      </c>
      <c r="O30">
        <v>11</v>
      </c>
      <c r="P30">
        <v>5.5</v>
      </c>
      <c r="Q30">
        <v>201</v>
      </c>
      <c r="R30">
        <v>411</v>
      </c>
      <c r="S30">
        <v>1668</v>
      </c>
      <c r="T30">
        <v>13</v>
      </c>
      <c r="U30">
        <v>4.0999999999999996</v>
      </c>
      <c r="V30">
        <v>92</v>
      </c>
      <c r="W30">
        <v>83</v>
      </c>
      <c r="X30">
        <v>675</v>
      </c>
      <c r="Y30">
        <v>25</v>
      </c>
      <c r="Z30">
        <v>33</v>
      </c>
      <c r="AA30">
        <v>12.8</v>
      </c>
      <c r="AB30">
        <v>-5.13</v>
      </c>
      <c r="AC30" s="12" t="str">
        <f>VLOOKUP(Team_Offense_Table__PY[[#This Row],[Team]],'Name Bridge'!$A$1:$B$410,2,FALSE)</f>
        <v>CIN</v>
      </c>
      <c r="AD30" s="26">
        <f>Team_Offense_Table__PY[[#This Row],[Points For]]/Team_Offense_Table__PY[[#This Row],[Games]]</f>
        <v>19.4375</v>
      </c>
      <c r="AE30" s="26">
        <f>Team_Offense_Table__PY[[#This Row],[Passing Yds]]/Team_Offense_Table__PY[[#This Row],[Games]]</f>
        <v>215.5</v>
      </c>
      <c r="AF30" s="26">
        <f>Team_Offense_Table__PY[[#This Row],[Rushing Yds]]/Team_Offense_Table__PY[[#This Row],[Games]]</f>
        <v>104.25</v>
      </c>
      <c r="AG30" s="26">
        <f>Team_Offense_Table__PY[[#This Row],[Rushing Att]]/Team_Offense_Table__PY[[#This Row],[Games]]</f>
        <v>25.6875</v>
      </c>
      <c r="AH30" s="26">
        <f>Team_Offense_Table__PY[[#This Row],[Attempts]]/Team_Offense_Table__PY[[#This Row],[Games]]</f>
        <v>36.3125</v>
      </c>
      <c r="AI30" s="13">
        <f>Team_Offense_Table__PY[[#This Row],[Rushing att per gm]]/(Team_Offense_Table__PY[[#This Row],[Rushing att per gm]]+Team_Offense_Table__PY[[#This Row],[Passing att per gm]])</f>
        <v>0.41431451612903225</v>
      </c>
      <c r="AJ30" s="13">
        <f>1-Team_Offense_Table__PY[[#This Row],[% Run]]</f>
        <v>0.58568548387096775</v>
      </c>
    </row>
    <row r="31" spans="1:36" x14ac:dyDescent="0.2">
      <c r="A31">
        <v>30</v>
      </c>
      <c r="B31" t="s">
        <v>689</v>
      </c>
      <c r="C31">
        <v>16</v>
      </c>
      <c r="D31">
        <v>306</v>
      </c>
      <c r="E31">
        <v>5218</v>
      </c>
      <c r="F31">
        <v>997</v>
      </c>
      <c r="G31">
        <v>5.2</v>
      </c>
      <c r="H31">
        <v>25</v>
      </c>
      <c r="I31">
        <v>9</v>
      </c>
      <c r="J31">
        <v>310</v>
      </c>
      <c r="K31">
        <v>387</v>
      </c>
      <c r="L31">
        <v>616</v>
      </c>
      <c r="M31">
        <v>3699</v>
      </c>
      <c r="N31">
        <v>25</v>
      </c>
      <c r="O31">
        <v>16</v>
      </c>
      <c r="P31">
        <v>5.6</v>
      </c>
      <c r="Q31">
        <v>205</v>
      </c>
      <c r="R31">
        <v>337</v>
      </c>
      <c r="S31">
        <v>1519</v>
      </c>
      <c r="T31">
        <v>9</v>
      </c>
      <c r="U31">
        <v>4.5</v>
      </c>
      <c r="V31">
        <v>80</v>
      </c>
      <c r="W31">
        <v>107</v>
      </c>
      <c r="X31">
        <v>1071</v>
      </c>
      <c r="Y31">
        <v>25</v>
      </c>
      <c r="Z31">
        <v>30.4</v>
      </c>
      <c r="AA31">
        <v>14</v>
      </c>
      <c r="AB31">
        <v>-6.12</v>
      </c>
      <c r="AC31" s="12" t="str">
        <f>VLOOKUP(Team_Offense_Table__PY[[#This Row],[Team]],'Name Bridge'!$A$1:$B$410,2,FALSE)</f>
        <v>JAC</v>
      </c>
      <c r="AD31" s="26">
        <f>Team_Offense_Table__PY[[#This Row],[Points For]]/Team_Offense_Table__PY[[#This Row],[Games]]</f>
        <v>19.125</v>
      </c>
      <c r="AE31" s="26">
        <f>Team_Offense_Table__PY[[#This Row],[Passing Yds]]/Team_Offense_Table__PY[[#This Row],[Games]]</f>
        <v>231.1875</v>
      </c>
      <c r="AF31" s="26">
        <f>Team_Offense_Table__PY[[#This Row],[Rushing Yds]]/Team_Offense_Table__PY[[#This Row],[Games]]</f>
        <v>94.9375</v>
      </c>
      <c r="AG31" s="26">
        <f>Team_Offense_Table__PY[[#This Row],[Rushing Att]]/Team_Offense_Table__PY[[#This Row],[Games]]</f>
        <v>21.0625</v>
      </c>
      <c r="AH31" s="26">
        <f>Team_Offense_Table__PY[[#This Row],[Attempts]]/Team_Offense_Table__PY[[#This Row],[Games]]</f>
        <v>38.5</v>
      </c>
      <c r="AI31" s="13">
        <f>Team_Offense_Table__PY[[#This Row],[Rushing att per gm]]/(Team_Offense_Table__PY[[#This Row],[Rushing att per gm]]+Team_Offense_Table__PY[[#This Row],[Passing att per gm]])</f>
        <v>0.35362014690451204</v>
      </c>
      <c r="AJ31" s="13">
        <f>1-Team_Offense_Table__PY[[#This Row],[% Run]]</f>
        <v>0.64637985309548796</v>
      </c>
    </row>
    <row r="32" spans="1:36" x14ac:dyDescent="0.2">
      <c r="A32">
        <v>31</v>
      </c>
      <c r="B32" t="s">
        <v>693</v>
      </c>
      <c r="C32">
        <v>16</v>
      </c>
      <c r="D32">
        <v>280</v>
      </c>
      <c r="E32">
        <v>4794</v>
      </c>
      <c r="F32">
        <v>966</v>
      </c>
      <c r="G32">
        <v>5</v>
      </c>
      <c r="H32">
        <v>22</v>
      </c>
      <c r="I32">
        <v>11</v>
      </c>
      <c r="J32">
        <v>297</v>
      </c>
      <c r="K32">
        <v>321</v>
      </c>
      <c r="L32">
        <v>517</v>
      </c>
      <c r="M32">
        <v>3026</v>
      </c>
      <c r="N32">
        <v>12</v>
      </c>
      <c r="O32">
        <v>11</v>
      </c>
      <c r="P32">
        <v>5.3</v>
      </c>
      <c r="Q32">
        <v>178</v>
      </c>
      <c r="R32">
        <v>399</v>
      </c>
      <c r="S32">
        <v>1768</v>
      </c>
      <c r="T32">
        <v>13</v>
      </c>
      <c r="U32">
        <v>4.4000000000000004</v>
      </c>
      <c r="V32">
        <v>91</v>
      </c>
      <c r="W32">
        <v>81</v>
      </c>
      <c r="X32">
        <v>634</v>
      </c>
      <c r="Y32">
        <v>28</v>
      </c>
      <c r="Z32">
        <v>33.5</v>
      </c>
      <c r="AA32">
        <v>12.6</v>
      </c>
      <c r="AB32">
        <v>-26.79</v>
      </c>
      <c r="AC32" s="12" t="str">
        <f>VLOOKUP(Team_Offense_Table__PY[[#This Row],[Team]],'Name Bridge'!$A$1:$B$410,2,FALSE)</f>
        <v>NYG</v>
      </c>
      <c r="AD32" s="26">
        <f>Team_Offense_Table__PY[[#This Row],[Points For]]/Team_Offense_Table__PY[[#This Row],[Games]]</f>
        <v>17.5</v>
      </c>
      <c r="AE32" s="26">
        <f>Team_Offense_Table__PY[[#This Row],[Passing Yds]]/Team_Offense_Table__PY[[#This Row],[Games]]</f>
        <v>189.125</v>
      </c>
      <c r="AF32" s="26">
        <f>Team_Offense_Table__PY[[#This Row],[Rushing Yds]]/Team_Offense_Table__PY[[#This Row],[Games]]</f>
        <v>110.5</v>
      </c>
      <c r="AG32" s="26">
        <f>Team_Offense_Table__PY[[#This Row],[Rushing Att]]/Team_Offense_Table__PY[[#This Row],[Games]]</f>
        <v>24.9375</v>
      </c>
      <c r="AH32" s="26">
        <f>Team_Offense_Table__PY[[#This Row],[Attempts]]/Team_Offense_Table__PY[[#This Row],[Games]]</f>
        <v>32.3125</v>
      </c>
      <c r="AI32" s="13">
        <f>Team_Offense_Table__PY[[#This Row],[Rushing att per gm]]/(Team_Offense_Table__PY[[#This Row],[Rushing att per gm]]+Team_Offense_Table__PY[[#This Row],[Passing att per gm]])</f>
        <v>0.43558951965065501</v>
      </c>
      <c r="AJ32" s="13">
        <f>1-Team_Offense_Table__PY[[#This Row],[% Run]]</f>
        <v>0.56441048034934505</v>
      </c>
    </row>
    <row r="33" spans="1:36" x14ac:dyDescent="0.2">
      <c r="A33">
        <v>32</v>
      </c>
      <c r="B33" t="s">
        <v>697</v>
      </c>
      <c r="C33">
        <v>16</v>
      </c>
      <c r="D33">
        <v>243</v>
      </c>
      <c r="E33">
        <v>4479</v>
      </c>
      <c r="F33">
        <v>948</v>
      </c>
      <c r="G33">
        <v>4.7</v>
      </c>
      <c r="H33">
        <v>19</v>
      </c>
      <c r="I33">
        <v>5</v>
      </c>
      <c r="J33">
        <v>269</v>
      </c>
      <c r="K33">
        <v>292</v>
      </c>
      <c r="L33">
        <v>499</v>
      </c>
      <c r="M33">
        <v>2796</v>
      </c>
      <c r="N33">
        <v>16</v>
      </c>
      <c r="O33">
        <v>14</v>
      </c>
      <c r="P33">
        <v>5.2</v>
      </c>
      <c r="Q33">
        <v>146</v>
      </c>
      <c r="R33">
        <v>406</v>
      </c>
      <c r="S33">
        <v>1683</v>
      </c>
      <c r="T33">
        <v>9</v>
      </c>
      <c r="U33">
        <v>4.0999999999999996</v>
      </c>
      <c r="V33">
        <v>94</v>
      </c>
      <c r="W33">
        <v>101</v>
      </c>
      <c r="X33">
        <v>952</v>
      </c>
      <c r="Y33">
        <v>29</v>
      </c>
      <c r="Z33">
        <v>26.3</v>
      </c>
      <c r="AA33">
        <v>10.9</v>
      </c>
      <c r="AB33">
        <v>-59.07</v>
      </c>
      <c r="AC33" s="12" t="str">
        <f>VLOOKUP(Team_Offense_Table__PY[[#This Row],[Team]],'Name Bridge'!$A$1:$B$410,2,FALSE)</f>
        <v>NYJ</v>
      </c>
      <c r="AD33" s="26">
        <f>Team_Offense_Table__PY[[#This Row],[Points For]]/Team_Offense_Table__PY[[#This Row],[Games]]</f>
        <v>15.1875</v>
      </c>
      <c r="AE33" s="26">
        <f>Team_Offense_Table__PY[[#This Row],[Passing Yds]]/Team_Offense_Table__PY[[#This Row],[Games]]</f>
        <v>174.75</v>
      </c>
      <c r="AF33" s="26">
        <f>Team_Offense_Table__PY[[#This Row],[Rushing Yds]]/Team_Offense_Table__PY[[#This Row],[Games]]</f>
        <v>105.1875</v>
      </c>
      <c r="AG33" s="26">
        <f>Team_Offense_Table__PY[[#This Row],[Rushing Att]]/Team_Offense_Table__PY[[#This Row],[Games]]</f>
        <v>25.375</v>
      </c>
      <c r="AH33" s="26">
        <f>Team_Offense_Table__PY[[#This Row],[Attempts]]/Team_Offense_Table__PY[[#This Row],[Games]]</f>
        <v>31.1875</v>
      </c>
      <c r="AI33" s="13">
        <f>Team_Offense_Table__PY[[#This Row],[Rushing att per gm]]/(Team_Offense_Table__PY[[#This Row],[Rushing att per gm]]+Team_Offense_Table__PY[[#This Row],[Passing att per gm]])</f>
        <v>0.44861878453038673</v>
      </c>
      <c r="AJ33" s="13">
        <f>1-Team_Offense_Table__PY[[#This Row],[% Run]]</f>
        <v>0.55138121546961327</v>
      </c>
    </row>
    <row r="34" spans="1:36" x14ac:dyDescent="0.2">
      <c r="A34" t="s">
        <v>731</v>
      </c>
      <c r="AD34" s="27">
        <f>SUBTOTAL(101,Team_Offense_Table__PY[Points/gm])</f>
        <v>24.7890625</v>
      </c>
      <c r="AE34" s="27">
        <f>SUBTOTAL(101,Team_Offense_Table__PY[Passing/Game])</f>
        <v>240.150390625</v>
      </c>
      <c r="AF34" s="27">
        <f>SUBTOTAL(101,Team_Offense_Table__PY[Rushing yds/Game])</f>
        <v>118.8828125</v>
      </c>
      <c r="AG34" s="27">
        <f>SUBTOTAL(101,Team_Offense_Table__PY[Rushing att per gm])</f>
        <v>26.9375</v>
      </c>
      <c r="AH34" s="27">
        <f>SUBTOTAL(101,Team_Offense_Table__PY[Passing att per gm])</f>
        <v>35.19140625</v>
      </c>
      <c r="AJ34" s="28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6"/>
  <dimension ref="A1:AH34"/>
  <sheetViews>
    <sheetView workbookViewId="0"/>
  </sheetViews>
  <sheetFormatPr baseColWidth="10" defaultColWidth="8.83203125" defaultRowHeight="15" x14ac:dyDescent="0.2"/>
  <cols>
    <col min="1" max="1" width="5.5" bestFit="1" customWidth="1"/>
    <col min="2" max="2" width="25" bestFit="1" customWidth="1"/>
    <col min="3" max="3" width="16" bestFit="1" customWidth="1"/>
    <col min="4" max="4" width="12.1640625" bestFit="1" customWidth="1"/>
    <col min="5" max="5" width="6.5" bestFit="1" customWidth="1"/>
    <col min="6" max="6" width="7.83203125" bestFit="1" customWidth="1"/>
    <col min="7" max="7" width="17.5" bestFit="1" customWidth="1"/>
    <col min="8" max="8" width="12.1640625" bestFit="1" customWidth="1"/>
    <col min="9" max="9" width="14.83203125" bestFit="1" customWidth="1"/>
    <col min="10" max="10" width="18.5" bestFit="1" customWidth="1"/>
    <col min="11" max="11" width="14.33203125" bestFit="1" customWidth="1"/>
    <col min="12" max="12" width="13" bestFit="1" customWidth="1"/>
    <col min="13" max="13" width="13.5" bestFit="1" customWidth="1"/>
    <col min="14" max="14" width="12.5" bestFit="1" customWidth="1"/>
    <col min="15" max="15" width="12.6640625" bestFit="1" customWidth="1"/>
    <col min="16" max="16" width="17" bestFit="1" customWidth="1"/>
    <col min="17" max="17" width="14.1640625" bestFit="1" customWidth="1"/>
    <col min="18" max="18" width="13.5" bestFit="1" customWidth="1"/>
    <col min="19" max="19" width="13.83203125" bestFit="1" customWidth="1"/>
    <col min="20" max="20" width="13" bestFit="1" customWidth="1"/>
    <col min="21" max="21" width="14" bestFit="1" customWidth="1"/>
    <col min="22" max="22" width="14.5" bestFit="1" customWidth="1"/>
    <col min="23" max="23" width="11.5" bestFit="1" customWidth="1"/>
    <col min="24" max="24" width="15.1640625" bestFit="1" customWidth="1"/>
    <col min="25" max="25" width="16.33203125" bestFit="1" customWidth="1"/>
    <col min="26" max="26" width="11.6640625" bestFit="1" customWidth="1"/>
    <col min="27" max="27" width="13.33203125" bestFit="1" customWidth="1"/>
    <col min="28" max="28" width="16" bestFit="1" customWidth="1"/>
    <col min="29" max="29" width="9.6640625" bestFit="1" customWidth="1"/>
    <col min="30" max="30" width="16.6640625" bestFit="1" customWidth="1"/>
    <col min="31" max="31" width="14.5" bestFit="1" customWidth="1"/>
    <col min="32" max="32" width="10.33203125" bestFit="1" customWidth="1"/>
    <col min="33" max="33" width="15" bestFit="1" customWidth="1"/>
    <col min="34" max="35" width="13.5" bestFit="1" customWidth="1"/>
    <col min="36" max="36" width="14" bestFit="1" customWidth="1"/>
    <col min="37" max="37" width="14.5" bestFit="1" customWidth="1"/>
    <col min="38" max="38" width="14.1640625" bestFit="1" customWidth="1"/>
    <col min="39" max="39" width="15.83203125" bestFit="1" customWidth="1"/>
    <col min="40" max="40" width="6.5" bestFit="1" customWidth="1"/>
    <col min="41" max="41" width="7" bestFit="1" customWidth="1"/>
    <col min="42" max="42" width="7.6640625" bestFit="1" customWidth="1"/>
  </cols>
  <sheetData>
    <row r="1" spans="1:34" s="2" customFormat="1" ht="32" x14ac:dyDescent="0.2">
      <c r="A1" s="2" t="s">
        <v>902</v>
      </c>
      <c r="B1" s="2" t="s">
        <v>21</v>
      </c>
      <c r="C1" s="2" t="s">
        <v>2191</v>
      </c>
      <c r="D1" s="2" t="s">
        <v>2165</v>
      </c>
      <c r="E1" s="2" t="s">
        <v>799</v>
      </c>
      <c r="F1" s="2" t="s">
        <v>2166</v>
      </c>
      <c r="G1" s="2" t="s">
        <v>2192</v>
      </c>
      <c r="H1" s="2" t="s">
        <v>2168</v>
      </c>
      <c r="I1" s="2" t="s">
        <v>2169</v>
      </c>
      <c r="J1" s="2" t="s">
        <v>2193</v>
      </c>
      <c r="K1" s="2" t="s">
        <v>2194</v>
      </c>
      <c r="L1" s="2" t="s">
        <v>2195</v>
      </c>
      <c r="M1" s="2" t="s">
        <v>2172</v>
      </c>
      <c r="N1" s="2" t="s">
        <v>34</v>
      </c>
      <c r="O1" s="2" t="s">
        <v>2173</v>
      </c>
      <c r="P1" s="2" t="s">
        <v>2196</v>
      </c>
      <c r="Q1" s="2" t="s">
        <v>2175</v>
      </c>
      <c r="R1" s="2" t="s">
        <v>1409</v>
      </c>
      <c r="S1" s="2" t="s">
        <v>1410</v>
      </c>
      <c r="T1" s="2" t="s">
        <v>1411</v>
      </c>
      <c r="U1" s="2" t="s">
        <v>2176</v>
      </c>
      <c r="V1" s="2" t="s">
        <v>2177</v>
      </c>
      <c r="W1" s="2" t="s">
        <v>2178</v>
      </c>
      <c r="X1" s="2" t="s">
        <v>2179</v>
      </c>
      <c r="Y1" s="2" t="s">
        <v>2197</v>
      </c>
      <c r="Z1" s="2" t="s">
        <v>2181</v>
      </c>
      <c r="AA1" s="2" t="s">
        <v>2182</v>
      </c>
      <c r="AB1" s="2" t="s">
        <v>2198</v>
      </c>
      <c r="AC1" s="11" t="s">
        <v>2199</v>
      </c>
      <c r="AD1" s="11" t="s">
        <v>2200</v>
      </c>
      <c r="AE1" s="11" t="s">
        <v>2201</v>
      </c>
      <c r="AF1" s="11" t="s">
        <v>2202</v>
      </c>
      <c r="AG1" s="11" t="s">
        <v>2203</v>
      </c>
      <c r="AH1" s="11" t="s">
        <v>2204</v>
      </c>
    </row>
    <row r="2" spans="1:34" x14ac:dyDescent="0.2">
      <c r="A2">
        <v>1</v>
      </c>
      <c r="B2" t="s">
        <v>692</v>
      </c>
      <c r="C2">
        <v>1</v>
      </c>
      <c r="D2">
        <v>3</v>
      </c>
      <c r="E2">
        <v>229</v>
      </c>
      <c r="F2">
        <v>52</v>
      </c>
      <c r="G2">
        <v>4.4000000000000004</v>
      </c>
      <c r="H2">
        <v>3</v>
      </c>
      <c r="I2">
        <v>1</v>
      </c>
      <c r="J2">
        <v>14</v>
      </c>
      <c r="K2">
        <v>20</v>
      </c>
      <c r="L2">
        <v>35</v>
      </c>
      <c r="M2">
        <v>186</v>
      </c>
      <c r="N2">
        <v>0</v>
      </c>
      <c r="O2">
        <v>2</v>
      </c>
      <c r="P2">
        <v>5</v>
      </c>
      <c r="Q2">
        <v>9</v>
      </c>
      <c r="R2">
        <v>15</v>
      </c>
      <c r="S2">
        <v>43</v>
      </c>
      <c r="T2">
        <v>0</v>
      </c>
      <c r="U2">
        <v>2.9</v>
      </c>
      <c r="V2">
        <v>2</v>
      </c>
      <c r="W2">
        <v>5</v>
      </c>
      <c r="X2">
        <v>33</v>
      </c>
      <c r="Y2">
        <v>3</v>
      </c>
      <c r="Z2">
        <v>11.1</v>
      </c>
      <c r="AA2">
        <v>33.299999999999997</v>
      </c>
      <c r="AB2">
        <v>14.83</v>
      </c>
      <c r="AC2" s="12" t="str">
        <f>VLOOKUP(B:B,'Name Bridge'!A:B,2,FALSE)</f>
        <v>NO</v>
      </c>
      <c r="AD2" s="36">
        <f>Team_Defense_Table__CY[[#This Row],[Passing Yds]]/Team_Defense_Table__CY[[#This Row],[Passing Att]]</f>
        <v>5.3142857142857141</v>
      </c>
      <c r="AE2" s="12">
        <f>_xlfn.RANK.EQ(Team_Defense_Table__CY[[#This Row],[Passing Yds]],Team_Defense_Table__CY[Passing Yds],1)</f>
        <v>7</v>
      </c>
      <c r="AF2" s="36">
        <f>Team_Defense_Table__CY[[#This Row],[Rushing Yds]]/Team_Defense_Table__CY[[#This Row],[Rushing Att]]</f>
        <v>2.8666666666666667</v>
      </c>
      <c r="AG2" s="12">
        <f>_xlfn.RANK.EQ(Team_Defense_Table__CY[[#This Row],[Rushing Yds]],Team_Defense_Table__CY[Rushing Yds],1)</f>
        <v>1</v>
      </c>
      <c r="AH2" s="36">
        <f>Team_Defense_Table__CY[[#This Row],[Passing Yds]]/Team_Defense_Table__CY[[#This Row],[Passing Cmp]]</f>
        <v>9.3000000000000007</v>
      </c>
    </row>
    <row r="3" spans="1:34" x14ac:dyDescent="0.2">
      <c r="A3">
        <v>2</v>
      </c>
      <c r="B3" t="s">
        <v>691</v>
      </c>
      <c r="C3">
        <v>1</v>
      </c>
      <c r="D3">
        <v>6</v>
      </c>
      <c r="E3">
        <v>260</v>
      </c>
      <c r="F3">
        <v>64</v>
      </c>
      <c r="G3">
        <v>4.0999999999999996</v>
      </c>
      <c r="I3">
        <v>0</v>
      </c>
      <c r="J3">
        <v>19</v>
      </c>
      <c r="K3">
        <v>21</v>
      </c>
      <c r="L3">
        <v>35</v>
      </c>
      <c r="M3">
        <v>136</v>
      </c>
      <c r="N3">
        <v>0</v>
      </c>
      <c r="O3">
        <v>0</v>
      </c>
      <c r="P3">
        <v>3.6</v>
      </c>
      <c r="Q3">
        <v>8</v>
      </c>
      <c r="R3">
        <v>26</v>
      </c>
      <c r="S3">
        <v>124</v>
      </c>
      <c r="T3">
        <v>0</v>
      </c>
      <c r="U3">
        <v>4.8</v>
      </c>
      <c r="V3">
        <v>7</v>
      </c>
      <c r="W3">
        <v>12</v>
      </c>
      <c r="X3">
        <v>99</v>
      </c>
      <c r="Y3">
        <v>4</v>
      </c>
      <c r="Z3">
        <v>18.2</v>
      </c>
      <c r="AA3">
        <v>0</v>
      </c>
      <c r="AB3">
        <v>12.48</v>
      </c>
      <c r="AC3" s="12" t="str">
        <f>VLOOKUP(B:B,'Name Bridge'!A:B,2,FALSE)</f>
        <v>PHI</v>
      </c>
      <c r="AD3" s="36">
        <f>Team_Defense_Table__CY[[#This Row],[Passing Yds]]/Team_Defense_Table__CY[[#This Row],[Passing Att]]</f>
        <v>3.8857142857142857</v>
      </c>
      <c r="AE3" s="12">
        <f>_xlfn.RANK.EQ(Team_Defense_Table__CY[[#This Row],[Passing Yds]],Team_Defense_Table__CY[Passing Yds],1)</f>
        <v>2</v>
      </c>
      <c r="AF3" s="36">
        <f>Team_Defense_Table__CY[[#This Row],[Rushing Yds]]/Team_Defense_Table__CY[[#This Row],[Rushing Att]]</f>
        <v>4.7692307692307692</v>
      </c>
      <c r="AG3" s="12">
        <f>_xlfn.RANK.EQ(Team_Defense_Table__CY[[#This Row],[Rushing Yds]],Team_Defense_Table__CY[Rushing Yds],1)</f>
        <v>19</v>
      </c>
      <c r="AH3" s="36">
        <f>Team_Defense_Table__CY[[#This Row],[Passing Yds]]/Team_Defense_Table__CY[[#This Row],[Passing Cmp]]</f>
        <v>6.4761904761904763</v>
      </c>
    </row>
    <row r="4" spans="1:34" x14ac:dyDescent="0.2">
      <c r="A4">
        <v>3</v>
      </c>
      <c r="B4" t="s">
        <v>698</v>
      </c>
      <c r="C4">
        <v>1</v>
      </c>
      <c r="D4">
        <v>13</v>
      </c>
      <c r="E4">
        <v>248</v>
      </c>
      <c r="F4">
        <v>64</v>
      </c>
      <c r="G4">
        <v>3.9</v>
      </c>
      <c r="H4">
        <v>3</v>
      </c>
      <c r="I4">
        <v>2</v>
      </c>
      <c r="J4">
        <v>17</v>
      </c>
      <c r="K4">
        <v>22</v>
      </c>
      <c r="L4">
        <v>36</v>
      </c>
      <c r="M4">
        <v>162</v>
      </c>
      <c r="N4">
        <v>1</v>
      </c>
      <c r="O4">
        <v>1</v>
      </c>
      <c r="P4">
        <v>3.9</v>
      </c>
      <c r="Q4">
        <v>12</v>
      </c>
      <c r="R4">
        <v>22</v>
      </c>
      <c r="S4">
        <v>86</v>
      </c>
      <c r="T4">
        <v>1</v>
      </c>
      <c r="U4">
        <v>3.9</v>
      </c>
      <c r="V4">
        <v>5</v>
      </c>
      <c r="W4">
        <v>7</v>
      </c>
      <c r="X4">
        <v>57</v>
      </c>
      <c r="Z4">
        <v>16.7</v>
      </c>
      <c r="AA4">
        <v>25</v>
      </c>
      <c r="AB4">
        <v>6.62</v>
      </c>
      <c r="AC4" s="12" t="str">
        <f>VLOOKUP(B:B,'Name Bridge'!A:B,2,FALSE)</f>
        <v>ARI</v>
      </c>
      <c r="AD4" s="36">
        <f>Team_Defense_Table__CY[[#This Row],[Passing Yds]]/Team_Defense_Table__CY[[#This Row],[Passing Att]]</f>
        <v>4.5</v>
      </c>
      <c r="AE4" s="12">
        <f>_xlfn.RANK.EQ(Team_Defense_Table__CY[[#This Row],[Passing Yds]],Team_Defense_Table__CY[Passing Yds],1)</f>
        <v>4</v>
      </c>
      <c r="AF4" s="36">
        <f>Team_Defense_Table__CY[[#This Row],[Rushing Yds]]/Team_Defense_Table__CY[[#This Row],[Rushing Att]]</f>
        <v>3.9090909090909092</v>
      </c>
      <c r="AG4" s="12">
        <f>_xlfn.RANK.EQ(Team_Defense_Table__CY[[#This Row],[Rushing Yds]],Team_Defense_Table__CY[Rushing Yds],1)</f>
        <v>13</v>
      </c>
      <c r="AH4" s="36">
        <f>Team_Defense_Table__CY[[#This Row],[Passing Yds]]/Team_Defense_Table__CY[[#This Row],[Passing Cmp]]</f>
        <v>7.3636363636363633</v>
      </c>
    </row>
    <row r="5" spans="1:34" x14ac:dyDescent="0.2">
      <c r="A5">
        <v>4</v>
      </c>
      <c r="B5" t="s">
        <v>642</v>
      </c>
      <c r="C5">
        <v>1</v>
      </c>
      <c r="D5">
        <v>13</v>
      </c>
      <c r="E5">
        <v>314</v>
      </c>
      <c r="F5">
        <v>59</v>
      </c>
      <c r="G5">
        <v>5.3</v>
      </c>
      <c r="H5">
        <v>1</v>
      </c>
      <c r="I5">
        <v>1</v>
      </c>
      <c r="J5">
        <v>19</v>
      </c>
      <c r="K5">
        <v>22</v>
      </c>
      <c r="L5">
        <v>37</v>
      </c>
      <c r="M5">
        <v>254</v>
      </c>
      <c r="N5">
        <v>1</v>
      </c>
      <c r="O5">
        <v>0</v>
      </c>
      <c r="P5">
        <v>6.5</v>
      </c>
      <c r="Q5">
        <v>13</v>
      </c>
      <c r="R5">
        <v>20</v>
      </c>
      <c r="S5">
        <v>60</v>
      </c>
      <c r="T5">
        <v>1</v>
      </c>
      <c r="U5">
        <v>3</v>
      </c>
      <c r="V5">
        <v>3</v>
      </c>
      <c r="W5">
        <v>4</v>
      </c>
      <c r="X5">
        <v>48</v>
      </c>
      <c r="Y5">
        <v>3</v>
      </c>
      <c r="Z5">
        <v>22.2</v>
      </c>
      <c r="AA5">
        <v>11.1</v>
      </c>
      <c r="AB5">
        <v>-3.89</v>
      </c>
      <c r="AC5" s="12" t="str">
        <f>VLOOKUP(B:B,'Name Bridge'!A:B,2,FALSE)</f>
        <v>DEN</v>
      </c>
      <c r="AD5" s="36">
        <f>Team_Defense_Table__CY[[#This Row],[Passing Yds]]/Team_Defense_Table__CY[[#This Row],[Passing Att]]</f>
        <v>6.8648648648648649</v>
      </c>
      <c r="AE5" s="12">
        <f>_xlfn.RANK.EQ(Team_Defense_Table__CY[[#This Row],[Passing Yds]],Team_Defense_Table__CY[Passing Yds],1)</f>
        <v>14</v>
      </c>
      <c r="AF5" s="36">
        <f>Team_Defense_Table__CY[[#This Row],[Rushing Yds]]/Team_Defense_Table__CY[[#This Row],[Rushing Att]]</f>
        <v>3</v>
      </c>
      <c r="AG5" s="12">
        <f>_xlfn.RANK.EQ(Team_Defense_Table__CY[[#This Row],[Rushing Yds]],Team_Defense_Table__CY[Rushing Yds],1)</f>
        <v>4</v>
      </c>
      <c r="AH5" s="36">
        <f>Team_Defense_Table__CY[[#This Row],[Passing Yds]]/Team_Defense_Table__CY[[#This Row],[Passing Cmp]]</f>
        <v>11.545454545454545</v>
      </c>
    </row>
    <row r="6" spans="1:34" x14ac:dyDescent="0.2">
      <c r="A6">
        <v>5</v>
      </c>
      <c r="B6" t="s">
        <v>401</v>
      </c>
      <c r="C6">
        <v>1</v>
      </c>
      <c r="D6">
        <v>14</v>
      </c>
      <c r="E6">
        <v>252</v>
      </c>
      <c r="F6">
        <v>60</v>
      </c>
      <c r="G6">
        <v>4.2</v>
      </c>
      <c r="H6">
        <v>1</v>
      </c>
      <c r="I6">
        <v>0</v>
      </c>
      <c r="J6">
        <v>16</v>
      </c>
      <c r="K6">
        <v>20</v>
      </c>
      <c r="L6">
        <v>37</v>
      </c>
      <c r="M6">
        <v>207</v>
      </c>
      <c r="N6">
        <v>2</v>
      </c>
      <c r="O6">
        <v>1</v>
      </c>
      <c r="P6">
        <v>4.8</v>
      </c>
      <c r="Q6">
        <v>10</v>
      </c>
      <c r="R6">
        <v>17</v>
      </c>
      <c r="S6">
        <v>45</v>
      </c>
      <c r="T6">
        <v>0</v>
      </c>
      <c r="U6">
        <v>2.6</v>
      </c>
      <c r="V6">
        <v>4</v>
      </c>
      <c r="W6">
        <v>5</v>
      </c>
      <c r="X6">
        <v>30</v>
      </c>
      <c r="Y6">
        <v>2</v>
      </c>
      <c r="Z6">
        <v>16.7</v>
      </c>
      <c r="AA6">
        <v>8.3000000000000007</v>
      </c>
      <c r="AB6">
        <v>10</v>
      </c>
      <c r="AC6" s="12" t="str">
        <f>VLOOKUP(B:B,'Name Bridge'!A:B,2,FALSE)</f>
        <v>CAR</v>
      </c>
      <c r="AD6" s="36">
        <f>Team_Defense_Table__CY[[#This Row],[Passing Yds]]/Team_Defense_Table__CY[[#This Row],[Passing Att]]</f>
        <v>5.5945945945945947</v>
      </c>
      <c r="AE6" s="12">
        <f>_xlfn.RANK.EQ(Team_Defense_Table__CY[[#This Row],[Passing Yds]],Team_Defense_Table__CY[Passing Yds],1)</f>
        <v>9</v>
      </c>
      <c r="AF6" s="36">
        <f>Team_Defense_Table__CY[[#This Row],[Rushing Yds]]/Team_Defense_Table__CY[[#This Row],[Rushing Att]]</f>
        <v>2.6470588235294117</v>
      </c>
      <c r="AG6" s="12">
        <f>_xlfn.RANK.EQ(Team_Defense_Table__CY[[#This Row],[Rushing Yds]],Team_Defense_Table__CY[Rushing Yds],1)</f>
        <v>2</v>
      </c>
      <c r="AH6" s="36">
        <f>Team_Defense_Table__CY[[#This Row],[Passing Yds]]/Team_Defense_Table__CY[[#This Row],[Passing Cmp]]</f>
        <v>10.35</v>
      </c>
    </row>
    <row r="7" spans="1:34" x14ac:dyDescent="0.2">
      <c r="A7">
        <v>6</v>
      </c>
      <c r="B7" t="s">
        <v>878</v>
      </c>
      <c r="C7">
        <v>1</v>
      </c>
      <c r="D7">
        <v>14</v>
      </c>
      <c r="E7">
        <v>325</v>
      </c>
      <c r="F7">
        <v>69</v>
      </c>
      <c r="G7">
        <v>4.7</v>
      </c>
      <c r="H7">
        <v>2</v>
      </c>
      <c r="I7">
        <v>1</v>
      </c>
      <c r="J7">
        <v>24</v>
      </c>
      <c r="K7">
        <v>29</v>
      </c>
      <c r="L7">
        <v>40</v>
      </c>
      <c r="M7">
        <v>188</v>
      </c>
      <c r="N7">
        <v>0</v>
      </c>
      <c r="O7">
        <v>1</v>
      </c>
      <c r="P7">
        <v>4.4000000000000004</v>
      </c>
      <c r="Q7">
        <v>13</v>
      </c>
      <c r="R7">
        <v>26</v>
      </c>
      <c r="S7">
        <v>137</v>
      </c>
      <c r="T7">
        <v>2</v>
      </c>
      <c r="U7">
        <v>5.3</v>
      </c>
      <c r="V7">
        <v>10</v>
      </c>
      <c r="W7">
        <v>3</v>
      </c>
      <c r="X7">
        <v>35</v>
      </c>
      <c r="Y7">
        <v>1</v>
      </c>
      <c r="Z7">
        <v>25</v>
      </c>
      <c r="AA7">
        <v>25</v>
      </c>
      <c r="AB7">
        <v>0.85</v>
      </c>
      <c r="AC7" s="12" t="str">
        <f>VLOOKUP(B:B,'Name Bridge'!A:B,2,FALSE)</f>
        <v>LAR</v>
      </c>
      <c r="AD7" s="36">
        <f>Team_Defense_Table__CY[[#This Row],[Passing Yds]]/Team_Defense_Table__CY[[#This Row],[Passing Att]]</f>
        <v>4.7</v>
      </c>
      <c r="AE7" s="12">
        <f>_xlfn.RANK.EQ(Team_Defense_Table__CY[[#This Row],[Passing Yds]],Team_Defense_Table__CY[Passing Yds],1)</f>
        <v>8</v>
      </c>
      <c r="AF7" s="36">
        <f>Team_Defense_Table__CY[[#This Row],[Rushing Yds]]/Team_Defense_Table__CY[[#This Row],[Rushing Att]]</f>
        <v>5.2692307692307692</v>
      </c>
      <c r="AG7" s="12">
        <f>_xlfn.RANK.EQ(Team_Defense_Table__CY[[#This Row],[Rushing Yds]],Team_Defense_Table__CY[Rushing Yds],1)</f>
        <v>24</v>
      </c>
      <c r="AH7" s="36">
        <f>Team_Defense_Table__CY[[#This Row],[Passing Yds]]/Team_Defense_Table__CY[[#This Row],[Passing Cmp]]</f>
        <v>6.4827586206896548</v>
      </c>
    </row>
    <row r="8" spans="1:34" x14ac:dyDescent="0.2">
      <c r="A8">
        <v>7</v>
      </c>
      <c r="B8" t="s">
        <v>349</v>
      </c>
      <c r="C8">
        <v>1</v>
      </c>
      <c r="D8">
        <v>16</v>
      </c>
      <c r="E8">
        <v>336</v>
      </c>
      <c r="F8">
        <v>71</v>
      </c>
      <c r="G8">
        <v>4.7</v>
      </c>
      <c r="H8">
        <v>1</v>
      </c>
      <c r="I8">
        <v>1</v>
      </c>
      <c r="J8">
        <v>23</v>
      </c>
      <c r="K8">
        <v>25</v>
      </c>
      <c r="L8">
        <v>38</v>
      </c>
      <c r="M8">
        <v>223</v>
      </c>
      <c r="N8">
        <v>2</v>
      </c>
      <c r="O8">
        <v>0</v>
      </c>
      <c r="P8">
        <v>5.4</v>
      </c>
      <c r="Q8">
        <v>14</v>
      </c>
      <c r="R8">
        <v>30</v>
      </c>
      <c r="S8">
        <v>113</v>
      </c>
      <c r="T8">
        <v>0</v>
      </c>
      <c r="U8">
        <v>3.8</v>
      </c>
      <c r="V8">
        <v>8</v>
      </c>
      <c r="W8">
        <v>2</v>
      </c>
      <c r="X8">
        <v>16</v>
      </c>
      <c r="Y8">
        <v>1</v>
      </c>
      <c r="Z8">
        <v>27.3</v>
      </c>
      <c r="AA8">
        <v>9.1</v>
      </c>
      <c r="AB8">
        <v>-3.07</v>
      </c>
      <c r="AC8" s="12" t="str">
        <f>VLOOKUP(B:B,'Name Bridge'!A:B,2,FALSE)</f>
        <v>SEA</v>
      </c>
      <c r="AD8" s="36">
        <f>Team_Defense_Table__CY[[#This Row],[Passing Yds]]/Team_Defense_Table__CY[[#This Row],[Passing Att]]</f>
        <v>5.8684210526315788</v>
      </c>
      <c r="AE8" s="12">
        <f>_xlfn.RANK.EQ(Team_Defense_Table__CY[[#This Row],[Passing Yds]],Team_Defense_Table__CY[Passing Yds],1)</f>
        <v>12</v>
      </c>
      <c r="AF8" s="36">
        <f>Team_Defense_Table__CY[[#This Row],[Rushing Yds]]/Team_Defense_Table__CY[[#This Row],[Rushing Att]]</f>
        <v>3.7666666666666666</v>
      </c>
      <c r="AG8" s="12">
        <f>_xlfn.RANK.EQ(Team_Defense_Table__CY[[#This Row],[Rushing Yds]],Team_Defense_Table__CY[Rushing Yds],1)</f>
        <v>16</v>
      </c>
      <c r="AH8" s="36">
        <f>Team_Defense_Table__CY[[#This Row],[Passing Yds]]/Team_Defense_Table__CY[[#This Row],[Passing Cmp]]</f>
        <v>8.92</v>
      </c>
    </row>
    <row r="9" spans="1:34" x14ac:dyDescent="0.2">
      <c r="A9">
        <v>8</v>
      </c>
      <c r="B9" t="s">
        <v>621</v>
      </c>
      <c r="C9">
        <v>1</v>
      </c>
      <c r="D9">
        <v>16</v>
      </c>
      <c r="E9">
        <v>259</v>
      </c>
      <c r="F9">
        <v>49</v>
      </c>
      <c r="G9">
        <v>5.3</v>
      </c>
      <c r="H9">
        <v>1</v>
      </c>
      <c r="I9">
        <v>1</v>
      </c>
      <c r="J9">
        <v>15</v>
      </c>
      <c r="K9">
        <v>14</v>
      </c>
      <c r="L9">
        <v>21</v>
      </c>
      <c r="M9">
        <v>133</v>
      </c>
      <c r="N9">
        <v>1</v>
      </c>
      <c r="O9">
        <v>0</v>
      </c>
      <c r="P9">
        <v>6</v>
      </c>
      <c r="Q9">
        <v>6</v>
      </c>
      <c r="R9">
        <v>27</v>
      </c>
      <c r="S9">
        <v>126</v>
      </c>
      <c r="T9">
        <v>0</v>
      </c>
      <c r="U9">
        <v>4.7</v>
      </c>
      <c r="V9">
        <v>6</v>
      </c>
      <c r="W9">
        <v>8</v>
      </c>
      <c r="X9">
        <v>57</v>
      </c>
      <c r="Y9">
        <v>3</v>
      </c>
      <c r="Z9">
        <v>44.4</v>
      </c>
      <c r="AA9">
        <v>11.1</v>
      </c>
      <c r="AB9">
        <v>-1.45</v>
      </c>
      <c r="AC9" s="12" t="str">
        <f>VLOOKUP(B:B,'Name Bridge'!A:B,2,FALSE)</f>
        <v>LAC</v>
      </c>
      <c r="AD9" s="36">
        <f>Team_Defense_Table__CY[[#This Row],[Passing Yds]]/Team_Defense_Table__CY[[#This Row],[Passing Att]]</f>
        <v>6.333333333333333</v>
      </c>
      <c r="AE9" s="12">
        <f>_xlfn.RANK.EQ(Team_Defense_Table__CY[[#This Row],[Passing Yds]],Team_Defense_Table__CY[Passing Yds],1)</f>
        <v>1</v>
      </c>
      <c r="AF9" s="36">
        <f>Team_Defense_Table__CY[[#This Row],[Rushing Yds]]/Team_Defense_Table__CY[[#This Row],[Rushing Att]]</f>
        <v>4.666666666666667</v>
      </c>
      <c r="AG9" s="12">
        <f>_xlfn.RANK.EQ(Team_Defense_Table__CY[[#This Row],[Rushing Yds]],Team_Defense_Table__CY[Rushing Yds],1)</f>
        <v>21</v>
      </c>
      <c r="AH9" s="36">
        <f>Team_Defense_Table__CY[[#This Row],[Passing Yds]]/Team_Defense_Table__CY[[#This Row],[Passing Cmp]]</f>
        <v>9.5</v>
      </c>
    </row>
    <row r="10" spans="1:34" x14ac:dyDescent="0.2">
      <c r="A10">
        <v>9</v>
      </c>
      <c r="B10" t="s">
        <v>666</v>
      </c>
      <c r="C10">
        <v>1</v>
      </c>
      <c r="D10">
        <v>16</v>
      </c>
      <c r="E10">
        <v>371</v>
      </c>
      <c r="F10">
        <v>79</v>
      </c>
      <c r="G10">
        <v>4.7</v>
      </c>
      <c r="H10">
        <v>1</v>
      </c>
      <c r="I10">
        <v>1</v>
      </c>
      <c r="J10">
        <v>22</v>
      </c>
      <c r="K10">
        <v>30</v>
      </c>
      <c r="L10">
        <v>51</v>
      </c>
      <c r="M10">
        <v>254</v>
      </c>
      <c r="N10">
        <v>1</v>
      </c>
      <c r="O10">
        <v>0</v>
      </c>
      <c r="P10">
        <v>4.7</v>
      </c>
      <c r="Q10">
        <v>13</v>
      </c>
      <c r="R10">
        <v>25</v>
      </c>
      <c r="S10">
        <v>117</v>
      </c>
      <c r="T10">
        <v>0</v>
      </c>
      <c r="U10">
        <v>4.7</v>
      </c>
      <c r="V10">
        <v>8</v>
      </c>
      <c r="W10">
        <v>8</v>
      </c>
      <c r="X10">
        <v>81</v>
      </c>
      <c r="Y10">
        <v>1</v>
      </c>
      <c r="Z10">
        <v>36.4</v>
      </c>
      <c r="AA10">
        <v>9.1</v>
      </c>
      <c r="AB10">
        <v>3.55</v>
      </c>
      <c r="AC10" s="12" t="str">
        <f>VLOOKUP(B:B,'Name Bridge'!A:B,2,FALSE)</f>
        <v>PIT</v>
      </c>
      <c r="AD10" s="36">
        <f>Team_Defense_Table__CY[[#This Row],[Passing Yds]]/Team_Defense_Table__CY[[#This Row],[Passing Att]]</f>
        <v>4.9803921568627452</v>
      </c>
      <c r="AE10" s="12">
        <f>_xlfn.RANK.EQ(Team_Defense_Table__CY[[#This Row],[Passing Yds]],Team_Defense_Table__CY[Passing Yds],1)</f>
        <v>14</v>
      </c>
      <c r="AF10" s="36">
        <f>Team_Defense_Table__CY[[#This Row],[Rushing Yds]]/Team_Defense_Table__CY[[#This Row],[Rushing Att]]</f>
        <v>4.68</v>
      </c>
      <c r="AG10" s="12">
        <f>_xlfn.RANK.EQ(Team_Defense_Table__CY[[#This Row],[Rushing Yds]],Team_Defense_Table__CY[Rushing Yds],1)</f>
        <v>18</v>
      </c>
      <c r="AH10" s="36">
        <f>Team_Defense_Table__CY[[#This Row],[Passing Yds]]/Team_Defense_Table__CY[[#This Row],[Passing Cmp]]</f>
        <v>8.4666666666666668</v>
      </c>
    </row>
    <row r="11" spans="1:34" x14ac:dyDescent="0.2">
      <c r="A11">
        <v>10</v>
      </c>
      <c r="B11" t="s">
        <v>664</v>
      </c>
      <c r="C11">
        <v>1</v>
      </c>
      <c r="D11">
        <v>16</v>
      </c>
      <c r="E11">
        <v>393</v>
      </c>
      <c r="F11">
        <v>70</v>
      </c>
      <c r="G11">
        <v>5.6</v>
      </c>
      <c r="H11">
        <v>2</v>
      </c>
      <c r="I11">
        <v>2</v>
      </c>
      <c r="J11">
        <v>24</v>
      </c>
      <c r="K11">
        <v>29</v>
      </c>
      <c r="L11">
        <v>39</v>
      </c>
      <c r="M11">
        <v>268</v>
      </c>
      <c r="N11">
        <v>1</v>
      </c>
      <c r="O11">
        <v>0</v>
      </c>
      <c r="P11">
        <v>6.7</v>
      </c>
      <c r="Q11">
        <v>14</v>
      </c>
      <c r="R11">
        <v>30</v>
      </c>
      <c r="S11">
        <v>125</v>
      </c>
      <c r="T11">
        <v>0</v>
      </c>
      <c r="U11">
        <v>4.2</v>
      </c>
      <c r="V11">
        <v>8</v>
      </c>
      <c r="W11">
        <v>8</v>
      </c>
      <c r="X11">
        <v>84</v>
      </c>
      <c r="Y11">
        <v>2</v>
      </c>
      <c r="Z11">
        <v>50</v>
      </c>
      <c r="AA11">
        <v>25</v>
      </c>
      <c r="AB11">
        <v>-5.75</v>
      </c>
      <c r="AC11" s="12" t="str">
        <f>VLOOKUP(B:B,'Name Bridge'!A:B,2,FALSE)</f>
        <v>MIA</v>
      </c>
      <c r="AD11" s="36">
        <f>Team_Defense_Table__CY[[#This Row],[Passing Yds]]/Team_Defense_Table__CY[[#This Row],[Passing Att]]</f>
        <v>6.8717948717948714</v>
      </c>
      <c r="AE11" s="12">
        <f>_xlfn.RANK.EQ(Team_Defense_Table__CY[[#This Row],[Passing Yds]],Team_Defense_Table__CY[Passing Yds],1)</f>
        <v>18</v>
      </c>
      <c r="AF11" s="36">
        <f>Team_Defense_Table__CY[[#This Row],[Rushing Yds]]/Team_Defense_Table__CY[[#This Row],[Rushing Att]]</f>
        <v>4.166666666666667</v>
      </c>
      <c r="AG11" s="12">
        <f>_xlfn.RANK.EQ(Team_Defense_Table__CY[[#This Row],[Rushing Yds]],Team_Defense_Table__CY[Rushing Yds],1)</f>
        <v>20</v>
      </c>
      <c r="AH11" s="36">
        <f>Team_Defense_Table__CY[[#This Row],[Passing Yds]]/Team_Defense_Table__CY[[#This Row],[Passing Cmp]]</f>
        <v>9.2413793103448274</v>
      </c>
    </row>
    <row r="12" spans="1:34" x14ac:dyDescent="0.2">
      <c r="A12">
        <v>11</v>
      </c>
      <c r="B12" t="s">
        <v>614</v>
      </c>
      <c r="C12">
        <v>1</v>
      </c>
      <c r="D12">
        <v>17</v>
      </c>
      <c r="E12">
        <v>259</v>
      </c>
      <c r="F12">
        <v>52</v>
      </c>
      <c r="G12">
        <v>5</v>
      </c>
      <c r="H12">
        <v>1</v>
      </c>
      <c r="I12">
        <v>0</v>
      </c>
      <c r="J12">
        <v>16</v>
      </c>
      <c r="K12">
        <v>16</v>
      </c>
      <c r="L12">
        <v>27</v>
      </c>
      <c r="M12">
        <v>185</v>
      </c>
      <c r="N12">
        <v>1</v>
      </c>
      <c r="O12">
        <v>1</v>
      </c>
      <c r="P12">
        <v>6.4</v>
      </c>
      <c r="Q12">
        <v>9</v>
      </c>
      <c r="R12">
        <v>23</v>
      </c>
      <c r="S12">
        <v>74</v>
      </c>
      <c r="T12">
        <v>1</v>
      </c>
      <c r="U12">
        <v>3.2</v>
      </c>
      <c r="V12">
        <v>7</v>
      </c>
      <c r="W12">
        <v>5</v>
      </c>
      <c r="X12">
        <v>28</v>
      </c>
      <c r="Z12">
        <v>33.299999999999997</v>
      </c>
      <c r="AA12">
        <v>11.1</v>
      </c>
      <c r="AB12">
        <v>0.74</v>
      </c>
      <c r="AC12" s="12" t="str">
        <f>VLOOKUP(B:B,'Name Bridge'!A:B,2,FALSE)</f>
        <v>NE</v>
      </c>
      <c r="AD12" s="36">
        <f>Team_Defense_Table__CY[[#This Row],[Passing Yds]]/Team_Defense_Table__CY[[#This Row],[Passing Att]]</f>
        <v>6.8518518518518521</v>
      </c>
      <c r="AE12" s="12">
        <f>_xlfn.RANK.EQ(Team_Defense_Table__CY[[#This Row],[Passing Yds]],Team_Defense_Table__CY[Passing Yds],1)</f>
        <v>6</v>
      </c>
      <c r="AF12" s="36">
        <f>Team_Defense_Table__CY[[#This Row],[Rushing Yds]]/Team_Defense_Table__CY[[#This Row],[Rushing Att]]</f>
        <v>3.2173913043478262</v>
      </c>
      <c r="AG12" s="12">
        <f>_xlfn.RANK.EQ(Team_Defense_Table__CY[[#This Row],[Rushing Yds]],Team_Defense_Table__CY[Rushing Yds],1)</f>
        <v>8</v>
      </c>
      <c r="AH12" s="36">
        <f>Team_Defense_Table__CY[[#This Row],[Passing Yds]]/Team_Defense_Table__CY[[#This Row],[Passing Cmp]]</f>
        <v>11.5625</v>
      </c>
    </row>
    <row r="13" spans="1:34" x14ac:dyDescent="0.2">
      <c r="A13">
        <v>12</v>
      </c>
      <c r="B13" t="s">
        <v>697</v>
      </c>
      <c r="C13">
        <v>1</v>
      </c>
      <c r="D13">
        <v>19</v>
      </c>
      <c r="E13">
        <v>381</v>
      </c>
      <c r="F13">
        <v>63</v>
      </c>
      <c r="G13">
        <v>6</v>
      </c>
      <c r="H13">
        <v>1</v>
      </c>
      <c r="I13">
        <v>1</v>
      </c>
      <c r="J13">
        <v>18</v>
      </c>
      <c r="K13">
        <v>24</v>
      </c>
      <c r="L13">
        <v>35</v>
      </c>
      <c r="M13">
        <v>270</v>
      </c>
      <c r="N13">
        <v>1</v>
      </c>
      <c r="O13">
        <v>0</v>
      </c>
      <c r="P13">
        <v>7.5</v>
      </c>
      <c r="Q13">
        <v>14</v>
      </c>
      <c r="R13">
        <v>27</v>
      </c>
      <c r="S13">
        <v>111</v>
      </c>
      <c r="T13">
        <v>1</v>
      </c>
      <c r="U13">
        <v>4.0999999999999996</v>
      </c>
      <c r="V13">
        <v>4</v>
      </c>
      <c r="W13">
        <v>6</v>
      </c>
      <c r="X13">
        <v>38</v>
      </c>
      <c r="Z13">
        <v>33.299999999999997</v>
      </c>
      <c r="AA13">
        <v>8.3000000000000007</v>
      </c>
      <c r="AB13">
        <v>-1.31</v>
      </c>
      <c r="AC13" s="12" t="str">
        <f>VLOOKUP(B:B,'Name Bridge'!A:B,2,FALSE)</f>
        <v>NYJ</v>
      </c>
      <c r="AD13" s="36">
        <f>Team_Defense_Table__CY[[#This Row],[Passing Yds]]/Team_Defense_Table__CY[[#This Row],[Passing Att]]</f>
        <v>7.7142857142857144</v>
      </c>
      <c r="AE13" s="12">
        <f>_xlfn.RANK.EQ(Team_Defense_Table__CY[[#This Row],[Passing Yds]],Team_Defense_Table__CY[Passing Yds],1)</f>
        <v>19</v>
      </c>
      <c r="AF13" s="36">
        <f>Team_Defense_Table__CY[[#This Row],[Rushing Yds]]/Team_Defense_Table__CY[[#This Row],[Rushing Att]]</f>
        <v>4.1111111111111107</v>
      </c>
      <c r="AG13" s="12">
        <f>_xlfn.RANK.EQ(Team_Defense_Table__CY[[#This Row],[Rushing Yds]],Team_Defense_Table__CY[Rushing Yds],1)</f>
        <v>15</v>
      </c>
      <c r="AH13" s="36">
        <f>Team_Defense_Table__CY[[#This Row],[Passing Yds]]/Team_Defense_Table__CY[[#This Row],[Passing Cmp]]</f>
        <v>11.25</v>
      </c>
    </row>
    <row r="14" spans="1:34" x14ac:dyDescent="0.2">
      <c r="A14">
        <v>13</v>
      </c>
      <c r="B14" t="s">
        <v>629</v>
      </c>
      <c r="C14">
        <v>1</v>
      </c>
      <c r="D14">
        <v>20</v>
      </c>
      <c r="E14">
        <v>424</v>
      </c>
      <c r="F14">
        <v>78</v>
      </c>
      <c r="G14">
        <v>5.4</v>
      </c>
      <c r="H14">
        <v>2</v>
      </c>
      <c r="I14">
        <v>1</v>
      </c>
      <c r="J14">
        <v>27</v>
      </c>
      <c r="K14">
        <v>31</v>
      </c>
      <c r="L14">
        <v>47</v>
      </c>
      <c r="M14">
        <v>334</v>
      </c>
      <c r="N14">
        <v>1</v>
      </c>
      <c r="O14">
        <v>1</v>
      </c>
      <c r="P14">
        <v>6.8</v>
      </c>
      <c r="Q14">
        <v>20</v>
      </c>
      <c r="R14">
        <v>29</v>
      </c>
      <c r="S14">
        <v>90</v>
      </c>
      <c r="T14">
        <v>1</v>
      </c>
      <c r="U14">
        <v>3.1</v>
      </c>
      <c r="V14">
        <v>6</v>
      </c>
      <c r="W14">
        <v>6</v>
      </c>
      <c r="X14">
        <v>94</v>
      </c>
      <c r="Y14">
        <v>1</v>
      </c>
      <c r="Z14">
        <v>44.4</v>
      </c>
      <c r="AA14">
        <v>22.2</v>
      </c>
      <c r="AB14">
        <v>-9.4499999999999993</v>
      </c>
      <c r="AC14" s="12" t="str">
        <f>VLOOKUP(B:B,'Name Bridge'!A:B,2,FALSE)</f>
        <v>WAS</v>
      </c>
      <c r="AD14" s="36">
        <f>Team_Defense_Table__CY[[#This Row],[Passing Yds]]/Team_Defense_Table__CY[[#This Row],[Passing Att]]</f>
        <v>7.1063829787234045</v>
      </c>
      <c r="AE14" s="12">
        <f>_xlfn.RANK.EQ(Team_Defense_Table__CY[[#This Row],[Passing Yds]],Team_Defense_Table__CY[Passing Yds],1)</f>
        <v>28</v>
      </c>
      <c r="AF14" s="36">
        <f>Team_Defense_Table__CY[[#This Row],[Rushing Yds]]/Team_Defense_Table__CY[[#This Row],[Rushing Att]]</f>
        <v>3.103448275862069</v>
      </c>
      <c r="AG14" s="12">
        <f>_xlfn.RANK.EQ(Team_Defense_Table__CY[[#This Row],[Rushing Yds]],Team_Defense_Table__CY[Rushing Yds],1)</f>
        <v>14</v>
      </c>
      <c r="AH14" s="36">
        <f>Team_Defense_Table__CY[[#This Row],[Passing Yds]]/Team_Defense_Table__CY[[#This Row],[Passing Cmp]]</f>
        <v>10.774193548387096</v>
      </c>
    </row>
    <row r="15" spans="1:34" x14ac:dyDescent="0.2">
      <c r="A15">
        <v>14</v>
      </c>
      <c r="B15" t="s">
        <v>699</v>
      </c>
      <c r="C15">
        <v>1</v>
      </c>
      <c r="D15">
        <v>21</v>
      </c>
      <c r="E15">
        <v>395</v>
      </c>
      <c r="F15">
        <v>68</v>
      </c>
      <c r="G15">
        <v>5.8</v>
      </c>
      <c r="H15">
        <v>3</v>
      </c>
      <c r="I15">
        <v>0</v>
      </c>
      <c r="J15">
        <v>20</v>
      </c>
      <c r="K15">
        <v>28</v>
      </c>
      <c r="L15">
        <v>51</v>
      </c>
      <c r="M15">
        <v>319</v>
      </c>
      <c r="N15">
        <v>3</v>
      </c>
      <c r="O15">
        <v>3</v>
      </c>
      <c r="P15">
        <v>6.1</v>
      </c>
      <c r="Q15">
        <v>13</v>
      </c>
      <c r="R15">
        <v>16</v>
      </c>
      <c r="S15">
        <v>76</v>
      </c>
      <c r="T15">
        <v>0</v>
      </c>
      <c r="U15">
        <v>4.8</v>
      </c>
      <c r="V15">
        <v>5</v>
      </c>
      <c r="W15">
        <v>10</v>
      </c>
      <c r="X15">
        <v>82</v>
      </c>
      <c r="Y15">
        <v>2</v>
      </c>
      <c r="Z15">
        <v>21.4</v>
      </c>
      <c r="AA15">
        <v>21.4</v>
      </c>
      <c r="AB15">
        <v>1.54</v>
      </c>
      <c r="AC15" s="12" t="str">
        <f>VLOOKUP(B:B,'Name Bridge'!A:B,2,FALSE)</f>
        <v>HOU</v>
      </c>
      <c r="AD15" s="36">
        <f>Team_Defense_Table__CY[[#This Row],[Passing Yds]]/Team_Defense_Table__CY[[#This Row],[Passing Att]]</f>
        <v>6.2549019607843137</v>
      </c>
      <c r="AE15" s="12">
        <f>_xlfn.RANK.EQ(Team_Defense_Table__CY[[#This Row],[Passing Yds]],Team_Defense_Table__CY[Passing Yds],1)</f>
        <v>26</v>
      </c>
      <c r="AF15" s="36">
        <f>Team_Defense_Table__CY[[#This Row],[Rushing Yds]]/Team_Defense_Table__CY[[#This Row],[Rushing Att]]</f>
        <v>4.75</v>
      </c>
      <c r="AG15" s="12">
        <f>_xlfn.RANK.EQ(Team_Defense_Table__CY[[#This Row],[Rushing Yds]],Team_Defense_Table__CY[Rushing Yds],1)</f>
        <v>11</v>
      </c>
      <c r="AH15" s="36">
        <f>Team_Defense_Table__CY[[#This Row],[Passing Yds]]/Team_Defense_Table__CY[[#This Row],[Passing Cmp]]</f>
        <v>11.392857142857142</v>
      </c>
    </row>
    <row r="16" spans="1:34" x14ac:dyDescent="0.2">
      <c r="A16">
        <v>15</v>
      </c>
      <c r="B16" t="s">
        <v>694</v>
      </c>
      <c r="C16">
        <v>1</v>
      </c>
      <c r="D16">
        <v>23</v>
      </c>
      <c r="E16">
        <v>252</v>
      </c>
      <c r="F16">
        <v>55</v>
      </c>
      <c r="G16">
        <v>4.5999999999999996</v>
      </c>
      <c r="I16">
        <v>0</v>
      </c>
      <c r="J16">
        <v>16</v>
      </c>
      <c r="K16">
        <v>18</v>
      </c>
      <c r="L16">
        <v>32</v>
      </c>
      <c r="M16">
        <v>177</v>
      </c>
      <c r="N16">
        <v>1</v>
      </c>
      <c r="O16">
        <v>0</v>
      </c>
      <c r="P16">
        <v>5.2</v>
      </c>
      <c r="Q16">
        <v>9</v>
      </c>
      <c r="R16">
        <v>21</v>
      </c>
      <c r="S16">
        <v>75</v>
      </c>
      <c r="T16">
        <v>0</v>
      </c>
      <c r="U16">
        <v>3.6</v>
      </c>
      <c r="V16">
        <v>4</v>
      </c>
      <c r="W16">
        <v>5</v>
      </c>
      <c r="X16">
        <v>32</v>
      </c>
      <c r="Y16">
        <v>3</v>
      </c>
      <c r="Z16">
        <v>36.4</v>
      </c>
      <c r="AA16">
        <v>0</v>
      </c>
      <c r="AB16">
        <v>0.54</v>
      </c>
      <c r="AC16" s="12" t="str">
        <f>VLOOKUP(B:B,'Name Bridge'!A:B,2,FALSE)</f>
        <v>BUF</v>
      </c>
      <c r="AD16" s="36">
        <f>Team_Defense_Table__CY[[#This Row],[Passing Yds]]/Team_Defense_Table__CY[[#This Row],[Passing Att]]</f>
        <v>5.53125</v>
      </c>
      <c r="AE16" s="12">
        <f>_xlfn.RANK.EQ(Team_Defense_Table__CY[[#This Row],[Passing Yds]],Team_Defense_Table__CY[Passing Yds],1)</f>
        <v>5</v>
      </c>
      <c r="AF16" s="36">
        <f>Team_Defense_Table__CY[[#This Row],[Rushing Yds]]/Team_Defense_Table__CY[[#This Row],[Rushing Att]]</f>
        <v>3.5714285714285716</v>
      </c>
      <c r="AG16" s="12">
        <f>_xlfn.RANK.EQ(Team_Defense_Table__CY[[#This Row],[Rushing Yds]],Team_Defense_Table__CY[Rushing Yds],1)</f>
        <v>10</v>
      </c>
      <c r="AH16" s="36">
        <f>Team_Defense_Table__CY[[#This Row],[Passing Yds]]/Team_Defense_Table__CY[[#This Row],[Passing Cmp]]</f>
        <v>9.8333333333333339</v>
      </c>
    </row>
    <row r="17" spans="1:34" x14ac:dyDescent="0.2">
      <c r="A17">
        <v>16</v>
      </c>
      <c r="B17" t="s">
        <v>702</v>
      </c>
      <c r="C17">
        <v>1</v>
      </c>
      <c r="D17">
        <v>24</v>
      </c>
      <c r="E17">
        <v>403</v>
      </c>
      <c r="F17">
        <v>75</v>
      </c>
      <c r="G17">
        <v>5.4</v>
      </c>
      <c r="H17">
        <v>1</v>
      </c>
      <c r="I17">
        <v>1</v>
      </c>
      <c r="J17">
        <v>24</v>
      </c>
      <c r="K17">
        <v>37</v>
      </c>
      <c r="L17">
        <v>50</v>
      </c>
      <c r="M17">
        <v>336</v>
      </c>
      <c r="N17">
        <v>2</v>
      </c>
      <c r="O17">
        <v>0</v>
      </c>
      <c r="P17">
        <v>6.3</v>
      </c>
      <c r="Q17">
        <v>16</v>
      </c>
      <c r="R17">
        <v>22</v>
      </c>
      <c r="S17">
        <v>67</v>
      </c>
      <c r="T17">
        <v>1</v>
      </c>
      <c r="U17">
        <v>3</v>
      </c>
      <c r="V17">
        <v>5</v>
      </c>
      <c r="W17">
        <v>12</v>
      </c>
      <c r="X17">
        <v>116</v>
      </c>
      <c r="Y17">
        <v>3</v>
      </c>
      <c r="Z17">
        <v>30.8</v>
      </c>
      <c r="AA17">
        <v>7.7</v>
      </c>
      <c r="AB17">
        <v>-2.9</v>
      </c>
      <c r="AC17" s="12" t="str">
        <f>VLOOKUP(B:B,'Name Bridge'!A:B,2,FALSE)</f>
        <v>CIN</v>
      </c>
      <c r="AD17" s="36">
        <f>Team_Defense_Table__CY[[#This Row],[Passing Yds]]/Team_Defense_Table__CY[[#This Row],[Passing Att]]</f>
        <v>6.72</v>
      </c>
      <c r="AE17" s="12">
        <f>_xlfn.RANK.EQ(Team_Defense_Table__CY[[#This Row],[Passing Yds]],Team_Defense_Table__CY[Passing Yds],1)</f>
        <v>29</v>
      </c>
      <c r="AF17" s="36">
        <f>Team_Defense_Table__CY[[#This Row],[Rushing Yds]]/Team_Defense_Table__CY[[#This Row],[Rushing Att]]</f>
        <v>3.0454545454545454</v>
      </c>
      <c r="AG17" s="12">
        <f>_xlfn.RANK.EQ(Team_Defense_Table__CY[[#This Row],[Rushing Yds]],Team_Defense_Table__CY[Rushing Yds],1)</f>
        <v>6</v>
      </c>
      <c r="AH17" s="36">
        <f>Team_Defense_Table__CY[[#This Row],[Passing Yds]]/Team_Defense_Table__CY[[#This Row],[Passing Cmp]]</f>
        <v>9.0810810810810807</v>
      </c>
    </row>
    <row r="18" spans="1:34" x14ac:dyDescent="0.2">
      <c r="A18">
        <v>17</v>
      </c>
      <c r="B18" t="s">
        <v>690</v>
      </c>
      <c r="C18">
        <v>1</v>
      </c>
      <c r="D18">
        <v>27</v>
      </c>
      <c r="E18">
        <v>366</v>
      </c>
      <c r="F18">
        <v>68</v>
      </c>
      <c r="G18">
        <v>5.4</v>
      </c>
      <c r="I18">
        <v>0</v>
      </c>
      <c r="J18">
        <v>20</v>
      </c>
      <c r="K18">
        <v>20</v>
      </c>
      <c r="L18">
        <v>27</v>
      </c>
      <c r="M18">
        <v>217</v>
      </c>
      <c r="N18">
        <v>2</v>
      </c>
      <c r="O18">
        <v>0</v>
      </c>
      <c r="P18">
        <v>6.8</v>
      </c>
      <c r="Q18">
        <v>12</v>
      </c>
      <c r="R18">
        <v>36</v>
      </c>
      <c r="S18">
        <v>149</v>
      </c>
      <c r="T18">
        <v>1</v>
      </c>
      <c r="U18">
        <v>4.0999999999999996</v>
      </c>
      <c r="V18">
        <v>7</v>
      </c>
      <c r="W18">
        <v>3</v>
      </c>
      <c r="X18">
        <v>15</v>
      </c>
      <c r="Y18">
        <v>1</v>
      </c>
      <c r="Z18">
        <v>38.5</v>
      </c>
      <c r="AA18">
        <v>0</v>
      </c>
      <c r="AB18">
        <v>-6.16</v>
      </c>
      <c r="AC18" s="12" t="str">
        <f>VLOOKUP(B:B,'Name Bridge'!A:B,2,FALSE)</f>
        <v>MIN</v>
      </c>
      <c r="AD18" s="36">
        <f>Team_Defense_Table__CY[[#This Row],[Passing Yds]]/Team_Defense_Table__CY[[#This Row],[Passing Att]]</f>
        <v>8.0370370370370363</v>
      </c>
      <c r="AE18" s="12">
        <f>_xlfn.RANK.EQ(Team_Defense_Table__CY[[#This Row],[Passing Yds]],Team_Defense_Table__CY[Passing Yds],1)</f>
        <v>10</v>
      </c>
      <c r="AF18" s="36">
        <f>Team_Defense_Table__CY[[#This Row],[Rushing Yds]]/Team_Defense_Table__CY[[#This Row],[Rushing Att]]</f>
        <v>4.1388888888888893</v>
      </c>
      <c r="AG18" s="12">
        <f>_xlfn.RANK.EQ(Team_Defense_Table__CY[[#This Row],[Rushing Yds]],Team_Defense_Table__CY[Rushing Yds],1)</f>
        <v>26</v>
      </c>
      <c r="AH18" s="36">
        <f>Team_Defense_Table__CY[[#This Row],[Passing Yds]]/Team_Defense_Table__CY[[#This Row],[Passing Cmp]]</f>
        <v>10.85</v>
      </c>
    </row>
    <row r="19" spans="1:34" x14ac:dyDescent="0.2">
      <c r="A19">
        <v>18</v>
      </c>
      <c r="B19" t="s">
        <v>879</v>
      </c>
      <c r="C19">
        <v>1</v>
      </c>
      <c r="D19">
        <v>27</v>
      </c>
      <c r="E19">
        <v>406</v>
      </c>
      <c r="F19">
        <v>67</v>
      </c>
      <c r="G19">
        <v>6.1</v>
      </c>
      <c r="H19">
        <v>2</v>
      </c>
      <c r="I19">
        <v>2</v>
      </c>
      <c r="J19">
        <v>20</v>
      </c>
      <c r="K19">
        <v>19</v>
      </c>
      <c r="L19">
        <v>30</v>
      </c>
      <c r="M19">
        <v>217</v>
      </c>
      <c r="N19">
        <v>1</v>
      </c>
      <c r="O19">
        <v>0</v>
      </c>
      <c r="P19">
        <v>6.6</v>
      </c>
      <c r="Q19">
        <v>11</v>
      </c>
      <c r="R19">
        <v>34</v>
      </c>
      <c r="S19">
        <v>189</v>
      </c>
      <c r="T19">
        <v>2</v>
      </c>
      <c r="U19">
        <v>5.6</v>
      </c>
      <c r="V19">
        <v>8</v>
      </c>
      <c r="W19">
        <v>5</v>
      </c>
      <c r="X19">
        <v>71</v>
      </c>
      <c r="Y19">
        <v>1</v>
      </c>
      <c r="Z19">
        <v>38.5</v>
      </c>
      <c r="AA19">
        <v>15.4</v>
      </c>
      <c r="AB19">
        <v>-3</v>
      </c>
      <c r="AC19" s="12" t="str">
        <f>VLOOKUP(B:B,'Name Bridge'!A:B,2,FALSE)</f>
        <v>LV</v>
      </c>
      <c r="AD19" s="36">
        <f>Team_Defense_Table__CY[[#This Row],[Passing Yds]]/Team_Defense_Table__CY[[#This Row],[Passing Att]]</f>
        <v>7.2333333333333334</v>
      </c>
      <c r="AE19" s="12">
        <f>_xlfn.RANK.EQ(Team_Defense_Table__CY[[#This Row],[Passing Yds]],Team_Defense_Table__CY[Passing Yds],1)</f>
        <v>10</v>
      </c>
      <c r="AF19" s="36">
        <f>Team_Defense_Table__CY[[#This Row],[Rushing Yds]]/Team_Defense_Table__CY[[#This Row],[Rushing Att]]</f>
        <v>5.5588235294117645</v>
      </c>
      <c r="AG19" s="12">
        <f>_xlfn.RANK.EQ(Team_Defense_Table__CY[[#This Row],[Rushing Yds]],Team_Defense_Table__CY[Rushing Yds],1)</f>
        <v>32</v>
      </c>
      <c r="AH19" s="36">
        <f>Team_Defense_Table__CY[[#This Row],[Passing Yds]]/Team_Defense_Table__CY[[#This Row],[Passing Cmp]]</f>
        <v>11.421052631578947</v>
      </c>
    </row>
    <row r="20" spans="1:34" x14ac:dyDescent="0.2">
      <c r="A20">
        <v>19</v>
      </c>
      <c r="B20" t="s">
        <v>693</v>
      </c>
      <c r="C20">
        <v>1</v>
      </c>
      <c r="D20">
        <v>27</v>
      </c>
      <c r="E20">
        <v>420</v>
      </c>
      <c r="F20">
        <v>66</v>
      </c>
      <c r="G20">
        <v>6.4</v>
      </c>
      <c r="H20">
        <v>1</v>
      </c>
      <c r="I20">
        <v>1</v>
      </c>
      <c r="J20">
        <v>24</v>
      </c>
      <c r="K20">
        <v>28</v>
      </c>
      <c r="L20">
        <v>36</v>
      </c>
      <c r="M20">
        <v>255</v>
      </c>
      <c r="N20">
        <v>2</v>
      </c>
      <c r="O20">
        <v>0</v>
      </c>
      <c r="P20">
        <v>6.7</v>
      </c>
      <c r="Q20">
        <v>17</v>
      </c>
      <c r="R20">
        <v>28</v>
      </c>
      <c r="S20">
        <v>165</v>
      </c>
      <c r="T20">
        <v>1</v>
      </c>
      <c r="U20">
        <v>5.9</v>
      </c>
      <c r="V20">
        <v>4</v>
      </c>
      <c r="W20">
        <v>5</v>
      </c>
      <c r="X20">
        <v>51</v>
      </c>
      <c r="Y20">
        <v>3</v>
      </c>
      <c r="Z20">
        <v>62.5</v>
      </c>
      <c r="AA20">
        <v>12.5</v>
      </c>
      <c r="AB20">
        <v>-20.309999999999999</v>
      </c>
      <c r="AC20" s="12" t="str">
        <f>VLOOKUP(B:B,'Name Bridge'!A:B,2,FALSE)</f>
        <v>NYG</v>
      </c>
      <c r="AD20" s="36">
        <f>Team_Defense_Table__CY[[#This Row],[Passing Yds]]/Team_Defense_Table__CY[[#This Row],[Passing Att]]</f>
        <v>7.083333333333333</v>
      </c>
      <c r="AE20" s="12">
        <f>_xlfn.RANK.EQ(Team_Defense_Table__CY[[#This Row],[Passing Yds]],Team_Defense_Table__CY[Passing Yds],1)</f>
        <v>16</v>
      </c>
      <c r="AF20" s="36">
        <f>Team_Defense_Table__CY[[#This Row],[Rushing Yds]]/Team_Defense_Table__CY[[#This Row],[Rushing Att]]</f>
        <v>5.8928571428571432</v>
      </c>
      <c r="AG20" s="12">
        <f>_xlfn.RANK.EQ(Team_Defense_Table__CY[[#This Row],[Rushing Yds]],Team_Defense_Table__CY[Rushing Yds],1)</f>
        <v>29</v>
      </c>
      <c r="AH20" s="36">
        <f>Team_Defense_Table__CY[[#This Row],[Passing Yds]]/Team_Defense_Table__CY[[#This Row],[Passing Cmp]]</f>
        <v>9.1071428571428577</v>
      </c>
    </row>
    <row r="21" spans="1:34" x14ac:dyDescent="0.2">
      <c r="A21">
        <v>20</v>
      </c>
      <c r="B21" t="s">
        <v>643</v>
      </c>
      <c r="C21">
        <v>1</v>
      </c>
      <c r="D21">
        <v>28</v>
      </c>
      <c r="E21">
        <v>381</v>
      </c>
      <c r="F21">
        <v>53</v>
      </c>
      <c r="G21">
        <v>7.2</v>
      </c>
      <c r="H21">
        <v>1</v>
      </c>
      <c r="I21">
        <v>1</v>
      </c>
      <c r="J21">
        <v>18</v>
      </c>
      <c r="K21">
        <v>18</v>
      </c>
      <c r="L21">
        <v>23</v>
      </c>
      <c r="M21">
        <v>241</v>
      </c>
      <c r="N21">
        <v>4</v>
      </c>
      <c r="O21">
        <v>0</v>
      </c>
      <c r="P21">
        <v>9.3000000000000007</v>
      </c>
      <c r="Q21">
        <v>12</v>
      </c>
      <c r="R21">
        <v>27</v>
      </c>
      <c r="S21">
        <v>140</v>
      </c>
      <c r="T21">
        <v>0</v>
      </c>
      <c r="U21">
        <v>5.2</v>
      </c>
      <c r="V21">
        <v>6</v>
      </c>
      <c r="W21">
        <v>7</v>
      </c>
      <c r="X21">
        <v>53</v>
      </c>
      <c r="Z21">
        <v>40</v>
      </c>
      <c r="AA21">
        <v>10</v>
      </c>
      <c r="AB21">
        <v>-14.35</v>
      </c>
      <c r="AC21" s="12" t="str">
        <f>VLOOKUP(B:B,'Name Bridge'!A:B,2,FALSE)</f>
        <v>IND</v>
      </c>
      <c r="AD21" s="36">
        <f>Team_Defense_Table__CY[[#This Row],[Passing Yds]]/Team_Defense_Table__CY[[#This Row],[Passing Att]]</f>
        <v>10.478260869565217</v>
      </c>
      <c r="AE21" s="12">
        <f>_xlfn.RANK.EQ(Team_Defense_Table__CY[[#This Row],[Passing Yds]],Team_Defense_Table__CY[Passing Yds],1)</f>
        <v>13</v>
      </c>
      <c r="AF21" s="36">
        <f>Team_Defense_Table__CY[[#This Row],[Rushing Yds]]/Team_Defense_Table__CY[[#This Row],[Rushing Att]]</f>
        <v>5.1851851851851851</v>
      </c>
      <c r="AG21" s="12">
        <f>_xlfn.RANK.EQ(Team_Defense_Table__CY[[#This Row],[Rushing Yds]],Team_Defense_Table__CY[Rushing Yds],1)</f>
        <v>25</v>
      </c>
      <c r="AH21" s="36">
        <f>Team_Defense_Table__CY[[#This Row],[Passing Yds]]/Team_Defense_Table__CY[[#This Row],[Passing Cmp]]</f>
        <v>13.388888888888889</v>
      </c>
    </row>
    <row r="22" spans="1:34" x14ac:dyDescent="0.2">
      <c r="A22">
        <v>21</v>
      </c>
      <c r="B22" t="s">
        <v>695</v>
      </c>
      <c r="C22">
        <v>1</v>
      </c>
      <c r="D22">
        <v>29</v>
      </c>
      <c r="E22">
        <v>457</v>
      </c>
      <c r="F22">
        <v>56</v>
      </c>
      <c r="G22">
        <v>8.1999999999999993</v>
      </c>
      <c r="H22">
        <v>2</v>
      </c>
      <c r="I22">
        <v>1</v>
      </c>
      <c r="J22">
        <v>24</v>
      </c>
      <c r="K22">
        <v>21</v>
      </c>
      <c r="L22">
        <v>28</v>
      </c>
      <c r="M22">
        <v>304</v>
      </c>
      <c r="N22">
        <v>0</v>
      </c>
      <c r="O22">
        <v>1</v>
      </c>
      <c r="P22">
        <v>10.1</v>
      </c>
      <c r="Q22">
        <v>14</v>
      </c>
      <c r="R22">
        <v>26</v>
      </c>
      <c r="S22">
        <v>153</v>
      </c>
      <c r="T22">
        <v>4</v>
      </c>
      <c r="U22">
        <v>5.9</v>
      </c>
      <c r="V22">
        <v>9</v>
      </c>
      <c r="W22">
        <v>5</v>
      </c>
      <c r="X22">
        <v>30</v>
      </c>
      <c r="Y22">
        <v>1</v>
      </c>
      <c r="Z22">
        <v>44.4</v>
      </c>
      <c r="AA22">
        <v>22.2</v>
      </c>
      <c r="AB22">
        <v>-20.54</v>
      </c>
      <c r="AC22" s="12" t="str">
        <f>VLOOKUP(B:B,'Name Bridge'!A:B,2,FALSE)</f>
        <v>KC</v>
      </c>
      <c r="AD22" s="36">
        <f>Team_Defense_Table__CY[[#This Row],[Passing Yds]]/Team_Defense_Table__CY[[#This Row],[Passing Att]]</f>
        <v>10.857142857142858</v>
      </c>
      <c r="AE22" s="12">
        <f>_xlfn.RANK.EQ(Team_Defense_Table__CY[[#This Row],[Passing Yds]],Team_Defense_Table__CY[Passing Yds],1)</f>
        <v>22</v>
      </c>
      <c r="AF22" s="36">
        <f>Team_Defense_Table__CY[[#This Row],[Rushing Yds]]/Team_Defense_Table__CY[[#This Row],[Rushing Att]]</f>
        <v>5.884615384615385</v>
      </c>
      <c r="AG22" s="12">
        <f>_xlfn.RANK.EQ(Team_Defense_Table__CY[[#This Row],[Rushing Yds]],Team_Defense_Table__CY[Rushing Yds],1)</f>
        <v>27</v>
      </c>
      <c r="AH22" s="36">
        <f>Team_Defense_Table__CY[[#This Row],[Passing Yds]]/Team_Defense_Table__CY[[#This Row],[Passing Cmp]]</f>
        <v>14.476190476190476</v>
      </c>
    </row>
    <row r="23" spans="1:34" x14ac:dyDescent="0.2">
      <c r="A23">
        <v>22</v>
      </c>
      <c r="B23" t="s">
        <v>880</v>
      </c>
      <c r="C23">
        <v>1</v>
      </c>
      <c r="D23">
        <v>29</v>
      </c>
      <c r="E23">
        <v>451</v>
      </c>
      <c r="F23">
        <v>77</v>
      </c>
      <c r="G23">
        <v>5.9</v>
      </c>
      <c r="H23">
        <v>1</v>
      </c>
      <c r="I23">
        <v>0</v>
      </c>
      <c r="J23">
        <v>30</v>
      </c>
      <c r="K23">
        <v>42</v>
      </c>
      <c r="L23">
        <v>58</v>
      </c>
      <c r="M23">
        <v>391</v>
      </c>
      <c r="N23">
        <v>3</v>
      </c>
      <c r="O23">
        <v>1</v>
      </c>
      <c r="P23">
        <v>6.6</v>
      </c>
      <c r="Q23">
        <v>21</v>
      </c>
      <c r="R23">
        <v>18</v>
      </c>
      <c r="S23">
        <v>60</v>
      </c>
      <c r="T23">
        <v>0</v>
      </c>
      <c r="U23">
        <v>3.3</v>
      </c>
      <c r="V23">
        <v>4</v>
      </c>
      <c r="W23">
        <v>8</v>
      </c>
      <c r="X23">
        <v>55</v>
      </c>
      <c r="Y23">
        <v>5</v>
      </c>
      <c r="Z23">
        <v>46.2</v>
      </c>
      <c r="AA23">
        <v>7.7</v>
      </c>
      <c r="AB23">
        <v>-13.67</v>
      </c>
      <c r="AC23" s="12" t="str">
        <f>VLOOKUP(B:B,'Name Bridge'!A:B,2,FALSE)</f>
        <v>TB</v>
      </c>
      <c r="AD23" s="36">
        <f>Team_Defense_Table__CY[[#This Row],[Passing Yds]]/Team_Defense_Table__CY[[#This Row],[Passing Att]]</f>
        <v>6.7413793103448274</v>
      </c>
      <c r="AE23" s="12">
        <f>_xlfn.RANK.EQ(Team_Defense_Table__CY[[#This Row],[Passing Yds]],Team_Defense_Table__CY[Passing Yds],1)</f>
        <v>31</v>
      </c>
      <c r="AF23" s="36">
        <f>Team_Defense_Table__CY[[#This Row],[Rushing Yds]]/Team_Defense_Table__CY[[#This Row],[Rushing Att]]</f>
        <v>3.3333333333333335</v>
      </c>
      <c r="AG23" s="12">
        <f>_xlfn.RANK.EQ(Team_Defense_Table__CY[[#This Row],[Rushing Yds]],Team_Defense_Table__CY[Rushing Yds],1)</f>
        <v>4</v>
      </c>
      <c r="AH23" s="36">
        <f>Team_Defense_Table__CY[[#This Row],[Passing Yds]]/Team_Defense_Table__CY[[#This Row],[Passing Cmp]]</f>
        <v>9.3095238095238102</v>
      </c>
    </row>
    <row r="24" spans="1:34" x14ac:dyDescent="0.2">
      <c r="A24">
        <v>23</v>
      </c>
      <c r="B24" t="s">
        <v>877</v>
      </c>
      <c r="C24">
        <v>1</v>
      </c>
      <c r="D24">
        <v>31</v>
      </c>
      <c r="E24">
        <v>431</v>
      </c>
      <c r="F24">
        <v>64</v>
      </c>
      <c r="G24">
        <v>6.7</v>
      </c>
      <c r="H24">
        <v>4</v>
      </c>
      <c r="I24">
        <v>2</v>
      </c>
      <c r="J24">
        <v>24</v>
      </c>
      <c r="K24">
        <v>32</v>
      </c>
      <c r="L24">
        <v>50</v>
      </c>
      <c r="M24">
        <v>379</v>
      </c>
      <c r="N24">
        <v>4</v>
      </c>
      <c r="O24">
        <v>2</v>
      </c>
      <c r="P24">
        <v>7.6</v>
      </c>
      <c r="Q24">
        <v>22</v>
      </c>
      <c r="R24">
        <v>14</v>
      </c>
      <c r="S24">
        <v>52</v>
      </c>
      <c r="T24">
        <v>0</v>
      </c>
      <c r="U24">
        <v>3.7</v>
      </c>
      <c r="V24">
        <v>1</v>
      </c>
      <c r="W24">
        <v>11</v>
      </c>
      <c r="X24">
        <v>106</v>
      </c>
      <c r="Y24">
        <v>1</v>
      </c>
      <c r="Z24">
        <v>38.5</v>
      </c>
      <c r="AA24">
        <v>30.8</v>
      </c>
      <c r="AB24">
        <v>-9.3699999999999992</v>
      </c>
      <c r="AC24" s="12" t="str">
        <f>VLOOKUP(B:B,'Name Bridge'!A:B,2,FALSE)</f>
        <v>DAL</v>
      </c>
      <c r="AD24" s="36">
        <f>Team_Defense_Table__CY[[#This Row],[Passing Yds]]/Team_Defense_Table__CY[[#This Row],[Passing Att]]</f>
        <v>7.58</v>
      </c>
      <c r="AE24" s="12">
        <f>_xlfn.RANK.EQ(Team_Defense_Table__CY[[#This Row],[Passing Yds]],Team_Defense_Table__CY[Passing Yds],1)</f>
        <v>30</v>
      </c>
      <c r="AF24" s="36">
        <f>Team_Defense_Table__CY[[#This Row],[Rushing Yds]]/Team_Defense_Table__CY[[#This Row],[Rushing Att]]</f>
        <v>3.7142857142857144</v>
      </c>
      <c r="AG24" s="12">
        <f>_xlfn.RANK.EQ(Team_Defense_Table__CY[[#This Row],[Rushing Yds]],Team_Defense_Table__CY[Rushing Yds],1)</f>
        <v>3</v>
      </c>
      <c r="AH24" s="36">
        <f>Team_Defense_Table__CY[[#This Row],[Passing Yds]]/Team_Defense_Table__CY[[#This Row],[Passing Cmp]]</f>
        <v>11.84375</v>
      </c>
    </row>
    <row r="25" spans="1:34" x14ac:dyDescent="0.2">
      <c r="A25">
        <v>24</v>
      </c>
      <c r="B25" t="s">
        <v>688</v>
      </c>
      <c r="C25">
        <v>1</v>
      </c>
      <c r="D25">
        <v>32</v>
      </c>
      <c r="E25">
        <v>429</v>
      </c>
      <c r="F25">
        <v>70</v>
      </c>
      <c r="G25">
        <v>6.1</v>
      </c>
      <c r="I25">
        <v>0</v>
      </c>
      <c r="J25">
        <v>24</v>
      </c>
      <c r="K25">
        <v>27</v>
      </c>
      <c r="L25">
        <v>35</v>
      </c>
      <c r="M25">
        <v>261</v>
      </c>
      <c r="N25">
        <v>3</v>
      </c>
      <c r="O25">
        <v>0</v>
      </c>
      <c r="P25">
        <v>7.3</v>
      </c>
      <c r="Q25">
        <v>13</v>
      </c>
      <c r="R25">
        <v>34</v>
      </c>
      <c r="S25">
        <v>168</v>
      </c>
      <c r="T25">
        <v>1</v>
      </c>
      <c r="U25">
        <v>4.9000000000000004</v>
      </c>
      <c r="V25">
        <v>10</v>
      </c>
      <c r="W25">
        <v>14</v>
      </c>
      <c r="X25">
        <v>89</v>
      </c>
      <c r="Y25">
        <v>1</v>
      </c>
      <c r="Z25">
        <v>45.5</v>
      </c>
      <c r="AA25">
        <v>0</v>
      </c>
      <c r="AB25">
        <v>-13.14</v>
      </c>
      <c r="AC25" s="12" t="str">
        <f>VLOOKUP(B:B,'Name Bridge'!A:B,2,FALSE)</f>
        <v>ATL</v>
      </c>
      <c r="AD25" s="36">
        <f>Team_Defense_Table__CY[[#This Row],[Passing Yds]]/Team_Defense_Table__CY[[#This Row],[Passing Att]]</f>
        <v>7.4571428571428573</v>
      </c>
      <c r="AE25" s="12">
        <f>_xlfn.RANK.EQ(Team_Defense_Table__CY[[#This Row],[Passing Yds]],Team_Defense_Table__CY[Passing Yds],1)</f>
        <v>17</v>
      </c>
      <c r="AF25" s="36">
        <f>Team_Defense_Table__CY[[#This Row],[Rushing Yds]]/Team_Defense_Table__CY[[#This Row],[Rushing Att]]</f>
        <v>4.9411764705882355</v>
      </c>
      <c r="AG25" s="12">
        <f>_xlfn.RANK.EQ(Team_Defense_Table__CY[[#This Row],[Rushing Yds]],Team_Defense_Table__CY[Rushing Yds],1)</f>
        <v>30</v>
      </c>
      <c r="AH25" s="36">
        <f>Team_Defense_Table__CY[[#This Row],[Passing Yds]]/Team_Defense_Table__CY[[#This Row],[Passing Cmp]]</f>
        <v>9.6666666666666661</v>
      </c>
    </row>
    <row r="26" spans="1:34" x14ac:dyDescent="0.2">
      <c r="A26">
        <v>25</v>
      </c>
      <c r="B26" t="s">
        <v>701</v>
      </c>
      <c r="C26">
        <v>1</v>
      </c>
      <c r="D26">
        <v>33</v>
      </c>
      <c r="E26">
        <v>397</v>
      </c>
      <c r="F26">
        <v>61</v>
      </c>
      <c r="G26">
        <v>6.5</v>
      </c>
      <c r="I26">
        <v>0</v>
      </c>
      <c r="J26">
        <v>21</v>
      </c>
      <c r="K26">
        <v>27</v>
      </c>
      <c r="L26">
        <v>36</v>
      </c>
      <c r="M26">
        <v>324</v>
      </c>
      <c r="N26">
        <v>3</v>
      </c>
      <c r="O26">
        <v>0</v>
      </c>
      <c r="P26">
        <v>8.5</v>
      </c>
      <c r="Q26">
        <v>17</v>
      </c>
      <c r="R26">
        <v>23</v>
      </c>
      <c r="S26">
        <v>73</v>
      </c>
      <c r="T26">
        <v>1</v>
      </c>
      <c r="U26">
        <v>3.2</v>
      </c>
      <c r="V26">
        <v>4</v>
      </c>
      <c r="W26">
        <v>5</v>
      </c>
      <c r="X26">
        <v>36</v>
      </c>
      <c r="Z26">
        <v>66.7</v>
      </c>
      <c r="AA26">
        <v>0</v>
      </c>
      <c r="AB26">
        <v>-19.34</v>
      </c>
      <c r="AC26" s="12" t="str">
        <f>VLOOKUP(B:B,'Name Bridge'!A:B,2,FALSE)</f>
        <v>CLE</v>
      </c>
      <c r="AD26" s="36">
        <f>Team_Defense_Table__CY[[#This Row],[Passing Yds]]/Team_Defense_Table__CY[[#This Row],[Passing Att]]</f>
        <v>9</v>
      </c>
      <c r="AE26" s="12">
        <f>_xlfn.RANK.EQ(Team_Defense_Table__CY[[#This Row],[Passing Yds]],Team_Defense_Table__CY[Passing Yds],1)</f>
        <v>27</v>
      </c>
      <c r="AF26" s="36">
        <f>Team_Defense_Table__CY[[#This Row],[Rushing Yds]]/Team_Defense_Table__CY[[#This Row],[Rushing Att]]</f>
        <v>3.1739130434782608</v>
      </c>
      <c r="AG26" s="12">
        <f>_xlfn.RANK.EQ(Team_Defense_Table__CY[[#This Row],[Rushing Yds]],Team_Defense_Table__CY[Rushing Yds],1)</f>
        <v>7</v>
      </c>
      <c r="AH26" s="36">
        <f>Team_Defense_Table__CY[[#This Row],[Passing Yds]]/Team_Defense_Table__CY[[#This Row],[Passing Cmp]]</f>
        <v>12</v>
      </c>
    </row>
    <row r="27" spans="1:34" x14ac:dyDescent="0.2">
      <c r="A27">
        <v>26</v>
      </c>
      <c r="B27" t="s">
        <v>813</v>
      </c>
      <c r="C27">
        <v>1</v>
      </c>
      <c r="D27">
        <v>33</v>
      </c>
      <c r="E27">
        <v>491</v>
      </c>
      <c r="F27">
        <v>80</v>
      </c>
      <c r="G27">
        <v>6.1</v>
      </c>
      <c r="H27">
        <v>1</v>
      </c>
      <c r="I27">
        <v>0</v>
      </c>
      <c r="J27">
        <v>26</v>
      </c>
      <c r="K27">
        <v>34</v>
      </c>
      <c r="L27">
        <v>56</v>
      </c>
      <c r="M27">
        <v>409</v>
      </c>
      <c r="N27">
        <v>2</v>
      </c>
      <c r="O27">
        <v>1</v>
      </c>
      <c r="P27">
        <v>6.9</v>
      </c>
      <c r="Q27">
        <v>17</v>
      </c>
      <c r="R27">
        <v>21</v>
      </c>
      <c r="S27">
        <v>82</v>
      </c>
      <c r="T27">
        <v>2</v>
      </c>
      <c r="U27">
        <v>3.9</v>
      </c>
      <c r="V27">
        <v>6</v>
      </c>
      <c r="W27">
        <v>10</v>
      </c>
      <c r="X27">
        <v>62</v>
      </c>
      <c r="Y27">
        <v>3</v>
      </c>
      <c r="Z27">
        <v>42.9</v>
      </c>
      <c r="AA27">
        <v>7.1</v>
      </c>
      <c r="AB27">
        <v>-11.58</v>
      </c>
      <c r="AC27" s="12" t="str">
        <f>VLOOKUP(B:B,'Name Bridge'!A:B,2,FALSE)</f>
        <v>BAL</v>
      </c>
      <c r="AD27" s="36">
        <f>Team_Defense_Table__CY[[#This Row],[Passing Yds]]/Team_Defense_Table__CY[[#This Row],[Passing Att]]</f>
        <v>7.3035714285714288</v>
      </c>
      <c r="AE27" s="12">
        <f>_xlfn.RANK.EQ(Team_Defense_Table__CY[[#This Row],[Passing Yds]],Team_Defense_Table__CY[Passing Yds],1)</f>
        <v>32</v>
      </c>
      <c r="AF27" s="36">
        <f>Team_Defense_Table__CY[[#This Row],[Rushing Yds]]/Team_Defense_Table__CY[[#This Row],[Rushing Att]]</f>
        <v>3.9047619047619047</v>
      </c>
      <c r="AG27" s="12">
        <f>_xlfn.RANK.EQ(Team_Defense_Table__CY[[#This Row],[Rushing Yds]],Team_Defense_Table__CY[Rushing Yds],1)</f>
        <v>12</v>
      </c>
      <c r="AH27" s="36">
        <f>Team_Defense_Table__CY[[#This Row],[Passing Yds]]/Team_Defense_Table__CY[[#This Row],[Passing Cmp]]</f>
        <v>12.029411764705882</v>
      </c>
    </row>
    <row r="28" spans="1:34" x14ac:dyDescent="0.2">
      <c r="A28">
        <v>27</v>
      </c>
      <c r="B28" t="s">
        <v>309</v>
      </c>
      <c r="C28">
        <v>1</v>
      </c>
      <c r="D28">
        <v>33</v>
      </c>
      <c r="E28">
        <v>430</v>
      </c>
      <c r="F28">
        <v>84</v>
      </c>
      <c r="G28">
        <v>5.0999999999999996</v>
      </c>
      <c r="H28">
        <v>1</v>
      </c>
      <c r="I28">
        <v>0</v>
      </c>
      <c r="J28">
        <v>31</v>
      </c>
      <c r="K28">
        <v>38</v>
      </c>
      <c r="L28">
        <v>57</v>
      </c>
      <c r="M28">
        <v>314</v>
      </c>
      <c r="N28">
        <v>3</v>
      </c>
      <c r="O28">
        <v>1</v>
      </c>
      <c r="P28">
        <v>5.2</v>
      </c>
      <c r="Q28">
        <v>19</v>
      </c>
      <c r="R28">
        <v>24</v>
      </c>
      <c r="S28">
        <v>116</v>
      </c>
      <c r="T28">
        <v>1</v>
      </c>
      <c r="U28">
        <v>4.8</v>
      </c>
      <c r="V28">
        <v>8</v>
      </c>
      <c r="W28">
        <v>5</v>
      </c>
      <c r="X28">
        <v>45</v>
      </c>
      <c r="Y28">
        <v>4</v>
      </c>
      <c r="Z28">
        <v>38.5</v>
      </c>
      <c r="AA28">
        <v>7.7</v>
      </c>
      <c r="AB28">
        <v>-5.16</v>
      </c>
      <c r="AC28" s="12" t="str">
        <f>VLOOKUP(B:B,'Name Bridge'!A:B,2,FALSE)</f>
        <v>SF</v>
      </c>
      <c r="AD28" s="36">
        <f>Team_Defense_Table__CY[[#This Row],[Passing Yds]]/Team_Defense_Table__CY[[#This Row],[Passing Att]]</f>
        <v>5.5087719298245617</v>
      </c>
      <c r="AE28" s="12">
        <f>_xlfn.RANK.EQ(Team_Defense_Table__CY[[#This Row],[Passing Yds]],Team_Defense_Table__CY[Passing Yds],1)</f>
        <v>25</v>
      </c>
      <c r="AF28" s="36">
        <f>Team_Defense_Table__CY[[#This Row],[Rushing Yds]]/Team_Defense_Table__CY[[#This Row],[Rushing Att]]</f>
        <v>4.833333333333333</v>
      </c>
      <c r="AG28" s="12">
        <f>_xlfn.RANK.EQ(Team_Defense_Table__CY[[#This Row],[Rushing Yds]],Team_Defense_Table__CY[Rushing Yds],1)</f>
        <v>17</v>
      </c>
      <c r="AH28" s="36">
        <f>Team_Defense_Table__CY[[#This Row],[Passing Yds]]/Team_Defense_Table__CY[[#This Row],[Passing Cmp]]</f>
        <v>8.2631578947368425</v>
      </c>
    </row>
    <row r="29" spans="1:34" x14ac:dyDescent="0.2">
      <c r="A29">
        <v>28</v>
      </c>
      <c r="B29" t="s">
        <v>839</v>
      </c>
      <c r="C29">
        <v>1</v>
      </c>
      <c r="D29">
        <v>34</v>
      </c>
      <c r="E29">
        <v>386</v>
      </c>
      <c r="F29">
        <v>50</v>
      </c>
      <c r="G29">
        <v>7.7</v>
      </c>
      <c r="I29">
        <v>0</v>
      </c>
      <c r="J29">
        <v>18</v>
      </c>
      <c r="K29">
        <v>20</v>
      </c>
      <c r="L29">
        <v>26</v>
      </c>
      <c r="M29">
        <v>312</v>
      </c>
      <c r="N29">
        <v>3</v>
      </c>
      <c r="O29">
        <v>0</v>
      </c>
      <c r="P29">
        <v>11.6</v>
      </c>
      <c r="Q29">
        <v>13</v>
      </c>
      <c r="R29">
        <v>23</v>
      </c>
      <c r="S29">
        <v>74</v>
      </c>
      <c r="T29">
        <v>1</v>
      </c>
      <c r="U29">
        <v>3.2</v>
      </c>
      <c r="V29">
        <v>4</v>
      </c>
      <c r="W29">
        <v>4</v>
      </c>
      <c r="X29">
        <v>36</v>
      </c>
      <c r="Y29">
        <v>1</v>
      </c>
      <c r="Z29">
        <v>66.7</v>
      </c>
      <c r="AA29">
        <v>0</v>
      </c>
      <c r="AB29">
        <v>-21.58</v>
      </c>
      <c r="AC29" s="12" t="str">
        <f>VLOOKUP(B:B,'Name Bridge'!A:B,2,FALSE)</f>
        <v>CHI</v>
      </c>
      <c r="AD29" s="36">
        <f>Team_Defense_Table__CY[[#This Row],[Passing Yds]]/Team_Defense_Table__CY[[#This Row],[Passing Att]]</f>
        <v>12</v>
      </c>
      <c r="AE29" s="12">
        <f>_xlfn.RANK.EQ(Team_Defense_Table__CY[[#This Row],[Passing Yds]],Team_Defense_Table__CY[Passing Yds],1)</f>
        <v>24</v>
      </c>
      <c r="AF29" s="36">
        <f>Team_Defense_Table__CY[[#This Row],[Rushing Yds]]/Team_Defense_Table__CY[[#This Row],[Rushing Att]]</f>
        <v>3.2173913043478262</v>
      </c>
      <c r="AG29" s="12">
        <f>_xlfn.RANK.EQ(Team_Defense_Table__CY[[#This Row],[Rushing Yds]],Team_Defense_Table__CY[Rushing Yds],1)</f>
        <v>8</v>
      </c>
      <c r="AH29" s="36">
        <f>Team_Defense_Table__CY[[#This Row],[Passing Yds]]/Team_Defense_Table__CY[[#This Row],[Passing Cmp]]</f>
        <v>15.6</v>
      </c>
    </row>
    <row r="30" spans="1:34" x14ac:dyDescent="0.2">
      <c r="A30">
        <v>29</v>
      </c>
      <c r="B30" t="s">
        <v>689</v>
      </c>
      <c r="C30">
        <v>1</v>
      </c>
      <c r="D30">
        <v>37</v>
      </c>
      <c r="E30">
        <v>449</v>
      </c>
      <c r="F30">
        <v>75</v>
      </c>
      <c r="G30">
        <v>6</v>
      </c>
      <c r="I30">
        <v>0</v>
      </c>
      <c r="J30">
        <v>22</v>
      </c>
      <c r="K30">
        <v>21</v>
      </c>
      <c r="L30">
        <v>33</v>
      </c>
      <c r="M30">
        <v>289</v>
      </c>
      <c r="N30">
        <v>2</v>
      </c>
      <c r="O30">
        <v>0</v>
      </c>
      <c r="P30">
        <v>8.5</v>
      </c>
      <c r="Q30">
        <v>13</v>
      </c>
      <c r="R30">
        <v>41</v>
      </c>
      <c r="S30">
        <v>160</v>
      </c>
      <c r="T30">
        <v>2</v>
      </c>
      <c r="U30">
        <v>3.9</v>
      </c>
      <c r="V30">
        <v>6</v>
      </c>
      <c r="W30">
        <v>5</v>
      </c>
      <c r="X30">
        <v>50</v>
      </c>
      <c r="Y30">
        <v>3</v>
      </c>
      <c r="Z30">
        <v>50</v>
      </c>
      <c r="AA30">
        <v>0</v>
      </c>
      <c r="AB30">
        <v>-14.76</v>
      </c>
      <c r="AC30" s="12" t="str">
        <f>VLOOKUP(B:B,'Name Bridge'!A:B,2,FALSE)</f>
        <v>JAC</v>
      </c>
      <c r="AD30" s="36">
        <f>Team_Defense_Table__CY[[#This Row],[Passing Yds]]/Team_Defense_Table__CY[[#This Row],[Passing Att]]</f>
        <v>8.7575757575757578</v>
      </c>
      <c r="AE30" s="12">
        <f>_xlfn.RANK.EQ(Team_Defense_Table__CY[[#This Row],[Passing Yds]],Team_Defense_Table__CY[Passing Yds],1)</f>
        <v>21</v>
      </c>
      <c r="AF30" s="36">
        <f>Team_Defense_Table__CY[[#This Row],[Rushing Yds]]/Team_Defense_Table__CY[[#This Row],[Rushing Att]]</f>
        <v>3.9024390243902438</v>
      </c>
      <c r="AG30" s="12">
        <f>_xlfn.RANK.EQ(Team_Defense_Table__CY[[#This Row],[Rushing Yds]],Team_Defense_Table__CY[Rushing Yds],1)</f>
        <v>28</v>
      </c>
      <c r="AH30" s="36">
        <f>Team_Defense_Table__CY[[#This Row],[Passing Yds]]/Team_Defense_Table__CY[[#This Row],[Passing Cmp]]</f>
        <v>13.761904761904763</v>
      </c>
    </row>
    <row r="31" spans="1:34" x14ac:dyDescent="0.2">
      <c r="A31">
        <v>30</v>
      </c>
      <c r="B31" t="s">
        <v>696</v>
      </c>
      <c r="C31">
        <v>1</v>
      </c>
      <c r="D31">
        <v>38</v>
      </c>
      <c r="E31">
        <v>416</v>
      </c>
      <c r="F31">
        <v>67</v>
      </c>
      <c r="G31">
        <v>6.2</v>
      </c>
      <c r="H31">
        <v>1</v>
      </c>
      <c r="I31">
        <v>0</v>
      </c>
      <c r="J31">
        <v>22</v>
      </c>
      <c r="K31">
        <v>21</v>
      </c>
      <c r="L31">
        <v>32</v>
      </c>
      <c r="M31">
        <v>280</v>
      </c>
      <c r="N31">
        <v>4</v>
      </c>
      <c r="O31">
        <v>1</v>
      </c>
      <c r="P31">
        <v>8.1999999999999993</v>
      </c>
      <c r="Q31">
        <v>13</v>
      </c>
      <c r="R31">
        <v>33</v>
      </c>
      <c r="S31">
        <v>136</v>
      </c>
      <c r="T31">
        <v>1</v>
      </c>
      <c r="U31">
        <v>4.0999999999999996</v>
      </c>
      <c r="V31">
        <v>7</v>
      </c>
      <c r="W31">
        <v>8</v>
      </c>
      <c r="X31">
        <v>59</v>
      </c>
      <c r="Y31">
        <v>2</v>
      </c>
      <c r="Z31">
        <v>50</v>
      </c>
      <c r="AA31">
        <v>8.3000000000000007</v>
      </c>
      <c r="AB31">
        <v>-8.83</v>
      </c>
      <c r="AC31" s="12" t="str">
        <f>VLOOKUP(B:B,'Name Bridge'!A:B,2,FALSE)</f>
        <v>TEN</v>
      </c>
      <c r="AD31" s="36">
        <f>Team_Defense_Table__CY[[#This Row],[Passing Yds]]/Team_Defense_Table__CY[[#This Row],[Passing Att]]</f>
        <v>8.75</v>
      </c>
      <c r="AE31" s="12">
        <f>_xlfn.RANK.EQ(Team_Defense_Table__CY[[#This Row],[Passing Yds]],Team_Defense_Table__CY[Passing Yds],1)</f>
        <v>20</v>
      </c>
      <c r="AF31" s="36">
        <f>Team_Defense_Table__CY[[#This Row],[Rushing Yds]]/Team_Defense_Table__CY[[#This Row],[Rushing Att]]</f>
        <v>4.1212121212121211</v>
      </c>
      <c r="AG31" s="12">
        <f>_xlfn.RANK.EQ(Team_Defense_Table__CY[[#This Row],[Rushing Yds]],Team_Defense_Table__CY[Rushing Yds],1)</f>
        <v>23</v>
      </c>
      <c r="AH31" s="36">
        <f>Team_Defense_Table__CY[[#This Row],[Passing Yds]]/Team_Defense_Table__CY[[#This Row],[Passing Cmp]]</f>
        <v>13.333333333333334</v>
      </c>
    </row>
    <row r="32" spans="1:34" x14ac:dyDescent="0.2">
      <c r="A32">
        <v>31</v>
      </c>
      <c r="B32" t="s">
        <v>448</v>
      </c>
      <c r="C32">
        <v>1</v>
      </c>
      <c r="D32">
        <v>38</v>
      </c>
      <c r="E32">
        <v>322</v>
      </c>
      <c r="F32">
        <v>60</v>
      </c>
      <c r="G32">
        <v>5.4</v>
      </c>
      <c r="I32">
        <v>0</v>
      </c>
      <c r="J32">
        <v>22</v>
      </c>
      <c r="K32">
        <v>15</v>
      </c>
      <c r="L32">
        <v>21</v>
      </c>
      <c r="M32">
        <v>151</v>
      </c>
      <c r="N32">
        <v>5</v>
      </c>
      <c r="O32">
        <v>0</v>
      </c>
      <c r="P32">
        <v>7.2</v>
      </c>
      <c r="Q32">
        <v>10</v>
      </c>
      <c r="R32">
        <v>39</v>
      </c>
      <c r="S32">
        <v>171</v>
      </c>
      <c r="T32">
        <v>0</v>
      </c>
      <c r="U32">
        <v>4.4000000000000004</v>
      </c>
      <c r="V32">
        <v>11</v>
      </c>
      <c r="W32">
        <v>6</v>
      </c>
      <c r="X32">
        <v>36</v>
      </c>
      <c r="Y32">
        <v>1</v>
      </c>
      <c r="Z32">
        <v>66.7</v>
      </c>
      <c r="AA32">
        <v>0</v>
      </c>
      <c r="AB32">
        <v>-20.22</v>
      </c>
      <c r="AC32" s="12" t="str">
        <f>VLOOKUP(B:B,'Name Bridge'!A:B,2,FALSE)</f>
        <v>GB</v>
      </c>
      <c r="AD32" s="36">
        <f>Team_Defense_Table__CY[[#This Row],[Passing Yds]]/Team_Defense_Table__CY[[#This Row],[Passing Att]]</f>
        <v>7.1904761904761907</v>
      </c>
      <c r="AE32" s="12">
        <f>_xlfn.RANK.EQ(Team_Defense_Table__CY[[#This Row],[Passing Yds]],Team_Defense_Table__CY[Passing Yds],1)</f>
        <v>3</v>
      </c>
      <c r="AF32" s="36">
        <f>Team_Defense_Table__CY[[#This Row],[Rushing Yds]]/Team_Defense_Table__CY[[#This Row],[Rushing Att]]</f>
        <v>4.384615384615385</v>
      </c>
      <c r="AG32" s="12">
        <f>_xlfn.RANK.EQ(Team_Defense_Table__CY[[#This Row],[Rushing Yds]],Team_Defense_Table__CY[Rushing Yds],1)</f>
        <v>31</v>
      </c>
      <c r="AH32" s="36">
        <f>Team_Defense_Table__CY[[#This Row],[Passing Yds]]/Team_Defense_Table__CY[[#This Row],[Passing Cmp]]</f>
        <v>10.066666666666666</v>
      </c>
    </row>
    <row r="33" spans="1:34" x14ac:dyDescent="0.2">
      <c r="A33">
        <v>32</v>
      </c>
      <c r="B33" t="s">
        <v>700</v>
      </c>
      <c r="C33">
        <v>1</v>
      </c>
      <c r="D33">
        <v>41</v>
      </c>
      <c r="E33">
        <v>442</v>
      </c>
      <c r="F33">
        <v>55</v>
      </c>
      <c r="G33">
        <v>8</v>
      </c>
      <c r="H33">
        <v>2</v>
      </c>
      <c r="I33">
        <v>2</v>
      </c>
      <c r="J33">
        <v>21</v>
      </c>
      <c r="K33">
        <v>18</v>
      </c>
      <c r="L33">
        <v>26</v>
      </c>
      <c r="M33">
        <v>311</v>
      </c>
      <c r="N33">
        <v>2</v>
      </c>
      <c r="O33">
        <v>0</v>
      </c>
      <c r="P33">
        <v>11.5</v>
      </c>
      <c r="Q33">
        <v>13</v>
      </c>
      <c r="R33">
        <v>28</v>
      </c>
      <c r="S33">
        <v>131</v>
      </c>
      <c r="T33">
        <v>2</v>
      </c>
      <c r="U33">
        <v>4.7</v>
      </c>
      <c r="V33">
        <v>6</v>
      </c>
      <c r="W33">
        <v>7</v>
      </c>
      <c r="X33">
        <v>79</v>
      </c>
      <c r="Y33">
        <v>2</v>
      </c>
      <c r="Z33">
        <v>50</v>
      </c>
      <c r="AA33">
        <v>16.7</v>
      </c>
      <c r="AB33">
        <v>-15.48</v>
      </c>
      <c r="AC33" s="12" t="str">
        <f>VLOOKUP(B:B,'Name Bridge'!A:B,2,FALSE)</f>
        <v>DET</v>
      </c>
      <c r="AD33" s="36">
        <f>Team_Defense_Table__CY[[#This Row],[Passing Yds]]/Team_Defense_Table__CY[[#This Row],[Passing Att]]</f>
        <v>11.961538461538462</v>
      </c>
      <c r="AE33" s="12">
        <f>_xlfn.RANK.EQ(Team_Defense_Table__CY[[#This Row],[Passing Yds]],Team_Defense_Table__CY[Passing Yds],1)</f>
        <v>23</v>
      </c>
      <c r="AF33" s="36">
        <f>Team_Defense_Table__CY[[#This Row],[Rushing Yds]]/Team_Defense_Table__CY[[#This Row],[Rushing Att]]</f>
        <v>4.6785714285714288</v>
      </c>
      <c r="AG33" s="12">
        <f>_xlfn.RANK.EQ(Team_Defense_Table__CY[[#This Row],[Rushing Yds]],Team_Defense_Table__CY[Rushing Yds],1)</f>
        <v>22</v>
      </c>
      <c r="AH33" s="36">
        <f>Team_Defense_Table__CY[[#This Row],[Passing Yds]]/Team_Defense_Table__CY[[#This Row],[Passing Cmp]]</f>
        <v>17.277777777777779</v>
      </c>
    </row>
    <row r="34" spans="1:34" x14ac:dyDescent="0.2">
      <c r="U34">
        <f>SUBTOTAL(101,Team_Defense_Table__CY[Rushing Y/A])</f>
        <v>4.1406250000000009</v>
      </c>
      <c r="AC34" s="12"/>
      <c r="AD34" s="36">
        <f>SUBTOTAL(101,Team_Defense_Table__CY[Passing yds/att])</f>
        <v>7.2197386483004102</v>
      </c>
      <c r="AE34" s="36"/>
      <c r="AF34" s="36">
        <f>SUBTOTAL(101,Team_Defense_Table__CY[Rushing Yds/att])</f>
        <v>4.1376723418696502</v>
      </c>
      <c r="AG34" s="36"/>
      <c r="AH34" s="36">
        <f>SUBTOTAL(101,Team_Defense_Table__CY[Yards per completion])</f>
        <v>10.74798495680494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5B3E1-5DA6-FD4F-ADCD-3EAB5CD5CD9A}">
  <sheetPr codeName="Sheet27"/>
  <dimension ref="A1:AH34"/>
  <sheetViews>
    <sheetView workbookViewId="0">
      <selection activeCell="R15" sqref="R15"/>
    </sheetView>
  </sheetViews>
  <sheetFormatPr baseColWidth="10" defaultRowHeight="15" x14ac:dyDescent="0.2"/>
  <cols>
    <col min="1" max="1" width="3" bestFit="1" customWidth="1"/>
    <col min="2" max="2" width="10.6640625" bestFit="1" customWidth="1"/>
    <col min="3" max="3" width="2.1640625" bestFit="1" customWidth="1"/>
    <col min="4" max="4" width="2.83203125" bestFit="1" customWidth="1"/>
    <col min="5" max="5" width="4.5" bestFit="1" customWidth="1"/>
    <col min="6" max="6" width="3.6640625" bestFit="1" customWidth="1"/>
    <col min="7" max="7" width="3.5" bestFit="1" customWidth="1"/>
    <col min="8" max="8" width="3.1640625" bestFit="1" customWidth="1"/>
    <col min="9" max="9" width="2.6640625" bestFit="1" customWidth="1"/>
    <col min="10" max="11" width="4.1640625" bestFit="1" customWidth="1"/>
    <col min="12" max="13" width="3.6640625" bestFit="1" customWidth="1"/>
    <col min="14" max="15" width="3" bestFit="1" customWidth="1"/>
    <col min="16" max="16" width="4.83203125" bestFit="1" customWidth="1"/>
    <col min="17" max="17" width="4.1640625" bestFit="1" customWidth="1"/>
    <col min="18" max="18" width="3.1640625" bestFit="1" customWidth="1"/>
    <col min="19" max="19" width="3.6640625" bestFit="1" customWidth="1"/>
    <col min="20" max="20" width="3" bestFit="1" customWidth="1"/>
    <col min="21" max="21" width="3.6640625" bestFit="1" customWidth="1"/>
    <col min="22" max="22" width="4.1640625" bestFit="1" customWidth="1"/>
    <col min="23" max="24" width="3.6640625" bestFit="1" customWidth="1"/>
    <col min="25" max="25" width="4.83203125" bestFit="1" customWidth="1"/>
    <col min="26" max="26" width="4.1640625" bestFit="1" customWidth="1"/>
    <col min="27" max="27" width="4.33203125" bestFit="1" customWidth="1"/>
    <col min="28" max="28" width="5.5" bestFit="1" customWidth="1"/>
    <col min="29" max="29" width="9.6640625" bestFit="1" customWidth="1"/>
    <col min="30" max="30" width="16.6640625" bestFit="1" customWidth="1"/>
    <col min="31" max="31" width="14.5" bestFit="1" customWidth="1"/>
    <col min="32" max="32" width="10.33203125" bestFit="1" customWidth="1"/>
    <col min="33" max="33" width="15" bestFit="1" customWidth="1"/>
    <col min="34" max="34" width="13.5" bestFit="1" customWidth="1"/>
  </cols>
  <sheetData>
    <row r="1" spans="1:34" ht="32" x14ac:dyDescent="0.2">
      <c r="A1" s="87" t="s">
        <v>902</v>
      </c>
      <c r="B1" s="87" t="s">
        <v>1314</v>
      </c>
      <c r="C1" s="87" t="s">
        <v>1315</v>
      </c>
      <c r="D1" s="87" t="s">
        <v>2321</v>
      </c>
      <c r="E1" s="87" t="s">
        <v>799</v>
      </c>
      <c r="F1" s="87" t="s">
        <v>2322</v>
      </c>
      <c r="G1" s="87" t="s">
        <v>2323</v>
      </c>
      <c r="H1" s="87" t="s">
        <v>2324</v>
      </c>
      <c r="I1" s="87" t="s">
        <v>2325</v>
      </c>
      <c r="J1" s="87" t="s">
        <v>2326</v>
      </c>
      <c r="K1" s="87" t="s">
        <v>1318</v>
      </c>
      <c r="L1" s="87" t="s">
        <v>1319</v>
      </c>
      <c r="M1" s="87" t="s">
        <v>799</v>
      </c>
      <c r="N1" s="87" t="s">
        <v>800</v>
      </c>
      <c r="O1" s="87" t="s">
        <v>914</v>
      </c>
      <c r="P1" s="87" t="s">
        <v>1329</v>
      </c>
      <c r="Q1" s="87" t="s">
        <v>2326</v>
      </c>
      <c r="R1" s="87" t="s">
        <v>1319</v>
      </c>
      <c r="S1" s="87" t="s">
        <v>799</v>
      </c>
      <c r="T1" s="87" t="s">
        <v>800</v>
      </c>
      <c r="U1" s="87" t="s">
        <v>1322</v>
      </c>
      <c r="V1" s="87" t="s">
        <v>2326</v>
      </c>
      <c r="W1" s="87" t="s">
        <v>2327</v>
      </c>
      <c r="X1" s="87" t="s">
        <v>799</v>
      </c>
      <c r="Y1" s="87" t="s">
        <v>2328</v>
      </c>
      <c r="Z1" s="87" t="s">
        <v>2329</v>
      </c>
      <c r="AA1" s="87" t="s">
        <v>2330</v>
      </c>
      <c r="AB1" s="87" t="s">
        <v>2331</v>
      </c>
      <c r="AC1" s="11" t="s">
        <v>2199</v>
      </c>
      <c r="AD1" s="11" t="s">
        <v>2200</v>
      </c>
      <c r="AE1" s="11" t="s">
        <v>2201</v>
      </c>
      <c r="AF1" s="11" t="s">
        <v>2202</v>
      </c>
      <c r="AG1" s="11" t="s">
        <v>2203</v>
      </c>
      <c r="AH1" s="11" t="s">
        <v>2204</v>
      </c>
    </row>
    <row r="2" spans="1:34" ht="30" x14ac:dyDescent="0.2">
      <c r="A2" s="87">
        <v>1</v>
      </c>
      <c r="B2" s="88" t="s">
        <v>642</v>
      </c>
      <c r="C2" s="88">
        <v>3</v>
      </c>
      <c r="D2" s="88">
        <v>26</v>
      </c>
      <c r="E2" s="88">
        <v>665</v>
      </c>
      <c r="F2" s="88">
        <v>162</v>
      </c>
      <c r="G2" s="88">
        <v>4.0999999999999996</v>
      </c>
      <c r="H2" s="88">
        <v>5</v>
      </c>
      <c r="I2" s="88">
        <v>1</v>
      </c>
      <c r="J2" s="88">
        <v>42</v>
      </c>
      <c r="K2" s="88">
        <v>55</v>
      </c>
      <c r="L2" s="88">
        <v>105</v>
      </c>
      <c r="M2" s="88">
        <v>487</v>
      </c>
      <c r="N2" s="88">
        <v>2</v>
      </c>
      <c r="O2" s="88">
        <v>4</v>
      </c>
      <c r="P2" s="88">
        <v>4.3</v>
      </c>
      <c r="Q2" s="88">
        <v>29</v>
      </c>
      <c r="R2" s="88">
        <v>49</v>
      </c>
      <c r="S2" s="88">
        <v>178</v>
      </c>
      <c r="T2" s="88">
        <v>1</v>
      </c>
      <c r="U2" s="88">
        <v>3.6</v>
      </c>
      <c r="V2" s="88">
        <v>7</v>
      </c>
      <c r="W2" s="88">
        <v>19</v>
      </c>
      <c r="X2" s="88">
        <v>207</v>
      </c>
      <c r="Y2" s="88">
        <v>6</v>
      </c>
      <c r="Z2" s="88">
        <v>10.3</v>
      </c>
      <c r="AA2" s="88">
        <v>17.2</v>
      </c>
      <c r="AB2" s="88">
        <v>26.49</v>
      </c>
      <c r="AC2" s="12" t="str">
        <f>VLOOKUP($B:$B,'Name Bridge'!A:B,2,FALSE)</f>
        <v>DEN</v>
      </c>
      <c r="AD2" s="36">
        <f>M2/L2</f>
        <v>4.6380952380952385</v>
      </c>
      <c r="AE2" s="12">
        <f>_xlfn.RANK.EQ(M2,$M$2:$M$33,1)</f>
        <v>3</v>
      </c>
      <c r="AF2" s="36">
        <f>S2/R2</f>
        <v>3.6326530612244898</v>
      </c>
      <c r="AG2" s="12">
        <f>_xlfn.RANK.EQ(S2,$S$2:$S$33,1)</f>
        <v>2</v>
      </c>
      <c r="AH2" s="36">
        <f>M2/K2</f>
        <v>8.8545454545454554</v>
      </c>
    </row>
    <row r="3" spans="1:34" ht="30" x14ac:dyDescent="0.2">
      <c r="A3" s="87">
        <v>2</v>
      </c>
      <c r="B3" s="88" t="s">
        <v>401</v>
      </c>
      <c r="C3" s="88">
        <v>3</v>
      </c>
      <c r="D3" s="88">
        <v>30</v>
      </c>
      <c r="E3" s="88">
        <v>573</v>
      </c>
      <c r="F3" s="88">
        <v>152</v>
      </c>
      <c r="G3" s="88">
        <v>3.8</v>
      </c>
      <c r="H3" s="88">
        <v>3</v>
      </c>
      <c r="I3" s="88">
        <v>0</v>
      </c>
      <c r="J3" s="88">
        <v>36</v>
      </c>
      <c r="K3" s="88">
        <v>50</v>
      </c>
      <c r="L3" s="88">
        <v>87</v>
      </c>
      <c r="M3" s="88">
        <v>438</v>
      </c>
      <c r="N3" s="88">
        <v>3</v>
      </c>
      <c r="O3" s="88">
        <v>3</v>
      </c>
      <c r="P3" s="88">
        <v>4.3</v>
      </c>
      <c r="Q3" s="88">
        <v>23</v>
      </c>
      <c r="R3" s="88">
        <v>51</v>
      </c>
      <c r="S3" s="88">
        <v>135</v>
      </c>
      <c r="T3" s="88">
        <v>1</v>
      </c>
      <c r="U3" s="88">
        <v>2.6</v>
      </c>
      <c r="V3" s="88">
        <v>8</v>
      </c>
      <c r="W3" s="88">
        <v>23</v>
      </c>
      <c r="X3" s="88">
        <v>196</v>
      </c>
      <c r="Y3" s="88">
        <v>5</v>
      </c>
      <c r="Z3" s="88">
        <v>15.2</v>
      </c>
      <c r="AA3" s="88">
        <v>9.1</v>
      </c>
      <c r="AB3" s="88">
        <v>36.799999999999997</v>
      </c>
      <c r="AC3" s="12" t="str">
        <f>VLOOKUP($B:$B,'Name Bridge'!A:B,2,FALSE)</f>
        <v>CAR</v>
      </c>
      <c r="AD3" s="36">
        <f t="shared" ref="AD3:AD33" si="0">M3/L3</f>
        <v>5.0344827586206895</v>
      </c>
      <c r="AE3" s="12">
        <f t="shared" ref="AE3:AE33" si="1">_xlfn.RANK.EQ(M3,$M$2:$M$33,1)</f>
        <v>1</v>
      </c>
      <c r="AF3" s="36">
        <f t="shared" ref="AF3:AF33" si="2">S3/R3</f>
        <v>2.6470588235294117</v>
      </c>
      <c r="AG3" s="12">
        <f t="shared" ref="AG3:AG33" si="3">_xlfn.RANK.EQ(S3,$S$2:$S$33,1)</f>
        <v>1</v>
      </c>
      <c r="AH3" s="36">
        <f t="shared" ref="AH3:AH33" si="4">M3/K3</f>
        <v>8.76</v>
      </c>
    </row>
    <row r="4" spans="1:34" ht="30" x14ac:dyDescent="0.2">
      <c r="A4" s="87">
        <v>3</v>
      </c>
      <c r="B4" s="88" t="s">
        <v>692</v>
      </c>
      <c r="C4" s="88">
        <v>3</v>
      </c>
      <c r="D4" s="88">
        <v>42</v>
      </c>
      <c r="E4" s="88">
        <v>912</v>
      </c>
      <c r="F4" s="88">
        <v>195</v>
      </c>
      <c r="G4" s="88">
        <v>4.7</v>
      </c>
      <c r="H4" s="88">
        <v>7</v>
      </c>
      <c r="I4" s="88">
        <v>1</v>
      </c>
      <c r="J4" s="88">
        <v>58</v>
      </c>
      <c r="K4" s="88">
        <v>76</v>
      </c>
      <c r="L4" s="88">
        <v>124</v>
      </c>
      <c r="M4" s="88">
        <v>731</v>
      </c>
      <c r="N4" s="88">
        <v>3</v>
      </c>
      <c r="O4" s="88">
        <v>6</v>
      </c>
      <c r="P4" s="88">
        <v>5.6</v>
      </c>
      <c r="Q4" s="88">
        <v>37</v>
      </c>
      <c r="R4" s="88">
        <v>65</v>
      </c>
      <c r="S4" s="88">
        <v>181</v>
      </c>
      <c r="T4" s="88">
        <v>1</v>
      </c>
      <c r="U4" s="88">
        <v>2.8</v>
      </c>
      <c r="V4" s="88">
        <v>11</v>
      </c>
      <c r="W4" s="88">
        <v>14</v>
      </c>
      <c r="X4" s="88">
        <v>112</v>
      </c>
      <c r="Y4" s="88">
        <v>10</v>
      </c>
      <c r="Z4" s="88">
        <v>27.3</v>
      </c>
      <c r="AA4" s="88">
        <v>21.2</v>
      </c>
      <c r="AB4" s="88">
        <v>18.61</v>
      </c>
      <c r="AC4" s="12" t="str">
        <f>VLOOKUP($B:$B,'Name Bridge'!A:B,2,FALSE)</f>
        <v>NO</v>
      </c>
      <c r="AD4" s="36">
        <f t="shared" si="0"/>
        <v>5.895161290322581</v>
      </c>
      <c r="AE4" s="12">
        <f t="shared" si="1"/>
        <v>14</v>
      </c>
      <c r="AF4" s="36">
        <f t="shared" si="2"/>
        <v>2.7846153846153845</v>
      </c>
      <c r="AG4" s="12">
        <f t="shared" si="3"/>
        <v>3</v>
      </c>
      <c r="AH4" s="36">
        <f t="shared" si="4"/>
        <v>9.6184210526315788</v>
      </c>
    </row>
    <row r="5" spans="1:34" x14ac:dyDescent="0.2">
      <c r="A5" s="87">
        <v>4</v>
      </c>
      <c r="B5" s="88" t="s">
        <v>694</v>
      </c>
      <c r="C5" s="88">
        <v>3</v>
      </c>
      <c r="D5" s="88">
        <v>44</v>
      </c>
      <c r="E5" s="88">
        <v>758</v>
      </c>
      <c r="F5" s="88">
        <v>175</v>
      </c>
      <c r="G5" s="88">
        <v>4.3</v>
      </c>
      <c r="H5" s="88">
        <v>6</v>
      </c>
      <c r="I5" s="88">
        <v>3</v>
      </c>
      <c r="J5" s="88">
        <v>42</v>
      </c>
      <c r="K5" s="88">
        <v>57</v>
      </c>
      <c r="L5" s="88">
        <v>100</v>
      </c>
      <c r="M5" s="88">
        <v>534</v>
      </c>
      <c r="N5" s="88">
        <v>3</v>
      </c>
      <c r="O5" s="88">
        <v>3</v>
      </c>
      <c r="P5" s="88">
        <v>4.9000000000000004</v>
      </c>
      <c r="Q5" s="88">
        <v>26</v>
      </c>
      <c r="R5" s="88">
        <v>66</v>
      </c>
      <c r="S5" s="88">
        <v>224</v>
      </c>
      <c r="T5" s="88">
        <v>1</v>
      </c>
      <c r="U5" s="88">
        <v>3.4</v>
      </c>
      <c r="V5" s="88">
        <v>9</v>
      </c>
      <c r="W5" s="88">
        <v>19</v>
      </c>
      <c r="X5" s="88">
        <v>153</v>
      </c>
      <c r="Y5" s="88">
        <v>7</v>
      </c>
      <c r="Z5" s="88">
        <v>20</v>
      </c>
      <c r="AA5" s="88">
        <v>14.3</v>
      </c>
      <c r="AB5" s="88">
        <v>33.479999999999997</v>
      </c>
      <c r="AC5" s="12" t="str">
        <f>VLOOKUP($B:$B,'Name Bridge'!A:B,2,FALSE)</f>
        <v>BUF</v>
      </c>
      <c r="AD5" s="36">
        <f t="shared" si="0"/>
        <v>5.34</v>
      </c>
      <c r="AE5" s="12">
        <f t="shared" si="1"/>
        <v>4</v>
      </c>
      <c r="AF5" s="36">
        <f t="shared" si="2"/>
        <v>3.393939393939394</v>
      </c>
      <c r="AG5" s="12">
        <f t="shared" si="3"/>
        <v>7</v>
      </c>
      <c r="AH5" s="36">
        <f t="shared" si="4"/>
        <v>9.3684210526315788</v>
      </c>
    </row>
    <row r="6" spans="1:34" ht="30" x14ac:dyDescent="0.2">
      <c r="A6" s="87">
        <v>5</v>
      </c>
      <c r="B6" s="88" t="s">
        <v>614</v>
      </c>
      <c r="C6" s="88">
        <v>3</v>
      </c>
      <c r="D6" s="88">
        <v>51</v>
      </c>
      <c r="E6" s="88">
        <v>847</v>
      </c>
      <c r="F6" s="88">
        <v>182</v>
      </c>
      <c r="G6" s="88">
        <v>4.7</v>
      </c>
      <c r="H6" s="88">
        <v>5</v>
      </c>
      <c r="I6" s="88">
        <v>0</v>
      </c>
      <c r="J6" s="88">
        <v>53</v>
      </c>
      <c r="K6" s="88">
        <v>48</v>
      </c>
      <c r="L6" s="88">
        <v>81</v>
      </c>
      <c r="M6" s="88">
        <v>479</v>
      </c>
      <c r="N6" s="88">
        <v>3</v>
      </c>
      <c r="O6" s="88">
        <v>5</v>
      </c>
      <c r="P6" s="88">
        <v>5.3</v>
      </c>
      <c r="Q6" s="88">
        <v>24</v>
      </c>
      <c r="R6" s="88">
        <v>92</v>
      </c>
      <c r="S6" s="88">
        <v>368</v>
      </c>
      <c r="T6" s="88">
        <v>2</v>
      </c>
      <c r="U6" s="88">
        <v>4</v>
      </c>
      <c r="V6" s="88">
        <v>26</v>
      </c>
      <c r="W6" s="88">
        <v>15</v>
      </c>
      <c r="X6" s="88">
        <v>120</v>
      </c>
      <c r="Y6" s="88">
        <v>3</v>
      </c>
      <c r="Z6" s="88">
        <v>24.2</v>
      </c>
      <c r="AA6" s="88">
        <v>15.2</v>
      </c>
      <c r="AB6" s="88">
        <v>9.73</v>
      </c>
      <c r="AC6" s="12" t="str">
        <f>VLOOKUP($B:$B,'Name Bridge'!A:B,2,FALSE)</f>
        <v>NE</v>
      </c>
      <c r="AD6" s="36">
        <f t="shared" si="0"/>
        <v>5.9135802469135799</v>
      </c>
      <c r="AE6" s="12">
        <f t="shared" si="1"/>
        <v>2</v>
      </c>
      <c r="AF6" s="36">
        <f t="shared" si="2"/>
        <v>4</v>
      </c>
      <c r="AG6" s="12">
        <f t="shared" si="3"/>
        <v>22</v>
      </c>
      <c r="AH6" s="36">
        <f t="shared" si="4"/>
        <v>9.9791666666666661</v>
      </c>
    </row>
    <row r="7" spans="1:34" ht="30" x14ac:dyDescent="0.2">
      <c r="A7" s="87">
        <v>6</v>
      </c>
      <c r="B7" s="88" t="s">
        <v>621</v>
      </c>
      <c r="C7" s="88">
        <v>3</v>
      </c>
      <c r="D7" s="88">
        <v>60</v>
      </c>
      <c r="E7" s="88">
        <v>1115</v>
      </c>
      <c r="F7" s="88">
        <v>185</v>
      </c>
      <c r="G7" s="88">
        <v>6</v>
      </c>
      <c r="H7" s="88">
        <v>6</v>
      </c>
      <c r="I7" s="88">
        <v>3</v>
      </c>
      <c r="J7" s="88">
        <v>73</v>
      </c>
      <c r="K7" s="88">
        <v>64</v>
      </c>
      <c r="L7" s="88">
        <v>92</v>
      </c>
      <c r="M7" s="88">
        <v>605</v>
      </c>
      <c r="N7" s="88">
        <v>4</v>
      </c>
      <c r="O7" s="88">
        <v>3</v>
      </c>
      <c r="P7" s="88">
        <v>6.2</v>
      </c>
      <c r="Q7" s="88">
        <v>36</v>
      </c>
      <c r="R7" s="88">
        <v>88</v>
      </c>
      <c r="S7" s="88">
        <v>510</v>
      </c>
      <c r="T7" s="88">
        <v>2</v>
      </c>
      <c r="U7" s="88">
        <v>5.8</v>
      </c>
      <c r="V7" s="88">
        <v>29</v>
      </c>
      <c r="W7" s="88">
        <v>22</v>
      </c>
      <c r="X7" s="88">
        <v>189</v>
      </c>
      <c r="Y7" s="88">
        <v>8</v>
      </c>
      <c r="Z7" s="88">
        <v>44.4</v>
      </c>
      <c r="AA7" s="88">
        <v>22.2</v>
      </c>
      <c r="AB7" s="88">
        <v>-28.44</v>
      </c>
      <c r="AC7" s="12" t="str">
        <f>VLOOKUP($B:$B,'Name Bridge'!A:B,2,FALSE)</f>
        <v>LAC</v>
      </c>
      <c r="AD7" s="36">
        <f t="shared" si="0"/>
        <v>6.5760869565217392</v>
      </c>
      <c r="AE7" s="12">
        <f t="shared" si="1"/>
        <v>7</v>
      </c>
      <c r="AF7" s="36">
        <f t="shared" si="2"/>
        <v>5.7954545454545459</v>
      </c>
      <c r="AG7" s="12">
        <f t="shared" si="3"/>
        <v>32</v>
      </c>
      <c r="AH7" s="36">
        <f t="shared" si="4"/>
        <v>9.453125</v>
      </c>
    </row>
    <row r="8" spans="1:34" ht="30" x14ac:dyDescent="0.2">
      <c r="A8" s="87">
        <v>7</v>
      </c>
      <c r="B8" s="88" t="s">
        <v>701</v>
      </c>
      <c r="C8" s="88">
        <v>3</v>
      </c>
      <c r="D8" s="88">
        <v>60</v>
      </c>
      <c r="E8" s="88">
        <v>746</v>
      </c>
      <c r="F8" s="88">
        <v>161</v>
      </c>
      <c r="G8" s="88">
        <v>4.5999999999999996</v>
      </c>
      <c r="H8" s="88">
        <v>2</v>
      </c>
      <c r="I8" s="88">
        <v>1</v>
      </c>
      <c r="J8" s="88">
        <v>44</v>
      </c>
      <c r="K8" s="88">
        <v>51</v>
      </c>
      <c r="L8" s="88">
        <v>85</v>
      </c>
      <c r="M8" s="88">
        <v>545</v>
      </c>
      <c r="N8" s="88">
        <v>5</v>
      </c>
      <c r="O8" s="88">
        <v>1</v>
      </c>
      <c r="P8" s="88">
        <v>5.6</v>
      </c>
      <c r="Q8" s="88">
        <v>29</v>
      </c>
      <c r="R8" s="88">
        <v>64</v>
      </c>
      <c r="S8" s="88">
        <v>201</v>
      </c>
      <c r="T8" s="88">
        <v>2</v>
      </c>
      <c r="U8" s="88">
        <v>3.1</v>
      </c>
      <c r="V8" s="88">
        <v>11</v>
      </c>
      <c r="W8" s="88">
        <v>19</v>
      </c>
      <c r="X8" s="88">
        <v>158</v>
      </c>
      <c r="Y8" s="88">
        <v>4</v>
      </c>
      <c r="Z8" s="88">
        <v>37.9</v>
      </c>
      <c r="AA8" s="88">
        <v>3.4</v>
      </c>
      <c r="AB8" s="88">
        <v>-9.2200000000000006</v>
      </c>
      <c r="AC8" s="12" t="str">
        <f>VLOOKUP($B:$B,'Name Bridge'!A:B,2,FALSE)</f>
        <v>CLE</v>
      </c>
      <c r="AD8" s="36">
        <f t="shared" si="0"/>
        <v>6.4117647058823533</v>
      </c>
      <c r="AE8" s="12">
        <f t="shared" si="1"/>
        <v>5</v>
      </c>
      <c r="AF8" s="36">
        <f t="shared" si="2"/>
        <v>3.140625</v>
      </c>
      <c r="AG8" s="12">
        <f t="shared" si="3"/>
        <v>5</v>
      </c>
      <c r="AH8" s="36">
        <f t="shared" si="4"/>
        <v>10.686274509803921</v>
      </c>
    </row>
    <row r="9" spans="1:34" ht="30" x14ac:dyDescent="0.2">
      <c r="A9" s="87">
        <v>8</v>
      </c>
      <c r="B9" s="88" t="s">
        <v>878</v>
      </c>
      <c r="C9" s="88">
        <v>3</v>
      </c>
      <c r="D9" s="88">
        <v>62</v>
      </c>
      <c r="E9" s="88">
        <v>1122</v>
      </c>
      <c r="F9" s="88">
        <v>205</v>
      </c>
      <c r="G9" s="88">
        <v>5.5</v>
      </c>
      <c r="H9" s="88">
        <v>4</v>
      </c>
      <c r="I9" s="88">
        <v>1</v>
      </c>
      <c r="J9" s="88">
        <v>73</v>
      </c>
      <c r="K9" s="88">
        <v>92</v>
      </c>
      <c r="L9" s="88">
        <v>131</v>
      </c>
      <c r="M9" s="88">
        <v>844</v>
      </c>
      <c r="N9" s="88">
        <v>2</v>
      </c>
      <c r="O9" s="88">
        <v>3</v>
      </c>
      <c r="P9" s="88">
        <v>6</v>
      </c>
      <c r="Q9" s="88">
        <v>50</v>
      </c>
      <c r="R9" s="88">
        <v>65</v>
      </c>
      <c r="S9" s="88">
        <v>278</v>
      </c>
      <c r="T9" s="88">
        <v>4</v>
      </c>
      <c r="U9" s="88">
        <v>4.3</v>
      </c>
      <c r="V9" s="88">
        <v>21</v>
      </c>
      <c r="W9" s="88">
        <v>13</v>
      </c>
      <c r="X9" s="88">
        <v>101</v>
      </c>
      <c r="Y9" s="88">
        <v>2</v>
      </c>
      <c r="Z9" s="88">
        <v>35.700000000000003</v>
      </c>
      <c r="AA9" s="88">
        <v>14.3</v>
      </c>
      <c r="AB9" s="88">
        <v>-15.59</v>
      </c>
      <c r="AC9" s="12" t="str">
        <f>VLOOKUP($B:$B,'Name Bridge'!A:B,2,FALSE)</f>
        <v>LAR</v>
      </c>
      <c r="AD9" s="36">
        <f t="shared" si="0"/>
        <v>6.4427480916030531</v>
      </c>
      <c r="AE9" s="12">
        <f t="shared" si="1"/>
        <v>24</v>
      </c>
      <c r="AF9" s="36">
        <f t="shared" si="2"/>
        <v>4.2769230769230768</v>
      </c>
      <c r="AG9" s="12">
        <f t="shared" si="3"/>
        <v>10</v>
      </c>
      <c r="AH9" s="36">
        <f t="shared" si="4"/>
        <v>9.1739130434782616</v>
      </c>
    </row>
    <row r="10" spans="1:34" ht="30" x14ac:dyDescent="0.2">
      <c r="A10" s="87">
        <v>9</v>
      </c>
      <c r="B10" s="88" t="s">
        <v>691</v>
      </c>
      <c r="C10" s="88">
        <v>3</v>
      </c>
      <c r="D10" s="88">
        <v>64</v>
      </c>
      <c r="E10" s="88">
        <v>946</v>
      </c>
      <c r="F10" s="88">
        <v>203</v>
      </c>
      <c r="G10" s="88">
        <v>4.7</v>
      </c>
      <c r="H10" s="88">
        <v>1</v>
      </c>
      <c r="I10" s="88">
        <v>1</v>
      </c>
      <c r="J10" s="88">
        <v>69</v>
      </c>
      <c r="K10" s="88">
        <v>64</v>
      </c>
      <c r="L10" s="88">
        <v>91</v>
      </c>
      <c r="M10" s="88">
        <v>545</v>
      </c>
      <c r="N10" s="88">
        <v>4</v>
      </c>
      <c r="O10" s="88">
        <v>0</v>
      </c>
      <c r="P10" s="88">
        <v>5.6</v>
      </c>
      <c r="Q10" s="88">
        <v>31</v>
      </c>
      <c r="R10" s="88">
        <v>105</v>
      </c>
      <c r="S10" s="88">
        <v>401</v>
      </c>
      <c r="T10" s="88">
        <v>3</v>
      </c>
      <c r="U10" s="88">
        <v>3.8</v>
      </c>
      <c r="V10" s="88">
        <v>26</v>
      </c>
      <c r="W10" s="88">
        <v>21</v>
      </c>
      <c r="X10" s="88">
        <v>196</v>
      </c>
      <c r="Y10" s="88">
        <v>12</v>
      </c>
      <c r="Z10" s="88">
        <v>31.3</v>
      </c>
      <c r="AA10" s="88">
        <v>3.1</v>
      </c>
      <c r="AB10" s="88">
        <v>-4.51</v>
      </c>
      <c r="AC10" s="12" t="str">
        <f>VLOOKUP($B:$B,'Name Bridge'!A:B,2,FALSE)</f>
        <v>PHI</v>
      </c>
      <c r="AD10" s="36">
        <f t="shared" si="0"/>
        <v>5.9890109890109891</v>
      </c>
      <c r="AE10" s="12">
        <f t="shared" si="1"/>
        <v>5</v>
      </c>
      <c r="AF10" s="36">
        <f t="shared" si="2"/>
        <v>3.8190476190476192</v>
      </c>
      <c r="AG10" s="12">
        <f t="shared" si="3"/>
        <v>25</v>
      </c>
      <c r="AH10" s="36">
        <f t="shared" si="4"/>
        <v>8.515625</v>
      </c>
    </row>
    <row r="11" spans="1:34" ht="30" x14ac:dyDescent="0.2">
      <c r="A11" s="87">
        <v>10</v>
      </c>
      <c r="B11" s="88" t="s">
        <v>698</v>
      </c>
      <c r="C11" s="88">
        <v>3</v>
      </c>
      <c r="D11" s="88">
        <v>65</v>
      </c>
      <c r="E11" s="88">
        <v>1028</v>
      </c>
      <c r="F11" s="88">
        <v>190</v>
      </c>
      <c r="G11" s="88">
        <v>5.4</v>
      </c>
      <c r="H11" s="88">
        <v>7</v>
      </c>
      <c r="I11" s="88">
        <v>4</v>
      </c>
      <c r="J11" s="88">
        <v>59</v>
      </c>
      <c r="K11" s="88">
        <v>66</v>
      </c>
      <c r="L11" s="88">
        <v>102</v>
      </c>
      <c r="M11" s="88">
        <v>606</v>
      </c>
      <c r="N11" s="88">
        <v>5</v>
      </c>
      <c r="O11" s="88">
        <v>3</v>
      </c>
      <c r="P11" s="88">
        <v>5.4</v>
      </c>
      <c r="Q11" s="88">
        <v>32</v>
      </c>
      <c r="R11" s="88">
        <v>78</v>
      </c>
      <c r="S11" s="88">
        <v>422</v>
      </c>
      <c r="T11" s="88">
        <v>2</v>
      </c>
      <c r="U11" s="88">
        <v>5.4</v>
      </c>
      <c r="V11" s="88">
        <v>25</v>
      </c>
      <c r="W11" s="88">
        <v>14</v>
      </c>
      <c r="X11" s="88">
        <v>113</v>
      </c>
      <c r="Y11" s="88">
        <v>2</v>
      </c>
      <c r="Z11" s="88">
        <v>25.7</v>
      </c>
      <c r="AA11" s="88">
        <v>20</v>
      </c>
      <c r="AB11" s="88">
        <v>9.7899999999999991</v>
      </c>
      <c r="AC11" s="12" t="str">
        <f>VLOOKUP($B:$B,'Name Bridge'!A:B,2,FALSE)</f>
        <v>ARI</v>
      </c>
      <c r="AD11" s="36">
        <f t="shared" si="0"/>
        <v>5.9411764705882355</v>
      </c>
      <c r="AE11" s="12">
        <f t="shared" si="1"/>
        <v>8</v>
      </c>
      <c r="AF11" s="36">
        <f t="shared" si="2"/>
        <v>5.4102564102564106</v>
      </c>
      <c r="AG11" s="12">
        <f t="shared" si="3"/>
        <v>28</v>
      </c>
      <c r="AH11" s="36">
        <f t="shared" si="4"/>
        <v>9.1818181818181817</v>
      </c>
    </row>
    <row r="12" spans="1:34" ht="30" x14ac:dyDescent="0.2">
      <c r="A12" s="87">
        <v>11</v>
      </c>
      <c r="B12" s="88" t="s">
        <v>666</v>
      </c>
      <c r="C12" s="88">
        <v>3</v>
      </c>
      <c r="D12" s="88">
        <v>66</v>
      </c>
      <c r="E12" s="88">
        <v>1064</v>
      </c>
      <c r="F12" s="88">
        <v>185</v>
      </c>
      <c r="G12" s="88">
        <v>5.8</v>
      </c>
      <c r="H12" s="88">
        <v>2</v>
      </c>
      <c r="I12" s="88">
        <v>1</v>
      </c>
      <c r="J12" s="88">
        <v>56</v>
      </c>
      <c r="K12" s="88">
        <v>72</v>
      </c>
      <c r="L12" s="88">
        <v>106</v>
      </c>
      <c r="M12" s="88">
        <v>799</v>
      </c>
      <c r="N12" s="88">
        <v>6</v>
      </c>
      <c r="O12" s="88">
        <v>1</v>
      </c>
      <c r="P12" s="88">
        <v>7.2</v>
      </c>
      <c r="Q12" s="88">
        <v>37</v>
      </c>
      <c r="R12" s="88">
        <v>74</v>
      </c>
      <c r="S12" s="88">
        <v>265</v>
      </c>
      <c r="T12" s="88">
        <v>0</v>
      </c>
      <c r="U12" s="88">
        <v>3.6</v>
      </c>
      <c r="V12" s="88">
        <v>16</v>
      </c>
      <c r="W12" s="88">
        <v>23</v>
      </c>
      <c r="X12" s="88">
        <v>210</v>
      </c>
      <c r="Y12" s="88">
        <v>3</v>
      </c>
      <c r="Z12" s="88">
        <v>42.4</v>
      </c>
      <c r="AA12" s="88">
        <v>6.1</v>
      </c>
      <c r="AB12" s="88">
        <v>-9.3699999999999992</v>
      </c>
      <c r="AC12" s="12" t="str">
        <f>VLOOKUP($B:$B,'Name Bridge'!A:B,2,FALSE)</f>
        <v>PIT</v>
      </c>
      <c r="AD12" s="36">
        <f t="shared" si="0"/>
        <v>7.5377358490566042</v>
      </c>
      <c r="AE12" s="12">
        <f t="shared" si="1"/>
        <v>19</v>
      </c>
      <c r="AF12" s="36">
        <f t="shared" si="2"/>
        <v>3.5810810810810811</v>
      </c>
      <c r="AG12" s="12">
        <f t="shared" si="3"/>
        <v>9</v>
      </c>
      <c r="AH12" s="36">
        <f t="shared" si="4"/>
        <v>11.097222222222221</v>
      </c>
    </row>
    <row r="13" spans="1:34" ht="30" x14ac:dyDescent="0.2">
      <c r="A13" s="87">
        <v>12</v>
      </c>
      <c r="B13" s="88" t="s">
        <v>877</v>
      </c>
      <c r="C13" s="88">
        <v>3</v>
      </c>
      <c r="D13" s="88">
        <v>69</v>
      </c>
      <c r="E13" s="88">
        <v>1206</v>
      </c>
      <c r="F13" s="88">
        <v>179</v>
      </c>
      <c r="G13" s="88">
        <v>6.7</v>
      </c>
      <c r="H13" s="88">
        <v>8</v>
      </c>
      <c r="I13" s="88">
        <v>2</v>
      </c>
      <c r="J13" s="88">
        <v>60</v>
      </c>
      <c r="K13" s="88">
        <v>88</v>
      </c>
      <c r="L13" s="88">
        <v>130</v>
      </c>
      <c r="M13" s="88">
        <v>995</v>
      </c>
      <c r="N13" s="88">
        <v>7</v>
      </c>
      <c r="O13" s="88">
        <v>6</v>
      </c>
      <c r="P13" s="88">
        <v>7.4</v>
      </c>
      <c r="Q13" s="88">
        <v>46</v>
      </c>
      <c r="R13" s="88">
        <v>45</v>
      </c>
      <c r="S13" s="88">
        <v>211</v>
      </c>
      <c r="T13" s="88">
        <v>0</v>
      </c>
      <c r="U13" s="88">
        <v>4.7</v>
      </c>
      <c r="V13" s="88">
        <v>9</v>
      </c>
      <c r="W13" s="88">
        <v>36</v>
      </c>
      <c r="X13" s="88">
        <v>291</v>
      </c>
      <c r="Y13" s="88">
        <v>5</v>
      </c>
      <c r="Z13" s="88">
        <v>34.4</v>
      </c>
      <c r="AA13" s="88">
        <v>25</v>
      </c>
      <c r="AB13" s="88">
        <v>-3.73</v>
      </c>
      <c r="AC13" s="12" t="str">
        <f>VLOOKUP($B:$B,'Name Bridge'!A:B,2,FALSE)</f>
        <v>DAL</v>
      </c>
      <c r="AD13" s="36">
        <f t="shared" si="0"/>
        <v>7.6538461538461542</v>
      </c>
      <c r="AE13" s="12">
        <f t="shared" si="1"/>
        <v>30</v>
      </c>
      <c r="AF13" s="36">
        <f t="shared" si="2"/>
        <v>4.6888888888888891</v>
      </c>
      <c r="AG13" s="12">
        <f t="shared" si="3"/>
        <v>6</v>
      </c>
      <c r="AH13" s="36">
        <f t="shared" si="4"/>
        <v>11.306818181818182</v>
      </c>
    </row>
    <row r="14" spans="1:34" x14ac:dyDescent="0.2">
      <c r="A14" s="87">
        <v>13</v>
      </c>
      <c r="B14" s="88" t="s">
        <v>697</v>
      </c>
      <c r="C14" s="88">
        <v>3</v>
      </c>
      <c r="D14" s="88">
        <v>70</v>
      </c>
      <c r="E14" s="88">
        <v>984</v>
      </c>
      <c r="F14" s="88">
        <v>184</v>
      </c>
      <c r="G14" s="88">
        <v>5.3</v>
      </c>
      <c r="H14" s="88">
        <v>2</v>
      </c>
      <c r="I14" s="88">
        <v>2</v>
      </c>
      <c r="J14" s="88">
        <v>57</v>
      </c>
      <c r="K14" s="88">
        <v>65</v>
      </c>
      <c r="L14" s="88">
        <v>90</v>
      </c>
      <c r="M14" s="88">
        <v>652</v>
      </c>
      <c r="N14" s="88">
        <v>1</v>
      </c>
      <c r="O14" s="88">
        <v>0</v>
      </c>
      <c r="P14" s="88">
        <v>6.8</v>
      </c>
      <c r="Q14" s="88">
        <v>33</v>
      </c>
      <c r="R14" s="88">
        <v>88</v>
      </c>
      <c r="S14" s="88">
        <v>332</v>
      </c>
      <c r="T14" s="88">
        <v>5</v>
      </c>
      <c r="U14" s="88">
        <v>3.8</v>
      </c>
      <c r="V14" s="88">
        <v>19</v>
      </c>
      <c r="W14" s="88">
        <v>18</v>
      </c>
      <c r="X14" s="88">
        <v>142</v>
      </c>
      <c r="Y14" s="88">
        <v>5</v>
      </c>
      <c r="Z14" s="88">
        <v>47.1</v>
      </c>
      <c r="AA14" s="88">
        <v>5.9</v>
      </c>
      <c r="AB14" s="88">
        <v>-6.23</v>
      </c>
      <c r="AC14" s="12" t="str">
        <f>VLOOKUP($B:$B,'Name Bridge'!A:B,2,FALSE)</f>
        <v>NYJ</v>
      </c>
      <c r="AD14" s="36">
        <f t="shared" si="0"/>
        <v>7.2444444444444445</v>
      </c>
      <c r="AE14" s="12">
        <f t="shared" si="1"/>
        <v>10</v>
      </c>
      <c r="AF14" s="36">
        <f t="shared" si="2"/>
        <v>3.7727272727272729</v>
      </c>
      <c r="AG14" s="12">
        <f t="shared" si="3"/>
        <v>13</v>
      </c>
      <c r="AH14" s="36">
        <f t="shared" si="4"/>
        <v>10.030769230769231</v>
      </c>
    </row>
    <row r="15" spans="1:34" ht="30" x14ac:dyDescent="0.2">
      <c r="A15" s="87">
        <v>14</v>
      </c>
      <c r="B15" s="88" t="s">
        <v>879</v>
      </c>
      <c r="C15" s="88">
        <v>3</v>
      </c>
      <c r="D15" s="88">
        <v>72</v>
      </c>
      <c r="E15" s="88">
        <v>1067</v>
      </c>
      <c r="F15" s="88">
        <v>201</v>
      </c>
      <c r="G15" s="88">
        <v>5.3</v>
      </c>
      <c r="H15" s="88">
        <v>3</v>
      </c>
      <c r="I15" s="88">
        <v>2</v>
      </c>
      <c r="J15" s="88">
        <v>59</v>
      </c>
      <c r="K15" s="88">
        <v>78</v>
      </c>
      <c r="L15" s="88">
        <v>119</v>
      </c>
      <c r="M15" s="88">
        <v>706</v>
      </c>
      <c r="N15" s="88">
        <v>2</v>
      </c>
      <c r="O15" s="88">
        <v>1</v>
      </c>
      <c r="P15" s="88">
        <v>5.6</v>
      </c>
      <c r="Q15" s="88">
        <v>37</v>
      </c>
      <c r="R15" s="88">
        <v>75</v>
      </c>
      <c r="S15" s="88">
        <v>361</v>
      </c>
      <c r="T15" s="88">
        <v>5</v>
      </c>
      <c r="U15" s="88">
        <v>4.8</v>
      </c>
      <c r="V15" s="88">
        <v>16</v>
      </c>
      <c r="W15" s="88">
        <v>18</v>
      </c>
      <c r="X15" s="88">
        <v>182</v>
      </c>
      <c r="Y15" s="88">
        <v>6</v>
      </c>
      <c r="Z15" s="88">
        <v>35.299999999999997</v>
      </c>
      <c r="AA15" s="88">
        <v>8.8000000000000007</v>
      </c>
      <c r="AB15" s="88">
        <v>-9.23</v>
      </c>
      <c r="AC15" s="12" t="str">
        <f>VLOOKUP($B:$B,'Name Bridge'!A:B,2,FALSE)</f>
        <v>LV</v>
      </c>
      <c r="AD15" s="36">
        <f t="shared" si="0"/>
        <v>5.9327731092436977</v>
      </c>
      <c r="AE15" s="12">
        <f t="shared" si="1"/>
        <v>13</v>
      </c>
      <c r="AF15" s="36">
        <f t="shared" si="2"/>
        <v>4.8133333333333335</v>
      </c>
      <c r="AG15" s="12">
        <f t="shared" si="3"/>
        <v>20</v>
      </c>
      <c r="AH15" s="36">
        <f t="shared" si="4"/>
        <v>9.0512820512820511</v>
      </c>
    </row>
    <row r="16" spans="1:34" ht="30" x14ac:dyDescent="0.2">
      <c r="A16" s="87">
        <v>15</v>
      </c>
      <c r="B16" s="88" t="s">
        <v>309</v>
      </c>
      <c r="C16" s="88">
        <v>3</v>
      </c>
      <c r="D16" s="88">
        <v>74</v>
      </c>
      <c r="E16" s="88">
        <v>1111</v>
      </c>
      <c r="F16" s="88">
        <v>198</v>
      </c>
      <c r="G16" s="88">
        <v>5.6</v>
      </c>
      <c r="H16" s="88">
        <v>1</v>
      </c>
      <c r="I16" s="88">
        <v>0</v>
      </c>
      <c r="J16" s="88">
        <v>70</v>
      </c>
      <c r="K16" s="88">
        <v>73</v>
      </c>
      <c r="L16" s="88">
        <v>114</v>
      </c>
      <c r="M16" s="88">
        <v>744</v>
      </c>
      <c r="N16" s="88">
        <v>5</v>
      </c>
      <c r="O16" s="88">
        <v>1</v>
      </c>
      <c r="P16" s="88">
        <v>6.2</v>
      </c>
      <c r="Q16" s="88">
        <v>39</v>
      </c>
      <c r="R16" s="88">
        <v>78</v>
      </c>
      <c r="S16" s="88">
        <v>367</v>
      </c>
      <c r="T16" s="88">
        <v>3</v>
      </c>
      <c r="U16" s="88">
        <v>4.7</v>
      </c>
      <c r="V16" s="88">
        <v>21</v>
      </c>
      <c r="W16" s="88">
        <v>20</v>
      </c>
      <c r="X16" s="88">
        <v>189</v>
      </c>
      <c r="Y16" s="88">
        <v>10</v>
      </c>
      <c r="Z16" s="88">
        <v>40.6</v>
      </c>
      <c r="AA16" s="88">
        <v>3.1</v>
      </c>
      <c r="AB16" s="88">
        <v>-25.6</v>
      </c>
      <c r="AC16" s="12" t="str">
        <f>VLOOKUP($B:$B,'Name Bridge'!A:B,2,FALSE)</f>
        <v>SF</v>
      </c>
      <c r="AD16" s="36">
        <f t="shared" si="0"/>
        <v>6.5263157894736841</v>
      </c>
      <c r="AE16" s="12">
        <f t="shared" si="1"/>
        <v>15</v>
      </c>
      <c r="AF16" s="36">
        <f t="shared" si="2"/>
        <v>4.7051282051282053</v>
      </c>
      <c r="AG16" s="12">
        <f t="shared" si="3"/>
        <v>21</v>
      </c>
      <c r="AH16" s="36">
        <f t="shared" si="4"/>
        <v>10.191780821917808</v>
      </c>
    </row>
    <row r="17" spans="1:34" ht="30" x14ac:dyDescent="0.2">
      <c r="A17" s="87">
        <v>16</v>
      </c>
      <c r="B17" s="88" t="s">
        <v>693</v>
      </c>
      <c r="C17" s="88">
        <v>3</v>
      </c>
      <c r="D17" s="88">
        <v>74</v>
      </c>
      <c r="E17" s="88">
        <v>1123</v>
      </c>
      <c r="F17" s="88">
        <v>194</v>
      </c>
      <c r="G17" s="88">
        <v>5.8</v>
      </c>
      <c r="H17" s="88">
        <v>3</v>
      </c>
      <c r="I17" s="88">
        <v>2</v>
      </c>
      <c r="J17" s="88">
        <v>67</v>
      </c>
      <c r="K17" s="88">
        <v>89</v>
      </c>
      <c r="L17" s="88">
        <v>118</v>
      </c>
      <c r="M17" s="88">
        <v>802</v>
      </c>
      <c r="N17" s="88">
        <v>6</v>
      </c>
      <c r="O17" s="88">
        <v>1</v>
      </c>
      <c r="P17" s="88">
        <v>6.5</v>
      </c>
      <c r="Q17" s="88">
        <v>42</v>
      </c>
      <c r="R17" s="88">
        <v>70</v>
      </c>
      <c r="S17" s="88">
        <v>321</v>
      </c>
      <c r="T17" s="88">
        <v>2</v>
      </c>
      <c r="U17" s="88">
        <v>4.5999999999999996</v>
      </c>
      <c r="V17" s="88">
        <v>15</v>
      </c>
      <c r="W17" s="88">
        <v>18</v>
      </c>
      <c r="X17" s="88">
        <v>159</v>
      </c>
      <c r="Y17" s="88">
        <v>10</v>
      </c>
      <c r="Z17" s="88">
        <v>48.3</v>
      </c>
      <c r="AA17" s="88">
        <v>10.3</v>
      </c>
      <c r="AB17" s="88">
        <v>-34.6</v>
      </c>
      <c r="AC17" s="12" t="str">
        <f>VLOOKUP($B:$B,'Name Bridge'!A:B,2,FALSE)</f>
        <v>NYG</v>
      </c>
      <c r="AD17" s="36">
        <f t="shared" si="0"/>
        <v>6.7966101694915251</v>
      </c>
      <c r="AE17" s="12">
        <f t="shared" si="1"/>
        <v>20</v>
      </c>
      <c r="AF17" s="36">
        <f t="shared" si="2"/>
        <v>4.5857142857142854</v>
      </c>
      <c r="AG17" s="12">
        <f t="shared" si="3"/>
        <v>12</v>
      </c>
      <c r="AH17" s="36">
        <f t="shared" si="4"/>
        <v>9.0112359550561791</v>
      </c>
    </row>
    <row r="18" spans="1:34" ht="30" x14ac:dyDescent="0.2">
      <c r="A18" s="87">
        <v>17</v>
      </c>
      <c r="B18" s="88" t="s">
        <v>702</v>
      </c>
      <c r="C18" s="88">
        <v>4</v>
      </c>
      <c r="D18" s="88">
        <v>75</v>
      </c>
      <c r="E18" s="88">
        <v>1292</v>
      </c>
      <c r="F18" s="88">
        <v>268</v>
      </c>
      <c r="G18" s="88">
        <v>4.8</v>
      </c>
      <c r="H18" s="88">
        <v>4</v>
      </c>
      <c r="I18" s="88">
        <v>1</v>
      </c>
      <c r="J18" s="88">
        <v>82</v>
      </c>
      <c r="K18" s="88">
        <v>107</v>
      </c>
      <c r="L18" s="88">
        <v>156</v>
      </c>
      <c r="M18" s="88">
        <v>918</v>
      </c>
      <c r="N18" s="88">
        <v>4</v>
      </c>
      <c r="O18" s="88">
        <v>3</v>
      </c>
      <c r="P18" s="88">
        <v>5.5</v>
      </c>
      <c r="Q18" s="88">
        <v>47</v>
      </c>
      <c r="R18" s="88">
        <v>101</v>
      </c>
      <c r="S18" s="88">
        <v>374</v>
      </c>
      <c r="T18" s="88">
        <v>4</v>
      </c>
      <c r="U18" s="88">
        <v>3.7</v>
      </c>
      <c r="V18" s="88">
        <v>25</v>
      </c>
      <c r="W18" s="88">
        <v>32</v>
      </c>
      <c r="X18" s="88">
        <v>269</v>
      </c>
      <c r="Y18" s="88">
        <v>10</v>
      </c>
      <c r="Z18" s="88">
        <v>28.6</v>
      </c>
      <c r="AA18" s="88">
        <v>9.5</v>
      </c>
      <c r="AB18" s="88">
        <v>4.33</v>
      </c>
      <c r="AC18" s="12" t="str">
        <f>VLOOKUP($B:$B,'Name Bridge'!A:B,2,FALSE)</f>
        <v>CIN</v>
      </c>
      <c r="AD18" s="36">
        <f t="shared" si="0"/>
        <v>5.884615384615385</v>
      </c>
      <c r="AE18" s="12">
        <f t="shared" si="1"/>
        <v>27</v>
      </c>
      <c r="AF18" s="36">
        <f t="shared" si="2"/>
        <v>3.7029702970297032</v>
      </c>
      <c r="AG18" s="12">
        <f t="shared" si="3"/>
        <v>23</v>
      </c>
      <c r="AH18" s="36">
        <f t="shared" si="4"/>
        <v>8.5794392523364493</v>
      </c>
    </row>
    <row r="19" spans="1:34" ht="30" x14ac:dyDescent="0.2">
      <c r="A19" s="87">
        <v>18</v>
      </c>
      <c r="B19" s="88" t="s">
        <v>699</v>
      </c>
      <c r="C19" s="88">
        <v>3</v>
      </c>
      <c r="D19" s="88">
        <v>76</v>
      </c>
      <c r="E19" s="88">
        <v>1157</v>
      </c>
      <c r="F19" s="88">
        <v>195</v>
      </c>
      <c r="G19" s="88">
        <v>5.9</v>
      </c>
      <c r="H19" s="88">
        <v>5</v>
      </c>
      <c r="I19" s="88">
        <v>1</v>
      </c>
      <c r="J19" s="88">
        <v>70</v>
      </c>
      <c r="K19" s="88">
        <v>70</v>
      </c>
      <c r="L19" s="88">
        <v>106</v>
      </c>
      <c r="M19" s="88">
        <v>808</v>
      </c>
      <c r="N19" s="88">
        <v>4</v>
      </c>
      <c r="O19" s="88">
        <v>4</v>
      </c>
      <c r="P19" s="88">
        <v>7.2</v>
      </c>
      <c r="Q19" s="88">
        <v>38</v>
      </c>
      <c r="R19" s="88">
        <v>83</v>
      </c>
      <c r="S19" s="88">
        <v>349</v>
      </c>
      <c r="T19" s="88">
        <v>6</v>
      </c>
      <c r="U19" s="88">
        <v>4.2</v>
      </c>
      <c r="V19" s="88">
        <v>26</v>
      </c>
      <c r="W19" s="88">
        <v>23</v>
      </c>
      <c r="X19" s="88">
        <v>208</v>
      </c>
      <c r="Y19" s="88">
        <v>6</v>
      </c>
      <c r="Z19" s="88">
        <v>35.299999999999997</v>
      </c>
      <c r="AA19" s="88">
        <v>14.7</v>
      </c>
      <c r="AB19" s="88">
        <v>-21.03</v>
      </c>
      <c r="AC19" s="12" t="str">
        <f>VLOOKUP($B:$B,'Name Bridge'!A:B,2,FALSE)</f>
        <v>HOU</v>
      </c>
      <c r="AD19" s="36">
        <f t="shared" si="0"/>
        <v>7.6226415094339623</v>
      </c>
      <c r="AE19" s="12">
        <f t="shared" si="1"/>
        <v>21</v>
      </c>
      <c r="AF19" s="36">
        <f t="shared" si="2"/>
        <v>4.2048192771084336</v>
      </c>
      <c r="AG19" s="12">
        <f t="shared" si="3"/>
        <v>16</v>
      </c>
      <c r="AH19" s="36">
        <f t="shared" si="4"/>
        <v>11.542857142857143</v>
      </c>
    </row>
    <row r="20" spans="1:34" x14ac:dyDescent="0.2">
      <c r="A20" s="87">
        <v>19</v>
      </c>
      <c r="B20" s="88" t="s">
        <v>839</v>
      </c>
      <c r="C20" s="88">
        <v>3</v>
      </c>
      <c r="D20" s="88">
        <v>77</v>
      </c>
      <c r="E20" s="88">
        <v>1052</v>
      </c>
      <c r="F20" s="88">
        <v>183</v>
      </c>
      <c r="G20" s="88">
        <v>5.7</v>
      </c>
      <c r="H20" s="88">
        <v>4</v>
      </c>
      <c r="I20" s="88">
        <v>1</v>
      </c>
      <c r="J20" s="88">
        <v>58</v>
      </c>
      <c r="K20" s="88">
        <v>58</v>
      </c>
      <c r="L20" s="88">
        <v>87</v>
      </c>
      <c r="M20" s="88">
        <v>694</v>
      </c>
      <c r="N20" s="88">
        <v>6</v>
      </c>
      <c r="O20" s="88">
        <v>3</v>
      </c>
      <c r="P20" s="88">
        <v>7.1</v>
      </c>
      <c r="Q20" s="88">
        <v>36</v>
      </c>
      <c r="R20" s="88">
        <v>85</v>
      </c>
      <c r="S20" s="88">
        <v>358</v>
      </c>
      <c r="T20" s="88">
        <v>2</v>
      </c>
      <c r="U20" s="88">
        <v>4.2</v>
      </c>
      <c r="V20" s="88">
        <v>17</v>
      </c>
      <c r="W20" s="88">
        <v>15</v>
      </c>
      <c r="X20" s="88">
        <v>191</v>
      </c>
      <c r="Y20" s="88">
        <v>5</v>
      </c>
      <c r="Z20" s="88">
        <v>48.4</v>
      </c>
      <c r="AA20" s="88">
        <v>12.9</v>
      </c>
      <c r="AB20" s="88">
        <v>-11.55</v>
      </c>
      <c r="AC20" s="12" t="str">
        <f>VLOOKUP($B:$B,'Name Bridge'!A:B,2,FALSE)</f>
        <v>CHI</v>
      </c>
      <c r="AD20" s="36">
        <f t="shared" si="0"/>
        <v>7.9770114942528734</v>
      </c>
      <c r="AE20" s="12">
        <f t="shared" si="1"/>
        <v>11</v>
      </c>
      <c r="AF20" s="36">
        <f t="shared" si="2"/>
        <v>4.2117647058823531</v>
      </c>
      <c r="AG20" s="12">
        <f t="shared" si="3"/>
        <v>18</v>
      </c>
      <c r="AH20" s="36">
        <f t="shared" si="4"/>
        <v>11.96551724137931</v>
      </c>
    </row>
    <row r="21" spans="1:34" ht="30" x14ac:dyDescent="0.2">
      <c r="A21" s="87">
        <v>20</v>
      </c>
      <c r="B21" s="88" t="s">
        <v>690</v>
      </c>
      <c r="C21" s="88">
        <v>3</v>
      </c>
      <c r="D21" s="88">
        <v>78</v>
      </c>
      <c r="E21" s="88">
        <v>1229</v>
      </c>
      <c r="F21" s="88">
        <v>180</v>
      </c>
      <c r="G21" s="88">
        <v>6.8</v>
      </c>
      <c r="H21" s="88">
        <v>2</v>
      </c>
      <c r="I21" s="88">
        <v>0</v>
      </c>
      <c r="J21" s="88">
        <v>62</v>
      </c>
      <c r="K21" s="88">
        <v>72</v>
      </c>
      <c r="L21" s="88">
        <v>95</v>
      </c>
      <c r="M21" s="88">
        <v>871</v>
      </c>
      <c r="N21" s="88">
        <v>6</v>
      </c>
      <c r="O21" s="88">
        <v>2</v>
      </c>
      <c r="P21" s="88">
        <v>8.3000000000000007</v>
      </c>
      <c r="Q21" s="88">
        <v>42</v>
      </c>
      <c r="R21" s="88">
        <v>75</v>
      </c>
      <c r="S21" s="88">
        <v>358</v>
      </c>
      <c r="T21" s="88">
        <v>3</v>
      </c>
      <c r="U21" s="88">
        <v>4.8</v>
      </c>
      <c r="V21" s="88">
        <v>18</v>
      </c>
      <c r="W21" s="88">
        <v>12</v>
      </c>
      <c r="X21" s="88">
        <v>90</v>
      </c>
      <c r="Y21" s="88">
        <v>2</v>
      </c>
      <c r="Z21" s="88">
        <v>41.2</v>
      </c>
      <c r="AA21" s="88">
        <v>5.9</v>
      </c>
      <c r="AB21" s="88">
        <v>-33.01</v>
      </c>
      <c r="AC21" s="12" t="str">
        <f>VLOOKUP($B:$B,'Name Bridge'!A:B,2,FALSE)</f>
        <v>MIN</v>
      </c>
      <c r="AD21" s="36">
        <f t="shared" si="0"/>
        <v>9.1684210526315795</v>
      </c>
      <c r="AE21" s="12">
        <f t="shared" si="1"/>
        <v>26</v>
      </c>
      <c r="AF21" s="36">
        <f t="shared" si="2"/>
        <v>4.7733333333333334</v>
      </c>
      <c r="AG21" s="12">
        <f t="shared" si="3"/>
        <v>18</v>
      </c>
      <c r="AH21" s="36">
        <f t="shared" si="4"/>
        <v>12.097222222222221</v>
      </c>
    </row>
    <row r="22" spans="1:34" ht="30" x14ac:dyDescent="0.2">
      <c r="A22" s="87">
        <v>21</v>
      </c>
      <c r="B22" s="88" t="s">
        <v>349</v>
      </c>
      <c r="C22" s="88">
        <v>3</v>
      </c>
      <c r="D22" s="88">
        <v>79</v>
      </c>
      <c r="E22" s="88">
        <v>1321</v>
      </c>
      <c r="F22" s="88">
        <v>227</v>
      </c>
      <c r="G22" s="88">
        <v>5.8</v>
      </c>
      <c r="H22" s="88">
        <v>2</v>
      </c>
      <c r="I22" s="88">
        <v>2</v>
      </c>
      <c r="J22" s="88">
        <v>84</v>
      </c>
      <c r="K22" s="88">
        <v>82</v>
      </c>
      <c r="L22" s="88">
        <v>116</v>
      </c>
      <c r="M22" s="88">
        <v>856</v>
      </c>
      <c r="N22" s="88">
        <v>5</v>
      </c>
      <c r="O22" s="88">
        <v>0</v>
      </c>
      <c r="P22" s="88">
        <v>7</v>
      </c>
      <c r="Q22" s="88">
        <v>50</v>
      </c>
      <c r="R22" s="88">
        <v>104</v>
      </c>
      <c r="S22" s="88">
        <v>465</v>
      </c>
      <c r="T22" s="88">
        <v>3</v>
      </c>
      <c r="U22" s="88">
        <v>4.5</v>
      </c>
      <c r="V22" s="88">
        <v>26</v>
      </c>
      <c r="W22" s="88">
        <v>11</v>
      </c>
      <c r="X22" s="88">
        <v>101</v>
      </c>
      <c r="Y22" s="88">
        <v>8</v>
      </c>
      <c r="Z22" s="88">
        <v>50</v>
      </c>
      <c r="AA22" s="88">
        <v>6.3</v>
      </c>
      <c r="AB22" s="88">
        <v>-41.44</v>
      </c>
      <c r="AC22" s="12" t="str">
        <f>VLOOKUP($B:$B,'Name Bridge'!A:B,2,FALSE)</f>
        <v>SEA</v>
      </c>
      <c r="AD22" s="36">
        <f t="shared" si="0"/>
        <v>7.3793103448275863</v>
      </c>
      <c r="AE22" s="12">
        <f t="shared" si="1"/>
        <v>25</v>
      </c>
      <c r="AF22" s="36">
        <f t="shared" si="2"/>
        <v>4.4711538461538458</v>
      </c>
      <c r="AG22" s="12">
        <f t="shared" si="3"/>
        <v>30</v>
      </c>
      <c r="AH22" s="36">
        <f t="shared" si="4"/>
        <v>10.439024390243903</v>
      </c>
    </row>
    <row r="23" spans="1:34" ht="30" x14ac:dyDescent="0.2">
      <c r="A23" s="87">
        <v>22</v>
      </c>
      <c r="B23" s="88" t="s">
        <v>643</v>
      </c>
      <c r="C23" s="88">
        <v>3</v>
      </c>
      <c r="D23" s="88">
        <v>80</v>
      </c>
      <c r="E23" s="88">
        <v>1120</v>
      </c>
      <c r="F23" s="88">
        <v>178</v>
      </c>
      <c r="G23" s="88">
        <v>6.3</v>
      </c>
      <c r="H23" s="88">
        <v>6</v>
      </c>
      <c r="I23" s="88">
        <v>3</v>
      </c>
      <c r="J23" s="88">
        <v>63</v>
      </c>
      <c r="K23" s="88">
        <v>55</v>
      </c>
      <c r="L23" s="88">
        <v>80</v>
      </c>
      <c r="M23" s="88">
        <v>699</v>
      </c>
      <c r="N23" s="88">
        <v>9</v>
      </c>
      <c r="O23" s="88">
        <v>3</v>
      </c>
      <c r="P23" s="88">
        <v>8.1999999999999993</v>
      </c>
      <c r="Q23" s="88">
        <v>38</v>
      </c>
      <c r="R23" s="88">
        <v>93</v>
      </c>
      <c r="S23" s="88">
        <v>421</v>
      </c>
      <c r="T23" s="88">
        <v>1</v>
      </c>
      <c r="U23" s="88">
        <v>4.5</v>
      </c>
      <c r="V23" s="88">
        <v>22</v>
      </c>
      <c r="W23" s="88">
        <v>13</v>
      </c>
      <c r="X23" s="88">
        <v>92</v>
      </c>
      <c r="Y23" s="88">
        <v>3</v>
      </c>
      <c r="Z23" s="88">
        <v>44.8</v>
      </c>
      <c r="AA23" s="88">
        <v>20.7</v>
      </c>
      <c r="AB23" s="88">
        <v>-28.75</v>
      </c>
      <c r="AC23" s="12" t="str">
        <f>VLOOKUP($B:$B,'Name Bridge'!A:B,2,FALSE)</f>
        <v>IND</v>
      </c>
      <c r="AD23" s="36">
        <f t="shared" si="0"/>
        <v>8.7375000000000007</v>
      </c>
      <c r="AE23" s="12">
        <f t="shared" si="1"/>
        <v>12</v>
      </c>
      <c r="AF23" s="36">
        <f t="shared" si="2"/>
        <v>4.5268817204301079</v>
      </c>
      <c r="AG23" s="12">
        <f t="shared" si="3"/>
        <v>27</v>
      </c>
      <c r="AH23" s="36">
        <f t="shared" si="4"/>
        <v>12.709090909090909</v>
      </c>
    </row>
    <row r="24" spans="1:34" ht="30" x14ac:dyDescent="0.2">
      <c r="A24" s="87">
        <v>23</v>
      </c>
      <c r="B24" s="88" t="s">
        <v>664</v>
      </c>
      <c r="C24" s="88">
        <v>3</v>
      </c>
      <c r="D24" s="88">
        <v>82</v>
      </c>
      <c r="E24" s="88">
        <v>1204</v>
      </c>
      <c r="F24" s="88">
        <v>215</v>
      </c>
      <c r="G24" s="88">
        <v>5.6</v>
      </c>
      <c r="H24" s="88">
        <v>5</v>
      </c>
      <c r="I24" s="88">
        <v>3</v>
      </c>
      <c r="J24" s="88">
        <v>73</v>
      </c>
      <c r="K24" s="88">
        <v>72</v>
      </c>
      <c r="L24" s="88">
        <v>115</v>
      </c>
      <c r="M24" s="88">
        <v>796</v>
      </c>
      <c r="N24" s="88">
        <v>5</v>
      </c>
      <c r="O24" s="88">
        <v>2</v>
      </c>
      <c r="P24" s="88">
        <v>6.6</v>
      </c>
      <c r="Q24" s="88">
        <v>40</v>
      </c>
      <c r="R24" s="88">
        <v>95</v>
      </c>
      <c r="S24" s="88">
        <v>408</v>
      </c>
      <c r="T24" s="88">
        <v>4</v>
      </c>
      <c r="U24" s="88">
        <v>4.3</v>
      </c>
      <c r="V24" s="88">
        <v>25</v>
      </c>
      <c r="W24" s="88">
        <v>22</v>
      </c>
      <c r="X24" s="88">
        <v>241</v>
      </c>
      <c r="Y24" s="88">
        <v>8</v>
      </c>
      <c r="Z24" s="88">
        <v>44.1</v>
      </c>
      <c r="AA24" s="88">
        <v>14.7</v>
      </c>
      <c r="AB24" s="88">
        <v>-21.12</v>
      </c>
      <c r="AC24" s="12" t="str">
        <f>VLOOKUP($B:$B,'Name Bridge'!A:B,2,FALSE)</f>
        <v>MIA</v>
      </c>
      <c r="AD24" s="36">
        <f t="shared" si="0"/>
        <v>6.9217391304347826</v>
      </c>
      <c r="AE24" s="12">
        <f t="shared" si="1"/>
        <v>18</v>
      </c>
      <c r="AF24" s="36">
        <f t="shared" si="2"/>
        <v>4.2947368421052632</v>
      </c>
      <c r="AG24" s="12">
        <f t="shared" si="3"/>
        <v>26</v>
      </c>
      <c r="AH24" s="36">
        <f t="shared" si="4"/>
        <v>11.055555555555555</v>
      </c>
    </row>
    <row r="25" spans="1:34" ht="30" x14ac:dyDescent="0.2">
      <c r="A25" s="87">
        <v>24</v>
      </c>
      <c r="B25" s="88" t="s">
        <v>448</v>
      </c>
      <c r="C25" s="88">
        <v>3</v>
      </c>
      <c r="D25" s="88">
        <v>83</v>
      </c>
      <c r="E25" s="88">
        <v>964</v>
      </c>
      <c r="F25" s="88">
        <v>181</v>
      </c>
      <c r="G25" s="88">
        <v>5.3</v>
      </c>
      <c r="H25" s="88">
        <v>4</v>
      </c>
      <c r="I25" s="88">
        <v>2</v>
      </c>
      <c r="J25" s="88">
        <v>67</v>
      </c>
      <c r="K25" s="88">
        <v>66</v>
      </c>
      <c r="L25" s="88">
        <v>97</v>
      </c>
      <c r="M25" s="88">
        <v>618</v>
      </c>
      <c r="N25" s="88">
        <v>9</v>
      </c>
      <c r="O25" s="88">
        <v>2</v>
      </c>
      <c r="P25" s="88">
        <v>6.1</v>
      </c>
      <c r="Q25" s="88">
        <v>36</v>
      </c>
      <c r="R25" s="88">
        <v>79</v>
      </c>
      <c r="S25" s="88">
        <v>346</v>
      </c>
      <c r="T25" s="88">
        <v>2</v>
      </c>
      <c r="U25" s="88">
        <v>4.4000000000000004</v>
      </c>
      <c r="V25" s="88">
        <v>24</v>
      </c>
      <c r="W25" s="88">
        <v>19</v>
      </c>
      <c r="X25" s="88">
        <v>200</v>
      </c>
      <c r="Y25" s="88">
        <v>7</v>
      </c>
      <c r="Z25" s="88">
        <v>46.4</v>
      </c>
      <c r="AA25" s="88">
        <v>14.3</v>
      </c>
      <c r="AB25" s="88">
        <v>-32.14</v>
      </c>
      <c r="AC25" s="12" t="str">
        <f>VLOOKUP($B:$B,'Name Bridge'!A:B,2,FALSE)</f>
        <v>GB</v>
      </c>
      <c r="AD25" s="36">
        <f t="shared" si="0"/>
        <v>6.3711340206185563</v>
      </c>
      <c r="AE25" s="12">
        <f t="shared" si="1"/>
        <v>9</v>
      </c>
      <c r="AF25" s="36">
        <f t="shared" si="2"/>
        <v>4.3797468354430382</v>
      </c>
      <c r="AG25" s="12">
        <f t="shared" si="3"/>
        <v>15</v>
      </c>
      <c r="AH25" s="36">
        <f t="shared" si="4"/>
        <v>9.3636363636363633</v>
      </c>
    </row>
    <row r="26" spans="1:34" ht="30" x14ac:dyDescent="0.2">
      <c r="A26" s="87">
        <v>25</v>
      </c>
      <c r="B26" s="88" t="s">
        <v>696</v>
      </c>
      <c r="C26" s="88">
        <v>3</v>
      </c>
      <c r="D26" s="88">
        <v>84</v>
      </c>
      <c r="E26" s="88">
        <v>1078</v>
      </c>
      <c r="F26" s="88">
        <v>176</v>
      </c>
      <c r="G26" s="88">
        <v>6.1</v>
      </c>
      <c r="H26" s="88">
        <v>1</v>
      </c>
      <c r="I26" s="88">
        <v>0</v>
      </c>
      <c r="J26" s="88">
        <v>58</v>
      </c>
      <c r="K26" s="88">
        <v>62</v>
      </c>
      <c r="L26" s="88">
        <v>100</v>
      </c>
      <c r="M26" s="88">
        <v>778</v>
      </c>
      <c r="N26" s="88">
        <v>6</v>
      </c>
      <c r="O26" s="88">
        <v>1</v>
      </c>
      <c r="P26" s="88">
        <v>7.3</v>
      </c>
      <c r="Q26" s="88">
        <v>31</v>
      </c>
      <c r="R26" s="88">
        <v>69</v>
      </c>
      <c r="S26" s="88">
        <v>300</v>
      </c>
      <c r="T26" s="88">
        <v>4</v>
      </c>
      <c r="U26" s="88">
        <v>4.3</v>
      </c>
      <c r="V26" s="88">
        <v>19</v>
      </c>
      <c r="W26" s="88">
        <v>22</v>
      </c>
      <c r="X26" s="88">
        <v>225</v>
      </c>
      <c r="Y26" s="88">
        <v>8</v>
      </c>
      <c r="Z26" s="88">
        <v>45.5</v>
      </c>
      <c r="AA26" s="88">
        <v>3</v>
      </c>
      <c r="AB26" s="88">
        <v>-26.1</v>
      </c>
      <c r="AC26" s="12" t="str">
        <f>VLOOKUP($B:$B,'Name Bridge'!A:B,2,FALSE)</f>
        <v>TEN</v>
      </c>
      <c r="AD26" s="36">
        <f t="shared" si="0"/>
        <v>7.78</v>
      </c>
      <c r="AE26" s="12">
        <f t="shared" si="1"/>
        <v>17</v>
      </c>
      <c r="AF26" s="36">
        <f t="shared" si="2"/>
        <v>4.3478260869565215</v>
      </c>
      <c r="AG26" s="12">
        <f t="shared" si="3"/>
        <v>11</v>
      </c>
      <c r="AH26" s="36">
        <f t="shared" si="4"/>
        <v>12.548387096774194</v>
      </c>
    </row>
    <row r="27" spans="1:34" ht="30" x14ac:dyDescent="0.2">
      <c r="A27" s="87">
        <v>26</v>
      </c>
      <c r="B27" s="88" t="s">
        <v>813</v>
      </c>
      <c r="C27" s="88">
        <v>3</v>
      </c>
      <c r="D27" s="88">
        <v>85</v>
      </c>
      <c r="E27" s="88">
        <v>1181</v>
      </c>
      <c r="F27" s="88">
        <v>189</v>
      </c>
      <c r="G27" s="88">
        <v>6.2</v>
      </c>
      <c r="H27" s="88">
        <v>3</v>
      </c>
      <c r="I27" s="88">
        <v>1</v>
      </c>
      <c r="J27" s="88">
        <v>70</v>
      </c>
      <c r="K27" s="88">
        <v>80</v>
      </c>
      <c r="L27" s="88">
        <v>118</v>
      </c>
      <c r="M27" s="88">
        <v>944</v>
      </c>
      <c r="N27" s="88">
        <v>5</v>
      </c>
      <c r="O27" s="88">
        <v>2</v>
      </c>
      <c r="P27" s="88">
        <v>7.7</v>
      </c>
      <c r="Q27" s="88">
        <v>48</v>
      </c>
      <c r="R27" s="88">
        <v>66</v>
      </c>
      <c r="S27" s="88">
        <v>237</v>
      </c>
      <c r="T27" s="88">
        <v>5</v>
      </c>
      <c r="U27" s="88">
        <v>3.6</v>
      </c>
      <c r="V27" s="88">
        <v>15</v>
      </c>
      <c r="W27" s="88">
        <v>22</v>
      </c>
      <c r="X27" s="88">
        <v>143</v>
      </c>
      <c r="Y27" s="88">
        <v>7</v>
      </c>
      <c r="Z27" s="88">
        <v>39.4</v>
      </c>
      <c r="AA27" s="88">
        <v>9.1</v>
      </c>
      <c r="AB27" s="88">
        <v>-33.229999999999997</v>
      </c>
      <c r="AC27" s="12" t="str">
        <f>VLOOKUP($B:$B,'Name Bridge'!A:B,2,FALSE)</f>
        <v>BAL</v>
      </c>
      <c r="AD27" s="36">
        <f t="shared" si="0"/>
        <v>8</v>
      </c>
      <c r="AE27" s="12">
        <f t="shared" si="1"/>
        <v>29</v>
      </c>
      <c r="AF27" s="36">
        <f t="shared" si="2"/>
        <v>3.5909090909090908</v>
      </c>
      <c r="AG27" s="12">
        <f t="shared" si="3"/>
        <v>8</v>
      </c>
      <c r="AH27" s="36">
        <f t="shared" si="4"/>
        <v>11.8</v>
      </c>
    </row>
    <row r="28" spans="1:34" ht="30" x14ac:dyDescent="0.2">
      <c r="A28" s="87">
        <v>27</v>
      </c>
      <c r="B28" s="88" t="s">
        <v>880</v>
      </c>
      <c r="C28" s="88">
        <v>3</v>
      </c>
      <c r="D28" s="88">
        <v>88</v>
      </c>
      <c r="E28" s="88">
        <v>1206</v>
      </c>
      <c r="F28" s="88">
        <v>209</v>
      </c>
      <c r="G28" s="88">
        <v>5.8</v>
      </c>
      <c r="H28" s="88">
        <v>4</v>
      </c>
      <c r="I28" s="88">
        <v>0</v>
      </c>
      <c r="J28" s="88">
        <v>71</v>
      </c>
      <c r="K28" s="88">
        <v>104</v>
      </c>
      <c r="L28" s="88">
        <v>144</v>
      </c>
      <c r="M28" s="88">
        <v>1015</v>
      </c>
      <c r="N28" s="88">
        <v>9</v>
      </c>
      <c r="O28" s="88">
        <v>4</v>
      </c>
      <c r="P28" s="88">
        <v>6.9</v>
      </c>
      <c r="Q28" s="88">
        <v>52</v>
      </c>
      <c r="R28" s="88">
        <v>62</v>
      </c>
      <c r="S28" s="88">
        <v>191</v>
      </c>
      <c r="T28" s="88">
        <v>1</v>
      </c>
      <c r="U28" s="88">
        <v>3.1</v>
      </c>
      <c r="V28" s="88">
        <v>11</v>
      </c>
      <c r="W28" s="88">
        <v>15</v>
      </c>
      <c r="X28" s="88">
        <v>108</v>
      </c>
      <c r="Y28" s="88">
        <v>8</v>
      </c>
      <c r="Z28" s="88">
        <v>43.2</v>
      </c>
      <c r="AA28" s="88">
        <v>10.8</v>
      </c>
      <c r="AB28" s="88">
        <v>-18.27</v>
      </c>
      <c r="AC28" s="12" t="str">
        <f>VLOOKUP($B:$B,'Name Bridge'!A:B,2,FALSE)</f>
        <v>TB</v>
      </c>
      <c r="AD28" s="36">
        <f t="shared" si="0"/>
        <v>7.0486111111111107</v>
      </c>
      <c r="AE28" s="12">
        <f t="shared" si="1"/>
        <v>31</v>
      </c>
      <c r="AF28" s="36">
        <f t="shared" si="2"/>
        <v>3.0806451612903225</v>
      </c>
      <c r="AG28" s="12">
        <f t="shared" si="3"/>
        <v>4</v>
      </c>
      <c r="AH28" s="36">
        <f t="shared" si="4"/>
        <v>9.759615384615385</v>
      </c>
    </row>
    <row r="29" spans="1:34" ht="30" x14ac:dyDescent="0.2">
      <c r="A29" s="87">
        <v>28</v>
      </c>
      <c r="B29" s="88" t="s">
        <v>629</v>
      </c>
      <c r="C29" s="88">
        <v>3</v>
      </c>
      <c r="D29" s="88">
        <v>92</v>
      </c>
      <c r="E29" s="88">
        <v>1296</v>
      </c>
      <c r="F29" s="88">
        <v>219</v>
      </c>
      <c r="G29" s="88">
        <v>5.9</v>
      </c>
      <c r="H29" s="88">
        <v>2</v>
      </c>
      <c r="I29" s="88">
        <v>1</v>
      </c>
      <c r="J29" s="88">
        <v>77</v>
      </c>
      <c r="K29" s="88">
        <v>86</v>
      </c>
      <c r="L29" s="88">
        <v>123</v>
      </c>
      <c r="M29" s="88">
        <v>921</v>
      </c>
      <c r="N29" s="88">
        <v>6</v>
      </c>
      <c r="O29" s="88">
        <v>1</v>
      </c>
      <c r="P29" s="88">
        <v>7.1</v>
      </c>
      <c r="Q29" s="88">
        <v>50</v>
      </c>
      <c r="R29" s="88">
        <v>90</v>
      </c>
      <c r="S29" s="88">
        <v>375</v>
      </c>
      <c r="T29" s="88">
        <v>3</v>
      </c>
      <c r="U29" s="88">
        <v>4.2</v>
      </c>
      <c r="V29" s="88">
        <v>21</v>
      </c>
      <c r="W29" s="88">
        <v>22</v>
      </c>
      <c r="X29" s="88">
        <v>205</v>
      </c>
      <c r="Y29" s="88">
        <v>6</v>
      </c>
      <c r="Z29" s="88">
        <v>59.4</v>
      </c>
      <c r="AA29" s="88">
        <v>6.3</v>
      </c>
      <c r="AB29" s="88">
        <v>-40.450000000000003</v>
      </c>
      <c r="AC29" s="12" t="str">
        <f>VLOOKUP($B:$B,'Name Bridge'!A:B,2,FALSE)</f>
        <v>WAS</v>
      </c>
      <c r="AD29" s="36">
        <f t="shared" si="0"/>
        <v>7.4878048780487809</v>
      </c>
      <c r="AE29" s="12">
        <f t="shared" si="1"/>
        <v>28</v>
      </c>
      <c r="AF29" s="36">
        <f t="shared" si="2"/>
        <v>4.166666666666667</v>
      </c>
      <c r="AG29" s="12">
        <f t="shared" si="3"/>
        <v>24</v>
      </c>
      <c r="AH29" s="36">
        <f t="shared" si="4"/>
        <v>10.709302325581396</v>
      </c>
    </row>
    <row r="30" spans="1:34" ht="30" x14ac:dyDescent="0.2">
      <c r="A30" s="87">
        <v>29</v>
      </c>
      <c r="B30" s="88" t="s">
        <v>688</v>
      </c>
      <c r="C30" s="88">
        <v>3</v>
      </c>
      <c r="D30" s="88">
        <v>94</v>
      </c>
      <c r="E30" s="88">
        <v>1121</v>
      </c>
      <c r="F30" s="88">
        <v>191</v>
      </c>
      <c r="G30" s="88">
        <v>5.9</v>
      </c>
      <c r="H30" s="88">
        <v>2</v>
      </c>
      <c r="I30" s="88">
        <v>2</v>
      </c>
      <c r="J30" s="88">
        <v>66</v>
      </c>
      <c r="K30" s="88">
        <v>75</v>
      </c>
      <c r="L30" s="88">
        <v>106</v>
      </c>
      <c r="M30" s="88">
        <v>766</v>
      </c>
      <c r="N30" s="88">
        <v>8</v>
      </c>
      <c r="O30" s="88">
        <v>0</v>
      </c>
      <c r="P30" s="88">
        <v>6.8</v>
      </c>
      <c r="Q30" s="88">
        <v>39</v>
      </c>
      <c r="R30" s="88">
        <v>79</v>
      </c>
      <c r="S30" s="88">
        <v>355</v>
      </c>
      <c r="T30" s="88">
        <v>2</v>
      </c>
      <c r="U30" s="88">
        <v>4.5</v>
      </c>
      <c r="V30" s="88">
        <v>22</v>
      </c>
      <c r="W30" s="88">
        <v>31</v>
      </c>
      <c r="X30" s="88">
        <v>225</v>
      </c>
      <c r="Y30" s="88">
        <v>5</v>
      </c>
      <c r="Z30" s="88">
        <v>39.4</v>
      </c>
      <c r="AA30" s="88">
        <v>6.1</v>
      </c>
      <c r="AB30" s="88">
        <v>-24.1</v>
      </c>
      <c r="AC30" s="12" t="str">
        <f>VLOOKUP($B:$B,'Name Bridge'!A:B,2,FALSE)</f>
        <v>ATL</v>
      </c>
      <c r="AD30" s="36">
        <f t="shared" si="0"/>
        <v>7.2264150943396226</v>
      </c>
      <c r="AE30" s="12">
        <f t="shared" si="1"/>
        <v>16</v>
      </c>
      <c r="AF30" s="36">
        <f t="shared" si="2"/>
        <v>4.4936708860759493</v>
      </c>
      <c r="AG30" s="12">
        <f t="shared" si="3"/>
        <v>17</v>
      </c>
      <c r="AH30" s="36">
        <f t="shared" si="4"/>
        <v>10.213333333333333</v>
      </c>
    </row>
    <row r="31" spans="1:34" ht="30" x14ac:dyDescent="0.2">
      <c r="A31" s="87">
        <v>30</v>
      </c>
      <c r="B31" s="88" t="s">
        <v>695</v>
      </c>
      <c r="C31" s="88">
        <v>3</v>
      </c>
      <c r="D31" s="88">
        <v>95</v>
      </c>
      <c r="E31" s="88">
        <v>1290</v>
      </c>
      <c r="F31" s="88">
        <v>185</v>
      </c>
      <c r="G31" s="88">
        <v>7</v>
      </c>
      <c r="H31" s="88">
        <v>4</v>
      </c>
      <c r="I31" s="88">
        <v>1</v>
      </c>
      <c r="J31" s="88">
        <v>76</v>
      </c>
      <c r="K31" s="88">
        <v>65</v>
      </c>
      <c r="L31" s="88">
        <v>92</v>
      </c>
      <c r="M31" s="88">
        <v>809</v>
      </c>
      <c r="N31" s="88">
        <v>5</v>
      </c>
      <c r="O31" s="88">
        <v>3</v>
      </c>
      <c r="P31" s="88">
        <v>8.4</v>
      </c>
      <c r="Q31" s="88">
        <v>41</v>
      </c>
      <c r="R31" s="88">
        <v>89</v>
      </c>
      <c r="S31" s="88">
        <v>481</v>
      </c>
      <c r="T31" s="88">
        <v>7</v>
      </c>
      <c r="U31" s="88">
        <v>5.4</v>
      </c>
      <c r="V31" s="88">
        <v>30</v>
      </c>
      <c r="W31" s="88">
        <v>21</v>
      </c>
      <c r="X31" s="88">
        <v>135</v>
      </c>
      <c r="Y31" s="88">
        <v>5</v>
      </c>
      <c r="Z31" s="88">
        <v>50</v>
      </c>
      <c r="AA31" s="88">
        <v>13.3</v>
      </c>
      <c r="AB31" s="88">
        <v>-54.07</v>
      </c>
      <c r="AC31" s="12" t="str">
        <f>VLOOKUP($B:$B,'Name Bridge'!A:B,2,FALSE)</f>
        <v>KC</v>
      </c>
      <c r="AD31" s="36">
        <f t="shared" si="0"/>
        <v>8.7934782608695645</v>
      </c>
      <c r="AE31" s="12">
        <f t="shared" si="1"/>
        <v>22</v>
      </c>
      <c r="AF31" s="36">
        <f t="shared" si="2"/>
        <v>5.404494382022472</v>
      </c>
      <c r="AG31" s="12">
        <f t="shared" si="3"/>
        <v>31</v>
      </c>
      <c r="AH31" s="36">
        <f t="shared" si="4"/>
        <v>12.446153846153846</v>
      </c>
    </row>
    <row r="32" spans="1:34" x14ac:dyDescent="0.2">
      <c r="A32" s="87">
        <v>31</v>
      </c>
      <c r="B32" s="88" t="s">
        <v>700</v>
      </c>
      <c r="C32" s="88">
        <v>3</v>
      </c>
      <c r="D32" s="88">
        <v>95</v>
      </c>
      <c r="E32" s="88">
        <v>1152</v>
      </c>
      <c r="F32" s="88">
        <v>174</v>
      </c>
      <c r="G32" s="88">
        <v>6.6</v>
      </c>
      <c r="H32" s="88">
        <v>3</v>
      </c>
      <c r="I32" s="88">
        <v>2</v>
      </c>
      <c r="J32" s="88">
        <v>61</v>
      </c>
      <c r="K32" s="88">
        <v>56</v>
      </c>
      <c r="L32" s="88">
        <v>84</v>
      </c>
      <c r="M32" s="88">
        <v>809</v>
      </c>
      <c r="N32" s="88">
        <v>7</v>
      </c>
      <c r="O32" s="88">
        <v>1</v>
      </c>
      <c r="P32" s="88">
        <v>8.8000000000000007</v>
      </c>
      <c r="Q32" s="88">
        <v>39</v>
      </c>
      <c r="R32" s="88">
        <v>82</v>
      </c>
      <c r="S32" s="88">
        <v>343</v>
      </c>
      <c r="T32" s="88">
        <v>3</v>
      </c>
      <c r="U32" s="88">
        <v>4.2</v>
      </c>
      <c r="V32" s="88">
        <v>16</v>
      </c>
      <c r="W32" s="88">
        <v>18</v>
      </c>
      <c r="X32" s="88">
        <v>198</v>
      </c>
      <c r="Y32" s="88">
        <v>6</v>
      </c>
      <c r="Z32" s="88">
        <v>50</v>
      </c>
      <c r="AA32" s="88">
        <v>9.4</v>
      </c>
      <c r="AB32" s="88">
        <v>-40.57</v>
      </c>
      <c r="AC32" s="12" t="str">
        <f>VLOOKUP($B:$B,'Name Bridge'!A:B,2,FALSE)</f>
        <v>DET</v>
      </c>
      <c r="AD32" s="36">
        <f t="shared" si="0"/>
        <v>9.6309523809523814</v>
      </c>
      <c r="AE32" s="12">
        <f t="shared" si="1"/>
        <v>22</v>
      </c>
      <c r="AF32" s="36">
        <f t="shared" si="2"/>
        <v>4.1829268292682924</v>
      </c>
      <c r="AG32" s="12">
        <f t="shared" si="3"/>
        <v>14</v>
      </c>
      <c r="AH32" s="36">
        <f t="shared" si="4"/>
        <v>14.446428571428571</v>
      </c>
    </row>
    <row r="33" spans="1:34" ht="30" x14ac:dyDescent="0.2">
      <c r="A33" s="87">
        <v>32</v>
      </c>
      <c r="B33" s="88" t="s">
        <v>689</v>
      </c>
      <c r="C33" s="88">
        <v>4</v>
      </c>
      <c r="D33" s="88">
        <v>115</v>
      </c>
      <c r="E33" s="88">
        <v>1674</v>
      </c>
      <c r="F33" s="88">
        <v>261</v>
      </c>
      <c r="G33" s="88">
        <v>6.4</v>
      </c>
      <c r="H33" s="88">
        <v>1</v>
      </c>
      <c r="I33" s="88">
        <v>0</v>
      </c>
      <c r="J33" s="88">
        <v>88</v>
      </c>
      <c r="K33" s="88">
        <v>100</v>
      </c>
      <c r="L33" s="88">
        <v>133</v>
      </c>
      <c r="M33" s="88">
        <v>1249</v>
      </c>
      <c r="N33" s="88">
        <v>6</v>
      </c>
      <c r="O33" s="88">
        <v>1</v>
      </c>
      <c r="P33" s="88">
        <v>9.1</v>
      </c>
      <c r="Q33" s="88">
        <v>54</v>
      </c>
      <c r="R33" s="88">
        <v>123</v>
      </c>
      <c r="S33" s="88">
        <v>425</v>
      </c>
      <c r="T33" s="88">
        <v>6</v>
      </c>
      <c r="U33" s="88">
        <v>3.5</v>
      </c>
      <c r="V33" s="88">
        <v>27</v>
      </c>
      <c r="W33" s="88">
        <v>28</v>
      </c>
      <c r="X33" s="88">
        <v>247</v>
      </c>
      <c r="Y33" s="88">
        <v>7</v>
      </c>
      <c r="Z33" s="88">
        <v>44.4</v>
      </c>
      <c r="AA33" s="88">
        <v>2.2000000000000002</v>
      </c>
      <c r="AB33" s="88">
        <v>-62.94</v>
      </c>
      <c r="AC33" s="12" t="str">
        <f>VLOOKUP($B:$B,'Name Bridge'!A:B,2,FALSE)</f>
        <v>JAC</v>
      </c>
      <c r="AD33" s="36">
        <f t="shared" si="0"/>
        <v>9.3909774436090228</v>
      </c>
      <c r="AE33" s="12">
        <f t="shared" si="1"/>
        <v>32</v>
      </c>
      <c r="AF33" s="36">
        <f t="shared" si="2"/>
        <v>3.4552845528455283</v>
      </c>
      <c r="AG33" s="12">
        <f t="shared" si="3"/>
        <v>29</v>
      </c>
      <c r="AH33" s="36">
        <f t="shared" si="4"/>
        <v>12.49</v>
      </c>
    </row>
    <row r="34" spans="1:34" x14ac:dyDescent="0.2">
      <c r="AC34" s="12"/>
      <c r="AD34" s="36">
        <f>SUBTOTAL(101,AD2:AD33)</f>
        <v>7.0404513865268692</v>
      </c>
      <c r="AE34" s="36"/>
      <c r="AF34" s="36">
        <f>SUBTOTAL(101,AF2:AF33)</f>
        <v>4.1354774029807606</v>
      </c>
      <c r="AG34" s="36"/>
      <c r="AH34" s="36">
        <f>SUBTOTAL(101,AH2:AH33)</f>
        <v>10.513936939370307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H34"/>
  <sheetViews>
    <sheetView workbookViewId="0"/>
  </sheetViews>
  <sheetFormatPr baseColWidth="10" defaultColWidth="8.83203125" defaultRowHeight="15" x14ac:dyDescent="0.2"/>
  <cols>
    <col min="1" max="1" width="5.5" bestFit="1" customWidth="1"/>
    <col min="2" max="2" width="25" bestFit="1" customWidth="1"/>
    <col min="3" max="3" width="16" bestFit="1" customWidth="1"/>
    <col min="4" max="4" width="12.1640625" bestFit="1" customWidth="1"/>
    <col min="5" max="5" width="6.5" bestFit="1" customWidth="1"/>
    <col min="6" max="6" width="7.83203125" bestFit="1" customWidth="1"/>
    <col min="7" max="7" width="17.5" bestFit="1" customWidth="1"/>
    <col min="8" max="8" width="12.1640625" bestFit="1" customWidth="1"/>
    <col min="9" max="9" width="14.83203125" bestFit="1" customWidth="1"/>
    <col min="10" max="10" width="18.5" bestFit="1" customWidth="1"/>
    <col min="11" max="11" width="14.33203125" bestFit="1" customWidth="1"/>
    <col min="12" max="12" width="13" bestFit="1" customWidth="1"/>
    <col min="13" max="13" width="13.5" bestFit="1" customWidth="1"/>
    <col min="14" max="14" width="12.5" bestFit="1" customWidth="1"/>
    <col min="15" max="15" width="12.6640625" bestFit="1" customWidth="1"/>
    <col min="16" max="16" width="17" bestFit="1" customWidth="1"/>
    <col min="17" max="17" width="14.1640625" bestFit="1" customWidth="1"/>
    <col min="18" max="18" width="13.5" bestFit="1" customWidth="1"/>
    <col min="19" max="19" width="13.83203125" bestFit="1" customWidth="1"/>
    <col min="20" max="20" width="13" bestFit="1" customWidth="1"/>
    <col min="21" max="21" width="14" bestFit="1" customWidth="1"/>
    <col min="22" max="22" width="14.5" bestFit="1" customWidth="1"/>
    <col min="23" max="23" width="11.5" bestFit="1" customWidth="1"/>
    <col min="24" max="24" width="15.1640625" bestFit="1" customWidth="1"/>
    <col min="25" max="25" width="16.33203125" bestFit="1" customWidth="1"/>
    <col min="26" max="26" width="11.6640625" bestFit="1" customWidth="1"/>
    <col min="27" max="27" width="13.33203125" bestFit="1" customWidth="1"/>
    <col min="28" max="28" width="16" bestFit="1" customWidth="1"/>
    <col min="29" max="29" width="9.6640625" bestFit="1" customWidth="1"/>
    <col min="30" max="30" width="16.6640625" bestFit="1" customWidth="1"/>
    <col min="31" max="31" width="14.5" bestFit="1" customWidth="1"/>
    <col min="32" max="32" width="10.33203125" bestFit="1" customWidth="1"/>
    <col min="33" max="33" width="15" bestFit="1" customWidth="1"/>
    <col min="34" max="35" width="13.5" bestFit="1" customWidth="1"/>
    <col min="36" max="36" width="14" bestFit="1" customWidth="1"/>
    <col min="37" max="37" width="14.5" bestFit="1" customWidth="1"/>
    <col min="38" max="38" width="14.1640625" bestFit="1" customWidth="1"/>
    <col min="39" max="39" width="15.83203125" bestFit="1" customWidth="1"/>
    <col min="40" max="40" width="6.5" bestFit="1" customWidth="1"/>
    <col min="41" max="41" width="7" bestFit="1" customWidth="1"/>
    <col min="42" max="42" width="7.6640625" bestFit="1" customWidth="1"/>
  </cols>
  <sheetData>
    <row r="1" spans="1:34" s="2" customFormat="1" ht="32" x14ac:dyDescent="0.2">
      <c r="A1" s="2" t="s">
        <v>902</v>
      </c>
      <c r="B1" s="2" t="s">
        <v>21</v>
      </c>
      <c r="C1" s="2" t="s">
        <v>2191</v>
      </c>
      <c r="D1" s="2" t="s">
        <v>2165</v>
      </c>
      <c r="E1" s="2" t="s">
        <v>799</v>
      </c>
      <c r="F1" s="2" t="s">
        <v>2166</v>
      </c>
      <c r="G1" s="2" t="s">
        <v>2192</v>
      </c>
      <c r="H1" s="2" t="s">
        <v>2168</v>
      </c>
      <c r="I1" s="2" t="s">
        <v>2169</v>
      </c>
      <c r="J1" s="2" t="s">
        <v>2193</v>
      </c>
      <c r="K1" s="2" t="s">
        <v>2194</v>
      </c>
      <c r="L1" s="2" t="s">
        <v>2195</v>
      </c>
      <c r="M1" s="2" t="s">
        <v>2172</v>
      </c>
      <c r="N1" s="2" t="s">
        <v>34</v>
      </c>
      <c r="O1" s="2" t="s">
        <v>2173</v>
      </c>
      <c r="P1" s="2" t="s">
        <v>2196</v>
      </c>
      <c r="Q1" s="2" t="s">
        <v>2175</v>
      </c>
      <c r="R1" s="2" t="s">
        <v>1409</v>
      </c>
      <c r="S1" s="2" t="s">
        <v>1410</v>
      </c>
      <c r="T1" s="2" t="s">
        <v>1411</v>
      </c>
      <c r="U1" s="2" t="s">
        <v>2176</v>
      </c>
      <c r="V1" s="2" t="s">
        <v>2177</v>
      </c>
      <c r="W1" s="2" t="s">
        <v>2178</v>
      </c>
      <c r="X1" s="2" t="s">
        <v>2179</v>
      </c>
      <c r="Y1" s="2" t="s">
        <v>2197</v>
      </c>
      <c r="Z1" s="2" t="s">
        <v>2181</v>
      </c>
      <c r="AA1" s="2" t="s">
        <v>2182</v>
      </c>
      <c r="AB1" s="2" t="s">
        <v>2198</v>
      </c>
      <c r="AC1" s="11" t="s">
        <v>2199</v>
      </c>
      <c r="AD1" s="11" t="s">
        <v>2200</v>
      </c>
      <c r="AE1" s="11" t="s">
        <v>2201</v>
      </c>
      <c r="AF1" s="11" t="s">
        <v>2202</v>
      </c>
      <c r="AG1" s="11" t="s">
        <v>2203</v>
      </c>
      <c r="AH1" s="11" t="s">
        <v>2204</v>
      </c>
    </row>
    <row r="2" spans="1:34" x14ac:dyDescent="0.2">
      <c r="A2">
        <v>1</v>
      </c>
      <c r="B2" t="s">
        <v>878</v>
      </c>
      <c r="C2">
        <v>16</v>
      </c>
      <c r="D2">
        <v>296</v>
      </c>
      <c r="E2">
        <v>4511</v>
      </c>
      <c r="F2">
        <v>989</v>
      </c>
      <c r="G2">
        <v>4.5999999999999996</v>
      </c>
      <c r="H2">
        <v>22</v>
      </c>
      <c r="I2">
        <v>8</v>
      </c>
      <c r="J2">
        <v>280</v>
      </c>
      <c r="K2">
        <v>347</v>
      </c>
      <c r="L2">
        <v>548</v>
      </c>
      <c r="M2">
        <v>3051</v>
      </c>
      <c r="N2">
        <v>17</v>
      </c>
      <c r="O2">
        <v>14</v>
      </c>
      <c r="P2">
        <v>5.0999999999999996</v>
      </c>
      <c r="Q2">
        <v>170</v>
      </c>
      <c r="R2">
        <v>388</v>
      </c>
      <c r="S2">
        <v>1460</v>
      </c>
      <c r="T2">
        <v>12</v>
      </c>
      <c r="U2">
        <v>3.8</v>
      </c>
      <c r="V2">
        <v>91</v>
      </c>
      <c r="W2">
        <v>78</v>
      </c>
      <c r="X2">
        <v>582</v>
      </c>
      <c r="Y2">
        <v>19</v>
      </c>
      <c r="Z2">
        <v>27.9</v>
      </c>
      <c r="AA2">
        <v>12</v>
      </c>
      <c r="AB2">
        <v>85.89</v>
      </c>
      <c r="AC2" s="12" t="str">
        <f>VLOOKUP(B:B,'Name Bridge'!A:B,2,FALSE)</f>
        <v>LAR</v>
      </c>
      <c r="AD2" s="36">
        <f>Team_Defense_Table__PY[[#This Row],[Passing Yds]]/Team_Defense_Table__PY[[#This Row],[Passing Att]]</f>
        <v>5.5675182481751824</v>
      </c>
      <c r="AE2" s="12">
        <f>_xlfn.RANK.EQ(Team_Defense_Table__PY[[#This Row],[Passing Yds]],Team_Defense_Table__PY[Passing Yds],1)</f>
        <v>1</v>
      </c>
      <c r="AF2" s="36">
        <f>Team_Defense_Table__PY[[#This Row],[Rushing Yds]]/Team_Defense_Table__PY[[#This Row],[Rushing Att]]</f>
        <v>3.7628865979381443</v>
      </c>
      <c r="AG2" s="12">
        <f>_xlfn.RANK.EQ(Team_Defense_Table__PY[[#This Row],[Rushing Yds]],Team_Defense_Table__PY[Rushing Yds],1)</f>
        <v>3</v>
      </c>
      <c r="AH2" s="36">
        <f>Team_Defense_Table__PY[[#This Row],[Passing Yds]]/Team_Defense_Table__PY[[#This Row],[Passing Cmp]]</f>
        <v>8.7925072046109509</v>
      </c>
    </row>
    <row r="3" spans="1:34" x14ac:dyDescent="0.2">
      <c r="A3">
        <v>2</v>
      </c>
      <c r="B3" t="s">
        <v>813</v>
      </c>
      <c r="C3">
        <v>16</v>
      </c>
      <c r="D3">
        <v>303</v>
      </c>
      <c r="E3">
        <v>5276</v>
      </c>
      <c r="F3">
        <v>1017</v>
      </c>
      <c r="G3">
        <v>5.2</v>
      </c>
      <c r="H3">
        <v>22</v>
      </c>
      <c r="I3">
        <v>12</v>
      </c>
      <c r="J3">
        <v>347</v>
      </c>
      <c r="K3">
        <v>380</v>
      </c>
      <c r="L3">
        <v>596</v>
      </c>
      <c r="M3">
        <v>3536</v>
      </c>
      <c r="N3">
        <v>22</v>
      </c>
      <c r="O3">
        <v>10</v>
      </c>
      <c r="P3">
        <v>5.6</v>
      </c>
      <c r="Q3">
        <v>213</v>
      </c>
      <c r="R3">
        <v>382</v>
      </c>
      <c r="S3">
        <v>1740</v>
      </c>
      <c r="T3">
        <v>12</v>
      </c>
      <c r="U3">
        <v>4.5999999999999996</v>
      </c>
      <c r="V3">
        <v>96</v>
      </c>
      <c r="W3">
        <v>77</v>
      </c>
      <c r="X3">
        <v>646</v>
      </c>
      <c r="Y3">
        <v>38</v>
      </c>
      <c r="Z3">
        <v>30</v>
      </c>
      <c r="AA3">
        <v>12.4</v>
      </c>
      <c r="AB3">
        <v>-17.690000000000001</v>
      </c>
      <c r="AC3" s="12" t="str">
        <f>VLOOKUP(B:B,'Name Bridge'!A:B,2,FALSE)</f>
        <v>BAL</v>
      </c>
      <c r="AD3" s="36">
        <f>Team_Defense_Table__PY[[#This Row],[Passing Yds]]/Team_Defense_Table__PY[[#This Row],[Passing Att]]</f>
        <v>5.9328859060402683</v>
      </c>
      <c r="AE3" s="12">
        <f>_xlfn.RANK.EQ(Team_Defense_Table__PY[[#This Row],[Passing Yds]],Team_Defense_Table__PY[Passing Yds],1)</f>
        <v>6</v>
      </c>
      <c r="AF3" s="36">
        <f>Team_Defense_Table__PY[[#This Row],[Rushing Yds]]/Team_Defense_Table__PY[[#This Row],[Rushing Att]]</f>
        <v>4.5549738219895284</v>
      </c>
      <c r="AG3" s="12">
        <f>_xlfn.RANK.EQ(Team_Defense_Table__PY[[#This Row],[Rushing Yds]],Team_Defense_Table__PY[Rushing Yds],1)</f>
        <v>8</v>
      </c>
      <c r="AH3" s="36">
        <f>Team_Defense_Table__PY[[#This Row],[Passing Yds]]/Team_Defense_Table__PY[[#This Row],[Passing Cmp]]</f>
        <v>9.3052631578947373</v>
      </c>
    </row>
    <row r="4" spans="1:34" x14ac:dyDescent="0.2">
      <c r="A4">
        <v>3</v>
      </c>
      <c r="B4" t="s">
        <v>666</v>
      </c>
      <c r="C4">
        <v>16</v>
      </c>
      <c r="D4">
        <v>312</v>
      </c>
      <c r="E4">
        <v>4893</v>
      </c>
      <c r="F4">
        <v>996</v>
      </c>
      <c r="G4">
        <v>4.9000000000000004</v>
      </c>
      <c r="H4">
        <v>27</v>
      </c>
      <c r="I4">
        <v>9</v>
      </c>
      <c r="J4">
        <v>281</v>
      </c>
      <c r="K4">
        <v>298</v>
      </c>
      <c r="L4">
        <v>526</v>
      </c>
      <c r="M4">
        <v>3110</v>
      </c>
      <c r="N4">
        <v>22</v>
      </c>
      <c r="O4">
        <v>18</v>
      </c>
      <c r="P4">
        <v>5.3</v>
      </c>
      <c r="Q4">
        <v>163</v>
      </c>
      <c r="R4">
        <v>414</v>
      </c>
      <c r="S4">
        <v>1783</v>
      </c>
      <c r="T4">
        <v>13</v>
      </c>
      <c r="U4">
        <v>4.3</v>
      </c>
      <c r="V4">
        <v>94</v>
      </c>
      <c r="W4">
        <v>103</v>
      </c>
      <c r="X4">
        <v>980</v>
      </c>
      <c r="Y4">
        <v>24</v>
      </c>
      <c r="Z4">
        <v>29.3</v>
      </c>
      <c r="AA4">
        <v>13.8</v>
      </c>
      <c r="AB4">
        <v>33.24</v>
      </c>
      <c r="AC4" s="12" t="str">
        <f>VLOOKUP(B:B,'Name Bridge'!A:B,2,FALSE)</f>
        <v>PIT</v>
      </c>
      <c r="AD4" s="36">
        <f>Team_Defense_Table__PY[[#This Row],[Passing Yds]]/Team_Defense_Table__PY[[#This Row],[Passing Att]]</f>
        <v>5.9125475285171101</v>
      </c>
      <c r="AE4" s="12">
        <f>_xlfn.RANK.EQ(Team_Defense_Table__PY[[#This Row],[Passing Yds]],Team_Defense_Table__PY[Passing Yds],1)</f>
        <v>3</v>
      </c>
      <c r="AF4" s="36">
        <f>Team_Defense_Table__PY[[#This Row],[Rushing Yds]]/Team_Defense_Table__PY[[#This Row],[Rushing Att]]</f>
        <v>4.3067632850241546</v>
      </c>
      <c r="AG4" s="12">
        <f>_xlfn.RANK.EQ(Team_Defense_Table__PY[[#This Row],[Rushing Yds]],Team_Defense_Table__PY[Rushing Yds],1)</f>
        <v>11</v>
      </c>
      <c r="AH4" s="36">
        <f>Team_Defense_Table__PY[[#This Row],[Passing Yds]]/Team_Defense_Table__PY[[#This Row],[Passing Cmp]]</f>
        <v>10.436241610738255</v>
      </c>
    </row>
    <row r="5" spans="1:34" x14ac:dyDescent="0.2">
      <c r="A5">
        <v>4</v>
      </c>
      <c r="B5" t="s">
        <v>629</v>
      </c>
      <c r="C5">
        <v>16</v>
      </c>
      <c r="D5">
        <v>329</v>
      </c>
      <c r="E5">
        <v>4873</v>
      </c>
      <c r="F5">
        <v>1004</v>
      </c>
      <c r="G5">
        <v>4.9000000000000004</v>
      </c>
      <c r="H5">
        <v>23</v>
      </c>
      <c r="I5">
        <v>7</v>
      </c>
      <c r="J5">
        <v>289</v>
      </c>
      <c r="K5">
        <v>330</v>
      </c>
      <c r="L5">
        <v>529</v>
      </c>
      <c r="M5">
        <v>3068</v>
      </c>
      <c r="N5">
        <v>21</v>
      </c>
      <c r="O5">
        <v>16</v>
      </c>
      <c r="P5">
        <v>5.3</v>
      </c>
      <c r="Q5">
        <v>161</v>
      </c>
      <c r="R5">
        <v>428</v>
      </c>
      <c r="S5">
        <v>1805</v>
      </c>
      <c r="T5">
        <v>14</v>
      </c>
      <c r="U5">
        <v>4.2</v>
      </c>
      <c r="V5">
        <v>100</v>
      </c>
      <c r="W5">
        <v>85</v>
      </c>
      <c r="X5">
        <v>708</v>
      </c>
      <c r="Y5">
        <v>28</v>
      </c>
      <c r="Z5">
        <v>31.4</v>
      </c>
      <c r="AA5">
        <v>12.2</v>
      </c>
      <c r="AB5">
        <v>32.51</v>
      </c>
      <c r="AC5" s="12" t="str">
        <f>VLOOKUP(B:B,'Name Bridge'!A:B,2,FALSE)</f>
        <v>WAS</v>
      </c>
      <c r="AD5" s="36">
        <f>Team_Defense_Table__PY[[#This Row],[Passing Yds]]/Team_Defense_Table__PY[[#This Row],[Passing Att]]</f>
        <v>5.7996219281663519</v>
      </c>
      <c r="AE5" s="12">
        <f>_xlfn.RANK.EQ(Team_Defense_Table__PY[[#This Row],[Passing Yds]],Team_Defense_Table__PY[Passing Yds],1)</f>
        <v>2</v>
      </c>
      <c r="AF5" s="36">
        <f>Team_Defense_Table__PY[[#This Row],[Rushing Yds]]/Team_Defense_Table__PY[[#This Row],[Rushing Att]]</f>
        <v>4.2172897196261685</v>
      </c>
      <c r="AG5" s="12">
        <f>_xlfn.RANK.EQ(Team_Defense_Table__PY[[#This Row],[Rushing Yds]],Team_Defense_Table__PY[Rushing Yds],1)</f>
        <v>13</v>
      </c>
      <c r="AH5" s="36">
        <f>Team_Defense_Table__PY[[#This Row],[Passing Yds]]/Team_Defense_Table__PY[[#This Row],[Passing Cmp]]</f>
        <v>9.2969696969696969</v>
      </c>
    </row>
    <row r="6" spans="1:34" x14ac:dyDescent="0.2">
      <c r="A6">
        <v>5</v>
      </c>
      <c r="B6" t="s">
        <v>692</v>
      </c>
      <c r="C6">
        <v>16</v>
      </c>
      <c r="D6">
        <v>337</v>
      </c>
      <c r="E6">
        <v>4974</v>
      </c>
      <c r="F6">
        <v>992</v>
      </c>
      <c r="G6">
        <v>5</v>
      </c>
      <c r="H6">
        <v>26</v>
      </c>
      <c r="I6">
        <v>8</v>
      </c>
      <c r="J6">
        <v>320</v>
      </c>
      <c r="K6">
        <v>333</v>
      </c>
      <c r="L6">
        <v>557</v>
      </c>
      <c r="M6">
        <v>3472</v>
      </c>
      <c r="N6">
        <v>28</v>
      </c>
      <c r="O6">
        <v>18</v>
      </c>
      <c r="P6">
        <v>5.8</v>
      </c>
      <c r="Q6">
        <v>185</v>
      </c>
      <c r="R6">
        <v>390</v>
      </c>
      <c r="S6">
        <v>1502</v>
      </c>
      <c r="T6">
        <v>11</v>
      </c>
      <c r="U6">
        <v>3.9</v>
      </c>
      <c r="V6">
        <v>85</v>
      </c>
      <c r="W6">
        <v>64</v>
      </c>
      <c r="X6">
        <v>517</v>
      </c>
      <c r="Y6">
        <v>50</v>
      </c>
      <c r="Z6">
        <v>34.700000000000003</v>
      </c>
      <c r="AA6">
        <v>13.1</v>
      </c>
      <c r="AB6">
        <v>-40.020000000000003</v>
      </c>
      <c r="AC6" s="12" t="str">
        <f>VLOOKUP(B:B,'Name Bridge'!A:B,2,FALSE)</f>
        <v>NO</v>
      </c>
      <c r="AD6" s="36">
        <f>Team_Defense_Table__PY[[#This Row],[Passing Yds]]/Team_Defense_Table__PY[[#This Row],[Passing Att]]</f>
        <v>6.2333931777378817</v>
      </c>
      <c r="AE6" s="12">
        <f>_xlfn.RANK.EQ(Team_Defense_Table__PY[[#This Row],[Passing Yds]],Team_Defense_Table__PY[Passing Yds],1)</f>
        <v>5</v>
      </c>
      <c r="AF6" s="36">
        <f>Team_Defense_Table__PY[[#This Row],[Rushing Yds]]/Team_Defense_Table__PY[[#This Row],[Rushing Att]]</f>
        <v>3.8512820512820514</v>
      </c>
      <c r="AG6" s="12">
        <f>_xlfn.RANK.EQ(Team_Defense_Table__PY[[#This Row],[Rushing Yds]],Team_Defense_Table__PY[Rushing Yds],1)</f>
        <v>4</v>
      </c>
      <c r="AH6" s="36">
        <f>Team_Defense_Table__PY[[#This Row],[Passing Yds]]/Team_Defense_Table__PY[[#This Row],[Passing Cmp]]</f>
        <v>10.426426426426426</v>
      </c>
    </row>
    <row r="7" spans="1:34" x14ac:dyDescent="0.2">
      <c r="A7">
        <v>6</v>
      </c>
      <c r="B7" t="s">
        <v>664</v>
      </c>
      <c r="C7">
        <v>16</v>
      </c>
      <c r="D7">
        <v>338</v>
      </c>
      <c r="E7">
        <v>5886</v>
      </c>
      <c r="F7">
        <v>998</v>
      </c>
      <c r="G7">
        <v>5.9</v>
      </c>
      <c r="H7">
        <v>29</v>
      </c>
      <c r="I7">
        <v>11</v>
      </c>
      <c r="J7">
        <v>336</v>
      </c>
      <c r="K7">
        <v>343</v>
      </c>
      <c r="L7">
        <v>545</v>
      </c>
      <c r="M7">
        <v>4024</v>
      </c>
      <c r="N7">
        <v>21</v>
      </c>
      <c r="O7">
        <v>18</v>
      </c>
      <c r="P7">
        <v>6.9</v>
      </c>
      <c r="Q7">
        <v>193</v>
      </c>
      <c r="R7">
        <v>412</v>
      </c>
      <c r="S7">
        <v>1862</v>
      </c>
      <c r="T7">
        <v>17</v>
      </c>
      <c r="U7">
        <v>4.5</v>
      </c>
      <c r="V7">
        <v>113</v>
      </c>
      <c r="W7">
        <v>85</v>
      </c>
      <c r="X7">
        <v>805</v>
      </c>
      <c r="Y7">
        <v>30</v>
      </c>
      <c r="Z7">
        <v>30.7</v>
      </c>
      <c r="AA7">
        <v>15.6</v>
      </c>
      <c r="AB7">
        <v>-36.43</v>
      </c>
      <c r="AC7" s="12" t="str">
        <f>VLOOKUP(B:B,'Name Bridge'!A:B,2,FALSE)</f>
        <v>MIA</v>
      </c>
      <c r="AD7" s="36">
        <f>Team_Defense_Table__PY[[#This Row],[Passing Yds]]/Team_Defense_Table__PY[[#This Row],[Passing Att]]</f>
        <v>7.3834862385321101</v>
      </c>
      <c r="AE7" s="12">
        <f>_xlfn.RANK.EQ(Team_Defense_Table__PY[[#This Row],[Passing Yds]],Team_Defense_Table__PY[Passing Yds],1)</f>
        <v>23</v>
      </c>
      <c r="AF7" s="36">
        <f>Team_Defense_Table__PY[[#This Row],[Rushing Yds]]/Team_Defense_Table__PY[[#This Row],[Rushing Att]]</f>
        <v>4.5194174757281553</v>
      </c>
      <c r="AG7" s="12">
        <f>_xlfn.RANK.EQ(Team_Defense_Table__PY[[#This Row],[Rushing Yds]],Team_Defense_Table__PY[Rushing Yds],1)</f>
        <v>16</v>
      </c>
      <c r="AH7" s="36">
        <f>Team_Defense_Table__PY[[#This Row],[Passing Yds]]/Team_Defense_Table__PY[[#This Row],[Passing Cmp]]</f>
        <v>11.731778425655977</v>
      </c>
    </row>
    <row r="8" spans="1:34" x14ac:dyDescent="0.2">
      <c r="A8">
        <v>7</v>
      </c>
      <c r="B8" t="s">
        <v>614</v>
      </c>
      <c r="C8">
        <v>16</v>
      </c>
      <c r="D8">
        <v>353</v>
      </c>
      <c r="E8">
        <v>5660</v>
      </c>
      <c r="F8">
        <v>982</v>
      </c>
      <c r="G8">
        <v>5.8</v>
      </c>
      <c r="H8">
        <v>22</v>
      </c>
      <c r="I8">
        <v>4</v>
      </c>
      <c r="J8">
        <v>339</v>
      </c>
      <c r="K8">
        <v>333</v>
      </c>
      <c r="L8">
        <v>494</v>
      </c>
      <c r="M8">
        <v>3557</v>
      </c>
      <c r="N8">
        <v>22</v>
      </c>
      <c r="O8">
        <v>18</v>
      </c>
      <c r="P8">
        <v>6.9</v>
      </c>
      <c r="Q8">
        <v>187</v>
      </c>
      <c r="R8">
        <v>464</v>
      </c>
      <c r="S8">
        <v>2103</v>
      </c>
      <c r="T8">
        <v>17</v>
      </c>
      <c r="U8">
        <v>4.5</v>
      </c>
      <c r="V8">
        <v>131</v>
      </c>
      <c r="W8">
        <v>82</v>
      </c>
      <c r="X8">
        <v>639</v>
      </c>
      <c r="Y8">
        <v>21</v>
      </c>
      <c r="Z8">
        <v>38.9</v>
      </c>
      <c r="AA8">
        <v>14</v>
      </c>
      <c r="AB8">
        <v>-113.1</v>
      </c>
      <c r="AC8" s="12" t="str">
        <f>VLOOKUP(B:B,'Name Bridge'!A:B,2,FALSE)</f>
        <v>NE</v>
      </c>
      <c r="AD8" s="36">
        <f>Team_Defense_Table__PY[[#This Row],[Passing Yds]]/Team_Defense_Table__PY[[#This Row],[Passing Att]]</f>
        <v>7.2004048582995948</v>
      </c>
      <c r="AE8" s="12">
        <f>_xlfn.RANK.EQ(Team_Defense_Table__PY[[#This Row],[Passing Yds]],Team_Defense_Table__PY[Passing Yds],1)</f>
        <v>8</v>
      </c>
      <c r="AF8" s="36">
        <f>Team_Defense_Table__PY[[#This Row],[Rushing Yds]]/Team_Defense_Table__PY[[#This Row],[Rushing Att]]</f>
        <v>4.5323275862068968</v>
      </c>
      <c r="AG8" s="12">
        <f>_xlfn.RANK.EQ(Team_Defense_Table__PY[[#This Row],[Rushing Yds]],Team_Defense_Table__PY[Rushing Yds],1)</f>
        <v>26</v>
      </c>
      <c r="AH8" s="36">
        <f>Team_Defense_Table__PY[[#This Row],[Passing Yds]]/Team_Defense_Table__PY[[#This Row],[Passing Cmp]]</f>
        <v>10.681681681681681</v>
      </c>
    </row>
    <row r="9" spans="1:34" x14ac:dyDescent="0.2">
      <c r="A9">
        <v>8</v>
      </c>
      <c r="B9" t="s">
        <v>880</v>
      </c>
      <c r="C9">
        <v>16</v>
      </c>
      <c r="D9">
        <v>355</v>
      </c>
      <c r="E9">
        <v>5234</v>
      </c>
      <c r="F9">
        <v>1023</v>
      </c>
      <c r="G9">
        <v>5.0999999999999996</v>
      </c>
      <c r="H9">
        <v>25</v>
      </c>
      <c r="I9">
        <v>10</v>
      </c>
      <c r="J9">
        <v>319</v>
      </c>
      <c r="K9">
        <v>426</v>
      </c>
      <c r="L9">
        <v>617</v>
      </c>
      <c r="M9">
        <v>3945</v>
      </c>
      <c r="N9">
        <v>29</v>
      </c>
      <c r="O9">
        <v>15</v>
      </c>
      <c r="P9">
        <v>5.9</v>
      </c>
      <c r="Q9">
        <v>215</v>
      </c>
      <c r="R9">
        <v>358</v>
      </c>
      <c r="S9">
        <v>1289</v>
      </c>
      <c r="T9">
        <v>10</v>
      </c>
      <c r="U9">
        <v>3.6</v>
      </c>
      <c r="V9">
        <v>78</v>
      </c>
      <c r="W9">
        <v>95</v>
      </c>
      <c r="X9">
        <v>1015</v>
      </c>
      <c r="Y9">
        <v>26</v>
      </c>
      <c r="Z9">
        <v>33.700000000000003</v>
      </c>
      <c r="AA9">
        <v>14</v>
      </c>
      <c r="AB9">
        <v>-22.04</v>
      </c>
      <c r="AC9" s="12" t="str">
        <f>VLOOKUP(B:B,'Name Bridge'!A:B,2,FALSE)</f>
        <v>TB</v>
      </c>
      <c r="AD9" s="36">
        <f>Team_Defense_Table__PY[[#This Row],[Passing Yds]]/Team_Defense_Table__PY[[#This Row],[Passing Att]]</f>
        <v>6.3938411669367907</v>
      </c>
      <c r="AE9" s="12">
        <f>_xlfn.RANK.EQ(Team_Defense_Table__PY[[#This Row],[Passing Yds]],Team_Defense_Table__PY[Passing Yds],1)</f>
        <v>21</v>
      </c>
      <c r="AF9" s="36">
        <f>Team_Defense_Table__PY[[#This Row],[Rushing Yds]]/Team_Defense_Table__PY[[#This Row],[Rushing Att]]</f>
        <v>3.6005586592178771</v>
      </c>
      <c r="AG9" s="12">
        <f>_xlfn.RANK.EQ(Team_Defense_Table__PY[[#This Row],[Rushing Yds]],Team_Defense_Table__PY[Rushing Yds],1)</f>
        <v>1</v>
      </c>
      <c r="AH9" s="36">
        <f>Team_Defense_Table__PY[[#This Row],[Passing Yds]]/Team_Defense_Table__PY[[#This Row],[Passing Cmp]]</f>
        <v>9.26056338028169</v>
      </c>
    </row>
    <row r="10" spans="1:34" x14ac:dyDescent="0.2">
      <c r="A10">
        <v>9</v>
      </c>
      <c r="B10" t="s">
        <v>693</v>
      </c>
      <c r="C10">
        <v>16</v>
      </c>
      <c r="D10">
        <v>357</v>
      </c>
      <c r="E10">
        <v>5589</v>
      </c>
      <c r="F10">
        <v>1046</v>
      </c>
      <c r="G10">
        <v>5.3</v>
      </c>
      <c r="H10">
        <v>22</v>
      </c>
      <c r="I10">
        <v>11</v>
      </c>
      <c r="J10">
        <v>353</v>
      </c>
      <c r="K10">
        <v>388</v>
      </c>
      <c r="L10">
        <v>574</v>
      </c>
      <c r="M10">
        <v>3807</v>
      </c>
      <c r="N10">
        <v>22</v>
      </c>
      <c r="O10">
        <v>11</v>
      </c>
      <c r="P10">
        <v>6.2</v>
      </c>
      <c r="Q10">
        <v>215</v>
      </c>
      <c r="R10">
        <v>432</v>
      </c>
      <c r="S10">
        <v>1782</v>
      </c>
      <c r="T10">
        <v>14</v>
      </c>
      <c r="U10">
        <v>4.0999999999999996</v>
      </c>
      <c r="V10">
        <v>115</v>
      </c>
      <c r="W10">
        <v>88</v>
      </c>
      <c r="X10">
        <v>681</v>
      </c>
      <c r="Y10">
        <v>23</v>
      </c>
      <c r="Z10">
        <v>41.5</v>
      </c>
      <c r="AA10">
        <v>12.2</v>
      </c>
      <c r="AB10">
        <v>-66.94</v>
      </c>
      <c r="AC10" s="12" t="str">
        <f>VLOOKUP(B:B,'Name Bridge'!A:B,2,FALSE)</f>
        <v>NYG</v>
      </c>
      <c r="AD10" s="36">
        <f>Team_Defense_Table__PY[[#This Row],[Passing Yds]]/Team_Defense_Table__PY[[#This Row],[Passing Att]]</f>
        <v>6.6324041811846692</v>
      </c>
      <c r="AE10" s="12">
        <f>_xlfn.RANK.EQ(Team_Defense_Table__PY[[#This Row],[Passing Yds]],Team_Defense_Table__PY[Passing Yds],1)</f>
        <v>16</v>
      </c>
      <c r="AF10" s="36">
        <f>Team_Defense_Table__PY[[#This Row],[Rushing Yds]]/Team_Defense_Table__PY[[#This Row],[Rushing Att]]</f>
        <v>4.125</v>
      </c>
      <c r="AG10" s="12">
        <f>_xlfn.RANK.EQ(Team_Defense_Table__PY[[#This Row],[Rushing Yds]],Team_Defense_Table__PY[Rushing Yds],1)</f>
        <v>10</v>
      </c>
      <c r="AH10" s="36">
        <f>Team_Defense_Table__PY[[#This Row],[Passing Yds]]/Team_Defense_Table__PY[[#This Row],[Passing Cmp]]</f>
        <v>9.8118556701030926</v>
      </c>
    </row>
    <row r="11" spans="1:34" x14ac:dyDescent="0.2">
      <c r="A11">
        <v>10</v>
      </c>
      <c r="B11" t="s">
        <v>643</v>
      </c>
      <c r="C11">
        <v>16</v>
      </c>
      <c r="D11">
        <v>362</v>
      </c>
      <c r="E11">
        <v>5314</v>
      </c>
      <c r="F11">
        <v>992</v>
      </c>
      <c r="G11">
        <v>5.4</v>
      </c>
      <c r="H11">
        <v>25</v>
      </c>
      <c r="I11">
        <v>10</v>
      </c>
      <c r="J11">
        <v>329</v>
      </c>
      <c r="K11">
        <v>369</v>
      </c>
      <c r="L11">
        <v>562</v>
      </c>
      <c r="M11">
        <v>3866</v>
      </c>
      <c r="N11">
        <v>24</v>
      </c>
      <c r="O11">
        <v>15</v>
      </c>
      <c r="P11">
        <v>6.4</v>
      </c>
      <c r="Q11">
        <v>203</v>
      </c>
      <c r="R11">
        <v>390</v>
      </c>
      <c r="S11">
        <v>1448</v>
      </c>
      <c r="T11">
        <v>16</v>
      </c>
      <c r="U11">
        <v>3.7</v>
      </c>
      <c r="V11">
        <v>94</v>
      </c>
      <c r="W11">
        <v>86</v>
      </c>
      <c r="X11">
        <v>755</v>
      </c>
      <c r="Y11">
        <v>32</v>
      </c>
      <c r="Z11">
        <v>35.1</v>
      </c>
      <c r="AA11">
        <v>14.3</v>
      </c>
      <c r="AB11">
        <v>-75.62</v>
      </c>
      <c r="AC11" s="12" t="str">
        <f>VLOOKUP(B:B,'Name Bridge'!A:B,2,FALSE)</f>
        <v>IND</v>
      </c>
      <c r="AD11" s="36">
        <f>Team_Defense_Table__PY[[#This Row],[Passing Yds]]/Team_Defense_Table__PY[[#This Row],[Passing Att]]</f>
        <v>6.8790035587188614</v>
      </c>
      <c r="AE11" s="12">
        <f>_xlfn.RANK.EQ(Team_Defense_Table__PY[[#This Row],[Passing Yds]],Team_Defense_Table__PY[Passing Yds],1)</f>
        <v>20</v>
      </c>
      <c r="AF11" s="36">
        <f>Team_Defense_Table__PY[[#This Row],[Rushing Yds]]/Team_Defense_Table__PY[[#This Row],[Rushing Att]]</f>
        <v>3.712820512820513</v>
      </c>
      <c r="AG11" s="12">
        <f>_xlfn.RANK.EQ(Team_Defense_Table__PY[[#This Row],[Rushing Yds]],Team_Defense_Table__PY[Rushing Yds],1)</f>
        <v>2</v>
      </c>
      <c r="AH11" s="36">
        <f>Team_Defense_Table__PY[[#This Row],[Passing Yds]]/Team_Defense_Table__PY[[#This Row],[Passing Cmp]]</f>
        <v>10.476964769647697</v>
      </c>
    </row>
    <row r="12" spans="1:34" x14ac:dyDescent="0.2">
      <c r="A12">
        <v>11</v>
      </c>
      <c r="B12" t="s">
        <v>695</v>
      </c>
      <c r="C12">
        <v>16</v>
      </c>
      <c r="D12">
        <v>362</v>
      </c>
      <c r="E12">
        <v>5733</v>
      </c>
      <c r="F12">
        <v>1022</v>
      </c>
      <c r="G12">
        <v>5.6</v>
      </c>
      <c r="H12">
        <v>22</v>
      </c>
      <c r="I12">
        <v>6</v>
      </c>
      <c r="J12">
        <v>353</v>
      </c>
      <c r="K12">
        <v>349</v>
      </c>
      <c r="L12">
        <v>557</v>
      </c>
      <c r="M12">
        <v>3779</v>
      </c>
      <c r="N12">
        <v>29</v>
      </c>
      <c r="O12">
        <v>16</v>
      </c>
      <c r="P12">
        <v>6.4</v>
      </c>
      <c r="Q12">
        <v>202</v>
      </c>
      <c r="R12">
        <v>433</v>
      </c>
      <c r="S12">
        <v>1954</v>
      </c>
      <c r="T12">
        <v>14</v>
      </c>
      <c r="U12">
        <v>4.5</v>
      </c>
      <c r="V12">
        <v>113</v>
      </c>
      <c r="W12">
        <v>97</v>
      </c>
      <c r="X12">
        <v>760</v>
      </c>
      <c r="Y12">
        <v>38</v>
      </c>
      <c r="Z12">
        <v>36.1</v>
      </c>
      <c r="AA12">
        <v>13</v>
      </c>
      <c r="AB12">
        <v>-127.89</v>
      </c>
      <c r="AC12" s="12" t="str">
        <f>VLOOKUP(B:B,'Name Bridge'!A:B,2,FALSE)</f>
        <v>KC</v>
      </c>
      <c r="AD12" s="36">
        <f>Team_Defense_Table__PY[[#This Row],[Passing Yds]]/Team_Defense_Table__PY[[#This Row],[Passing Att]]</f>
        <v>6.784560143626571</v>
      </c>
      <c r="AE12" s="12">
        <f>_xlfn.RANK.EQ(Team_Defense_Table__PY[[#This Row],[Passing Yds]],Team_Defense_Table__PY[Passing Yds],1)</f>
        <v>14</v>
      </c>
      <c r="AF12" s="36">
        <f>Team_Defense_Table__PY[[#This Row],[Rushing Yds]]/Team_Defense_Table__PY[[#This Row],[Rushing Att]]</f>
        <v>4.5127020785219401</v>
      </c>
      <c r="AG12" s="12">
        <f>_xlfn.RANK.EQ(Team_Defense_Table__PY[[#This Row],[Rushing Yds]],Team_Defense_Table__PY[Rushing Yds],1)</f>
        <v>21</v>
      </c>
      <c r="AH12" s="36">
        <f>Team_Defense_Table__PY[[#This Row],[Passing Yds]]/Team_Defense_Table__PY[[#This Row],[Passing Cmp]]</f>
        <v>10.82808022922636</v>
      </c>
    </row>
    <row r="13" spans="1:34" x14ac:dyDescent="0.2">
      <c r="A13">
        <v>12</v>
      </c>
      <c r="B13" t="s">
        <v>698</v>
      </c>
      <c r="C13">
        <v>16</v>
      </c>
      <c r="D13">
        <v>367</v>
      </c>
      <c r="E13">
        <v>5631</v>
      </c>
      <c r="F13">
        <v>1054</v>
      </c>
      <c r="G13">
        <v>5.3</v>
      </c>
      <c r="H13">
        <v>21</v>
      </c>
      <c r="I13">
        <v>10</v>
      </c>
      <c r="J13">
        <v>363</v>
      </c>
      <c r="K13">
        <v>365</v>
      </c>
      <c r="L13">
        <v>570</v>
      </c>
      <c r="M13">
        <v>3623</v>
      </c>
      <c r="N13">
        <v>26</v>
      </c>
      <c r="O13">
        <v>11</v>
      </c>
      <c r="P13">
        <v>5.9</v>
      </c>
      <c r="Q13">
        <v>207</v>
      </c>
      <c r="R13">
        <v>436</v>
      </c>
      <c r="S13">
        <v>2008</v>
      </c>
      <c r="T13">
        <v>13</v>
      </c>
      <c r="U13">
        <v>4.5999999999999996</v>
      </c>
      <c r="V13">
        <v>118</v>
      </c>
      <c r="W13">
        <v>104</v>
      </c>
      <c r="X13">
        <v>841</v>
      </c>
      <c r="Y13">
        <v>38</v>
      </c>
      <c r="Z13">
        <v>37.200000000000003</v>
      </c>
      <c r="AA13">
        <v>10.5</v>
      </c>
      <c r="AB13">
        <v>-82.04</v>
      </c>
      <c r="AC13" s="12" t="str">
        <f>VLOOKUP(B:B,'Name Bridge'!A:B,2,FALSE)</f>
        <v>ARI</v>
      </c>
      <c r="AD13" s="36">
        <f>Team_Defense_Table__PY[[#This Row],[Passing Yds]]/Team_Defense_Table__PY[[#This Row],[Passing Att]]</f>
        <v>6.356140350877193</v>
      </c>
      <c r="AE13" s="12">
        <f>_xlfn.RANK.EQ(Team_Defense_Table__PY[[#This Row],[Passing Yds]],Team_Defense_Table__PY[Passing Yds],1)</f>
        <v>10</v>
      </c>
      <c r="AF13" s="36">
        <f>Team_Defense_Table__PY[[#This Row],[Rushing Yds]]/Team_Defense_Table__PY[[#This Row],[Rushing Att]]</f>
        <v>4.6055045871559637</v>
      </c>
      <c r="AG13" s="12">
        <f>_xlfn.RANK.EQ(Team_Defense_Table__PY[[#This Row],[Rushing Yds]],Team_Defense_Table__PY[Rushing Yds],1)</f>
        <v>22</v>
      </c>
      <c r="AH13" s="36">
        <f>Team_Defense_Table__PY[[#This Row],[Passing Yds]]/Team_Defense_Table__PY[[#This Row],[Passing Cmp]]</f>
        <v>9.9260273972602739</v>
      </c>
    </row>
    <row r="14" spans="1:34" x14ac:dyDescent="0.2">
      <c r="A14">
        <v>13</v>
      </c>
      <c r="B14" t="s">
        <v>448</v>
      </c>
      <c r="C14">
        <v>16</v>
      </c>
      <c r="D14">
        <v>369</v>
      </c>
      <c r="E14">
        <v>5344</v>
      </c>
      <c r="F14">
        <v>974</v>
      </c>
      <c r="G14">
        <v>5.5</v>
      </c>
      <c r="H14">
        <v>18</v>
      </c>
      <c r="I14">
        <v>7</v>
      </c>
      <c r="J14">
        <v>332</v>
      </c>
      <c r="K14">
        <v>346</v>
      </c>
      <c r="L14">
        <v>536</v>
      </c>
      <c r="M14">
        <v>3539</v>
      </c>
      <c r="N14">
        <v>23</v>
      </c>
      <c r="O14">
        <v>11</v>
      </c>
      <c r="P14">
        <v>6.1</v>
      </c>
      <c r="Q14">
        <v>184</v>
      </c>
      <c r="R14">
        <v>397</v>
      </c>
      <c r="S14">
        <v>1805</v>
      </c>
      <c r="T14">
        <v>16</v>
      </c>
      <c r="U14">
        <v>4.5</v>
      </c>
      <c r="V14">
        <v>119</v>
      </c>
      <c r="W14">
        <v>79</v>
      </c>
      <c r="X14">
        <v>734</v>
      </c>
      <c r="Y14">
        <v>29</v>
      </c>
      <c r="Z14">
        <v>39.9</v>
      </c>
      <c r="AA14">
        <v>11.4</v>
      </c>
      <c r="AB14">
        <v>-109.67</v>
      </c>
      <c r="AC14" s="12" t="str">
        <f>VLOOKUP(B:B,'Name Bridge'!A:B,2,FALSE)</f>
        <v>GB</v>
      </c>
      <c r="AD14" s="36">
        <f>Team_Defense_Table__PY[[#This Row],[Passing Yds]]/Team_Defense_Table__PY[[#This Row],[Passing Att]]</f>
        <v>6.6026119402985071</v>
      </c>
      <c r="AE14" s="12">
        <f>_xlfn.RANK.EQ(Team_Defense_Table__PY[[#This Row],[Passing Yds]],Team_Defense_Table__PY[Passing Yds],1)</f>
        <v>7</v>
      </c>
      <c r="AF14" s="36">
        <f>Team_Defense_Table__PY[[#This Row],[Rushing Yds]]/Team_Defense_Table__PY[[#This Row],[Rushing Att]]</f>
        <v>4.5465994962216625</v>
      </c>
      <c r="AG14" s="12">
        <f>_xlfn.RANK.EQ(Team_Defense_Table__PY[[#This Row],[Rushing Yds]],Team_Defense_Table__PY[Rushing Yds],1)</f>
        <v>13</v>
      </c>
      <c r="AH14" s="36">
        <f>Team_Defense_Table__PY[[#This Row],[Passing Yds]]/Team_Defense_Table__PY[[#This Row],[Passing Cmp]]</f>
        <v>10.228323699421965</v>
      </c>
    </row>
    <row r="15" spans="1:34" x14ac:dyDescent="0.2">
      <c r="A15">
        <v>14</v>
      </c>
      <c r="B15" t="s">
        <v>839</v>
      </c>
      <c r="C15">
        <v>16</v>
      </c>
      <c r="D15">
        <v>370</v>
      </c>
      <c r="E15">
        <v>5519</v>
      </c>
      <c r="F15">
        <v>1020</v>
      </c>
      <c r="G15">
        <v>5.4</v>
      </c>
      <c r="H15">
        <v>18</v>
      </c>
      <c r="I15">
        <v>8</v>
      </c>
      <c r="J15">
        <v>331</v>
      </c>
      <c r="K15">
        <v>350</v>
      </c>
      <c r="L15">
        <v>547</v>
      </c>
      <c r="M15">
        <v>3705</v>
      </c>
      <c r="N15">
        <v>28</v>
      </c>
      <c r="O15">
        <v>10</v>
      </c>
      <c r="P15">
        <v>6.4</v>
      </c>
      <c r="Q15">
        <v>190</v>
      </c>
      <c r="R15">
        <v>438</v>
      </c>
      <c r="S15">
        <v>1814</v>
      </c>
      <c r="T15">
        <v>11</v>
      </c>
      <c r="U15">
        <v>4.0999999999999996</v>
      </c>
      <c r="V15">
        <v>104</v>
      </c>
      <c r="W15">
        <v>95</v>
      </c>
      <c r="X15">
        <v>861</v>
      </c>
      <c r="Y15">
        <v>37</v>
      </c>
      <c r="Z15">
        <v>38</v>
      </c>
      <c r="AA15">
        <v>8.9</v>
      </c>
      <c r="AB15">
        <v>-90.3</v>
      </c>
      <c r="AC15" s="12" t="str">
        <f>VLOOKUP(B:B,'Name Bridge'!A:B,2,FALSE)</f>
        <v>CHI</v>
      </c>
      <c r="AD15" s="36">
        <f>Team_Defense_Table__PY[[#This Row],[Passing Yds]]/Team_Defense_Table__PY[[#This Row],[Passing Att]]</f>
        <v>6.7733089579524677</v>
      </c>
      <c r="AE15" s="12">
        <f>_xlfn.RANK.EQ(Team_Defense_Table__PY[[#This Row],[Passing Yds]],Team_Defense_Table__PY[Passing Yds],1)</f>
        <v>12</v>
      </c>
      <c r="AF15" s="36">
        <f>Team_Defense_Table__PY[[#This Row],[Rushing Yds]]/Team_Defense_Table__PY[[#This Row],[Rushing Att]]</f>
        <v>4.1415525114155249</v>
      </c>
      <c r="AG15" s="12">
        <f>_xlfn.RANK.EQ(Team_Defense_Table__PY[[#This Row],[Rushing Yds]],Team_Defense_Table__PY[Rushing Yds],1)</f>
        <v>15</v>
      </c>
      <c r="AH15" s="36">
        <f>Team_Defense_Table__PY[[#This Row],[Passing Yds]]/Team_Defense_Table__PY[[#This Row],[Passing Cmp]]</f>
        <v>10.585714285714285</v>
      </c>
    </row>
    <row r="16" spans="1:34" x14ac:dyDescent="0.2">
      <c r="A16">
        <v>15</v>
      </c>
      <c r="B16" t="s">
        <v>349</v>
      </c>
      <c r="C16">
        <v>16</v>
      </c>
      <c r="D16">
        <v>371</v>
      </c>
      <c r="E16">
        <v>6089</v>
      </c>
      <c r="F16">
        <v>1112</v>
      </c>
      <c r="G16">
        <v>5.5</v>
      </c>
      <c r="H16">
        <v>22</v>
      </c>
      <c r="I16">
        <v>8</v>
      </c>
      <c r="J16">
        <v>376</v>
      </c>
      <c r="K16">
        <v>450</v>
      </c>
      <c r="L16">
        <v>674</v>
      </c>
      <c r="M16">
        <v>4560</v>
      </c>
      <c r="N16">
        <v>23</v>
      </c>
      <c r="O16">
        <v>14</v>
      </c>
      <c r="P16">
        <v>6.3</v>
      </c>
      <c r="Q16">
        <v>253</v>
      </c>
      <c r="R16">
        <v>392</v>
      </c>
      <c r="S16">
        <v>1529</v>
      </c>
      <c r="T16">
        <v>18</v>
      </c>
      <c r="U16">
        <v>3.9</v>
      </c>
      <c r="V16">
        <v>97</v>
      </c>
      <c r="W16">
        <v>94</v>
      </c>
      <c r="X16">
        <v>803</v>
      </c>
      <c r="Y16">
        <v>26</v>
      </c>
      <c r="Z16">
        <v>40</v>
      </c>
      <c r="AA16">
        <v>12</v>
      </c>
      <c r="AB16">
        <v>-85.81</v>
      </c>
      <c r="AC16" s="12" t="str">
        <f>VLOOKUP(B:B,'Name Bridge'!A:B,2,FALSE)</f>
        <v>SEA</v>
      </c>
      <c r="AD16" s="36">
        <f>Team_Defense_Table__PY[[#This Row],[Passing Yds]]/Team_Defense_Table__PY[[#This Row],[Passing Att]]</f>
        <v>6.7655786350148368</v>
      </c>
      <c r="AE16" s="12">
        <f>_xlfn.RANK.EQ(Team_Defense_Table__PY[[#This Row],[Passing Yds]],Team_Defense_Table__PY[Passing Yds],1)</f>
        <v>31</v>
      </c>
      <c r="AF16" s="36">
        <f>Team_Defense_Table__PY[[#This Row],[Rushing Yds]]/Team_Defense_Table__PY[[#This Row],[Rushing Att]]</f>
        <v>3.9005102040816326</v>
      </c>
      <c r="AG16" s="12">
        <f>_xlfn.RANK.EQ(Team_Defense_Table__PY[[#This Row],[Rushing Yds]],Team_Defense_Table__PY[Rushing Yds],1)</f>
        <v>5</v>
      </c>
      <c r="AH16" s="36">
        <f>Team_Defense_Table__PY[[#This Row],[Passing Yds]]/Team_Defense_Table__PY[[#This Row],[Passing Cmp]]</f>
        <v>10.133333333333333</v>
      </c>
    </row>
    <row r="17" spans="1:34" x14ac:dyDescent="0.2">
      <c r="A17">
        <v>16</v>
      </c>
      <c r="B17" t="s">
        <v>694</v>
      </c>
      <c r="C17">
        <v>16</v>
      </c>
      <c r="D17">
        <v>375</v>
      </c>
      <c r="E17">
        <v>5640</v>
      </c>
      <c r="F17">
        <v>1025</v>
      </c>
      <c r="G17">
        <v>5.5</v>
      </c>
      <c r="H17">
        <v>26</v>
      </c>
      <c r="I17">
        <v>11</v>
      </c>
      <c r="J17">
        <v>351</v>
      </c>
      <c r="K17">
        <v>369</v>
      </c>
      <c r="L17">
        <v>573</v>
      </c>
      <c r="M17">
        <v>3726</v>
      </c>
      <c r="N17">
        <v>23</v>
      </c>
      <c r="O17">
        <v>15</v>
      </c>
      <c r="P17">
        <v>6.1</v>
      </c>
      <c r="Q17">
        <v>199</v>
      </c>
      <c r="R17">
        <v>414</v>
      </c>
      <c r="S17">
        <v>1914</v>
      </c>
      <c r="T17">
        <v>21</v>
      </c>
      <c r="U17">
        <v>4.5999999999999996</v>
      </c>
      <c r="V17">
        <v>125</v>
      </c>
      <c r="W17">
        <v>86</v>
      </c>
      <c r="X17">
        <v>728</v>
      </c>
      <c r="Y17">
        <v>27</v>
      </c>
      <c r="Z17">
        <v>39.4</v>
      </c>
      <c r="AA17">
        <v>15.3</v>
      </c>
      <c r="AB17">
        <v>-123.1</v>
      </c>
      <c r="AC17" s="12" t="str">
        <f>VLOOKUP(B:B,'Name Bridge'!A:B,2,FALSE)</f>
        <v>BUF</v>
      </c>
      <c r="AD17" s="36">
        <f>Team_Defense_Table__PY[[#This Row],[Passing Yds]]/Team_Defense_Table__PY[[#This Row],[Passing Att]]</f>
        <v>6.5026178010471201</v>
      </c>
      <c r="AE17" s="12">
        <f>_xlfn.RANK.EQ(Team_Defense_Table__PY[[#This Row],[Passing Yds]],Team_Defense_Table__PY[Passing Yds],1)</f>
        <v>13</v>
      </c>
      <c r="AF17" s="36">
        <f>Team_Defense_Table__PY[[#This Row],[Rushing Yds]]/Team_Defense_Table__PY[[#This Row],[Rushing Att]]</f>
        <v>4.6231884057971016</v>
      </c>
      <c r="AG17" s="12">
        <f>_xlfn.RANK.EQ(Team_Defense_Table__PY[[#This Row],[Rushing Yds]],Team_Defense_Table__PY[Rushing Yds],1)</f>
        <v>17</v>
      </c>
      <c r="AH17" s="36">
        <f>Team_Defense_Table__PY[[#This Row],[Passing Yds]]/Team_Defense_Table__PY[[#This Row],[Passing Cmp]]</f>
        <v>10.097560975609756</v>
      </c>
    </row>
    <row r="18" spans="1:34" x14ac:dyDescent="0.2">
      <c r="A18">
        <v>17</v>
      </c>
      <c r="B18" t="s">
        <v>309</v>
      </c>
      <c r="C18">
        <v>16</v>
      </c>
      <c r="D18">
        <v>390</v>
      </c>
      <c r="E18">
        <v>5030</v>
      </c>
      <c r="F18">
        <v>997</v>
      </c>
      <c r="G18">
        <v>5</v>
      </c>
      <c r="H18">
        <v>20</v>
      </c>
      <c r="I18">
        <v>8</v>
      </c>
      <c r="J18">
        <v>311</v>
      </c>
      <c r="K18">
        <v>341</v>
      </c>
      <c r="L18">
        <v>537</v>
      </c>
      <c r="M18">
        <v>3327</v>
      </c>
      <c r="N18">
        <v>25</v>
      </c>
      <c r="O18">
        <v>12</v>
      </c>
      <c r="P18">
        <v>5.9</v>
      </c>
      <c r="Q18">
        <v>176</v>
      </c>
      <c r="R18">
        <v>430</v>
      </c>
      <c r="S18">
        <v>1703</v>
      </c>
      <c r="T18">
        <v>12</v>
      </c>
      <c r="U18">
        <v>4</v>
      </c>
      <c r="V18">
        <v>102</v>
      </c>
      <c r="W18">
        <v>79</v>
      </c>
      <c r="X18">
        <v>709</v>
      </c>
      <c r="Y18">
        <v>33</v>
      </c>
      <c r="Z18">
        <v>38.299999999999997</v>
      </c>
      <c r="AA18">
        <v>10.4</v>
      </c>
      <c r="AB18">
        <v>-16.82</v>
      </c>
      <c r="AC18" s="12" t="str">
        <f>VLOOKUP(B:B,'Name Bridge'!A:B,2,FALSE)</f>
        <v>SF</v>
      </c>
      <c r="AD18" s="36">
        <f>Team_Defense_Table__PY[[#This Row],[Passing Yds]]/Team_Defense_Table__PY[[#This Row],[Passing Att]]</f>
        <v>6.1955307262569832</v>
      </c>
      <c r="AE18" s="12">
        <f>_xlfn.RANK.EQ(Team_Defense_Table__PY[[#This Row],[Passing Yds]],Team_Defense_Table__PY[Passing Yds],1)</f>
        <v>4</v>
      </c>
      <c r="AF18" s="36">
        <f>Team_Defense_Table__PY[[#This Row],[Rushing Yds]]/Team_Defense_Table__PY[[#This Row],[Rushing Att]]</f>
        <v>3.9604651162790696</v>
      </c>
      <c r="AG18" s="12">
        <f>_xlfn.RANK.EQ(Team_Defense_Table__PY[[#This Row],[Rushing Yds]],Team_Defense_Table__PY[Rushing Yds],1)</f>
        <v>7</v>
      </c>
      <c r="AH18" s="36">
        <f>Team_Defense_Table__PY[[#This Row],[Passing Yds]]/Team_Defense_Table__PY[[#This Row],[Passing Cmp]]</f>
        <v>9.7565982404692075</v>
      </c>
    </row>
    <row r="19" spans="1:34" x14ac:dyDescent="0.2">
      <c r="A19">
        <v>18</v>
      </c>
      <c r="B19" t="s">
        <v>401</v>
      </c>
      <c r="C19">
        <v>16</v>
      </c>
      <c r="D19">
        <v>402</v>
      </c>
      <c r="E19">
        <v>5761</v>
      </c>
      <c r="F19">
        <v>1022</v>
      </c>
      <c r="G19">
        <v>5.6</v>
      </c>
      <c r="H19">
        <v>22</v>
      </c>
      <c r="I19">
        <v>15</v>
      </c>
      <c r="J19">
        <v>360</v>
      </c>
      <c r="K19">
        <v>398</v>
      </c>
      <c r="L19">
        <v>585</v>
      </c>
      <c r="M19">
        <v>3825</v>
      </c>
      <c r="N19">
        <v>28</v>
      </c>
      <c r="O19">
        <v>7</v>
      </c>
      <c r="P19">
        <v>6.2</v>
      </c>
      <c r="Q19">
        <v>211</v>
      </c>
      <c r="R19">
        <v>408</v>
      </c>
      <c r="S19">
        <v>1936</v>
      </c>
      <c r="T19">
        <v>17</v>
      </c>
      <c r="U19">
        <v>4.7</v>
      </c>
      <c r="V19">
        <v>114</v>
      </c>
      <c r="W19">
        <v>85</v>
      </c>
      <c r="X19">
        <v>713</v>
      </c>
      <c r="Y19">
        <v>35</v>
      </c>
      <c r="Z19">
        <v>46</v>
      </c>
      <c r="AA19">
        <v>12.4</v>
      </c>
      <c r="AB19">
        <v>-125.54</v>
      </c>
      <c r="AC19" s="12" t="str">
        <f>VLOOKUP(B:B,'Name Bridge'!A:B,2,FALSE)</f>
        <v>CAR</v>
      </c>
      <c r="AD19" s="36">
        <f>Team_Defense_Table__PY[[#This Row],[Passing Yds]]/Team_Defense_Table__PY[[#This Row],[Passing Att]]</f>
        <v>6.5384615384615383</v>
      </c>
      <c r="AE19" s="12">
        <f>_xlfn.RANK.EQ(Team_Defense_Table__PY[[#This Row],[Passing Yds]],Team_Defense_Table__PY[Passing Yds],1)</f>
        <v>18</v>
      </c>
      <c r="AF19" s="36">
        <f>Team_Defense_Table__PY[[#This Row],[Rushing Yds]]/Team_Defense_Table__PY[[#This Row],[Rushing Att]]</f>
        <v>4.7450980392156863</v>
      </c>
      <c r="AG19" s="12">
        <f>_xlfn.RANK.EQ(Team_Defense_Table__PY[[#This Row],[Rushing Yds]],Team_Defense_Table__PY[Rushing Yds],1)</f>
        <v>20</v>
      </c>
      <c r="AH19" s="36">
        <f>Team_Defense_Table__PY[[#This Row],[Passing Yds]]/Team_Defense_Table__PY[[#This Row],[Passing Cmp]]</f>
        <v>9.6105527638190953</v>
      </c>
    </row>
    <row r="20" spans="1:34" x14ac:dyDescent="0.2">
      <c r="A20">
        <v>19</v>
      </c>
      <c r="B20" t="s">
        <v>688</v>
      </c>
      <c r="C20">
        <v>16</v>
      </c>
      <c r="D20">
        <v>414</v>
      </c>
      <c r="E20">
        <v>6374</v>
      </c>
      <c r="F20">
        <v>1034</v>
      </c>
      <c r="G20">
        <v>6.2</v>
      </c>
      <c r="H20">
        <v>21</v>
      </c>
      <c r="I20">
        <v>9</v>
      </c>
      <c r="J20">
        <v>367</v>
      </c>
      <c r="K20">
        <v>425</v>
      </c>
      <c r="L20">
        <v>625</v>
      </c>
      <c r="M20">
        <v>4697</v>
      </c>
      <c r="N20">
        <v>34</v>
      </c>
      <c r="O20">
        <v>12</v>
      </c>
      <c r="P20">
        <v>7.2</v>
      </c>
      <c r="Q20">
        <v>239</v>
      </c>
      <c r="R20">
        <v>380</v>
      </c>
      <c r="S20">
        <v>1677</v>
      </c>
      <c r="T20">
        <v>15</v>
      </c>
      <c r="U20">
        <v>4.4000000000000004</v>
      </c>
      <c r="V20">
        <v>97</v>
      </c>
      <c r="W20">
        <v>91</v>
      </c>
      <c r="X20">
        <v>800</v>
      </c>
      <c r="Y20">
        <v>31</v>
      </c>
      <c r="Z20">
        <v>42</v>
      </c>
      <c r="AA20">
        <v>12.1</v>
      </c>
      <c r="AB20">
        <v>-148.58000000000001</v>
      </c>
      <c r="AC20" s="12" t="str">
        <f>VLOOKUP(B:B,'Name Bridge'!A:B,2,FALSE)</f>
        <v>ATL</v>
      </c>
      <c r="AD20" s="36">
        <f>Team_Defense_Table__PY[[#This Row],[Passing Yds]]/Team_Defense_Table__PY[[#This Row],[Passing Att]]</f>
        <v>7.5152000000000001</v>
      </c>
      <c r="AE20" s="12">
        <f>_xlfn.RANK.EQ(Team_Defense_Table__PY[[#This Row],[Passing Yds]],Team_Defense_Table__PY[Passing Yds],1)</f>
        <v>32</v>
      </c>
      <c r="AF20" s="36">
        <f>Team_Defense_Table__PY[[#This Row],[Rushing Yds]]/Team_Defense_Table__PY[[#This Row],[Rushing Att]]</f>
        <v>4.4131578947368419</v>
      </c>
      <c r="AG20" s="12">
        <f>_xlfn.RANK.EQ(Team_Defense_Table__PY[[#This Row],[Rushing Yds]],Team_Defense_Table__PY[Rushing Yds],1)</f>
        <v>6</v>
      </c>
      <c r="AH20" s="36">
        <f>Team_Defense_Table__PY[[#This Row],[Passing Yds]]/Team_Defense_Table__PY[[#This Row],[Passing Cmp]]</f>
        <v>11.051764705882354</v>
      </c>
    </row>
    <row r="21" spans="1:34" x14ac:dyDescent="0.2">
      <c r="A21">
        <v>20</v>
      </c>
      <c r="B21" t="s">
        <v>691</v>
      </c>
      <c r="C21">
        <v>16</v>
      </c>
      <c r="D21">
        <v>418</v>
      </c>
      <c r="E21">
        <v>5810</v>
      </c>
      <c r="F21">
        <v>1060</v>
      </c>
      <c r="G21">
        <v>5.5</v>
      </c>
      <c r="H21">
        <v>19</v>
      </c>
      <c r="I21">
        <v>11</v>
      </c>
      <c r="J21">
        <v>340</v>
      </c>
      <c r="K21">
        <v>364</v>
      </c>
      <c r="L21">
        <v>530</v>
      </c>
      <c r="M21">
        <v>3798</v>
      </c>
      <c r="N21">
        <v>27</v>
      </c>
      <c r="O21">
        <v>8</v>
      </c>
      <c r="P21">
        <v>6.6</v>
      </c>
      <c r="Q21">
        <v>209</v>
      </c>
      <c r="R21">
        <v>481</v>
      </c>
      <c r="S21">
        <v>2012</v>
      </c>
      <c r="T21">
        <v>20</v>
      </c>
      <c r="U21">
        <v>4.2</v>
      </c>
      <c r="V21">
        <v>98</v>
      </c>
      <c r="W21">
        <v>112</v>
      </c>
      <c r="X21">
        <v>1036</v>
      </c>
      <c r="Y21">
        <v>33</v>
      </c>
      <c r="Z21">
        <v>37.799999999999997</v>
      </c>
      <c r="AA21">
        <v>9.1999999999999993</v>
      </c>
      <c r="AB21">
        <v>-71.06</v>
      </c>
      <c r="AC21" s="12" t="str">
        <f>VLOOKUP(B:B,'Name Bridge'!A:B,2,FALSE)</f>
        <v>PHI</v>
      </c>
      <c r="AD21" s="36">
        <f>Team_Defense_Table__PY[[#This Row],[Passing Yds]]/Team_Defense_Table__PY[[#This Row],[Passing Att]]</f>
        <v>7.1660377358490566</v>
      </c>
      <c r="AE21" s="12">
        <f>_xlfn.RANK.EQ(Team_Defense_Table__PY[[#This Row],[Passing Yds]],Team_Defense_Table__PY[Passing Yds],1)</f>
        <v>15</v>
      </c>
      <c r="AF21" s="36">
        <f>Team_Defense_Table__PY[[#This Row],[Rushing Yds]]/Team_Defense_Table__PY[[#This Row],[Rushing Att]]</f>
        <v>4.1829521829521825</v>
      </c>
      <c r="AG21" s="12">
        <f>_xlfn.RANK.EQ(Team_Defense_Table__PY[[#This Row],[Rushing Yds]],Team_Defense_Table__PY[Rushing Yds],1)</f>
        <v>23</v>
      </c>
      <c r="AH21" s="36">
        <f>Team_Defense_Table__PY[[#This Row],[Passing Yds]]/Team_Defense_Table__PY[[#This Row],[Passing Cmp]]</f>
        <v>10.434065934065934</v>
      </c>
    </row>
    <row r="22" spans="1:34" x14ac:dyDescent="0.2">
      <c r="A22">
        <v>21</v>
      </c>
      <c r="B22" t="s">
        <v>701</v>
      </c>
      <c r="C22">
        <v>16</v>
      </c>
      <c r="D22">
        <v>419</v>
      </c>
      <c r="E22">
        <v>5735</v>
      </c>
      <c r="F22">
        <v>1035</v>
      </c>
      <c r="G22">
        <v>5.5</v>
      </c>
      <c r="H22">
        <v>21</v>
      </c>
      <c r="I22">
        <v>10</v>
      </c>
      <c r="J22">
        <v>352</v>
      </c>
      <c r="K22">
        <v>371</v>
      </c>
      <c r="L22">
        <v>585</v>
      </c>
      <c r="M22">
        <v>3962</v>
      </c>
      <c r="N22">
        <v>31</v>
      </c>
      <c r="O22">
        <v>11</v>
      </c>
      <c r="P22">
        <v>6.4</v>
      </c>
      <c r="Q22">
        <v>214</v>
      </c>
      <c r="R22">
        <v>412</v>
      </c>
      <c r="S22">
        <v>1773</v>
      </c>
      <c r="T22">
        <v>16</v>
      </c>
      <c r="U22">
        <v>4.3</v>
      </c>
      <c r="V22">
        <v>116</v>
      </c>
      <c r="W22">
        <v>84</v>
      </c>
      <c r="X22">
        <v>690</v>
      </c>
      <c r="Y22">
        <v>22</v>
      </c>
      <c r="Z22">
        <v>43</v>
      </c>
      <c r="AA22">
        <v>12.7</v>
      </c>
      <c r="AB22">
        <v>-150.41999999999999</v>
      </c>
      <c r="AC22" s="12" t="str">
        <f>VLOOKUP(B:B,'Name Bridge'!A:B,2,FALSE)</f>
        <v>CLE</v>
      </c>
      <c r="AD22" s="36">
        <f>Team_Defense_Table__PY[[#This Row],[Passing Yds]]/Team_Defense_Table__PY[[#This Row],[Passing Att]]</f>
        <v>6.7726495726495726</v>
      </c>
      <c r="AE22" s="12">
        <f>_xlfn.RANK.EQ(Team_Defense_Table__PY[[#This Row],[Passing Yds]],Team_Defense_Table__PY[Passing Yds],1)</f>
        <v>22</v>
      </c>
      <c r="AF22" s="36">
        <f>Team_Defense_Table__PY[[#This Row],[Rushing Yds]]/Team_Defense_Table__PY[[#This Row],[Rushing Att]]</f>
        <v>4.3033980582524274</v>
      </c>
      <c r="AG22" s="12">
        <f>_xlfn.RANK.EQ(Team_Defense_Table__PY[[#This Row],[Rushing Yds]],Team_Defense_Table__PY[Rushing Yds],1)</f>
        <v>9</v>
      </c>
      <c r="AH22" s="36">
        <f>Team_Defense_Table__PY[[#This Row],[Passing Yds]]/Team_Defense_Table__PY[[#This Row],[Passing Cmp]]</f>
        <v>10.679245283018869</v>
      </c>
    </row>
    <row r="23" spans="1:34" x14ac:dyDescent="0.2">
      <c r="A23">
        <v>22</v>
      </c>
      <c r="B23" t="s">
        <v>702</v>
      </c>
      <c r="C23">
        <v>16</v>
      </c>
      <c r="D23">
        <v>424</v>
      </c>
      <c r="E23">
        <v>6227</v>
      </c>
      <c r="F23">
        <v>1021</v>
      </c>
      <c r="G23">
        <v>6.1</v>
      </c>
      <c r="H23">
        <v>17</v>
      </c>
      <c r="I23">
        <v>6</v>
      </c>
      <c r="J23">
        <v>343</v>
      </c>
      <c r="K23">
        <v>340</v>
      </c>
      <c r="L23">
        <v>541</v>
      </c>
      <c r="M23">
        <v>3859</v>
      </c>
      <c r="N23">
        <v>32</v>
      </c>
      <c r="O23">
        <v>11</v>
      </c>
      <c r="P23">
        <v>6.9</v>
      </c>
      <c r="Q23">
        <v>192</v>
      </c>
      <c r="R23">
        <v>463</v>
      </c>
      <c r="S23">
        <v>2368</v>
      </c>
      <c r="T23">
        <v>13</v>
      </c>
      <c r="U23">
        <v>5.0999999999999996</v>
      </c>
      <c r="V23">
        <v>126</v>
      </c>
      <c r="W23">
        <v>99</v>
      </c>
      <c r="X23">
        <v>795</v>
      </c>
      <c r="Y23">
        <v>25</v>
      </c>
      <c r="Z23">
        <v>43.3</v>
      </c>
      <c r="AA23">
        <v>9.4</v>
      </c>
      <c r="AB23">
        <v>-142.19999999999999</v>
      </c>
      <c r="AC23" s="12" t="str">
        <f>VLOOKUP(B:B,'Name Bridge'!A:B,2,FALSE)</f>
        <v>CIN</v>
      </c>
      <c r="AD23" s="36">
        <f>Team_Defense_Table__PY[[#This Row],[Passing Yds]]/Team_Defense_Table__PY[[#This Row],[Passing Att]]</f>
        <v>7.1330868761552679</v>
      </c>
      <c r="AE23" s="12">
        <f>_xlfn.RANK.EQ(Team_Defense_Table__PY[[#This Row],[Passing Yds]],Team_Defense_Table__PY[Passing Yds],1)</f>
        <v>19</v>
      </c>
      <c r="AF23" s="36">
        <f>Team_Defense_Table__PY[[#This Row],[Rushing Yds]]/Team_Defense_Table__PY[[#This Row],[Rushing Att]]</f>
        <v>5.1144708423326133</v>
      </c>
      <c r="AG23" s="12">
        <f>_xlfn.RANK.EQ(Team_Defense_Table__PY[[#This Row],[Rushing Yds]],Team_Defense_Table__PY[Rushing Yds],1)</f>
        <v>29</v>
      </c>
      <c r="AH23" s="36">
        <f>Team_Defense_Table__PY[[#This Row],[Passing Yds]]/Team_Defense_Table__PY[[#This Row],[Passing Cmp]]</f>
        <v>11.35</v>
      </c>
    </row>
    <row r="24" spans="1:34" x14ac:dyDescent="0.2">
      <c r="A24">
        <v>23</v>
      </c>
      <c r="B24" t="s">
        <v>621</v>
      </c>
      <c r="C24">
        <v>16</v>
      </c>
      <c r="D24">
        <v>426</v>
      </c>
      <c r="E24">
        <v>5495</v>
      </c>
      <c r="F24">
        <v>997</v>
      </c>
      <c r="G24">
        <v>5.5</v>
      </c>
      <c r="H24">
        <v>19</v>
      </c>
      <c r="I24">
        <v>7</v>
      </c>
      <c r="J24">
        <v>324</v>
      </c>
      <c r="K24">
        <v>340</v>
      </c>
      <c r="L24">
        <v>543</v>
      </c>
      <c r="M24">
        <v>3578</v>
      </c>
      <c r="N24">
        <v>29</v>
      </c>
      <c r="O24">
        <v>12</v>
      </c>
      <c r="P24">
        <v>6.3</v>
      </c>
      <c r="Q24">
        <v>186</v>
      </c>
      <c r="R24">
        <v>427</v>
      </c>
      <c r="S24">
        <v>1917</v>
      </c>
      <c r="T24">
        <v>17</v>
      </c>
      <c r="U24">
        <v>4.5</v>
      </c>
      <c r="V24">
        <v>112</v>
      </c>
      <c r="W24">
        <v>94</v>
      </c>
      <c r="X24">
        <v>869</v>
      </c>
      <c r="Y24">
        <v>26</v>
      </c>
      <c r="Z24">
        <v>43.5</v>
      </c>
      <c r="AA24">
        <v>10</v>
      </c>
      <c r="AB24">
        <v>-89.82</v>
      </c>
      <c r="AC24" s="12" t="str">
        <f>VLOOKUP(B:B,'Name Bridge'!A:B,2,FALSE)</f>
        <v>LAC</v>
      </c>
      <c r="AD24" s="36">
        <f>Team_Defense_Table__PY[[#This Row],[Passing Yds]]/Team_Defense_Table__PY[[#This Row],[Passing Att]]</f>
        <v>6.5893186003683244</v>
      </c>
      <c r="AE24" s="12">
        <f>_xlfn.RANK.EQ(Team_Defense_Table__PY[[#This Row],[Passing Yds]],Team_Defense_Table__PY[Passing Yds],1)</f>
        <v>9</v>
      </c>
      <c r="AF24" s="36">
        <f>Team_Defense_Table__PY[[#This Row],[Rushing Yds]]/Team_Defense_Table__PY[[#This Row],[Rushing Att]]</f>
        <v>4.4894613583138172</v>
      </c>
      <c r="AG24" s="12">
        <f>_xlfn.RANK.EQ(Team_Defense_Table__PY[[#This Row],[Rushing Yds]],Team_Defense_Table__PY[Rushing Yds],1)</f>
        <v>18</v>
      </c>
      <c r="AH24" s="36">
        <f>Team_Defense_Table__PY[[#This Row],[Passing Yds]]/Team_Defense_Table__PY[[#This Row],[Passing Cmp]]</f>
        <v>10.523529411764706</v>
      </c>
    </row>
    <row r="25" spans="1:34" x14ac:dyDescent="0.2">
      <c r="A25">
        <v>24</v>
      </c>
      <c r="B25" t="s">
        <v>696</v>
      </c>
      <c r="C25">
        <v>16</v>
      </c>
      <c r="D25">
        <v>439</v>
      </c>
      <c r="E25">
        <v>6372</v>
      </c>
      <c r="F25">
        <v>1076</v>
      </c>
      <c r="G25">
        <v>5.9</v>
      </c>
      <c r="H25">
        <v>23</v>
      </c>
      <c r="I25">
        <v>8</v>
      </c>
      <c r="J25">
        <v>391</v>
      </c>
      <c r="K25">
        <v>423</v>
      </c>
      <c r="L25">
        <v>630</v>
      </c>
      <c r="M25">
        <v>4439</v>
      </c>
      <c r="N25">
        <v>36</v>
      </c>
      <c r="O25">
        <v>15</v>
      </c>
      <c r="P25">
        <v>6.8</v>
      </c>
      <c r="Q25">
        <v>247</v>
      </c>
      <c r="R25">
        <v>427</v>
      </c>
      <c r="S25">
        <v>1933</v>
      </c>
      <c r="T25">
        <v>18</v>
      </c>
      <c r="U25">
        <v>4.5</v>
      </c>
      <c r="V25">
        <v>113</v>
      </c>
      <c r="W25">
        <v>103</v>
      </c>
      <c r="X25">
        <v>840</v>
      </c>
      <c r="Y25">
        <v>31</v>
      </c>
      <c r="Z25">
        <v>45.2</v>
      </c>
      <c r="AA25">
        <v>13.3</v>
      </c>
      <c r="AB25">
        <v>-185.2</v>
      </c>
      <c r="AC25" s="12" t="str">
        <f>VLOOKUP(B:B,'Name Bridge'!A:B,2,FALSE)</f>
        <v>TEN</v>
      </c>
      <c r="AD25" s="36">
        <f>Team_Defense_Table__PY[[#This Row],[Passing Yds]]/Team_Defense_Table__PY[[#This Row],[Passing Att]]</f>
        <v>7.0460317460317459</v>
      </c>
      <c r="AE25" s="12">
        <f>_xlfn.RANK.EQ(Team_Defense_Table__PY[[#This Row],[Passing Yds]],Team_Defense_Table__PY[Passing Yds],1)</f>
        <v>29</v>
      </c>
      <c r="AF25" s="36">
        <f>Team_Defense_Table__PY[[#This Row],[Rushing Yds]]/Team_Defense_Table__PY[[#This Row],[Rushing Att]]</f>
        <v>4.5269320843091334</v>
      </c>
      <c r="AG25" s="12">
        <f>_xlfn.RANK.EQ(Team_Defense_Table__PY[[#This Row],[Rushing Yds]],Team_Defense_Table__PY[Rushing Yds],1)</f>
        <v>19</v>
      </c>
      <c r="AH25" s="36">
        <f>Team_Defense_Table__PY[[#This Row],[Passing Yds]]/Team_Defense_Table__PY[[#This Row],[Passing Cmp]]</f>
        <v>10.494089834515366</v>
      </c>
    </row>
    <row r="26" spans="1:34" x14ac:dyDescent="0.2">
      <c r="A26">
        <v>25</v>
      </c>
      <c r="B26" t="s">
        <v>642</v>
      </c>
      <c r="C26">
        <v>16</v>
      </c>
      <c r="D26">
        <v>446</v>
      </c>
      <c r="E26">
        <v>5887</v>
      </c>
      <c r="F26">
        <v>1043</v>
      </c>
      <c r="G26">
        <v>5.6</v>
      </c>
      <c r="H26">
        <v>16</v>
      </c>
      <c r="I26">
        <v>6</v>
      </c>
      <c r="J26">
        <v>333</v>
      </c>
      <c r="K26">
        <v>374</v>
      </c>
      <c r="L26">
        <v>567</v>
      </c>
      <c r="M26">
        <v>3807</v>
      </c>
      <c r="N26">
        <v>21</v>
      </c>
      <c r="O26">
        <v>10</v>
      </c>
      <c r="P26">
        <v>6.3</v>
      </c>
      <c r="Q26">
        <v>201</v>
      </c>
      <c r="R26">
        <v>434</v>
      </c>
      <c r="S26">
        <v>2080</v>
      </c>
      <c r="T26">
        <v>22</v>
      </c>
      <c r="U26">
        <v>4.8</v>
      </c>
      <c r="V26">
        <v>106</v>
      </c>
      <c r="W26">
        <v>106</v>
      </c>
      <c r="X26">
        <v>952</v>
      </c>
      <c r="Y26">
        <v>26</v>
      </c>
      <c r="Z26">
        <v>44.6</v>
      </c>
      <c r="AA26">
        <v>8.1999999999999993</v>
      </c>
      <c r="AB26">
        <v>-92.82</v>
      </c>
      <c r="AC26" s="12" t="str">
        <f>VLOOKUP(B:B,'Name Bridge'!A:B,2,FALSE)</f>
        <v>DEN</v>
      </c>
      <c r="AD26" s="36">
        <f>Team_Defense_Table__PY[[#This Row],[Passing Yds]]/Team_Defense_Table__PY[[#This Row],[Passing Att]]</f>
        <v>6.7142857142857144</v>
      </c>
      <c r="AE26" s="12">
        <f>_xlfn.RANK.EQ(Team_Defense_Table__PY[[#This Row],[Passing Yds]],Team_Defense_Table__PY[Passing Yds],1)</f>
        <v>16</v>
      </c>
      <c r="AF26" s="36">
        <f>Team_Defense_Table__PY[[#This Row],[Rushing Yds]]/Team_Defense_Table__PY[[#This Row],[Rushing Att]]</f>
        <v>4.7926267281105988</v>
      </c>
      <c r="AG26" s="12">
        <f>_xlfn.RANK.EQ(Team_Defense_Table__PY[[#This Row],[Rushing Yds]],Team_Defense_Table__PY[Rushing Yds],1)</f>
        <v>25</v>
      </c>
      <c r="AH26" s="36">
        <f>Team_Defense_Table__PY[[#This Row],[Passing Yds]]/Team_Defense_Table__PY[[#This Row],[Passing Cmp]]</f>
        <v>10.179144385026738</v>
      </c>
    </row>
    <row r="27" spans="1:34" x14ac:dyDescent="0.2">
      <c r="A27">
        <v>26</v>
      </c>
      <c r="B27" t="s">
        <v>697</v>
      </c>
      <c r="C27">
        <v>16</v>
      </c>
      <c r="D27">
        <v>457</v>
      </c>
      <c r="E27">
        <v>6201</v>
      </c>
      <c r="F27">
        <v>1081</v>
      </c>
      <c r="G27">
        <v>5.7</v>
      </c>
      <c r="H27">
        <v>19</v>
      </c>
      <c r="I27">
        <v>9</v>
      </c>
      <c r="J27">
        <v>381</v>
      </c>
      <c r="K27">
        <v>418</v>
      </c>
      <c r="L27">
        <v>605</v>
      </c>
      <c r="M27">
        <v>4409</v>
      </c>
      <c r="N27">
        <v>34</v>
      </c>
      <c r="O27">
        <v>10</v>
      </c>
      <c r="P27">
        <v>6.9</v>
      </c>
      <c r="Q27">
        <v>235</v>
      </c>
      <c r="R27">
        <v>445</v>
      </c>
      <c r="S27">
        <v>1792</v>
      </c>
      <c r="T27">
        <v>16</v>
      </c>
      <c r="U27">
        <v>4</v>
      </c>
      <c r="V27">
        <v>100</v>
      </c>
      <c r="W27">
        <v>99</v>
      </c>
      <c r="X27">
        <v>899</v>
      </c>
      <c r="Y27">
        <v>46</v>
      </c>
      <c r="Z27">
        <v>44.6</v>
      </c>
      <c r="AA27">
        <v>10.7</v>
      </c>
      <c r="AB27">
        <v>-169.15</v>
      </c>
      <c r="AC27" s="12" t="str">
        <f>VLOOKUP(B:B,'Name Bridge'!A:B,2,FALSE)</f>
        <v>NYJ</v>
      </c>
      <c r="AD27" s="36">
        <f>Team_Defense_Table__PY[[#This Row],[Passing Yds]]/Team_Defense_Table__PY[[#This Row],[Passing Att]]</f>
        <v>7.2876033057851242</v>
      </c>
      <c r="AE27" s="12">
        <f>_xlfn.RANK.EQ(Team_Defense_Table__PY[[#This Row],[Passing Yds]],Team_Defense_Table__PY[Passing Yds],1)</f>
        <v>28</v>
      </c>
      <c r="AF27" s="36">
        <f>Team_Defense_Table__PY[[#This Row],[Rushing Yds]]/Team_Defense_Table__PY[[#This Row],[Rushing Att]]</f>
        <v>4.0269662921348317</v>
      </c>
      <c r="AG27" s="12">
        <f>_xlfn.RANK.EQ(Team_Defense_Table__PY[[#This Row],[Rushing Yds]],Team_Defense_Table__PY[Rushing Yds],1)</f>
        <v>12</v>
      </c>
      <c r="AH27" s="36">
        <f>Team_Defense_Table__PY[[#This Row],[Passing Yds]]/Team_Defense_Table__PY[[#This Row],[Passing Cmp]]</f>
        <v>10.547846889952153</v>
      </c>
    </row>
    <row r="28" spans="1:34" x14ac:dyDescent="0.2">
      <c r="A28">
        <v>27</v>
      </c>
      <c r="B28" t="s">
        <v>699</v>
      </c>
      <c r="C28">
        <v>16</v>
      </c>
      <c r="D28">
        <v>464</v>
      </c>
      <c r="E28">
        <v>6668</v>
      </c>
      <c r="F28">
        <v>1068</v>
      </c>
      <c r="G28">
        <v>6.2</v>
      </c>
      <c r="H28">
        <v>9</v>
      </c>
      <c r="I28">
        <v>6</v>
      </c>
      <c r="J28">
        <v>390</v>
      </c>
      <c r="K28">
        <v>377</v>
      </c>
      <c r="L28">
        <v>541</v>
      </c>
      <c r="M28">
        <v>4104</v>
      </c>
      <c r="N28">
        <v>30</v>
      </c>
      <c r="O28">
        <v>3</v>
      </c>
      <c r="P28">
        <v>7.1</v>
      </c>
      <c r="Q28">
        <v>222</v>
      </c>
      <c r="R28">
        <v>493</v>
      </c>
      <c r="S28">
        <v>2564</v>
      </c>
      <c r="T28">
        <v>24</v>
      </c>
      <c r="U28">
        <v>5.2</v>
      </c>
      <c r="V28">
        <v>145</v>
      </c>
      <c r="W28">
        <v>76</v>
      </c>
      <c r="X28">
        <v>678</v>
      </c>
      <c r="Y28">
        <v>23</v>
      </c>
      <c r="Z28">
        <v>47</v>
      </c>
      <c r="AA28">
        <v>5.4</v>
      </c>
      <c r="AB28">
        <v>-242.84</v>
      </c>
      <c r="AC28" s="12" t="str">
        <f>VLOOKUP(B:B,'Name Bridge'!A:B,2,FALSE)</f>
        <v>HOU</v>
      </c>
      <c r="AD28" s="36">
        <f>Team_Defense_Table__PY[[#This Row],[Passing Yds]]/Team_Defense_Table__PY[[#This Row],[Passing Att]]</f>
        <v>7.5859519408502774</v>
      </c>
      <c r="AE28" s="12">
        <f>_xlfn.RANK.EQ(Team_Defense_Table__PY[[#This Row],[Passing Yds]],Team_Defense_Table__PY[Passing Yds],1)</f>
        <v>24</v>
      </c>
      <c r="AF28" s="36">
        <f>Team_Defense_Table__PY[[#This Row],[Rushing Yds]]/Team_Defense_Table__PY[[#This Row],[Rushing Att]]</f>
        <v>5.2008113590263694</v>
      </c>
      <c r="AG28" s="12">
        <f>_xlfn.RANK.EQ(Team_Defense_Table__PY[[#This Row],[Rushing Yds]],Team_Defense_Table__PY[Rushing Yds],1)</f>
        <v>32</v>
      </c>
      <c r="AH28" s="36">
        <f>Team_Defense_Table__PY[[#This Row],[Passing Yds]]/Team_Defense_Table__PY[[#This Row],[Passing Cmp]]</f>
        <v>10.885941644562335</v>
      </c>
    </row>
    <row r="29" spans="1:34" x14ac:dyDescent="0.2">
      <c r="A29">
        <v>28</v>
      </c>
      <c r="B29" t="s">
        <v>877</v>
      </c>
      <c r="C29">
        <v>16</v>
      </c>
      <c r="D29">
        <v>473</v>
      </c>
      <c r="E29">
        <v>6183</v>
      </c>
      <c r="F29">
        <v>1054</v>
      </c>
      <c r="G29">
        <v>5.9</v>
      </c>
      <c r="H29">
        <v>23</v>
      </c>
      <c r="I29">
        <v>13</v>
      </c>
      <c r="J29">
        <v>359</v>
      </c>
      <c r="K29">
        <v>328</v>
      </c>
      <c r="L29">
        <v>513</v>
      </c>
      <c r="M29">
        <v>3642</v>
      </c>
      <c r="N29">
        <v>34</v>
      </c>
      <c r="O29">
        <v>10</v>
      </c>
      <c r="P29">
        <v>6.7</v>
      </c>
      <c r="Q29">
        <v>180</v>
      </c>
      <c r="R29">
        <v>510</v>
      </c>
      <c r="S29">
        <v>2541</v>
      </c>
      <c r="T29">
        <v>20</v>
      </c>
      <c r="U29">
        <v>5</v>
      </c>
      <c r="V29">
        <v>142</v>
      </c>
      <c r="W29">
        <v>91</v>
      </c>
      <c r="X29">
        <v>733</v>
      </c>
      <c r="Y29">
        <v>37</v>
      </c>
      <c r="Z29">
        <v>43.1</v>
      </c>
      <c r="AA29">
        <v>12.2</v>
      </c>
      <c r="AB29">
        <v>-141.69999999999999</v>
      </c>
      <c r="AC29" s="12" t="str">
        <f>VLOOKUP(B:B,'Name Bridge'!A:B,2,FALSE)</f>
        <v>DAL</v>
      </c>
      <c r="AD29" s="36">
        <f>Team_Defense_Table__PY[[#This Row],[Passing Yds]]/Team_Defense_Table__PY[[#This Row],[Passing Att]]</f>
        <v>7.0994152046783627</v>
      </c>
      <c r="AE29" s="12">
        <f>_xlfn.RANK.EQ(Team_Defense_Table__PY[[#This Row],[Passing Yds]],Team_Defense_Table__PY[Passing Yds],1)</f>
        <v>11</v>
      </c>
      <c r="AF29" s="36">
        <f>Team_Defense_Table__PY[[#This Row],[Rushing Yds]]/Team_Defense_Table__PY[[#This Row],[Rushing Att]]</f>
        <v>4.9823529411764707</v>
      </c>
      <c r="AG29" s="12">
        <f>_xlfn.RANK.EQ(Team_Defense_Table__PY[[#This Row],[Rushing Yds]],Team_Defense_Table__PY[Rushing Yds],1)</f>
        <v>31</v>
      </c>
      <c r="AH29" s="36">
        <f>Team_Defense_Table__PY[[#This Row],[Passing Yds]]/Team_Defense_Table__PY[[#This Row],[Passing Cmp]]</f>
        <v>11.103658536585366</v>
      </c>
    </row>
    <row r="30" spans="1:34" x14ac:dyDescent="0.2">
      <c r="A30">
        <v>29</v>
      </c>
      <c r="B30" t="s">
        <v>690</v>
      </c>
      <c r="C30">
        <v>16</v>
      </c>
      <c r="D30">
        <v>475</v>
      </c>
      <c r="E30">
        <v>6292</v>
      </c>
      <c r="F30">
        <v>1036</v>
      </c>
      <c r="G30">
        <v>6.1</v>
      </c>
      <c r="H30">
        <v>22</v>
      </c>
      <c r="I30">
        <v>7</v>
      </c>
      <c r="J30">
        <v>366</v>
      </c>
      <c r="K30">
        <v>358</v>
      </c>
      <c r="L30">
        <v>541</v>
      </c>
      <c r="M30">
        <v>4141</v>
      </c>
      <c r="N30">
        <v>30</v>
      </c>
      <c r="O30">
        <v>15</v>
      </c>
      <c r="P30">
        <v>7.3</v>
      </c>
      <c r="Q30">
        <v>208</v>
      </c>
      <c r="R30">
        <v>472</v>
      </c>
      <c r="S30">
        <v>2151</v>
      </c>
      <c r="T30">
        <v>19</v>
      </c>
      <c r="U30">
        <v>4.5999999999999996</v>
      </c>
      <c r="V30">
        <v>136</v>
      </c>
      <c r="W30">
        <v>83</v>
      </c>
      <c r="X30">
        <v>723</v>
      </c>
      <c r="Y30">
        <v>22</v>
      </c>
      <c r="Z30">
        <v>50</v>
      </c>
      <c r="AA30">
        <v>10.7</v>
      </c>
      <c r="AB30">
        <v>-180.29</v>
      </c>
      <c r="AC30" s="12" t="str">
        <f>VLOOKUP(B:B,'Name Bridge'!A:B,2,FALSE)</f>
        <v>MIN</v>
      </c>
      <c r="AD30" s="36">
        <f>Team_Defense_Table__PY[[#This Row],[Passing Yds]]/Team_Defense_Table__PY[[#This Row],[Passing Att]]</f>
        <v>7.654343807763401</v>
      </c>
      <c r="AE30" s="12">
        <f>_xlfn.RANK.EQ(Team_Defense_Table__PY[[#This Row],[Passing Yds]],Team_Defense_Table__PY[Passing Yds],1)</f>
        <v>25</v>
      </c>
      <c r="AF30" s="36">
        <f>Team_Defense_Table__PY[[#This Row],[Rushing Yds]]/Team_Defense_Table__PY[[#This Row],[Rushing Att]]</f>
        <v>4.5572033898305087</v>
      </c>
      <c r="AG30" s="12">
        <f>_xlfn.RANK.EQ(Team_Defense_Table__PY[[#This Row],[Rushing Yds]],Team_Defense_Table__PY[Rushing Yds],1)</f>
        <v>27</v>
      </c>
      <c r="AH30" s="36">
        <f>Team_Defense_Table__PY[[#This Row],[Passing Yds]]/Team_Defense_Table__PY[[#This Row],[Passing Cmp]]</f>
        <v>11.567039106145252</v>
      </c>
    </row>
    <row r="31" spans="1:34" x14ac:dyDescent="0.2">
      <c r="A31">
        <v>30</v>
      </c>
      <c r="B31" t="s">
        <v>879</v>
      </c>
      <c r="C31">
        <v>16</v>
      </c>
      <c r="D31">
        <v>478</v>
      </c>
      <c r="E31">
        <v>6225</v>
      </c>
      <c r="F31">
        <v>1039</v>
      </c>
      <c r="G31">
        <v>6</v>
      </c>
      <c r="H31">
        <v>15</v>
      </c>
      <c r="I31">
        <v>5</v>
      </c>
      <c r="J31">
        <v>381</v>
      </c>
      <c r="K31">
        <v>370</v>
      </c>
      <c r="L31">
        <v>580</v>
      </c>
      <c r="M31">
        <v>4212</v>
      </c>
      <c r="N31">
        <v>28</v>
      </c>
      <c r="O31">
        <v>10</v>
      </c>
      <c r="P31">
        <v>7</v>
      </c>
      <c r="Q31">
        <v>223</v>
      </c>
      <c r="R31">
        <v>438</v>
      </c>
      <c r="S31">
        <v>2013</v>
      </c>
      <c r="T31">
        <v>24</v>
      </c>
      <c r="U31">
        <v>4.5999999999999996</v>
      </c>
      <c r="V31">
        <v>114</v>
      </c>
      <c r="W31">
        <v>95</v>
      </c>
      <c r="X31">
        <v>915</v>
      </c>
      <c r="Y31">
        <v>44</v>
      </c>
      <c r="Z31">
        <v>50.3</v>
      </c>
      <c r="AA31">
        <v>8.4</v>
      </c>
      <c r="AB31">
        <v>-211.22</v>
      </c>
      <c r="AC31" s="12" t="str">
        <f>VLOOKUP(B:B,'Name Bridge'!A:B,2,FALSE)</f>
        <v>LV</v>
      </c>
      <c r="AD31" s="36">
        <f>Team_Defense_Table__PY[[#This Row],[Passing Yds]]/Team_Defense_Table__PY[[#This Row],[Passing Att]]</f>
        <v>7.2620689655172415</v>
      </c>
      <c r="AE31" s="12">
        <f>_xlfn.RANK.EQ(Team_Defense_Table__PY[[#This Row],[Passing Yds]],Team_Defense_Table__PY[Passing Yds],1)</f>
        <v>26</v>
      </c>
      <c r="AF31" s="36">
        <f>Team_Defense_Table__PY[[#This Row],[Rushing Yds]]/Team_Defense_Table__PY[[#This Row],[Rushing Att]]</f>
        <v>4.595890410958904</v>
      </c>
      <c r="AG31" s="12">
        <f>_xlfn.RANK.EQ(Team_Defense_Table__PY[[#This Row],[Rushing Yds]],Team_Defense_Table__PY[Rushing Yds],1)</f>
        <v>24</v>
      </c>
      <c r="AH31" s="36">
        <f>Team_Defense_Table__PY[[#This Row],[Passing Yds]]/Team_Defense_Table__PY[[#This Row],[Passing Cmp]]</f>
        <v>11.383783783783784</v>
      </c>
    </row>
    <row r="32" spans="1:34" x14ac:dyDescent="0.2">
      <c r="A32">
        <v>31</v>
      </c>
      <c r="B32" t="s">
        <v>689</v>
      </c>
      <c r="C32">
        <v>16</v>
      </c>
      <c r="D32">
        <v>492</v>
      </c>
      <c r="E32">
        <v>6683</v>
      </c>
      <c r="F32">
        <v>1068</v>
      </c>
      <c r="G32">
        <v>6.3</v>
      </c>
      <c r="H32">
        <v>17</v>
      </c>
      <c r="I32">
        <v>5</v>
      </c>
      <c r="J32">
        <v>394</v>
      </c>
      <c r="K32">
        <v>370</v>
      </c>
      <c r="L32">
        <v>533</v>
      </c>
      <c r="M32">
        <v>4231</v>
      </c>
      <c r="N32">
        <v>34</v>
      </c>
      <c r="O32">
        <v>12</v>
      </c>
      <c r="P32">
        <v>7.7</v>
      </c>
      <c r="Q32">
        <v>210</v>
      </c>
      <c r="R32">
        <v>517</v>
      </c>
      <c r="S32">
        <v>2452</v>
      </c>
      <c r="T32">
        <v>23</v>
      </c>
      <c r="U32">
        <v>4.7</v>
      </c>
      <c r="V32">
        <v>140</v>
      </c>
      <c r="W32">
        <v>78</v>
      </c>
      <c r="X32">
        <v>710</v>
      </c>
      <c r="Y32">
        <v>44</v>
      </c>
      <c r="Z32">
        <v>47.8</v>
      </c>
      <c r="AA32">
        <v>9.1999999999999993</v>
      </c>
      <c r="AB32">
        <v>-228.53</v>
      </c>
      <c r="AC32" s="12" t="str">
        <f>VLOOKUP(B:B,'Name Bridge'!A:B,2,FALSE)</f>
        <v>JAC</v>
      </c>
      <c r="AD32" s="36">
        <f>Team_Defense_Table__PY[[#This Row],[Passing Yds]]/Team_Defense_Table__PY[[#This Row],[Passing Att]]</f>
        <v>7.9380863039399623</v>
      </c>
      <c r="AE32" s="12">
        <f>_xlfn.RANK.EQ(Team_Defense_Table__PY[[#This Row],[Passing Yds]],Team_Defense_Table__PY[Passing Yds],1)</f>
        <v>27</v>
      </c>
      <c r="AF32" s="36">
        <f>Team_Defense_Table__PY[[#This Row],[Rushing Yds]]/Team_Defense_Table__PY[[#This Row],[Rushing Att]]</f>
        <v>4.7427466150870403</v>
      </c>
      <c r="AG32" s="12">
        <f>_xlfn.RANK.EQ(Team_Defense_Table__PY[[#This Row],[Rushing Yds]],Team_Defense_Table__PY[Rushing Yds],1)</f>
        <v>30</v>
      </c>
      <c r="AH32" s="36">
        <f>Team_Defense_Table__PY[[#This Row],[Passing Yds]]/Team_Defense_Table__PY[[#This Row],[Passing Cmp]]</f>
        <v>11.435135135135136</v>
      </c>
    </row>
    <row r="33" spans="1:34" x14ac:dyDescent="0.2">
      <c r="A33">
        <v>32</v>
      </c>
      <c r="B33" t="s">
        <v>700</v>
      </c>
      <c r="C33">
        <v>16</v>
      </c>
      <c r="D33">
        <v>519</v>
      </c>
      <c r="E33">
        <v>6716</v>
      </c>
      <c r="F33">
        <v>1068</v>
      </c>
      <c r="G33">
        <v>6.3</v>
      </c>
      <c r="H33">
        <v>12</v>
      </c>
      <c r="I33">
        <v>5</v>
      </c>
      <c r="J33">
        <v>415</v>
      </c>
      <c r="K33">
        <v>383</v>
      </c>
      <c r="L33">
        <v>557</v>
      </c>
      <c r="M33">
        <v>4558</v>
      </c>
      <c r="N33">
        <v>38</v>
      </c>
      <c r="O33">
        <v>7</v>
      </c>
      <c r="P33">
        <v>7.8</v>
      </c>
      <c r="Q33">
        <v>253</v>
      </c>
      <c r="R33">
        <v>487</v>
      </c>
      <c r="S33">
        <v>2158</v>
      </c>
      <c r="T33">
        <v>27</v>
      </c>
      <c r="U33">
        <v>4.4000000000000004</v>
      </c>
      <c r="V33">
        <v>127</v>
      </c>
      <c r="W33">
        <v>103</v>
      </c>
      <c r="X33">
        <v>797</v>
      </c>
      <c r="Y33">
        <v>35</v>
      </c>
      <c r="Z33">
        <v>47.9</v>
      </c>
      <c r="AA33">
        <v>7.1</v>
      </c>
      <c r="AB33">
        <v>-283.04000000000002</v>
      </c>
      <c r="AC33" s="12" t="str">
        <f>VLOOKUP(B:B,'Name Bridge'!A:B,2,FALSE)</f>
        <v>DET</v>
      </c>
      <c r="AD33" s="36">
        <f>Team_Defense_Table__PY[[#This Row],[Passing Yds]]/Team_Defense_Table__PY[[#This Row],[Passing Att]]</f>
        <v>8.1831238779174154</v>
      </c>
      <c r="AE33" s="12">
        <f>_xlfn.RANK.EQ(Team_Defense_Table__PY[[#This Row],[Passing Yds]],Team_Defense_Table__PY[Passing Yds],1)</f>
        <v>30</v>
      </c>
      <c r="AF33" s="36">
        <f>Team_Defense_Table__PY[[#This Row],[Rushing Yds]]/Team_Defense_Table__PY[[#This Row],[Rushing Att]]</f>
        <v>4.4312114989733056</v>
      </c>
      <c r="AG33" s="12">
        <f>_xlfn.RANK.EQ(Team_Defense_Table__PY[[#This Row],[Rushing Yds]],Team_Defense_Table__PY[Rushing Yds],1)</f>
        <v>28</v>
      </c>
      <c r="AH33" s="36">
        <f>Team_Defense_Table__PY[[#This Row],[Passing Yds]]/Team_Defense_Table__PY[[#This Row],[Passing Cmp]]</f>
        <v>11.900783289817232</v>
      </c>
    </row>
    <row r="34" spans="1:34" x14ac:dyDescent="0.2">
      <c r="U34">
        <f>SUBTOTAL(101,Team_Defense_Table__PY[Rushing Y/A])</f>
        <v>4.3875000000000002</v>
      </c>
      <c r="AC34" s="12"/>
      <c r="AD34" s="36">
        <f>SUBTOTAL(101,Team_Defense_Table__PY[Passing yds/att])</f>
        <v>6.8250350168011096</v>
      </c>
      <c r="AE34" s="36"/>
      <c r="AF34" s="36">
        <f>SUBTOTAL(101,Team_Defense_Table__PY[Rushing Yds/att])</f>
        <v>4.3930975563974108</v>
      </c>
      <c r="AG34" s="36"/>
      <c r="AH34" s="36">
        <f>SUBTOTAL(101,Team_Defense_Table__PY[Yards per completion])</f>
        <v>10.46632721528499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C5523BE-40CC-46E8-881E-0B4B0B62B8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</vt:i4>
      </vt:variant>
    </vt:vector>
  </HeadingPairs>
  <TitlesOfParts>
    <vt:vector size="31" baseType="lpstr">
      <vt:lpstr>Fanduel Export</vt:lpstr>
      <vt:lpstr>Vegas Odds</vt:lpstr>
      <vt:lpstr>Money Tab</vt:lpstr>
      <vt:lpstr>Solver</vt:lpstr>
      <vt:lpstr>After Action</vt:lpstr>
      <vt:lpstr>Targets per $1K</vt:lpstr>
      <vt:lpstr>Vegas Copy-Paste</vt:lpstr>
      <vt:lpstr>Vegas Odds Spread</vt:lpstr>
      <vt:lpstr>Vegas Odds Totals</vt:lpstr>
      <vt:lpstr>Name Bridge</vt:lpstr>
      <vt:lpstr>CY Passing</vt:lpstr>
      <vt:lpstr>CYPassing Query</vt:lpstr>
      <vt:lpstr>PY Passing</vt:lpstr>
      <vt:lpstr>PY Passing Query</vt:lpstr>
      <vt:lpstr>CY Rushing</vt:lpstr>
      <vt:lpstr>CY Rushing Query</vt:lpstr>
      <vt:lpstr>PY Rushing</vt:lpstr>
      <vt:lpstr>PY Rushing Query</vt:lpstr>
      <vt:lpstr>CY Receiving</vt:lpstr>
      <vt:lpstr>CY Receving Query</vt:lpstr>
      <vt:lpstr>PY Receiving</vt:lpstr>
      <vt:lpstr>CY Offensive Stats</vt:lpstr>
      <vt:lpstr>CY Offensive Stats Summary</vt:lpstr>
      <vt:lpstr>PY Offensive Stats</vt:lpstr>
      <vt:lpstr>CY Defensive Stats</vt:lpstr>
      <vt:lpstr>CY Defensive Stats Query</vt:lpstr>
      <vt:lpstr>PY Defensive Stats</vt:lpstr>
      <vt:lpstr>'CY Receving Query'!CY_Receiving_Query</vt:lpstr>
      <vt:lpstr>'CY Rushing Query'!CY_Rushing_Query</vt:lpstr>
      <vt:lpstr>'CYPassing Query'!CYPassing_1</vt:lpstr>
      <vt:lpstr>'PY Passing Query'!PY_Passing_Query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Scott</dc:creator>
  <cp:keywords/>
  <dc:description/>
  <cp:lastModifiedBy>Scott Horan</cp:lastModifiedBy>
  <cp:revision/>
  <dcterms:created xsi:type="dcterms:W3CDTF">2020-07-22T23:59:55Z</dcterms:created>
  <dcterms:modified xsi:type="dcterms:W3CDTF">2023-07-23T13:59:26Z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